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BaiduSyncdisk\claude\equity-incentive-individual-income-tax\"/>
    </mc:Choice>
  </mc:AlternateContent>
  <xr:revisionPtr revIDLastSave="0" documentId="13_ncr:1_{5925629E-067A-44F2-B0D2-F99D7052AA38}" xr6:coauthVersionLast="47" xr6:coauthVersionMax="47" xr10:uidLastSave="{00000000-0000-0000-0000-000000000000}"/>
  <bookViews>
    <workbookView xWindow="4815" yWindow="0" windowWidth="15315" windowHeight="9847" xr2:uid="{00000000-000D-0000-FFFF-FFFF00000000}"/>
  </bookViews>
  <sheets>
    <sheet name="使用说明" sheetId="1" r:id="rId1"/>
    <sheet name="计划参数" sheetId="2" r:id="rId2"/>
    <sheet name="激励事件明细" sheetId="3" r:id="rId3"/>
    <sheet name="年度计税汇总" sheetId="4" r:id="rId4"/>
    <sheet name="分期缴税台账" sheetId="5" r:id="rId5"/>
    <sheet name="单人测算" sheetId="6" r:id="rId6"/>
    <sheet name="税率及规则" sheetId="7" r:id="rId7"/>
    <sheet name="政策及公告" sheetId="8" r:id="rId8"/>
  </sheets>
  <definedNames>
    <definedName name="_xlnm._FilterDatabase" localSheetId="5" hidden="1">单人测算!$A$17:$G$42</definedName>
    <definedName name="_xlnm.Print_Area" localSheetId="5">单人测算!$A$1:$G$100</definedName>
    <definedName name="_xlnm.Print_Area" localSheetId="4">分期缴税台账!$A$1:$W$501</definedName>
    <definedName name="_xlnm.Print_Area" localSheetId="2">激励事件明细!$A$1:$AM$501</definedName>
    <definedName name="_xlnm.Print_Area" localSheetId="1">计划参数!$A$1:$J$35</definedName>
    <definedName name="_xlnm.Print_Area" localSheetId="3">年度计税汇总!$A$1:$P$201</definedName>
    <definedName name="_xlnm.Print_Area" localSheetId="0">使用说明!$A$1:$H$20</definedName>
    <definedName name="_xlnm.Print_Area" localSheetId="6">税率及规则!$A$1:$E$14</definedName>
    <definedName name="_xlnm.Print_Area" localSheetId="7">政策及公告!$A$1:$F$12</definedName>
    <definedName name="_xlnm.Print_Titles" localSheetId="4">分期缴税台账!$1:$1</definedName>
    <definedName name="_xlnm.Print_Titles" localSheetId="2">激励事件明细!$1:$1</definedName>
    <definedName name="_xlnm.Print_Titles" localSheetId="1">计划参数!$1:$1</definedName>
    <definedName name="_xlnm.Print_Titles" localSheetId="3">年度计税汇总!$1:$1</definedName>
    <definedName name="_xlnm.Print_Titles" localSheetId="6">税率及规则!$1:$1</definedName>
    <definedName name="_xlnm.Print_Titles" localSheetId="7">政策及公告!$1:$1</definedName>
    <definedName name="事件编号列表">激励事件明细!$A$2:$A$501</definedName>
    <definedName name="税额批次列表">激励事件明细!$B$2:$B$501</definedName>
    <definedName name="员工编号列表">计划参数!$I$2:$I$501</definedName>
    <definedName name="员工主数据编号">计划参数!$I$2:$I$501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6" l="1"/>
  <c r="B14" i="6"/>
  <c r="F13" i="6"/>
  <c r="B13" i="6"/>
  <c r="B5" i="6"/>
  <c r="T501" i="5"/>
  <c r="U501" i="5" s="1"/>
  <c r="Q501" i="5"/>
  <c r="R501" i="5" s="1"/>
  <c r="T500" i="5"/>
  <c r="U500" i="5" s="1"/>
  <c r="Q500" i="5"/>
  <c r="R500" i="5" s="1"/>
  <c r="T499" i="5"/>
  <c r="Q499" i="5"/>
  <c r="R499" i="5" s="1"/>
  <c r="T498" i="5"/>
  <c r="A498" i="5" s="1"/>
  <c r="V498" i="5" s="1"/>
  <c r="Q498" i="5"/>
  <c r="R498" i="5" s="1"/>
  <c r="F498" i="5"/>
  <c r="N498" i="5" s="1"/>
  <c r="C498" i="5"/>
  <c r="T497" i="5"/>
  <c r="M497" i="5" s="1"/>
  <c r="Q497" i="5"/>
  <c r="R497" i="5" s="1"/>
  <c r="T496" i="5"/>
  <c r="U496" i="5" s="1"/>
  <c r="Q496" i="5"/>
  <c r="R496" i="5" s="1"/>
  <c r="T495" i="5"/>
  <c r="Q495" i="5"/>
  <c r="R495" i="5" s="1"/>
  <c r="T494" i="5"/>
  <c r="Q494" i="5"/>
  <c r="R494" i="5" s="1"/>
  <c r="T493" i="5"/>
  <c r="U493" i="5" s="1"/>
  <c r="Q493" i="5"/>
  <c r="R493" i="5" s="1"/>
  <c r="T492" i="5"/>
  <c r="Q492" i="5"/>
  <c r="R492" i="5" s="1"/>
  <c r="T491" i="5"/>
  <c r="A491" i="5" s="1"/>
  <c r="Q491" i="5"/>
  <c r="R491" i="5" s="1"/>
  <c r="T490" i="5"/>
  <c r="Q490" i="5"/>
  <c r="R490" i="5" s="1"/>
  <c r="T489" i="5"/>
  <c r="A489" i="5" s="1"/>
  <c r="Q489" i="5"/>
  <c r="R489" i="5" s="1"/>
  <c r="T488" i="5"/>
  <c r="U488" i="5" s="1"/>
  <c r="Q488" i="5"/>
  <c r="R488" i="5" s="1"/>
  <c r="T487" i="5"/>
  <c r="Q487" i="5"/>
  <c r="R487" i="5" s="1"/>
  <c r="T486" i="5"/>
  <c r="Q486" i="5"/>
  <c r="R486" i="5" s="1"/>
  <c r="T485" i="5"/>
  <c r="M485" i="5" s="1"/>
  <c r="Q485" i="5"/>
  <c r="R485" i="5" s="1"/>
  <c r="A485" i="5"/>
  <c r="W485" i="5" s="1"/>
  <c r="T484" i="5"/>
  <c r="Q484" i="5"/>
  <c r="R484" i="5" s="1"/>
  <c r="T483" i="5"/>
  <c r="M483" i="5" s="1"/>
  <c r="Q483" i="5"/>
  <c r="R483" i="5" s="1"/>
  <c r="T482" i="5"/>
  <c r="Q482" i="5"/>
  <c r="R482" i="5" s="1"/>
  <c r="M482" i="5"/>
  <c r="T481" i="5"/>
  <c r="U481" i="5" s="1"/>
  <c r="Q481" i="5"/>
  <c r="R481" i="5" s="1"/>
  <c r="T480" i="5"/>
  <c r="U480" i="5" s="1"/>
  <c r="Q480" i="5"/>
  <c r="R480" i="5" s="1"/>
  <c r="T479" i="5"/>
  <c r="U479" i="5" s="1"/>
  <c r="Q479" i="5"/>
  <c r="R479" i="5" s="1"/>
  <c r="T478" i="5"/>
  <c r="Q478" i="5"/>
  <c r="R478" i="5" s="1"/>
  <c r="T477" i="5"/>
  <c r="U477" i="5" s="1"/>
  <c r="Q477" i="5"/>
  <c r="R477" i="5" s="1"/>
  <c r="T476" i="5"/>
  <c r="Q476" i="5"/>
  <c r="R476" i="5" s="1"/>
  <c r="T475" i="5"/>
  <c r="A475" i="5" s="1"/>
  <c r="V475" i="5" s="1"/>
  <c r="Q475" i="5"/>
  <c r="R475" i="5" s="1"/>
  <c r="T474" i="5"/>
  <c r="U474" i="5" s="1"/>
  <c r="Q474" i="5"/>
  <c r="R474" i="5" s="1"/>
  <c r="T473" i="5"/>
  <c r="U473" i="5" s="1"/>
  <c r="Q473" i="5"/>
  <c r="R473" i="5" s="1"/>
  <c r="A473" i="5"/>
  <c r="F473" i="5" s="1"/>
  <c r="N473" i="5" s="1"/>
  <c r="T472" i="5"/>
  <c r="Q472" i="5"/>
  <c r="R472" i="5" s="1"/>
  <c r="T471" i="5"/>
  <c r="M471" i="5" s="1"/>
  <c r="Q471" i="5"/>
  <c r="R471" i="5" s="1"/>
  <c r="A471" i="5"/>
  <c r="H471" i="5" s="1"/>
  <c r="T470" i="5"/>
  <c r="M470" i="5" s="1"/>
  <c r="Q470" i="5"/>
  <c r="R470" i="5" s="1"/>
  <c r="A470" i="5"/>
  <c r="V470" i="5" s="1"/>
  <c r="T469" i="5"/>
  <c r="A469" i="5" s="1"/>
  <c r="O469" i="5" s="1"/>
  <c r="Q469" i="5"/>
  <c r="R469" i="5" s="1"/>
  <c r="T468" i="5"/>
  <c r="A468" i="5" s="1"/>
  <c r="P468" i="5" s="1"/>
  <c r="Q468" i="5"/>
  <c r="R468" i="5" s="1"/>
  <c r="T467" i="5"/>
  <c r="M467" i="5" s="1"/>
  <c r="Q467" i="5"/>
  <c r="R467" i="5" s="1"/>
  <c r="T466" i="5"/>
  <c r="A466" i="5" s="1"/>
  <c r="P466" i="5" s="1"/>
  <c r="Q466" i="5"/>
  <c r="R466" i="5" s="1"/>
  <c r="O466" i="5"/>
  <c r="M466" i="5"/>
  <c r="B466" i="5"/>
  <c r="T465" i="5"/>
  <c r="Q465" i="5"/>
  <c r="R465" i="5" s="1"/>
  <c r="T464" i="5"/>
  <c r="Q464" i="5"/>
  <c r="R464" i="5" s="1"/>
  <c r="T463" i="5"/>
  <c r="U463" i="5" s="1"/>
  <c r="Q463" i="5"/>
  <c r="R463" i="5" s="1"/>
  <c r="T462" i="5"/>
  <c r="Q462" i="5"/>
  <c r="R462" i="5" s="1"/>
  <c r="T461" i="5"/>
  <c r="U461" i="5" s="1"/>
  <c r="Q461" i="5"/>
  <c r="R461" i="5" s="1"/>
  <c r="T460" i="5"/>
  <c r="M460" i="5" s="1"/>
  <c r="Q460" i="5"/>
  <c r="R460" i="5" s="1"/>
  <c r="A460" i="5"/>
  <c r="B460" i="5" s="1"/>
  <c r="T459" i="5"/>
  <c r="Q459" i="5"/>
  <c r="R459" i="5" s="1"/>
  <c r="T458" i="5"/>
  <c r="A458" i="5" s="1"/>
  <c r="Q458" i="5"/>
  <c r="R458" i="5" s="1"/>
  <c r="T457" i="5"/>
  <c r="Q457" i="5"/>
  <c r="R457" i="5" s="1"/>
  <c r="T456" i="5"/>
  <c r="M456" i="5" s="1"/>
  <c r="Q456" i="5"/>
  <c r="R456" i="5" s="1"/>
  <c r="T455" i="5"/>
  <c r="Q455" i="5"/>
  <c r="R455" i="5" s="1"/>
  <c r="T454" i="5"/>
  <c r="Q454" i="5"/>
  <c r="R454" i="5" s="1"/>
  <c r="T453" i="5"/>
  <c r="U453" i="5" s="1"/>
  <c r="Q453" i="5"/>
  <c r="R453" i="5" s="1"/>
  <c r="T452" i="5"/>
  <c r="Q452" i="5"/>
  <c r="R452" i="5" s="1"/>
  <c r="T451" i="5"/>
  <c r="U451" i="5" s="1"/>
  <c r="Q451" i="5"/>
  <c r="R451" i="5" s="1"/>
  <c r="T450" i="5"/>
  <c r="U450" i="5" s="1"/>
  <c r="Q450" i="5"/>
  <c r="R450" i="5" s="1"/>
  <c r="T449" i="5"/>
  <c r="Q449" i="5"/>
  <c r="R449" i="5" s="1"/>
  <c r="T448" i="5"/>
  <c r="U448" i="5" s="1"/>
  <c r="Q448" i="5"/>
  <c r="R448" i="5" s="1"/>
  <c r="T447" i="5"/>
  <c r="U447" i="5" s="1"/>
  <c r="Q447" i="5"/>
  <c r="R447" i="5" s="1"/>
  <c r="T446" i="5"/>
  <c r="U446" i="5" s="1"/>
  <c r="Q446" i="5"/>
  <c r="R446" i="5" s="1"/>
  <c r="A446" i="5"/>
  <c r="T445" i="5"/>
  <c r="U445" i="5" s="1"/>
  <c r="Q445" i="5"/>
  <c r="R445" i="5" s="1"/>
  <c r="T444" i="5"/>
  <c r="Q444" i="5"/>
  <c r="R444" i="5" s="1"/>
  <c r="T443" i="5"/>
  <c r="Q443" i="5"/>
  <c r="R443" i="5" s="1"/>
  <c r="T442" i="5"/>
  <c r="Q442" i="5"/>
  <c r="R442" i="5" s="1"/>
  <c r="T441" i="5"/>
  <c r="U441" i="5" s="1"/>
  <c r="Q441" i="5"/>
  <c r="R441" i="5" s="1"/>
  <c r="T440" i="5"/>
  <c r="U440" i="5" s="1"/>
  <c r="Q440" i="5"/>
  <c r="R440" i="5" s="1"/>
  <c r="T439" i="5"/>
  <c r="M439" i="5" s="1"/>
  <c r="Q439" i="5"/>
  <c r="R439" i="5" s="1"/>
  <c r="A439" i="5"/>
  <c r="V439" i="5" s="1"/>
  <c r="T438" i="5"/>
  <c r="U438" i="5" s="1"/>
  <c r="Q438" i="5"/>
  <c r="R438" i="5" s="1"/>
  <c r="T437" i="5"/>
  <c r="U437" i="5" s="1"/>
  <c r="Q437" i="5"/>
  <c r="R437" i="5" s="1"/>
  <c r="T436" i="5"/>
  <c r="Q436" i="5"/>
  <c r="R436" i="5" s="1"/>
  <c r="T435" i="5"/>
  <c r="U435" i="5" s="1"/>
  <c r="Q435" i="5"/>
  <c r="R435" i="5" s="1"/>
  <c r="T434" i="5"/>
  <c r="Q434" i="5"/>
  <c r="R434" i="5" s="1"/>
  <c r="T433" i="5"/>
  <c r="Q433" i="5"/>
  <c r="R433" i="5" s="1"/>
  <c r="T432" i="5"/>
  <c r="U432" i="5" s="1"/>
  <c r="Q432" i="5"/>
  <c r="R432" i="5" s="1"/>
  <c r="A432" i="5"/>
  <c r="F432" i="5" s="1"/>
  <c r="N432" i="5" s="1"/>
  <c r="T431" i="5"/>
  <c r="M431" i="5" s="1"/>
  <c r="Q431" i="5"/>
  <c r="R431" i="5" s="1"/>
  <c r="T430" i="5"/>
  <c r="Q430" i="5"/>
  <c r="R430" i="5" s="1"/>
  <c r="T429" i="5"/>
  <c r="Q429" i="5"/>
  <c r="R429" i="5" s="1"/>
  <c r="T428" i="5"/>
  <c r="A428" i="5" s="1"/>
  <c r="P428" i="5" s="1"/>
  <c r="Q428" i="5"/>
  <c r="R428" i="5" s="1"/>
  <c r="T427" i="5"/>
  <c r="U427" i="5" s="1"/>
  <c r="Q427" i="5"/>
  <c r="R427" i="5" s="1"/>
  <c r="T426" i="5"/>
  <c r="Q426" i="5"/>
  <c r="R426" i="5" s="1"/>
  <c r="T425" i="5"/>
  <c r="A425" i="5" s="1"/>
  <c r="O425" i="5" s="1"/>
  <c r="Q425" i="5"/>
  <c r="R425" i="5" s="1"/>
  <c r="P425" i="5"/>
  <c r="T424" i="5"/>
  <c r="Q424" i="5"/>
  <c r="R424" i="5" s="1"/>
  <c r="T423" i="5"/>
  <c r="A423" i="5" s="1"/>
  <c r="Q423" i="5"/>
  <c r="R423" i="5" s="1"/>
  <c r="T422" i="5"/>
  <c r="Q422" i="5"/>
  <c r="R422" i="5" s="1"/>
  <c r="T421" i="5"/>
  <c r="U421" i="5" s="1"/>
  <c r="Q421" i="5"/>
  <c r="R421" i="5" s="1"/>
  <c r="T420" i="5"/>
  <c r="Q420" i="5"/>
  <c r="R420" i="5" s="1"/>
  <c r="T419" i="5"/>
  <c r="M419" i="5" s="1"/>
  <c r="Q419" i="5"/>
  <c r="R419" i="5" s="1"/>
  <c r="T418" i="5"/>
  <c r="Q418" i="5"/>
  <c r="R418" i="5" s="1"/>
  <c r="T417" i="5"/>
  <c r="U417" i="5" s="1"/>
  <c r="Q417" i="5"/>
  <c r="R417" i="5" s="1"/>
  <c r="T416" i="5"/>
  <c r="A416" i="5" s="1"/>
  <c r="Q416" i="5"/>
  <c r="R416" i="5" s="1"/>
  <c r="T415" i="5"/>
  <c r="M415" i="5" s="1"/>
  <c r="Q415" i="5"/>
  <c r="R415" i="5" s="1"/>
  <c r="T414" i="5"/>
  <c r="Q414" i="5"/>
  <c r="R414" i="5" s="1"/>
  <c r="T413" i="5"/>
  <c r="A413" i="5" s="1"/>
  <c r="W413" i="5" s="1"/>
  <c r="Q413" i="5"/>
  <c r="R413" i="5" s="1"/>
  <c r="W412" i="5"/>
  <c r="T412" i="5"/>
  <c r="A412" i="5" s="1"/>
  <c r="P412" i="5" s="1"/>
  <c r="Q412" i="5"/>
  <c r="R412" i="5" s="1"/>
  <c r="T411" i="5"/>
  <c r="Q411" i="5"/>
  <c r="R411" i="5" s="1"/>
  <c r="T410" i="5"/>
  <c r="Q410" i="5"/>
  <c r="R410" i="5" s="1"/>
  <c r="T409" i="5"/>
  <c r="A409" i="5" s="1"/>
  <c r="G409" i="5" s="1"/>
  <c r="Q409" i="5"/>
  <c r="R409" i="5" s="1"/>
  <c r="T408" i="5"/>
  <c r="Q408" i="5"/>
  <c r="R408" i="5" s="1"/>
  <c r="T407" i="5"/>
  <c r="A407" i="5" s="1"/>
  <c r="B407" i="5" s="1"/>
  <c r="Q407" i="5"/>
  <c r="R407" i="5" s="1"/>
  <c r="M407" i="5"/>
  <c r="T406" i="5"/>
  <c r="M406" i="5" s="1"/>
  <c r="Q406" i="5"/>
  <c r="R406" i="5" s="1"/>
  <c r="T405" i="5"/>
  <c r="U405" i="5" s="1"/>
  <c r="Q405" i="5"/>
  <c r="R405" i="5" s="1"/>
  <c r="M405" i="5"/>
  <c r="A405" i="5"/>
  <c r="P405" i="5" s="1"/>
  <c r="T404" i="5"/>
  <c r="Q404" i="5"/>
  <c r="R404" i="5" s="1"/>
  <c r="T403" i="5"/>
  <c r="Q403" i="5"/>
  <c r="R403" i="5" s="1"/>
  <c r="T402" i="5"/>
  <c r="A402" i="5" s="1"/>
  <c r="Q402" i="5"/>
  <c r="R402" i="5" s="1"/>
  <c r="T401" i="5"/>
  <c r="Q401" i="5"/>
  <c r="R401" i="5" s="1"/>
  <c r="A401" i="5"/>
  <c r="T400" i="5"/>
  <c r="U400" i="5" s="1"/>
  <c r="Q400" i="5"/>
  <c r="R400" i="5" s="1"/>
  <c r="M400" i="5"/>
  <c r="T399" i="5"/>
  <c r="M399" i="5" s="1"/>
  <c r="Q399" i="5"/>
  <c r="R399" i="5" s="1"/>
  <c r="T398" i="5"/>
  <c r="M398" i="5" s="1"/>
  <c r="Q398" i="5"/>
  <c r="R398" i="5" s="1"/>
  <c r="T397" i="5"/>
  <c r="U397" i="5" s="1"/>
  <c r="Q397" i="5"/>
  <c r="R397" i="5" s="1"/>
  <c r="T396" i="5"/>
  <c r="Q396" i="5"/>
  <c r="R396" i="5" s="1"/>
  <c r="T395" i="5"/>
  <c r="A395" i="5" s="1"/>
  <c r="H395" i="5" s="1"/>
  <c r="Q395" i="5"/>
  <c r="R395" i="5" s="1"/>
  <c r="T394" i="5"/>
  <c r="Q394" i="5"/>
  <c r="R394" i="5" s="1"/>
  <c r="T393" i="5"/>
  <c r="A393" i="5" s="1"/>
  <c r="P393" i="5" s="1"/>
  <c r="Q393" i="5"/>
  <c r="R393" i="5" s="1"/>
  <c r="T392" i="5"/>
  <c r="U392" i="5" s="1"/>
  <c r="Q392" i="5"/>
  <c r="R392" i="5" s="1"/>
  <c r="A392" i="5"/>
  <c r="T391" i="5"/>
  <c r="U391" i="5" s="1"/>
  <c r="Q391" i="5"/>
  <c r="R391" i="5" s="1"/>
  <c r="T390" i="5"/>
  <c r="Q390" i="5"/>
  <c r="R390" i="5" s="1"/>
  <c r="T389" i="5"/>
  <c r="U389" i="5" s="1"/>
  <c r="Q389" i="5"/>
  <c r="R389" i="5" s="1"/>
  <c r="T388" i="5"/>
  <c r="Q388" i="5"/>
  <c r="R388" i="5" s="1"/>
  <c r="T387" i="5"/>
  <c r="Q387" i="5"/>
  <c r="R387" i="5" s="1"/>
  <c r="U386" i="5"/>
  <c r="T386" i="5"/>
  <c r="M386" i="5" s="1"/>
  <c r="Q386" i="5"/>
  <c r="R386" i="5" s="1"/>
  <c r="T385" i="5"/>
  <c r="M385" i="5" s="1"/>
  <c r="Q385" i="5"/>
  <c r="R385" i="5" s="1"/>
  <c r="T384" i="5"/>
  <c r="R384" i="5"/>
  <c r="Q384" i="5"/>
  <c r="T383" i="5"/>
  <c r="M383" i="5" s="1"/>
  <c r="Q383" i="5"/>
  <c r="R383" i="5" s="1"/>
  <c r="A383" i="5"/>
  <c r="F383" i="5" s="1"/>
  <c r="N383" i="5" s="1"/>
  <c r="T382" i="5"/>
  <c r="U382" i="5" s="1"/>
  <c r="R382" i="5"/>
  <c r="Q382" i="5"/>
  <c r="T381" i="5"/>
  <c r="Q381" i="5"/>
  <c r="R381" i="5" s="1"/>
  <c r="T380" i="5"/>
  <c r="M380" i="5" s="1"/>
  <c r="Q380" i="5"/>
  <c r="R380" i="5" s="1"/>
  <c r="T379" i="5"/>
  <c r="A379" i="5" s="1"/>
  <c r="B379" i="5" s="1"/>
  <c r="Q379" i="5"/>
  <c r="R379" i="5" s="1"/>
  <c r="T378" i="5"/>
  <c r="U378" i="5" s="1"/>
  <c r="R378" i="5"/>
  <c r="Q378" i="5"/>
  <c r="T377" i="5"/>
  <c r="Q377" i="5"/>
  <c r="R377" i="5" s="1"/>
  <c r="T376" i="5"/>
  <c r="Q376" i="5"/>
  <c r="R376" i="5" s="1"/>
  <c r="T375" i="5"/>
  <c r="M375" i="5" s="1"/>
  <c r="Q375" i="5"/>
  <c r="R375" i="5" s="1"/>
  <c r="T374" i="5"/>
  <c r="Q374" i="5"/>
  <c r="R374" i="5" s="1"/>
  <c r="T373" i="5"/>
  <c r="A373" i="5" s="1"/>
  <c r="H373" i="5" s="1"/>
  <c r="Q373" i="5"/>
  <c r="R373" i="5" s="1"/>
  <c r="T372" i="5"/>
  <c r="U372" i="5" s="1"/>
  <c r="Q372" i="5"/>
  <c r="R372" i="5" s="1"/>
  <c r="T371" i="5"/>
  <c r="Q371" i="5"/>
  <c r="R371" i="5" s="1"/>
  <c r="T370" i="5"/>
  <c r="Q370" i="5"/>
  <c r="R370" i="5" s="1"/>
  <c r="T369" i="5"/>
  <c r="Q369" i="5"/>
  <c r="R369" i="5" s="1"/>
  <c r="T368" i="5"/>
  <c r="A368" i="5" s="1"/>
  <c r="G368" i="5" s="1"/>
  <c r="Q368" i="5"/>
  <c r="R368" i="5" s="1"/>
  <c r="T367" i="5"/>
  <c r="U367" i="5" s="1"/>
  <c r="Q367" i="5"/>
  <c r="R367" i="5" s="1"/>
  <c r="T366" i="5"/>
  <c r="M366" i="5" s="1"/>
  <c r="Q366" i="5"/>
  <c r="R366" i="5" s="1"/>
  <c r="T365" i="5"/>
  <c r="U365" i="5" s="1"/>
  <c r="Q365" i="5"/>
  <c r="R365" i="5" s="1"/>
  <c r="T364" i="5"/>
  <c r="Q364" i="5"/>
  <c r="R364" i="5" s="1"/>
  <c r="T363" i="5"/>
  <c r="Q363" i="5"/>
  <c r="R363" i="5" s="1"/>
  <c r="T362" i="5"/>
  <c r="M362" i="5" s="1"/>
  <c r="Q362" i="5"/>
  <c r="R362" i="5" s="1"/>
  <c r="T361" i="5"/>
  <c r="U361" i="5" s="1"/>
  <c r="Q361" i="5"/>
  <c r="R361" i="5" s="1"/>
  <c r="T360" i="5"/>
  <c r="Q360" i="5"/>
  <c r="R360" i="5" s="1"/>
  <c r="U359" i="5"/>
  <c r="T359" i="5"/>
  <c r="Q359" i="5"/>
  <c r="R359" i="5" s="1"/>
  <c r="T358" i="5"/>
  <c r="Q358" i="5"/>
  <c r="R358" i="5" s="1"/>
  <c r="M358" i="5"/>
  <c r="T357" i="5"/>
  <c r="M357" i="5" s="1"/>
  <c r="Q357" i="5"/>
  <c r="R357" i="5" s="1"/>
  <c r="T356" i="5"/>
  <c r="Q356" i="5"/>
  <c r="R356" i="5" s="1"/>
  <c r="T355" i="5"/>
  <c r="U355" i="5" s="1"/>
  <c r="Q355" i="5"/>
  <c r="R355" i="5" s="1"/>
  <c r="T354" i="5"/>
  <c r="Q354" i="5"/>
  <c r="R354" i="5" s="1"/>
  <c r="T353" i="5"/>
  <c r="Q353" i="5"/>
  <c r="R353" i="5" s="1"/>
  <c r="T352" i="5"/>
  <c r="Q352" i="5"/>
  <c r="R352" i="5" s="1"/>
  <c r="T351" i="5"/>
  <c r="Q351" i="5"/>
  <c r="R351" i="5" s="1"/>
  <c r="T350" i="5"/>
  <c r="M350" i="5" s="1"/>
  <c r="Q350" i="5"/>
  <c r="R350" i="5" s="1"/>
  <c r="T349" i="5"/>
  <c r="A349" i="5" s="1"/>
  <c r="O349" i="5" s="1"/>
  <c r="Q349" i="5"/>
  <c r="R349" i="5" s="1"/>
  <c r="P349" i="5"/>
  <c r="T348" i="5"/>
  <c r="M348" i="5" s="1"/>
  <c r="Q348" i="5"/>
  <c r="R348" i="5" s="1"/>
  <c r="A348" i="5"/>
  <c r="T347" i="5"/>
  <c r="A347" i="5" s="1"/>
  <c r="Q347" i="5"/>
  <c r="R347" i="5" s="1"/>
  <c r="T346" i="5"/>
  <c r="A346" i="5" s="1"/>
  <c r="P346" i="5" s="1"/>
  <c r="Q346" i="5"/>
  <c r="R346" i="5" s="1"/>
  <c r="H346" i="5"/>
  <c r="T345" i="5"/>
  <c r="Q345" i="5"/>
  <c r="R345" i="5" s="1"/>
  <c r="T344" i="5"/>
  <c r="M344" i="5" s="1"/>
  <c r="Q344" i="5"/>
  <c r="R344" i="5" s="1"/>
  <c r="A344" i="5"/>
  <c r="T343" i="5"/>
  <c r="M343" i="5" s="1"/>
  <c r="Q343" i="5"/>
  <c r="R343" i="5" s="1"/>
  <c r="T342" i="5"/>
  <c r="M342" i="5" s="1"/>
  <c r="Q342" i="5"/>
  <c r="R342" i="5" s="1"/>
  <c r="T341" i="5"/>
  <c r="M341" i="5" s="1"/>
  <c r="Q341" i="5"/>
  <c r="R341" i="5" s="1"/>
  <c r="T340" i="5"/>
  <c r="M340" i="5" s="1"/>
  <c r="Q340" i="5"/>
  <c r="R340" i="5" s="1"/>
  <c r="T339" i="5"/>
  <c r="A339" i="5" s="1"/>
  <c r="P339" i="5" s="1"/>
  <c r="Q339" i="5"/>
  <c r="R339" i="5" s="1"/>
  <c r="M339" i="5"/>
  <c r="T338" i="5"/>
  <c r="M338" i="5" s="1"/>
  <c r="Q338" i="5"/>
  <c r="R338" i="5" s="1"/>
  <c r="T337" i="5"/>
  <c r="Q337" i="5"/>
  <c r="R337" i="5" s="1"/>
  <c r="T336" i="5"/>
  <c r="Q336" i="5"/>
  <c r="R336" i="5" s="1"/>
  <c r="T335" i="5"/>
  <c r="U335" i="5" s="1"/>
  <c r="Q335" i="5"/>
  <c r="R335" i="5" s="1"/>
  <c r="T334" i="5"/>
  <c r="Q334" i="5"/>
  <c r="R334" i="5" s="1"/>
  <c r="T333" i="5"/>
  <c r="U333" i="5" s="1"/>
  <c r="Q333" i="5"/>
  <c r="R333" i="5" s="1"/>
  <c r="T332" i="5"/>
  <c r="Q332" i="5"/>
  <c r="R332" i="5" s="1"/>
  <c r="T331" i="5"/>
  <c r="U331" i="5" s="1"/>
  <c r="Q331" i="5"/>
  <c r="R331" i="5" s="1"/>
  <c r="T330" i="5"/>
  <c r="Q330" i="5"/>
  <c r="R330" i="5" s="1"/>
  <c r="T329" i="5"/>
  <c r="U329" i="5" s="1"/>
  <c r="Q329" i="5"/>
  <c r="R329" i="5" s="1"/>
  <c r="T328" i="5"/>
  <c r="Q328" i="5"/>
  <c r="R328" i="5" s="1"/>
  <c r="T327" i="5"/>
  <c r="A327" i="5" s="1"/>
  <c r="Q327" i="5"/>
  <c r="R327" i="5" s="1"/>
  <c r="T326" i="5"/>
  <c r="Q326" i="5"/>
  <c r="R326" i="5" s="1"/>
  <c r="T325" i="5"/>
  <c r="U325" i="5" s="1"/>
  <c r="Q325" i="5"/>
  <c r="R325" i="5" s="1"/>
  <c r="T324" i="5"/>
  <c r="Q324" i="5"/>
  <c r="R324" i="5" s="1"/>
  <c r="T323" i="5"/>
  <c r="U323" i="5" s="1"/>
  <c r="Q323" i="5"/>
  <c r="R323" i="5" s="1"/>
  <c r="T322" i="5"/>
  <c r="A322" i="5" s="1"/>
  <c r="Q322" i="5"/>
  <c r="R322" i="5" s="1"/>
  <c r="T321" i="5"/>
  <c r="Q321" i="5"/>
  <c r="R321" i="5" s="1"/>
  <c r="T320" i="5"/>
  <c r="Q320" i="5"/>
  <c r="R320" i="5" s="1"/>
  <c r="T319" i="5"/>
  <c r="Q319" i="5"/>
  <c r="R319" i="5" s="1"/>
  <c r="T318" i="5"/>
  <c r="Q318" i="5"/>
  <c r="R318" i="5" s="1"/>
  <c r="T317" i="5"/>
  <c r="U317" i="5" s="1"/>
  <c r="Q317" i="5"/>
  <c r="R317" i="5" s="1"/>
  <c r="T316" i="5"/>
  <c r="U316" i="5" s="1"/>
  <c r="R316" i="5"/>
  <c r="Q316" i="5"/>
  <c r="T315" i="5"/>
  <c r="Q315" i="5"/>
  <c r="R315" i="5" s="1"/>
  <c r="T314" i="5"/>
  <c r="Q314" i="5"/>
  <c r="R314" i="5" s="1"/>
  <c r="T313" i="5"/>
  <c r="Q313" i="5"/>
  <c r="R313" i="5" s="1"/>
  <c r="T312" i="5"/>
  <c r="Q312" i="5"/>
  <c r="R312" i="5" s="1"/>
  <c r="T311" i="5"/>
  <c r="M311" i="5" s="1"/>
  <c r="Q311" i="5"/>
  <c r="R311" i="5" s="1"/>
  <c r="A311" i="5"/>
  <c r="O311" i="5" s="1"/>
  <c r="T310" i="5"/>
  <c r="Q310" i="5"/>
  <c r="R310" i="5" s="1"/>
  <c r="T309" i="5"/>
  <c r="Q309" i="5"/>
  <c r="R309" i="5" s="1"/>
  <c r="T308" i="5"/>
  <c r="R308" i="5"/>
  <c r="Q308" i="5"/>
  <c r="T307" i="5"/>
  <c r="Q307" i="5"/>
  <c r="R307" i="5" s="1"/>
  <c r="T306" i="5"/>
  <c r="A306" i="5" s="1"/>
  <c r="Q306" i="5"/>
  <c r="R306" i="5" s="1"/>
  <c r="T305" i="5"/>
  <c r="M305" i="5" s="1"/>
  <c r="Q305" i="5"/>
  <c r="R305" i="5" s="1"/>
  <c r="T304" i="5"/>
  <c r="Q304" i="5"/>
  <c r="R304" i="5" s="1"/>
  <c r="T303" i="5"/>
  <c r="A303" i="5" s="1"/>
  <c r="Q303" i="5"/>
  <c r="R303" i="5" s="1"/>
  <c r="T302" i="5"/>
  <c r="M302" i="5" s="1"/>
  <c r="Q302" i="5"/>
  <c r="R302" i="5" s="1"/>
  <c r="T301" i="5"/>
  <c r="M301" i="5" s="1"/>
  <c r="Q301" i="5"/>
  <c r="R301" i="5" s="1"/>
  <c r="T300" i="5"/>
  <c r="Q300" i="5"/>
  <c r="R300" i="5" s="1"/>
  <c r="T299" i="5"/>
  <c r="Q299" i="5"/>
  <c r="R299" i="5" s="1"/>
  <c r="T298" i="5"/>
  <c r="Q298" i="5"/>
  <c r="R298" i="5" s="1"/>
  <c r="T297" i="5"/>
  <c r="Q297" i="5"/>
  <c r="R297" i="5" s="1"/>
  <c r="T296" i="5"/>
  <c r="A296" i="5" s="1"/>
  <c r="Q296" i="5"/>
  <c r="R296" i="5" s="1"/>
  <c r="T295" i="5"/>
  <c r="M295" i="5" s="1"/>
  <c r="Q295" i="5"/>
  <c r="R295" i="5" s="1"/>
  <c r="A295" i="5"/>
  <c r="T294" i="5"/>
  <c r="Q294" i="5"/>
  <c r="R294" i="5" s="1"/>
  <c r="T293" i="5"/>
  <c r="Q293" i="5"/>
  <c r="R293" i="5" s="1"/>
  <c r="T292" i="5"/>
  <c r="M292" i="5" s="1"/>
  <c r="Q292" i="5"/>
  <c r="R292" i="5" s="1"/>
  <c r="T291" i="5"/>
  <c r="Q291" i="5"/>
  <c r="R291" i="5" s="1"/>
  <c r="T290" i="5"/>
  <c r="Q290" i="5"/>
  <c r="R290" i="5" s="1"/>
  <c r="U289" i="5"/>
  <c r="T289" i="5"/>
  <c r="M289" i="5" s="1"/>
  <c r="Q289" i="5"/>
  <c r="R289" i="5" s="1"/>
  <c r="T288" i="5"/>
  <c r="M288" i="5" s="1"/>
  <c r="Q288" i="5"/>
  <c r="R288" i="5" s="1"/>
  <c r="T287" i="5"/>
  <c r="U287" i="5" s="1"/>
  <c r="Q287" i="5"/>
  <c r="R287" i="5" s="1"/>
  <c r="T286" i="5"/>
  <c r="A286" i="5" s="1"/>
  <c r="Q286" i="5"/>
  <c r="R286" i="5" s="1"/>
  <c r="U285" i="5"/>
  <c r="T285" i="5"/>
  <c r="M285" i="5" s="1"/>
  <c r="Q285" i="5"/>
  <c r="R285" i="5" s="1"/>
  <c r="T284" i="5"/>
  <c r="A284" i="5" s="1"/>
  <c r="Q284" i="5"/>
  <c r="R284" i="5" s="1"/>
  <c r="T283" i="5"/>
  <c r="M283" i="5" s="1"/>
  <c r="Q283" i="5"/>
  <c r="R283" i="5" s="1"/>
  <c r="T282" i="5"/>
  <c r="Q282" i="5"/>
  <c r="R282" i="5" s="1"/>
  <c r="T281" i="5"/>
  <c r="Q281" i="5"/>
  <c r="R281" i="5" s="1"/>
  <c r="T280" i="5"/>
  <c r="U280" i="5" s="1"/>
  <c r="Q280" i="5"/>
  <c r="R280" i="5" s="1"/>
  <c r="T279" i="5"/>
  <c r="M279" i="5" s="1"/>
  <c r="Q279" i="5"/>
  <c r="R279" i="5" s="1"/>
  <c r="T278" i="5"/>
  <c r="Q278" i="5"/>
  <c r="R278" i="5" s="1"/>
  <c r="T277" i="5"/>
  <c r="Q277" i="5"/>
  <c r="R277" i="5" s="1"/>
  <c r="T276" i="5"/>
  <c r="M276" i="5" s="1"/>
  <c r="Q276" i="5"/>
  <c r="R276" i="5" s="1"/>
  <c r="T275" i="5"/>
  <c r="Q275" i="5"/>
  <c r="R275" i="5" s="1"/>
  <c r="U274" i="5"/>
  <c r="T274" i="5"/>
  <c r="Q274" i="5"/>
  <c r="R274" i="5" s="1"/>
  <c r="T273" i="5"/>
  <c r="U273" i="5" s="1"/>
  <c r="Q273" i="5"/>
  <c r="R273" i="5" s="1"/>
  <c r="T272" i="5"/>
  <c r="U272" i="5" s="1"/>
  <c r="Q272" i="5"/>
  <c r="R272" i="5" s="1"/>
  <c r="T271" i="5"/>
  <c r="U271" i="5" s="1"/>
  <c r="Q271" i="5"/>
  <c r="R271" i="5" s="1"/>
  <c r="T270" i="5"/>
  <c r="U270" i="5" s="1"/>
  <c r="Q270" i="5"/>
  <c r="R270" i="5" s="1"/>
  <c r="T269" i="5"/>
  <c r="Q269" i="5"/>
  <c r="R269" i="5" s="1"/>
  <c r="T268" i="5"/>
  <c r="Q268" i="5"/>
  <c r="R268" i="5" s="1"/>
  <c r="T267" i="5"/>
  <c r="Q267" i="5"/>
  <c r="R267" i="5" s="1"/>
  <c r="T266" i="5"/>
  <c r="M266" i="5" s="1"/>
  <c r="Q266" i="5"/>
  <c r="R266" i="5" s="1"/>
  <c r="A266" i="5"/>
  <c r="F266" i="5" s="1"/>
  <c r="N266" i="5" s="1"/>
  <c r="T265" i="5"/>
  <c r="Q265" i="5"/>
  <c r="R265" i="5" s="1"/>
  <c r="T264" i="5"/>
  <c r="M264" i="5" s="1"/>
  <c r="Q264" i="5"/>
  <c r="R264" i="5" s="1"/>
  <c r="T263" i="5"/>
  <c r="M263" i="5" s="1"/>
  <c r="Q263" i="5"/>
  <c r="R263" i="5" s="1"/>
  <c r="T262" i="5"/>
  <c r="U262" i="5" s="1"/>
  <c r="Q262" i="5"/>
  <c r="R262" i="5" s="1"/>
  <c r="T261" i="5"/>
  <c r="A261" i="5" s="1"/>
  <c r="G261" i="5" s="1"/>
  <c r="Q261" i="5"/>
  <c r="R261" i="5" s="1"/>
  <c r="T260" i="5"/>
  <c r="U260" i="5" s="1"/>
  <c r="Q260" i="5"/>
  <c r="R260" i="5" s="1"/>
  <c r="T259" i="5"/>
  <c r="M259" i="5" s="1"/>
  <c r="Q259" i="5"/>
  <c r="R259" i="5" s="1"/>
  <c r="T258" i="5"/>
  <c r="M258" i="5" s="1"/>
  <c r="Q258" i="5"/>
  <c r="R258" i="5" s="1"/>
  <c r="T257" i="5"/>
  <c r="U257" i="5" s="1"/>
  <c r="Q257" i="5"/>
  <c r="R257" i="5" s="1"/>
  <c r="T256" i="5"/>
  <c r="Q256" i="5"/>
  <c r="R256" i="5" s="1"/>
  <c r="T255" i="5"/>
  <c r="Q255" i="5"/>
  <c r="R255" i="5" s="1"/>
  <c r="T254" i="5"/>
  <c r="M254" i="5" s="1"/>
  <c r="Q254" i="5"/>
  <c r="R254" i="5" s="1"/>
  <c r="T253" i="5"/>
  <c r="M253" i="5" s="1"/>
  <c r="R253" i="5"/>
  <c r="Q253" i="5"/>
  <c r="T252" i="5"/>
  <c r="Q252" i="5"/>
  <c r="R252" i="5" s="1"/>
  <c r="T251" i="5"/>
  <c r="M251" i="5" s="1"/>
  <c r="Q251" i="5"/>
  <c r="R251" i="5" s="1"/>
  <c r="T250" i="5"/>
  <c r="M250" i="5" s="1"/>
  <c r="Q250" i="5"/>
  <c r="R250" i="5" s="1"/>
  <c r="T249" i="5"/>
  <c r="Q249" i="5"/>
  <c r="R249" i="5" s="1"/>
  <c r="T248" i="5"/>
  <c r="U248" i="5" s="1"/>
  <c r="R248" i="5"/>
  <c r="Q248" i="5"/>
  <c r="T247" i="5"/>
  <c r="Q247" i="5"/>
  <c r="R247" i="5" s="1"/>
  <c r="T246" i="5"/>
  <c r="Q246" i="5"/>
  <c r="R246" i="5" s="1"/>
  <c r="T245" i="5"/>
  <c r="M245" i="5" s="1"/>
  <c r="Q245" i="5"/>
  <c r="R245" i="5" s="1"/>
  <c r="T244" i="5"/>
  <c r="Q244" i="5"/>
  <c r="R244" i="5" s="1"/>
  <c r="T243" i="5"/>
  <c r="Q243" i="5"/>
  <c r="R243" i="5" s="1"/>
  <c r="T242" i="5"/>
  <c r="Q242" i="5"/>
  <c r="R242" i="5" s="1"/>
  <c r="T241" i="5"/>
  <c r="Q241" i="5"/>
  <c r="R241" i="5" s="1"/>
  <c r="T240" i="5"/>
  <c r="U240" i="5" s="1"/>
  <c r="Q240" i="5"/>
  <c r="R240" i="5" s="1"/>
  <c r="T239" i="5"/>
  <c r="U239" i="5" s="1"/>
  <c r="Q239" i="5"/>
  <c r="R239" i="5" s="1"/>
  <c r="T238" i="5"/>
  <c r="R238" i="5"/>
  <c r="Q238" i="5"/>
  <c r="T237" i="5"/>
  <c r="M237" i="5" s="1"/>
  <c r="Q237" i="5"/>
  <c r="R237" i="5" s="1"/>
  <c r="T236" i="5"/>
  <c r="A236" i="5" s="1"/>
  <c r="Q236" i="5"/>
  <c r="R236" i="5" s="1"/>
  <c r="T235" i="5"/>
  <c r="M235" i="5" s="1"/>
  <c r="Q235" i="5"/>
  <c r="R235" i="5" s="1"/>
  <c r="T234" i="5"/>
  <c r="Q234" i="5"/>
  <c r="R234" i="5" s="1"/>
  <c r="T233" i="5"/>
  <c r="M233" i="5" s="1"/>
  <c r="Q233" i="5"/>
  <c r="R233" i="5" s="1"/>
  <c r="A233" i="5"/>
  <c r="T232" i="5"/>
  <c r="Q232" i="5"/>
  <c r="R232" i="5" s="1"/>
  <c r="T231" i="5"/>
  <c r="Q231" i="5"/>
  <c r="R231" i="5" s="1"/>
  <c r="T230" i="5"/>
  <c r="Q230" i="5"/>
  <c r="R230" i="5" s="1"/>
  <c r="T229" i="5"/>
  <c r="Q229" i="5"/>
  <c r="R229" i="5" s="1"/>
  <c r="T228" i="5"/>
  <c r="A228" i="5" s="1"/>
  <c r="O228" i="5" s="1"/>
  <c r="Q228" i="5"/>
  <c r="R228" i="5" s="1"/>
  <c r="T227" i="5"/>
  <c r="Q227" i="5"/>
  <c r="R227" i="5" s="1"/>
  <c r="T226" i="5"/>
  <c r="M226" i="5" s="1"/>
  <c r="Q226" i="5"/>
  <c r="R226" i="5" s="1"/>
  <c r="A226" i="5"/>
  <c r="T225" i="5"/>
  <c r="M225" i="5" s="1"/>
  <c r="Q225" i="5"/>
  <c r="R225" i="5" s="1"/>
  <c r="A225" i="5"/>
  <c r="T224" i="5"/>
  <c r="Q224" i="5"/>
  <c r="R224" i="5" s="1"/>
  <c r="T223" i="5"/>
  <c r="U223" i="5" s="1"/>
  <c r="Q223" i="5"/>
  <c r="R223" i="5" s="1"/>
  <c r="T222" i="5"/>
  <c r="Q222" i="5"/>
  <c r="R222" i="5" s="1"/>
  <c r="T221" i="5"/>
  <c r="Q221" i="5"/>
  <c r="R221" i="5" s="1"/>
  <c r="T220" i="5"/>
  <c r="Q220" i="5"/>
  <c r="R220" i="5" s="1"/>
  <c r="T219" i="5"/>
  <c r="M219" i="5" s="1"/>
  <c r="Q219" i="5"/>
  <c r="R219" i="5" s="1"/>
  <c r="A219" i="5"/>
  <c r="G219" i="5" s="1"/>
  <c r="U218" i="5"/>
  <c r="T218" i="5"/>
  <c r="Q218" i="5"/>
  <c r="R218" i="5" s="1"/>
  <c r="T217" i="5"/>
  <c r="Q217" i="5"/>
  <c r="R217" i="5" s="1"/>
  <c r="T216" i="5"/>
  <c r="M216" i="5" s="1"/>
  <c r="Q216" i="5"/>
  <c r="R216" i="5" s="1"/>
  <c r="T215" i="5"/>
  <c r="Q215" i="5"/>
  <c r="R215" i="5" s="1"/>
  <c r="T214" i="5"/>
  <c r="M214" i="5" s="1"/>
  <c r="Q214" i="5"/>
  <c r="R214" i="5" s="1"/>
  <c r="T213" i="5"/>
  <c r="Q213" i="5"/>
  <c r="R213" i="5" s="1"/>
  <c r="T212" i="5"/>
  <c r="Q212" i="5"/>
  <c r="R212" i="5" s="1"/>
  <c r="T211" i="5"/>
  <c r="Q211" i="5"/>
  <c r="R211" i="5" s="1"/>
  <c r="A211" i="5"/>
  <c r="C211" i="5" s="1"/>
  <c r="T210" i="5"/>
  <c r="Q210" i="5"/>
  <c r="R210" i="5" s="1"/>
  <c r="T209" i="5"/>
  <c r="Q209" i="5"/>
  <c r="R209" i="5" s="1"/>
  <c r="T208" i="5"/>
  <c r="Q208" i="5"/>
  <c r="R208" i="5" s="1"/>
  <c r="T207" i="5"/>
  <c r="Q207" i="5"/>
  <c r="R207" i="5" s="1"/>
  <c r="T206" i="5"/>
  <c r="Q206" i="5"/>
  <c r="R206" i="5" s="1"/>
  <c r="T205" i="5"/>
  <c r="Q205" i="5"/>
  <c r="R205" i="5" s="1"/>
  <c r="T204" i="5"/>
  <c r="A204" i="5" s="1"/>
  <c r="Q204" i="5"/>
  <c r="R204" i="5" s="1"/>
  <c r="T203" i="5"/>
  <c r="M203" i="5" s="1"/>
  <c r="Q203" i="5"/>
  <c r="R203" i="5" s="1"/>
  <c r="T202" i="5"/>
  <c r="Q202" i="5"/>
  <c r="R202" i="5" s="1"/>
  <c r="T201" i="5"/>
  <c r="U201" i="5" s="1"/>
  <c r="Q201" i="5"/>
  <c r="R201" i="5" s="1"/>
  <c r="T200" i="5"/>
  <c r="Q200" i="5"/>
  <c r="R200" i="5" s="1"/>
  <c r="T199" i="5"/>
  <c r="U199" i="5" s="1"/>
  <c r="Q199" i="5"/>
  <c r="R199" i="5" s="1"/>
  <c r="T198" i="5"/>
  <c r="Q198" i="5"/>
  <c r="R198" i="5" s="1"/>
  <c r="T197" i="5"/>
  <c r="M197" i="5" s="1"/>
  <c r="Q197" i="5"/>
  <c r="R197" i="5" s="1"/>
  <c r="T196" i="5"/>
  <c r="U196" i="5" s="1"/>
  <c r="Q196" i="5"/>
  <c r="R196" i="5" s="1"/>
  <c r="T195" i="5"/>
  <c r="Q195" i="5"/>
  <c r="R195" i="5" s="1"/>
  <c r="T194" i="5"/>
  <c r="Q194" i="5"/>
  <c r="R194" i="5" s="1"/>
  <c r="T193" i="5"/>
  <c r="Q193" i="5"/>
  <c r="R193" i="5" s="1"/>
  <c r="T192" i="5"/>
  <c r="Q192" i="5"/>
  <c r="R192" i="5" s="1"/>
  <c r="T191" i="5"/>
  <c r="Q191" i="5"/>
  <c r="R191" i="5" s="1"/>
  <c r="T190" i="5"/>
  <c r="A190" i="5" s="1"/>
  <c r="Q190" i="5"/>
  <c r="R190" i="5" s="1"/>
  <c r="T189" i="5"/>
  <c r="Q189" i="5"/>
  <c r="R189" i="5" s="1"/>
  <c r="T188" i="5"/>
  <c r="Q188" i="5"/>
  <c r="R188" i="5" s="1"/>
  <c r="T187" i="5"/>
  <c r="Q187" i="5"/>
  <c r="R187" i="5" s="1"/>
  <c r="T186" i="5"/>
  <c r="M186" i="5" s="1"/>
  <c r="Q186" i="5"/>
  <c r="R186" i="5" s="1"/>
  <c r="T185" i="5"/>
  <c r="Q185" i="5"/>
  <c r="R185" i="5" s="1"/>
  <c r="T184" i="5"/>
  <c r="A184" i="5" s="1"/>
  <c r="B184" i="5" s="1"/>
  <c r="Q184" i="5"/>
  <c r="R184" i="5" s="1"/>
  <c r="T183" i="5"/>
  <c r="Q183" i="5"/>
  <c r="R183" i="5" s="1"/>
  <c r="T182" i="5"/>
  <c r="Q182" i="5"/>
  <c r="R182" i="5" s="1"/>
  <c r="T181" i="5"/>
  <c r="Q181" i="5"/>
  <c r="R181" i="5" s="1"/>
  <c r="T180" i="5"/>
  <c r="M180" i="5" s="1"/>
  <c r="Q180" i="5"/>
  <c r="R180" i="5" s="1"/>
  <c r="T179" i="5"/>
  <c r="M179" i="5" s="1"/>
  <c r="Q179" i="5"/>
  <c r="R179" i="5" s="1"/>
  <c r="T178" i="5"/>
  <c r="Q178" i="5"/>
  <c r="R178" i="5" s="1"/>
  <c r="T177" i="5"/>
  <c r="U177" i="5" s="1"/>
  <c r="Q177" i="5"/>
  <c r="R177" i="5" s="1"/>
  <c r="T176" i="5"/>
  <c r="U176" i="5" s="1"/>
  <c r="Q176" i="5"/>
  <c r="R176" i="5" s="1"/>
  <c r="T175" i="5"/>
  <c r="Q175" i="5"/>
  <c r="R175" i="5" s="1"/>
  <c r="T174" i="5"/>
  <c r="Q174" i="5"/>
  <c r="R174" i="5" s="1"/>
  <c r="T173" i="5"/>
  <c r="M173" i="5" s="1"/>
  <c r="Q173" i="5"/>
  <c r="R173" i="5" s="1"/>
  <c r="T172" i="5"/>
  <c r="A172" i="5" s="1"/>
  <c r="Q172" i="5"/>
  <c r="R172" i="5" s="1"/>
  <c r="T171" i="5"/>
  <c r="M171" i="5" s="1"/>
  <c r="Q171" i="5"/>
  <c r="R171" i="5" s="1"/>
  <c r="T170" i="5"/>
  <c r="U170" i="5" s="1"/>
  <c r="Q170" i="5"/>
  <c r="R170" i="5" s="1"/>
  <c r="T169" i="5"/>
  <c r="A169" i="5" s="1"/>
  <c r="Q169" i="5"/>
  <c r="R169" i="5" s="1"/>
  <c r="T168" i="5"/>
  <c r="A168" i="5" s="1"/>
  <c r="Q168" i="5"/>
  <c r="R168" i="5" s="1"/>
  <c r="T167" i="5"/>
  <c r="M167" i="5" s="1"/>
  <c r="Q167" i="5"/>
  <c r="R167" i="5" s="1"/>
  <c r="T166" i="5"/>
  <c r="Q166" i="5"/>
  <c r="R166" i="5" s="1"/>
  <c r="T165" i="5"/>
  <c r="M165" i="5" s="1"/>
  <c r="Q165" i="5"/>
  <c r="R165" i="5" s="1"/>
  <c r="T164" i="5"/>
  <c r="U164" i="5" s="1"/>
  <c r="Q164" i="5"/>
  <c r="R164" i="5" s="1"/>
  <c r="T163" i="5"/>
  <c r="M163" i="5" s="1"/>
  <c r="Q163" i="5"/>
  <c r="R163" i="5" s="1"/>
  <c r="T162" i="5"/>
  <c r="A162" i="5" s="1"/>
  <c r="Q162" i="5"/>
  <c r="R162" i="5" s="1"/>
  <c r="M162" i="5"/>
  <c r="H162" i="5"/>
  <c r="C162" i="5"/>
  <c r="T161" i="5"/>
  <c r="U161" i="5" s="1"/>
  <c r="Q161" i="5"/>
  <c r="R161" i="5" s="1"/>
  <c r="T160" i="5"/>
  <c r="A160" i="5" s="1"/>
  <c r="Q160" i="5"/>
  <c r="R160" i="5" s="1"/>
  <c r="T159" i="5"/>
  <c r="M159" i="5" s="1"/>
  <c r="Q159" i="5"/>
  <c r="R159" i="5" s="1"/>
  <c r="T158" i="5"/>
  <c r="M158" i="5" s="1"/>
  <c r="Q158" i="5"/>
  <c r="R158" i="5" s="1"/>
  <c r="T157" i="5"/>
  <c r="A157" i="5" s="1"/>
  <c r="Q157" i="5"/>
  <c r="R157" i="5" s="1"/>
  <c r="M157" i="5"/>
  <c r="T156" i="5"/>
  <c r="Q156" i="5"/>
  <c r="R156" i="5" s="1"/>
  <c r="T155" i="5"/>
  <c r="Q155" i="5"/>
  <c r="R155" i="5" s="1"/>
  <c r="T154" i="5"/>
  <c r="M154" i="5" s="1"/>
  <c r="Q154" i="5"/>
  <c r="R154" i="5" s="1"/>
  <c r="T153" i="5"/>
  <c r="Q153" i="5"/>
  <c r="R153" i="5" s="1"/>
  <c r="T152" i="5"/>
  <c r="Q152" i="5"/>
  <c r="R152" i="5" s="1"/>
  <c r="T151" i="5"/>
  <c r="Q151" i="5"/>
  <c r="R151" i="5" s="1"/>
  <c r="T150" i="5"/>
  <c r="A150" i="5" s="1"/>
  <c r="Q150" i="5"/>
  <c r="R150" i="5" s="1"/>
  <c r="T149" i="5"/>
  <c r="M149" i="5" s="1"/>
  <c r="Q149" i="5"/>
  <c r="R149" i="5" s="1"/>
  <c r="A149" i="5"/>
  <c r="T148" i="5"/>
  <c r="U148" i="5" s="1"/>
  <c r="Q148" i="5"/>
  <c r="R148" i="5" s="1"/>
  <c r="T147" i="5"/>
  <c r="M147" i="5" s="1"/>
  <c r="Q147" i="5"/>
  <c r="R147" i="5" s="1"/>
  <c r="A147" i="5"/>
  <c r="P147" i="5" s="1"/>
  <c r="T146" i="5"/>
  <c r="M146" i="5" s="1"/>
  <c r="Q146" i="5"/>
  <c r="R146" i="5" s="1"/>
  <c r="T145" i="5"/>
  <c r="M145" i="5" s="1"/>
  <c r="Q145" i="5"/>
  <c r="R145" i="5" s="1"/>
  <c r="T144" i="5"/>
  <c r="Q144" i="5"/>
  <c r="R144" i="5" s="1"/>
  <c r="T143" i="5"/>
  <c r="Q143" i="5"/>
  <c r="R143" i="5" s="1"/>
  <c r="T142" i="5"/>
  <c r="U142" i="5" s="1"/>
  <c r="Q142" i="5"/>
  <c r="R142" i="5" s="1"/>
  <c r="M142" i="5"/>
  <c r="A142" i="5"/>
  <c r="F142" i="5" s="1"/>
  <c r="N142" i="5" s="1"/>
  <c r="T141" i="5"/>
  <c r="U141" i="5" s="1"/>
  <c r="Q141" i="5"/>
  <c r="R141" i="5" s="1"/>
  <c r="T140" i="5"/>
  <c r="A140" i="5" s="1"/>
  <c r="H140" i="5" s="1"/>
  <c r="Q140" i="5"/>
  <c r="R140" i="5" s="1"/>
  <c r="T139" i="5"/>
  <c r="U139" i="5" s="1"/>
  <c r="Q139" i="5"/>
  <c r="R139" i="5" s="1"/>
  <c r="T138" i="5"/>
  <c r="U138" i="5" s="1"/>
  <c r="Q138" i="5"/>
  <c r="R138" i="5" s="1"/>
  <c r="T137" i="5"/>
  <c r="A137" i="5" s="1"/>
  <c r="P137" i="5" s="1"/>
  <c r="Q137" i="5"/>
  <c r="R137" i="5" s="1"/>
  <c r="M137" i="5"/>
  <c r="F137" i="5"/>
  <c r="N137" i="5" s="1"/>
  <c r="T136" i="5"/>
  <c r="Q136" i="5"/>
  <c r="R136" i="5" s="1"/>
  <c r="T135" i="5"/>
  <c r="A135" i="5" s="1"/>
  <c r="P135" i="5" s="1"/>
  <c r="Q135" i="5"/>
  <c r="R135" i="5" s="1"/>
  <c r="T134" i="5"/>
  <c r="A134" i="5" s="1"/>
  <c r="Q134" i="5"/>
  <c r="R134" i="5" s="1"/>
  <c r="T133" i="5"/>
  <c r="U133" i="5" s="1"/>
  <c r="Q133" i="5"/>
  <c r="R133" i="5" s="1"/>
  <c r="T132" i="5"/>
  <c r="A132" i="5" s="1"/>
  <c r="R132" i="5"/>
  <c r="Q132" i="5"/>
  <c r="T131" i="5"/>
  <c r="Q131" i="5"/>
  <c r="R131" i="5" s="1"/>
  <c r="T130" i="5"/>
  <c r="Q130" i="5"/>
  <c r="R130" i="5" s="1"/>
  <c r="T129" i="5"/>
  <c r="Q129" i="5"/>
  <c r="R129" i="5" s="1"/>
  <c r="T128" i="5"/>
  <c r="Q128" i="5"/>
  <c r="R128" i="5" s="1"/>
  <c r="T127" i="5"/>
  <c r="Q127" i="5"/>
  <c r="R127" i="5" s="1"/>
  <c r="T126" i="5"/>
  <c r="Q126" i="5"/>
  <c r="R126" i="5" s="1"/>
  <c r="T125" i="5"/>
  <c r="U125" i="5" s="1"/>
  <c r="Q125" i="5"/>
  <c r="R125" i="5" s="1"/>
  <c r="T124" i="5"/>
  <c r="A124" i="5" s="1"/>
  <c r="Q124" i="5"/>
  <c r="R124" i="5" s="1"/>
  <c r="T123" i="5"/>
  <c r="M123" i="5" s="1"/>
  <c r="Q123" i="5"/>
  <c r="R123" i="5" s="1"/>
  <c r="T122" i="5"/>
  <c r="A122" i="5" s="1"/>
  <c r="Q122" i="5"/>
  <c r="R122" i="5" s="1"/>
  <c r="T121" i="5"/>
  <c r="U121" i="5" s="1"/>
  <c r="Q121" i="5"/>
  <c r="R121" i="5" s="1"/>
  <c r="T120" i="5"/>
  <c r="M120" i="5" s="1"/>
  <c r="Q120" i="5"/>
  <c r="R120" i="5" s="1"/>
  <c r="T119" i="5"/>
  <c r="U119" i="5" s="1"/>
  <c r="Q119" i="5"/>
  <c r="R119" i="5" s="1"/>
  <c r="T118" i="5"/>
  <c r="Q118" i="5"/>
  <c r="R118" i="5" s="1"/>
  <c r="T117" i="5"/>
  <c r="M117" i="5" s="1"/>
  <c r="Q117" i="5"/>
  <c r="R117" i="5" s="1"/>
  <c r="T116" i="5"/>
  <c r="Q116" i="5"/>
  <c r="R116" i="5" s="1"/>
  <c r="T115" i="5"/>
  <c r="Q115" i="5"/>
  <c r="R115" i="5" s="1"/>
  <c r="T114" i="5"/>
  <c r="A114" i="5" s="1"/>
  <c r="B114" i="5" s="1"/>
  <c r="Q114" i="5"/>
  <c r="R114" i="5" s="1"/>
  <c r="M114" i="5"/>
  <c r="T113" i="5"/>
  <c r="Q113" i="5"/>
  <c r="R113" i="5" s="1"/>
  <c r="T112" i="5"/>
  <c r="A112" i="5" s="1"/>
  <c r="H112" i="5" s="1"/>
  <c r="Q112" i="5"/>
  <c r="R112" i="5" s="1"/>
  <c r="M112" i="5"/>
  <c r="T111" i="5"/>
  <c r="Q111" i="5"/>
  <c r="R111" i="5" s="1"/>
  <c r="T110" i="5"/>
  <c r="Q110" i="5"/>
  <c r="R110" i="5" s="1"/>
  <c r="T109" i="5"/>
  <c r="Q109" i="5"/>
  <c r="R109" i="5" s="1"/>
  <c r="T108" i="5"/>
  <c r="M108" i="5" s="1"/>
  <c r="Q108" i="5"/>
  <c r="R108" i="5" s="1"/>
  <c r="U107" i="5"/>
  <c r="T107" i="5"/>
  <c r="Q107" i="5"/>
  <c r="R107" i="5" s="1"/>
  <c r="U106" i="5"/>
  <c r="T106" i="5"/>
  <c r="A106" i="5" s="1"/>
  <c r="H106" i="5" s="1"/>
  <c r="Q106" i="5"/>
  <c r="R106" i="5" s="1"/>
  <c r="T105" i="5"/>
  <c r="U105" i="5" s="1"/>
  <c r="Q105" i="5"/>
  <c r="R105" i="5" s="1"/>
  <c r="T104" i="5"/>
  <c r="Q104" i="5"/>
  <c r="R104" i="5" s="1"/>
  <c r="T103" i="5"/>
  <c r="A103" i="5" s="1"/>
  <c r="F103" i="5" s="1"/>
  <c r="N103" i="5" s="1"/>
  <c r="Q103" i="5"/>
  <c r="R103" i="5" s="1"/>
  <c r="M103" i="5"/>
  <c r="T102" i="5"/>
  <c r="Q102" i="5"/>
  <c r="R102" i="5" s="1"/>
  <c r="T101" i="5"/>
  <c r="A101" i="5" s="1"/>
  <c r="B101" i="5" s="1"/>
  <c r="Q101" i="5"/>
  <c r="R101" i="5" s="1"/>
  <c r="T100" i="5"/>
  <c r="M100" i="5" s="1"/>
  <c r="Q100" i="5"/>
  <c r="R100" i="5" s="1"/>
  <c r="T99" i="5"/>
  <c r="Q99" i="5"/>
  <c r="R99" i="5" s="1"/>
  <c r="T98" i="5"/>
  <c r="Q98" i="5"/>
  <c r="R98" i="5" s="1"/>
  <c r="T97" i="5"/>
  <c r="U97" i="5" s="1"/>
  <c r="Q97" i="5"/>
  <c r="R97" i="5" s="1"/>
  <c r="T96" i="5"/>
  <c r="A96" i="5" s="1"/>
  <c r="P96" i="5" s="1"/>
  <c r="Q96" i="5"/>
  <c r="R96" i="5" s="1"/>
  <c r="M96" i="5"/>
  <c r="T95" i="5"/>
  <c r="U95" i="5" s="1"/>
  <c r="Q95" i="5"/>
  <c r="R95" i="5" s="1"/>
  <c r="T94" i="5"/>
  <c r="Q94" i="5"/>
  <c r="R94" i="5" s="1"/>
  <c r="T93" i="5"/>
  <c r="A93" i="5" s="1"/>
  <c r="G93" i="5" s="1"/>
  <c r="Q93" i="5"/>
  <c r="R93" i="5" s="1"/>
  <c r="T92" i="5"/>
  <c r="A92" i="5" s="1"/>
  <c r="Q92" i="5"/>
  <c r="R92" i="5" s="1"/>
  <c r="T91" i="5"/>
  <c r="M91" i="5" s="1"/>
  <c r="Q91" i="5"/>
  <c r="R91" i="5" s="1"/>
  <c r="T90" i="5"/>
  <c r="M90" i="5" s="1"/>
  <c r="Q90" i="5"/>
  <c r="R90" i="5" s="1"/>
  <c r="T89" i="5"/>
  <c r="A89" i="5" s="1"/>
  <c r="Q89" i="5"/>
  <c r="R89" i="5" s="1"/>
  <c r="U88" i="5"/>
  <c r="T88" i="5"/>
  <c r="Q88" i="5"/>
  <c r="R88" i="5" s="1"/>
  <c r="T87" i="5"/>
  <c r="U87" i="5" s="1"/>
  <c r="Q87" i="5"/>
  <c r="R87" i="5" s="1"/>
  <c r="T86" i="5"/>
  <c r="Q86" i="5"/>
  <c r="R86" i="5" s="1"/>
  <c r="T85" i="5"/>
  <c r="Q85" i="5"/>
  <c r="R85" i="5" s="1"/>
  <c r="A85" i="5"/>
  <c r="B85" i="5" s="1"/>
  <c r="T84" i="5"/>
  <c r="M84" i="5" s="1"/>
  <c r="Q84" i="5"/>
  <c r="R84" i="5" s="1"/>
  <c r="T83" i="5"/>
  <c r="U83" i="5" s="1"/>
  <c r="Q83" i="5"/>
  <c r="R83" i="5" s="1"/>
  <c r="T82" i="5"/>
  <c r="M82" i="5" s="1"/>
  <c r="Q82" i="5"/>
  <c r="R82" i="5" s="1"/>
  <c r="T81" i="5"/>
  <c r="A81" i="5" s="1"/>
  <c r="Q81" i="5"/>
  <c r="R81" i="5" s="1"/>
  <c r="T80" i="5"/>
  <c r="A80" i="5" s="1"/>
  <c r="P80" i="5" s="1"/>
  <c r="Q80" i="5"/>
  <c r="R80" i="5" s="1"/>
  <c r="T79" i="5"/>
  <c r="U79" i="5" s="1"/>
  <c r="Q79" i="5"/>
  <c r="R79" i="5" s="1"/>
  <c r="T78" i="5"/>
  <c r="U78" i="5" s="1"/>
  <c r="Q78" i="5"/>
  <c r="R78" i="5" s="1"/>
  <c r="M78" i="5"/>
  <c r="A78" i="5"/>
  <c r="T77" i="5"/>
  <c r="M77" i="5" s="1"/>
  <c r="Q77" i="5"/>
  <c r="R77" i="5" s="1"/>
  <c r="T76" i="5"/>
  <c r="U76" i="5" s="1"/>
  <c r="Q76" i="5"/>
  <c r="R76" i="5" s="1"/>
  <c r="T75" i="5"/>
  <c r="Q75" i="5"/>
  <c r="R75" i="5" s="1"/>
  <c r="V74" i="5"/>
  <c r="T74" i="5"/>
  <c r="A74" i="5" s="1"/>
  <c r="H74" i="5" s="1"/>
  <c r="Q74" i="5"/>
  <c r="R74" i="5" s="1"/>
  <c r="P74" i="5"/>
  <c r="T73" i="5"/>
  <c r="U73" i="5" s="1"/>
  <c r="Q73" i="5"/>
  <c r="R73" i="5" s="1"/>
  <c r="T72" i="5"/>
  <c r="Q72" i="5"/>
  <c r="R72" i="5" s="1"/>
  <c r="T71" i="5"/>
  <c r="M71" i="5" s="1"/>
  <c r="Q71" i="5"/>
  <c r="R71" i="5" s="1"/>
  <c r="T70" i="5"/>
  <c r="U70" i="5" s="1"/>
  <c r="Q70" i="5"/>
  <c r="R70" i="5" s="1"/>
  <c r="T69" i="5"/>
  <c r="A69" i="5" s="1"/>
  <c r="Q69" i="5"/>
  <c r="R69" i="5" s="1"/>
  <c r="T68" i="5"/>
  <c r="M68" i="5" s="1"/>
  <c r="Q68" i="5"/>
  <c r="R68" i="5" s="1"/>
  <c r="T67" i="5"/>
  <c r="Q67" i="5"/>
  <c r="R67" i="5" s="1"/>
  <c r="T66" i="5"/>
  <c r="U66" i="5" s="1"/>
  <c r="Q66" i="5"/>
  <c r="R66" i="5" s="1"/>
  <c r="M66" i="5"/>
  <c r="A66" i="5"/>
  <c r="T65" i="5"/>
  <c r="Q65" i="5"/>
  <c r="R65" i="5" s="1"/>
  <c r="T64" i="5"/>
  <c r="Q64" i="5"/>
  <c r="R64" i="5" s="1"/>
  <c r="M64" i="5"/>
  <c r="T63" i="5"/>
  <c r="A63" i="5" s="1"/>
  <c r="P63" i="5" s="1"/>
  <c r="Q63" i="5"/>
  <c r="R63" i="5" s="1"/>
  <c r="T62" i="5"/>
  <c r="Q62" i="5"/>
  <c r="R62" i="5" s="1"/>
  <c r="T61" i="5"/>
  <c r="A61" i="5" s="1"/>
  <c r="Q61" i="5"/>
  <c r="R61" i="5" s="1"/>
  <c r="T60" i="5"/>
  <c r="M60" i="5" s="1"/>
  <c r="Q60" i="5"/>
  <c r="R60" i="5" s="1"/>
  <c r="T59" i="5"/>
  <c r="Q59" i="5"/>
  <c r="R59" i="5" s="1"/>
  <c r="T58" i="5"/>
  <c r="Q58" i="5"/>
  <c r="R58" i="5" s="1"/>
  <c r="T57" i="5"/>
  <c r="A57" i="5" s="1"/>
  <c r="F57" i="5" s="1"/>
  <c r="N57" i="5" s="1"/>
  <c r="Q57" i="5"/>
  <c r="R57" i="5" s="1"/>
  <c r="M57" i="5"/>
  <c r="T56" i="5"/>
  <c r="Q56" i="5"/>
  <c r="R56" i="5" s="1"/>
  <c r="T55" i="5"/>
  <c r="U55" i="5" s="1"/>
  <c r="Q55" i="5"/>
  <c r="R55" i="5" s="1"/>
  <c r="T54" i="5"/>
  <c r="M54" i="5" s="1"/>
  <c r="Q54" i="5"/>
  <c r="R54" i="5" s="1"/>
  <c r="T53" i="5"/>
  <c r="Q53" i="5"/>
  <c r="R53" i="5" s="1"/>
  <c r="T52" i="5"/>
  <c r="Q52" i="5"/>
  <c r="R52" i="5" s="1"/>
  <c r="T51" i="5"/>
  <c r="M51" i="5" s="1"/>
  <c r="Q51" i="5"/>
  <c r="R51" i="5" s="1"/>
  <c r="A51" i="5"/>
  <c r="T50" i="5"/>
  <c r="Q50" i="5"/>
  <c r="R50" i="5" s="1"/>
  <c r="T49" i="5"/>
  <c r="Q49" i="5"/>
  <c r="R49" i="5" s="1"/>
  <c r="T48" i="5"/>
  <c r="U48" i="5" s="1"/>
  <c r="Q48" i="5"/>
  <c r="R48" i="5" s="1"/>
  <c r="T47" i="5"/>
  <c r="U47" i="5" s="1"/>
  <c r="Q47" i="5"/>
  <c r="R47" i="5" s="1"/>
  <c r="T46" i="5"/>
  <c r="Q46" i="5"/>
  <c r="R46" i="5" s="1"/>
  <c r="M46" i="5"/>
  <c r="T45" i="5"/>
  <c r="U45" i="5" s="1"/>
  <c r="Q45" i="5"/>
  <c r="R45" i="5" s="1"/>
  <c r="T44" i="5"/>
  <c r="U44" i="5" s="1"/>
  <c r="Q44" i="5"/>
  <c r="R44" i="5" s="1"/>
  <c r="T43" i="5"/>
  <c r="Q43" i="5"/>
  <c r="R43" i="5" s="1"/>
  <c r="T42" i="5"/>
  <c r="M42" i="5" s="1"/>
  <c r="Q42" i="5"/>
  <c r="R42" i="5" s="1"/>
  <c r="T41" i="5"/>
  <c r="U41" i="5" s="1"/>
  <c r="Q41" i="5"/>
  <c r="R41" i="5" s="1"/>
  <c r="T40" i="5"/>
  <c r="Q40" i="5"/>
  <c r="R40" i="5" s="1"/>
  <c r="T39" i="5"/>
  <c r="Q39" i="5"/>
  <c r="R39" i="5" s="1"/>
  <c r="T38" i="5"/>
  <c r="Q38" i="5"/>
  <c r="R38" i="5" s="1"/>
  <c r="T37" i="5"/>
  <c r="A37" i="5" s="1"/>
  <c r="G37" i="5" s="1"/>
  <c r="Q37" i="5"/>
  <c r="R37" i="5" s="1"/>
  <c r="T36" i="5"/>
  <c r="U36" i="5" s="1"/>
  <c r="R36" i="5"/>
  <c r="Q36" i="5"/>
  <c r="T35" i="5"/>
  <c r="A35" i="5" s="1"/>
  <c r="F35" i="5" s="1"/>
  <c r="N35" i="5" s="1"/>
  <c r="Q35" i="5"/>
  <c r="R35" i="5" s="1"/>
  <c r="T34" i="5"/>
  <c r="A34" i="5" s="1"/>
  <c r="P34" i="5" s="1"/>
  <c r="Q34" i="5"/>
  <c r="R34" i="5" s="1"/>
  <c r="T33" i="5"/>
  <c r="M33" i="5" s="1"/>
  <c r="Q33" i="5"/>
  <c r="R33" i="5" s="1"/>
  <c r="T32" i="5"/>
  <c r="A32" i="5" s="1"/>
  <c r="P32" i="5" s="1"/>
  <c r="Q32" i="5"/>
  <c r="R32" i="5" s="1"/>
  <c r="T31" i="5"/>
  <c r="U31" i="5" s="1"/>
  <c r="Q31" i="5"/>
  <c r="R31" i="5" s="1"/>
  <c r="T30" i="5"/>
  <c r="Q30" i="5"/>
  <c r="R30" i="5" s="1"/>
  <c r="U29" i="5"/>
  <c r="T29" i="5"/>
  <c r="Q29" i="5"/>
  <c r="R29" i="5" s="1"/>
  <c r="T28" i="5"/>
  <c r="M28" i="5" s="1"/>
  <c r="Q28" i="5"/>
  <c r="R28" i="5" s="1"/>
  <c r="T27" i="5"/>
  <c r="U27" i="5" s="1"/>
  <c r="Q27" i="5"/>
  <c r="R27" i="5" s="1"/>
  <c r="T26" i="5"/>
  <c r="Q26" i="5"/>
  <c r="R26" i="5" s="1"/>
  <c r="A26" i="5"/>
  <c r="T25" i="5"/>
  <c r="U25" i="5" s="1"/>
  <c r="Q25" i="5"/>
  <c r="R25" i="5" s="1"/>
  <c r="M25" i="5"/>
  <c r="T24" i="5"/>
  <c r="Q24" i="5"/>
  <c r="R24" i="5" s="1"/>
  <c r="T23" i="5"/>
  <c r="A23" i="5" s="1"/>
  <c r="F23" i="5" s="1"/>
  <c r="N23" i="5" s="1"/>
  <c r="Q23" i="5"/>
  <c r="R23" i="5" s="1"/>
  <c r="T22" i="5"/>
  <c r="M22" i="5" s="1"/>
  <c r="Q22" i="5"/>
  <c r="R22" i="5" s="1"/>
  <c r="T21" i="5"/>
  <c r="U21" i="5" s="1"/>
  <c r="Q21" i="5"/>
  <c r="R21" i="5" s="1"/>
  <c r="M21" i="5"/>
  <c r="A21" i="5"/>
  <c r="T20" i="5"/>
  <c r="Q20" i="5"/>
  <c r="R20" i="5" s="1"/>
  <c r="T19" i="5"/>
  <c r="M19" i="5" s="1"/>
  <c r="Q19" i="5"/>
  <c r="R19" i="5" s="1"/>
  <c r="T18" i="5"/>
  <c r="Q18" i="5"/>
  <c r="R18" i="5" s="1"/>
  <c r="T17" i="5"/>
  <c r="M17" i="5" s="1"/>
  <c r="Q17" i="5"/>
  <c r="R17" i="5" s="1"/>
  <c r="T16" i="5"/>
  <c r="A16" i="5" s="1"/>
  <c r="Q16" i="5"/>
  <c r="R16" i="5" s="1"/>
  <c r="P16" i="5"/>
  <c r="M16" i="5"/>
  <c r="H16" i="5"/>
  <c r="G16" i="5"/>
  <c r="F16" i="5"/>
  <c r="N16" i="5" s="1"/>
  <c r="C16" i="5"/>
  <c r="B16" i="5"/>
  <c r="T15" i="5"/>
  <c r="U15" i="5" s="1"/>
  <c r="Q15" i="5"/>
  <c r="R15" i="5" s="1"/>
  <c r="M15" i="5"/>
  <c r="T14" i="5"/>
  <c r="Q14" i="5"/>
  <c r="R14" i="5" s="1"/>
  <c r="T13" i="5"/>
  <c r="U13" i="5" s="1"/>
  <c r="Q13" i="5"/>
  <c r="R13" i="5" s="1"/>
  <c r="T12" i="5"/>
  <c r="U12" i="5" s="1"/>
  <c r="Q12" i="5"/>
  <c r="R12" i="5" s="1"/>
  <c r="T11" i="5"/>
  <c r="Q11" i="5"/>
  <c r="R11" i="5" s="1"/>
  <c r="T10" i="5"/>
  <c r="M10" i="5" s="1"/>
  <c r="Q10" i="5"/>
  <c r="R10" i="5" s="1"/>
  <c r="T9" i="5"/>
  <c r="U9" i="5" s="1"/>
  <c r="Q9" i="5"/>
  <c r="R9" i="5" s="1"/>
  <c r="T8" i="5"/>
  <c r="A8" i="5" s="1"/>
  <c r="Q8" i="5"/>
  <c r="R8" i="5" s="1"/>
  <c r="F8" i="5"/>
  <c r="N8" i="5" s="1"/>
  <c r="C8" i="5"/>
  <c r="T7" i="5"/>
  <c r="Q7" i="5"/>
  <c r="R7" i="5" s="1"/>
  <c r="T6" i="5"/>
  <c r="Q6" i="5"/>
  <c r="R6" i="5" s="1"/>
  <c r="T5" i="5"/>
  <c r="M5" i="5" s="1"/>
  <c r="Q5" i="5"/>
  <c r="R5" i="5" s="1"/>
  <c r="A5" i="5"/>
  <c r="T4" i="5"/>
  <c r="Q4" i="5"/>
  <c r="R4" i="5" s="1"/>
  <c r="T3" i="5"/>
  <c r="U3" i="5" s="1"/>
  <c r="R3" i="5"/>
  <c r="Q3" i="5"/>
  <c r="T2" i="5"/>
  <c r="Q2" i="5"/>
  <c r="R2" i="5" s="1"/>
  <c r="P201" i="4"/>
  <c r="N201" i="4"/>
  <c r="O201" i="4" s="1"/>
  <c r="M201" i="4"/>
  <c r="K201" i="4"/>
  <c r="G201" i="4"/>
  <c r="F201" i="4"/>
  <c r="E201" i="4"/>
  <c r="D201" i="4"/>
  <c r="B201" i="4"/>
  <c r="P200" i="4"/>
  <c r="N200" i="4"/>
  <c r="O200" i="4" s="1"/>
  <c r="M200" i="4"/>
  <c r="K200" i="4"/>
  <c r="G200" i="4"/>
  <c r="F200" i="4"/>
  <c r="E200" i="4"/>
  <c r="D200" i="4"/>
  <c r="B200" i="4"/>
  <c r="P199" i="4"/>
  <c r="N199" i="4"/>
  <c r="O199" i="4" s="1"/>
  <c r="M199" i="4"/>
  <c r="K199" i="4"/>
  <c r="G199" i="4"/>
  <c r="F199" i="4"/>
  <c r="E199" i="4"/>
  <c r="D199" i="4"/>
  <c r="B199" i="4"/>
  <c r="P198" i="4"/>
  <c r="N198" i="4"/>
  <c r="O198" i="4" s="1"/>
  <c r="M198" i="4"/>
  <c r="K198" i="4"/>
  <c r="G198" i="4"/>
  <c r="J198" i="4" s="1"/>
  <c r="L198" i="4" s="1"/>
  <c r="F198" i="4"/>
  <c r="E198" i="4"/>
  <c r="D198" i="4"/>
  <c r="B198" i="4"/>
  <c r="P197" i="4"/>
  <c r="N197" i="4"/>
  <c r="O197" i="4" s="1"/>
  <c r="M197" i="4"/>
  <c r="K197" i="4"/>
  <c r="G197" i="4"/>
  <c r="H197" i="4" s="1"/>
  <c r="F197" i="4"/>
  <c r="E197" i="4"/>
  <c r="D197" i="4"/>
  <c r="B197" i="4"/>
  <c r="P196" i="4"/>
  <c r="N196" i="4"/>
  <c r="O196" i="4" s="1"/>
  <c r="M196" i="4"/>
  <c r="K196" i="4"/>
  <c r="G196" i="4"/>
  <c r="J196" i="4" s="1"/>
  <c r="L196" i="4" s="1"/>
  <c r="F196" i="4"/>
  <c r="E196" i="4"/>
  <c r="D196" i="4"/>
  <c r="B196" i="4"/>
  <c r="P195" i="4"/>
  <c r="N195" i="4"/>
  <c r="O195" i="4" s="1"/>
  <c r="M195" i="4"/>
  <c r="K195" i="4"/>
  <c r="G195" i="4"/>
  <c r="J195" i="4" s="1"/>
  <c r="L195" i="4" s="1"/>
  <c r="F195" i="4"/>
  <c r="E195" i="4"/>
  <c r="D195" i="4"/>
  <c r="B195" i="4"/>
  <c r="P194" i="4"/>
  <c r="N194" i="4"/>
  <c r="O194" i="4" s="1"/>
  <c r="M194" i="4"/>
  <c r="K194" i="4"/>
  <c r="G194" i="4"/>
  <c r="J194" i="4" s="1"/>
  <c r="L194" i="4" s="1"/>
  <c r="F194" i="4"/>
  <c r="E194" i="4"/>
  <c r="D194" i="4"/>
  <c r="B194" i="4"/>
  <c r="P193" i="4"/>
  <c r="N193" i="4"/>
  <c r="O193" i="4" s="1"/>
  <c r="M193" i="4"/>
  <c r="K193" i="4"/>
  <c r="G193" i="4"/>
  <c r="F193" i="4"/>
  <c r="E193" i="4"/>
  <c r="D193" i="4"/>
  <c r="B193" i="4"/>
  <c r="P192" i="4"/>
  <c r="N192" i="4"/>
  <c r="O192" i="4" s="1"/>
  <c r="M192" i="4"/>
  <c r="K192" i="4"/>
  <c r="G192" i="4"/>
  <c r="F192" i="4"/>
  <c r="E192" i="4"/>
  <c r="D192" i="4"/>
  <c r="B192" i="4"/>
  <c r="P191" i="4"/>
  <c r="N191" i="4"/>
  <c r="O191" i="4" s="1"/>
  <c r="M191" i="4"/>
  <c r="K191" i="4"/>
  <c r="G191" i="4"/>
  <c r="F191" i="4"/>
  <c r="E191" i="4"/>
  <c r="D191" i="4"/>
  <c r="B191" i="4"/>
  <c r="P190" i="4"/>
  <c r="N190" i="4"/>
  <c r="O190" i="4" s="1"/>
  <c r="M190" i="4"/>
  <c r="K190" i="4"/>
  <c r="G190" i="4"/>
  <c r="J190" i="4" s="1"/>
  <c r="L190" i="4" s="1"/>
  <c r="F190" i="4"/>
  <c r="E190" i="4"/>
  <c r="D190" i="4"/>
  <c r="B190" i="4"/>
  <c r="P189" i="4"/>
  <c r="N189" i="4"/>
  <c r="O189" i="4" s="1"/>
  <c r="M189" i="4"/>
  <c r="K189" i="4"/>
  <c r="G189" i="4"/>
  <c r="J189" i="4" s="1"/>
  <c r="L189" i="4" s="1"/>
  <c r="F189" i="4"/>
  <c r="E189" i="4"/>
  <c r="D189" i="4"/>
  <c r="B189" i="4"/>
  <c r="P188" i="4"/>
  <c r="N188" i="4"/>
  <c r="O188" i="4" s="1"/>
  <c r="M188" i="4"/>
  <c r="K188" i="4"/>
  <c r="G188" i="4"/>
  <c r="F188" i="4"/>
  <c r="E188" i="4"/>
  <c r="D188" i="4"/>
  <c r="B188" i="4"/>
  <c r="P187" i="4"/>
  <c r="N187" i="4"/>
  <c r="O187" i="4" s="1"/>
  <c r="M187" i="4"/>
  <c r="K187" i="4"/>
  <c r="G187" i="4"/>
  <c r="J187" i="4" s="1"/>
  <c r="L187" i="4" s="1"/>
  <c r="F187" i="4"/>
  <c r="E187" i="4"/>
  <c r="D187" i="4"/>
  <c r="B187" i="4"/>
  <c r="P186" i="4"/>
  <c r="N186" i="4"/>
  <c r="O186" i="4" s="1"/>
  <c r="M186" i="4"/>
  <c r="L186" i="4"/>
  <c r="K186" i="4"/>
  <c r="G186" i="4"/>
  <c r="J186" i="4" s="1"/>
  <c r="F186" i="4"/>
  <c r="E186" i="4"/>
  <c r="D186" i="4"/>
  <c r="B186" i="4"/>
  <c r="P185" i="4"/>
  <c r="N185" i="4"/>
  <c r="O185" i="4" s="1"/>
  <c r="M185" i="4"/>
  <c r="K185" i="4"/>
  <c r="G185" i="4"/>
  <c r="F185" i="4"/>
  <c r="E185" i="4"/>
  <c r="D185" i="4"/>
  <c r="B185" i="4"/>
  <c r="P184" i="4"/>
  <c r="N184" i="4"/>
  <c r="O184" i="4" s="1"/>
  <c r="M184" i="4"/>
  <c r="K184" i="4"/>
  <c r="G184" i="4"/>
  <c r="H184" i="4" s="1"/>
  <c r="F184" i="4"/>
  <c r="E184" i="4"/>
  <c r="D184" i="4"/>
  <c r="B184" i="4"/>
  <c r="P183" i="4"/>
  <c r="N183" i="4"/>
  <c r="O183" i="4" s="1"/>
  <c r="M183" i="4"/>
  <c r="K183" i="4"/>
  <c r="G183" i="4"/>
  <c r="I183" i="4" s="1"/>
  <c r="F183" i="4"/>
  <c r="E183" i="4"/>
  <c r="D183" i="4"/>
  <c r="B183" i="4"/>
  <c r="P182" i="4"/>
  <c r="N182" i="4"/>
  <c r="O182" i="4" s="1"/>
  <c r="M182" i="4"/>
  <c r="K182" i="4"/>
  <c r="G182" i="4"/>
  <c r="J182" i="4" s="1"/>
  <c r="L182" i="4" s="1"/>
  <c r="F182" i="4"/>
  <c r="E182" i="4"/>
  <c r="D182" i="4"/>
  <c r="B182" i="4"/>
  <c r="P181" i="4"/>
  <c r="N181" i="4"/>
  <c r="O181" i="4" s="1"/>
  <c r="M181" i="4"/>
  <c r="K181" i="4"/>
  <c r="G181" i="4"/>
  <c r="F181" i="4"/>
  <c r="E181" i="4"/>
  <c r="D181" i="4"/>
  <c r="B181" i="4"/>
  <c r="P180" i="4"/>
  <c r="N180" i="4"/>
  <c r="O180" i="4" s="1"/>
  <c r="M180" i="4"/>
  <c r="K180" i="4"/>
  <c r="G180" i="4"/>
  <c r="F180" i="4"/>
  <c r="E180" i="4"/>
  <c r="D180" i="4"/>
  <c r="B180" i="4"/>
  <c r="P179" i="4"/>
  <c r="N179" i="4"/>
  <c r="O179" i="4" s="1"/>
  <c r="M179" i="4"/>
  <c r="K179" i="4"/>
  <c r="G179" i="4"/>
  <c r="F179" i="4"/>
  <c r="E179" i="4"/>
  <c r="D179" i="4"/>
  <c r="B179" i="4"/>
  <c r="P178" i="4"/>
  <c r="N178" i="4"/>
  <c r="O178" i="4" s="1"/>
  <c r="M178" i="4"/>
  <c r="K178" i="4"/>
  <c r="G178" i="4"/>
  <c r="F178" i="4"/>
  <c r="E178" i="4"/>
  <c r="D178" i="4"/>
  <c r="B178" i="4"/>
  <c r="P177" i="4"/>
  <c r="N177" i="4"/>
  <c r="O177" i="4" s="1"/>
  <c r="M177" i="4"/>
  <c r="K177" i="4"/>
  <c r="G177" i="4"/>
  <c r="F177" i="4"/>
  <c r="E177" i="4"/>
  <c r="D177" i="4"/>
  <c r="B177" i="4"/>
  <c r="P176" i="4"/>
  <c r="N176" i="4"/>
  <c r="O176" i="4" s="1"/>
  <c r="M176" i="4"/>
  <c r="K176" i="4"/>
  <c r="G176" i="4"/>
  <c r="H176" i="4" s="1"/>
  <c r="F176" i="4"/>
  <c r="E176" i="4"/>
  <c r="D176" i="4"/>
  <c r="B176" i="4"/>
  <c r="P175" i="4"/>
  <c r="N175" i="4"/>
  <c r="O175" i="4" s="1"/>
  <c r="M175" i="4"/>
  <c r="K175" i="4"/>
  <c r="G175" i="4"/>
  <c r="J175" i="4" s="1"/>
  <c r="L175" i="4" s="1"/>
  <c r="F175" i="4"/>
  <c r="E175" i="4"/>
  <c r="D175" i="4"/>
  <c r="B175" i="4"/>
  <c r="P174" i="4"/>
  <c r="N174" i="4"/>
  <c r="O174" i="4" s="1"/>
  <c r="M174" i="4"/>
  <c r="L174" i="4"/>
  <c r="K174" i="4"/>
  <c r="G174" i="4"/>
  <c r="J174" i="4" s="1"/>
  <c r="F174" i="4"/>
  <c r="E174" i="4"/>
  <c r="D174" i="4"/>
  <c r="B174" i="4"/>
  <c r="P173" i="4"/>
  <c r="N173" i="4"/>
  <c r="O173" i="4" s="1"/>
  <c r="M173" i="4"/>
  <c r="K173" i="4"/>
  <c r="G173" i="4"/>
  <c r="F173" i="4"/>
  <c r="E173" i="4"/>
  <c r="D173" i="4"/>
  <c r="B173" i="4"/>
  <c r="P172" i="4"/>
  <c r="N172" i="4"/>
  <c r="O172" i="4" s="1"/>
  <c r="M172" i="4"/>
  <c r="K172" i="4"/>
  <c r="G172" i="4"/>
  <c r="J172" i="4" s="1"/>
  <c r="L172" i="4" s="1"/>
  <c r="F172" i="4"/>
  <c r="E172" i="4"/>
  <c r="D172" i="4"/>
  <c r="B172" i="4"/>
  <c r="P171" i="4"/>
  <c r="N171" i="4"/>
  <c r="O171" i="4" s="1"/>
  <c r="M171" i="4"/>
  <c r="K171" i="4"/>
  <c r="G171" i="4"/>
  <c r="H171" i="4" s="1"/>
  <c r="F171" i="4"/>
  <c r="E171" i="4"/>
  <c r="D171" i="4"/>
  <c r="B171" i="4"/>
  <c r="P170" i="4"/>
  <c r="N170" i="4"/>
  <c r="O170" i="4" s="1"/>
  <c r="M170" i="4"/>
  <c r="L170" i="4"/>
  <c r="K170" i="4"/>
  <c r="I170" i="4"/>
  <c r="H170" i="4"/>
  <c r="G170" i="4"/>
  <c r="J170" i="4" s="1"/>
  <c r="F170" i="4"/>
  <c r="E170" i="4"/>
  <c r="D170" i="4"/>
  <c r="B170" i="4"/>
  <c r="P169" i="4"/>
  <c r="N169" i="4"/>
  <c r="O169" i="4" s="1"/>
  <c r="M169" i="4"/>
  <c r="K169" i="4"/>
  <c r="G169" i="4"/>
  <c r="H169" i="4" s="1"/>
  <c r="F169" i="4"/>
  <c r="E169" i="4"/>
  <c r="D169" i="4"/>
  <c r="B169" i="4"/>
  <c r="P168" i="4"/>
  <c r="N168" i="4"/>
  <c r="O168" i="4" s="1"/>
  <c r="M168" i="4"/>
  <c r="K168" i="4"/>
  <c r="G168" i="4"/>
  <c r="H168" i="4" s="1"/>
  <c r="F168" i="4"/>
  <c r="E168" i="4"/>
  <c r="D168" i="4"/>
  <c r="B168" i="4"/>
  <c r="P167" i="4"/>
  <c r="N167" i="4"/>
  <c r="O167" i="4" s="1"/>
  <c r="M167" i="4"/>
  <c r="K167" i="4"/>
  <c r="G167" i="4"/>
  <c r="F167" i="4"/>
  <c r="E167" i="4"/>
  <c r="D167" i="4"/>
  <c r="B167" i="4"/>
  <c r="P166" i="4"/>
  <c r="N166" i="4"/>
  <c r="O166" i="4" s="1"/>
  <c r="M166" i="4"/>
  <c r="K166" i="4"/>
  <c r="G166" i="4"/>
  <c r="J166" i="4" s="1"/>
  <c r="L166" i="4" s="1"/>
  <c r="F166" i="4"/>
  <c r="E166" i="4"/>
  <c r="D166" i="4"/>
  <c r="B166" i="4"/>
  <c r="P165" i="4"/>
  <c r="N165" i="4"/>
  <c r="O165" i="4" s="1"/>
  <c r="M165" i="4"/>
  <c r="K165" i="4"/>
  <c r="J165" i="4"/>
  <c r="L165" i="4" s="1"/>
  <c r="G165" i="4"/>
  <c r="H165" i="4" s="1"/>
  <c r="F165" i="4"/>
  <c r="E165" i="4"/>
  <c r="D165" i="4"/>
  <c r="B165" i="4"/>
  <c r="P164" i="4"/>
  <c r="N164" i="4"/>
  <c r="O164" i="4" s="1"/>
  <c r="M164" i="4"/>
  <c r="K164" i="4"/>
  <c r="G164" i="4"/>
  <c r="J164" i="4" s="1"/>
  <c r="L164" i="4" s="1"/>
  <c r="F164" i="4"/>
  <c r="E164" i="4"/>
  <c r="D164" i="4"/>
  <c r="B164" i="4"/>
  <c r="P163" i="4"/>
  <c r="N163" i="4"/>
  <c r="O163" i="4" s="1"/>
  <c r="M163" i="4"/>
  <c r="K163" i="4"/>
  <c r="G163" i="4"/>
  <c r="J163" i="4" s="1"/>
  <c r="L163" i="4" s="1"/>
  <c r="F163" i="4"/>
  <c r="E163" i="4"/>
  <c r="D163" i="4"/>
  <c r="B163" i="4"/>
  <c r="P162" i="4"/>
  <c r="N162" i="4"/>
  <c r="O162" i="4" s="1"/>
  <c r="M162" i="4"/>
  <c r="K162" i="4"/>
  <c r="I162" i="4"/>
  <c r="G162" i="4"/>
  <c r="J162" i="4" s="1"/>
  <c r="L162" i="4" s="1"/>
  <c r="F162" i="4"/>
  <c r="E162" i="4"/>
  <c r="D162" i="4"/>
  <c r="B162" i="4"/>
  <c r="P161" i="4"/>
  <c r="N161" i="4"/>
  <c r="O161" i="4" s="1"/>
  <c r="M161" i="4"/>
  <c r="K161" i="4"/>
  <c r="G161" i="4"/>
  <c r="H161" i="4" s="1"/>
  <c r="F161" i="4"/>
  <c r="E161" i="4"/>
  <c r="D161" i="4"/>
  <c r="B161" i="4"/>
  <c r="P160" i="4"/>
  <c r="N160" i="4"/>
  <c r="O160" i="4" s="1"/>
  <c r="M160" i="4"/>
  <c r="K160" i="4"/>
  <c r="G160" i="4"/>
  <c r="F160" i="4"/>
  <c r="E160" i="4"/>
  <c r="D160" i="4"/>
  <c r="B160" i="4"/>
  <c r="P159" i="4"/>
  <c r="N159" i="4"/>
  <c r="O159" i="4" s="1"/>
  <c r="M159" i="4"/>
  <c r="K159" i="4"/>
  <c r="G159" i="4"/>
  <c r="J159" i="4" s="1"/>
  <c r="L159" i="4" s="1"/>
  <c r="F159" i="4"/>
  <c r="E159" i="4"/>
  <c r="D159" i="4"/>
  <c r="B159" i="4"/>
  <c r="P158" i="4"/>
  <c r="N158" i="4"/>
  <c r="O158" i="4" s="1"/>
  <c r="M158" i="4"/>
  <c r="K158" i="4"/>
  <c r="G158" i="4"/>
  <c r="I158" i="4" s="1"/>
  <c r="F158" i="4"/>
  <c r="E158" i="4"/>
  <c r="D158" i="4"/>
  <c r="B158" i="4"/>
  <c r="P157" i="4"/>
  <c r="N157" i="4"/>
  <c r="O157" i="4" s="1"/>
  <c r="M157" i="4"/>
  <c r="K157" i="4"/>
  <c r="G157" i="4"/>
  <c r="J157" i="4" s="1"/>
  <c r="L157" i="4" s="1"/>
  <c r="F157" i="4"/>
  <c r="E157" i="4"/>
  <c r="D157" i="4"/>
  <c r="B157" i="4"/>
  <c r="P156" i="4"/>
  <c r="N156" i="4"/>
  <c r="O156" i="4" s="1"/>
  <c r="M156" i="4"/>
  <c r="K156" i="4"/>
  <c r="G156" i="4"/>
  <c r="F156" i="4"/>
  <c r="E156" i="4"/>
  <c r="D156" i="4"/>
  <c r="B156" i="4"/>
  <c r="P155" i="4"/>
  <c r="N155" i="4"/>
  <c r="O155" i="4" s="1"/>
  <c r="M155" i="4"/>
  <c r="K155" i="4"/>
  <c r="G155" i="4"/>
  <c r="F155" i="4"/>
  <c r="E155" i="4"/>
  <c r="D155" i="4"/>
  <c r="B155" i="4"/>
  <c r="P154" i="4"/>
  <c r="N154" i="4"/>
  <c r="O154" i="4" s="1"/>
  <c r="M154" i="4"/>
  <c r="K154" i="4"/>
  <c r="G154" i="4"/>
  <c r="J154" i="4" s="1"/>
  <c r="L154" i="4" s="1"/>
  <c r="F154" i="4"/>
  <c r="E154" i="4"/>
  <c r="D154" i="4"/>
  <c r="B154" i="4"/>
  <c r="P153" i="4"/>
  <c r="N153" i="4"/>
  <c r="O153" i="4" s="1"/>
  <c r="M153" i="4"/>
  <c r="K153" i="4"/>
  <c r="G153" i="4"/>
  <c r="J153" i="4" s="1"/>
  <c r="L153" i="4" s="1"/>
  <c r="F153" i="4"/>
  <c r="E153" i="4"/>
  <c r="D153" i="4"/>
  <c r="B153" i="4"/>
  <c r="P152" i="4"/>
  <c r="N152" i="4"/>
  <c r="O152" i="4" s="1"/>
  <c r="M152" i="4"/>
  <c r="K152" i="4"/>
  <c r="G152" i="4"/>
  <c r="J152" i="4" s="1"/>
  <c r="L152" i="4" s="1"/>
  <c r="F152" i="4"/>
  <c r="E152" i="4"/>
  <c r="D152" i="4"/>
  <c r="B152" i="4"/>
  <c r="P151" i="4"/>
  <c r="N151" i="4"/>
  <c r="O151" i="4" s="1"/>
  <c r="M151" i="4"/>
  <c r="K151" i="4"/>
  <c r="G151" i="4"/>
  <c r="I151" i="4" s="1"/>
  <c r="F151" i="4"/>
  <c r="E151" i="4"/>
  <c r="D151" i="4"/>
  <c r="B151" i="4"/>
  <c r="P150" i="4"/>
  <c r="N150" i="4"/>
  <c r="O150" i="4" s="1"/>
  <c r="M150" i="4"/>
  <c r="K150" i="4"/>
  <c r="G150" i="4"/>
  <c r="H150" i="4" s="1"/>
  <c r="F150" i="4"/>
  <c r="E150" i="4"/>
  <c r="D150" i="4"/>
  <c r="B150" i="4"/>
  <c r="P149" i="4"/>
  <c r="N149" i="4"/>
  <c r="O149" i="4" s="1"/>
  <c r="M149" i="4"/>
  <c r="K149" i="4"/>
  <c r="G149" i="4"/>
  <c r="F149" i="4"/>
  <c r="E149" i="4"/>
  <c r="D149" i="4"/>
  <c r="B149" i="4"/>
  <c r="P148" i="4"/>
  <c r="N148" i="4"/>
  <c r="O148" i="4" s="1"/>
  <c r="M148" i="4"/>
  <c r="K148" i="4"/>
  <c r="G148" i="4"/>
  <c r="F148" i="4"/>
  <c r="E148" i="4"/>
  <c r="D148" i="4"/>
  <c r="B148" i="4"/>
  <c r="P147" i="4"/>
  <c r="N147" i="4"/>
  <c r="O147" i="4" s="1"/>
  <c r="M147" i="4"/>
  <c r="K147" i="4"/>
  <c r="G147" i="4"/>
  <c r="F147" i="4"/>
  <c r="E147" i="4"/>
  <c r="D147" i="4"/>
  <c r="B147" i="4"/>
  <c r="P146" i="4"/>
  <c r="O146" i="4"/>
  <c r="N146" i="4"/>
  <c r="M146" i="4"/>
  <c r="K146" i="4"/>
  <c r="G146" i="4"/>
  <c r="F146" i="4"/>
  <c r="E146" i="4"/>
  <c r="D146" i="4"/>
  <c r="B146" i="4"/>
  <c r="P145" i="4"/>
  <c r="N145" i="4"/>
  <c r="O145" i="4" s="1"/>
  <c r="M145" i="4"/>
  <c r="K145" i="4"/>
  <c r="G145" i="4"/>
  <c r="J145" i="4" s="1"/>
  <c r="L145" i="4" s="1"/>
  <c r="F145" i="4"/>
  <c r="E145" i="4"/>
  <c r="D145" i="4"/>
  <c r="B145" i="4"/>
  <c r="P144" i="4"/>
  <c r="N144" i="4"/>
  <c r="O144" i="4" s="1"/>
  <c r="M144" i="4"/>
  <c r="K144" i="4"/>
  <c r="G144" i="4"/>
  <c r="F144" i="4"/>
  <c r="E144" i="4"/>
  <c r="D144" i="4"/>
  <c r="B144" i="4"/>
  <c r="P143" i="4"/>
  <c r="N143" i="4"/>
  <c r="O143" i="4" s="1"/>
  <c r="M143" i="4"/>
  <c r="K143" i="4"/>
  <c r="G143" i="4"/>
  <c r="F143" i="4"/>
  <c r="E143" i="4"/>
  <c r="D143" i="4"/>
  <c r="B143" i="4"/>
  <c r="P142" i="4"/>
  <c r="N142" i="4"/>
  <c r="O142" i="4" s="1"/>
  <c r="M142" i="4"/>
  <c r="K142" i="4"/>
  <c r="G142" i="4"/>
  <c r="J142" i="4" s="1"/>
  <c r="L142" i="4" s="1"/>
  <c r="F142" i="4"/>
  <c r="E142" i="4"/>
  <c r="D142" i="4"/>
  <c r="B142" i="4"/>
  <c r="P141" i="4"/>
  <c r="N141" i="4"/>
  <c r="O141" i="4" s="1"/>
  <c r="M141" i="4"/>
  <c r="K141" i="4"/>
  <c r="G141" i="4"/>
  <c r="F141" i="4"/>
  <c r="E141" i="4"/>
  <c r="D141" i="4"/>
  <c r="B141" i="4"/>
  <c r="P140" i="4"/>
  <c r="N140" i="4"/>
  <c r="O140" i="4" s="1"/>
  <c r="M140" i="4"/>
  <c r="K140" i="4"/>
  <c r="G140" i="4"/>
  <c r="H140" i="4" s="1"/>
  <c r="F140" i="4"/>
  <c r="E140" i="4"/>
  <c r="D140" i="4"/>
  <c r="B140" i="4"/>
  <c r="P139" i="4"/>
  <c r="N139" i="4"/>
  <c r="O139" i="4" s="1"/>
  <c r="M139" i="4"/>
  <c r="K139" i="4"/>
  <c r="G139" i="4"/>
  <c r="F139" i="4"/>
  <c r="E139" i="4"/>
  <c r="D139" i="4"/>
  <c r="B139" i="4"/>
  <c r="P138" i="4"/>
  <c r="N138" i="4"/>
  <c r="O138" i="4" s="1"/>
  <c r="M138" i="4"/>
  <c r="K138" i="4"/>
  <c r="G138" i="4"/>
  <c r="J138" i="4" s="1"/>
  <c r="L138" i="4" s="1"/>
  <c r="F138" i="4"/>
  <c r="E138" i="4"/>
  <c r="D138" i="4"/>
  <c r="B138" i="4"/>
  <c r="P137" i="4"/>
  <c r="N137" i="4"/>
  <c r="O137" i="4" s="1"/>
  <c r="M137" i="4"/>
  <c r="K137" i="4"/>
  <c r="G137" i="4"/>
  <c r="J137" i="4" s="1"/>
  <c r="L137" i="4" s="1"/>
  <c r="F137" i="4"/>
  <c r="E137" i="4"/>
  <c r="D137" i="4"/>
  <c r="B137" i="4"/>
  <c r="P136" i="4"/>
  <c r="N136" i="4"/>
  <c r="O136" i="4" s="1"/>
  <c r="M136" i="4"/>
  <c r="K136" i="4"/>
  <c r="G136" i="4"/>
  <c r="F136" i="4"/>
  <c r="E136" i="4"/>
  <c r="D136" i="4"/>
  <c r="B136" i="4"/>
  <c r="P135" i="4"/>
  <c r="N135" i="4"/>
  <c r="O135" i="4" s="1"/>
  <c r="M135" i="4"/>
  <c r="K135" i="4"/>
  <c r="G135" i="4"/>
  <c r="I135" i="4" s="1"/>
  <c r="F135" i="4"/>
  <c r="E135" i="4"/>
  <c r="D135" i="4"/>
  <c r="B135" i="4"/>
  <c r="P134" i="4"/>
  <c r="N134" i="4"/>
  <c r="O134" i="4" s="1"/>
  <c r="M134" i="4"/>
  <c r="K134" i="4"/>
  <c r="G134" i="4"/>
  <c r="H134" i="4" s="1"/>
  <c r="F134" i="4"/>
  <c r="E134" i="4"/>
  <c r="D134" i="4"/>
  <c r="B134" i="4"/>
  <c r="P133" i="4"/>
  <c r="N133" i="4"/>
  <c r="O133" i="4" s="1"/>
  <c r="M133" i="4"/>
  <c r="K133" i="4"/>
  <c r="G133" i="4"/>
  <c r="H133" i="4" s="1"/>
  <c r="F133" i="4"/>
  <c r="E133" i="4"/>
  <c r="D133" i="4"/>
  <c r="B133" i="4"/>
  <c r="P132" i="4"/>
  <c r="N132" i="4"/>
  <c r="O132" i="4" s="1"/>
  <c r="M132" i="4"/>
  <c r="K132" i="4"/>
  <c r="G132" i="4"/>
  <c r="F132" i="4"/>
  <c r="E132" i="4"/>
  <c r="D132" i="4"/>
  <c r="B132" i="4"/>
  <c r="P131" i="4"/>
  <c r="O131" i="4"/>
  <c r="N131" i="4"/>
  <c r="M131" i="4"/>
  <c r="K131" i="4"/>
  <c r="G131" i="4"/>
  <c r="J131" i="4" s="1"/>
  <c r="L131" i="4" s="1"/>
  <c r="F131" i="4"/>
  <c r="E131" i="4"/>
  <c r="D131" i="4"/>
  <c r="B131" i="4"/>
  <c r="P130" i="4"/>
  <c r="N130" i="4"/>
  <c r="O130" i="4" s="1"/>
  <c r="M130" i="4"/>
  <c r="K130" i="4"/>
  <c r="G130" i="4"/>
  <c r="F130" i="4"/>
  <c r="E130" i="4"/>
  <c r="D130" i="4"/>
  <c r="B130" i="4"/>
  <c r="P129" i="4"/>
  <c r="N129" i="4"/>
  <c r="O129" i="4" s="1"/>
  <c r="M129" i="4"/>
  <c r="K129" i="4"/>
  <c r="G129" i="4"/>
  <c r="F129" i="4"/>
  <c r="E129" i="4"/>
  <c r="D129" i="4"/>
  <c r="B129" i="4"/>
  <c r="P128" i="4"/>
  <c r="N128" i="4"/>
  <c r="O128" i="4" s="1"/>
  <c r="M128" i="4"/>
  <c r="K128" i="4"/>
  <c r="G128" i="4"/>
  <c r="F128" i="4"/>
  <c r="E128" i="4"/>
  <c r="D128" i="4"/>
  <c r="B128" i="4"/>
  <c r="P127" i="4"/>
  <c r="N127" i="4"/>
  <c r="O127" i="4" s="1"/>
  <c r="M127" i="4"/>
  <c r="K127" i="4"/>
  <c r="G127" i="4"/>
  <c r="H127" i="4" s="1"/>
  <c r="F127" i="4"/>
  <c r="E127" i="4"/>
  <c r="D127" i="4"/>
  <c r="B127" i="4"/>
  <c r="P126" i="4"/>
  <c r="N126" i="4"/>
  <c r="O126" i="4" s="1"/>
  <c r="M126" i="4"/>
  <c r="K126" i="4"/>
  <c r="G126" i="4"/>
  <c r="I126" i="4" s="1"/>
  <c r="F126" i="4"/>
  <c r="E126" i="4"/>
  <c r="D126" i="4"/>
  <c r="B126" i="4"/>
  <c r="P125" i="4"/>
  <c r="N125" i="4"/>
  <c r="O125" i="4" s="1"/>
  <c r="M125" i="4"/>
  <c r="K125" i="4"/>
  <c r="G125" i="4"/>
  <c r="I125" i="4" s="1"/>
  <c r="F125" i="4"/>
  <c r="E125" i="4"/>
  <c r="D125" i="4"/>
  <c r="B125" i="4"/>
  <c r="P124" i="4"/>
  <c r="N124" i="4"/>
  <c r="O124" i="4" s="1"/>
  <c r="M124" i="4"/>
  <c r="K124" i="4"/>
  <c r="G124" i="4"/>
  <c r="H124" i="4" s="1"/>
  <c r="F124" i="4"/>
  <c r="E124" i="4"/>
  <c r="D124" i="4"/>
  <c r="B124" i="4"/>
  <c r="P123" i="4"/>
  <c r="N123" i="4"/>
  <c r="O123" i="4" s="1"/>
  <c r="M123" i="4"/>
  <c r="K123" i="4"/>
  <c r="G123" i="4"/>
  <c r="F123" i="4"/>
  <c r="E123" i="4"/>
  <c r="D123" i="4"/>
  <c r="B123" i="4"/>
  <c r="P122" i="4"/>
  <c r="N122" i="4"/>
  <c r="O122" i="4" s="1"/>
  <c r="M122" i="4"/>
  <c r="K122" i="4"/>
  <c r="G122" i="4"/>
  <c r="H122" i="4" s="1"/>
  <c r="F122" i="4"/>
  <c r="E122" i="4"/>
  <c r="D122" i="4"/>
  <c r="B122" i="4"/>
  <c r="P121" i="4"/>
  <c r="N121" i="4"/>
  <c r="O121" i="4" s="1"/>
  <c r="M121" i="4"/>
  <c r="K121" i="4"/>
  <c r="G121" i="4"/>
  <c r="F121" i="4"/>
  <c r="E121" i="4"/>
  <c r="D121" i="4"/>
  <c r="B121" i="4"/>
  <c r="P120" i="4"/>
  <c r="N120" i="4"/>
  <c r="O120" i="4" s="1"/>
  <c r="M120" i="4"/>
  <c r="K120" i="4"/>
  <c r="G120" i="4"/>
  <c r="F120" i="4"/>
  <c r="E120" i="4"/>
  <c r="D120" i="4"/>
  <c r="B120" i="4"/>
  <c r="P119" i="4"/>
  <c r="N119" i="4"/>
  <c r="O119" i="4" s="1"/>
  <c r="M119" i="4"/>
  <c r="K119" i="4"/>
  <c r="G119" i="4"/>
  <c r="J119" i="4" s="1"/>
  <c r="L119" i="4" s="1"/>
  <c r="F119" i="4"/>
  <c r="E119" i="4"/>
  <c r="D119" i="4"/>
  <c r="B119" i="4"/>
  <c r="P118" i="4"/>
  <c r="N118" i="4"/>
  <c r="O118" i="4" s="1"/>
  <c r="M118" i="4"/>
  <c r="K118" i="4"/>
  <c r="G118" i="4"/>
  <c r="F118" i="4"/>
  <c r="E118" i="4"/>
  <c r="D118" i="4"/>
  <c r="B118" i="4"/>
  <c r="P117" i="4"/>
  <c r="N117" i="4"/>
  <c r="O117" i="4" s="1"/>
  <c r="M117" i="4"/>
  <c r="K117" i="4"/>
  <c r="G117" i="4"/>
  <c r="F117" i="4"/>
  <c r="E117" i="4"/>
  <c r="D117" i="4"/>
  <c r="B117" i="4"/>
  <c r="P116" i="4"/>
  <c r="N116" i="4"/>
  <c r="O116" i="4" s="1"/>
  <c r="M116" i="4"/>
  <c r="K116" i="4"/>
  <c r="G116" i="4"/>
  <c r="J116" i="4" s="1"/>
  <c r="L116" i="4" s="1"/>
  <c r="F116" i="4"/>
  <c r="E116" i="4"/>
  <c r="D116" i="4"/>
  <c r="B116" i="4"/>
  <c r="P115" i="4"/>
  <c r="N115" i="4"/>
  <c r="O115" i="4" s="1"/>
  <c r="M115" i="4"/>
  <c r="K115" i="4"/>
  <c r="G115" i="4"/>
  <c r="F115" i="4"/>
  <c r="E115" i="4"/>
  <c r="D115" i="4"/>
  <c r="B115" i="4"/>
  <c r="P114" i="4"/>
  <c r="N114" i="4"/>
  <c r="O114" i="4" s="1"/>
  <c r="M114" i="4"/>
  <c r="K114" i="4"/>
  <c r="G114" i="4"/>
  <c r="H114" i="4" s="1"/>
  <c r="F114" i="4"/>
  <c r="E114" i="4"/>
  <c r="D114" i="4"/>
  <c r="B114" i="4"/>
  <c r="P113" i="4"/>
  <c r="N113" i="4"/>
  <c r="O113" i="4" s="1"/>
  <c r="M113" i="4"/>
  <c r="K113" i="4"/>
  <c r="G113" i="4"/>
  <c r="J113" i="4" s="1"/>
  <c r="L113" i="4" s="1"/>
  <c r="F113" i="4"/>
  <c r="E113" i="4"/>
  <c r="D113" i="4"/>
  <c r="B113" i="4"/>
  <c r="P112" i="4"/>
  <c r="N112" i="4"/>
  <c r="O112" i="4" s="1"/>
  <c r="M112" i="4"/>
  <c r="K112" i="4"/>
  <c r="G112" i="4"/>
  <c r="J112" i="4" s="1"/>
  <c r="L112" i="4" s="1"/>
  <c r="F112" i="4"/>
  <c r="E112" i="4"/>
  <c r="D112" i="4"/>
  <c r="B112" i="4"/>
  <c r="P111" i="4"/>
  <c r="N111" i="4"/>
  <c r="O111" i="4" s="1"/>
  <c r="M111" i="4"/>
  <c r="K111" i="4"/>
  <c r="G111" i="4"/>
  <c r="I111" i="4" s="1"/>
  <c r="F111" i="4"/>
  <c r="E111" i="4"/>
  <c r="D111" i="4"/>
  <c r="B111" i="4"/>
  <c r="P110" i="4"/>
  <c r="N110" i="4"/>
  <c r="O110" i="4" s="1"/>
  <c r="M110" i="4"/>
  <c r="K110" i="4"/>
  <c r="G110" i="4"/>
  <c r="J110" i="4" s="1"/>
  <c r="L110" i="4" s="1"/>
  <c r="F110" i="4"/>
  <c r="E110" i="4"/>
  <c r="D110" i="4"/>
  <c r="B110" i="4"/>
  <c r="P109" i="4"/>
  <c r="N109" i="4"/>
  <c r="O109" i="4" s="1"/>
  <c r="M109" i="4"/>
  <c r="K109" i="4"/>
  <c r="G109" i="4"/>
  <c r="I109" i="4" s="1"/>
  <c r="F109" i="4"/>
  <c r="E109" i="4"/>
  <c r="D109" i="4"/>
  <c r="B109" i="4"/>
  <c r="P108" i="4"/>
  <c r="N108" i="4"/>
  <c r="O108" i="4" s="1"/>
  <c r="M108" i="4"/>
  <c r="K108" i="4"/>
  <c r="G108" i="4"/>
  <c r="H108" i="4" s="1"/>
  <c r="F108" i="4"/>
  <c r="E108" i="4"/>
  <c r="D108" i="4"/>
  <c r="B108" i="4"/>
  <c r="P107" i="4"/>
  <c r="N107" i="4"/>
  <c r="O107" i="4" s="1"/>
  <c r="M107" i="4"/>
  <c r="K107" i="4"/>
  <c r="G107" i="4"/>
  <c r="J107" i="4" s="1"/>
  <c r="L107" i="4" s="1"/>
  <c r="F107" i="4"/>
  <c r="E107" i="4"/>
  <c r="D107" i="4"/>
  <c r="B107" i="4"/>
  <c r="P106" i="4"/>
  <c r="N106" i="4"/>
  <c r="O106" i="4" s="1"/>
  <c r="M106" i="4"/>
  <c r="K106" i="4"/>
  <c r="G106" i="4"/>
  <c r="J106" i="4" s="1"/>
  <c r="L106" i="4" s="1"/>
  <c r="F106" i="4"/>
  <c r="E106" i="4"/>
  <c r="D106" i="4"/>
  <c r="B106" i="4"/>
  <c r="P105" i="4"/>
  <c r="N105" i="4"/>
  <c r="O105" i="4" s="1"/>
  <c r="M105" i="4"/>
  <c r="K105" i="4"/>
  <c r="G105" i="4"/>
  <c r="J105" i="4" s="1"/>
  <c r="L105" i="4" s="1"/>
  <c r="F105" i="4"/>
  <c r="E105" i="4"/>
  <c r="D105" i="4"/>
  <c r="B105" i="4"/>
  <c r="P104" i="4"/>
  <c r="N104" i="4"/>
  <c r="O104" i="4" s="1"/>
  <c r="M104" i="4"/>
  <c r="K104" i="4"/>
  <c r="G104" i="4"/>
  <c r="F104" i="4"/>
  <c r="E104" i="4"/>
  <c r="D104" i="4"/>
  <c r="B104" i="4"/>
  <c r="P103" i="4"/>
  <c r="N103" i="4"/>
  <c r="O103" i="4" s="1"/>
  <c r="M103" i="4"/>
  <c r="K103" i="4"/>
  <c r="G103" i="4"/>
  <c r="H103" i="4" s="1"/>
  <c r="F103" i="4"/>
  <c r="E103" i="4"/>
  <c r="D103" i="4"/>
  <c r="B103" i="4"/>
  <c r="P102" i="4"/>
  <c r="N102" i="4"/>
  <c r="O102" i="4" s="1"/>
  <c r="M102" i="4"/>
  <c r="K102" i="4"/>
  <c r="G102" i="4"/>
  <c r="H102" i="4" s="1"/>
  <c r="F102" i="4"/>
  <c r="E102" i="4"/>
  <c r="D102" i="4"/>
  <c r="B102" i="4"/>
  <c r="P101" i="4"/>
  <c r="N101" i="4"/>
  <c r="O101" i="4" s="1"/>
  <c r="M101" i="4"/>
  <c r="K101" i="4"/>
  <c r="G101" i="4"/>
  <c r="J101" i="4" s="1"/>
  <c r="L101" i="4" s="1"/>
  <c r="F101" i="4"/>
  <c r="E101" i="4"/>
  <c r="D101" i="4"/>
  <c r="B101" i="4"/>
  <c r="P100" i="4"/>
  <c r="N100" i="4"/>
  <c r="O100" i="4" s="1"/>
  <c r="M100" i="4"/>
  <c r="K100" i="4"/>
  <c r="G100" i="4"/>
  <c r="F100" i="4"/>
  <c r="E100" i="4"/>
  <c r="D100" i="4"/>
  <c r="B100" i="4"/>
  <c r="P99" i="4"/>
  <c r="N99" i="4"/>
  <c r="O99" i="4" s="1"/>
  <c r="M99" i="4"/>
  <c r="K99" i="4"/>
  <c r="G99" i="4"/>
  <c r="F99" i="4"/>
  <c r="E99" i="4"/>
  <c r="D99" i="4"/>
  <c r="B99" i="4"/>
  <c r="P98" i="4"/>
  <c r="O98" i="4"/>
  <c r="N98" i="4"/>
  <c r="M98" i="4"/>
  <c r="K98" i="4"/>
  <c r="G98" i="4"/>
  <c r="I98" i="4" s="1"/>
  <c r="F98" i="4"/>
  <c r="E98" i="4"/>
  <c r="D98" i="4"/>
  <c r="B98" i="4"/>
  <c r="P97" i="4"/>
  <c r="N97" i="4"/>
  <c r="O97" i="4" s="1"/>
  <c r="M97" i="4"/>
  <c r="L97" i="4"/>
  <c r="K97" i="4"/>
  <c r="G97" i="4"/>
  <c r="J97" i="4" s="1"/>
  <c r="F97" i="4"/>
  <c r="E97" i="4"/>
  <c r="D97" i="4"/>
  <c r="B97" i="4"/>
  <c r="P96" i="4"/>
  <c r="N96" i="4"/>
  <c r="O96" i="4" s="1"/>
  <c r="M96" i="4"/>
  <c r="K96" i="4"/>
  <c r="G96" i="4"/>
  <c r="F96" i="4"/>
  <c r="E96" i="4"/>
  <c r="D96" i="4"/>
  <c r="B96" i="4"/>
  <c r="P95" i="4"/>
  <c r="N95" i="4"/>
  <c r="O95" i="4" s="1"/>
  <c r="M95" i="4"/>
  <c r="K95" i="4"/>
  <c r="G95" i="4"/>
  <c r="J95" i="4" s="1"/>
  <c r="L95" i="4" s="1"/>
  <c r="F95" i="4"/>
  <c r="E95" i="4"/>
  <c r="D95" i="4"/>
  <c r="B95" i="4"/>
  <c r="P94" i="4"/>
  <c r="N94" i="4"/>
  <c r="O94" i="4" s="1"/>
  <c r="M94" i="4"/>
  <c r="K94" i="4"/>
  <c r="G94" i="4"/>
  <c r="I94" i="4" s="1"/>
  <c r="F94" i="4"/>
  <c r="E94" i="4"/>
  <c r="D94" i="4"/>
  <c r="B94" i="4"/>
  <c r="P93" i="4"/>
  <c r="N93" i="4"/>
  <c r="O93" i="4" s="1"/>
  <c r="M93" i="4"/>
  <c r="K93" i="4"/>
  <c r="I93" i="4"/>
  <c r="G93" i="4"/>
  <c r="H93" i="4" s="1"/>
  <c r="F93" i="4"/>
  <c r="E93" i="4"/>
  <c r="D93" i="4"/>
  <c r="B93" i="4"/>
  <c r="P92" i="4"/>
  <c r="N92" i="4"/>
  <c r="O92" i="4" s="1"/>
  <c r="M92" i="4"/>
  <c r="K92" i="4"/>
  <c r="G92" i="4"/>
  <c r="F92" i="4"/>
  <c r="E92" i="4"/>
  <c r="D92" i="4"/>
  <c r="B92" i="4"/>
  <c r="P91" i="4"/>
  <c r="N91" i="4"/>
  <c r="O91" i="4" s="1"/>
  <c r="M91" i="4"/>
  <c r="K91" i="4"/>
  <c r="G91" i="4"/>
  <c r="H91" i="4" s="1"/>
  <c r="F91" i="4"/>
  <c r="E91" i="4"/>
  <c r="D91" i="4"/>
  <c r="B91" i="4"/>
  <c r="P90" i="4"/>
  <c r="N90" i="4"/>
  <c r="O90" i="4" s="1"/>
  <c r="M90" i="4"/>
  <c r="K90" i="4"/>
  <c r="I90" i="4"/>
  <c r="G90" i="4"/>
  <c r="J90" i="4" s="1"/>
  <c r="L90" i="4" s="1"/>
  <c r="F90" i="4"/>
  <c r="E90" i="4"/>
  <c r="D90" i="4"/>
  <c r="B90" i="4"/>
  <c r="P89" i="4"/>
  <c r="N89" i="4"/>
  <c r="O89" i="4" s="1"/>
  <c r="M89" i="4"/>
  <c r="K89" i="4"/>
  <c r="G89" i="4"/>
  <c r="F89" i="4"/>
  <c r="E89" i="4"/>
  <c r="D89" i="4"/>
  <c r="B89" i="4"/>
  <c r="P88" i="4"/>
  <c r="N88" i="4"/>
  <c r="O88" i="4" s="1"/>
  <c r="M88" i="4"/>
  <c r="K88" i="4"/>
  <c r="G88" i="4"/>
  <c r="F88" i="4"/>
  <c r="E88" i="4"/>
  <c r="D88" i="4"/>
  <c r="B88" i="4"/>
  <c r="P87" i="4"/>
  <c r="N87" i="4"/>
  <c r="O87" i="4" s="1"/>
  <c r="M87" i="4"/>
  <c r="K87" i="4"/>
  <c r="G87" i="4"/>
  <c r="J87" i="4" s="1"/>
  <c r="L87" i="4" s="1"/>
  <c r="F87" i="4"/>
  <c r="E87" i="4"/>
  <c r="D87" i="4"/>
  <c r="B87" i="4"/>
  <c r="P86" i="4"/>
  <c r="N86" i="4"/>
  <c r="O86" i="4" s="1"/>
  <c r="M86" i="4"/>
  <c r="K86" i="4"/>
  <c r="G86" i="4"/>
  <c r="F86" i="4"/>
  <c r="E86" i="4"/>
  <c r="D86" i="4"/>
  <c r="B86" i="4"/>
  <c r="P85" i="4"/>
  <c r="N85" i="4"/>
  <c r="O85" i="4" s="1"/>
  <c r="M85" i="4"/>
  <c r="K85" i="4"/>
  <c r="G85" i="4"/>
  <c r="F85" i="4"/>
  <c r="E85" i="4"/>
  <c r="D85" i="4"/>
  <c r="B85" i="4"/>
  <c r="P84" i="4"/>
  <c r="N84" i="4"/>
  <c r="O84" i="4" s="1"/>
  <c r="M84" i="4"/>
  <c r="K84" i="4"/>
  <c r="G84" i="4"/>
  <c r="J84" i="4" s="1"/>
  <c r="L84" i="4" s="1"/>
  <c r="F84" i="4"/>
  <c r="E84" i="4"/>
  <c r="D84" i="4"/>
  <c r="B84" i="4"/>
  <c r="P83" i="4"/>
  <c r="O83" i="4"/>
  <c r="N83" i="4"/>
  <c r="M83" i="4"/>
  <c r="K83" i="4"/>
  <c r="G83" i="4"/>
  <c r="I83" i="4" s="1"/>
  <c r="F83" i="4"/>
  <c r="E83" i="4"/>
  <c r="D83" i="4"/>
  <c r="B83" i="4"/>
  <c r="P82" i="4"/>
  <c r="N82" i="4"/>
  <c r="O82" i="4" s="1"/>
  <c r="M82" i="4"/>
  <c r="K82" i="4"/>
  <c r="G82" i="4"/>
  <c r="J82" i="4" s="1"/>
  <c r="L82" i="4" s="1"/>
  <c r="F82" i="4"/>
  <c r="E82" i="4"/>
  <c r="D82" i="4"/>
  <c r="B82" i="4"/>
  <c r="P81" i="4"/>
  <c r="N81" i="4"/>
  <c r="O81" i="4" s="1"/>
  <c r="M81" i="4"/>
  <c r="K81" i="4"/>
  <c r="G81" i="4"/>
  <c r="J81" i="4" s="1"/>
  <c r="L81" i="4" s="1"/>
  <c r="F81" i="4"/>
  <c r="E81" i="4"/>
  <c r="D81" i="4"/>
  <c r="B81" i="4"/>
  <c r="P80" i="4"/>
  <c r="N80" i="4"/>
  <c r="O80" i="4" s="1"/>
  <c r="M80" i="4"/>
  <c r="K80" i="4"/>
  <c r="G80" i="4"/>
  <c r="J80" i="4" s="1"/>
  <c r="L80" i="4" s="1"/>
  <c r="F80" i="4"/>
  <c r="E80" i="4"/>
  <c r="D80" i="4"/>
  <c r="B80" i="4"/>
  <c r="P79" i="4"/>
  <c r="N79" i="4"/>
  <c r="O79" i="4" s="1"/>
  <c r="M79" i="4"/>
  <c r="K79" i="4"/>
  <c r="G79" i="4"/>
  <c r="I79" i="4" s="1"/>
  <c r="F79" i="4"/>
  <c r="E79" i="4"/>
  <c r="D79" i="4"/>
  <c r="B79" i="4"/>
  <c r="P78" i="4"/>
  <c r="N78" i="4"/>
  <c r="O78" i="4" s="1"/>
  <c r="M78" i="4"/>
  <c r="K78" i="4"/>
  <c r="G78" i="4"/>
  <c r="F78" i="4"/>
  <c r="E78" i="4"/>
  <c r="D78" i="4"/>
  <c r="B78" i="4"/>
  <c r="P77" i="4"/>
  <c r="N77" i="4"/>
  <c r="O77" i="4" s="1"/>
  <c r="M77" i="4"/>
  <c r="K77" i="4"/>
  <c r="G77" i="4"/>
  <c r="I77" i="4" s="1"/>
  <c r="F77" i="4"/>
  <c r="E77" i="4"/>
  <c r="D77" i="4"/>
  <c r="B77" i="4"/>
  <c r="P76" i="4"/>
  <c r="N76" i="4"/>
  <c r="O76" i="4" s="1"/>
  <c r="M76" i="4"/>
  <c r="K76" i="4"/>
  <c r="G76" i="4"/>
  <c r="H76" i="4" s="1"/>
  <c r="F76" i="4"/>
  <c r="E76" i="4"/>
  <c r="D76" i="4"/>
  <c r="B76" i="4"/>
  <c r="P75" i="4"/>
  <c r="N75" i="4"/>
  <c r="O75" i="4" s="1"/>
  <c r="M75" i="4"/>
  <c r="K75" i="4"/>
  <c r="H75" i="4"/>
  <c r="G75" i="4"/>
  <c r="J75" i="4" s="1"/>
  <c r="L75" i="4" s="1"/>
  <c r="F75" i="4"/>
  <c r="E75" i="4"/>
  <c r="D75" i="4"/>
  <c r="B75" i="4"/>
  <c r="P74" i="4"/>
  <c r="N74" i="4"/>
  <c r="O74" i="4" s="1"/>
  <c r="M74" i="4"/>
  <c r="K74" i="4"/>
  <c r="G74" i="4"/>
  <c r="F74" i="4"/>
  <c r="E74" i="4"/>
  <c r="D74" i="4"/>
  <c r="B74" i="4"/>
  <c r="P73" i="4"/>
  <c r="N73" i="4"/>
  <c r="O73" i="4" s="1"/>
  <c r="M73" i="4"/>
  <c r="K73" i="4"/>
  <c r="G73" i="4"/>
  <c r="F73" i="4"/>
  <c r="E73" i="4"/>
  <c r="D73" i="4"/>
  <c r="B73" i="4"/>
  <c r="P72" i="4"/>
  <c r="N72" i="4"/>
  <c r="O72" i="4" s="1"/>
  <c r="M72" i="4"/>
  <c r="K72" i="4"/>
  <c r="G72" i="4"/>
  <c r="F72" i="4"/>
  <c r="E72" i="4"/>
  <c r="D72" i="4"/>
  <c r="B72" i="4"/>
  <c r="P71" i="4"/>
  <c r="N71" i="4"/>
  <c r="O71" i="4" s="1"/>
  <c r="M71" i="4"/>
  <c r="K71" i="4"/>
  <c r="G71" i="4"/>
  <c r="I71" i="4" s="1"/>
  <c r="F71" i="4"/>
  <c r="E71" i="4"/>
  <c r="D71" i="4"/>
  <c r="B71" i="4"/>
  <c r="P70" i="4"/>
  <c r="N70" i="4"/>
  <c r="O70" i="4" s="1"/>
  <c r="M70" i="4"/>
  <c r="K70" i="4"/>
  <c r="G70" i="4"/>
  <c r="F70" i="4"/>
  <c r="E70" i="4"/>
  <c r="D70" i="4"/>
  <c r="B70" i="4"/>
  <c r="P69" i="4"/>
  <c r="N69" i="4"/>
  <c r="O69" i="4" s="1"/>
  <c r="M69" i="4"/>
  <c r="K69" i="4"/>
  <c r="G69" i="4"/>
  <c r="H69" i="4" s="1"/>
  <c r="F69" i="4"/>
  <c r="E69" i="4"/>
  <c r="D69" i="4"/>
  <c r="B69" i="4"/>
  <c r="P68" i="4"/>
  <c r="N68" i="4"/>
  <c r="O68" i="4" s="1"/>
  <c r="M68" i="4"/>
  <c r="K68" i="4"/>
  <c r="G68" i="4"/>
  <c r="J68" i="4" s="1"/>
  <c r="L68" i="4" s="1"/>
  <c r="F68" i="4"/>
  <c r="E68" i="4"/>
  <c r="D68" i="4"/>
  <c r="B68" i="4"/>
  <c r="P67" i="4"/>
  <c r="N67" i="4"/>
  <c r="O67" i="4" s="1"/>
  <c r="M67" i="4"/>
  <c r="K67" i="4"/>
  <c r="G67" i="4"/>
  <c r="F67" i="4"/>
  <c r="E67" i="4"/>
  <c r="D67" i="4"/>
  <c r="B67" i="4"/>
  <c r="P66" i="4"/>
  <c r="N66" i="4"/>
  <c r="O66" i="4" s="1"/>
  <c r="M66" i="4"/>
  <c r="K66" i="4"/>
  <c r="G66" i="4"/>
  <c r="J66" i="4" s="1"/>
  <c r="L66" i="4" s="1"/>
  <c r="F66" i="4"/>
  <c r="E66" i="4"/>
  <c r="D66" i="4"/>
  <c r="B66" i="4"/>
  <c r="P65" i="4"/>
  <c r="N65" i="4"/>
  <c r="O65" i="4" s="1"/>
  <c r="M65" i="4"/>
  <c r="K65" i="4"/>
  <c r="G65" i="4"/>
  <c r="F65" i="4"/>
  <c r="E65" i="4"/>
  <c r="D65" i="4"/>
  <c r="B65" i="4"/>
  <c r="P64" i="4"/>
  <c r="N64" i="4"/>
  <c r="O64" i="4" s="1"/>
  <c r="M64" i="4"/>
  <c r="K64" i="4"/>
  <c r="G64" i="4"/>
  <c r="J64" i="4" s="1"/>
  <c r="L64" i="4" s="1"/>
  <c r="F64" i="4"/>
  <c r="E64" i="4"/>
  <c r="D64" i="4"/>
  <c r="B64" i="4"/>
  <c r="P63" i="4"/>
  <c r="N63" i="4"/>
  <c r="O63" i="4" s="1"/>
  <c r="M63" i="4"/>
  <c r="K63" i="4"/>
  <c r="G63" i="4"/>
  <c r="F63" i="4"/>
  <c r="E63" i="4"/>
  <c r="D63" i="4"/>
  <c r="B63" i="4"/>
  <c r="P62" i="4"/>
  <c r="N62" i="4"/>
  <c r="O62" i="4" s="1"/>
  <c r="M62" i="4"/>
  <c r="K62" i="4"/>
  <c r="G62" i="4"/>
  <c r="J62" i="4" s="1"/>
  <c r="L62" i="4" s="1"/>
  <c r="F62" i="4"/>
  <c r="E62" i="4"/>
  <c r="D62" i="4"/>
  <c r="B62" i="4"/>
  <c r="P61" i="4"/>
  <c r="N61" i="4"/>
  <c r="O61" i="4" s="1"/>
  <c r="M61" i="4"/>
  <c r="K61" i="4"/>
  <c r="G61" i="4"/>
  <c r="I61" i="4" s="1"/>
  <c r="F61" i="4"/>
  <c r="E61" i="4"/>
  <c r="D61" i="4"/>
  <c r="B61" i="4"/>
  <c r="P60" i="4"/>
  <c r="N60" i="4"/>
  <c r="O60" i="4" s="1"/>
  <c r="M60" i="4"/>
  <c r="K60" i="4"/>
  <c r="G60" i="4"/>
  <c r="I60" i="4" s="1"/>
  <c r="F60" i="4"/>
  <c r="E60" i="4"/>
  <c r="D60" i="4"/>
  <c r="B60" i="4"/>
  <c r="P59" i="4"/>
  <c r="N59" i="4"/>
  <c r="O59" i="4" s="1"/>
  <c r="M59" i="4"/>
  <c r="K59" i="4"/>
  <c r="G59" i="4"/>
  <c r="F59" i="4"/>
  <c r="E59" i="4"/>
  <c r="D59" i="4"/>
  <c r="B59" i="4"/>
  <c r="P58" i="4"/>
  <c r="N58" i="4"/>
  <c r="O58" i="4" s="1"/>
  <c r="M58" i="4"/>
  <c r="K58" i="4"/>
  <c r="G58" i="4"/>
  <c r="F58" i="4"/>
  <c r="E58" i="4"/>
  <c r="D58" i="4"/>
  <c r="B58" i="4"/>
  <c r="P57" i="4"/>
  <c r="N57" i="4"/>
  <c r="O57" i="4" s="1"/>
  <c r="M57" i="4"/>
  <c r="K57" i="4"/>
  <c r="G57" i="4"/>
  <c r="F57" i="4"/>
  <c r="E57" i="4"/>
  <c r="D57" i="4"/>
  <c r="B57" i="4"/>
  <c r="P56" i="4"/>
  <c r="N56" i="4"/>
  <c r="O56" i="4" s="1"/>
  <c r="M56" i="4"/>
  <c r="K56" i="4"/>
  <c r="G56" i="4"/>
  <c r="H56" i="4" s="1"/>
  <c r="F56" i="4"/>
  <c r="E56" i="4"/>
  <c r="D56" i="4"/>
  <c r="B56" i="4"/>
  <c r="P55" i="4"/>
  <c r="N55" i="4"/>
  <c r="O55" i="4" s="1"/>
  <c r="M55" i="4"/>
  <c r="K55" i="4"/>
  <c r="G55" i="4"/>
  <c r="F55" i="4"/>
  <c r="E55" i="4"/>
  <c r="D55" i="4"/>
  <c r="B55" i="4"/>
  <c r="P54" i="4"/>
  <c r="N54" i="4"/>
  <c r="O54" i="4" s="1"/>
  <c r="M54" i="4"/>
  <c r="K54" i="4"/>
  <c r="G54" i="4"/>
  <c r="F54" i="4"/>
  <c r="E54" i="4"/>
  <c r="D54" i="4"/>
  <c r="B54" i="4"/>
  <c r="P53" i="4"/>
  <c r="N53" i="4"/>
  <c r="O53" i="4" s="1"/>
  <c r="M53" i="4"/>
  <c r="K53" i="4"/>
  <c r="G53" i="4"/>
  <c r="F53" i="4"/>
  <c r="E53" i="4"/>
  <c r="D53" i="4"/>
  <c r="B53" i="4"/>
  <c r="P52" i="4"/>
  <c r="N52" i="4"/>
  <c r="O52" i="4" s="1"/>
  <c r="M52" i="4"/>
  <c r="K52" i="4"/>
  <c r="G52" i="4"/>
  <c r="J52" i="4" s="1"/>
  <c r="L52" i="4" s="1"/>
  <c r="F52" i="4"/>
  <c r="E52" i="4"/>
  <c r="D52" i="4"/>
  <c r="B52" i="4"/>
  <c r="P51" i="4"/>
  <c r="N51" i="4"/>
  <c r="O51" i="4" s="1"/>
  <c r="M51" i="4"/>
  <c r="K51" i="4"/>
  <c r="G51" i="4"/>
  <c r="F51" i="4"/>
  <c r="E51" i="4"/>
  <c r="D51" i="4"/>
  <c r="B51" i="4"/>
  <c r="P50" i="4"/>
  <c r="N50" i="4"/>
  <c r="O50" i="4" s="1"/>
  <c r="M50" i="4"/>
  <c r="K50" i="4"/>
  <c r="G50" i="4"/>
  <c r="J50" i="4" s="1"/>
  <c r="L50" i="4" s="1"/>
  <c r="F50" i="4"/>
  <c r="E50" i="4"/>
  <c r="D50" i="4"/>
  <c r="B50" i="4"/>
  <c r="P49" i="4"/>
  <c r="N49" i="4"/>
  <c r="O49" i="4" s="1"/>
  <c r="M49" i="4"/>
  <c r="K49" i="4"/>
  <c r="G49" i="4"/>
  <c r="J49" i="4" s="1"/>
  <c r="L49" i="4" s="1"/>
  <c r="F49" i="4"/>
  <c r="E49" i="4"/>
  <c r="D49" i="4"/>
  <c r="B49" i="4"/>
  <c r="P48" i="4"/>
  <c r="N48" i="4"/>
  <c r="O48" i="4" s="1"/>
  <c r="M48" i="4"/>
  <c r="K48" i="4"/>
  <c r="G48" i="4"/>
  <c r="F48" i="4"/>
  <c r="E48" i="4"/>
  <c r="D48" i="4"/>
  <c r="B48" i="4"/>
  <c r="P47" i="4"/>
  <c r="N47" i="4"/>
  <c r="O47" i="4" s="1"/>
  <c r="M47" i="4"/>
  <c r="K47" i="4"/>
  <c r="G47" i="4"/>
  <c r="J47" i="4" s="1"/>
  <c r="L47" i="4" s="1"/>
  <c r="F47" i="4"/>
  <c r="E47" i="4"/>
  <c r="D47" i="4"/>
  <c r="B47" i="4"/>
  <c r="P46" i="4"/>
  <c r="N46" i="4"/>
  <c r="O46" i="4" s="1"/>
  <c r="M46" i="4"/>
  <c r="K46" i="4"/>
  <c r="G46" i="4"/>
  <c r="F46" i="4"/>
  <c r="E46" i="4"/>
  <c r="D46" i="4"/>
  <c r="B46" i="4"/>
  <c r="P45" i="4"/>
  <c r="N45" i="4"/>
  <c r="O45" i="4" s="1"/>
  <c r="M45" i="4"/>
  <c r="K45" i="4"/>
  <c r="G45" i="4"/>
  <c r="J45" i="4" s="1"/>
  <c r="L45" i="4" s="1"/>
  <c r="F45" i="4"/>
  <c r="E45" i="4"/>
  <c r="D45" i="4"/>
  <c r="B45" i="4"/>
  <c r="P44" i="4"/>
  <c r="N44" i="4"/>
  <c r="O44" i="4" s="1"/>
  <c r="M44" i="4"/>
  <c r="K44" i="4"/>
  <c r="G44" i="4"/>
  <c r="H44" i="4" s="1"/>
  <c r="F44" i="4"/>
  <c r="E44" i="4"/>
  <c r="D44" i="4"/>
  <c r="B44" i="4"/>
  <c r="P43" i="4"/>
  <c r="N43" i="4"/>
  <c r="O43" i="4" s="1"/>
  <c r="M43" i="4"/>
  <c r="K43" i="4"/>
  <c r="G43" i="4"/>
  <c r="J43" i="4" s="1"/>
  <c r="L43" i="4" s="1"/>
  <c r="F43" i="4"/>
  <c r="E43" i="4"/>
  <c r="D43" i="4"/>
  <c r="B43" i="4"/>
  <c r="P42" i="4"/>
  <c r="N42" i="4"/>
  <c r="O42" i="4" s="1"/>
  <c r="M42" i="4"/>
  <c r="K42" i="4"/>
  <c r="J42" i="4"/>
  <c r="L42" i="4" s="1"/>
  <c r="I42" i="4"/>
  <c r="G42" i="4"/>
  <c r="H42" i="4" s="1"/>
  <c r="F42" i="4"/>
  <c r="E42" i="4"/>
  <c r="D42" i="4"/>
  <c r="B42" i="4"/>
  <c r="P41" i="4"/>
  <c r="N41" i="4"/>
  <c r="O41" i="4" s="1"/>
  <c r="M41" i="4"/>
  <c r="K41" i="4"/>
  <c r="G41" i="4"/>
  <c r="F41" i="4"/>
  <c r="E41" i="4"/>
  <c r="D41" i="4"/>
  <c r="B41" i="4"/>
  <c r="P40" i="4"/>
  <c r="N40" i="4"/>
  <c r="O40" i="4" s="1"/>
  <c r="M40" i="4"/>
  <c r="K40" i="4"/>
  <c r="G40" i="4"/>
  <c r="F40" i="4"/>
  <c r="E40" i="4"/>
  <c r="D40" i="4"/>
  <c r="B40" i="4"/>
  <c r="P39" i="4"/>
  <c r="N39" i="4"/>
  <c r="O39" i="4" s="1"/>
  <c r="M39" i="4"/>
  <c r="K39" i="4"/>
  <c r="J39" i="4"/>
  <c r="L39" i="4" s="1"/>
  <c r="I39" i="4"/>
  <c r="H39" i="4"/>
  <c r="G39" i="4"/>
  <c r="F39" i="4"/>
  <c r="E39" i="4"/>
  <c r="D39" i="4"/>
  <c r="B39" i="4"/>
  <c r="P38" i="4"/>
  <c r="N38" i="4"/>
  <c r="O38" i="4" s="1"/>
  <c r="M38" i="4"/>
  <c r="K38" i="4"/>
  <c r="G38" i="4"/>
  <c r="I38" i="4" s="1"/>
  <c r="F38" i="4"/>
  <c r="E38" i="4"/>
  <c r="D38" i="4"/>
  <c r="B38" i="4"/>
  <c r="P37" i="4"/>
  <c r="O37" i="4"/>
  <c r="N37" i="4"/>
  <c r="M37" i="4"/>
  <c r="K37" i="4"/>
  <c r="G37" i="4"/>
  <c r="H37" i="4" s="1"/>
  <c r="F37" i="4"/>
  <c r="E37" i="4"/>
  <c r="D37" i="4"/>
  <c r="B37" i="4"/>
  <c r="P36" i="4"/>
  <c r="N36" i="4"/>
  <c r="O36" i="4" s="1"/>
  <c r="M36" i="4"/>
  <c r="K36" i="4"/>
  <c r="G36" i="4"/>
  <c r="F36" i="4"/>
  <c r="E36" i="4"/>
  <c r="D36" i="4"/>
  <c r="B36" i="4"/>
  <c r="P35" i="4"/>
  <c r="N35" i="4"/>
  <c r="O35" i="4" s="1"/>
  <c r="M35" i="4"/>
  <c r="K35" i="4"/>
  <c r="G35" i="4"/>
  <c r="F35" i="4"/>
  <c r="E35" i="4"/>
  <c r="D35" i="4"/>
  <c r="B35" i="4"/>
  <c r="P34" i="4"/>
  <c r="N34" i="4"/>
  <c r="O34" i="4" s="1"/>
  <c r="M34" i="4"/>
  <c r="K34" i="4"/>
  <c r="G34" i="4"/>
  <c r="H34" i="4" s="1"/>
  <c r="F34" i="4"/>
  <c r="E34" i="4"/>
  <c r="D34" i="4"/>
  <c r="B34" i="4"/>
  <c r="P33" i="4"/>
  <c r="N33" i="4"/>
  <c r="O33" i="4" s="1"/>
  <c r="M33" i="4"/>
  <c r="K33" i="4"/>
  <c r="G33" i="4"/>
  <c r="F33" i="4"/>
  <c r="E33" i="4"/>
  <c r="D33" i="4"/>
  <c r="B33" i="4"/>
  <c r="P32" i="4"/>
  <c r="N32" i="4"/>
  <c r="O32" i="4" s="1"/>
  <c r="M32" i="4"/>
  <c r="K32" i="4"/>
  <c r="G32" i="4"/>
  <c r="H32" i="4" s="1"/>
  <c r="F32" i="4"/>
  <c r="E32" i="4"/>
  <c r="D32" i="4"/>
  <c r="B32" i="4"/>
  <c r="P31" i="4"/>
  <c r="N31" i="4"/>
  <c r="O31" i="4" s="1"/>
  <c r="M31" i="4"/>
  <c r="K31" i="4"/>
  <c r="G31" i="4"/>
  <c r="I31" i="4" s="1"/>
  <c r="F31" i="4"/>
  <c r="E31" i="4"/>
  <c r="D31" i="4"/>
  <c r="B31" i="4"/>
  <c r="P30" i="4"/>
  <c r="O30" i="4"/>
  <c r="N30" i="4"/>
  <c r="M30" i="4"/>
  <c r="K30" i="4"/>
  <c r="J30" i="4"/>
  <c r="L30" i="4" s="1"/>
  <c r="G30" i="4"/>
  <c r="I30" i="4" s="1"/>
  <c r="F30" i="4"/>
  <c r="E30" i="4"/>
  <c r="D30" i="4"/>
  <c r="B30" i="4"/>
  <c r="P29" i="4"/>
  <c r="N29" i="4"/>
  <c r="O29" i="4" s="1"/>
  <c r="M29" i="4"/>
  <c r="K29" i="4"/>
  <c r="G29" i="4"/>
  <c r="J29" i="4" s="1"/>
  <c r="L29" i="4" s="1"/>
  <c r="F29" i="4"/>
  <c r="E29" i="4"/>
  <c r="D29" i="4"/>
  <c r="B29" i="4"/>
  <c r="P28" i="4"/>
  <c r="O28" i="4"/>
  <c r="N28" i="4"/>
  <c r="M28" i="4"/>
  <c r="K28" i="4"/>
  <c r="G28" i="4"/>
  <c r="J28" i="4" s="1"/>
  <c r="L28" i="4" s="1"/>
  <c r="F28" i="4"/>
  <c r="E28" i="4"/>
  <c r="D28" i="4"/>
  <c r="B28" i="4"/>
  <c r="P27" i="4"/>
  <c r="N27" i="4"/>
  <c r="O27" i="4" s="1"/>
  <c r="M27" i="4"/>
  <c r="K27" i="4"/>
  <c r="G27" i="4"/>
  <c r="F27" i="4"/>
  <c r="E27" i="4"/>
  <c r="D27" i="4"/>
  <c r="B27" i="4"/>
  <c r="P26" i="4"/>
  <c r="N26" i="4"/>
  <c r="O26" i="4" s="1"/>
  <c r="M26" i="4"/>
  <c r="K26" i="4"/>
  <c r="G26" i="4"/>
  <c r="F26" i="4"/>
  <c r="E26" i="4"/>
  <c r="D26" i="4"/>
  <c r="B26" i="4"/>
  <c r="P25" i="4"/>
  <c r="O25" i="4"/>
  <c r="N25" i="4"/>
  <c r="M25" i="4"/>
  <c r="K25" i="4"/>
  <c r="H25" i="4"/>
  <c r="G25" i="4"/>
  <c r="J25" i="4" s="1"/>
  <c r="L25" i="4" s="1"/>
  <c r="F25" i="4"/>
  <c r="E25" i="4"/>
  <c r="D25" i="4"/>
  <c r="B25" i="4"/>
  <c r="P24" i="4"/>
  <c r="N24" i="4"/>
  <c r="O24" i="4" s="1"/>
  <c r="M24" i="4"/>
  <c r="K24" i="4"/>
  <c r="G24" i="4"/>
  <c r="J24" i="4" s="1"/>
  <c r="L24" i="4" s="1"/>
  <c r="F24" i="4"/>
  <c r="E24" i="4"/>
  <c r="D24" i="4"/>
  <c r="B24" i="4"/>
  <c r="P23" i="4"/>
  <c r="N23" i="4"/>
  <c r="O23" i="4" s="1"/>
  <c r="M23" i="4"/>
  <c r="K23" i="4"/>
  <c r="G23" i="4"/>
  <c r="H23" i="4" s="1"/>
  <c r="F23" i="4"/>
  <c r="E23" i="4"/>
  <c r="D23" i="4"/>
  <c r="B23" i="4"/>
  <c r="P22" i="4"/>
  <c r="N22" i="4"/>
  <c r="O22" i="4" s="1"/>
  <c r="M22" i="4"/>
  <c r="K22" i="4"/>
  <c r="G22" i="4"/>
  <c r="F22" i="4"/>
  <c r="E22" i="4"/>
  <c r="D22" i="4"/>
  <c r="B22" i="4"/>
  <c r="P21" i="4"/>
  <c r="N21" i="4"/>
  <c r="O21" i="4" s="1"/>
  <c r="M21" i="4"/>
  <c r="K21" i="4"/>
  <c r="G21" i="4"/>
  <c r="I21" i="4" s="1"/>
  <c r="F21" i="4"/>
  <c r="E21" i="4"/>
  <c r="D21" i="4"/>
  <c r="B21" i="4"/>
  <c r="P20" i="4"/>
  <c r="N20" i="4"/>
  <c r="O20" i="4" s="1"/>
  <c r="M20" i="4"/>
  <c r="K20" i="4"/>
  <c r="G20" i="4"/>
  <c r="H20" i="4" s="1"/>
  <c r="F20" i="4"/>
  <c r="E20" i="4"/>
  <c r="D20" i="4"/>
  <c r="B20" i="4"/>
  <c r="P19" i="4"/>
  <c r="N19" i="4"/>
  <c r="O19" i="4" s="1"/>
  <c r="M19" i="4"/>
  <c r="K19" i="4"/>
  <c r="G19" i="4"/>
  <c r="F19" i="4"/>
  <c r="E19" i="4"/>
  <c r="D19" i="4"/>
  <c r="B19" i="4"/>
  <c r="P18" i="4"/>
  <c r="N18" i="4"/>
  <c r="O18" i="4" s="1"/>
  <c r="M18" i="4"/>
  <c r="K18" i="4"/>
  <c r="G18" i="4"/>
  <c r="J18" i="4" s="1"/>
  <c r="L18" i="4" s="1"/>
  <c r="F18" i="4"/>
  <c r="E18" i="4"/>
  <c r="D18" i="4"/>
  <c r="B18" i="4"/>
  <c r="P17" i="4"/>
  <c r="N17" i="4"/>
  <c r="O17" i="4" s="1"/>
  <c r="M17" i="4"/>
  <c r="K17" i="4"/>
  <c r="G17" i="4"/>
  <c r="F17" i="4"/>
  <c r="E17" i="4"/>
  <c r="D17" i="4"/>
  <c r="B17" i="4"/>
  <c r="P16" i="4"/>
  <c r="N16" i="4"/>
  <c r="O16" i="4" s="1"/>
  <c r="M16" i="4"/>
  <c r="K16" i="4"/>
  <c r="G16" i="4"/>
  <c r="J16" i="4" s="1"/>
  <c r="L16" i="4" s="1"/>
  <c r="F16" i="4"/>
  <c r="E16" i="4"/>
  <c r="D16" i="4"/>
  <c r="B16" i="4"/>
  <c r="P15" i="4"/>
  <c r="N15" i="4"/>
  <c r="O15" i="4" s="1"/>
  <c r="M15" i="4"/>
  <c r="K15" i="4"/>
  <c r="G15" i="4"/>
  <c r="H15" i="4" s="1"/>
  <c r="F15" i="4"/>
  <c r="E15" i="4"/>
  <c r="D15" i="4"/>
  <c r="B15" i="4"/>
  <c r="P14" i="4"/>
  <c r="N14" i="4"/>
  <c r="O14" i="4" s="1"/>
  <c r="M14" i="4"/>
  <c r="K14" i="4"/>
  <c r="G14" i="4"/>
  <c r="J14" i="4" s="1"/>
  <c r="L14" i="4" s="1"/>
  <c r="F14" i="4"/>
  <c r="E14" i="4"/>
  <c r="D14" i="4"/>
  <c r="B14" i="4"/>
  <c r="P13" i="4"/>
  <c r="N13" i="4"/>
  <c r="O13" i="4" s="1"/>
  <c r="M13" i="4"/>
  <c r="K13" i="4"/>
  <c r="G13" i="4"/>
  <c r="F13" i="4"/>
  <c r="E13" i="4"/>
  <c r="D13" i="4"/>
  <c r="B13" i="4"/>
  <c r="P12" i="4"/>
  <c r="N12" i="4"/>
  <c r="O12" i="4" s="1"/>
  <c r="M12" i="4"/>
  <c r="K12" i="4"/>
  <c r="G12" i="4"/>
  <c r="J12" i="4" s="1"/>
  <c r="L12" i="4" s="1"/>
  <c r="F12" i="4"/>
  <c r="E12" i="4"/>
  <c r="D12" i="4"/>
  <c r="B12" i="4"/>
  <c r="P11" i="4"/>
  <c r="N11" i="4"/>
  <c r="O11" i="4" s="1"/>
  <c r="M11" i="4"/>
  <c r="K11" i="4"/>
  <c r="G11" i="4"/>
  <c r="J11" i="4" s="1"/>
  <c r="L11" i="4" s="1"/>
  <c r="F11" i="4"/>
  <c r="E11" i="4"/>
  <c r="D11" i="4"/>
  <c r="B11" i="4"/>
  <c r="P10" i="4"/>
  <c r="N10" i="4"/>
  <c r="O10" i="4" s="1"/>
  <c r="M10" i="4"/>
  <c r="K10" i="4"/>
  <c r="G10" i="4"/>
  <c r="I10" i="4" s="1"/>
  <c r="F10" i="4"/>
  <c r="E10" i="4"/>
  <c r="D10" i="4"/>
  <c r="B10" i="4"/>
  <c r="P9" i="4"/>
  <c r="N9" i="4"/>
  <c r="O9" i="4" s="1"/>
  <c r="M9" i="4"/>
  <c r="K9" i="4"/>
  <c r="G9" i="4"/>
  <c r="J9" i="4" s="1"/>
  <c r="L9" i="4" s="1"/>
  <c r="F9" i="4"/>
  <c r="E9" i="4"/>
  <c r="D9" i="4"/>
  <c r="B9" i="4"/>
  <c r="P8" i="4"/>
  <c r="N8" i="4"/>
  <c r="O8" i="4" s="1"/>
  <c r="M8" i="4"/>
  <c r="L8" i="4"/>
  <c r="K8" i="4"/>
  <c r="I8" i="4"/>
  <c r="H8" i="4"/>
  <c r="G8" i="4"/>
  <c r="J8" i="4" s="1"/>
  <c r="F8" i="4"/>
  <c r="E8" i="4"/>
  <c r="D8" i="4"/>
  <c r="B8" i="4"/>
  <c r="P7" i="4"/>
  <c r="N7" i="4"/>
  <c r="O7" i="4" s="1"/>
  <c r="M7" i="4"/>
  <c r="K7" i="4"/>
  <c r="G7" i="4"/>
  <c r="I7" i="4" s="1"/>
  <c r="F7" i="4"/>
  <c r="E7" i="4"/>
  <c r="D7" i="4"/>
  <c r="B7" i="4"/>
  <c r="P6" i="4"/>
  <c r="O6" i="4"/>
  <c r="N6" i="4"/>
  <c r="M6" i="4"/>
  <c r="K6" i="4"/>
  <c r="G6" i="4"/>
  <c r="J6" i="4" s="1"/>
  <c r="L6" i="4" s="1"/>
  <c r="F6" i="4"/>
  <c r="E6" i="4"/>
  <c r="D6" i="4"/>
  <c r="B6" i="4"/>
  <c r="P5" i="4"/>
  <c r="N5" i="4"/>
  <c r="O5" i="4" s="1"/>
  <c r="M5" i="4"/>
  <c r="K5" i="4"/>
  <c r="G5" i="4"/>
  <c r="J5" i="4" s="1"/>
  <c r="L5" i="4" s="1"/>
  <c r="F5" i="4"/>
  <c r="E5" i="4"/>
  <c r="D5" i="4"/>
  <c r="B5" i="4"/>
  <c r="P4" i="4"/>
  <c r="N4" i="4"/>
  <c r="O4" i="4" s="1"/>
  <c r="M4" i="4"/>
  <c r="K4" i="4"/>
  <c r="G4" i="4"/>
  <c r="I4" i="4" s="1"/>
  <c r="F4" i="4"/>
  <c r="E4" i="4"/>
  <c r="D4" i="4"/>
  <c r="B4" i="4"/>
  <c r="P3" i="4"/>
  <c r="N3" i="4"/>
  <c r="O3" i="4" s="1"/>
  <c r="M3" i="4"/>
  <c r="K3" i="4"/>
  <c r="I3" i="4"/>
  <c r="G3" i="4"/>
  <c r="J3" i="4" s="1"/>
  <c r="L3" i="4" s="1"/>
  <c r="F3" i="4"/>
  <c r="E3" i="4"/>
  <c r="D3" i="4"/>
  <c r="B3" i="4"/>
  <c r="B2" i="4"/>
  <c r="AK501" i="3"/>
  <c r="AH501" i="3"/>
  <c r="AG501" i="3"/>
  <c r="AF501" i="3"/>
  <c r="AD501" i="3"/>
  <c r="AB501" i="3"/>
  <c r="AC501" i="3" s="1"/>
  <c r="S501" i="3"/>
  <c r="T501" i="3" s="1"/>
  <c r="V501" i="3" s="1"/>
  <c r="L501" i="3"/>
  <c r="K501" i="3"/>
  <c r="H501" i="3"/>
  <c r="B501" i="3"/>
  <c r="AK500" i="3"/>
  <c r="AH500" i="3"/>
  <c r="AG500" i="3"/>
  <c r="AF500" i="3"/>
  <c r="AD500" i="3"/>
  <c r="AB500" i="3"/>
  <c r="AC500" i="3" s="1"/>
  <c r="S500" i="3"/>
  <c r="T500" i="3" s="1"/>
  <c r="L500" i="3"/>
  <c r="K500" i="3"/>
  <c r="H500" i="3"/>
  <c r="B500" i="3"/>
  <c r="AK499" i="3"/>
  <c r="AH499" i="3"/>
  <c r="AG499" i="3"/>
  <c r="AF499" i="3"/>
  <c r="AD499" i="3"/>
  <c r="AB499" i="3"/>
  <c r="AC499" i="3" s="1"/>
  <c r="S499" i="3"/>
  <c r="T499" i="3" s="1"/>
  <c r="V499" i="3" s="1"/>
  <c r="W499" i="3" s="1"/>
  <c r="L499" i="3"/>
  <c r="K499" i="3"/>
  <c r="H499" i="3"/>
  <c r="B499" i="3"/>
  <c r="AK498" i="3"/>
  <c r="AH498" i="3"/>
  <c r="AG498" i="3"/>
  <c r="AF498" i="3"/>
  <c r="AD498" i="3"/>
  <c r="AB498" i="3"/>
  <c r="AC498" i="3" s="1"/>
  <c r="S498" i="3"/>
  <c r="T498" i="3" s="1"/>
  <c r="L498" i="3"/>
  <c r="K498" i="3"/>
  <c r="H498" i="3"/>
  <c r="B498" i="3"/>
  <c r="AK497" i="3"/>
  <c r="AH497" i="3"/>
  <c r="AG497" i="3"/>
  <c r="AF497" i="3"/>
  <c r="AD497" i="3"/>
  <c r="AB497" i="3"/>
  <c r="AC497" i="3" s="1"/>
  <c r="S497" i="3"/>
  <c r="T497" i="3" s="1"/>
  <c r="L497" i="3"/>
  <c r="K497" i="3"/>
  <c r="H497" i="3"/>
  <c r="B497" i="3"/>
  <c r="AK496" i="3"/>
  <c r="AH496" i="3"/>
  <c r="AG496" i="3"/>
  <c r="AF496" i="3"/>
  <c r="AD496" i="3"/>
  <c r="AB496" i="3"/>
  <c r="AC496" i="3" s="1"/>
  <c r="S496" i="3"/>
  <c r="T496" i="3" s="1"/>
  <c r="L496" i="3"/>
  <c r="K496" i="3"/>
  <c r="H496" i="3"/>
  <c r="B496" i="3"/>
  <c r="AK495" i="3"/>
  <c r="AH495" i="3"/>
  <c r="AG495" i="3"/>
  <c r="AF495" i="3"/>
  <c r="AD495" i="3"/>
  <c r="AB495" i="3"/>
  <c r="AC495" i="3" s="1"/>
  <c r="S495" i="3"/>
  <c r="T495" i="3" s="1"/>
  <c r="L495" i="3"/>
  <c r="K495" i="3"/>
  <c r="H495" i="3"/>
  <c r="B495" i="3"/>
  <c r="AK494" i="3"/>
  <c r="AH494" i="3"/>
  <c r="AG494" i="3"/>
  <c r="AF494" i="3"/>
  <c r="AD494" i="3"/>
  <c r="AB494" i="3"/>
  <c r="AC494" i="3" s="1"/>
  <c r="S494" i="3"/>
  <c r="T494" i="3" s="1"/>
  <c r="L494" i="3"/>
  <c r="K494" i="3"/>
  <c r="H494" i="3"/>
  <c r="B494" i="3"/>
  <c r="AK493" i="3"/>
  <c r="AH493" i="3"/>
  <c r="AG493" i="3"/>
  <c r="AF493" i="3"/>
  <c r="AD493" i="3"/>
  <c r="AB493" i="3"/>
  <c r="AC493" i="3" s="1"/>
  <c r="S493" i="3"/>
  <c r="T493" i="3" s="1"/>
  <c r="V493" i="3" s="1"/>
  <c r="L493" i="3"/>
  <c r="K493" i="3"/>
  <c r="H493" i="3"/>
  <c r="B493" i="3"/>
  <c r="AK492" i="3"/>
  <c r="AH492" i="3"/>
  <c r="AG492" i="3"/>
  <c r="AF492" i="3"/>
  <c r="AD492" i="3"/>
  <c r="AB492" i="3"/>
  <c r="AC492" i="3" s="1"/>
  <c r="S492" i="3"/>
  <c r="T492" i="3" s="1"/>
  <c r="L492" i="3"/>
  <c r="K492" i="3"/>
  <c r="H492" i="3"/>
  <c r="B492" i="3"/>
  <c r="AK491" i="3"/>
  <c r="AH491" i="3"/>
  <c r="AG491" i="3"/>
  <c r="AF491" i="3"/>
  <c r="AD491" i="3"/>
  <c r="AB491" i="3"/>
  <c r="AC491" i="3" s="1"/>
  <c r="S491" i="3"/>
  <c r="T491" i="3" s="1"/>
  <c r="L491" i="3"/>
  <c r="K491" i="3"/>
  <c r="H491" i="3"/>
  <c r="B491" i="3"/>
  <c r="AK490" i="3"/>
  <c r="AH490" i="3"/>
  <c r="AG490" i="3"/>
  <c r="AF490" i="3"/>
  <c r="AD490" i="3"/>
  <c r="AB490" i="3"/>
  <c r="AC490" i="3" s="1"/>
  <c r="S490" i="3"/>
  <c r="T490" i="3" s="1"/>
  <c r="L490" i="3"/>
  <c r="K490" i="3"/>
  <c r="H490" i="3"/>
  <c r="B490" i="3"/>
  <c r="AK489" i="3"/>
  <c r="AH489" i="3"/>
  <c r="AG489" i="3"/>
  <c r="AF489" i="3"/>
  <c r="AD489" i="3"/>
  <c r="AB489" i="3"/>
  <c r="AC489" i="3" s="1"/>
  <c r="S489" i="3"/>
  <c r="T489" i="3" s="1"/>
  <c r="L489" i="3"/>
  <c r="K489" i="3"/>
  <c r="H489" i="3"/>
  <c r="B489" i="3"/>
  <c r="AK488" i="3"/>
  <c r="AH488" i="3"/>
  <c r="AG488" i="3"/>
  <c r="AF488" i="3"/>
  <c r="AD488" i="3"/>
  <c r="AB488" i="3"/>
  <c r="AC488" i="3" s="1"/>
  <c r="S488" i="3"/>
  <c r="T488" i="3" s="1"/>
  <c r="V488" i="3" s="1"/>
  <c r="L488" i="3"/>
  <c r="K488" i="3"/>
  <c r="H488" i="3"/>
  <c r="B488" i="3"/>
  <c r="AK487" i="3"/>
  <c r="AH487" i="3"/>
  <c r="AG487" i="3"/>
  <c r="AF487" i="3"/>
  <c r="AD487" i="3"/>
  <c r="AB487" i="3"/>
  <c r="AC487" i="3" s="1"/>
  <c r="S487" i="3"/>
  <c r="T487" i="3" s="1"/>
  <c r="L487" i="3"/>
  <c r="K487" i="3"/>
  <c r="H487" i="3"/>
  <c r="B487" i="3"/>
  <c r="AK486" i="3"/>
  <c r="AH486" i="3"/>
  <c r="AG486" i="3"/>
  <c r="AF486" i="3"/>
  <c r="AD486" i="3"/>
  <c r="AB486" i="3"/>
  <c r="AC486" i="3" s="1"/>
  <c r="S486" i="3"/>
  <c r="T486" i="3" s="1"/>
  <c r="L486" i="3"/>
  <c r="K486" i="3"/>
  <c r="H486" i="3"/>
  <c r="B486" i="3"/>
  <c r="AK485" i="3"/>
  <c r="AH485" i="3"/>
  <c r="AG485" i="3"/>
  <c r="AF485" i="3"/>
  <c r="AD485" i="3"/>
  <c r="AB485" i="3"/>
  <c r="AC485" i="3" s="1"/>
  <c r="S485" i="3"/>
  <c r="T485" i="3" s="1"/>
  <c r="L485" i="3"/>
  <c r="K485" i="3"/>
  <c r="H485" i="3"/>
  <c r="B485" i="3"/>
  <c r="AK484" i="3"/>
  <c r="AH484" i="3"/>
  <c r="AG484" i="3"/>
  <c r="AF484" i="3"/>
  <c r="AD484" i="3"/>
  <c r="AB484" i="3"/>
  <c r="AC484" i="3" s="1"/>
  <c r="S484" i="3"/>
  <c r="T484" i="3" s="1"/>
  <c r="U484" i="3" s="1"/>
  <c r="Z484" i="3" s="1"/>
  <c r="L484" i="3"/>
  <c r="K484" i="3"/>
  <c r="H484" i="3"/>
  <c r="B484" i="3"/>
  <c r="AK483" i="3"/>
  <c r="AH483" i="3"/>
  <c r="AG483" i="3"/>
  <c r="AF483" i="3"/>
  <c r="AD483" i="3"/>
  <c r="AB483" i="3"/>
  <c r="AC483" i="3" s="1"/>
  <c r="S483" i="3"/>
  <c r="T483" i="3" s="1"/>
  <c r="V483" i="3" s="1"/>
  <c r="L483" i="3"/>
  <c r="K483" i="3"/>
  <c r="H483" i="3"/>
  <c r="B483" i="3"/>
  <c r="AK482" i="3"/>
  <c r="AH482" i="3"/>
  <c r="AG482" i="3"/>
  <c r="AF482" i="3"/>
  <c r="AD482" i="3"/>
  <c r="AB482" i="3"/>
  <c r="AC482" i="3" s="1"/>
  <c r="S482" i="3"/>
  <c r="T482" i="3" s="1"/>
  <c r="L482" i="3"/>
  <c r="K482" i="3"/>
  <c r="H482" i="3"/>
  <c r="B482" i="3"/>
  <c r="AK481" i="3"/>
  <c r="AH481" i="3"/>
  <c r="AG481" i="3"/>
  <c r="AF481" i="3"/>
  <c r="AD481" i="3"/>
  <c r="AB481" i="3"/>
  <c r="AC481" i="3" s="1"/>
  <c r="S481" i="3"/>
  <c r="T481" i="3" s="1"/>
  <c r="U481" i="3" s="1"/>
  <c r="Z481" i="3" s="1"/>
  <c r="L481" i="3"/>
  <c r="K481" i="3"/>
  <c r="H481" i="3"/>
  <c r="B481" i="3"/>
  <c r="AK480" i="3"/>
  <c r="AH480" i="3"/>
  <c r="AG480" i="3"/>
  <c r="AF480" i="3"/>
  <c r="AD480" i="3"/>
  <c r="AB480" i="3"/>
  <c r="AC480" i="3" s="1"/>
  <c r="S480" i="3"/>
  <c r="T480" i="3" s="1"/>
  <c r="U480" i="3" s="1"/>
  <c r="Z480" i="3" s="1"/>
  <c r="L480" i="3"/>
  <c r="K480" i="3"/>
  <c r="H480" i="3"/>
  <c r="B480" i="3"/>
  <c r="AK479" i="3"/>
  <c r="AH479" i="3"/>
  <c r="AG479" i="3"/>
  <c r="AF479" i="3"/>
  <c r="AD479" i="3"/>
  <c r="AB479" i="3"/>
  <c r="AC479" i="3" s="1"/>
  <c r="S479" i="3"/>
  <c r="T479" i="3" s="1"/>
  <c r="L479" i="3"/>
  <c r="K479" i="3"/>
  <c r="H479" i="3"/>
  <c r="B479" i="3"/>
  <c r="AK478" i="3"/>
  <c r="AH478" i="3"/>
  <c r="AG478" i="3"/>
  <c r="AF478" i="3"/>
  <c r="AD478" i="3"/>
  <c r="AB478" i="3"/>
  <c r="AC478" i="3" s="1"/>
  <c r="S478" i="3"/>
  <c r="T478" i="3" s="1"/>
  <c r="L478" i="3"/>
  <c r="K478" i="3"/>
  <c r="H478" i="3"/>
  <c r="B478" i="3"/>
  <c r="AK477" i="3"/>
  <c r="AH477" i="3"/>
  <c r="AG477" i="3"/>
  <c r="AF477" i="3"/>
  <c r="AD477" i="3"/>
  <c r="AB477" i="3"/>
  <c r="AC477" i="3" s="1"/>
  <c r="T477" i="3"/>
  <c r="S477" i="3"/>
  <c r="L477" i="3"/>
  <c r="K477" i="3"/>
  <c r="H477" i="3"/>
  <c r="B477" i="3"/>
  <c r="AK476" i="3"/>
  <c r="AH476" i="3"/>
  <c r="AG476" i="3"/>
  <c r="AF476" i="3"/>
  <c r="AD476" i="3"/>
  <c r="AB476" i="3"/>
  <c r="AC476" i="3" s="1"/>
  <c r="S476" i="3"/>
  <c r="T476" i="3" s="1"/>
  <c r="U476" i="3" s="1"/>
  <c r="Z476" i="3" s="1"/>
  <c r="L476" i="3"/>
  <c r="K476" i="3"/>
  <c r="H476" i="3"/>
  <c r="B476" i="3"/>
  <c r="AK475" i="3"/>
  <c r="AH475" i="3"/>
  <c r="AG475" i="3"/>
  <c r="AF475" i="3"/>
  <c r="AD475" i="3"/>
  <c r="AB475" i="3"/>
  <c r="AC475" i="3" s="1"/>
  <c r="S475" i="3"/>
  <c r="T475" i="3" s="1"/>
  <c r="V475" i="3" s="1"/>
  <c r="L475" i="3"/>
  <c r="K475" i="3"/>
  <c r="H475" i="3"/>
  <c r="B475" i="3"/>
  <c r="AK474" i="3"/>
  <c r="AH474" i="3"/>
  <c r="AG474" i="3"/>
  <c r="AF474" i="3"/>
  <c r="AD474" i="3"/>
  <c r="AB474" i="3"/>
  <c r="AC474" i="3" s="1"/>
  <c r="S474" i="3"/>
  <c r="T474" i="3" s="1"/>
  <c r="L474" i="3"/>
  <c r="K474" i="3"/>
  <c r="H474" i="3"/>
  <c r="B474" i="3"/>
  <c r="AK473" i="3"/>
  <c r="AH473" i="3"/>
  <c r="AG473" i="3"/>
  <c r="AF473" i="3"/>
  <c r="AD473" i="3"/>
  <c r="AB473" i="3"/>
  <c r="AC473" i="3" s="1"/>
  <c r="S473" i="3"/>
  <c r="T473" i="3" s="1"/>
  <c r="L473" i="3"/>
  <c r="K473" i="3"/>
  <c r="H473" i="3"/>
  <c r="B473" i="3"/>
  <c r="AK472" i="3"/>
  <c r="AH472" i="3"/>
  <c r="AG472" i="3"/>
  <c r="AF472" i="3"/>
  <c r="AD472" i="3"/>
  <c r="AB472" i="3"/>
  <c r="AC472" i="3" s="1"/>
  <c r="S472" i="3"/>
  <c r="T472" i="3" s="1"/>
  <c r="V472" i="3" s="1"/>
  <c r="Y472" i="3" s="1"/>
  <c r="AA472" i="3" s="1"/>
  <c r="L472" i="3"/>
  <c r="K472" i="3"/>
  <c r="H472" i="3"/>
  <c r="B472" i="3"/>
  <c r="AK471" i="3"/>
  <c r="AH471" i="3"/>
  <c r="AG471" i="3"/>
  <c r="AF471" i="3"/>
  <c r="AD471" i="3"/>
  <c r="AB471" i="3"/>
  <c r="AC471" i="3" s="1"/>
  <c r="S471" i="3"/>
  <c r="T471" i="3" s="1"/>
  <c r="L471" i="3"/>
  <c r="K471" i="3"/>
  <c r="H471" i="3"/>
  <c r="B471" i="3"/>
  <c r="AK470" i="3"/>
  <c r="AH470" i="3"/>
  <c r="AG470" i="3"/>
  <c r="AF470" i="3"/>
  <c r="AD470" i="3"/>
  <c r="AB470" i="3"/>
  <c r="AC470" i="3" s="1"/>
  <c r="S470" i="3"/>
  <c r="T470" i="3" s="1"/>
  <c r="L470" i="3"/>
  <c r="K470" i="3"/>
  <c r="H470" i="3"/>
  <c r="B470" i="3"/>
  <c r="AK469" i="3"/>
  <c r="AH469" i="3"/>
  <c r="AG469" i="3"/>
  <c r="AF469" i="3"/>
  <c r="AD469" i="3"/>
  <c r="AB469" i="3"/>
  <c r="AC469" i="3" s="1"/>
  <c r="S469" i="3"/>
  <c r="T469" i="3" s="1"/>
  <c r="L469" i="3"/>
  <c r="K469" i="3"/>
  <c r="H469" i="3"/>
  <c r="B469" i="3"/>
  <c r="AK468" i="3"/>
  <c r="AH468" i="3"/>
  <c r="AG468" i="3"/>
  <c r="AF468" i="3"/>
  <c r="AD468" i="3"/>
  <c r="AB468" i="3"/>
  <c r="AC468" i="3" s="1"/>
  <c r="S468" i="3"/>
  <c r="T468" i="3" s="1"/>
  <c r="L468" i="3"/>
  <c r="K468" i="3"/>
  <c r="H468" i="3"/>
  <c r="B468" i="3"/>
  <c r="AK467" i="3"/>
  <c r="AH467" i="3"/>
  <c r="AG467" i="3"/>
  <c r="AF467" i="3"/>
  <c r="AD467" i="3"/>
  <c r="AB467" i="3"/>
  <c r="AC467" i="3" s="1"/>
  <c r="S467" i="3"/>
  <c r="T467" i="3" s="1"/>
  <c r="L467" i="3"/>
  <c r="K467" i="3"/>
  <c r="H467" i="3"/>
  <c r="B467" i="3"/>
  <c r="AK466" i="3"/>
  <c r="AH466" i="3"/>
  <c r="AG466" i="3"/>
  <c r="AF466" i="3"/>
  <c r="AD466" i="3"/>
  <c r="AB466" i="3"/>
  <c r="AC466" i="3" s="1"/>
  <c r="S466" i="3"/>
  <c r="T466" i="3" s="1"/>
  <c r="L466" i="3"/>
  <c r="K466" i="3"/>
  <c r="H466" i="3"/>
  <c r="B466" i="3"/>
  <c r="AK465" i="3"/>
  <c r="AH465" i="3"/>
  <c r="AG465" i="3"/>
  <c r="AF465" i="3"/>
  <c r="AD465" i="3"/>
  <c r="AB465" i="3"/>
  <c r="AC465" i="3" s="1"/>
  <c r="S465" i="3"/>
  <c r="T465" i="3" s="1"/>
  <c r="V465" i="3" s="1"/>
  <c r="W465" i="3" s="1"/>
  <c r="L465" i="3"/>
  <c r="K465" i="3"/>
  <c r="H465" i="3"/>
  <c r="B465" i="3"/>
  <c r="AK464" i="3"/>
  <c r="AH464" i="3"/>
  <c r="AG464" i="3"/>
  <c r="AF464" i="3"/>
  <c r="AD464" i="3"/>
  <c r="AB464" i="3"/>
  <c r="AC464" i="3" s="1"/>
  <c r="S464" i="3"/>
  <c r="T464" i="3" s="1"/>
  <c r="L464" i="3"/>
  <c r="K464" i="3"/>
  <c r="H464" i="3"/>
  <c r="B464" i="3"/>
  <c r="AK463" i="3"/>
  <c r="AH463" i="3"/>
  <c r="AG463" i="3"/>
  <c r="AF463" i="3"/>
  <c r="AD463" i="3"/>
  <c r="AB463" i="3"/>
  <c r="AC463" i="3" s="1"/>
  <c r="S463" i="3"/>
  <c r="T463" i="3" s="1"/>
  <c r="V463" i="3" s="1"/>
  <c r="L463" i="3"/>
  <c r="K463" i="3"/>
  <c r="H463" i="3"/>
  <c r="B463" i="3"/>
  <c r="AK462" i="3"/>
  <c r="AH462" i="3"/>
  <c r="AG462" i="3"/>
  <c r="AF462" i="3"/>
  <c r="AD462" i="3"/>
  <c r="AB462" i="3"/>
  <c r="AC462" i="3" s="1"/>
  <c r="S462" i="3"/>
  <c r="T462" i="3" s="1"/>
  <c r="L462" i="3"/>
  <c r="K462" i="3"/>
  <c r="H462" i="3"/>
  <c r="B462" i="3"/>
  <c r="AK461" i="3"/>
  <c r="AH461" i="3"/>
  <c r="AG461" i="3"/>
  <c r="AF461" i="3"/>
  <c r="AD461" i="3"/>
  <c r="AB461" i="3"/>
  <c r="AC461" i="3" s="1"/>
  <c r="S461" i="3"/>
  <c r="T461" i="3" s="1"/>
  <c r="U461" i="3" s="1"/>
  <c r="Z461" i="3" s="1"/>
  <c r="L461" i="3"/>
  <c r="K461" i="3"/>
  <c r="H461" i="3"/>
  <c r="B461" i="3"/>
  <c r="AK460" i="3"/>
  <c r="AH460" i="3"/>
  <c r="AG460" i="3"/>
  <c r="AF460" i="3"/>
  <c r="AD460" i="3"/>
  <c r="AB460" i="3"/>
  <c r="AC460" i="3" s="1"/>
  <c r="S460" i="3"/>
  <c r="T460" i="3" s="1"/>
  <c r="L460" i="3"/>
  <c r="K460" i="3"/>
  <c r="H460" i="3"/>
  <c r="B460" i="3"/>
  <c r="AK459" i="3"/>
  <c r="AH459" i="3"/>
  <c r="AG459" i="3"/>
  <c r="AF459" i="3"/>
  <c r="AD459" i="3"/>
  <c r="AB459" i="3"/>
  <c r="AC459" i="3" s="1"/>
  <c r="S459" i="3"/>
  <c r="T459" i="3" s="1"/>
  <c r="L459" i="3"/>
  <c r="K459" i="3"/>
  <c r="H459" i="3"/>
  <c r="B459" i="3"/>
  <c r="AK458" i="3"/>
  <c r="AH458" i="3"/>
  <c r="AG458" i="3"/>
  <c r="AF458" i="3"/>
  <c r="AD458" i="3"/>
  <c r="AB458" i="3"/>
  <c r="AC458" i="3" s="1"/>
  <c r="S458" i="3"/>
  <c r="T458" i="3" s="1"/>
  <c r="V458" i="3" s="1"/>
  <c r="L458" i="3"/>
  <c r="K458" i="3"/>
  <c r="H458" i="3"/>
  <c r="B458" i="3"/>
  <c r="AK457" i="3"/>
  <c r="AH457" i="3"/>
  <c r="AG457" i="3"/>
  <c r="AF457" i="3"/>
  <c r="AD457" i="3"/>
  <c r="AB457" i="3"/>
  <c r="AC457" i="3" s="1"/>
  <c r="S457" i="3"/>
  <c r="T457" i="3" s="1"/>
  <c r="L457" i="3"/>
  <c r="K457" i="3"/>
  <c r="H457" i="3"/>
  <c r="B457" i="3"/>
  <c r="AK456" i="3"/>
  <c r="AH456" i="3"/>
  <c r="AG456" i="3"/>
  <c r="AF456" i="3"/>
  <c r="AD456" i="3"/>
  <c r="AB456" i="3"/>
  <c r="AC456" i="3" s="1"/>
  <c r="S456" i="3"/>
  <c r="T456" i="3" s="1"/>
  <c r="U456" i="3" s="1"/>
  <c r="Z456" i="3" s="1"/>
  <c r="L456" i="3"/>
  <c r="K456" i="3"/>
  <c r="H456" i="3"/>
  <c r="B456" i="3"/>
  <c r="AK455" i="3"/>
  <c r="AH455" i="3"/>
  <c r="AG455" i="3"/>
  <c r="AF455" i="3"/>
  <c r="AD455" i="3"/>
  <c r="AB455" i="3"/>
  <c r="AC455" i="3" s="1"/>
  <c r="S455" i="3"/>
  <c r="T455" i="3" s="1"/>
  <c r="L455" i="3"/>
  <c r="K455" i="3"/>
  <c r="H455" i="3"/>
  <c r="B455" i="3"/>
  <c r="AK454" i="3"/>
  <c r="AH454" i="3"/>
  <c r="AG454" i="3"/>
  <c r="AF454" i="3"/>
  <c r="AD454" i="3"/>
  <c r="AB454" i="3"/>
  <c r="AC454" i="3" s="1"/>
  <c r="S454" i="3"/>
  <c r="T454" i="3" s="1"/>
  <c r="L454" i="3"/>
  <c r="K454" i="3"/>
  <c r="H454" i="3"/>
  <c r="B454" i="3"/>
  <c r="AK453" i="3"/>
  <c r="AH453" i="3"/>
  <c r="AG453" i="3"/>
  <c r="AF453" i="3"/>
  <c r="AD453" i="3"/>
  <c r="AB453" i="3"/>
  <c r="AC453" i="3" s="1"/>
  <c r="S453" i="3"/>
  <c r="T453" i="3" s="1"/>
  <c r="U453" i="3" s="1"/>
  <c r="Z453" i="3" s="1"/>
  <c r="L453" i="3"/>
  <c r="K453" i="3"/>
  <c r="H453" i="3"/>
  <c r="B453" i="3"/>
  <c r="AK452" i="3"/>
  <c r="AH452" i="3"/>
  <c r="AG452" i="3"/>
  <c r="AF452" i="3"/>
  <c r="AD452" i="3"/>
  <c r="AB452" i="3"/>
  <c r="AC452" i="3" s="1"/>
  <c r="S452" i="3"/>
  <c r="T452" i="3" s="1"/>
  <c r="L452" i="3"/>
  <c r="K452" i="3"/>
  <c r="H452" i="3"/>
  <c r="B452" i="3"/>
  <c r="AK451" i="3"/>
  <c r="AH451" i="3"/>
  <c r="AG451" i="3"/>
  <c r="AF451" i="3"/>
  <c r="AD451" i="3"/>
  <c r="AB451" i="3"/>
  <c r="AC451" i="3" s="1"/>
  <c r="S451" i="3"/>
  <c r="T451" i="3" s="1"/>
  <c r="L451" i="3"/>
  <c r="K451" i="3"/>
  <c r="H451" i="3"/>
  <c r="B451" i="3"/>
  <c r="AK450" i="3"/>
  <c r="AH450" i="3"/>
  <c r="AG450" i="3"/>
  <c r="AF450" i="3"/>
  <c r="AD450" i="3"/>
  <c r="AB450" i="3"/>
  <c r="AC450" i="3" s="1"/>
  <c r="S450" i="3"/>
  <c r="T450" i="3" s="1"/>
  <c r="V450" i="3" s="1"/>
  <c r="L450" i="3"/>
  <c r="K450" i="3"/>
  <c r="H450" i="3"/>
  <c r="B450" i="3"/>
  <c r="AK449" i="3"/>
  <c r="AH449" i="3"/>
  <c r="AG449" i="3"/>
  <c r="AF449" i="3"/>
  <c r="AD449" i="3"/>
  <c r="AB449" i="3"/>
  <c r="AC449" i="3" s="1"/>
  <c r="T449" i="3"/>
  <c r="V449" i="3" s="1"/>
  <c r="S449" i="3"/>
  <c r="L449" i="3"/>
  <c r="K449" i="3"/>
  <c r="H449" i="3"/>
  <c r="B449" i="3"/>
  <c r="AK448" i="3"/>
  <c r="AH448" i="3"/>
  <c r="AG448" i="3"/>
  <c r="AF448" i="3"/>
  <c r="AD448" i="3"/>
  <c r="AB448" i="3"/>
  <c r="AC448" i="3" s="1"/>
  <c r="S448" i="3"/>
  <c r="T448" i="3" s="1"/>
  <c r="U448" i="3" s="1"/>
  <c r="Z448" i="3" s="1"/>
  <c r="L448" i="3"/>
  <c r="K448" i="3"/>
  <c r="H448" i="3"/>
  <c r="B448" i="3"/>
  <c r="AK447" i="3"/>
  <c r="AH447" i="3"/>
  <c r="AG447" i="3"/>
  <c r="AF447" i="3"/>
  <c r="AD447" i="3"/>
  <c r="AB447" i="3"/>
  <c r="AC447" i="3" s="1"/>
  <c r="S447" i="3"/>
  <c r="T447" i="3" s="1"/>
  <c r="L447" i="3"/>
  <c r="K447" i="3"/>
  <c r="H447" i="3"/>
  <c r="B447" i="3"/>
  <c r="AK446" i="3"/>
  <c r="AH446" i="3"/>
  <c r="AG446" i="3"/>
  <c r="AF446" i="3"/>
  <c r="AD446" i="3"/>
  <c r="AB446" i="3"/>
  <c r="AC446" i="3" s="1"/>
  <c r="S446" i="3"/>
  <c r="T446" i="3" s="1"/>
  <c r="L446" i="3"/>
  <c r="K446" i="3"/>
  <c r="H446" i="3"/>
  <c r="B446" i="3"/>
  <c r="AK445" i="3"/>
  <c r="AH445" i="3"/>
  <c r="AG445" i="3"/>
  <c r="AF445" i="3"/>
  <c r="AD445" i="3"/>
  <c r="AB445" i="3"/>
  <c r="AC445" i="3" s="1"/>
  <c r="S445" i="3"/>
  <c r="T445" i="3" s="1"/>
  <c r="L445" i="3"/>
  <c r="K445" i="3"/>
  <c r="H445" i="3"/>
  <c r="B445" i="3"/>
  <c r="AK444" i="3"/>
  <c r="AH444" i="3"/>
  <c r="AG444" i="3"/>
  <c r="AF444" i="3"/>
  <c r="AD444" i="3"/>
  <c r="AB444" i="3"/>
  <c r="AC444" i="3" s="1"/>
  <c r="S444" i="3"/>
  <c r="T444" i="3" s="1"/>
  <c r="V444" i="3" s="1"/>
  <c r="L444" i="3"/>
  <c r="K444" i="3"/>
  <c r="H444" i="3"/>
  <c r="B444" i="3"/>
  <c r="AK443" i="3"/>
  <c r="AH443" i="3"/>
  <c r="AG443" i="3"/>
  <c r="AF443" i="3"/>
  <c r="AD443" i="3"/>
  <c r="AB443" i="3"/>
  <c r="AC443" i="3" s="1"/>
  <c r="S443" i="3"/>
  <c r="T443" i="3" s="1"/>
  <c r="V443" i="3" s="1"/>
  <c r="L443" i="3"/>
  <c r="K443" i="3"/>
  <c r="H443" i="3"/>
  <c r="B443" i="3"/>
  <c r="AK442" i="3"/>
  <c r="AH442" i="3"/>
  <c r="AG442" i="3"/>
  <c r="AF442" i="3"/>
  <c r="AD442" i="3"/>
  <c r="AB442" i="3"/>
  <c r="AC442" i="3" s="1"/>
  <c r="S442" i="3"/>
  <c r="T442" i="3" s="1"/>
  <c r="L442" i="3"/>
  <c r="K442" i="3"/>
  <c r="H442" i="3"/>
  <c r="B442" i="3"/>
  <c r="AK441" i="3"/>
  <c r="AH441" i="3"/>
  <c r="AG441" i="3"/>
  <c r="AF441" i="3"/>
  <c r="AD441" i="3"/>
  <c r="AB441" i="3"/>
  <c r="AC441" i="3" s="1"/>
  <c r="S441" i="3"/>
  <c r="T441" i="3" s="1"/>
  <c r="L441" i="3"/>
  <c r="K441" i="3"/>
  <c r="H441" i="3"/>
  <c r="B441" i="3"/>
  <c r="AK440" i="3"/>
  <c r="AH440" i="3"/>
  <c r="AG440" i="3"/>
  <c r="AF440" i="3"/>
  <c r="AD440" i="3"/>
  <c r="AB440" i="3"/>
  <c r="AC440" i="3" s="1"/>
  <c r="S440" i="3"/>
  <c r="T440" i="3" s="1"/>
  <c r="U440" i="3" s="1"/>
  <c r="Z440" i="3" s="1"/>
  <c r="L440" i="3"/>
  <c r="K440" i="3"/>
  <c r="H440" i="3"/>
  <c r="B440" i="3"/>
  <c r="AK439" i="3"/>
  <c r="AH439" i="3"/>
  <c r="AG439" i="3"/>
  <c r="AF439" i="3"/>
  <c r="AD439" i="3"/>
  <c r="AB439" i="3"/>
  <c r="AC439" i="3" s="1"/>
  <c r="S439" i="3"/>
  <c r="T439" i="3" s="1"/>
  <c r="L439" i="3"/>
  <c r="K439" i="3"/>
  <c r="H439" i="3"/>
  <c r="B439" i="3"/>
  <c r="AK438" i="3"/>
  <c r="AH438" i="3"/>
  <c r="AG438" i="3"/>
  <c r="AF438" i="3"/>
  <c r="AD438" i="3"/>
  <c r="AB438" i="3"/>
  <c r="AC438" i="3" s="1"/>
  <c r="S438" i="3"/>
  <c r="T438" i="3" s="1"/>
  <c r="L438" i="3"/>
  <c r="K438" i="3"/>
  <c r="H438" i="3"/>
  <c r="B438" i="3"/>
  <c r="AK437" i="3"/>
  <c r="AH437" i="3"/>
  <c r="AG437" i="3"/>
  <c r="AF437" i="3"/>
  <c r="AD437" i="3"/>
  <c r="AB437" i="3"/>
  <c r="AC437" i="3" s="1"/>
  <c r="V437" i="3"/>
  <c r="S437" i="3"/>
  <c r="T437" i="3" s="1"/>
  <c r="U437" i="3" s="1"/>
  <c r="Z437" i="3" s="1"/>
  <c r="L437" i="3"/>
  <c r="K437" i="3"/>
  <c r="H437" i="3"/>
  <c r="B437" i="3"/>
  <c r="AK436" i="3"/>
  <c r="AH436" i="3"/>
  <c r="AG436" i="3"/>
  <c r="AF436" i="3"/>
  <c r="AD436" i="3"/>
  <c r="AB436" i="3"/>
  <c r="AC436" i="3" s="1"/>
  <c r="S436" i="3"/>
  <c r="T436" i="3" s="1"/>
  <c r="V436" i="3" s="1"/>
  <c r="W436" i="3" s="1"/>
  <c r="L436" i="3"/>
  <c r="K436" i="3"/>
  <c r="H436" i="3"/>
  <c r="B436" i="3"/>
  <c r="AK435" i="3"/>
  <c r="AH435" i="3"/>
  <c r="AG435" i="3"/>
  <c r="AF435" i="3"/>
  <c r="AD435" i="3"/>
  <c r="AB435" i="3"/>
  <c r="AC435" i="3" s="1"/>
  <c r="S435" i="3"/>
  <c r="T435" i="3" s="1"/>
  <c r="L435" i="3"/>
  <c r="K435" i="3"/>
  <c r="H435" i="3"/>
  <c r="B435" i="3"/>
  <c r="AK434" i="3"/>
  <c r="AH434" i="3"/>
  <c r="AG434" i="3"/>
  <c r="AF434" i="3"/>
  <c r="AD434" i="3"/>
  <c r="AB434" i="3"/>
  <c r="AC434" i="3" s="1"/>
  <c r="S434" i="3"/>
  <c r="T434" i="3" s="1"/>
  <c r="L434" i="3"/>
  <c r="K434" i="3"/>
  <c r="H434" i="3"/>
  <c r="B434" i="3"/>
  <c r="AK433" i="3"/>
  <c r="AH433" i="3"/>
  <c r="AG433" i="3"/>
  <c r="AF433" i="3"/>
  <c r="AD433" i="3"/>
  <c r="AB433" i="3"/>
  <c r="AC433" i="3" s="1"/>
  <c r="S433" i="3"/>
  <c r="T433" i="3" s="1"/>
  <c r="L433" i="3"/>
  <c r="K433" i="3"/>
  <c r="H433" i="3"/>
  <c r="B433" i="3"/>
  <c r="AK432" i="3"/>
  <c r="AH432" i="3"/>
  <c r="AG432" i="3"/>
  <c r="AF432" i="3"/>
  <c r="AD432" i="3"/>
  <c r="AB432" i="3"/>
  <c r="AC432" i="3" s="1"/>
  <c r="S432" i="3"/>
  <c r="T432" i="3" s="1"/>
  <c r="U432" i="3" s="1"/>
  <c r="Z432" i="3" s="1"/>
  <c r="L432" i="3"/>
  <c r="K432" i="3"/>
  <c r="H432" i="3"/>
  <c r="B432" i="3"/>
  <c r="AK431" i="3"/>
  <c r="AH431" i="3"/>
  <c r="AG431" i="3"/>
  <c r="AF431" i="3"/>
  <c r="AD431" i="3"/>
  <c r="AB431" i="3"/>
  <c r="AC431" i="3" s="1"/>
  <c r="S431" i="3"/>
  <c r="T431" i="3" s="1"/>
  <c r="L431" i="3"/>
  <c r="K431" i="3"/>
  <c r="H431" i="3"/>
  <c r="B431" i="3"/>
  <c r="AK430" i="3"/>
  <c r="AH430" i="3"/>
  <c r="AG430" i="3"/>
  <c r="AF430" i="3"/>
  <c r="AD430" i="3"/>
  <c r="AB430" i="3"/>
  <c r="AC430" i="3" s="1"/>
  <c r="S430" i="3"/>
  <c r="T430" i="3" s="1"/>
  <c r="L430" i="3"/>
  <c r="K430" i="3"/>
  <c r="H430" i="3"/>
  <c r="B430" i="3"/>
  <c r="AK429" i="3"/>
  <c r="AH429" i="3"/>
  <c r="AG429" i="3"/>
  <c r="AF429" i="3"/>
  <c r="AD429" i="3"/>
  <c r="AB429" i="3"/>
  <c r="AC429" i="3" s="1"/>
  <c r="S429" i="3"/>
  <c r="T429" i="3" s="1"/>
  <c r="L429" i="3"/>
  <c r="K429" i="3"/>
  <c r="H429" i="3"/>
  <c r="B429" i="3"/>
  <c r="AK428" i="3"/>
  <c r="AH428" i="3"/>
  <c r="AG428" i="3"/>
  <c r="AF428" i="3"/>
  <c r="AD428" i="3"/>
  <c r="AB428" i="3"/>
  <c r="AC428" i="3" s="1"/>
  <c r="S428" i="3"/>
  <c r="T428" i="3" s="1"/>
  <c r="U428" i="3" s="1"/>
  <c r="Z428" i="3" s="1"/>
  <c r="L428" i="3"/>
  <c r="K428" i="3"/>
  <c r="H428" i="3"/>
  <c r="B428" i="3"/>
  <c r="AK427" i="3"/>
  <c r="AH427" i="3"/>
  <c r="AG427" i="3"/>
  <c r="AF427" i="3"/>
  <c r="AD427" i="3"/>
  <c r="AB427" i="3"/>
  <c r="AC427" i="3" s="1"/>
  <c r="S427" i="3"/>
  <c r="T427" i="3" s="1"/>
  <c r="L427" i="3"/>
  <c r="K427" i="3"/>
  <c r="H427" i="3"/>
  <c r="B427" i="3"/>
  <c r="AK426" i="3"/>
  <c r="AH426" i="3"/>
  <c r="AG426" i="3"/>
  <c r="AF426" i="3"/>
  <c r="AD426" i="3"/>
  <c r="AB426" i="3"/>
  <c r="AC426" i="3" s="1"/>
  <c r="S426" i="3"/>
  <c r="T426" i="3" s="1"/>
  <c r="L426" i="3"/>
  <c r="K426" i="3"/>
  <c r="H426" i="3"/>
  <c r="B426" i="3"/>
  <c r="AK425" i="3"/>
  <c r="AH425" i="3"/>
  <c r="AG425" i="3"/>
  <c r="AF425" i="3"/>
  <c r="AD425" i="3"/>
  <c r="AB425" i="3"/>
  <c r="AC425" i="3" s="1"/>
  <c r="S425" i="3"/>
  <c r="T425" i="3" s="1"/>
  <c r="L425" i="3"/>
  <c r="K425" i="3"/>
  <c r="H425" i="3"/>
  <c r="B425" i="3"/>
  <c r="AK424" i="3"/>
  <c r="AH424" i="3"/>
  <c r="AG424" i="3"/>
  <c r="AF424" i="3"/>
  <c r="AD424" i="3"/>
  <c r="AB424" i="3"/>
  <c r="AC424" i="3" s="1"/>
  <c r="S424" i="3"/>
  <c r="T424" i="3" s="1"/>
  <c r="L424" i="3"/>
  <c r="K424" i="3"/>
  <c r="H424" i="3"/>
  <c r="B424" i="3"/>
  <c r="AK423" i="3"/>
  <c r="AH423" i="3"/>
  <c r="AG423" i="3"/>
  <c r="AF423" i="3"/>
  <c r="AD423" i="3"/>
  <c r="AB423" i="3"/>
  <c r="AC423" i="3" s="1"/>
  <c r="S423" i="3"/>
  <c r="T423" i="3" s="1"/>
  <c r="L423" i="3"/>
  <c r="K423" i="3"/>
  <c r="H423" i="3"/>
  <c r="B423" i="3"/>
  <c r="AK422" i="3"/>
  <c r="AH422" i="3"/>
  <c r="AG422" i="3"/>
  <c r="AF422" i="3"/>
  <c r="AD422" i="3"/>
  <c r="AB422" i="3"/>
  <c r="AC422" i="3" s="1"/>
  <c r="T422" i="3"/>
  <c r="V422" i="3" s="1"/>
  <c r="S422" i="3"/>
  <c r="L422" i="3"/>
  <c r="K422" i="3"/>
  <c r="H422" i="3"/>
  <c r="B422" i="3"/>
  <c r="AK421" i="3"/>
  <c r="AH421" i="3"/>
  <c r="AG421" i="3"/>
  <c r="AF421" i="3"/>
  <c r="AD421" i="3"/>
  <c r="AB421" i="3"/>
  <c r="AC421" i="3" s="1"/>
  <c r="S421" i="3"/>
  <c r="T421" i="3" s="1"/>
  <c r="L421" i="3"/>
  <c r="K421" i="3"/>
  <c r="H421" i="3"/>
  <c r="B421" i="3"/>
  <c r="AK420" i="3"/>
  <c r="AH420" i="3"/>
  <c r="AG420" i="3"/>
  <c r="AF420" i="3"/>
  <c r="AD420" i="3"/>
  <c r="AB420" i="3"/>
  <c r="AC420" i="3" s="1"/>
  <c r="S420" i="3"/>
  <c r="T420" i="3" s="1"/>
  <c r="V420" i="3" s="1"/>
  <c r="L420" i="3"/>
  <c r="K420" i="3"/>
  <c r="H420" i="3"/>
  <c r="B420" i="3"/>
  <c r="AK419" i="3"/>
  <c r="AH419" i="3"/>
  <c r="AG419" i="3"/>
  <c r="AF419" i="3"/>
  <c r="AD419" i="3"/>
  <c r="AB419" i="3"/>
  <c r="AC419" i="3" s="1"/>
  <c r="S419" i="3"/>
  <c r="T419" i="3" s="1"/>
  <c r="V419" i="3" s="1"/>
  <c r="L419" i="3"/>
  <c r="K419" i="3"/>
  <c r="H419" i="3"/>
  <c r="B419" i="3"/>
  <c r="AK418" i="3"/>
  <c r="AH418" i="3"/>
  <c r="AG418" i="3"/>
  <c r="AF418" i="3"/>
  <c r="AD418" i="3"/>
  <c r="AB418" i="3"/>
  <c r="AC418" i="3" s="1"/>
  <c r="S418" i="3"/>
  <c r="T418" i="3" s="1"/>
  <c r="L418" i="3"/>
  <c r="K418" i="3"/>
  <c r="H418" i="3"/>
  <c r="B418" i="3"/>
  <c r="AK417" i="3"/>
  <c r="AH417" i="3"/>
  <c r="AG417" i="3"/>
  <c r="AF417" i="3"/>
  <c r="AD417" i="3"/>
  <c r="AB417" i="3"/>
  <c r="AC417" i="3" s="1"/>
  <c r="S417" i="3"/>
  <c r="T417" i="3" s="1"/>
  <c r="U417" i="3" s="1"/>
  <c r="Z417" i="3" s="1"/>
  <c r="L417" i="3"/>
  <c r="K417" i="3"/>
  <c r="H417" i="3"/>
  <c r="B417" i="3"/>
  <c r="AK416" i="3"/>
  <c r="AH416" i="3"/>
  <c r="AG416" i="3"/>
  <c r="AF416" i="3"/>
  <c r="AD416" i="3"/>
  <c r="AB416" i="3"/>
  <c r="AC416" i="3" s="1"/>
  <c r="S416" i="3"/>
  <c r="T416" i="3" s="1"/>
  <c r="U416" i="3" s="1"/>
  <c r="Z416" i="3" s="1"/>
  <c r="L416" i="3"/>
  <c r="K416" i="3"/>
  <c r="H416" i="3"/>
  <c r="B416" i="3"/>
  <c r="AK415" i="3"/>
  <c r="AH415" i="3"/>
  <c r="AG415" i="3"/>
  <c r="AF415" i="3"/>
  <c r="AD415" i="3"/>
  <c r="AB415" i="3"/>
  <c r="AC415" i="3" s="1"/>
  <c r="S415" i="3"/>
  <c r="T415" i="3" s="1"/>
  <c r="L415" i="3"/>
  <c r="K415" i="3"/>
  <c r="H415" i="3"/>
  <c r="B415" i="3"/>
  <c r="AK414" i="3"/>
  <c r="AH414" i="3"/>
  <c r="AG414" i="3"/>
  <c r="AF414" i="3"/>
  <c r="AD414" i="3"/>
  <c r="AB414" i="3"/>
  <c r="AC414" i="3" s="1"/>
  <c r="S414" i="3"/>
  <c r="T414" i="3" s="1"/>
  <c r="L414" i="3"/>
  <c r="K414" i="3"/>
  <c r="H414" i="3"/>
  <c r="B414" i="3"/>
  <c r="AK413" i="3"/>
  <c r="AH413" i="3"/>
  <c r="AG413" i="3"/>
  <c r="AF413" i="3"/>
  <c r="AD413" i="3"/>
  <c r="AB413" i="3"/>
  <c r="AC413" i="3" s="1"/>
  <c r="S413" i="3"/>
  <c r="T413" i="3" s="1"/>
  <c r="L413" i="3"/>
  <c r="K413" i="3"/>
  <c r="H413" i="3"/>
  <c r="B413" i="3"/>
  <c r="AK412" i="3"/>
  <c r="AH412" i="3"/>
  <c r="AG412" i="3"/>
  <c r="AF412" i="3"/>
  <c r="AD412" i="3"/>
  <c r="AC412" i="3"/>
  <c r="AB412" i="3"/>
  <c r="S412" i="3"/>
  <c r="T412" i="3" s="1"/>
  <c r="L412" i="3"/>
  <c r="K412" i="3"/>
  <c r="H412" i="3"/>
  <c r="B412" i="3"/>
  <c r="AK411" i="3"/>
  <c r="AH411" i="3"/>
  <c r="AG411" i="3"/>
  <c r="AF411" i="3"/>
  <c r="AD411" i="3"/>
  <c r="AB411" i="3"/>
  <c r="AC411" i="3" s="1"/>
  <c r="S411" i="3"/>
  <c r="T411" i="3" s="1"/>
  <c r="L411" i="3"/>
  <c r="K411" i="3"/>
  <c r="H411" i="3"/>
  <c r="B411" i="3"/>
  <c r="AK410" i="3"/>
  <c r="AH410" i="3"/>
  <c r="AG410" i="3"/>
  <c r="AF410" i="3"/>
  <c r="AD410" i="3"/>
  <c r="AB410" i="3"/>
  <c r="AC410" i="3" s="1"/>
  <c r="S410" i="3"/>
  <c r="T410" i="3" s="1"/>
  <c r="L410" i="3"/>
  <c r="K410" i="3"/>
  <c r="H410" i="3"/>
  <c r="B410" i="3"/>
  <c r="AK409" i="3"/>
  <c r="AH409" i="3"/>
  <c r="AG409" i="3"/>
  <c r="AF409" i="3"/>
  <c r="AD409" i="3"/>
  <c r="AB409" i="3"/>
  <c r="AC409" i="3" s="1"/>
  <c r="S409" i="3"/>
  <c r="T409" i="3" s="1"/>
  <c r="L409" i="3"/>
  <c r="K409" i="3"/>
  <c r="H409" i="3"/>
  <c r="B409" i="3"/>
  <c r="AK408" i="3"/>
  <c r="AH408" i="3"/>
  <c r="AG408" i="3"/>
  <c r="AF408" i="3"/>
  <c r="AD408" i="3"/>
  <c r="AB408" i="3"/>
  <c r="AC408" i="3" s="1"/>
  <c r="S408" i="3"/>
  <c r="T408" i="3" s="1"/>
  <c r="L408" i="3"/>
  <c r="K408" i="3"/>
  <c r="H408" i="3"/>
  <c r="B408" i="3"/>
  <c r="AK407" i="3"/>
  <c r="AH407" i="3"/>
  <c r="AG407" i="3"/>
  <c r="AF407" i="3"/>
  <c r="AD407" i="3"/>
  <c r="AB407" i="3"/>
  <c r="AC407" i="3" s="1"/>
  <c r="S407" i="3"/>
  <c r="T407" i="3" s="1"/>
  <c r="L407" i="3"/>
  <c r="K407" i="3"/>
  <c r="H407" i="3"/>
  <c r="B407" i="3"/>
  <c r="AK406" i="3"/>
  <c r="AH406" i="3"/>
  <c r="AG406" i="3"/>
  <c r="AF406" i="3"/>
  <c r="AD406" i="3"/>
  <c r="AB406" i="3"/>
  <c r="AC406" i="3" s="1"/>
  <c r="S406" i="3"/>
  <c r="T406" i="3" s="1"/>
  <c r="L406" i="3"/>
  <c r="K406" i="3"/>
  <c r="H406" i="3"/>
  <c r="B406" i="3"/>
  <c r="AK405" i="3"/>
  <c r="AH405" i="3"/>
  <c r="AG405" i="3"/>
  <c r="AF405" i="3"/>
  <c r="AD405" i="3"/>
  <c r="AB405" i="3"/>
  <c r="AC405" i="3" s="1"/>
  <c r="S405" i="3"/>
  <c r="T405" i="3" s="1"/>
  <c r="L405" i="3"/>
  <c r="K405" i="3"/>
  <c r="H405" i="3"/>
  <c r="B405" i="3"/>
  <c r="AK404" i="3"/>
  <c r="AH404" i="3"/>
  <c r="AG404" i="3"/>
  <c r="AF404" i="3"/>
  <c r="AD404" i="3"/>
  <c r="AB404" i="3"/>
  <c r="AC404" i="3" s="1"/>
  <c r="S404" i="3"/>
  <c r="T404" i="3" s="1"/>
  <c r="L404" i="3"/>
  <c r="K404" i="3"/>
  <c r="H404" i="3"/>
  <c r="B404" i="3"/>
  <c r="AK403" i="3"/>
  <c r="AH403" i="3"/>
  <c r="AG403" i="3"/>
  <c r="AF403" i="3"/>
  <c r="AD403" i="3"/>
  <c r="AB403" i="3"/>
  <c r="AC403" i="3" s="1"/>
  <c r="S403" i="3"/>
  <c r="T403" i="3" s="1"/>
  <c r="L403" i="3"/>
  <c r="K403" i="3"/>
  <c r="H403" i="3"/>
  <c r="B403" i="3"/>
  <c r="AK402" i="3"/>
  <c r="AH402" i="3"/>
  <c r="AG402" i="3"/>
  <c r="AF402" i="3"/>
  <c r="AD402" i="3"/>
  <c r="AB402" i="3"/>
  <c r="AC402" i="3" s="1"/>
  <c r="S402" i="3"/>
  <c r="T402" i="3" s="1"/>
  <c r="L402" i="3"/>
  <c r="K402" i="3"/>
  <c r="H402" i="3"/>
  <c r="B402" i="3"/>
  <c r="AK401" i="3"/>
  <c r="AH401" i="3"/>
  <c r="AG401" i="3"/>
  <c r="AF401" i="3"/>
  <c r="AD401" i="3"/>
  <c r="AB401" i="3"/>
  <c r="AC401" i="3" s="1"/>
  <c r="S401" i="3"/>
  <c r="T401" i="3" s="1"/>
  <c r="L401" i="3"/>
  <c r="K401" i="3"/>
  <c r="H401" i="3"/>
  <c r="B401" i="3"/>
  <c r="AK400" i="3"/>
  <c r="AH400" i="3"/>
  <c r="AG400" i="3"/>
  <c r="AF400" i="3"/>
  <c r="AD400" i="3"/>
  <c r="AB400" i="3"/>
  <c r="AC400" i="3" s="1"/>
  <c r="S400" i="3"/>
  <c r="T400" i="3" s="1"/>
  <c r="U400" i="3" s="1"/>
  <c r="Z400" i="3" s="1"/>
  <c r="L400" i="3"/>
  <c r="K400" i="3"/>
  <c r="H400" i="3"/>
  <c r="B400" i="3"/>
  <c r="AK399" i="3"/>
  <c r="AH399" i="3"/>
  <c r="AG399" i="3"/>
  <c r="AF399" i="3"/>
  <c r="AD399" i="3"/>
  <c r="AB399" i="3"/>
  <c r="AC399" i="3" s="1"/>
  <c r="S399" i="3"/>
  <c r="T399" i="3" s="1"/>
  <c r="L399" i="3"/>
  <c r="K399" i="3"/>
  <c r="H399" i="3"/>
  <c r="B399" i="3"/>
  <c r="AK398" i="3"/>
  <c r="AH398" i="3"/>
  <c r="AG398" i="3"/>
  <c r="AF398" i="3"/>
  <c r="AD398" i="3"/>
  <c r="AB398" i="3"/>
  <c r="AC398" i="3" s="1"/>
  <c r="V398" i="3"/>
  <c r="S398" i="3"/>
  <c r="T398" i="3" s="1"/>
  <c r="U398" i="3" s="1"/>
  <c r="Z398" i="3" s="1"/>
  <c r="L398" i="3"/>
  <c r="K398" i="3"/>
  <c r="H398" i="3"/>
  <c r="B398" i="3"/>
  <c r="AK397" i="3"/>
  <c r="AH397" i="3"/>
  <c r="AG397" i="3"/>
  <c r="AF397" i="3"/>
  <c r="AD397" i="3"/>
  <c r="AB397" i="3"/>
  <c r="AC397" i="3" s="1"/>
  <c r="S397" i="3"/>
  <c r="T397" i="3" s="1"/>
  <c r="U397" i="3" s="1"/>
  <c r="Z397" i="3" s="1"/>
  <c r="L397" i="3"/>
  <c r="K397" i="3"/>
  <c r="H397" i="3"/>
  <c r="B397" i="3"/>
  <c r="AK396" i="3"/>
  <c r="AH396" i="3"/>
  <c r="AG396" i="3"/>
  <c r="AF396" i="3"/>
  <c r="AD396" i="3"/>
  <c r="AB396" i="3"/>
  <c r="AC396" i="3" s="1"/>
  <c r="S396" i="3"/>
  <c r="T396" i="3" s="1"/>
  <c r="V396" i="3" s="1"/>
  <c r="W396" i="3" s="1"/>
  <c r="L396" i="3"/>
  <c r="K396" i="3"/>
  <c r="H396" i="3"/>
  <c r="B396" i="3"/>
  <c r="AK395" i="3"/>
  <c r="AH395" i="3"/>
  <c r="AG395" i="3"/>
  <c r="AF395" i="3"/>
  <c r="AD395" i="3"/>
  <c r="AB395" i="3"/>
  <c r="AC395" i="3" s="1"/>
  <c r="S395" i="3"/>
  <c r="T395" i="3" s="1"/>
  <c r="L395" i="3"/>
  <c r="K395" i="3"/>
  <c r="H395" i="3"/>
  <c r="B395" i="3"/>
  <c r="AK394" i="3"/>
  <c r="AH394" i="3"/>
  <c r="AG394" i="3"/>
  <c r="AF394" i="3"/>
  <c r="AD394" i="3"/>
  <c r="AB394" i="3"/>
  <c r="AC394" i="3" s="1"/>
  <c r="S394" i="3"/>
  <c r="T394" i="3" s="1"/>
  <c r="U394" i="3" s="1"/>
  <c r="Z394" i="3" s="1"/>
  <c r="L394" i="3"/>
  <c r="K394" i="3"/>
  <c r="H394" i="3"/>
  <c r="B394" i="3"/>
  <c r="AK393" i="3"/>
  <c r="AH393" i="3"/>
  <c r="AG393" i="3"/>
  <c r="AF393" i="3"/>
  <c r="AD393" i="3"/>
  <c r="AB393" i="3"/>
  <c r="AC393" i="3" s="1"/>
  <c r="S393" i="3"/>
  <c r="T393" i="3" s="1"/>
  <c r="L393" i="3"/>
  <c r="K393" i="3"/>
  <c r="H393" i="3"/>
  <c r="B393" i="3"/>
  <c r="AK392" i="3"/>
  <c r="AH392" i="3"/>
  <c r="AG392" i="3"/>
  <c r="AF392" i="3"/>
  <c r="AD392" i="3"/>
  <c r="AB392" i="3"/>
  <c r="AC392" i="3" s="1"/>
  <c r="S392" i="3"/>
  <c r="T392" i="3" s="1"/>
  <c r="L392" i="3"/>
  <c r="K392" i="3"/>
  <c r="H392" i="3"/>
  <c r="B392" i="3"/>
  <c r="AK391" i="3"/>
  <c r="AH391" i="3"/>
  <c r="AG391" i="3"/>
  <c r="AF391" i="3"/>
  <c r="AD391" i="3"/>
  <c r="AB391" i="3"/>
  <c r="AC391" i="3" s="1"/>
  <c r="S391" i="3"/>
  <c r="T391" i="3" s="1"/>
  <c r="L391" i="3"/>
  <c r="K391" i="3"/>
  <c r="H391" i="3"/>
  <c r="B391" i="3"/>
  <c r="AK390" i="3"/>
  <c r="AH390" i="3"/>
  <c r="AG390" i="3"/>
  <c r="AF390" i="3"/>
  <c r="AD390" i="3"/>
  <c r="AB390" i="3"/>
  <c r="AC390" i="3" s="1"/>
  <c r="S390" i="3"/>
  <c r="T390" i="3" s="1"/>
  <c r="V390" i="3" s="1"/>
  <c r="L390" i="3"/>
  <c r="K390" i="3"/>
  <c r="H390" i="3"/>
  <c r="B390" i="3"/>
  <c r="AK389" i="3"/>
  <c r="AH389" i="3"/>
  <c r="AG389" i="3"/>
  <c r="AF389" i="3"/>
  <c r="AD389" i="3"/>
  <c r="AB389" i="3"/>
  <c r="AC389" i="3" s="1"/>
  <c r="S389" i="3"/>
  <c r="T389" i="3" s="1"/>
  <c r="L389" i="3"/>
  <c r="K389" i="3"/>
  <c r="H389" i="3"/>
  <c r="B389" i="3"/>
  <c r="AK388" i="3"/>
  <c r="AH388" i="3"/>
  <c r="AG388" i="3"/>
  <c r="AF388" i="3"/>
  <c r="AD388" i="3"/>
  <c r="AB388" i="3"/>
  <c r="AC388" i="3" s="1"/>
  <c r="V388" i="3"/>
  <c r="W388" i="3" s="1"/>
  <c r="U388" i="3"/>
  <c r="Z388" i="3" s="1"/>
  <c r="S388" i="3"/>
  <c r="T388" i="3" s="1"/>
  <c r="L388" i="3"/>
  <c r="K388" i="3"/>
  <c r="H388" i="3"/>
  <c r="B388" i="3"/>
  <c r="AK387" i="3"/>
  <c r="AH387" i="3"/>
  <c r="AG387" i="3"/>
  <c r="AF387" i="3"/>
  <c r="AD387" i="3"/>
  <c r="AB387" i="3"/>
  <c r="AC387" i="3" s="1"/>
  <c r="S387" i="3"/>
  <c r="T387" i="3" s="1"/>
  <c r="L387" i="3"/>
  <c r="K387" i="3"/>
  <c r="H387" i="3"/>
  <c r="B387" i="3"/>
  <c r="AK386" i="3"/>
  <c r="AH386" i="3"/>
  <c r="AG386" i="3"/>
  <c r="AF386" i="3"/>
  <c r="AD386" i="3"/>
  <c r="AB386" i="3"/>
  <c r="AC386" i="3" s="1"/>
  <c r="S386" i="3"/>
  <c r="T386" i="3" s="1"/>
  <c r="L386" i="3"/>
  <c r="K386" i="3"/>
  <c r="H386" i="3"/>
  <c r="B386" i="3"/>
  <c r="AK385" i="3"/>
  <c r="AH385" i="3"/>
  <c r="AG385" i="3"/>
  <c r="AF385" i="3"/>
  <c r="AD385" i="3"/>
  <c r="AB385" i="3"/>
  <c r="AC385" i="3" s="1"/>
  <c r="S385" i="3"/>
  <c r="T385" i="3" s="1"/>
  <c r="U385" i="3" s="1"/>
  <c r="Z385" i="3" s="1"/>
  <c r="L385" i="3"/>
  <c r="K385" i="3"/>
  <c r="H385" i="3"/>
  <c r="B385" i="3"/>
  <c r="AK384" i="3"/>
  <c r="AH384" i="3"/>
  <c r="AG384" i="3"/>
  <c r="AF384" i="3"/>
  <c r="AD384" i="3"/>
  <c r="AB384" i="3"/>
  <c r="AC384" i="3" s="1"/>
  <c r="S384" i="3"/>
  <c r="T384" i="3" s="1"/>
  <c r="L384" i="3"/>
  <c r="K384" i="3"/>
  <c r="H384" i="3"/>
  <c r="B384" i="3"/>
  <c r="AK383" i="3"/>
  <c r="AH383" i="3"/>
  <c r="AG383" i="3"/>
  <c r="AF383" i="3"/>
  <c r="AD383" i="3"/>
  <c r="AB383" i="3"/>
  <c r="AC383" i="3" s="1"/>
  <c r="S383" i="3"/>
  <c r="T383" i="3" s="1"/>
  <c r="L383" i="3"/>
  <c r="K383" i="3"/>
  <c r="H383" i="3"/>
  <c r="B383" i="3"/>
  <c r="AK382" i="3"/>
  <c r="AH382" i="3"/>
  <c r="AG382" i="3"/>
  <c r="AF382" i="3"/>
  <c r="AD382" i="3"/>
  <c r="AB382" i="3"/>
  <c r="AC382" i="3" s="1"/>
  <c r="S382" i="3"/>
  <c r="T382" i="3" s="1"/>
  <c r="L382" i="3"/>
  <c r="K382" i="3"/>
  <c r="H382" i="3"/>
  <c r="B382" i="3"/>
  <c r="AK381" i="3"/>
  <c r="AH381" i="3"/>
  <c r="AG381" i="3"/>
  <c r="AF381" i="3"/>
  <c r="AD381" i="3"/>
  <c r="AB381" i="3"/>
  <c r="AC381" i="3" s="1"/>
  <c r="S381" i="3"/>
  <c r="T381" i="3" s="1"/>
  <c r="L381" i="3"/>
  <c r="K381" i="3"/>
  <c r="H381" i="3"/>
  <c r="B381" i="3"/>
  <c r="AK380" i="3"/>
  <c r="AH380" i="3"/>
  <c r="AG380" i="3"/>
  <c r="AF380" i="3"/>
  <c r="AD380" i="3"/>
  <c r="AB380" i="3"/>
  <c r="AC380" i="3" s="1"/>
  <c r="S380" i="3"/>
  <c r="T380" i="3" s="1"/>
  <c r="V380" i="3" s="1"/>
  <c r="L380" i="3"/>
  <c r="K380" i="3"/>
  <c r="H380" i="3"/>
  <c r="B380" i="3"/>
  <c r="AK379" i="3"/>
  <c r="AH379" i="3"/>
  <c r="AG379" i="3"/>
  <c r="AF379" i="3"/>
  <c r="AD379" i="3"/>
  <c r="AB379" i="3"/>
  <c r="AC379" i="3" s="1"/>
  <c r="S379" i="3"/>
  <c r="T379" i="3" s="1"/>
  <c r="L379" i="3"/>
  <c r="K379" i="3"/>
  <c r="H379" i="3"/>
  <c r="B379" i="3"/>
  <c r="AK378" i="3"/>
  <c r="AH378" i="3"/>
  <c r="AG378" i="3"/>
  <c r="AF378" i="3"/>
  <c r="AD378" i="3"/>
  <c r="AB378" i="3"/>
  <c r="AC378" i="3" s="1"/>
  <c r="S378" i="3"/>
  <c r="T378" i="3" s="1"/>
  <c r="V378" i="3" s="1"/>
  <c r="L378" i="3"/>
  <c r="K378" i="3"/>
  <c r="H378" i="3"/>
  <c r="B378" i="3"/>
  <c r="AK377" i="3"/>
  <c r="AH377" i="3"/>
  <c r="AG377" i="3"/>
  <c r="AF377" i="3"/>
  <c r="AD377" i="3"/>
  <c r="AB377" i="3"/>
  <c r="AC377" i="3" s="1"/>
  <c r="S377" i="3"/>
  <c r="T377" i="3" s="1"/>
  <c r="L377" i="3"/>
  <c r="K377" i="3"/>
  <c r="H377" i="3"/>
  <c r="B377" i="3"/>
  <c r="AK376" i="3"/>
  <c r="AH376" i="3"/>
  <c r="AG376" i="3"/>
  <c r="AF376" i="3"/>
  <c r="AD376" i="3"/>
  <c r="AB376" i="3"/>
  <c r="AC376" i="3" s="1"/>
  <c r="S376" i="3"/>
  <c r="T376" i="3" s="1"/>
  <c r="L376" i="3"/>
  <c r="K376" i="3"/>
  <c r="H376" i="3"/>
  <c r="B376" i="3"/>
  <c r="AK375" i="3"/>
  <c r="AH375" i="3"/>
  <c r="AG375" i="3"/>
  <c r="AF375" i="3"/>
  <c r="AD375" i="3"/>
  <c r="AB375" i="3"/>
  <c r="AC375" i="3" s="1"/>
  <c r="S375" i="3"/>
  <c r="T375" i="3" s="1"/>
  <c r="L375" i="3"/>
  <c r="K375" i="3"/>
  <c r="H375" i="3"/>
  <c r="B375" i="3"/>
  <c r="AK374" i="3"/>
  <c r="AH374" i="3"/>
  <c r="AG374" i="3"/>
  <c r="AF374" i="3"/>
  <c r="AD374" i="3"/>
  <c r="AB374" i="3"/>
  <c r="AC374" i="3" s="1"/>
  <c r="S374" i="3"/>
  <c r="T374" i="3" s="1"/>
  <c r="U374" i="3" s="1"/>
  <c r="Z374" i="3" s="1"/>
  <c r="L374" i="3"/>
  <c r="K374" i="3"/>
  <c r="H374" i="3"/>
  <c r="B374" i="3"/>
  <c r="AK373" i="3"/>
  <c r="AH373" i="3"/>
  <c r="AG373" i="3"/>
  <c r="AF373" i="3"/>
  <c r="AD373" i="3"/>
  <c r="AB373" i="3"/>
  <c r="AC373" i="3" s="1"/>
  <c r="S373" i="3"/>
  <c r="T373" i="3" s="1"/>
  <c r="L373" i="3"/>
  <c r="K373" i="3"/>
  <c r="H373" i="3"/>
  <c r="B373" i="3"/>
  <c r="AK372" i="3"/>
  <c r="AH372" i="3"/>
  <c r="AG372" i="3"/>
  <c r="AF372" i="3"/>
  <c r="AD372" i="3"/>
  <c r="AC372" i="3"/>
  <c r="AB372" i="3"/>
  <c r="S372" i="3"/>
  <c r="T372" i="3" s="1"/>
  <c r="U372" i="3" s="1"/>
  <c r="Z372" i="3" s="1"/>
  <c r="L372" i="3"/>
  <c r="K372" i="3"/>
  <c r="H372" i="3"/>
  <c r="B372" i="3"/>
  <c r="AK371" i="3"/>
  <c r="AH371" i="3"/>
  <c r="AG371" i="3"/>
  <c r="AF371" i="3"/>
  <c r="AD371" i="3"/>
  <c r="AB371" i="3"/>
  <c r="AC371" i="3" s="1"/>
  <c r="S371" i="3"/>
  <c r="T371" i="3" s="1"/>
  <c r="L371" i="3"/>
  <c r="K371" i="3"/>
  <c r="H371" i="3"/>
  <c r="B371" i="3"/>
  <c r="AK370" i="3"/>
  <c r="AH370" i="3"/>
  <c r="AG370" i="3"/>
  <c r="AF370" i="3"/>
  <c r="AD370" i="3"/>
  <c r="AB370" i="3"/>
  <c r="AC370" i="3" s="1"/>
  <c r="S370" i="3"/>
  <c r="T370" i="3" s="1"/>
  <c r="V370" i="3" s="1"/>
  <c r="L370" i="3"/>
  <c r="K370" i="3"/>
  <c r="H370" i="3"/>
  <c r="B370" i="3"/>
  <c r="AK369" i="3"/>
  <c r="AH369" i="3"/>
  <c r="AG369" i="3"/>
  <c r="AF369" i="3"/>
  <c r="AD369" i="3"/>
  <c r="AB369" i="3"/>
  <c r="AC369" i="3" s="1"/>
  <c r="S369" i="3"/>
  <c r="T369" i="3" s="1"/>
  <c r="L369" i="3"/>
  <c r="K369" i="3"/>
  <c r="H369" i="3"/>
  <c r="B369" i="3"/>
  <c r="AK368" i="3"/>
  <c r="AH368" i="3"/>
  <c r="AG368" i="3"/>
  <c r="AF368" i="3"/>
  <c r="AD368" i="3"/>
  <c r="AB368" i="3"/>
  <c r="AC368" i="3" s="1"/>
  <c r="S368" i="3"/>
  <c r="T368" i="3" s="1"/>
  <c r="L368" i="3"/>
  <c r="K368" i="3"/>
  <c r="H368" i="3"/>
  <c r="B368" i="3"/>
  <c r="AK367" i="3"/>
  <c r="AH367" i="3"/>
  <c r="AG367" i="3"/>
  <c r="AF367" i="3"/>
  <c r="AD367" i="3"/>
  <c r="AC367" i="3"/>
  <c r="AB367" i="3"/>
  <c r="S367" i="3"/>
  <c r="T367" i="3" s="1"/>
  <c r="L367" i="3"/>
  <c r="K367" i="3"/>
  <c r="H367" i="3"/>
  <c r="B367" i="3"/>
  <c r="AK366" i="3"/>
  <c r="AH366" i="3"/>
  <c r="AG366" i="3"/>
  <c r="AF366" i="3"/>
  <c r="AD366" i="3"/>
  <c r="AB366" i="3"/>
  <c r="AC366" i="3" s="1"/>
  <c r="S366" i="3"/>
  <c r="T366" i="3" s="1"/>
  <c r="L366" i="3"/>
  <c r="K366" i="3"/>
  <c r="H366" i="3"/>
  <c r="B366" i="3"/>
  <c r="AK365" i="3"/>
  <c r="AH365" i="3"/>
  <c r="AG365" i="3"/>
  <c r="AF365" i="3"/>
  <c r="AD365" i="3"/>
  <c r="AB365" i="3"/>
  <c r="AC365" i="3" s="1"/>
  <c r="S365" i="3"/>
  <c r="T365" i="3" s="1"/>
  <c r="V365" i="3" s="1"/>
  <c r="L365" i="3"/>
  <c r="K365" i="3"/>
  <c r="H365" i="3"/>
  <c r="B365" i="3"/>
  <c r="AK364" i="3"/>
  <c r="AH364" i="3"/>
  <c r="AG364" i="3"/>
  <c r="AF364" i="3"/>
  <c r="AD364" i="3"/>
  <c r="AB364" i="3"/>
  <c r="AC364" i="3" s="1"/>
  <c r="S364" i="3"/>
  <c r="T364" i="3" s="1"/>
  <c r="L364" i="3"/>
  <c r="K364" i="3"/>
  <c r="H364" i="3"/>
  <c r="B364" i="3"/>
  <c r="AK363" i="3"/>
  <c r="AH363" i="3"/>
  <c r="AG363" i="3"/>
  <c r="AF363" i="3"/>
  <c r="AD363" i="3"/>
  <c r="AB363" i="3"/>
  <c r="AC363" i="3" s="1"/>
  <c r="S363" i="3"/>
  <c r="T363" i="3" s="1"/>
  <c r="L363" i="3"/>
  <c r="K363" i="3"/>
  <c r="H363" i="3"/>
  <c r="B363" i="3"/>
  <c r="AK362" i="3"/>
  <c r="AH362" i="3"/>
  <c r="AG362" i="3"/>
  <c r="AF362" i="3"/>
  <c r="AD362" i="3"/>
  <c r="AB362" i="3"/>
  <c r="AC362" i="3" s="1"/>
  <c r="S362" i="3"/>
  <c r="T362" i="3" s="1"/>
  <c r="V362" i="3" s="1"/>
  <c r="L362" i="3"/>
  <c r="K362" i="3"/>
  <c r="H362" i="3"/>
  <c r="B362" i="3"/>
  <c r="AK361" i="3"/>
  <c r="AH361" i="3"/>
  <c r="AG361" i="3"/>
  <c r="AF361" i="3"/>
  <c r="AD361" i="3"/>
  <c r="AB361" i="3"/>
  <c r="AC361" i="3" s="1"/>
  <c r="S361" i="3"/>
  <c r="T361" i="3" s="1"/>
  <c r="L361" i="3"/>
  <c r="K361" i="3"/>
  <c r="H361" i="3"/>
  <c r="B361" i="3"/>
  <c r="AK360" i="3"/>
  <c r="AH360" i="3"/>
  <c r="AG360" i="3"/>
  <c r="AF360" i="3"/>
  <c r="AD360" i="3"/>
  <c r="AB360" i="3"/>
  <c r="AC360" i="3" s="1"/>
  <c r="S360" i="3"/>
  <c r="T360" i="3" s="1"/>
  <c r="L360" i="3"/>
  <c r="K360" i="3"/>
  <c r="H360" i="3"/>
  <c r="B360" i="3"/>
  <c r="AK359" i="3"/>
  <c r="AH359" i="3"/>
  <c r="AG359" i="3"/>
  <c r="AF359" i="3"/>
  <c r="AD359" i="3"/>
  <c r="AB359" i="3"/>
  <c r="AC359" i="3" s="1"/>
  <c r="S359" i="3"/>
  <c r="T359" i="3" s="1"/>
  <c r="U359" i="3" s="1"/>
  <c r="Z359" i="3" s="1"/>
  <c r="L359" i="3"/>
  <c r="K359" i="3"/>
  <c r="H359" i="3"/>
  <c r="B359" i="3"/>
  <c r="AK358" i="3"/>
  <c r="AH358" i="3"/>
  <c r="AG358" i="3"/>
  <c r="AF358" i="3"/>
  <c r="AD358" i="3"/>
  <c r="AB358" i="3"/>
  <c r="AC358" i="3" s="1"/>
  <c r="S358" i="3"/>
  <c r="T358" i="3" s="1"/>
  <c r="U358" i="3" s="1"/>
  <c r="Z358" i="3" s="1"/>
  <c r="L358" i="3"/>
  <c r="K358" i="3"/>
  <c r="H358" i="3"/>
  <c r="B358" i="3"/>
  <c r="AK357" i="3"/>
  <c r="AH357" i="3"/>
  <c r="AG357" i="3"/>
  <c r="AF357" i="3"/>
  <c r="AD357" i="3"/>
  <c r="AB357" i="3"/>
  <c r="AC357" i="3" s="1"/>
  <c r="S357" i="3"/>
  <c r="T357" i="3" s="1"/>
  <c r="L357" i="3"/>
  <c r="K357" i="3"/>
  <c r="H357" i="3"/>
  <c r="B357" i="3"/>
  <c r="AK356" i="3"/>
  <c r="AH356" i="3"/>
  <c r="AG356" i="3"/>
  <c r="AF356" i="3"/>
  <c r="AD356" i="3"/>
  <c r="AB356" i="3"/>
  <c r="AC356" i="3" s="1"/>
  <c r="S356" i="3"/>
  <c r="T356" i="3" s="1"/>
  <c r="L356" i="3"/>
  <c r="K356" i="3"/>
  <c r="H356" i="3"/>
  <c r="B356" i="3"/>
  <c r="AK355" i="3"/>
  <c r="AH355" i="3"/>
  <c r="AG355" i="3"/>
  <c r="AF355" i="3"/>
  <c r="AD355" i="3"/>
  <c r="AB355" i="3"/>
  <c r="AC355" i="3" s="1"/>
  <c r="S355" i="3"/>
  <c r="T355" i="3" s="1"/>
  <c r="L355" i="3"/>
  <c r="K355" i="3"/>
  <c r="H355" i="3"/>
  <c r="B355" i="3"/>
  <c r="AK354" i="3"/>
  <c r="AH354" i="3"/>
  <c r="AG354" i="3"/>
  <c r="AF354" i="3"/>
  <c r="AD354" i="3"/>
  <c r="AB354" i="3"/>
  <c r="AC354" i="3" s="1"/>
  <c r="S354" i="3"/>
  <c r="T354" i="3" s="1"/>
  <c r="L354" i="3"/>
  <c r="K354" i="3"/>
  <c r="H354" i="3"/>
  <c r="B354" i="3"/>
  <c r="AK353" i="3"/>
  <c r="AH353" i="3"/>
  <c r="AG353" i="3"/>
  <c r="AF353" i="3"/>
  <c r="AD353" i="3"/>
  <c r="AB353" i="3"/>
  <c r="AC353" i="3" s="1"/>
  <c r="S353" i="3"/>
  <c r="T353" i="3" s="1"/>
  <c r="U353" i="3" s="1"/>
  <c r="Z353" i="3" s="1"/>
  <c r="L353" i="3"/>
  <c r="K353" i="3"/>
  <c r="H353" i="3"/>
  <c r="B353" i="3"/>
  <c r="AK352" i="3"/>
  <c r="AH352" i="3"/>
  <c r="AG352" i="3"/>
  <c r="AF352" i="3"/>
  <c r="AD352" i="3"/>
  <c r="AB352" i="3"/>
  <c r="AC352" i="3" s="1"/>
  <c r="S352" i="3"/>
  <c r="T352" i="3" s="1"/>
  <c r="U352" i="3" s="1"/>
  <c r="Z352" i="3" s="1"/>
  <c r="L352" i="3"/>
  <c r="K352" i="3"/>
  <c r="H352" i="3"/>
  <c r="B352" i="3"/>
  <c r="AK351" i="3"/>
  <c r="AH351" i="3"/>
  <c r="AG351" i="3"/>
  <c r="AF351" i="3"/>
  <c r="AD351" i="3"/>
  <c r="AB351" i="3"/>
  <c r="AC351" i="3" s="1"/>
  <c r="S351" i="3"/>
  <c r="T351" i="3" s="1"/>
  <c r="U351" i="3" s="1"/>
  <c r="Z351" i="3" s="1"/>
  <c r="L351" i="3"/>
  <c r="K351" i="3"/>
  <c r="H351" i="3"/>
  <c r="B351" i="3"/>
  <c r="AK350" i="3"/>
  <c r="AH350" i="3"/>
  <c r="AG350" i="3"/>
  <c r="AF350" i="3"/>
  <c r="AD350" i="3"/>
  <c r="AB350" i="3"/>
  <c r="AC350" i="3" s="1"/>
  <c r="S350" i="3"/>
  <c r="T350" i="3" s="1"/>
  <c r="L350" i="3"/>
  <c r="K350" i="3"/>
  <c r="H350" i="3"/>
  <c r="B350" i="3"/>
  <c r="AK349" i="3"/>
  <c r="AH349" i="3"/>
  <c r="AG349" i="3"/>
  <c r="AF349" i="3"/>
  <c r="AD349" i="3"/>
  <c r="AB349" i="3"/>
  <c r="AC349" i="3" s="1"/>
  <c r="S349" i="3"/>
  <c r="T349" i="3" s="1"/>
  <c r="V349" i="3" s="1"/>
  <c r="L349" i="3"/>
  <c r="K349" i="3"/>
  <c r="H349" i="3"/>
  <c r="B349" i="3"/>
  <c r="AK348" i="3"/>
  <c r="AH348" i="3"/>
  <c r="AG348" i="3"/>
  <c r="AF348" i="3"/>
  <c r="AD348" i="3"/>
  <c r="AB348" i="3"/>
  <c r="AC348" i="3" s="1"/>
  <c r="S348" i="3"/>
  <c r="T348" i="3" s="1"/>
  <c r="U348" i="3" s="1"/>
  <c r="Z348" i="3" s="1"/>
  <c r="L348" i="3"/>
  <c r="K348" i="3"/>
  <c r="H348" i="3"/>
  <c r="B348" i="3"/>
  <c r="AK347" i="3"/>
  <c r="AH347" i="3"/>
  <c r="AG347" i="3"/>
  <c r="AF347" i="3"/>
  <c r="AD347" i="3"/>
  <c r="AB347" i="3"/>
  <c r="AC347" i="3" s="1"/>
  <c r="S347" i="3"/>
  <c r="T347" i="3" s="1"/>
  <c r="L347" i="3"/>
  <c r="K347" i="3"/>
  <c r="H347" i="3"/>
  <c r="B347" i="3"/>
  <c r="AK346" i="3"/>
  <c r="AH346" i="3"/>
  <c r="AG346" i="3"/>
  <c r="AF346" i="3"/>
  <c r="AD346" i="3"/>
  <c r="AB346" i="3"/>
  <c r="AC346" i="3" s="1"/>
  <c r="S346" i="3"/>
  <c r="T346" i="3" s="1"/>
  <c r="L346" i="3"/>
  <c r="K346" i="3"/>
  <c r="H346" i="3"/>
  <c r="B346" i="3"/>
  <c r="AK345" i="3"/>
  <c r="AH345" i="3"/>
  <c r="AG345" i="3"/>
  <c r="AF345" i="3"/>
  <c r="AD345" i="3"/>
  <c r="AB345" i="3"/>
  <c r="AC345" i="3" s="1"/>
  <c r="S345" i="3"/>
  <c r="T345" i="3" s="1"/>
  <c r="L345" i="3"/>
  <c r="K345" i="3"/>
  <c r="H345" i="3"/>
  <c r="B345" i="3"/>
  <c r="AK344" i="3"/>
  <c r="AH344" i="3"/>
  <c r="AG344" i="3"/>
  <c r="AF344" i="3"/>
  <c r="AD344" i="3"/>
  <c r="AB344" i="3"/>
  <c r="AC344" i="3" s="1"/>
  <c r="S344" i="3"/>
  <c r="T344" i="3" s="1"/>
  <c r="U344" i="3" s="1"/>
  <c r="Z344" i="3" s="1"/>
  <c r="L344" i="3"/>
  <c r="K344" i="3"/>
  <c r="H344" i="3"/>
  <c r="B344" i="3"/>
  <c r="AK343" i="3"/>
  <c r="AH343" i="3"/>
  <c r="AG343" i="3"/>
  <c r="AF343" i="3"/>
  <c r="AD343" i="3"/>
  <c r="AB343" i="3"/>
  <c r="AC343" i="3" s="1"/>
  <c r="S343" i="3"/>
  <c r="T343" i="3" s="1"/>
  <c r="L343" i="3"/>
  <c r="K343" i="3"/>
  <c r="H343" i="3"/>
  <c r="B343" i="3"/>
  <c r="AK342" i="3"/>
  <c r="AH342" i="3"/>
  <c r="AG342" i="3"/>
  <c r="AF342" i="3"/>
  <c r="AD342" i="3"/>
  <c r="AB342" i="3"/>
  <c r="AC342" i="3" s="1"/>
  <c r="S342" i="3"/>
  <c r="T342" i="3" s="1"/>
  <c r="L342" i="3"/>
  <c r="K342" i="3"/>
  <c r="H342" i="3"/>
  <c r="B342" i="3"/>
  <c r="AK341" i="3"/>
  <c r="AH341" i="3"/>
  <c r="AG341" i="3"/>
  <c r="AF341" i="3"/>
  <c r="AD341" i="3"/>
  <c r="AB341" i="3"/>
  <c r="AC341" i="3" s="1"/>
  <c r="S341" i="3"/>
  <c r="T341" i="3" s="1"/>
  <c r="V341" i="3" s="1"/>
  <c r="L341" i="3"/>
  <c r="K341" i="3"/>
  <c r="H341" i="3"/>
  <c r="B341" i="3"/>
  <c r="AK340" i="3"/>
  <c r="AH340" i="3"/>
  <c r="AG340" i="3"/>
  <c r="AF340" i="3"/>
  <c r="AD340" i="3"/>
  <c r="AB340" i="3"/>
  <c r="AC340" i="3" s="1"/>
  <c r="S340" i="3"/>
  <c r="T340" i="3" s="1"/>
  <c r="L340" i="3"/>
  <c r="K340" i="3"/>
  <c r="H340" i="3"/>
  <c r="B340" i="3"/>
  <c r="AK339" i="3"/>
  <c r="AH339" i="3"/>
  <c r="AG339" i="3"/>
  <c r="AF339" i="3"/>
  <c r="AD339" i="3"/>
  <c r="AB339" i="3"/>
  <c r="AC339" i="3" s="1"/>
  <c r="S339" i="3"/>
  <c r="T339" i="3" s="1"/>
  <c r="V339" i="3" s="1"/>
  <c r="L339" i="3"/>
  <c r="K339" i="3"/>
  <c r="H339" i="3"/>
  <c r="B339" i="3"/>
  <c r="AK338" i="3"/>
  <c r="AH338" i="3"/>
  <c r="AG338" i="3"/>
  <c r="AF338" i="3"/>
  <c r="AD338" i="3"/>
  <c r="AB338" i="3"/>
  <c r="AC338" i="3" s="1"/>
  <c r="S338" i="3"/>
  <c r="T338" i="3" s="1"/>
  <c r="L338" i="3"/>
  <c r="K338" i="3"/>
  <c r="H338" i="3"/>
  <c r="B338" i="3"/>
  <c r="AK337" i="3"/>
  <c r="AH337" i="3"/>
  <c r="AG337" i="3"/>
  <c r="AF337" i="3"/>
  <c r="AD337" i="3"/>
  <c r="AB337" i="3"/>
  <c r="AC337" i="3" s="1"/>
  <c r="S337" i="3"/>
  <c r="T337" i="3" s="1"/>
  <c r="L337" i="3"/>
  <c r="K337" i="3"/>
  <c r="H337" i="3"/>
  <c r="B337" i="3"/>
  <c r="AK336" i="3"/>
  <c r="AH336" i="3"/>
  <c r="AG336" i="3"/>
  <c r="AF336" i="3"/>
  <c r="AD336" i="3"/>
  <c r="AB336" i="3"/>
  <c r="AC336" i="3" s="1"/>
  <c r="S336" i="3"/>
  <c r="T336" i="3" s="1"/>
  <c r="U336" i="3" s="1"/>
  <c r="Z336" i="3" s="1"/>
  <c r="L336" i="3"/>
  <c r="K336" i="3"/>
  <c r="H336" i="3"/>
  <c r="B336" i="3"/>
  <c r="AK335" i="3"/>
  <c r="AH335" i="3"/>
  <c r="AG335" i="3"/>
  <c r="AF335" i="3"/>
  <c r="AD335" i="3"/>
  <c r="AB335" i="3"/>
  <c r="AC335" i="3" s="1"/>
  <c r="S335" i="3"/>
  <c r="T335" i="3" s="1"/>
  <c r="V335" i="3" s="1"/>
  <c r="W335" i="3" s="1"/>
  <c r="L335" i="3"/>
  <c r="K335" i="3"/>
  <c r="H335" i="3"/>
  <c r="B335" i="3"/>
  <c r="AK334" i="3"/>
  <c r="AH334" i="3"/>
  <c r="AG334" i="3"/>
  <c r="AF334" i="3"/>
  <c r="AD334" i="3"/>
  <c r="AB334" i="3"/>
  <c r="AC334" i="3" s="1"/>
  <c r="S334" i="3"/>
  <c r="T334" i="3" s="1"/>
  <c r="L334" i="3"/>
  <c r="K334" i="3"/>
  <c r="H334" i="3"/>
  <c r="B334" i="3"/>
  <c r="AK333" i="3"/>
  <c r="AH333" i="3"/>
  <c r="AG333" i="3"/>
  <c r="AF333" i="3"/>
  <c r="AD333" i="3"/>
  <c r="AB333" i="3"/>
  <c r="AC333" i="3" s="1"/>
  <c r="S333" i="3"/>
  <c r="T333" i="3" s="1"/>
  <c r="U333" i="3" s="1"/>
  <c r="Z333" i="3" s="1"/>
  <c r="L333" i="3"/>
  <c r="K333" i="3"/>
  <c r="H333" i="3"/>
  <c r="B333" i="3"/>
  <c r="AK332" i="3"/>
  <c r="AH332" i="3"/>
  <c r="AG332" i="3"/>
  <c r="AF332" i="3"/>
  <c r="AD332" i="3"/>
  <c r="AB332" i="3"/>
  <c r="AC332" i="3" s="1"/>
  <c r="S332" i="3"/>
  <c r="T332" i="3" s="1"/>
  <c r="L332" i="3"/>
  <c r="K332" i="3"/>
  <c r="H332" i="3"/>
  <c r="B332" i="3"/>
  <c r="AK331" i="3"/>
  <c r="AH331" i="3"/>
  <c r="AG331" i="3"/>
  <c r="AF331" i="3"/>
  <c r="AD331" i="3"/>
  <c r="AB331" i="3"/>
  <c r="AC331" i="3" s="1"/>
  <c r="S331" i="3"/>
  <c r="T331" i="3" s="1"/>
  <c r="V331" i="3" s="1"/>
  <c r="L331" i="3"/>
  <c r="K331" i="3"/>
  <c r="H331" i="3"/>
  <c r="B331" i="3"/>
  <c r="AK330" i="3"/>
  <c r="AH330" i="3"/>
  <c r="AG330" i="3"/>
  <c r="AF330" i="3"/>
  <c r="AD330" i="3"/>
  <c r="AB330" i="3"/>
  <c r="AC330" i="3" s="1"/>
  <c r="S330" i="3"/>
  <c r="T330" i="3" s="1"/>
  <c r="L330" i="3"/>
  <c r="K330" i="3"/>
  <c r="H330" i="3"/>
  <c r="B330" i="3"/>
  <c r="AK329" i="3"/>
  <c r="AH329" i="3"/>
  <c r="AG329" i="3"/>
  <c r="AF329" i="3"/>
  <c r="AD329" i="3"/>
  <c r="AB329" i="3"/>
  <c r="AC329" i="3" s="1"/>
  <c r="T329" i="3"/>
  <c r="S329" i="3"/>
  <c r="L329" i="3"/>
  <c r="K329" i="3"/>
  <c r="H329" i="3"/>
  <c r="B329" i="3"/>
  <c r="AK328" i="3"/>
  <c r="AH328" i="3"/>
  <c r="AG328" i="3"/>
  <c r="AF328" i="3"/>
  <c r="AD328" i="3"/>
  <c r="AB328" i="3"/>
  <c r="AC328" i="3" s="1"/>
  <c r="S328" i="3"/>
  <c r="T328" i="3" s="1"/>
  <c r="U328" i="3" s="1"/>
  <c r="Z328" i="3" s="1"/>
  <c r="L328" i="3"/>
  <c r="K328" i="3"/>
  <c r="H328" i="3"/>
  <c r="B328" i="3"/>
  <c r="AK327" i="3"/>
  <c r="AH327" i="3"/>
  <c r="AG327" i="3"/>
  <c r="AF327" i="3"/>
  <c r="AD327" i="3"/>
  <c r="AB327" i="3"/>
  <c r="AC327" i="3" s="1"/>
  <c r="T327" i="3"/>
  <c r="S327" i="3"/>
  <c r="L327" i="3"/>
  <c r="K327" i="3"/>
  <c r="H327" i="3"/>
  <c r="B327" i="3"/>
  <c r="AK326" i="3"/>
  <c r="AH326" i="3"/>
  <c r="AG326" i="3"/>
  <c r="AF326" i="3"/>
  <c r="AD326" i="3"/>
  <c r="AB326" i="3"/>
  <c r="AC326" i="3" s="1"/>
  <c r="S326" i="3"/>
  <c r="T326" i="3" s="1"/>
  <c r="U326" i="3" s="1"/>
  <c r="Z326" i="3" s="1"/>
  <c r="L326" i="3"/>
  <c r="K326" i="3"/>
  <c r="H326" i="3"/>
  <c r="B326" i="3"/>
  <c r="AK325" i="3"/>
  <c r="AH325" i="3"/>
  <c r="AG325" i="3"/>
  <c r="AF325" i="3"/>
  <c r="AD325" i="3"/>
  <c r="AB325" i="3"/>
  <c r="AC325" i="3" s="1"/>
  <c r="S325" i="3"/>
  <c r="T325" i="3" s="1"/>
  <c r="L325" i="3"/>
  <c r="K325" i="3"/>
  <c r="H325" i="3"/>
  <c r="B325" i="3"/>
  <c r="AK324" i="3"/>
  <c r="AH324" i="3"/>
  <c r="AG324" i="3"/>
  <c r="AF324" i="3"/>
  <c r="AD324" i="3"/>
  <c r="AB324" i="3"/>
  <c r="AC324" i="3" s="1"/>
  <c r="S324" i="3"/>
  <c r="T324" i="3" s="1"/>
  <c r="U324" i="3" s="1"/>
  <c r="Z324" i="3" s="1"/>
  <c r="L324" i="3"/>
  <c r="K324" i="3"/>
  <c r="H324" i="3"/>
  <c r="B324" i="3"/>
  <c r="AK323" i="3"/>
  <c r="AH323" i="3"/>
  <c r="AG323" i="3"/>
  <c r="AF323" i="3"/>
  <c r="AD323" i="3"/>
  <c r="AB323" i="3"/>
  <c r="AC323" i="3" s="1"/>
  <c r="S323" i="3"/>
  <c r="T323" i="3" s="1"/>
  <c r="V323" i="3" s="1"/>
  <c r="X323" i="3" s="1"/>
  <c r="L323" i="3"/>
  <c r="K323" i="3"/>
  <c r="H323" i="3"/>
  <c r="B323" i="3"/>
  <c r="AK322" i="3"/>
  <c r="AH322" i="3"/>
  <c r="AG322" i="3"/>
  <c r="AF322" i="3"/>
  <c r="AD322" i="3"/>
  <c r="AB322" i="3"/>
  <c r="AC322" i="3" s="1"/>
  <c r="S322" i="3"/>
  <c r="T322" i="3" s="1"/>
  <c r="L322" i="3"/>
  <c r="K322" i="3"/>
  <c r="H322" i="3"/>
  <c r="B322" i="3"/>
  <c r="AK321" i="3"/>
  <c r="AH321" i="3"/>
  <c r="AG321" i="3"/>
  <c r="AF321" i="3"/>
  <c r="AD321" i="3"/>
  <c r="AB321" i="3"/>
  <c r="AC321" i="3" s="1"/>
  <c r="S321" i="3"/>
  <c r="T321" i="3" s="1"/>
  <c r="V321" i="3" s="1"/>
  <c r="W321" i="3" s="1"/>
  <c r="L321" i="3"/>
  <c r="K321" i="3"/>
  <c r="H321" i="3"/>
  <c r="B321" i="3"/>
  <c r="AK320" i="3"/>
  <c r="AH320" i="3"/>
  <c r="AG320" i="3"/>
  <c r="AF320" i="3"/>
  <c r="AD320" i="3"/>
  <c r="AB320" i="3"/>
  <c r="AC320" i="3" s="1"/>
  <c r="S320" i="3"/>
  <c r="T320" i="3" s="1"/>
  <c r="L320" i="3"/>
  <c r="K320" i="3"/>
  <c r="H320" i="3"/>
  <c r="B320" i="3"/>
  <c r="AK319" i="3"/>
  <c r="AH319" i="3"/>
  <c r="AG319" i="3"/>
  <c r="AF319" i="3"/>
  <c r="AD319" i="3"/>
  <c r="AB319" i="3"/>
  <c r="AC319" i="3" s="1"/>
  <c r="S319" i="3"/>
  <c r="T319" i="3" s="1"/>
  <c r="L319" i="3"/>
  <c r="K319" i="3"/>
  <c r="H319" i="3"/>
  <c r="B319" i="3"/>
  <c r="AK318" i="3"/>
  <c r="AH318" i="3"/>
  <c r="AG318" i="3"/>
  <c r="AF318" i="3"/>
  <c r="AD318" i="3"/>
  <c r="AB318" i="3"/>
  <c r="AC318" i="3" s="1"/>
  <c r="S318" i="3"/>
  <c r="T318" i="3" s="1"/>
  <c r="L318" i="3"/>
  <c r="K318" i="3"/>
  <c r="H318" i="3"/>
  <c r="B318" i="3"/>
  <c r="AK317" i="3"/>
  <c r="AH317" i="3"/>
  <c r="AG317" i="3"/>
  <c r="AF317" i="3"/>
  <c r="AD317" i="3"/>
  <c r="AB317" i="3"/>
  <c r="AC317" i="3" s="1"/>
  <c r="S317" i="3"/>
  <c r="T317" i="3" s="1"/>
  <c r="U317" i="3" s="1"/>
  <c r="Z317" i="3" s="1"/>
  <c r="L317" i="3"/>
  <c r="K317" i="3"/>
  <c r="H317" i="3"/>
  <c r="B317" i="3"/>
  <c r="AK316" i="3"/>
  <c r="AH316" i="3"/>
  <c r="AG316" i="3"/>
  <c r="AF316" i="3"/>
  <c r="AD316" i="3"/>
  <c r="AB316" i="3"/>
  <c r="AC316" i="3" s="1"/>
  <c r="S316" i="3"/>
  <c r="T316" i="3" s="1"/>
  <c r="U316" i="3" s="1"/>
  <c r="Z316" i="3" s="1"/>
  <c r="L316" i="3"/>
  <c r="K316" i="3"/>
  <c r="H316" i="3"/>
  <c r="B316" i="3"/>
  <c r="AK315" i="3"/>
  <c r="AH315" i="3"/>
  <c r="AG315" i="3"/>
  <c r="AF315" i="3"/>
  <c r="AD315" i="3"/>
  <c r="AB315" i="3"/>
  <c r="AC315" i="3" s="1"/>
  <c r="S315" i="3"/>
  <c r="T315" i="3" s="1"/>
  <c r="V315" i="3" s="1"/>
  <c r="L315" i="3"/>
  <c r="K315" i="3"/>
  <c r="H315" i="3"/>
  <c r="B315" i="3"/>
  <c r="AK314" i="3"/>
  <c r="AH314" i="3"/>
  <c r="AG314" i="3"/>
  <c r="AF314" i="3"/>
  <c r="AD314" i="3"/>
  <c r="AB314" i="3"/>
  <c r="AC314" i="3" s="1"/>
  <c r="S314" i="3"/>
  <c r="T314" i="3" s="1"/>
  <c r="U314" i="3" s="1"/>
  <c r="Z314" i="3" s="1"/>
  <c r="L314" i="3"/>
  <c r="K314" i="3"/>
  <c r="H314" i="3"/>
  <c r="B314" i="3"/>
  <c r="AK313" i="3"/>
  <c r="AH313" i="3"/>
  <c r="AG313" i="3"/>
  <c r="AF313" i="3"/>
  <c r="AD313" i="3"/>
  <c r="AB313" i="3"/>
  <c r="AC313" i="3" s="1"/>
  <c r="S313" i="3"/>
  <c r="T313" i="3" s="1"/>
  <c r="V313" i="3" s="1"/>
  <c r="X313" i="3" s="1"/>
  <c r="L313" i="3"/>
  <c r="K313" i="3"/>
  <c r="H313" i="3"/>
  <c r="B313" i="3"/>
  <c r="AK312" i="3"/>
  <c r="AH312" i="3"/>
  <c r="AG312" i="3"/>
  <c r="AF312" i="3"/>
  <c r="AD312" i="3"/>
  <c r="AB312" i="3"/>
  <c r="AC312" i="3" s="1"/>
  <c r="S312" i="3"/>
  <c r="T312" i="3" s="1"/>
  <c r="L312" i="3"/>
  <c r="K312" i="3"/>
  <c r="H312" i="3"/>
  <c r="B312" i="3"/>
  <c r="AK311" i="3"/>
  <c r="AH311" i="3"/>
  <c r="AG311" i="3"/>
  <c r="AF311" i="3"/>
  <c r="AD311" i="3"/>
  <c r="AB311" i="3"/>
  <c r="AC311" i="3" s="1"/>
  <c r="S311" i="3"/>
  <c r="T311" i="3" s="1"/>
  <c r="U311" i="3" s="1"/>
  <c r="Z311" i="3" s="1"/>
  <c r="L311" i="3"/>
  <c r="K311" i="3"/>
  <c r="H311" i="3"/>
  <c r="B311" i="3"/>
  <c r="AK310" i="3"/>
  <c r="AH310" i="3"/>
  <c r="AG310" i="3"/>
  <c r="AF310" i="3"/>
  <c r="AD310" i="3"/>
  <c r="AB310" i="3"/>
  <c r="AC310" i="3" s="1"/>
  <c r="S310" i="3"/>
  <c r="T310" i="3" s="1"/>
  <c r="U310" i="3" s="1"/>
  <c r="Z310" i="3" s="1"/>
  <c r="L310" i="3"/>
  <c r="K310" i="3"/>
  <c r="H310" i="3"/>
  <c r="B310" i="3"/>
  <c r="AK309" i="3"/>
  <c r="AH309" i="3"/>
  <c r="AG309" i="3"/>
  <c r="AF309" i="3"/>
  <c r="AD309" i="3"/>
  <c r="AB309" i="3"/>
  <c r="AC309" i="3" s="1"/>
  <c r="S309" i="3"/>
  <c r="T309" i="3" s="1"/>
  <c r="L309" i="3"/>
  <c r="K309" i="3"/>
  <c r="H309" i="3"/>
  <c r="B309" i="3"/>
  <c r="AK308" i="3"/>
  <c r="AH308" i="3"/>
  <c r="AG308" i="3"/>
  <c r="AF308" i="3"/>
  <c r="AD308" i="3"/>
  <c r="AB308" i="3"/>
  <c r="AC308" i="3" s="1"/>
  <c r="S308" i="3"/>
  <c r="T308" i="3" s="1"/>
  <c r="U308" i="3" s="1"/>
  <c r="Z308" i="3" s="1"/>
  <c r="L308" i="3"/>
  <c r="K308" i="3"/>
  <c r="H308" i="3"/>
  <c r="B308" i="3"/>
  <c r="AK307" i="3"/>
  <c r="AH307" i="3"/>
  <c r="AG307" i="3"/>
  <c r="AF307" i="3"/>
  <c r="AD307" i="3"/>
  <c r="AB307" i="3"/>
  <c r="AC307" i="3" s="1"/>
  <c r="S307" i="3"/>
  <c r="T307" i="3" s="1"/>
  <c r="L307" i="3"/>
  <c r="K307" i="3"/>
  <c r="H307" i="3"/>
  <c r="B307" i="3"/>
  <c r="AK306" i="3"/>
  <c r="AH306" i="3"/>
  <c r="AG306" i="3"/>
  <c r="AF306" i="3"/>
  <c r="AD306" i="3"/>
  <c r="AB306" i="3"/>
  <c r="AC306" i="3" s="1"/>
  <c r="S306" i="3"/>
  <c r="T306" i="3" s="1"/>
  <c r="L306" i="3"/>
  <c r="K306" i="3"/>
  <c r="H306" i="3"/>
  <c r="B306" i="3"/>
  <c r="AK305" i="3"/>
  <c r="AH305" i="3"/>
  <c r="AG305" i="3"/>
  <c r="AF305" i="3"/>
  <c r="AD305" i="3"/>
  <c r="AB305" i="3"/>
  <c r="AC305" i="3" s="1"/>
  <c r="S305" i="3"/>
  <c r="T305" i="3" s="1"/>
  <c r="L305" i="3"/>
  <c r="K305" i="3"/>
  <c r="H305" i="3"/>
  <c r="B305" i="3"/>
  <c r="AK304" i="3"/>
  <c r="AH304" i="3"/>
  <c r="AG304" i="3"/>
  <c r="AF304" i="3"/>
  <c r="AD304" i="3"/>
  <c r="AB304" i="3"/>
  <c r="AC304" i="3" s="1"/>
  <c r="S304" i="3"/>
  <c r="T304" i="3" s="1"/>
  <c r="L304" i="3"/>
  <c r="K304" i="3"/>
  <c r="H304" i="3"/>
  <c r="B304" i="3"/>
  <c r="AK303" i="3"/>
  <c r="AH303" i="3"/>
  <c r="AG303" i="3"/>
  <c r="AF303" i="3"/>
  <c r="AD303" i="3"/>
  <c r="AC303" i="3"/>
  <c r="AB303" i="3"/>
  <c r="S303" i="3"/>
  <c r="T303" i="3" s="1"/>
  <c r="U303" i="3" s="1"/>
  <c r="Z303" i="3" s="1"/>
  <c r="L303" i="3"/>
  <c r="K303" i="3"/>
  <c r="H303" i="3"/>
  <c r="B303" i="3"/>
  <c r="AK302" i="3"/>
  <c r="AH302" i="3"/>
  <c r="AG302" i="3"/>
  <c r="AF302" i="3"/>
  <c r="AD302" i="3"/>
  <c r="AB302" i="3"/>
  <c r="AC302" i="3" s="1"/>
  <c r="S302" i="3"/>
  <c r="T302" i="3" s="1"/>
  <c r="L302" i="3"/>
  <c r="K302" i="3"/>
  <c r="H302" i="3"/>
  <c r="B302" i="3"/>
  <c r="AK301" i="3"/>
  <c r="AH301" i="3"/>
  <c r="AG301" i="3"/>
  <c r="AF301" i="3"/>
  <c r="AD301" i="3"/>
  <c r="AB301" i="3"/>
  <c r="AC301" i="3" s="1"/>
  <c r="S301" i="3"/>
  <c r="T301" i="3" s="1"/>
  <c r="V301" i="3" s="1"/>
  <c r="Y301" i="3" s="1"/>
  <c r="AA301" i="3" s="1"/>
  <c r="AJ301" i="3" s="1"/>
  <c r="L301" i="3"/>
  <c r="K301" i="3"/>
  <c r="H301" i="3"/>
  <c r="B301" i="3"/>
  <c r="AK300" i="3"/>
  <c r="AH300" i="3"/>
  <c r="AG300" i="3"/>
  <c r="AF300" i="3"/>
  <c r="AD300" i="3"/>
  <c r="AB300" i="3"/>
  <c r="AC300" i="3" s="1"/>
  <c r="S300" i="3"/>
  <c r="T300" i="3" s="1"/>
  <c r="U300" i="3" s="1"/>
  <c r="Z300" i="3" s="1"/>
  <c r="L300" i="3"/>
  <c r="K300" i="3"/>
  <c r="H300" i="3"/>
  <c r="B300" i="3"/>
  <c r="AK299" i="3"/>
  <c r="AH299" i="3"/>
  <c r="AG299" i="3"/>
  <c r="AF299" i="3"/>
  <c r="AD299" i="3"/>
  <c r="AB299" i="3"/>
  <c r="AC299" i="3" s="1"/>
  <c r="S299" i="3"/>
  <c r="T299" i="3" s="1"/>
  <c r="L299" i="3"/>
  <c r="K299" i="3"/>
  <c r="H299" i="3"/>
  <c r="B299" i="3"/>
  <c r="AK298" i="3"/>
  <c r="AH298" i="3"/>
  <c r="AG298" i="3"/>
  <c r="AF298" i="3"/>
  <c r="AD298" i="3"/>
  <c r="AB298" i="3"/>
  <c r="AC298" i="3" s="1"/>
  <c r="S298" i="3"/>
  <c r="T298" i="3" s="1"/>
  <c r="U298" i="3" s="1"/>
  <c r="Z298" i="3" s="1"/>
  <c r="L298" i="3"/>
  <c r="K298" i="3"/>
  <c r="H298" i="3"/>
  <c r="B298" i="3"/>
  <c r="AK297" i="3"/>
  <c r="AH297" i="3"/>
  <c r="AG297" i="3"/>
  <c r="AF297" i="3"/>
  <c r="AD297" i="3"/>
  <c r="AC297" i="3"/>
  <c r="AB297" i="3"/>
  <c r="S297" i="3"/>
  <c r="T297" i="3" s="1"/>
  <c r="U297" i="3" s="1"/>
  <c r="Z297" i="3" s="1"/>
  <c r="L297" i="3"/>
  <c r="K297" i="3"/>
  <c r="H297" i="3"/>
  <c r="B297" i="3"/>
  <c r="AK296" i="3"/>
  <c r="AH296" i="3"/>
  <c r="AG296" i="3"/>
  <c r="AF296" i="3"/>
  <c r="AD296" i="3"/>
  <c r="AB296" i="3"/>
  <c r="AC296" i="3" s="1"/>
  <c r="S296" i="3"/>
  <c r="T296" i="3" s="1"/>
  <c r="U296" i="3" s="1"/>
  <c r="Z296" i="3" s="1"/>
  <c r="L296" i="3"/>
  <c r="K296" i="3"/>
  <c r="H296" i="3"/>
  <c r="B296" i="3"/>
  <c r="AK295" i="3"/>
  <c r="AH295" i="3"/>
  <c r="AG295" i="3"/>
  <c r="AF295" i="3"/>
  <c r="AD295" i="3"/>
  <c r="AB295" i="3"/>
  <c r="AC295" i="3" s="1"/>
  <c r="S295" i="3"/>
  <c r="T295" i="3" s="1"/>
  <c r="L295" i="3"/>
  <c r="K295" i="3"/>
  <c r="H295" i="3"/>
  <c r="B295" i="3"/>
  <c r="AK294" i="3"/>
  <c r="AH294" i="3"/>
  <c r="AG294" i="3"/>
  <c r="AF294" i="3"/>
  <c r="AD294" i="3"/>
  <c r="AB294" i="3"/>
  <c r="AC294" i="3" s="1"/>
  <c r="S294" i="3"/>
  <c r="T294" i="3" s="1"/>
  <c r="L294" i="3"/>
  <c r="K294" i="3"/>
  <c r="H294" i="3"/>
  <c r="B294" i="3"/>
  <c r="AK293" i="3"/>
  <c r="AH293" i="3"/>
  <c r="AG293" i="3"/>
  <c r="AF293" i="3"/>
  <c r="AD293" i="3"/>
  <c r="AB293" i="3"/>
  <c r="AC293" i="3" s="1"/>
  <c r="S293" i="3"/>
  <c r="T293" i="3" s="1"/>
  <c r="L293" i="3"/>
  <c r="K293" i="3"/>
  <c r="H293" i="3"/>
  <c r="B293" i="3"/>
  <c r="AK292" i="3"/>
  <c r="AH292" i="3"/>
  <c r="AG292" i="3"/>
  <c r="AF292" i="3"/>
  <c r="AD292" i="3"/>
  <c r="AB292" i="3"/>
  <c r="AC292" i="3" s="1"/>
  <c r="S292" i="3"/>
  <c r="T292" i="3" s="1"/>
  <c r="U292" i="3" s="1"/>
  <c r="Z292" i="3" s="1"/>
  <c r="L292" i="3"/>
  <c r="K292" i="3"/>
  <c r="H292" i="3"/>
  <c r="B292" i="3"/>
  <c r="AK291" i="3"/>
  <c r="AH291" i="3"/>
  <c r="AG291" i="3"/>
  <c r="AF291" i="3"/>
  <c r="AD291" i="3"/>
  <c r="AB291" i="3"/>
  <c r="AC291" i="3" s="1"/>
  <c r="S291" i="3"/>
  <c r="T291" i="3" s="1"/>
  <c r="L291" i="3"/>
  <c r="K291" i="3"/>
  <c r="H291" i="3"/>
  <c r="B291" i="3"/>
  <c r="AK290" i="3"/>
  <c r="AH290" i="3"/>
  <c r="AG290" i="3"/>
  <c r="AF290" i="3"/>
  <c r="AD290" i="3"/>
  <c r="AB290" i="3"/>
  <c r="AC290" i="3" s="1"/>
  <c r="S290" i="3"/>
  <c r="T290" i="3" s="1"/>
  <c r="U290" i="3" s="1"/>
  <c r="Z290" i="3" s="1"/>
  <c r="L290" i="3"/>
  <c r="K290" i="3"/>
  <c r="H290" i="3"/>
  <c r="B290" i="3"/>
  <c r="AK289" i="3"/>
  <c r="AH289" i="3"/>
  <c r="AG289" i="3"/>
  <c r="AF289" i="3"/>
  <c r="AD289" i="3"/>
  <c r="AB289" i="3"/>
  <c r="AC289" i="3" s="1"/>
  <c r="S289" i="3"/>
  <c r="T289" i="3" s="1"/>
  <c r="V289" i="3" s="1"/>
  <c r="W289" i="3" s="1"/>
  <c r="L289" i="3"/>
  <c r="K289" i="3"/>
  <c r="H289" i="3"/>
  <c r="B289" i="3"/>
  <c r="AK288" i="3"/>
  <c r="AH288" i="3"/>
  <c r="AG288" i="3"/>
  <c r="AF288" i="3"/>
  <c r="AD288" i="3"/>
  <c r="AB288" i="3"/>
  <c r="AC288" i="3" s="1"/>
  <c r="S288" i="3"/>
  <c r="T288" i="3" s="1"/>
  <c r="L288" i="3"/>
  <c r="K288" i="3"/>
  <c r="H288" i="3"/>
  <c r="B288" i="3"/>
  <c r="AK287" i="3"/>
  <c r="AH287" i="3"/>
  <c r="AG287" i="3"/>
  <c r="AF287" i="3"/>
  <c r="AD287" i="3"/>
  <c r="AB287" i="3"/>
  <c r="AC287" i="3" s="1"/>
  <c r="S287" i="3"/>
  <c r="T287" i="3" s="1"/>
  <c r="U287" i="3" s="1"/>
  <c r="Z287" i="3" s="1"/>
  <c r="L287" i="3"/>
  <c r="K287" i="3"/>
  <c r="H287" i="3"/>
  <c r="B287" i="3"/>
  <c r="AK286" i="3"/>
  <c r="AH286" i="3"/>
  <c r="AG286" i="3"/>
  <c r="AF286" i="3"/>
  <c r="AD286" i="3"/>
  <c r="AB286" i="3"/>
  <c r="AC286" i="3" s="1"/>
  <c r="S286" i="3"/>
  <c r="T286" i="3" s="1"/>
  <c r="U286" i="3" s="1"/>
  <c r="Z286" i="3" s="1"/>
  <c r="L286" i="3"/>
  <c r="K286" i="3"/>
  <c r="H286" i="3"/>
  <c r="B286" i="3"/>
  <c r="AK285" i="3"/>
  <c r="AH285" i="3"/>
  <c r="AG285" i="3"/>
  <c r="AF285" i="3"/>
  <c r="AD285" i="3"/>
  <c r="AB285" i="3"/>
  <c r="AC285" i="3" s="1"/>
  <c r="S285" i="3"/>
  <c r="T285" i="3" s="1"/>
  <c r="U285" i="3" s="1"/>
  <c r="Z285" i="3" s="1"/>
  <c r="L285" i="3"/>
  <c r="K285" i="3"/>
  <c r="H285" i="3"/>
  <c r="B285" i="3"/>
  <c r="AK284" i="3"/>
  <c r="AH284" i="3"/>
  <c r="AG284" i="3"/>
  <c r="AF284" i="3"/>
  <c r="AD284" i="3"/>
  <c r="AB284" i="3"/>
  <c r="AC284" i="3" s="1"/>
  <c r="S284" i="3"/>
  <c r="T284" i="3" s="1"/>
  <c r="U284" i="3" s="1"/>
  <c r="Z284" i="3" s="1"/>
  <c r="L284" i="3"/>
  <c r="K284" i="3"/>
  <c r="H284" i="3"/>
  <c r="B284" i="3"/>
  <c r="AK283" i="3"/>
  <c r="AH283" i="3"/>
  <c r="AG283" i="3"/>
  <c r="AF283" i="3"/>
  <c r="AD283" i="3"/>
  <c r="AB283" i="3"/>
  <c r="AC283" i="3" s="1"/>
  <c r="S283" i="3"/>
  <c r="T283" i="3" s="1"/>
  <c r="L283" i="3"/>
  <c r="K283" i="3"/>
  <c r="H283" i="3"/>
  <c r="B283" i="3"/>
  <c r="AK282" i="3"/>
  <c r="AH282" i="3"/>
  <c r="AG282" i="3"/>
  <c r="AF282" i="3"/>
  <c r="AD282" i="3"/>
  <c r="AB282" i="3"/>
  <c r="AC282" i="3" s="1"/>
  <c r="S282" i="3"/>
  <c r="T282" i="3" s="1"/>
  <c r="L282" i="3"/>
  <c r="K282" i="3"/>
  <c r="H282" i="3"/>
  <c r="B282" i="3"/>
  <c r="AK281" i="3"/>
  <c r="AH281" i="3"/>
  <c r="AG281" i="3"/>
  <c r="AF281" i="3"/>
  <c r="AD281" i="3"/>
  <c r="AB281" i="3"/>
  <c r="AC281" i="3" s="1"/>
  <c r="S281" i="3"/>
  <c r="T281" i="3" s="1"/>
  <c r="U281" i="3" s="1"/>
  <c r="Z281" i="3" s="1"/>
  <c r="L281" i="3"/>
  <c r="K281" i="3"/>
  <c r="H281" i="3"/>
  <c r="B281" i="3"/>
  <c r="AK280" i="3"/>
  <c r="AH280" i="3"/>
  <c r="AG280" i="3"/>
  <c r="AF280" i="3"/>
  <c r="AD280" i="3"/>
  <c r="AB280" i="3"/>
  <c r="AC280" i="3" s="1"/>
  <c r="S280" i="3"/>
  <c r="T280" i="3" s="1"/>
  <c r="U280" i="3" s="1"/>
  <c r="Z280" i="3" s="1"/>
  <c r="L280" i="3"/>
  <c r="K280" i="3"/>
  <c r="H280" i="3"/>
  <c r="B280" i="3"/>
  <c r="AK279" i="3"/>
  <c r="AH279" i="3"/>
  <c r="AG279" i="3"/>
  <c r="AF279" i="3"/>
  <c r="AD279" i="3"/>
  <c r="AB279" i="3"/>
  <c r="AC279" i="3" s="1"/>
  <c r="S279" i="3"/>
  <c r="T279" i="3" s="1"/>
  <c r="L279" i="3"/>
  <c r="K279" i="3"/>
  <c r="H279" i="3"/>
  <c r="B279" i="3"/>
  <c r="AK278" i="3"/>
  <c r="AH278" i="3"/>
  <c r="AG278" i="3"/>
  <c r="AF278" i="3"/>
  <c r="AD278" i="3"/>
  <c r="AB278" i="3"/>
  <c r="AC278" i="3" s="1"/>
  <c r="S278" i="3"/>
  <c r="T278" i="3" s="1"/>
  <c r="U278" i="3" s="1"/>
  <c r="Z278" i="3" s="1"/>
  <c r="L278" i="3"/>
  <c r="K278" i="3"/>
  <c r="H278" i="3"/>
  <c r="B278" i="3"/>
  <c r="AK277" i="3"/>
  <c r="AH277" i="3"/>
  <c r="AG277" i="3"/>
  <c r="AF277" i="3"/>
  <c r="AD277" i="3"/>
  <c r="AC277" i="3"/>
  <c r="AB277" i="3"/>
  <c r="S277" i="3"/>
  <c r="T277" i="3" s="1"/>
  <c r="L277" i="3"/>
  <c r="K277" i="3"/>
  <c r="H277" i="3"/>
  <c r="B277" i="3"/>
  <c r="AK276" i="3"/>
  <c r="AH276" i="3"/>
  <c r="AG276" i="3"/>
  <c r="AF276" i="3"/>
  <c r="AD276" i="3"/>
  <c r="AB276" i="3"/>
  <c r="AC276" i="3" s="1"/>
  <c r="S276" i="3"/>
  <c r="T276" i="3" s="1"/>
  <c r="U276" i="3" s="1"/>
  <c r="Z276" i="3" s="1"/>
  <c r="L276" i="3"/>
  <c r="K276" i="3"/>
  <c r="H276" i="3"/>
  <c r="B276" i="3"/>
  <c r="AK275" i="3"/>
  <c r="AH275" i="3"/>
  <c r="AG275" i="3"/>
  <c r="AF275" i="3"/>
  <c r="AD275" i="3"/>
  <c r="AB275" i="3"/>
  <c r="AC275" i="3" s="1"/>
  <c r="S275" i="3"/>
  <c r="T275" i="3" s="1"/>
  <c r="V275" i="3" s="1"/>
  <c r="L275" i="3"/>
  <c r="K275" i="3"/>
  <c r="H275" i="3"/>
  <c r="B275" i="3"/>
  <c r="AK274" i="3"/>
  <c r="AH274" i="3"/>
  <c r="AG274" i="3"/>
  <c r="AF274" i="3"/>
  <c r="AD274" i="3"/>
  <c r="AB274" i="3"/>
  <c r="AC274" i="3" s="1"/>
  <c r="S274" i="3"/>
  <c r="T274" i="3" s="1"/>
  <c r="U274" i="3" s="1"/>
  <c r="Z274" i="3" s="1"/>
  <c r="L274" i="3"/>
  <c r="K274" i="3"/>
  <c r="H274" i="3"/>
  <c r="B274" i="3"/>
  <c r="AK273" i="3"/>
  <c r="AH273" i="3"/>
  <c r="AG273" i="3"/>
  <c r="AF273" i="3"/>
  <c r="AD273" i="3"/>
  <c r="AB273" i="3"/>
  <c r="AC273" i="3" s="1"/>
  <c r="S273" i="3"/>
  <c r="T273" i="3" s="1"/>
  <c r="U273" i="3" s="1"/>
  <c r="Z273" i="3" s="1"/>
  <c r="L273" i="3"/>
  <c r="K273" i="3"/>
  <c r="H273" i="3"/>
  <c r="B273" i="3"/>
  <c r="AK272" i="3"/>
  <c r="AH272" i="3"/>
  <c r="AG272" i="3"/>
  <c r="AF272" i="3"/>
  <c r="AD272" i="3"/>
  <c r="AB272" i="3"/>
  <c r="AC272" i="3" s="1"/>
  <c r="S272" i="3"/>
  <c r="T272" i="3" s="1"/>
  <c r="U272" i="3" s="1"/>
  <c r="Z272" i="3" s="1"/>
  <c r="L272" i="3"/>
  <c r="K272" i="3"/>
  <c r="H272" i="3"/>
  <c r="B272" i="3"/>
  <c r="AK271" i="3"/>
  <c r="AH271" i="3"/>
  <c r="AG271" i="3"/>
  <c r="AF271" i="3"/>
  <c r="AD271" i="3"/>
  <c r="AB271" i="3"/>
  <c r="AC271" i="3" s="1"/>
  <c r="S271" i="3"/>
  <c r="T271" i="3" s="1"/>
  <c r="U271" i="3" s="1"/>
  <c r="Z271" i="3" s="1"/>
  <c r="L271" i="3"/>
  <c r="K271" i="3"/>
  <c r="H271" i="3"/>
  <c r="B271" i="3"/>
  <c r="AK270" i="3"/>
  <c r="AH270" i="3"/>
  <c r="AG270" i="3"/>
  <c r="AF270" i="3"/>
  <c r="AD270" i="3"/>
  <c r="AB270" i="3"/>
  <c r="AC270" i="3" s="1"/>
  <c r="S270" i="3"/>
  <c r="T270" i="3" s="1"/>
  <c r="U270" i="3" s="1"/>
  <c r="Z270" i="3" s="1"/>
  <c r="L270" i="3"/>
  <c r="K270" i="3"/>
  <c r="H270" i="3"/>
  <c r="B270" i="3"/>
  <c r="AK269" i="3"/>
  <c r="AH269" i="3"/>
  <c r="AG269" i="3"/>
  <c r="AF269" i="3"/>
  <c r="AD269" i="3"/>
  <c r="AB269" i="3"/>
  <c r="AC269" i="3" s="1"/>
  <c r="S269" i="3"/>
  <c r="T269" i="3" s="1"/>
  <c r="L269" i="3"/>
  <c r="K269" i="3"/>
  <c r="H269" i="3"/>
  <c r="B269" i="3"/>
  <c r="AK268" i="3"/>
  <c r="AH268" i="3"/>
  <c r="AG268" i="3"/>
  <c r="AF268" i="3"/>
  <c r="AD268" i="3"/>
  <c r="AB268" i="3"/>
  <c r="AC268" i="3" s="1"/>
  <c r="S268" i="3"/>
  <c r="T268" i="3" s="1"/>
  <c r="U268" i="3" s="1"/>
  <c r="Z268" i="3" s="1"/>
  <c r="L268" i="3"/>
  <c r="K268" i="3"/>
  <c r="H268" i="3"/>
  <c r="B268" i="3"/>
  <c r="AK267" i="3"/>
  <c r="AH267" i="3"/>
  <c r="AG267" i="3"/>
  <c r="AF267" i="3"/>
  <c r="AD267" i="3"/>
  <c r="AB267" i="3"/>
  <c r="AC267" i="3" s="1"/>
  <c r="S267" i="3"/>
  <c r="T267" i="3" s="1"/>
  <c r="U267" i="3" s="1"/>
  <c r="Z267" i="3" s="1"/>
  <c r="L267" i="3"/>
  <c r="K267" i="3"/>
  <c r="H267" i="3"/>
  <c r="B267" i="3"/>
  <c r="AK266" i="3"/>
  <c r="AH266" i="3"/>
  <c r="AG266" i="3"/>
  <c r="AF266" i="3"/>
  <c r="AD266" i="3"/>
  <c r="AB266" i="3"/>
  <c r="AC266" i="3" s="1"/>
  <c r="S266" i="3"/>
  <c r="T266" i="3" s="1"/>
  <c r="U266" i="3" s="1"/>
  <c r="Z266" i="3" s="1"/>
  <c r="L266" i="3"/>
  <c r="K266" i="3"/>
  <c r="H266" i="3"/>
  <c r="B266" i="3"/>
  <c r="AK265" i="3"/>
  <c r="AH265" i="3"/>
  <c r="AG265" i="3"/>
  <c r="AF265" i="3"/>
  <c r="AD265" i="3"/>
  <c r="AB265" i="3"/>
  <c r="AC265" i="3" s="1"/>
  <c r="S265" i="3"/>
  <c r="T265" i="3" s="1"/>
  <c r="V265" i="3" s="1"/>
  <c r="L265" i="3"/>
  <c r="K265" i="3"/>
  <c r="H265" i="3"/>
  <c r="B265" i="3"/>
  <c r="AK264" i="3"/>
  <c r="AH264" i="3"/>
  <c r="AG264" i="3"/>
  <c r="AF264" i="3"/>
  <c r="AD264" i="3"/>
  <c r="AC264" i="3"/>
  <c r="AB264" i="3"/>
  <c r="S264" i="3"/>
  <c r="T264" i="3" s="1"/>
  <c r="L264" i="3"/>
  <c r="K264" i="3"/>
  <c r="H264" i="3"/>
  <c r="B264" i="3"/>
  <c r="AK263" i="3"/>
  <c r="AH263" i="3"/>
  <c r="AG263" i="3"/>
  <c r="AF263" i="3"/>
  <c r="AD263" i="3"/>
  <c r="AB263" i="3"/>
  <c r="AC263" i="3" s="1"/>
  <c r="S263" i="3"/>
  <c r="T263" i="3" s="1"/>
  <c r="V263" i="3" s="1"/>
  <c r="L263" i="3"/>
  <c r="K263" i="3"/>
  <c r="H263" i="3"/>
  <c r="B263" i="3"/>
  <c r="AK262" i="3"/>
  <c r="AH262" i="3"/>
  <c r="AG262" i="3"/>
  <c r="AF262" i="3"/>
  <c r="AD262" i="3"/>
  <c r="AC262" i="3"/>
  <c r="AB262" i="3"/>
  <c r="S262" i="3"/>
  <c r="T262" i="3" s="1"/>
  <c r="U262" i="3" s="1"/>
  <c r="Z262" i="3" s="1"/>
  <c r="L262" i="3"/>
  <c r="K262" i="3"/>
  <c r="H262" i="3"/>
  <c r="B262" i="3"/>
  <c r="AK261" i="3"/>
  <c r="AH261" i="3"/>
  <c r="AG261" i="3"/>
  <c r="AF261" i="3"/>
  <c r="AD261" i="3"/>
  <c r="AB261" i="3"/>
  <c r="AC261" i="3" s="1"/>
  <c r="S261" i="3"/>
  <c r="T261" i="3" s="1"/>
  <c r="L261" i="3"/>
  <c r="K261" i="3"/>
  <c r="H261" i="3"/>
  <c r="B261" i="3"/>
  <c r="AK260" i="3"/>
  <c r="AH260" i="3"/>
  <c r="AG260" i="3"/>
  <c r="AF260" i="3"/>
  <c r="AD260" i="3"/>
  <c r="AB260" i="3"/>
  <c r="AC260" i="3" s="1"/>
  <c r="S260" i="3"/>
  <c r="T260" i="3" s="1"/>
  <c r="L260" i="3"/>
  <c r="K260" i="3"/>
  <c r="H260" i="3"/>
  <c r="B260" i="3"/>
  <c r="AK259" i="3"/>
  <c r="AH259" i="3"/>
  <c r="AG259" i="3"/>
  <c r="AF259" i="3"/>
  <c r="AD259" i="3"/>
  <c r="AB259" i="3"/>
  <c r="AC259" i="3" s="1"/>
  <c r="S259" i="3"/>
  <c r="T259" i="3" s="1"/>
  <c r="L259" i="3"/>
  <c r="K259" i="3"/>
  <c r="H259" i="3"/>
  <c r="B259" i="3"/>
  <c r="AK258" i="3"/>
  <c r="AH258" i="3"/>
  <c r="AG258" i="3"/>
  <c r="AF258" i="3"/>
  <c r="AD258" i="3"/>
  <c r="AB258" i="3"/>
  <c r="AC258" i="3" s="1"/>
  <c r="S258" i="3"/>
  <c r="T258" i="3" s="1"/>
  <c r="U258" i="3" s="1"/>
  <c r="Z258" i="3" s="1"/>
  <c r="L258" i="3"/>
  <c r="K258" i="3"/>
  <c r="H258" i="3"/>
  <c r="B258" i="3"/>
  <c r="AK257" i="3"/>
  <c r="AH257" i="3"/>
  <c r="AG257" i="3"/>
  <c r="AF257" i="3"/>
  <c r="AD257" i="3"/>
  <c r="AB257" i="3"/>
  <c r="AC257" i="3" s="1"/>
  <c r="S257" i="3"/>
  <c r="T257" i="3" s="1"/>
  <c r="L257" i="3"/>
  <c r="K257" i="3"/>
  <c r="H257" i="3"/>
  <c r="B257" i="3"/>
  <c r="AK256" i="3"/>
  <c r="AH256" i="3"/>
  <c r="AG256" i="3"/>
  <c r="AF256" i="3"/>
  <c r="AD256" i="3"/>
  <c r="AB256" i="3"/>
  <c r="AC256" i="3" s="1"/>
  <c r="S256" i="3"/>
  <c r="T256" i="3" s="1"/>
  <c r="L256" i="3"/>
  <c r="K256" i="3"/>
  <c r="H256" i="3"/>
  <c r="B256" i="3"/>
  <c r="AK255" i="3"/>
  <c r="AH255" i="3"/>
  <c r="AG255" i="3"/>
  <c r="AF255" i="3"/>
  <c r="AD255" i="3"/>
  <c r="AB255" i="3"/>
  <c r="AC255" i="3" s="1"/>
  <c r="S255" i="3"/>
  <c r="T255" i="3" s="1"/>
  <c r="L255" i="3"/>
  <c r="K255" i="3"/>
  <c r="H255" i="3"/>
  <c r="B255" i="3"/>
  <c r="AK254" i="3"/>
  <c r="AH254" i="3"/>
  <c r="AG254" i="3"/>
  <c r="AF254" i="3"/>
  <c r="AD254" i="3"/>
  <c r="AB254" i="3"/>
  <c r="AC254" i="3" s="1"/>
  <c r="S254" i="3"/>
  <c r="T254" i="3" s="1"/>
  <c r="L254" i="3"/>
  <c r="K254" i="3"/>
  <c r="H254" i="3"/>
  <c r="B254" i="3"/>
  <c r="AK253" i="3"/>
  <c r="AH253" i="3"/>
  <c r="AG253" i="3"/>
  <c r="AF253" i="3"/>
  <c r="AD253" i="3"/>
  <c r="AB253" i="3"/>
  <c r="AC253" i="3" s="1"/>
  <c r="S253" i="3"/>
  <c r="T253" i="3" s="1"/>
  <c r="U253" i="3" s="1"/>
  <c r="Z253" i="3" s="1"/>
  <c r="L253" i="3"/>
  <c r="K253" i="3"/>
  <c r="H253" i="3"/>
  <c r="B253" i="3"/>
  <c r="AK252" i="3"/>
  <c r="AH252" i="3"/>
  <c r="AG252" i="3"/>
  <c r="AF252" i="3"/>
  <c r="AD252" i="3"/>
  <c r="AB252" i="3"/>
  <c r="AC252" i="3" s="1"/>
  <c r="S252" i="3"/>
  <c r="T252" i="3" s="1"/>
  <c r="L252" i="3"/>
  <c r="K252" i="3"/>
  <c r="H252" i="3"/>
  <c r="B252" i="3"/>
  <c r="AK251" i="3"/>
  <c r="AH251" i="3"/>
  <c r="AG251" i="3"/>
  <c r="AF251" i="3"/>
  <c r="AD251" i="3"/>
  <c r="AB251" i="3"/>
  <c r="AC251" i="3" s="1"/>
  <c r="S251" i="3"/>
  <c r="T251" i="3" s="1"/>
  <c r="L251" i="3"/>
  <c r="K251" i="3"/>
  <c r="H251" i="3"/>
  <c r="B251" i="3"/>
  <c r="AK250" i="3"/>
  <c r="AH250" i="3"/>
  <c r="AG250" i="3"/>
  <c r="AF250" i="3"/>
  <c r="AD250" i="3"/>
  <c r="AB250" i="3"/>
  <c r="AC250" i="3" s="1"/>
  <c r="S250" i="3"/>
  <c r="T250" i="3" s="1"/>
  <c r="L250" i="3"/>
  <c r="K250" i="3"/>
  <c r="H250" i="3"/>
  <c r="B250" i="3"/>
  <c r="AK249" i="3"/>
  <c r="AH249" i="3"/>
  <c r="AG249" i="3"/>
  <c r="AF249" i="3"/>
  <c r="AD249" i="3"/>
  <c r="AB249" i="3"/>
  <c r="AC249" i="3" s="1"/>
  <c r="S249" i="3"/>
  <c r="T249" i="3" s="1"/>
  <c r="L249" i="3"/>
  <c r="K249" i="3"/>
  <c r="H249" i="3"/>
  <c r="B249" i="3"/>
  <c r="AK248" i="3"/>
  <c r="AH248" i="3"/>
  <c r="AG248" i="3"/>
  <c r="AF248" i="3"/>
  <c r="AD248" i="3"/>
  <c r="AB248" i="3"/>
  <c r="AC248" i="3" s="1"/>
  <c r="S248" i="3"/>
  <c r="T248" i="3" s="1"/>
  <c r="U248" i="3" s="1"/>
  <c r="Z248" i="3" s="1"/>
  <c r="L248" i="3"/>
  <c r="K248" i="3"/>
  <c r="H248" i="3"/>
  <c r="B248" i="3"/>
  <c r="AK247" i="3"/>
  <c r="AH247" i="3"/>
  <c r="AG247" i="3"/>
  <c r="AF247" i="3"/>
  <c r="AD247" i="3"/>
  <c r="AB247" i="3"/>
  <c r="AC247" i="3" s="1"/>
  <c r="S247" i="3"/>
  <c r="T247" i="3" s="1"/>
  <c r="L247" i="3"/>
  <c r="K247" i="3"/>
  <c r="H247" i="3"/>
  <c r="B247" i="3"/>
  <c r="AK246" i="3"/>
  <c r="AH246" i="3"/>
  <c r="AG246" i="3"/>
  <c r="AF246" i="3"/>
  <c r="AD246" i="3"/>
  <c r="AB246" i="3"/>
  <c r="AC246" i="3" s="1"/>
  <c r="S246" i="3"/>
  <c r="T246" i="3" s="1"/>
  <c r="U246" i="3" s="1"/>
  <c r="Z246" i="3" s="1"/>
  <c r="L246" i="3"/>
  <c r="K246" i="3"/>
  <c r="H246" i="3"/>
  <c r="B246" i="3"/>
  <c r="AK245" i="3"/>
  <c r="AH245" i="3"/>
  <c r="AG245" i="3"/>
  <c r="AF245" i="3"/>
  <c r="AD245" i="3"/>
  <c r="AB245" i="3"/>
  <c r="AC245" i="3" s="1"/>
  <c r="S245" i="3"/>
  <c r="T245" i="3" s="1"/>
  <c r="U245" i="3" s="1"/>
  <c r="Z245" i="3" s="1"/>
  <c r="L245" i="3"/>
  <c r="K245" i="3"/>
  <c r="H245" i="3"/>
  <c r="B245" i="3"/>
  <c r="AK244" i="3"/>
  <c r="AH244" i="3"/>
  <c r="AG244" i="3"/>
  <c r="AF244" i="3"/>
  <c r="AD244" i="3"/>
  <c r="AB244" i="3"/>
  <c r="AC244" i="3" s="1"/>
  <c r="S244" i="3"/>
  <c r="T244" i="3" s="1"/>
  <c r="L244" i="3"/>
  <c r="K244" i="3"/>
  <c r="H244" i="3"/>
  <c r="B244" i="3"/>
  <c r="AK243" i="3"/>
  <c r="AH243" i="3"/>
  <c r="AG243" i="3"/>
  <c r="AF243" i="3"/>
  <c r="AD243" i="3"/>
  <c r="AC243" i="3"/>
  <c r="AB243" i="3"/>
  <c r="S243" i="3"/>
  <c r="T243" i="3" s="1"/>
  <c r="U243" i="3" s="1"/>
  <c r="Z243" i="3" s="1"/>
  <c r="L243" i="3"/>
  <c r="K243" i="3"/>
  <c r="H243" i="3"/>
  <c r="B243" i="3"/>
  <c r="AK242" i="3"/>
  <c r="AH242" i="3"/>
  <c r="AG242" i="3"/>
  <c r="AF242" i="3"/>
  <c r="AD242" i="3"/>
  <c r="AB242" i="3"/>
  <c r="AC242" i="3" s="1"/>
  <c r="S242" i="3"/>
  <c r="T242" i="3" s="1"/>
  <c r="U242" i="3" s="1"/>
  <c r="Z242" i="3" s="1"/>
  <c r="L242" i="3"/>
  <c r="K242" i="3"/>
  <c r="H242" i="3"/>
  <c r="B242" i="3"/>
  <c r="AK241" i="3"/>
  <c r="AH241" i="3"/>
  <c r="AG241" i="3"/>
  <c r="AF241" i="3"/>
  <c r="AD241" i="3"/>
  <c r="AB241" i="3"/>
  <c r="AC241" i="3" s="1"/>
  <c r="S241" i="3"/>
  <c r="T241" i="3" s="1"/>
  <c r="U241" i="3" s="1"/>
  <c r="Z241" i="3" s="1"/>
  <c r="L241" i="3"/>
  <c r="K241" i="3"/>
  <c r="H241" i="3"/>
  <c r="B241" i="3"/>
  <c r="AK240" i="3"/>
  <c r="AH240" i="3"/>
  <c r="AG240" i="3"/>
  <c r="AF240" i="3"/>
  <c r="AD240" i="3"/>
  <c r="AB240" i="3"/>
  <c r="AC240" i="3" s="1"/>
  <c r="S240" i="3"/>
  <c r="T240" i="3" s="1"/>
  <c r="U240" i="3" s="1"/>
  <c r="Z240" i="3" s="1"/>
  <c r="L240" i="3"/>
  <c r="K240" i="3"/>
  <c r="H240" i="3"/>
  <c r="B240" i="3"/>
  <c r="AK239" i="3"/>
  <c r="AH239" i="3"/>
  <c r="AG239" i="3"/>
  <c r="AF239" i="3"/>
  <c r="AD239" i="3"/>
  <c r="AB239" i="3"/>
  <c r="AC239" i="3" s="1"/>
  <c r="S239" i="3"/>
  <c r="T239" i="3" s="1"/>
  <c r="U239" i="3" s="1"/>
  <c r="Z239" i="3" s="1"/>
  <c r="L239" i="3"/>
  <c r="K239" i="3"/>
  <c r="H239" i="3"/>
  <c r="B239" i="3"/>
  <c r="AK238" i="3"/>
  <c r="AH238" i="3"/>
  <c r="AG238" i="3"/>
  <c r="AF238" i="3"/>
  <c r="AD238" i="3"/>
  <c r="AB238" i="3"/>
  <c r="AC238" i="3" s="1"/>
  <c r="S238" i="3"/>
  <c r="T238" i="3" s="1"/>
  <c r="U238" i="3" s="1"/>
  <c r="Z238" i="3" s="1"/>
  <c r="L238" i="3"/>
  <c r="K238" i="3"/>
  <c r="H238" i="3"/>
  <c r="B238" i="3"/>
  <c r="AK237" i="3"/>
  <c r="AH237" i="3"/>
  <c r="AG237" i="3"/>
  <c r="AF237" i="3"/>
  <c r="AD237" i="3"/>
  <c r="AB237" i="3"/>
  <c r="AC237" i="3" s="1"/>
  <c r="S237" i="3"/>
  <c r="T237" i="3" s="1"/>
  <c r="U237" i="3" s="1"/>
  <c r="Z237" i="3" s="1"/>
  <c r="L237" i="3"/>
  <c r="K237" i="3"/>
  <c r="H237" i="3"/>
  <c r="B237" i="3"/>
  <c r="AK236" i="3"/>
  <c r="AH236" i="3"/>
  <c r="AG236" i="3"/>
  <c r="AF236" i="3"/>
  <c r="AD236" i="3"/>
  <c r="AB236" i="3"/>
  <c r="AC236" i="3" s="1"/>
  <c r="S236" i="3"/>
  <c r="T236" i="3" s="1"/>
  <c r="U236" i="3" s="1"/>
  <c r="Z236" i="3" s="1"/>
  <c r="L236" i="3"/>
  <c r="K236" i="3"/>
  <c r="H236" i="3"/>
  <c r="B236" i="3"/>
  <c r="AK235" i="3"/>
  <c r="AH235" i="3"/>
  <c r="AG235" i="3"/>
  <c r="AF235" i="3"/>
  <c r="AD235" i="3"/>
  <c r="AB235" i="3"/>
  <c r="AC235" i="3" s="1"/>
  <c r="S235" i="3"/>
  <c r="T235" i="3" s="1"/>
  <c r="L235" i="3"/>
  <c r="K235" i="3"/>
  <c r="H235" i="3"/>
  <c r="B235" i="3"/>
  <c r="AK234" i="3"/>
  <c r="AH234" i="3"/>
  <c r="AG234" i="3"/>
  <c r="AF234" i="3"/>
  <c r="AD234" i="3"/>
  <c r="AB234" i="3"/>
  <c r="AC234" i="3" s="1"/>
  <c r="S234" i="3"/>
  <c r="T234" i="3" s="1"/>
  <c r="U234" i="3" s="1"/>
  <c r="Z234" i="3" s="1"/>
  <c r="L234" i="3"/>
  <c r="K234" i="3"/>
  <c r="H234" i="3"/>
  <c r="B234" i="3"/>
  <c r="AK233" i="3"/>
  <c r="AH233" i="3"/>
  <c r="AG233" i="3"/>
  <c r="AF233" i="3"/>
  <c r="AD233" i="3"/>
  <c r="AB233" i="3"/>
  <c r="AC233" i="3" s="1"/>
  <c r="S233" i="3"/>
  <c r="T233" i="3" s="1"/>
  <c r="L233" i="3"/>
  <c r="K233" i="3"/>
  <c r="H233" i="3"/>
  <c r="B233" i="3"/>
  <c r="AK232" i="3"/>
  <c r="AH232" i="3"/>
  <c r="AG232" i="3"/>
  <c r="AF232" i="3"/>
  <c r="AD232" i="3"/>
  <c r="AB232" i="3"/>
  <c r="AC232" i="3" s="1"/>
  <c r="S232" i="3"/>
  <c r="T232" i="3" s="1"/>
  <c r="U232" i="3" s="1"/>
  <c r="Z232" i="3" s="1"/>
  <c r="L232" i="3"/>
  <c r="K232" i="3"/>
  <c r="H232" i="3"/>
  <c r="B232" i="3"/>
  <c r="AK231" i="3"/>
  <c r="AH231" i="3"/>
  <c r="AG231" i="3"/>
  <c r="AF231" i="3"/>
  <c r="AD231" i="3"/>
  <c r="AB231" i="3"/>
  <c r="AC231" i="3" s="1"/>
  <c r="S231" i="3"/>
  <c r="T231" i="3" s="1"/>
  <c r="L231" i="3"/>
  <c r="K231" i="3"/>
  <c r="H231" i="3"/>
  <c r="B231" i="3"/>
  <c r="AK230" i="3"/>
  <c r="AH230" i="3"/>
  <c r="AG230" i="3"/>
  <c r="AF230" i="3"/>
  <c r="AD230" i="3"/>
  <c r="AB230" i="3"/>
  <c r="AC230" i="3" s="1"/>
  <c r="S230" i="3"/>
  <c r="T230" i="3" s="1"/>
  <c r="U230" i="3" s="1"/>
  <c r="Z230" i="3" s="1"/>
  <c r="L230" i="3"/>
  <c r="K230" i="3"/>
  <c r="H230" i="3"/>
  <c r="B230" i="3"/>
  <c r="AK229" i="3"/>
  <c r="AH229" i="3"/>
  <c r="AG229" i="3"/>
  <c r="AF229" i="3"/>
  <c r="AD229" i="3"/>
  <c r="AB229" i="3"/>
  <c r="AC229" i="3" s="1"/>
  <c r="S229" i="3"/>
  <c r="T229" i="3" s="1"/>
  <c r="L229" i="3"/>
  <c r="K229" i="3"/>
  <c r="H229" i="3"/>
  <c r="B229" i="3"/>
  <c r="AK228" i="3"/>
  <c r="AH228" i="3"/>
  <c r="AG228" i="3"/>
  <c r="AF228" i="3"/>
  <c r="AD228" i="3"/>
  <c r="AB228" i="3"/>
  <c r="AC228" i="3" s="1"/>
  <c r="S228" i="3"/>
  <c r="T228" i="3" s="1"/>
  <c r="U228" i="3" s="1"/>
  <c r="Z228" i="3" s="1"/>
  <c r="L228" i="3"/>
  <c r="K228" i="3"/>
  <c r="H228" i="3"/>
  <c r="B228" i="3"/>
  <c r="AK227" i="3"/>
  <c r="AH227" i="3"/>
  <c r="AG227" i="3"/>
  <c r="AF227" i="3"/>
  <c r="AD227" i="3"/>
  <c r="AB227" i="3"/>
  <c r="AC227" i="3" s="1"/>
  <c r="S227" i="3"/>
  <c r="T227" i="3" s="1"/>
  <c r="U227" i="3" s="1"/>
  <c r="Z227" i="3" s="1"/>
  <c r="L227" i="3"/>
  <c r="K227" i="3"/>
  <c r="H227" i="3"/>
  <c r="B227" i="3"/>
  <c r="AK226" i="3"/>
  <c r="AH226" i="3"/>
  <c r="AG226" i="3"/>
  <c r="AF226" i="3"/>
  <c r="AD226" i="3"/>
  <c r="AB226" i="3"/>
  <c r="AC226" i="3" s="1"/>
  <c r="S226" i="3"/>
  <c r="T226" i="3" s="1"/>
  <c r="U226" i="3" s="1"/>
  <c r="Z226" i="3" s="1"/>
  <c r="L226" i="3"/>
  <c r="K226" i="3"/>
  <c r="H226" i="3"/>
  <c r="B226" i="3"/>
  <c r="AK225" i="3"/>
  <c r="AH225" i="3"/>
  <c r="AG225" i="3"/>
  <c r="AF225" i="3"/>
  <c r="AD225" i="3"/>
  <c r="AB225" i="3"/>
  <c r="AC225" i="3" s="1"/>
  <c r="S225" i="3"/>
  <c r="T225" i="3" s="1"/>
  <c r="L225" i="3"/>
  <c r="K225" i="3"/>
  <c r="H225" i="3"/>
  <c r="B225" i="3"/>
  <c r="AK224" i="3"/>
  <c r="AH224" i="3"/>
  <c r="AG224" i="3"/>
  <c r="AF224" i="3"/>
  <c r="AD224" i="3"/>
  <c r="AB224" i="3"/>
  <c r="AC224" i="3" s="1"/>
  <c r="S224" i="3"/>
  <c r="T224" i="3" s="1"/>
  <c r="L224" i="3"/>
  <c r="K224" i="3"/>
  <c r="H224" i="3"/>
  <c r="B224" i="3"/>
  <c r="AK223" i="3"/>
  <c r="AH223" i="3"/>
  <c r="AG223" i="3"/>
  <c r="AF223" i="3"/>
  <c r="AD223" i="3"/>
  <c r="AB223" i="3"/>
  <c r="AC223" i="3" s="1"/>
  <c r="S223" i="3"/>
  <c r="T223" i="3" s="1"/>
  <c r="L223" i="3"/>
  <c r="K223" i="3"/>
  <c r="H223" i="3"/>
  <c r="B223" i="3"/>
  <c r="AK222" i="3"/>
  <c r="AH222" i="3"/>
  <c r="AG222" i="3"/>
  <c r="AF222" i="3"/>
  <c r="AD222" i="3"/>
  <c r="AB222" i="3"/>
  <c r="AC222" i="3" s="1"/>
  <c r="S222" i="3"/>
  <c r="T222" i="3" s="1"/>
  <c r="U222" i="3" s="1"/>
  <c r="Z222" i="3" s="1"/>
  <c r="L222" i="3"/>
  <c r="K222" i="3"/>
  <c r="H222" i="3"/>
  <c r="B222" i="3"/>
  <c r="AK221" i="3"/>
  <c r="AH221" i="3"/>
  <c r="AG221" i="3"/>
  <c r="AF221" i="3"/>
  <c r="AD221" i="3"/>
  <c r="AB221" i="3"/>
  <c r="AC221" i="3" s="1"/>
  <c r="S221" i="3"/>
  <c r="T221" i="3" s="1"/>
  <c r="V221" i="3" s="1"/>
  <c r="X221" i="3" s="1"/>
  <c r="L221" i="3"/>
  <c r="K221" i="3"/>
  <c r="H221" i="3"/>
  <c r="B221" i="3"/>
  <c r="AK220" i="3"/>
  <c r="AH220" i="3"/>
  <c r="AG220" i="3"/>
  <c r="AF220" i="3"/>
  <c r="AD220" i="3"/>
  <c r="AC220" i="3"/>
  <c r="AB220" i="3"/>
  <c r="S220" i="3"/>
  <c r="T220" i="3" s="1"/>
  <c r="U220" i="3" s="1"/>
  <c r="Z220" i="3" s="1"/>
  <c r="L220" i="3"/>
  <c r="K220" i="3"/>
  <c r="H220" i="3"/>
  <c r="B220" i="3"/>
  <c r="AK219" i="3"/>
  <c r="AH219" i="3"/>
  <c r="AG219" i="3"/>
  <c r="AF219" i="3"/>
  <c r="AD219" i="3"/>
  <c r="AB219" i="3"/>
  <c r="AC219" i="3" s="1"/>
  <c r="S219" i="3"/>
  <c r="T219" i="3" s="1"/>
  <c r="L219" i="3"/>
  <c r="K219" i="3"/>
  <c r="H219" i="3"/>
  <c r="B219" i="3"/>
  <c r="AK218" i="3"/>
  <c r="AH218" i="3"/>
  <c r="AG218" i="3"/>
  <c r="AF218" i="3"/>
  <c r="AD218" i="3"/>
  <c r="AB218" i="3"/>
  <c r="AC218" i="3" s="1"/>
  <c r="S218" i="3"/>
  <c r="T218" i="3" s="1"/>
  <c r="U218" i="3" s="1"/>
  <c r="Z218" i="3" s="1"/>
  <c r="L218" i="3"/>
  <c r="K218" i="3"/>
  <c r="H218" i="3"/>
  <c r="B218" i="3"/>
  <c r="AK217" i="3"/>
  <c r="AH217" i="3"/>
  <c r="AG217" i="3"/>
  <c r="AF217" i="3"/>
  <c r="AD217" i="3"/>
  <c r="AB217" i="3"/>
  <c r="AC217" i="3" s="1"/>
  <c r="S217" i="3"/>
  <c r="T217" i="3" s="1"/>
  <c r="V217" i="3" s="1"/>
  <c r="W217" i="3" s="1"/>
  <c r="L217" i="3"/>
  <c r="K217" i="3"/>
  <c r="H217" i="3"/>
  <c r="B217" i="3"/>
  <c r="AK216" i="3"/>
  <c r="AH216" i="3"/>
  <c r="AG216" i="3"/>
  <c r="AF216" i="3"/>
  <c r="AD216" i="3"/>
  <c r="AC216" i="3"/>
  <c r="AB216" i="3"/>
  <c r="S216" i="3"/>
  <c r="T216" i="3" s="1"/>
  <c r="U216" i="3" s="1"/>
  <c r="Z216" i="3" s="1"/>
  <c r="L216" i="3"/>
  <c r="K216" i="3"/>
  <c r="H216" i="3"/>
  <c r="B216" i="3"/>
  <c r="AK215" i="3"/>
  <c r="AH215" i="3"/>
  <c r="AG215" i="3"/>
  <c r="AF215" i="3"/>
  <c r="AD215" i="3"/>
  <c r="AB215" i="3"/>
  <c r="AC215" i="3" s="1"/>
  <c r="S215" i="3"/>
  <c r="T215" i="3" s="1"/>
  <c r="L215" i="3"/>
  <c r="K215" i="3"/>
  <c r="H215" i="3"/>
  <c r="B215" i="3"/>
  <c r="AK214" i="3"/>
  <c r="AH214" i="3"/>
  <c r="AG214" i="3"/>
  <c r="AF214" i="3"/>
  <c r="AD214" i="3"/>
  <c r="AB214" i="3"/>
  <c r="AC214" i="3" s="1"/>
  <c r="S214" i="3"/>
  <c r="T214" i="3" s="1"/>
  <c r="U214" i="3" s="1"/>
  <c r="Z214" i="3" s="1"/>
  <c r="L214" i="3"/>
  <c r="K214" i="3"/>
  <c r="H214" i="3"/>
  <c r="B214" i="3"/>
  <c r="AK213" i="3"/>
  <c r="AH213" i="3"/>
  <c r="AG213" i="3"/>
  <c r="AF213" i="3"/>
  <c r="AD213" i="3"/>
  <c r="AB213" i="3"/>
  <c r="AC213" i="3" s="1"/>
  <c r="S213" i="3"/>
  <c r="T213" i="3" s="1"/>
  <c r="L213" i="3"/>
  <c r="K213" i="3"/>
  <c r="H213" i="3"/>
  <c r="B213" i="3"/>
  <c r="AK212" i="3"/>
  <c r="AH212" i="3"/>
  <c r="AG212" i="3"/>
  <c r="AF212" i="3"/>
  <c r="AD212" i="3"/>
  <c r="AB212" i="3"/>
  <c r="AC212" i="3" s="1"/>
  <c r="S212" i="3"/>
  <c r="T212" i="3" s="1"/>
  <c r="U212" i="3" s="1"/>
  <c r="Z212" i="3" s="1"/>
  <c r="L212" i="3"/>
  <c r="K212" i="3"/>
  <c r="H212" i="3"/>
  <c r="B212" i="3"/>
  <c r="AK211" i="3"/>
  <c r="AH211" i="3"/>
  <c r="AG211" i="3"/>
  <c r="AF211" i="3"/>
  <c r="AD211" i="3"/>
  <c r="AB211" i="3"/>
  <c r="AC211" i="3" s="1"/>
  <c r="S211" i="3"/>
  <c r="T211" i="3" s="1"/>
  <c r="L211" i="3"/>
  <c r="K211" i="3"/>
  <c r="H211" i="3"/>
  <c r="B211" i="3"/>
  <c r="AK210" i="3"/>
  <c r="AH210" i="3"/>
  <c r="AG210" i="3"/>
  <c r="AF210" i="3"/>
  <c r="AD210" i="3"/>
  <c r="AB210" i="3"/>
  <c r="AC210" i="3" s="1"/>
  <c r="S210" i="3"/>
  <c r="T210" i="3" s="1"/>
  <c r="L210" i="3"/>
  <c r="K210" i="3"/>
  <c r="H210" i="3"/>
  <c r="B210" i="3"/>
  <c r="AK209" i="3"/>
  <c r="AH209" i="3"/>
  <c r="AG209" i="3"/>
  <c r="AF209" i="3"/>
  <c r="AD209" i="3"/>
  <c r="AB209" i="3"/>
  <c r="AC209" i="3" s="1"/>
  <c r="S209" i="3"/>
  <c r="T209" i="3" s="1"/>
  <c r="V209" i="3" s="1"/>
  <c r="L209" i="3"/>
  <c r="K209" i="3"/>
  <c r="H209" i="3"/>
  <c r="B209" i="3"/>
  <c r="AK208" i="3"/>
  <c r="AH208" i="3"/>
  <c r="AG208" i="3"/>
  <c r="AF208" i="3"/>
  <c r="AD208" i="3"/>
  <c r="AB208" i="3"/>
  <c r="AC208" i="3" s="1"/>
  <c r="S208" i="3"/>
  <c r="T208" i="3" s="1"/>
  <c r="U208" i="3" s="1"/>
  <c r="Z208" i="3" s="1"/>
  <c r="L208" i="3"/>
  <c r="K208" i="3"/>
  <c r="H208" i="3"/>
  <c r="B208" i="3"/>
  <c r="AK207" i="3"/>
  <c r="AH207" i="3"/>
  <c r="AG207" i="3"/>
  <c r="AF207" i="3"/>
  <c r="AD207" i="3"/>
  <c r="AB207" i="3"/>
  <c r="AC207" i="3" s="1"/>
  <c r="S207" i="3"/>
  <c r="T207" i="3" s="1"/>
  <c r="U207" i="3" s="1"/>
  <c r="Z207" i="3" s="1"/>
  <c r="L207" i="3"/>
  <c r="K207" i="3"/>
  <c r="H207" i="3"/>
  <c r="B207" i="3"/>
  <c r="AK206" i="3"/>
  <c r="AH206" i="3"/>
  <c r="AG206" i="3"/>
  <c r="AF206" i="3"/>
  <c r="AD206" i="3"/>
  <c r="AB206" i="3"/>
  <c r="AC206" i="3" s="1"/>
  <c r="S206" i="3"/>
  <c r="T206" i="3" s="1"/>
  <c r="L206" i="3"/>
  <c r="K206" i="3"/>
  <c r="H206" i="3"/>
  <c r="B206" i="3"/>
  <c r="AK205" i="3"/>
  <c r="AH205" i="3"/>
  <c r="AG205" i="3"/>
  <c r="AF205" i="3"/>
  <c r="AD205" i="3"/>
  <c r="AB205" i="3"/>
  <c r="AC205" i="3" s="1"/>
  <c r="S205" i="3"/>
  <c r="T205" i="3" s="1"/>
  <c r="L205" i="3"/>
  <c r="K205" i="3"/>
  <c r="H205" i="3"/>
  <c r="B205" i="3"/>
  <c r="AK204" i="3"/>
  <c r="AH204" i="3"/>
  <c r="AG204" i="3"/>
  <c r="AF204" i="3"/>
  <c r="AD204" i="3"/>
  <c r="AB204" i="3"/>
  <c r="AC204" i="3" s="1"/>
  <c r="S204" i="3"/>
  <c r="T204" i="3" s="1"/>
  <c r="L204" i="3"/>
  <c r="K204" i="3"/>
  <c r="H204" i="3"/>
  <c r="B204" i="3"/>
  <c r="AK203" i="3"/>
  <c r="AH203" i="3"/>
  <c r="AG203" i="3"/>
  <c r="AF203" i="3"/>
  <c r="AD203" i="3"/>
  <c r="AB203" i="3"/>
  <c r="AC203" i="3" s="1"/>
  <c r="S203" i="3"/>
  <c r="T203" i="3" s="1"/>
  <c r="L203" i="3"/>
  <c r="K203" i="3"/>
  <c r="H203" i="3"/>
  <c r="B203" i="3"/>
  <c r="AK202" i="3"/>
  <c r="AH202" i="3"/>
  <c r="AG202" i="3"/>
  <c r="AF202" i="3"/>
  <c r="AD202" i="3"/>
  <c r="AB202" i="3"/>
  <c r="AC202" i="3" s="1"/>
  <c r="S202" i="3"/>
  <c r="T202" i="3" s="1"/>
  <c r="U202" i="3" s="1"/>
  <c r="Z202" i="3" s="1"/>
  <c r="L202" i="3"/>
  <c r="K202" i="3"/>
  <c r="H202" i="3"/>
  <c r="B202" i="3"/>
  <c r="AK201" i="3"/>
  <c r="AH201" i="3"/>
  <c r="AG201" i="3"/>
  <c r="AF201" i="3"/>
  <c r="AD201" i="3"/>
  <c r="AB201" i="3"/>
  <c r="AC201" i="3" s="1"/>
  <c r="S201" i="3"/>
  <c r="T201" i="3" s="1"/>
  <c r="L201" i="3"/>
  <c r="K201" i="3"/>
  <c r="H201" i="3"/>
  <c r="B201" i="3"/>
  <c r="AK200" i="3"/>
  <c r="AH200" i="3"/>
  <c r="AG200" i="3"/>
  <c r="AF200" i="3"/>
  <c r="AD200" i="3"/>
  <c r="AB200" i="3"/>
  <c r="AC200" i="3" s="1"/>
  <c r="S200" i="3"/>
  <c r="T200" i="3" s="1"/>
  <c r="U200" i="3" s="1"/>
  <c r="Z200" i="3" s="1"/>
  <c r="L200" i="3"/>
  <c r="K200" i="3"/>
  <c r="H200" i="3"/>
  <c r="B200" i="3"/>
  <c r="AK199" i="3"/>
  <c r="AH199" i="3"/>
  <c r="AG199" i="3"/>
  <c r="AF199" i="3"/>
  <c r="AD199" i="3"/>
  <c r="AB199" i="3"/>
  <c r="AC199" i="3" s="1"/>
  <c r="S199" i="3"/>
  <c r="T199" i="3" s="1"/>
  <c r="U199" i="3" s="1"/>
  <c r="Z199" i="3" s="1"/>
  <c r="L199" i="3"/>
  <c r="K199" i="3"/>
  <c r="H199" i="3"/>
  <c r="B199" i="3"/>
  <c r="AK198" i="3"/>
  <c r="AH198" i="3"/>
  <c r="AG198" i="3"/>
  <c r="AF198" i="3"/>
  <c r="AD198" i="3"/>
  <c r="AB198" i="3"/>
  <c r="AC198" i="3" s="1"/>
  <c r="S198" i="3"/>
  <c r="T198" i="3" s="1"/>
  <c r="L198" i="3"/>
  <c r="K198" i="3"/>
  <c r="H198" i="3"/>
  <c r="B198" i="3"/>
  <c r="AK197" i="3"/>
  <c r="AH197" i="3"/>
  <c r="AG197" i="3"/>
  <c r="AF197" i="3"/>
  <c r="AD197" i="3"/>
  <c r="AB197" i="3"/>
  <c r="AC197" i="3" s="1"/>
  <c r="S197" i="3"/>
  <c r="T197" i="3" s="1"/>
  <c r="L197" i="3"/>
  <c r="K197" i="3"/>
  <c r="H197" i="3"/>
  <c r="B197" i="3"/>
  <c r="AK196" i="3"/>
  <c r="AH196" i="3"/>
  <c r="AG196" i="3"/>
  <c r="AF196" i="3"/>
  <c r="AD196" i="3"/>
  <c r="AB196" i="3"/>
  <c r="AC196" i="3" s="1"/>
  <c r="Z196" i="3"/>
  <c r="S196" i="3"/>
  <c r="T196" i="3" s="1"/>
  <c r="U196" i="3" s="1"/>
  <c r="L196" i="3"/>
  <c r="K196" i="3"/>
  <c r="H196" i="3"/>
  <c r="B196" i="3"/>
  <c r="AK195" i="3"/>
  <c r="AH195" i="3"/>
  <c r="AG195" i="3"/>
  <c r="AF195" i="3"/>
  <c r="AD195" i="3"/>
  <c r="AB195" i="3"/>
  <c r="AC195" i="3" s="1"/>
  <c r="T195" i="3"/>
  <c r="V195" i="3" s="1"/>
  <c r="S195" i="3"/>
  <c r="L195" i="3"/>
  <c r="K195" i="3"/>
  <c r="H195" i="3"/>
  <c r="B195" i="3"/>
  <c r="AK194" i="3"/>
  <c r="AH194" i="3"/>
  <c r="AG194" i="3"/>
  <c r="AF194" i="3"/>
  <c r="AD194" i="3"/>
  <c r="AB194" i="3"/>
  <c r="AC194" i="3" s="1"/>
  <c r="S194" i="3"/>
  <c r="T194" i="3" s="1"/>
  <c r="U194" i="3" s="1"/>
  <c r="Z194" i="3" s="1"/>
  <c r="L194" i="3"/>
  <c r="K194" i="3"/>
  <c r="H194" i="3"/>
  <c r="B194" i="3"/>
  <c r="AK193" i="3"/>
  <c r="AH193" i="3"/>
  <c r="AG193" i="3"/>
  <c r="AF193" i="3"/>
  <c r="AD193" i="3"/>
  <c r="AB193" i="3"/>
  <c r="AC193" i="3" s="1"/>
  <c r="S193" i="3"/>
  <c r="T193" i="3" s="1"/>
  <c r="V193" i="3" s="1"/>
  <c r="L193" i="3"/>
  <c r="K193" i="3"/>
  <c r="H193" i="3"/>
  <c r="B193" i="3"/>
  <c r="AK192" i="3"/>
  <c r="AH192" i="3"/>
  <c r="AG192" i="3"/>
  <c r="AF192" i="3"/>
  <c r="AD192" i="3"/>
  <c r="AB192" i="3"/>
  <c r="AC192" i="3" s="1"/>
  <c r="S192" i="3"/>
  <c r="T192" i="3" s="1"/>
  <c r="L192" i="3"/>
  <c r="K192" i="3"/>
  <c r="H192" i="3"/>
  <c r="B192" i="3"/>
  <c r="AK191" i="3"/>
  <c r="AH191" i="3"/>
  <c r="AG191" i="3"/>
  <c r="AF191" i="3"/>
  <c r="AD191" i="3"/>
  <c r="AB191" i="3"/>
  <c r="AC191" i="3" s="1"/>
  <c r="S191" i="3"/>
  <c r="T191" i="3" s="1"/>
  <c r="L191" i="3"/>
  <c r="K191" i="3"/>
  <c r="H191" i="3"/>
  <c r="B191" i="3"/>
  <c r="AK190" i="3"/>
  <c r="AH190" i="3"/>
  <c r="AG190" i="3"/>
  <c r="AF190" i="3"/>
  <c r="AD190" i="3"/>
  <c r="AB190" i="3"/>
  <c r="AC190" i="3" s="1"/>
  <c r="S190" i="3"/>
  <c r="T190" i="3" s="1"/>
  <c r="U190" i="3" s="1"/>
  <c r="Z190" i="3" s="1"/>
  <c r="L190" i="3"/>
  <c r="K190" i="3"/>
  <c r="H190" i="3"/>
  <c r="B190" i="3"/>
  <c r="AK189" i="3"/>
  <c r="AH189" i="3"/>
  <c r="AG189" i="3"/>
  <c r="AF189" i="3"/>
  <c r="AD189" i="3"/>
  <c r="AB189" i="3"/>
  <c r="AC189" i="3" s="1"/>
  <c r="S189" i="3"/>
  <c r="T189" i="3" s="1"/>
  <c r="V189" i="3" s="1"/>
  <c r="L189" i="3"/>
  <c r="K189" i="3"/>
  <c r="H189" i="3"/>
  <c r="B189" i="3"/>
  <c r="AK188" i="3"/>
  <c r="AH188" i="3"/>
  <c r="AG188" i="3"/>
  <c r="AF188" i="3"/>
  <c r="AD188" i="3"/>
  <c r="AB188" i="3"/>
  <c r="AC188" i="3" s="1"/>
  <c r="S188" i="3"/>
  <c r="T188" i="3" s="1"/>
  <c r="U188" i="3" s="1"/>
  <c r="Z188" i="3" s="1"/>
  <c r="L188" i="3"/>
  <c r="K188" i="3"/>
  <c r="H188" i="3"/>
  <c r="B188" i="3"/>
  <c r="AK187" i="3"/>
  <c r="AH187" i="3"/>
  <c r="AG187" i="3"/>
  <c r="AF187" i="3"/>
  <c r="AD187" i="3"/>
  <c r="AB187" i="3"/>
  <c r="AC187" i="3" s="1"/>
  <c r="S187" i="3"/>
  <c r="T187" i="3" s="1"/>
  <c r="L187" i="3"/>
  <c r="K187" i="3"/>
  <c r="H187" i="3"/>
  <c r="B187" i="3"/>
  <c r="AK186" i="3"/>
  <c r="AH186" i="3"/>
  <c r="AG186" i="3"/>
  <c r="AF186" i="3"/>
  <c r="AD186" i="3"/>
  <c r="AB186" i="3"/>
  <c r="AC186" i="3" s="1"/>
  <c r="S186" i="3"/>
  <c r="T186" i="3" s="1"/>
  <c r="U186" i="3" s="1"/>
  <c r="Z186" i="3" s="1"/>
  <c r="L186" i="3"/>
  <c r="K186" i="3"/>
  <c r="H186" i="3"/>
  <c r="B186" i="3"/>
  <c r="AK185" i="3"/>
  <c r="AH185" i="3"/>
  <c r="AG185" i="3"/>
  <c r="AF185" i="3"/>
  <c r="AD185" i="3"/>
  <c r="AB185" i="3"/>
  <c r="AC185" i="3" s="1"/>
  <c r="S185" i="3"/>
  <c r="T185" i="3" s="1"/>
  <c r="V185" i="3" s="1"/>
  <c r="L185" i="3"/>
  <c r="K185" i="3"/>
  <c r="H185" i="3"/>
  <c r="B185" i="3"/>
  <c r="AK184" i="3"/>
  <c r="AH184" i="3"/>
  <c r="AG184" i="3"/>
  <c r="AF184" i="3"/>
  <c r="AD184" i="3"/>
  <c r="AB184" i="3"/>
  <c r="AC184" i="3" s="1"/>
  <c r="S184" i="3"/>
  <c r="T184" i="3" s="1"/>
  <c r="U184" i="3" s="1"/>
  <c r="Z184" i="3" s="1"/>
  <c r="L184" i="3"/>
  <c r="K184" i="3"/>
  <c r="H184" i="3"/>
  <c r="B184" i="3"/>
  <c r="AK183" i="3"/>
  <c r="AH183" i="3"/>
  <c r="AG183" i="3"/>
  <c r="AF183" i="3"/>
  <c r="AD183" i="3"/>
  <c r="AB183" i="3"/>
  <c r="AC183" i="3" s="1"/>
  <c r="S183" i="3"/>
  <c r="T183" i="3" s="1"/>
  <c r="L183" i="3"/>
  <c r="K183" i="3"/>
  <c r="H183" i="3"/>
  <c r="B183" i="3"/>
  <c r="AK182" i="3"/>
  <c r="AH182" i="3"/>
  <c r="AG182" i="3"/>
  <c r="AF182" i="3"/>
  <c r="AD182" i="3"/>
  <c r="AB182" i="3"/>
  <c r="AC182" i="3" s="1"/>
  <c r="S182" i="3"/>
  <c r="T182" i="3" s="1"/>
  <c r="L182" i="3"/>
  <c r="K182" i="3"/>
  <c r="H182" i="3"/>
  <c r="B182" i="3"/>
  <c r="AK181" i="3"/>
  <c r="AH181" i="3"/>
  <c r="AG181" i="3"/>
  <c r="AF181" i="3"/>
  <c r="AD181" i="3"/>
  <c r="AB181" i="3"/>
  <c r="AC181" i="3" s="1"/>
  <c r="S181" i="3"/>
  <c r="T181" i="3" s="1"/>
  <c r="L181" i="3"/>
  <c r="K181" i="3"/>
  <c r="H181" i="3"/>
  <c r="B181" i="3"/>
  <c r="AK180" i="3"/>
  <c r="AH180" i="3"/>
  <c r="AG180" i="3"/>
  <c r="AF180" i="3"/>
  <c r="AD180" i="3"/>
  <c r="AB180" i="3"/>
  <c r="AC180" i="3" s="1"/>
  <c r="S180" i="3"/>
  <c r="T180" i="3" s="1"/>
  <c r="U180" i="3" s="1"/>
  <c r="Z180" i="3" s="1"/>
  <c r="L180" i="3"/>
  <c r="K180" i="3"/>
  <c r="H180" i="3"/>
  <c r="B180" i="3"/>
  <c r="AK179" i="3"/>
  <c r="AH179" i="3"/>
  <c r="AG179" i="3"/>
  <c r="AF179" i="3"/>
  <c r="AD179" i="3"/>
  <c r="AB179" i="3"/>
  <c r="AC179" i="3" s="1"/>
  <c r="S179" i="3"/>
  <c r="T179" i="3" s="1"/>
  <c r="L179" i="3"/>
  <c r="K179" i="3"/>
  <c r="H179" i="3"/>
  <c r="B179" i="3"/>
  <c r="AK178" i="3"/>
  <c r="AH178" i="3"/>
  <c r="AG178" i="3"/>
  <c r="AF178" i="3"/>
  <c r="AD178" i="3"/>
  <c r="AB178" i="3"/>
  <c r="AC178" i="3" s="1"/>
  <c r="S178" i="3"/>
  <c r="T178" i="3" s="1"/>
  <c r="U178" i="3" s="1"/>
  <c r="Z178" i="3" s="1"/>
  <c r="L178" i="3"/>
  <c r="K178" i="3"/>
  <c r="H178" i="3"/>
  <c r="B178" i="3"/>
  <c r="AK177" i="3"/>
  <c r="AH177" i="3"/>
  <c r="AG177" i="3"/>
  <c r="AF177" i="3"/>
  <c r="AD177" i="3"/>
  <c r="AB177" i="3"/>
  <c r="AC177" i="3" s="1"/>
  <c r="S177" i="3"/>
  <c r="T177" i="3" s="1"/>
  <c r="L177" i="3"/>
  <c r="K177" i="3"/>
  <c r="H177" i="3"/>
  <c r="B177" i="3"/>
  <c r="AK176" i="3"/>
  <c r="AH176" i="3"/>
  <c r="AG176" i="3"/>
  <c r="AF176" i="3"/>
  <c r="AD176" i="3"/>
  <c r="AB176" i="3"/>
  <c r="AC176" i="3" s="1"/>
  <c r="S176" i="3"/>
  <c r="T176" i="3" s="1"/>
  <c r="U176" i="3" s="1"/>
  <c r="Z176" i="3" s="1"/>
  <c r="L176" i="3"/>
  <c r="K176" i="3"/>
  <c r="H176" i="3"/>
  <c r="B176" i="3"/>
  <c r="AK175" i="3"/>
  <c r="AH175" i="3"/>
  <c r="AG175" i="3"/>
  <c r="AF175" i="3"/>
  <c r="AD175" i="3"/>
  <c r="AB175" i="3"/>
  <c r="AC175" i="3" s="1"/>
  <c r="S175" i="3"/>
  <c r="T175" i="3" s="1"/>
  <c r="L175" i="3"/>
  <c r="K175" i="3"/>
  <c r="H175" i="3"/>
  <c r="B175" i="3"/>
  <c r="AK174" i="3"/>
  <c r="AH174" i="3"/>
  <c r="AG174" i="3"/>
  <c r="AF174" i="3"/>
  <c r="AD174" i="3"/>
  <c r="AB174" i="3"/>
  <c r="AC174" i="3" s="1"/>
  <c r="S174" i="3"/>
  <c r="T174" i="3" s="1"/>
  <c r="U174" i="3" s="1"/>
  <c r="Z174" i="3" s="1"/>
  <c r="L174" i="3"/>
  <c r="K174" i="3"/>
  <c r="H174" i="3"/>
  <c r="B174" i="3"/>
  <c r="AK173" i="3"/>
  <c r="AH173" i="3"/>
  <c r="AG173" i="3"/>
  <c r="AF173" i="3"/>
  <c r="AD173" i="3"/>
  <c r="AB173" i="3"/>
  <c r="AC173" i="3" s="1"/>
  <c r="S173" i="3"/>
  <c r="T173" i="3" s="1"/>
  <c r="L173" i="3"/>
  <c r="K173" i="3"/>
  <c r="H173" i="3"/>
  <c r="B173" i="3"/>
  <c r="AK172" i="3"/>
  <c r="AH172" i="3"/>
  <c r="AG172" i="3"/>
  <c r="AF172" i="3"/>
  <c r="AD172" i="3"/>
  <c r="AB172" i="3"/>
  <c r="AC172" i="3" s="1"/>
  <c r="S172" i="3"/>
  <c r="T172" i="3" s="1"/>
  <c r="U172" i="3" s="1"/>
  <c r="Z172" i="3" s="1"/>
  <c r="L172" i="3"/>
  <c r="K172" i="3"/>
  <c r="H172" i="3"/>
  <c r="B172" i="3"/>
  <c r="AK171" i="3"/>
  <c r="AH171" i="3"/>
  <c r="AG171" i="3"/>
  <c r="AF171" i="3"/>
  <c r="AD171" i="3"/>
  <c r="AB171" i="3"/>
  <c r="AC171" i="3" s="1"/>
  <c r="S171" i="3"/>
  <c r="T171" i="3" s="1"/>
  <c r="L171" i="3"/>
  <c r="K171" i="3"/>
  <c r="H171" i="3"/>
  <c r="B171" i="3"/>
  <c r="AK170" i="3"/>
  <c r="AH170" i="3"/>
  <c r="AG170" i="3"/>
  <c r="AF170" i="3"/>
  <c r="AD170" i="3"/>
  <c r="AB170" i="3"/>
  <c r="AC170" i="3" s="1"/>
  <c r="S170" i="3"/>
  <c r="T170" i="3" s="1"/>
  <c r="U170" i="3" s="1"/>
  <c r="Z170" i="3" s="1"/>
  <c r="L170" i="3"/>
  <c r="K170" i="3"/>
  <c r="H170" i="3"/>
  <c r="B170" i="3"/>
  <c r="AK169" i="3"/>
  <c r="AH169" i="3"/>
  <c r="AG169" i="3"/>
  <c r="AF169" i="3"/>
  <c r="AD169" i="3"/>
  <c r="AB169" i="3"/>
  <c r="AC169" i="3" s="1"/>
  <c r="S169" i="3"/>
  <c r="T169" i="3" s="1"/>
  <c r="L169" i="3"/>
  <c r="K169" i="3"/>
  <c r="H169" i="3"/>
  <c r="B169" i="3"/>
  <c r="AK168" i="3"/>
  <c r="AH168" i="3"/>
  <c r="AG168" i="3"/>
  <c r="AF168" i="3"/>
  <c r="AD168" i="3"/>
  <c r="AB168" i="3"/>
  <c r="AC168" i="3" s="1"/>
  <c r="S168" i="3"/>
  <c r="T168" i="3" s="1"/>
  <c r="U168" i="3" s="1"/>
  <c r="Z168" i="3" s="1"/>
  <c r="L168" i="3"/>
  <c r="K168" i="3"/>
  <c r="H168" i="3"/>
  <c r="B168" i="3"/>
  <c r="AK167" i="3"/>
  <c r="AH167" i="3"/>
  <c r="AG167" i="3"/>
  <c r="AF167" i="3"/>
  <c r="AD167" i="3"/>
  <c r="AB167" i="3"/>
  <c r="AC167" i="3" s="1"/>
  <c r="S167" i="3"/>
  <c r="T167" i="3" s="1"/>
  <c r="V167" i="3" s="1"/>
  <c r="L167" i="3"/>
  <c r="K167" i="3"/>
  <c r="H167" i="3"/>
  <c r="B167" i="3"/>
  <c r="AK166" i="3"/>
  <c r="AH166" i="3"/>
  <c r="AG166" i="3"/>
  <c r="AF166" i="3"/>
  <c r="AD166" i="3"/>
  <c r="AB166" i="3"/>
  <c r="AC166" i="3" s="1"/>
  <c r="S166" i="3"/>
  <c r="T166" i="3" s="1"/>
  <c r="U166" i="3" s="1"/>
  <c r="Z166" i="3" s="1"/>
  <c r="L166" i="3"/>
  <c r="K166" i="3"/>
  <c r="H166" i="3"/>
  <c r="B166" i="3"/>
  <c r="AK165" i="3"/>
  <c r="AH165" i="3"/>
  <c r="AG165" i="3"/>
  <c r="AF165" i="3"/>
  <c r="AD165" i="3"/>
  <c r="AB165" i="3"/>
  <c r="AC165" i="3" s="1"/>
  <c r="S165" i="3"/>
  <c r="T165" i="3" s="1"/>
  <c r="U165" i="3" s="1"/>
  <c r="Z165" i="3" s="1"/>
  <c r="L165" i="3"/>
  <c r="K165" i="3"/>
  <c r="H165" i="3"/>
  <c r="B165" i="3"/>
  <c r="AK164" i="3"/>
  <c r="AH164" i="3"/>
  <c r="AG164" i="3"/>
  <c r="AF164" i="3"/>
  <c r="AD164" i="3"/>
  <c r="AB164" i="3"/>
  <c r="AC164" i="3" s="1"/>
  <c r="S164" i="3"/>
  <c r="T164" i="3" s="1"/>
  <c r="L164" i="3"/>
  <c r="K164" i="3"/>
  <c r="H164" i="3"/>
  <c r="B164" i="3"/>
  <c r="AK163" i="3"/>
  <c r="AH163" i="3"/>
  <c r="AG163" i="3"/>
  <c r="AF163" i="3"/>
  <c r="AD163" i="3"/>
  <c r="AB163" i="3"/>
  <c r="AC163" i="3" s="1"/>
  <c r="S163" i="3"/>
  <c r="T163" i="3" s="1"/>
  <c r="L163" i="3"/>
  <c r="K163" i="3"/>
  <c r="H163" i="3"/>
  <c r="B163" i="3"/>
  <c r="AK162" i="3"/>
  <c r="AH162" i="3"/>
  <c r="AG162" i="3"/>
  <c r="AF162" i="3"/>
  <c r="AD162" i="3"/>
  <c r="AB162" i="3"/>
  <c r="AC162" i="3" s="1"/>
  <c r="S162" i="3"/>
  <c r="T162" i="3" s="1"/>
  <c r="U162" i="3" s="1"/>
  <c r="Z162" i="3" s="1"/>
  <c r="L162" i="3"/>
  <c r="K162" i="3"/>
  <c r="H162" i="3"/>
  <c r="B162" i="3"/>
  <c r="AK161" i="3"/>
  <c r="AH161" i="3"/>
  <c r="AG161" i="3"/>
  <c r="AF161" i="3"/>
  <c r="AD161" i="3"/>
  <c r="AB161" i="3"/>
  <c r="AC161" i="3" s="1"/>
  <c r="S161" i="3"/>
  <c r="T161" i="3" s="1"/>
  <c r="L161" i="3"/>
  <c r="K161" i="3"/>
  <c r="H161" i="3"/>
  <c r="B161" i="3"/>
  <c r="AK160" i="3"/>
  <c r="AH160" i="3"/>
  <c r="AG160" i="3"/>
  <c r="AF160" i="3"/>
  <c r="AD160" i="3"/>
  <c r="AB160" i="3"/>
  <c r="AC160" i="3" s="1"/>
  <c r="S160" i="3"/>
  <c r="T160" i="3" s="1"/>
  <c r="U160" i="3" s="1"/>
  <c r="Z160" i="3" s="1"/>
  <c r="L160" i="3"/>
  <c r="K160" i="3"/>
  <c r="H160" i="3"/>
  <c r="B160" i="3"/>
  <c r="AK159" i="3"/>
  <c r="AH159" i="3"/>
  <c r="AG159" i="3"/>
  <c r="AF159" i="3"/>
  <c r="AD159" i="3"/>
  <c r="AB159" i="3"/>
  <c r="AC159" i="3" s="1"/>
  <c r="S159" i="3"/>
  <c r="T159" i="3" s="1"/>
  <c r="L159" i="3"/>
  <c r="K159" i="3"/>
  <c r="H159" i="3"/>
  <c r="B159" i="3"/>
  <c r="AK158" i="3"/>
  <c r="AH158" i="3"/>
  <c r="AG158" i="3"/>
  <c r="AF158" i="3"/>
  <c r="AD158" i="3"/>
  <c r="AB158" i="3"/>
  <c r="AC158" i="3" s="1"/>
  <c r="Z158" i="3"/>
  <c r="S158" i="3"/>
  <c r="T158" i="3" s="1"/>
  <c r="U158" i="3" s="1"/>
  <c r="L158" i="3"/>
  <c r="K158" i="3"/>
  <c r="H158" i="3"/>
  <c r="B158" i="3"/>
  <c r="AK157" i="3"/>
  <c r="AH157" i="3"/>
  <c r="AG157" i="3"/>
  <c r="AF157" i="3"/>
  <c r="AD157" i="3"/>
  <c r="AB157" i="3"/>
  <c r="AC157" i="3" s="1"/>
  <c r="Z157" i="3"/>
  <c r="S157" i="3"/>
  <c r="T157" i="3" s="1"/>
  <c r="U157" i="3" s="1"/>
  <c r="L157" i="3"/>
  <c r="K157" i="3"/>
  <c r="H157" i="3"/>
  <c r="B157" i="3"/>
  <c r="AK156" i="3"/>
  <c r="AH156" i="3"/>
  <c r="AG156" i="3"/>
  <c r="AF156" i="3"/>
  <c r="AD156" i="3"/>
  <c r="AB156" i="3"/>
  <c r="AC156" i="3" s="1"/>
  <c r="S156" i="3"/>
  <c r="T156" i="3" s="1"/>
  <c r="L156" i="3"/>
  <c r="K156" i="3"/>
  <c r="H156" i="3"/>
  <c r="B156" i="3"/>
  <c r="AK155" i="3"/>
  <c r="AH155" i="3"/>
  <c r="AG155" i="3"/>
  <c r="AF155" i="3"/>
  <c r="AD155" i="3"/>
  <c r="AB155" i="3"/>
  <c r="AC155" i="3" s="1"/>
  <c r="S155" i="3"/>
  <c r="T155" i="3" s="1"/>
  <c r="U155" i="3" s="1"/>
  <c r="Z155" i="3" s="1"/>
  <c r="L155" i="3"/>
  <c r="K155" i="3"/>
  <c r="H155" i="3"/>
  <c r="B155" i="3"/>
  <c r="AK154" i="3"/>
  <c r="AH154" i="3"/>
  <c r="AG154" i="3"/>
  <c r="AF154" i="3"/>
  <c r="AD154" i="3"/>
  <c r="AB154" i="3"/>
  <c r="AC154" i="3" s="1"/>
  <c r="S154" i="3"/>
  <c r="T154" i="3" s="1"/>
  <c r="U154" i="3" s="1"/>
  <c r="Z154" i="3" s="1"/>
  <c r="L154" i="3"/>
  <c r="K154" i="3"/>
  <c r="H154" i="3"/>
  <c r="B154" i="3"/>
  <c r="AK153" i="3"/>
  <c r="AH153" i="3"/>
  <c r="AG153" i="3"/>
  <c r="AF153" i="3"/>
  <c r="AD153" i="3"/>
  <c r="AB153" i="3"/>
  <c r="AC153" i="3" s="1"/>
  <c r="S153" i="3"/>
  <c r="T153" i="3" s="1"/>
  <c r="U153" i="3" s="1"/>
  <c r="Z153" i="3" s="1"/>
  <c r="L153" i="3"/>
  <c r="K153" i="3"/>
  <c r="H153" i="3"/>
  <c r="B153" i="3"/>
  <c r="AK152" i="3"/>
  <c r="AH152" i="3"/>
  <c r="AG152" i="3"/>
  <c r="AF152" i="3"/>
  <c r="AD152" i="3"/>
  <c r="AB152" i="3"/>
  <c r="AC152" i="3" s="1"/>
  <c r="S152" i="3"/>
  <c r="T152" i="3" s="1"/>
  <c r="U152" i="3" s="1"/>
  <c r="Z152" i="3" s="1"/>
  <c r="L152" i="3"/>
  <c r="K152" i="3"/>
  <c r="H152" i="3"/>
  <c r="B152" i="3"/>
  <c r="AK151" i="3"/>
  <c r="AH151" i="3"/>
  <c r="AG151" i="3"/>
  <c r="AF151" i="3"/>
  <c r="AD151" i="3"/>
  <c r="AB151" i="3"/>
  <c r="AC151" i="3" s="1"/>
  <c r="S151" i="3"/>
  <c r="T151" i="3" s="1"/>
  <c r="L151" i="3"/>
  <c r="K151" i="3"/>
  <c r="H151" i="3"/>
  <c r="B151" i="3"/>
  <c r="AK150" i="3"/>
  <c r="AH150" i="3"/>
  <c r="AG150" i="3"/>
  <c r="AF150" i="3"/>
  <c r="AD150" i="3"/>
  <c r="AB150" i="3"/>
  <c r="AC150" i="3" s="1"/>
  <c r="S150" i="3"/>
  <c r="T150" i="3" s="1"/>
  <c r="U150" i="3" s="1"/>
  <c r="Z150" i="3" s="1"/>
  <c r="L150" i="3"/>
  <c r="K150" i="3"/>
  <c r="H150" i="3"/>
  <c r="B150" i="3"/>
  <c r="AK149" i="3"/>
  <c r="AH149" i="3"/>
  <c r="AG149" i="3"/>
  <c r="AF149" i="3"/>
  <c r="AD149" i="3"/>
  <c r="AB149" i="3"/>
  <c r="AC149" i="3" s="1"/>
  <c r="S149" i="3"/>
  <c r="T149" i="3" s="1"/>
  <c r="U149" i="3" s="1"/>
  <c r="Z149" i="3" s="1"/>
  <c r="L149" i="3"/>
  <c r="K149" i="3"/>
  <c r="H149" i="3"/>
  <c r="B149" i="3"/>
  <c r="AK148" i="3"/>
  <c r="AH148" i="3"/>
  <c r="AG148" i="3"/>
  <c r="AF148" i="3"/>
  <c r="AD148" i="3"/>
  <c r="AB148" i="3"/>
  <c r="AC148" i="3" s="1"/>
  <c r="S148" i="3"/>
  <c r="T148" i="3" s="1"/>
  <c r="U148" i="3" s="1"/>
  <c r="Z148" i="3" s="1"/>
  <c r="L148" i="3"/>
  <c r="K148" i="3"/>
  <c r="H148" i="3"/>
  <c r="B148" i="3"/>
  <c r="AK147" i="3"/>
  <c r="AH147" i="3"/>
  <c r="AG147" i="3"/>
  <c r="AF147" i="3"/>
  <c r="AD147" i="3"/>
  <c r="AB147" i="3"/>
  <c r="AC147" i="3" s="1"/>
  <c r="S147" i="3"/>
  <c r="T147" i="3" s="1"/>
  <c r="V147" i="3" s="1"/>
  <c r="L147" i="3"/>
  <c r="K147" i="3"/>
  <c r="H147" i="3"/>
  <c r="B147" i="3"/>
  <c r="AK146" i="3"/>
  <c r="AH146" i="3"/>
  <c r="AG146" i="3"/>
  <c r="AF146" i="3"/>
  <c r="AD146" i="3"/>
  <c r="AB146" i="3"/>
  <c r="AC146" i="3" s="1"/>
  <c r="S146" i="3"/>
  <c r="T146" i="3" s="1"/>
  <c r="U146" i="3" s="1"/>
  <c r="Z146" i="3" s="1"/>
  <c r="L146" i="3"/>
  <c r="K146" i="3"/>
  <c r="H146" i="3"/>
  <c r="B146" i="3"/>
  <c r="AK145" i="3"/>
  <c r="AH145" i="3"/>
  <c r="AG145" i="3"/>
  <c r="AF145" i="3"/>
  <c r="AD145" i="3"/>
  <c r="AB145" i="3"/>
  <c r="AC145" i="3" s="1"/>
  <c r="S145" i="3"/>
  <c r="T145" i="3" s="1"/>
  <c r="U145" i="3" s="1"/>
  <c r="Z145" i="3" s="1"/>
  <c r="L145" i="3"/>
  <c r="K145" i="3"/>
  <c r="H145" i="3"/>
  <c r="B145" i="3"/>
  <c r="AK144" i="3"/>
  <c r="AH144" i="3"/>
  <c r="AG144" i="3"/>
  <c r="AF144" i="3"/>
  <c r="AD144" i="3"/>
  <c r="AB144" i="3"/>
  <c r="AC144" i="3" s="1"/>
  <c r="V144" i="3"/>
  <c r="S144" i="3"/>
  <c r="T144" i="3" s="1"/>
  <c r="U144" i="3" s="1"/>
  <c r="Z144" i="3" s="1"/>
  <c r="L144" i="3"/>
  <c r="K144" i="3"/>
  <c r="H144" i="3"/>
  <c r="B144" i="3"/>
  <c r="AK143" i="3"/>
  <c r="AH143" i="3"/>
  <c r="AG143" i="3"/>
  <c r="AF143" i="3"/>
  <c r="AD143" i="3"/>
  <c r="AB143" i="3"/>
  <c r="AC143" i="3" s="1"/>
  <c r="T143" i="3"/>
  <c r="S143" i="3"/>
  <c r="L143" i="3"/>
  <c r="K143" i="3"/>
  <c r="H143" i="3"/>
  <c r="B143" i="3"/>
  <c r="AK142" i="3"/>
  <c r="AH142" i="3"/>
  <c r="AG142" i="3"/>
  <c r="AF142" i="3"/>
  <c r="AD142" i="3"/>
  <c r="AB142" i="3"/>
  <c r="AC142" i="3" s="1"/>
  <c r="S142" i="3"/>
  <c r="T142" i="3" s="1"/>
  <c r="U142" i="3" s="1"/>
  <c r="Z142" i="3" s="1"/>
  <c r="L142" i="3"/>
  <c r="K142" i="3"/>
  <c r="H142" i="3"/>
  <c r="B142" i="3"/>
  <c r="AK141" i="3"/>
  <c r="AH141" i="3"/>
  <c r="AG141" i="3"/>
  <c r="AF141" i="3"/>
  <c r="AD141" i="3"/>
  <c r="AB141" i="3"/>
  <c r="AC141" i="3" s="1"/>
  <c r="S141" i="3"/>
  <c r="T141" i="3" s="1"/>
  <c r="U141" i="3" s="1"/>
  <c r="Z141" i="3" s="1"/>
  <c r="L141" i="3"/>
  <c r="K141" i="3"/>
  <c r="H141" i="3"/>
  <c r="B141" i="3"/>
  <c r="AK140" i="3"/>
  <c r="AH140" i="3"/>
  <c r="AG140" i="3"/>
  <c r="AF140" i="3"/>
  <c r="AD140" i="3"/>
  <c r="AB140" i="3"/>
  <c r="AC140" i="3" s="1"/>
  <c r="S140" i="3"/>
  <c r="T140" i="3" s="1"/>
  <c r="U140" i="3" s="1"/>
  <c r="Z140" i="3" s="1"/>
  <c r="L140" i="3"/>
  <c r="K140" i="3"/>
  <c r="H140" i="3"/>
  <c r="B140" i="3"/>
  <c r="AK139" i="3"/>
  <c r="AH139" i="3"/>
  <c r="AG139" i="3"/>
  <c r="AF139" i="3"/>
  <c r="AD139" i="3"/>
  <c r="AB139" i="3"/>
  <c r="AC139" i="3" s="1"/>
  <c r="S139" i="3"/>
  <c r="T139" i="3" s="1"/>
  <c r="U139" i="3" s="1"/>
  <c r="Z139" i="3" s="1"/>
  <c r="L139" i="3"/>
  <c r="K139" i="3"/>
  <c r="H139" i="3"/>
  <c r="B139" i="3"/>
  <c r="AK138" i="3"/>
  <c r="AH138" i="3"/>
  <c r="AG138" i="3"/>
  <c r="AF138" i="3"/>
  <c r="AD138" i="3"/>
  <c r="AB138" i="3"/>
  <c r="AC138" i="3" s="1"/>
  <c r="S138" i="3"/>
  <c r="T138" i="3" s="1"/>
  <c r="U138" i="3" s="1"/>
  <c r="Z138" i="3" s="1"/>
  <c r="L138" i="3"/>
  <c r="K138" i="3"/>
  <c r="H138" i="3"/>
  <c r="B138" i="3"/>
  <c r="AK137" i="3"/>
  <c r="AH137" i="3"/>
  <c r="AG137" i="3"/>
  <c r="AF137" i="3"/>
  <c r="AD137" i="3"/>
  <c r="AB137" i="3"/>
  <c r="AC137" i="3" s="1"/>
  <c r="S137" i="3"/>
  <c r="T137" i="3" s="1"/>
  <c r="U137" i="3" s="1"/>
  <c r="Z137" i="3" s="1"/>
  <c r="L137" i="3"/>
  <c r="K137" i="3"/>
  <c r="H137" i="3"/>
  <c r="B137" i="3"/>
  <c r="AK136" i="3"/>
  <c r="AH136" i="3"/>
  <c r="AG136" i="3"/>
  <c r="AF136" i="3"/>
  <c r="AD136" i="3"/>
  <c r="AB136" i="3"/>
  <c r="AC136" i="3" s="1"/>
  <c r="S136" i="3"/>
  <c r="T136" i="3" s="1"/>
  <c r="U136" i="3" s="1"/>
  <c r="Z136" i="3" s="1"/>
  <c r="L136" i="3"/>
  <c r="K136" i="3"/>
  <c r="H136" i="3"/>
  <c r="B136" i="3"/>
  <c r="AK135" i="3"/>
  <c r="AH135" i="3"/>
  <c r="AG135" i="3"/>
  <c r="AF135" i="3"/>
  <c r="AD135" i="3"/>
  <c r="AB135" i="3"/>
  <c r="AC135" i="3" s="1"/>
  <c r="S135" i="3"/>
  <c r="T135" i="3" s="1"/>
  <c r="L135" i="3"/>
  <c r="K135" i="3"/>
  <c r="H135" i="3"/>
  <c r="B135" i="3"/>
  <c r="AK134" i="3"/>
  <c r="AH134" i="3"/>
  <c r="AG134" i="3"/>
  <c r="AF134" i="3"/>
  <c r="AD134" i="3"/>
  <c r="AB134" i="3"/>
  <c r="AC134" i="3" s="1"/>
  <c r="S134" i="3"/>
  <c r="T134" i="3" s="1"/>
  <c r="U134" i="3" s="1"/>
  <c r="Z134" i="3" s="1"/>
  <c r="L134" i="3"/>
  <c r="K134" i="3"/>
  <c r="H134" i="3"/>
  <c r="B134" i="3"/>
  <c r="AK133" i="3"/>
  <c r="AH133" i="3"/>
  <c r="AG133" i="3"/>
  <c r="AF133" i="3"/>
  <c r="AD133" i="3"/>
  <c r="AB133" i="3"/>
  <c r="AC133" i="3" s="1"/>
  <c r="S133" i="3"/>
  <c r="T133" i="3" s="1"/>
  <c r="U133" i="3" s="1"/>
  <c r="Z133" i="3" s="1"/>
  <c r="L133" i="3"/>
  <c r="K133" i="3"/>
  <c r="H133" i="3"/>
  <c r="B133" i="3"/>
  <c r="AK132" i="3"/>
  <c r="AH132" i="3"/>
  <c r="AG132" i="3"/>
  <c r="AF132" i="3"/>
  <c r="AD132" i="3"/>
  <c r="AB132" i="3"/>
  <c r="AC132" i="3" s="1"/>
  <c r="S132" i="3"/>
  <c r="T132" i="3" s="1"/>
  <c r="L132" i="3"/>
  <c r="K132" i="3"/>
  <c r="H132" i="3"/>
  <c r="B132" i="3"/>
  <c r="AK131" i="3"/>
  <c r="AH131" i="3"/>
  <c r="AG131" i="3"/>
  <c r="AF131" i="3"/>
  <c r="AD131" i="3"/>
  <c r="AB131" i="3"/>
  <c r="AC131" i="3" s="1"/>
  <c r="S131" i="3"/>
  <c r="T131" i="3" s="1"/>
  <c r="V131" i="3" s="1"/>
  <c r="Y131" i="3" s="1"/>
  <c r="AA131" i="3" s="1"/>
  <c r="L131" i="3"/>
  <c r="K131" i="3"/>
  <c r="H131" i="3"/>
  <c r="B131" i="3"/>
  <c r="AK130" i="3"/>
  <c r="AH130" i="3"/>
  <c r="AG130" i="3"/>
  <c r="AF130" i="3"/>
  <c r="AD130" i="3"/>
  <c r="AB130" i="3"/>
  <c r="AC130" i="3" s="1"/>
  <c r="S130" i="3"/>
  <c r="T130" i="3" s="1"/>
  <c r="L130" i="3"/>
  <c r="K130" i="3"/>
  <c r="H130" i="3"/>
  <c r="B130" i="3"/>
  <c r="AK129" i="3"/>
  <c r="AH129" i="3"/>
  <c r="AG129" i="3"/>
  <c r="AF129" i="3"/>
  <c r="AD129" i="3"/>
  <c r="AB129" i="3"/>
  <c r="AC129" i="3" s="1"/>
  <c r="S129" i="3"/>
  <c r="T129" i="3" s="1"/>
  <c r="L129" i="3"/>
  <c r="K129" i="3"/>
  <c r="H129" i="3"/>
  <c r="B129" i="3"/>
  <c r="AK128" i="3"/>
  <c r="AH128" i="3"/>
  <c r="AG128" i="3"/>
  <c r="AF128" i="3"/>
  <c r="AD128" i="3"/>
  <c r="AB128" i="3"/>
  <c r="AC128" i="3" s="1"/>
  <c r="S128" i="3"/>
  <c r="T128" i="3" s="1"/>
  <c r="L128" i="3"/>
  <c r="K128" i="3"/>
  <c r="H128" i="3"/>
  <c r="B128" i="3"/>
  <c r="AK127" i="3"/>
  <c r="AH127" i="3"/>
  <c r="AG127" i="3"/>
  <c r="AF127" i="3"/>
  <c r="AD127" i="3"/>
  <c r="AB127" i="3"/>
  <c r="AC127" i="3" s="1"/>
  <c r="S127" i="3"/>
  <c r="T127" i="3" s="1"/>
  <c r="L127" i="3"/>
  <c r="K127" i="3"/>
  <c r="H127" i="3"/>
  <c r="B127" i="3"/>
  <c r="AK126" i="3"/>
  <c r="AH126" i="3"/>
  <c r="AG126" i="3"/>
  <c r="AF126" i="3"/>
  <c r="AD126" i="3"/>
  <c r="AB126" i="3"/>
  <c r="AC126" i="3" s="1"/>
  <c r="S126" i="3"/>
  <c r="T126" i="3" s="1"/>
  <c r="U126" i="3" s="1"/>
  <c r="Z126" i="3" s="1"/>
  <c r="L126" i="3"/>
  <c r="K126" i="3"/>
  <c r="H126" i="3"/>
  <c r="B126" i="3"/>
  <c r="AK125" i="3"/>
  <c r="AH125" i="3"/>
  <c r="AG125" i="3"/>
  <c r="AF125" i="3"/>
  <c r="AD125" i="3"/>
  <c r="AB125" i="3"/>
  <c r="AC125" i="3" s="1"/>
  <c r="S125" i="3"/>
  <c r="T125" i="3" s="1"/>
  <c r="L125" i="3"/>
  <c r="K125" i="3"/>
  <c r="H125" i="3"/>
  <c r="B125" i="3"/>
  <c r="AK124" i="3"/>
  <c r="AH124" i="3"/>
  <c r="AG124" i="3"/>
  <c r="AF124" i="3"/>
  <c r="AD124" i="3"/>
  <c r="AB124" i="3"/>
  <c r="AC124" i="3" s="1"/>
  <c r="S124" i="3"/>
  <c r="T124" i="3" s="1"/>
  <c r="L124" i="3"/>
  <c r="K124" i="3"/>
  <c r="H124" i="3"/>
  <c r="B124" i="3"/>
  <c r="AK123" i="3"/>
  <c r="AH123" i="3"/>
  <c r="AG123" i="3"/>
  <c r="AF123" i="3"/>
  <c r="AD123" i="3"/>
  <c r="AB123" i="3"/>
  <c r="AC123" i="3" s="1"/>
  <c r="S123" i="3"/>
  <c r="T123" i="3" s="1"/>
  <c r="U123" i="3" s="1"/>
  <c r="Z123" i="3" s="1"/>
  <c r="L123" i="3"/>
  <c r="K123" i="3"/>
  <c r="H123" i="3"/>
  <c r="B123" i="3"/>
  <c r="AK122" i="3"/>
  <c r="AH122" i="3"/>
  <c r="AG122" i="3"/>
  <c r="AF122" i="3"/>
  <c r="AD122" i="3"/>
  <c r="AB122" i="3"/>
  <c r="AC122" i="3" s="1"/>
  <c r="S122" i="3"/>
  <c r="T122" i="3" s="1"/>
  <c r="U122" i="3" s="1"/>
  <c r="Z122" i="3" s="1"/>
  <c r="L122" i="3"/>
  <c r="K122" i="3"/>
  <c r="H122" i="3"/>
  <c r="B122" i="3"/>
  <c r="AK121" i="3"/>
  <c r="AH121" i="3"/>
  <c r="AG121" i="3"/>
  <c r="AF121" i="3"/>
  <c r="AD121" i="3"/>
  <c r="AB121" i="3"/>
  <c r="AC121" i="3" s="1"/>
  <c r="S121" i="3"/>
  <c r="T121" i="3" s="1"/>
  <c r="L121" i="3"/>
  <c r="K121" i="3"/>
  <c r="H121" i="3"/>
  <c r="B121" i="3"/>
  <c r="AK120" i="3"/>
  <c r="AH120" i="3"/>
  <c r="AG120" i="3"/>
  <c r="AF120" i="3"/>
  <c r="AD120" i="3"/>
  <c r="AB120" i="3"/>
  <c r="AC120" i="3" s="1"/>
  <c r="S120" i="3"/>
  <c r="T120" i="3" s="1"/>
  <c r="L120" i="3"/>
  <c r="K120" i="3"/>
  <c r="H120" i="3"/>
  <c r="B120" i="3"/>
  <c r="AK119" i="3"/>
  <c r="AH119" i="3"/>
  <c r="AG119" i="3"/>
  <c r="AF119" i="3"/>
  <c r="AD119" i="3"/>
  <c r="AB119" i="3"/>
  <c r="AC119" i="3" s="1"/>
  <c r="S119" i="3"/>
  <c r="T119" i="3" s="1"/>
  <c r="L119" i="3"/>
  <c r="K119" i="3"/>
  <c r="H119" i="3"/>
  <c r="B119" i="3"/>
  <c r="AK118" i="3"/>
  <c r="AH118" i="3"/>
  <c r="AG118" i="3"/>
  <c r="AF118" i="3"/>
  <c r="AD118" i="3"/>
  <c r="AB118" i="3"/>
  <c r="AC118" i="3" s="1"/>
  <c r="S118" i="3"/>
  <c r="T118" i="3" s="1"/>
  <c r="L118" i="3"/>
  <c r="K118" i="3"/>
  <c r="H118" i="3"/>
  <c r="B118" i="3"/>
  <c r="AK117" i="3"/>
  <c r="AH117" i="3"/>
  <c r="AG117" i="3"/>
  <c r="AF117" i="3"/>
  <c r="AD117" i="3"/>
  <c r="AB117" i="3"/>
  <c r="AC117" i="3" s="1"/>
  <c r="S117" i="3"/>
  <c r="T117" i="3" s="1"/>
  <c r="U117" i="3" s="1"/>
  <c r="Z117" i="3" s="1"/>
  <c r="L117" i="3"/>
  <c r="K117" i="3"/>
  <c r="H117" i="3"/>
  <c r="B117" i="3"/>
  <c r="AK116" i="3"/>
  <c r="AH116" i="3"/>
  <c r="AG116" i="3"/>
  <c r="AF116" i="3"/>
  <c r="AD116" i="3"/>
  <c r="AB116" i="3"/>
  <c r="AC116" i="3" s="1"/>
  <c r="S116" i="3"/>
  <c r="T116" i="3" s="1"/>
  <c r="L116" i="3"/>
  <c r="K116" i="3"/>
  <c r="H116" i="3"/>
  <c r="B116" i="3"/>
  <c r="AK115" i="3"/>
  <c r="AH115" i="3"/>
  <c r="AG115" i="3"/>
  <c r="AF115" i="3"/>
  <c r="AD115" i="3"/>
  <c r="AB115" i="3"/>
  <c r="AC115" i="3" s="1"/>
  <c r="S115" i="3"/>
  <c r="T115" i="3" s="1"/>
  <c r="L115" i="3"/>
  <c r="K115" i="3"/>
  <c r="H115" i="3"/>
  <c r="B115" i="3"/>
  <c r="AK114" i="3"/>
  <c r="AH114" i="3"/>
  <c r="AG114" i="3"/>
  <c r="AF114" i="3"/>
  <c r="AD114" i="3"/>
  <c r="AB114" i="3"/>
  <c r="AC114" i="3" s="1"/>
  <c r="S114" i="3"/>
  <c r="T114" i="3" s="1"/>
  <c r="U114" i="3" s="1"/>
  <c r="Z114" i="3" s="1"/>
  <c r="L114" i="3"/>
  <c r="K114" i="3"/>
  <c r="H114" i="3"/>
  <c r="B114" i="3"/>
  <c r="AK113" i="3"/>
  <c r="AH113" i="3"/>
  <c r="AG113" i="3"/>
  <c r="AF113" i="3"/>
  <c r="AD113" i="3"/>
  <c r="AB113" i="3"/>
  <c r="AC113" i="3" s="1"/>
  <c r="S113" i="3"/>
  <c r="T113" i="3" s="1"/>
  <c r="L113" i="3"/>
  <c r="K113" i="3"/>
  <c r="H113" i="3"/>
  <c r="B113" i="3"/>
  <c r="AK112" i="3"/>
  <c r="AH112" i="3"/>
  <c r="AG112" i="3"/>
  <c r="AF112" i="3"/>
  <c r="AD112" i="3"/>
  <c r="AB112" i="3"/>
  <c r="AC112" i="3" s="1"/>
  <c r="S112" i="3"/>
  <c r="T112" i="3" s="1"/>
  <c r="V112" i="3" s="1"/>
  <c r="L112" i="3"/>
  <c r="K112" i="3"/>
  <c r="H112" i="3"/>
  <c r="B112" i="3"/>
  <c r="AK111" i="3"/>
  <c r="AH111" i="3"/>
  <c r="AG111" i="3"/>
  <c r="AF111" i="3"/>
  <c r="AD111" i="3"/>
  <c r="AB111" i="3"/>
  <c r="AC111" i="3" s="1"/>
  <c r="S111" i="3"/>
  <c r="T111" i="3" s="1"/>
  <c r="L111" i="3"/>
  <c r="K111" i="3"/>
  <c r="H111" i="3"/>
  <c r="B111" i="3"/>
  <c r="AK110" i="3"/>
  <c r="AH110" i="3"/>
  <c r="AG110" i="3"/>
  <c r="AF110" i="3"/>
  <c r="AD110" i="3"/>
  <c r="AB110" i="3"/>
  <c r="AC110" i="3" s="1"/>
  <c r="S110" i="3"/>
  <c r="T110" i="3" s="1"/>
  <c r="U110" i="3" s="1"/>
  <c r="Z110" i="3" s="1"/>
  <c r="L110" i="3"/>
  <c r="K110" i="3"/>
  <c r="H110" i="3"/>
  <c r="B110" i="3"/>
  <c r="AK109" i="3"/>
  <c r="AH109" i="3"/>
  <c r="AG109" i="3"/>
  <c r="AF109" i="3"/>
  <c r="AD109" i="3"/>
  <c r="AB109" i="3"/>
  <c r="AC109" i="3" s="1"/>
  <c r="S109" i="3"/>
  <c r="T109" i="3" s="1"/>
  <c r="L109" i="3"/>
  <c r="K109" i="3"/>
  <c r="H109" i="3"/>
  <c r="B109" i="3"/>
  <c r="AK108" i="3"/>
  <c r="AH108" i="3"/>
  <c r="AG108" i="3"/>
  <c r="AF108" i="3"/>
  <c r="AD108" i="3"/>
  <c r="AB108" i="3"/>
  <c r="AC108" i="3" s="1"/>
  <c r="S108" i="3"/>
  <c r="T108" i="3" s="1"/>
  <c r="L108" i="3"/>
  <c r="K108" i="3"/>
  <c r="H108" i="3"/>
  <c r="B108" i="3"/>
  <c r="AK107" i="3"/>
  <c r="AH107" i="3"/>
  <c r="AG107" i="3"/>
  <c r="AF107" i="3"/>
  <c r="AD107" i="3"/>
  <c r="AB107" i="3"/>
  <c r="AC107" i="3" s="1"/>
  <c r="S107" i="3"/>
  <c r="T107" i="3" s="1"/>
  <c r="U107" i="3" s="1"/>
  <c r="Z107" i="3" s="1"/>
  <c r="L107" i="3"/>
  <c r="K107" i="3"/>
  <c r="H107" i="3"/>
  <c r="B107" i="3"/>
  <c r="AK106" i="3"/>
  <c r="AH106" i="3"/>
  <c r="AG106" i="3"/>
  <c r="AF106" i="3"/>
  <c r="AD106" i="3"/>
  <c r="AB106" i="3"/>
  <c r="AC106" i="3" s="1"/>
  <c r="S106" i="3"/>
  <c r="T106" i="3" s="1"/>
  <c r="U106" i="3" s="1"/>
  <c r="Z106" i="3" s="1"/>
  <c r="L106" i="3"/>
  <c r="K106" i="3"/>
  <c r="H106" i="3"/>
  <c r="B106" i="3"/>
  <c r="AK105" i="3"/>
  <c r="AH105" i="3"/>
  <c r="AG105" i="3"/>
  <c r="AF105" i="3"/>
  <c r="AD105" i="3"/>
  <c r="AB105" i="3"/>
  <c r="AC105" i="3" s="1"/>
  <c r="S105" i="3"/>
  <c r="T105" i="3" s="1"/>
  <c r="U105" i="3" s="1"/>
  <c r="Z105" i="3" s="1"/>
  <c r="L105" i="3"/>
  <c r="K105" i="3"/>
  <c r="H105" i="3"/>
  <c r="B105" i="3"/>
  <c r="AK104" i="3"/>
  <c r="AH104" i="3"/>
  <c r="AG104" i="3"/>
  <c r="AF104" i="3"/>
  <c r="AD104" i="3"/>
  <c r="AB104" i="3"/>
  <c r="AC104" i="3" s="1"/>
  <c r="S104" i="3"/>
  <c r="T104" i="3" s="1"/>
  <c r="L104" i="3"/>
  <c r="K104" i="3"/>
  <c r="H104" i="3"/>
  <c r="B104" i="3"/>
  <c r="AK103" i="3"/>
  <c r="AH103" i="3"/>
  <c r="AG103" i="3"/>
  <c r="AF103" i="3"/>
  <c r="AD103" i="3"/>
  <c r="AB103" i="3"/>
  <c r="AC103" i="3" s="1"/>
  <c r="S103" i="3"/>
  <c r="T103" i="3" s="1"/>
  <c r="L103" i="3"/>
  <c r="K103" i="3"/>
  <c r="H103" i="3"/>
  <c r="B103" i="3"/>
  <c r="AK102" i="3"/>
  <c r="AH102" i="3"/>
  <c r="AG102" i="3"/>
  <c r="AF102" i="3"/>
  <c r="AD102" i="3"/>
  <c r="AB102" i="3"/>
  <c r="AC102" i="3" s="1"/>
  <c r="S102" i="3"/>
  <c r="T102" i="3" s="1"/>
  <c r="U102" i="3" s="1"/>
  <c r="Z102" i="3" s="1"/>
  <c r="L102" i="3"/>
  <c r="K102" i="3"/>
  <c r="H102" i="3"/>
  <c r="B102" i="3"/>
  <c r="AK101" i="3"/>
  <c r="AH101" i="3"/>
  <c r="AG101" i="3"/>
  <c r="AF101" i="3"/>
  <c r="AD101" i="3"/>
  <c r="AB101" i="3"/>
  <c r="AC101" i="3" s="1"/>
  <c r="S101" i="3"/>
  <c r="T101" i="3" s="1"/>
  <c r="L101" i="3"/>
  <c r="K101" i="3"/>
  <c r="H101" i="3"/>
  <c r="B101" i="3"/>
  <c r="AK100" i="3"/>
  <c r="AH100" i="3"/>
  <c r="AG100" i="3"/>
  <c r="AF100" i="3"/>
  <c r="AD100" i="3"/>
  <c r="AB100" i="3"/>
  <c r="AC100" i="3" s="1"/>
  <c r="S100" i="3"/>
  <c r="T100" i="3" s="1"/>
  <c r="L100" i="3"/>
  <c r="K100" i="3"/>
  <c r="H100" i="3"/>
  <c r="B100" i="3"/>
  <c r="AK99" i="3"/>
  <c r="AH99" i="3"/>
  <c r="AG99" i="3"/>
  <c r="AF99" i="3"/>
  <c r="AD99" i="3"/>
  <c r="AB99" i="3"/>
  <c r="AC99" i="3" s="1"/>
  <c r="S99" i="3"/>
  <c r="T99" i="3" s="1"/>
  <c r="L99" i="3"/>
  <c r="K99" i="3"/>
  <c r="H99" i="3"/>
  <c r="B99" i="3"/>
  <c r="AK98" i="3"/>
  <c r="AH98" i="3"/>
  <c r="AG98" i="3"/>
  <c r="AF98" i="3"/>
  <c r="AD98" i="3"/>
  <c r="AB98" i="3"/>
  <c r="AC98" i="3" s="1"/>
  <c r="S98" i="3"/>
  <c r="T98" i="3" s="1"/>
  <c r="U98" i="3" s="1"/>
  <c r="Z98" i="3" s="1"/>
  <c r="L98" i="3"/>
  <c r="K98" i="3"/>
  <c r="H98" i="3"/>
  <c r="B98" i="3"/>
  <c r="AK97" i="3"/>
  <c r="AH97" i="3"/>
  <c r="AG97" i="3"/>
  <c r="AF97" i="3"/>
  <c r="AD97" i="3"/>
  <c r="AB97" i="3"/>
  <c r="AC97" i="3" s="1"/>
  <c r="S97" i="3"/>
  <c r="T97" i="3" s="1"/>
  <c r="L97" i="3"/>
  <c r="K97" i="3"/>
  <c r="H97" i="3"/>
  <c r="B97" i="3"/>
  <c r="AK96" i="3"/>
  <c r="AH96" i="3"/>
  <c r="AG96" i="3"/>
  <c r="AF96" i="3"/>
  <c r="AD96" i="3"/>
  <c r="AB96" i="3"/>
  <c r="AC96" i="3" s="1"/>
  <c r="S96" i="3"/>
  <c r="T96" i="3" s="1"/>
  <c r="L96" i="3"/>
  <c r="K96" i="3"/>
  <c r="H96" i="3"/>
  <c r="B96" i="3"/>
  <c r="AK95" i="3"/>
  <c r="AH95" i="3"/>
  <c r="AG95" i="3"/>
  <c r="AF95" i="3"/>
  <c r="AD95" i="3"/>
  <c r="AB95" i="3"/>
  <c r="AC95" i="3" s="1"/>
  <c r="S95" i="3"/>
  <c r="T95" i="3" s="1"/>
  <c r="U95" i="3" s="1"/>
  <c r="Z95" i="3" s="1"/>
  <c r="L95" i="3"/>
  <c r="K95" i="3"/>
  <c r="H95" i="3"/>
  <c r="B95" i="3"/>
  <c r="AK94" i="3"/>
  <c r="AH94" i="3"/>
  <c r="AG94" i="3"/>
  <c r="AF94" i="3"/>
  <c r="AD94" i="3"/>
  <c r="AB94" i="3"/>
  <c r="AC94" i="3" s="1"/>
  <c r="S94" i="3"/>
  <c r="T94" i="3" s="1"/>
  <c r="L94" i="3"/>
  <c r="K94" i="3"/>
  <c r="H94" i="3"/>
  <c r="B94" i="3"/>
  <c r="AK93" i="3"/>
  <c r="AH93" i="3"/>
  <c r="AG93" i="3"/>
  <c r="AF93" i="3"/>
  <c r="AD93" i="3"/>
  <c r="AB93" i="3"/>
  <c r="AC93" i="3" s="1"/>
  <c r="S93" i="3"/>
  <c r="T93" i="3" s="1"/>
  <c r="L93" i="3"/>
  <c r="K93" i="3"/>
  <c r="H93" i="3"/>
  <c r="B93" i="3"/>
  <c r="AK92" i="3"/>
  <c r="AH92" i="3"/>
  <c r="AG92" i="3"/>
  <c r="AF92" i="3"/>
  <c r="AD92" i="3"/>
  <c r="AB92" i="3"/>
  <c r="AC92" i="3" s="1"/>
  <c r="S92" i="3"/>
  <c r="T92" i="3" s="1"/>
  <c r="L92" i="3"/>
  <c r="K92" i="3"/>
  <c r="H92" i="3"/>
  <c r="B92" i="3"/>
  <c r="AK91" i="3"/>
  <c r="AH91" i="3"/>
  <c r="AG91" i="3"/>
  <c r="AF91" i="3"/>
  <c r="AD91" i="3"/>
  <c r="AB91" i="3"/>
  <c r="AC91" i="3" s="1"/>
  <c r="S91" i="3"/>
  <c r="T91" i="3" s="1"/>
  <c r="U91" i="3" s="1"/>
  <c r="Z91" i="3" s="1"/>
  <c r="L91" i="3"/>
  <c r="K91" i="3"/>
  <c r="H91" i="3"/>
  <c r="B91" i="3"/>
  <c r="AK90" i="3"/>
  <c r="AH90" i="3"/>
  <c r="AG90" i="3"/>
  <c r="AF90" i="3"/>
  <c r="AD90" i="3"/>
  <c r="AB90" i="3"/>
  <c r="AC90" i="3" s="1"/>
  <c r="T90" i="3"/>
  <c r="V90" i="3" s="1"/>
  <c r="Y90" i="3" s="1"/>
  <c r="AA90" i="3" s="1"/>
  <c r="S90" i="3"/>
  <c r="L90" i="3"/>
  <c r="K90" i="3"/>
  <c r="H90" i="3"/>
  <c r="B90" i="3"/>
  <c r="AK89" i="3"/>
  <c r="AH89" i="3"/>
  <c r="AG89" i="3"/>
  <c r="AF89" i="3"/>
  <c r="AD89" i="3"/>
  <c r="AB89" i="3"/>
  <c r="AC89" i="3" s="1"/>
  <c r="S89" i="3"/>
  <c r="T89" i="3" s="1"/>
  <c r="V89" i="3" s="1"/>
  <c r="L89" i="3"/>
  <c r="K89" i="3"/>
  <c r="H89" i="3"/>
  <c r="B89" i="3"/>
  <c r="AK88" i="3"/>
  <c r="AH88" i="3"/>
  <c r="AG88" i="3"/>
  <c r="AF88" i="3"/>
  <c r="AD88" i="3"/>
  <c r="AB88" i="3"/>
  <c r="AC88" i="3" s="1"/>
  <c r="S88" i="3"/>
  <c r="T88" i="3" s="1"/>
  <c r="V88" i="3" s="1"/>
  <c r="W88" i="3" s="1"/>
  <c r="L88" i="3"/>
  <c r="K88" i="3"/>
  <c r="H88" i="3"/>
  <c r="B88" i="3"/>
  <c r="AK87" i="3"/>
  <c r="AH87" i="3"/>
  <c r="AG87" i="3"/>
  <c r="AF87" i="3"/>
  <c r="AD87" i="3"/>
  <c r="AB87" i="3"/>
  <c r="AC87" i="3" s="1"/>
  <c r="S87" i="3"/>
  <c r="T87" i="3" s="1"/>
  <c r="L87" i="3"/>
  <c r="K87" i="3"/>
  <c r="H87" i="3"/>
  <c r="B87" i="3"/>
  <c r="AK86" i="3"/>
  <c r="AH86" i="3"/>
  <c r="AG86" i="3"/>
  <c r="AF86" i="3"/>
  <c r="AD86" i="3"/>
  <c r="AB86" i="3"/>
  <c r="AC86" i="3" s="1"/>
  <c r="S86" i="3"/>
  <c r="T86" i="3" s="1"/>
  <c r="L86" i="3"/>
  <c r="K86" i="3"/>
  <c r="H86" i="3"/>
  <c r="B86" i="3"/>
  <c r="AK85" i="3"/>
  <c r="AH85" i="3"/>
  <c r="AG85" i="3"/>
  <c r="AF85" i="3"/>
  <c r="AD85" i="3"/>
  <c r="AB85" i="3"/>
  <c r="AC85" i="3" s="1"/>
  <c r="S85" i="3"/>
  <c r="T85" i="3" s="1"/>
  <c r="L85" i="3"/>
  <c r="K85" i="3"/>
  <c r="H85" i="3"/>
  <c r="B85" i="3"/>
  <c r="AK84" i="3"/>
  <c r="AH84" i="3"/>
  <c r="AG84" i="3"/>
  <c r="AF84" i="3"/>
  <c r="AD84" i="3"/>
  <c r="AB84" i="3"/>
  <c r="AC84" i="3" s="1"/>
  <c r="S84" i="3"/>
  <c r="T84" i="3" s="1"/>
  <c r="V84" i="3" s="1"/>
  <c r="W84" i="3" s="1"/>
  <c r="L84" i="3"/>
  <c r="K84" i="3"/>
  <c r="H84" i="3"/>
  <c r="B84" i="3"/>
  <c r="AK83" i="3"/>
  <c r="AH83" i="3"/>
  <c r="AG83" i="3"/>
  <c r="AF83" i="3"/>
  <c r="AD83" i="3"/>
  <c r="AB83" i="3"/>
  <c r="AC83" i="3" s="1"/>
  <c r="S83" i="3"/>
  <c r="T83" i="3" s="1"/>
  <c r="L83" i="3"/>
  <c r="K83" i="3"/>
  <c r="H83" i="3"/>
  <c r="B83" i="3"/>
  <c r="AK82" i="3"/>
  <c r="AH82" i="3"/>
  <c r="AG82" i="3"/>
  <c r="AF82" i="3"/>
  <c r="AD82" i="3"/>
  <c r="AB82" i="3"/>
  <c r="AC82" i="3" s="1"/>
  <c r="S82" i="3"/>
  <c r="T82" i="3" s="1"/>
  <c r="U82" i="3" s="1"/>
  <c r="Z82" i="3" s="1"/>
  <c r="L82" i="3"/>
  <c r="K82" i="3"/>
  <c r="H82" i="3"/>
  <c r="B82" i="3"/>
  <c r="AK81" i="3"/>
  <c r="AH81" i="3"/>
  <c r="AG81" i="3"/>
  <c r="AF81" i="3"/>
  <c r="AD81" i="3"/>
  <c r="AB81" i="3"/>
  <c r="AC81" i="3" s="1"/>
  <c r="S81" i="3"/>
  <c r="T81" i="3" s="1"/>
  <c r="V81" i="3" s="1"/>
  <c r="L81" i="3"/>
  <c r="K81" i="3"/>
  <c r="H81" i="3"/>
  <c r="B81" i="3"/>
  <c r="AK80" i="3"/>
  <c r="AH80" i="3"/>
  <c r="AG80" i="3"/>
  <c r="AF80" i="3"/>
  <c r="AD80" i="3"/>
  <c r="AB80" i="3"/>
  <c r="AC80" i="3" s="1"/>
  <c r="S80" i="3"/>
  <c r="T80" i="3" s="1"/>
  <c r="V80" i="3" s="1"/>
  <c r="L80" i="3"/>
  <c r="K80" i="3"/>
  <c r="H80" i="3"/>
  <c r="B80" i="3"/>
  <c r="AK79" i="3"/>
  <c r="AH79" i="3"/>
  <c r="AG79" i="3"/>
  <c r="AF79" i="3"/>
  <c r="AD79" i="3"/>
  <c r="AB79" i="3"/>
  <c r="AC79" i="3" s="1"/>
  <c r="S79" i="3"/>
  <c r="T79" i="3" s="1"/>
  <c r="U79" i="3" s="1"/>
  <c r="Z79" i="3" s="1"/>
  <c r="L79" i="3"/>
  <c r="K79" i="3"/>
  <c r="H79" i="3"/>
  <c r="B79" i="3"/>
  <c r="AK78" i="3"/>
  <c r="AH78" i="3"/>
  <c r="AG78" i="3"/>
  <c r="AF78" i="3"/>
  <c r="AD78" i="3"/>
  <c r="AB78" i="3"/>
  <c r="AC78" i="3" s="1"/>
  <c r="S78" i="3"/>
  <c r="T78" i="3" s="1"/>
  <c r="U78" i="3" s="1"/>
  <c r="Z78" i="3" s="1"/>
  <c r="L78" i="3"/>
  <c r="K78" i="3"/>
  <c r="H78" i="3"/>
  <c r="B78" i="3"/>
  <c r="AK77" i="3"/>
  <c r="AH77" i="3"/>
  <c r="AG77" i="3"/>
  <c r="AF77" i="3"/>
  <c r="AD77" i="3"/>
  <c r="AB77" i="3"/>
  <c r="AC77" i="3" s="1"/>
  <c r="S77" i="3"/>
  <c r="T77" i="3" s="1"/>
  <c r="V77" i="3" s="1"/>
  <c r="L77" i="3"/>
  <c r="K77" i="3"/>
  <c r="H77" i="3"/>
  <c r="B77" i="3"/>
  <c r="AK76" i="3"/>
  <c r="AH76" i="3"/>
  <c r="AG76" i="3"/>
  <c r="AF76" i="3"/>
  <c r="AD76" i="3"/>
  <c r="AB76" i="3"/>
  <c r="AC76" i="3" s="1"/>
  <c r="S76" i="3"/>
  <c r="T76" i="3" s="1"/>
  <c r="U76" i="3" s="1"/>
  <c r="Z76" i="3" s="1"/>
  <c r="L76" i="3"/>
  <c r="K76" i="3"/>
  <c r="H76" i="3"/>
  <c r="B76" i="3"/>
  <c r="AK75" i="3"/>
  <c r="AH75" i="3"/>
  <c r="AG75" i="3"/>
  <c r="AF75" i="3"/>
  <c r="AD75" i="3"/>
  <c r="AB75" i="3"/>
  <c r="AC75" i="3" s="1"/>
  <c r="S75" i="3"/>
  <c r="T75" i="3" s="1"/>
  <c r="U75" i="3" s="1"/>
  <c r="Z75" i="3" s="1"/>
  <c r="L75" i="3"/>
  <c r="K75" i="3"/>
  <c r="H75" i="3"/>
  <c r="B75" i="3"/>
  <c r="AK74" i="3"/>
  <c r="AH74" i="3"/>
  <c r="AG74" i="3"/>
  <c r="AF74" i="3"/>
  <c r="AD74" i="3"/>
  <c r="AB74" i="3"/>
  <c r="AC74" i="3" s="1"/>
  <c r="S74" i="3"/>
  <c r="T74" i="3" s="1"/>
  <c r="L74" i="3"/>
  <c r="K74" i="3"/>
  <c r="H74" i="3"/>
  <c r="B74" i="3"/>
  <c r="AK73" i="3"/>
  <c r="AH73" i="3"/>
  <c r="AG73" i="3"/>
  <c r="AF73" i="3"/>
  <c r="AD73" i="3"/>
  <c r="AB73" i="3"/>
  <c r="AC73" i="3" s="1"/>
  <c r="S73" i="3"/>
  <c r="T73" i="3" s="1"/>
  <c r="L73" i="3"/>
  <c r="K73" i="3"/>
  <c r="H73" i="3"/>
  <c r="B73" i="3"/>
  <c r="AK72" i="3"/>
  <c r="AH72" i="3"/>
  <c r="AG72" i="3"/>
  <c r="AF72" i="3"/>
  <c r="AD72" i="3"/>
  <c r="AB72" i="3"/>
  <c r="AC72" i="3" s="1"/>
  <c r="S72" i="3"/>
  <c r="T72" i="3" s="1"/>
  <c r="L72" i="3"/>
  <c r="K72" i="3"/>
  <c r="H72" i="3"/>
  <c r="B72" i="3"/>
  <c r="AK71" i="3"/>
  <c r="AH71" i="3"/>
  <c r="AG71" i="3"/>
  <c r="AF71" i="3"/>
  <c r="AD71" i="3"/>
  <c r="AB71" i="3"/>
  <c r="AC71" i="3" s="1"/>
  <c r="S71" i="3"/>
  <c r="T71" i="3" s="1"/>
  <c r="L71" i="3"/>
  <c r="K71" i="3"/>
  <c r="H71" i="3"/>
  <c r="B71" i="3"/>
  <c r="AK70" i="3"/>
  <c r="AH70" i="3"/>
  <c r="AG70" i="3"/>
  <c r="AF70" i="3"/>
  <c r="AD70" i="3"/>
  <c r="AB70" i="3"/>
  <c r="AC70" i="3" s="1"/>
  <c r="S70" i="3"/>
  <c r="T70" i="3" s="1"/>
  <c r="V70" i="3" s="1"/>
  <c r="W70" i="3" s="1"/>
  <c r="L70" i="3"/>
  <c r="K70" i="3"/>
  <c r="H70" i="3"/>
  <c r="B70" i="3"/>
  <c r="AK69" i="3"/>
  <c r="AH69" i="3"/>
  <c r="AG69" i="3"/>
  <c r="AF69" i="3"/>
  <c r="AD69" i="3"/>
  <c r="AB69" i="3"/>
  <c r="AC69" i="3" s="1"/>
  <c r="S69" i="3"/>
  <c r="T69" i="3" s="1"/>
  <c r="L69" i="3"/>
  <c r="K69" i="3"/>
  <c r="H69" i="3"/>
  <c r="B69" i="3"/>
  <c r="AK68" i="3"/>
  <c r="AH68" i="3"/>
  <c r="AG68" i="3"/>
  <c r="AF68" i="3"/>
  <c r="AD68" i="3"/>
  <c r="AB68" i="3"/>
  <c r="AC68" i="3" s="1"/>
  <c r="S68" i="3"/>
  <c r="T68" i="3" s="1"/>
  <c r="V68" i="3" s="1"/>
  <c r="L68" i="3"/>
  <c r="K68" i="3"/>
  <c r="H68" i="3"/>
  <c r="B68" i="3"/>
  <c r="AK67" i="3"/>
  <c r="AH67" i="3"/>
  <c r="AG67" i="3"/>
  <c r="AF67" i="3"/>
  <c r="AD67" i="3"/>
  <c r="AB67" i="3"/>
  <c r="AC67" i="3" s="1"/>
  <c r="S67" i="3"/>
  <c r="T67" i="3" s="1"/>
  <c r="L67" i="3"/>
  <c r="K67" i="3"/>
  <c r="H67" i="3"/>
  <c r="B67" i="3"/>
  <c r="AK66" i="3"/>
  <c r="AH66" i="3"/>
  <c r="AG66" i="3"/>
  <c r="AF66" i="3"/>
  <c r="AD66" i="3"/>
  <c r="AB66" i="3"/>
  <c r="AC66" i="3" s="1"/>
  <c r="S66" i="3"/>
  <c r="T66" i="3" s="1"/>
  <c r="U66" i="3" s="1"/>
  <c r="Z66" i="3" s="1"/>
  <c r="L66" i="3"/>
  <c r="K66" i="3"/>
  <c r="H66" i="3"/>
  <c r="B66" i="3"/>
  <c r="AK65" i="3"/>
  <c r="AH65" i="3"/>
  <c r="AG65" i="3"/>
  <c r="AF65" i="3"/>
  <c r="AD65" i="3"/>
  <c r="AB65" i="3"/>
  <c r="AC65" i="3" s="1"/>
  <c r="S65" i="3"/>
  <c r="T65" i="3" s="1"/>
  <c r="L65" i="3"/>
  <c r="K65" i="3"/>
  <c r="H65" i="3"/>
  <c r="B65" i="3"/>
  <c r="AK64" i="3"/>
  <c r="AH64" i="3"/>
  <c r="AG64" i="3"/>
  <c r="AF64" i="3"/>
  <c r="AD64" i="3"/>
  <c r="AB64" i="3"/>
  <c r="AC64" i="3" s="1"/>
  <c r="S64" i="3"/>
  <c r="T64" i="3" s="1"/>
  <c r="V64" i="3" s="1"/>
  <c r="L64" i="3"/>
  <c r="K64" i="3"/>
  <c r="H64" i="3"/>
  <c r="B64" i="3"/>
  <c r="AK63" i="3"/>
  <c r="AH63" i="3"/>
  <c r="AG63" i="3"/>
  <c r="AF63" i="3"/>
  <c r="AD63" i="3"/>
  <c r="AB63" i="3"/>
  <c r="AC63" i="3" s="1"/>
  <c r="S63" i="3"/>
  <c r="T63" i="3" s="1"/>
  <c r="U63" i="3" s="1"/>
  <c r="Z63" i="3" s="1"/>
  <c r="L63" i="3"/>
  <c r="K63" i="3"/>
  <c r="H63" i="3"/>
  <c r="B63" i="3"/>
  <c r="AK62" i="3"/>
  <c r="AH62" i="3"/>
  <c r="AG62" i="3"/>
  <c r="AF62" i="3"/>
  <c r="AD62" i="3"/>
  <c r="AB62" i="3"/>
  <c r="AC62" i="3" s="1"/>
  <c r="S62" i="3"/>
  <c r="T62" i="3" s="1"/>
  <c r="U62" i="3" s="1"/>
  <c r="Z62" i="3" s="1"/>
  <c r="L62" i="3"/>
  <c r="K62" i="3"/>
  <c r="H62" i="3"/>
  <c r="B62" i="3"/>
  <c r="AK61" i="3"/>
  <c r="AH61" i="3"/>
  <c r="AG61" i="3"/>
  <c r="AF61" i="3"/>
  <c r="AD61" i="3"/>
  <c r="AB61" i="3"/>
  <c r="AC61" i="3" s="1"/>
  <c r="S61" i="3"/>
  <c r="T61" i="3" s="1"/>
  <c r="L61" i="3"/>
  <c r="K61" i="3"/>
  <c r="H61" i="3"/>
  <c r="B61" i="3"/>
  <c r="AK60" i="3"/>
  <c r="AH60" i="3"/>
  <c r="AG60" i="3"/>
  <c r="AF60" i="3"/>
  <c r="AD60" i="3"/>
  <c r="AB60" i="3"/>
  <c r="AC60" i="3" s="1"/>
  <c r="S60" i="3"/>
  <c r="T60" i="3" s="1"/>
  <c r="L60" i="3"/>
  <c r="K60" i="3"/>
  <c r="H60" i="3"/>
  <c r="B60" i="3"/>
  <c r="AK59" i="3"/>
  <c r="AH59" i="3"/>
  <c r="AG59" i="3"/>
  <c r="AF59" i="3"/>
  <c r="AD59" i="3"/>
  <c r="AB59" i="3"/>
  <c r="AC59" i="3" s="1"/>
  <c r="S59" i="3"/>
  <c r="T59" i="3" s="1"/>
  <c r="U59" i="3" s="1"/>
  <c r="Z59" i="3" s="1"/>
  <c r="L59" i="3"/>
  <c r="K59" i="3"/>
  <c r="H59" i="3"/>
  <c r="B59" i="3"/>
  <c r="AK58" i="3"/>
  <c r="AH58" i="3"/>
  <c r="AG58" i="3"/>
  <c r="AF58" i="3"/>
  <c r="AD58" i="3"/>
  <c r="AB58" i="3"/>
  <c r="AC58" i="3" s="1"/>
  <c r="S58" i="3"/>
  <c r="T58" i="3" s="1"/>
  <c r="V58" i="3" s="1"/>
  <c r="W58" i="3" s="1"/>
  <c r="L58" i="3"/>
  <c r="K58" i="3"/>
  <c r="H58" i="3"/>
  <c r="B58" i="3"/>
  <c r="AK57" i="3"/>
  <c r="AH57" i="3"/>
  <c r="AG57" i="3"/>
  <c r="AF57" i="3"/>
  <c r="AD57" i="3"/>
  <c r="AB57" i="3"/>
  <c r="AC57" i="3" s="1"/>
  <c r="S57" i="3"/>
  <c r="T57" i="3" s="1"/>
  <c r="L57" i="3"/>
  <c r="K57" i="3"/>
  <c r="H57" i="3"/>
  <c r="B57" i="3"/>
  <c r="AK56" i="3"/>
  <c r="AH56" i="3"/>
  <c r="AG56" i="3"/>
  <c r="AF56" i="3"/>
  <c r="AD56" i="3"/>
  <c r="AB56" i="3"/>
  <c r="AC56" i="3" s="1"/>
  <c r="S56" i="3"/>
  <c r="T56" i="3" s="1"/>
  <c r="L56" i="3"/>
  <c r="K56" i="3"/>
  <c r="H56" i="3"/>
  <c r="B56" i="3"/>
  <c r="AK55" i="3"/>
  <c r="AH55" i="3"/>
  <c r="AG55" i="3"/>
  <c r="AF55" i="3"/>
  <c r="AD55" i="3"/>
  <c r="AB55" i="3"/>
  <c r="AC55" i="3" s="1"/>
  <c r="S55" i="3"/>
  <c r="T55" i="3" s="1"/>
  <c r="L55" i="3"/>
  <c r="K55" i="3"/>
  <c r="H55" i="3"/>
  <c r="B55" i="3"/>
  <c r="AK54" i="3"/>
  <c r="AH54" i="3"/>
  <c r="AG54" i="3"/>
  <c r="AF54" i="3"/>
  <c r="AD54" i="3"/>
  <c r="AB54" i="3"/>
  <c r="AC54" i="3" s="1"/>
  <c r="S54" i="3"/>
  <c r="T54" i="3" s="1"/>
  <c r="L54" i="3"/>
  <c r="K54" i="3"/>
  <c r="H54" i="3"/>
  <c r="B54" i="3"/>
  <c r="AK53" i="3"/>
  <c r="AH53" i="3"/>
  <c r="AG53" i="3"/>
  <c r="AF53" i="3"/>
  <c r="AD53" i="3"/>
  <c r="AB53" i="3"/>
  <c r="AC53" i="3" s="1"/>
  <c r="S53" i="3"/>
  <c r="T53" i="3" s="1"/>
  <c r="L53" i="3"/>
  <c r="K53" i="3"/>
  <c r="H53" i="3"/>
  <c r="B53" i="3"/>
  <c r="AK52" i="3"/>
  <c r="AH52" i="3"/>
  <c r="AG52" i="3"/>
  <c r="AF52" i="3"/>
  <c r="AD52" i="3"/>
  <c r="AB52" i="3"/>
  <c r="AC52" i="3" s="1"/>
  <c r="S52" i="3"/>
  <c r="T52" i="3" s="1"/>
  <c r="V52" i="3" s="1"/>
  <c r="W52" i="3" s="1"/>
  <c r="L52" i="3"/>
  <c r="K52" i="3"/>
  <c r="H52" i="3"/>
  <c r="B52" i="3"/>
  <c r="AK51" i="3"/>
  <c r="AH51" i="3"/>
  <c r="AG51" i="3"/>
  <c r="AF51" i="3"/>
  <c r="AD51" i="3"/>
  <c r="AB51" i="3"/>
  <c r="AC51" i="3" s="1"/>
  <c r="S51" i="3"/>
  <c r="T51" i="3" s="1"/>
  <c r="L51" i="3"/>
  <c r="K51" i="3"/>
  <c r="H51" i="3"/>
  <c r="B51" i="3"/>
  <c r="AK50" i="3"/>
  <c r="AH50" i="3"/>
  <c r="AG50" i="3"/>
  <c r="AF50" i="3"/>
  <c r="AD50" i="3"/>
  <c r="AB50" i="3"/>
  <c r="AC50" i="3" s="1"/>
  <c r="S50" i="3"/>
  <c r="T50" i="3" s="1"/>
  <c r="U50" i="3" s="1"/>
  <c r="Z50" i="3" s="1"/>
  <c r="L50" i="3"/>
  <c r="K50" i="3"/>
  <c r="H50" i="3"/>
  <c r="B50" i="3"/>
  <c r="AK49" i="3"/>
  <c r="AH49" i="3"/>
  <c r="AG49" i="3"/>
  <c r="AF49" i="3"/>
  <c r="AD49" i="3"/>
  <c r="AB49" i="3"/>
  <c r="AC49" i="3" s="1"/>
  <c r="T49" i="3"/>
  <c r="V49" i="3" s="1"/>
  <c r="S49" i="3"/>
  <c r="L49" i="3"/>
  <c r="K49" i="3"/>
  <c r="H49" i="3"/>
  <c r="B49" i="3"/>
  <c r="AK48" i="3"/>
  <c r="AH48" i="3"/>
  <c r="AG48" i="3"/>
  <c r="AF48" i="3"/>
  <c r="AD48" i="3"/>
  <c r="AB48" i="3"/>
  <c r="AC48" i="3" s="1"/>
  <c r="S48" i="3"/>
  <c r="T48" i="3" s="1"/>
  <c r="V48" i="3" s="1"/>
  <c r="L48" i="3"/>
  <c r="K48" i="3"/>
  <c r="H48" i="3"/>
  <c r="B48" i="3"/>
  <c r="AK47" i="3"/>
  <c r="AH47" i="3"/>
  <c r="AG47" i="3"/>
  <c r="AF47" i="3"/>
  <c r="AD47" i="3"/>
  <c r="AB47" i="3"/>
  <c r="AC47" i="3" s="1"/>
  <c r="S47" i="3"/>
  <c r="T47" i="3" s="1"/>
  <c r="L47" i="3"/>
  <c r="K47" i="3"/>
  <c r="H47" i="3"/>
  <c r="B47" i="3"/>
  <c r="AK46" i="3"/>
  <c r="AH46" i="3"/>
  <c r="AG46" i="3"/>
  <c r="AF46" i="3"/>
  <c r="AD46" i="3"/>
  <c r="AB46" i="3"/>
  <c r="AC46" i="3" s="1"/>
  <c r="S46" i="3"/>
  <c r="T46" i="3" s="1"/>
  <c r="U46" i="3" s="1"/>
  <c r="Z46" i="3" s="1"/>
  <c r="L46" i="3"/>
  <c r="K46" i="3"/>
  <c r="H46" i="3"/>
  <c r="B46" i="3"/>
  <c r="AK45" i="3"/>
  <c r="AH45" i="3"/>
  <c r="AG45" i="3"/>
  <c r="AF45" i="3"/>
  <c r="AD45" i="3"/>
  <c r="AB45" i="3"/>
  <c r="AC45" i="3" s="1"/>
  <c r="S45" i="3"/>
  <c r="T45" i="3" s="1"/>
  <c r="L45" i="3"/>
  <c r="K45" i="3"/>
  <c r="H45" i="3"/>
  <c r="B45" i="3"/>
  <c r="AK44" i="3"/>
  <c r="AH44" i="3"/>
  <c r="AG44" i="3"/>
  <c r="AF44" i="3"/>
  <c r="AD44" i="3"/>
  <c r="AB44" i="3"/>
  <c r="AC44" i="3" s="1"/>
  <c r="S44" i="3"/>
  <c r="T44" i="3" s="1"/>
  <c r="V44" i="3" s="1"/>
  <c r="Y44" i="3" s="1"/>
  <c r="AA44" i="3" s="1"/>
  <c r="L44" i="3"/>
  <c r="K44" i="3"/>
  <c r="H44" i="3"/>
  <c r="B44" i="3"/>
  <c r="AK43" i="3"/>
  <c r="AH43" i="3"/>
  <c r="AG43" i="3"/>
  <c r="AF43" i="3"/>
  <c r="AD43" i="3"/>
  <c r="AB43" i="3"/>
  <c r="AC43" i="3" s="1"/>
  <c r="S43" i="3"/>
  <c r="T43" i="3" s="1"/>
  <c r="U43" i="3" s="1"/>
  <c r="Z43" i="3" s="1"/>
  <c r="L43" i="3"/>
  <c r="K43" i="3"/>
  <c r="H43" i="3"/>
  <c r="B43" i="3"/>
  <c r="AK42" i="3"/>
  <c r="AH42" i="3"/>
  <c r="AG42" i="3"/>
  <c r="AF42" i="3"/>
  <c r="AD42" i="3"/>
  <c r="AB42" i="3"/>
  <c r="AC42" i="3" s="1"/>
  <c r="S42" i="3"/>
  <c r="T42" i="3" s="1"/>
  <c r="U42" i="3" s="1"/>
  <c r="Z42" i="3" s="1"/>
  <c r="L42" i="3"/>
  <c r="K42" i="3"/>
  <c r="H42" i="3"/>
  <c r="B42" i="3"/>
  <c r="AK41" i="3"/>
  <c r="AH41" i="3"/>
  <c r="AG41" i="3"/>
  <c r="AF41" i="3"/>
  <c r="AD41" i="3"/>
  <c r="AB41" i="3"/>
  <c r="AC41" i="3" s="1"/>
  <c r="S41" i="3"/>
  <c r="T41" i="3" s="1"/>
  <c r="V41" i="3" s="1"/>
  <c r="L41" i="3"/>
  <c r="K41" i="3"/>
  <c r="H41" i="3"/>
  <c r="B41" i="3"/>
  <c r="AK40" i="3"/>
  <c r="AH40" i="3"/>
  <c r="AG40" i="3"/>
  <c r="AF40" i="3"/>
  <c r="AD40" i="3"/>
  <c r="AB40" i="3"/>
  <c r="AC40" i="3" s="1"/>
  <c r="S40" i="3"/>
  <c r="T40" i="3" s="1"/>
  <c r="L40" i="3"/>
  <c r="K40" i="3"/>
  <c r="H40" i="3"/>
  <c r="B40" i="3"/>
  <c r="AK39" i="3"/>
  <c r="AH39" i="3"/>
  <c r="AG39" i="3"/>
  <c r="AF39" i="3"/>
  <c r="AD39" i="3"/>
  <c r="AB39" i="3"/>
  <c r="AC39" i="3" s="1"/>
  <c r="S39" i="3"/>
  <c r="T39" i="3" s="1"/>
  <c r="L39" i="3"/>
  <c r="K39" i="3"/>
  <c r="H39" i="3"/>
  <c r="B39" i="3"/>
  <c r="AK38" i="3"/>
  <c r="AH38" i="3"/>
  <c r="AG38" i="3"/>
  <c r="AF38" i="3"/>
  <c r="AD38" i="3"/>
  <c r="AB38" i="3"/>
  <c r="AC38" i="3" s="1"/>
  <c r="S38" i="3"/>
  <c r="T38" i="3" s="1"/>
  <c r="U38" i="3" s="1"/>
  <c r="Z38" i="3" s="1"/>
  <c r="L38" i="3"/>
  <c r="K38" i="3"/>
  <c r="H38" i="3"/>
  <c r="B38" i="3"/>
  <c r="AK37" i="3"/>
  <c r="AH37" i="3"/>
  <c r="AG37" i="3"/>
  <c r="AF37" i="3"/>
  <c r="AD37" i="3"/>
  <c r="AB37" i="3"/>
  <c r="AC37" i="3" s="1"/>
  <c r="S37" i="3"/>
  <c r="T37" i="3" s="1"/>
  <c r="L37" i="3"/>
  <c r="K37" i="3"/>
  <c r="H37" i="3"/>
  <c r="B37" i="3"/>
  <c r="AK36" i="3"/>
  <c r="AH36" i="3"/>
  <c r="AG36" i="3"/>
  <c r="AF36" i="3"/>
  <c r="AD36" i="3"/>
  <c r="AB36" i="3"/>
  <c r="AC36" i="3" s="1"/>
  <c r="S36" i="3"/>
  <c r="T36" i="3" s="1"/>
  <c r="V36" i="3" s="1"/>
  <c r="W36" i="3" s="1"/>
  <c r="L36" i="3"/>
  <c r="K36" i="3"/>
  <c r="H36" i="3"/>
  <c r="B36" i="3"/>
  <c r="AK35" i="3"/>
  <c r="AH35" i="3"/>
  <c r="AG35" i="3"/>
  <c r="AF35" i="3"/>
  <c r="AD35" i="3"/>
  <c r="AB35" i="3"/>
  <c r="AC35" i="3" s="1"/>
  <c r="S35" i="3"/>
  <c r="T35" i="3" s="1"/>
  <c r="L35" i="3"/>
  <c r="K35" i="3"/>
  <c r="H35" i="3"/>
  <c r="B35" i="3"/>
  <c r="AK34" i="3"/>
  <c r="AH34" i="3"/>
  <c r="AG34" i="3"/>
  <c r="AF34" i="3"/>
  <c r="AD34" i="3"/>
  <c r="AB34" i="3"/>
  <c r="AC34" i="3" s="1"/>
  <c r="S34" i="3"/>
  <c r="T34" i="3" s="1"/>
  <c r="U34" i="3" s="1"/>
  <c r="Z34" i="3" s="1"/>
  <c r="L34" i="3"/>
  <c r="K34" i="3"/>
  <c r="H34" i="3"/>
  <c r="B34" i="3"/>
  <c r="AK33" i="3"/>
  <c r="AH33" i="3"/>
  <c r="AG33" i="3"/>
  <c r="AF33" i="3"/>
  <c r="AD33" i="3"/>
  <c r="AB33" i="3"/>
  <c r="AC33" i="3" s="1"/>
  <c r="S33" i="3"/>
  <c r="T33" i="3" s="1"/>
  <c r="L33" i="3"/>
  <c r="K33" i="3"/>
  <c r="H33" i="3"/>
  <c r="B33" i="3"/>
  <c r="AK32" i="3"/>
  <c r="AH32" i="3"/>
  <c r="AG32" i="3"/>
  <c r="AF32" i="3"/>
  <c r="AD32" i="3"/>
  <c r="AB32" i="3"/>
  <c r="AC32" i="3" s="1"/>
  <c r="T32" i="3"/>
  <c r="V32" i="3" s="1"/>
  <c r="X32" i="3" s="1"/>
  <c r="S32" i="3"/>
  <c r="L32" i="3"/>
  <c r="K32" i="3"/>
  <c r="H32" i="3"/>
  <c r="B32" i="3"/>
  <c r="AK31" i="3"/>
  <c r="AH31" i="3"/>
  <c r="AG31" i="3"/>
  <c r="AF31" i="3"/>
  <c r="AD31" i="3"/>
  <c r="AB31" i="3"/>
  <c r="AC31" i="3" s="1"/>
  <c r="S31" i="3"/>
  <c r="T31" i="3" s="1"/>
  <c r="U31" i="3" s="1"/>
  <c r="Z31" i="3" s="1"/>
  <c r="L31" i="3"/>
  <c r="K31" i="3"/>
  <c r="H31" i="3"/>
  <c r="B31" i="3"/>
  <c r="AK30" i="3"/>
  <c r="AH30" i="3"/>
  <c r="AG30" i="3"/>
  <c r="AF30" i="3"/>
  <c r="AD30" i="3"/>
  <c r="AB30" i="3"/>
  <c r="AC30" i="3" s="1"/>
  <c r="S30" i="3"/>
  <c r="T30" i="3" s="1"/>
  <c r="L30" i="3"/>
  <c r="K30" i="3"/>
  <c r="H30" i="3"/>
  <c r="B30" i="3"/>
  <c r="AK29" i="3"/>
  <c r="AH29" i="3"/>
  <c r="AG29" i="3"/>
  <c r="AF29" i="3"/>
  <c r="AD29" i="3"/>
  <c r="AB29" i="3"/>
  <c r="AC29" i="3" s="1"/>
  <c r="S29" i="3"/>
  <c r="T29" i="3" s="1"/>
  <c r="V29" i="3" s="1"/>
  <c r="L29" i="3"/>
  <c r="K29" i="3"/>
  <c r="H29" i="3"/>
  <c r="B29" i="3"/>
  <c r="AK28" i="3"/>
  <c r="AH28" i="3"/>
  <c r="AG28" i="3"/>
  <c r="AF28" i="3"/>
  <c r="AD28" i="3"/>
  <c r="AB28" i="3"/>
  <c r="AC28" i="3" s="1"/>
  <c r="S28" i="3"/>
  <c r="T28" i="3" s="1"/>
  <c r="L28" i="3"/>
  <c r="K28" i="3"/>
  <c r="H28" i="3"/>
  <c r="B28" i="3"/>
  <c r="AK27" i="3"/>
  <c r="AH27" i="3"/>
  <c r="AG27" i="3"/>
  <c r="AF27" i="3"/>
  <c r="AD27" i="3"/>
  <c r="AB27" i="3"/>
  <c r="AC27" i="3" s="1"/>
  <c r="S27" i="3"/>
  <c r="T27" i="3" s="1"/>
  <c r="U27" i="3" s="1"/>
  <c r="Z27" i="3" s="1"/>
  <c r="L27" i="3"/>
  <c r="K27" i="3"/>
  <c r="H27" i="3"/>
  <c r="B27" i="3"/>
  <c r="AK26" i="3"/>
  <c r="AH26" i="3"/>
  <c r="AG26" i="3"/>
  <c r="AF26" i="3"/>
  <c r="AD26" i="3"/>
  <c r="AB26" i="3"/>
  <c r="AC26" i="3" s="1"/>
  <c r="S26" i="3"/>
  <c r="T26" i="3" s="1"/>
  <c r="L26" i="3"/>
  <c r="K26" i="3"/>
  <c r="H26" i="3"/>
  <c r="B26" i="3"/>
  <c r="AK25" i="3"/>
  <c r="AH25" i="3"/>
  <c r="AG25" i="3"/>
  <c r="AF25" i="3"/>
  <c r="AD25" i="3"/>
  <c r="AB25" i="3"/>
  <c r="AC25" i="3" s="1"/>
  <c r="S25" i="3"/>
  <c r="T25" i="3" s="1"/>
  <c r="V25" i="3" s="1"/>
  <c r="L25" i="3"/>
  <c r="K25" i="3"/>
  <c r="H25" i="3"/>
  <c r="B25" i="3"/>
  <c r="AK24" i="3"/>
  <c r="AH24" i="3"/>
  <c r="AG24" i="3"/>
  <c r="AF24" i="3"/>
  <c r="AD24" i="3"/>
  <c r="AB24" i="3"/>
  <c r="AC24" i="3" s="1"/>
  <c r="S24" i="3"/>
  <c r="T24" i="3" s="1"/>
  <c r="L24" i="3"/>
  <c r="K24" i="3"/>
  <c r="H24" i="3"/>
  <c r="B24" i="3"/>
  <c r="AK23" i="3"/>
  <c r="AH23" i="3"/>
  <c r="AG23" i="3"/>
  <c r="AF23" i="3"/>
  <c r="AD23" i="3"/>
  <c r="AB23" i="3"/>
  <c r="AC23" i="3" s="1"/>
  <c r="S23" i="3"/>
  <c r="T23" i="3" s="1"/>
  <c r="U23" i="3" s="1"/>
  <c r="Z23" i="3" s="1"/>
  <c r="L23" i="3"/>
  <c r="K23" i="3"/>
  <c r="H23" i="3"/>
  <c r="B23" i="3"/>
  <c r="AK22" i="3"/>
  <c r="AH22" i="3"/>
  <c r="AG22" i="3"/>
  <c r="AF22" i="3"/>
  <c r="AD22" i="3"/>
  <c r="AB22" i="3"/>
  <c r="AC22" i="3" s="1"/>
  <c r="S22" i="3"/>
  <c r="T22" i="3" s="1"/>
  <c r="L22" i="3"/>
  <c r="K22" i="3"/>
  <c r="H22" i="3"/>
  <c r="B22" i="3"/>
  <c r="AK21" i="3"/>
  <c r="AH21" i="3"/>
  <c r="AG21" i="3"/>
  <c r="AF21" i="3"/>
  <c r="AD21" i="3"/>
  <c r="AB21" i="3"/>
  <c r="AC21" i="3" s="1"/>
  <c r="S21" i="3"/>
  <c r="T21" i="3" s="1"/>
  <c r="U21" i="3" s="1"/>
  <c r="Z21" i="3" s="1"/>
  <c r="L21" i="3"/>
  <c r="K21" i="3"/>
  <c r="H21" i="3"/>
  <c r="B21" i="3"/>
  <c r="AK20" i="3"/>
  <c r="AH20" i="3"/>
  <c r="AG20" i="3"/>
  <c r="AF20" i="3"/>
  <c r="AD20" i="3"/>
  <c r="AB20" i="3"/>
  <c r="AC20" i="3" s="1"/>
  <c r="S20" i="3"/>
  <c r="T20" i="3" s="1"/>
  <c r="L20" i="3"/>
  <c r="K20" i="3"/>
  <c r="H20" i="3"/>
  <c r="B20" i="3"/>
  <c r="AK19" i="3"/>
  <c r="AH19" i="3"/>
  <c r="AG19" i="3"/>
  <c r="AF19" i="3"/>
  <c r="AD19" i="3"/>
  <c r="AB19" i="3"/>
  <c r="AC19" i="3" s="1"/>
  <c r="S19" i="3"/>
  <c r="T19" i="3" s="1"/>
  <c r="L19" i="3"/>
  <c r="K19" i="3"/>
  <c r="H19" i="3"/>
  <c r="B19" i="3"/>
  <c r="AK18" i="3"/>
  <c r="AH18" i="3"/>
  <c r="AG18" i="3"/>
  <c r="AF18" i="3"/>
  <c r="AD18" i="3"/>
  <c r="AB18" i="3"/>
  <c r="AC18" i="3" s="1"/>
  <c r="S18" i="3"/>
  <c r="T18" i="3" s="1"/>
  <c r="U18" i="3" s="1"/>
  <c r="Z18" i="3" s="1"/>
  <c r="L18" i="3"/>
  <c r="K18" i="3"/>
  <c r="H18" i="3"/>
  <c r="B18" i="3"/>
  <c r="AK17" i="3"/>
  <c r="AH17" i="3"/>
  <c r="AG17" i="3"/>
  <c r="AF17" i="3"/>
  <c r="AD17" i="3"/>
  <c r="AB17" i="3"/>
  <c r="AC17" i="3" s="1"/>
  <c r="S17" i="3"/>
  <c r="T17" i="3" s="1"/>
  <c r="L17" i="3"/>
  <c r="K17" i="3"/>
  <c r="H17" i="3"/>
  <c r="B17" i="3"/>
  <c r="AK16" i="3"/>
  <c r="AH16" i="3"/>
  <c r="AG16" i="3"/>
  <c r="AF16" i="3"/>
  <c r="AD16" i="3"/>
  <c r="AB16" i="3"/>
  <c r="AC16" i="3" s="1"/>
  <c r="S16" i="3"/>
  <c r="T16" i="3" s="1"/>
  <c r="L16" i="3"/>
  <c r="K16" i="3"/>
  <c r="H16" i="3"/>
  <c r="B16" i="3"/>
  <c r="AK15" i="3"/>
  <c r="AH15" i="3"/>
  <c r="AG15" i="3"/>
  <c r="AF15" i="3"/>
  <c r="AD15" i="3"/>
  <c r="AB15" i="3"/>
  <c r="AC15" i="3" s="1"/>
  <c r="S15" i="3"/>
  <c r="T15" i="3" s="1"/>
  <c r="L15" i="3"/>
  <c r="K15" i="3"/>
  <c r="H15" i="3"/>
  <c r="B15" i="3"/>
  <c r="AK14" i="3"/>
  <c r="AH14" i="3"/>
  <c r="AG14" i="3"/>
  <c r="AF14" i="3"/>
  <c r="AD14" i="3"/>
  <c r="AB14" i="3"/>
  <c r="AC14" i="3" s="1"/>
  <c r="S14" i="3"/>
  <c r="T14" i="3" s="1"/>
  <c r="U14" i="3" s="1"/>
  <c r="Z14" i="3" s="1"/>
  <c r="L14" i="3"/>
  <c r="K14" i="3"/>
  <c r="H14" i="3"/>
  <c r="B14" i="3"/>
  <c r="AK13" i="3"/>
  <c r="AH13" i="3"/>
  <c r="AG13" i="3"/>
  <c r="AF13" i="3"/>
  <c r="AD13" i="3"/>
  <c r="AB13" i="3"/>
  <c r="AC13" i="3" s="1"/>
  <c r="S13" i="3"/>
  <c r="T13" i="3" s="1"/>
  <c r="L13" i="3"/>
  <c r="K13" i="3"/>
  <c r="H13" i="3"/>
  <c r="B13" i="3"/>
  <c r="AK12" i="3"/>
  <c r="AH12" i="3"/>
  <c r="AG12" i="3"/>
  <c r="AF12" i="3"/>
  <c r="AD12" i="3"/>
  <c r="AB12" i="3"/>
  <c r="AC12" i="3" s="1"/>
  <c r="S12" i="3"/>
  <c r="T12" i="3" s="1"/>
  <c r="L12" i="3"/>
  <c r="K12" i="3"/>
  <c r="H12" i="3"/>
  <c r="B12" i="3"/>
  <c r="AK11" i="3"/>
  <c r="AH11" i="3"/>
  <c r="AG11" i="3"/>
  <c r="AF11" i="3"/>
  <c r="AD11" i="3"/>
  <c r="AB11" i="3"/>
  <c r="AC11" i="3" s="1"/>
  <c r="S11" i="3"/>
  <c r="T11" i="3" s="1"/>
  <c r="U11" i="3" s="1"/>
  <c r="Z11" i="3" s="1"/>
  <c r="L11" i="3"/>
  <c r="K11" i="3"/>
  <c r="H11" i="3"/>
  <c r="B11" i="3"/>
  <c r="AK10" i="3"/>
  <c r="AH10" i="3"/>
  <c r="AG10" i="3"/>
  <c r="AF10" i="3"/>
  <c r="AD10" i="3"/>
  <c r="AB10" i="3"/>
  <c r="AC10" i="3" s="1"/>
  <c r="S10" i="3"/>
  <c r="T10" i="3" s="1"/>
  <c r="L10" i="3"/>
  <c r="K10" i="3"/>
  <c r="H10" i="3"/>
  <c r="B10" i="3"/>
  <c r="AK9" i="3"/>
  <c r="AH9" i="3"/>
  <c r="AG9" i="3"/>
  <c r="AF9" i="3"/>
  <c r="AD9" i="3"/>
  <c r="AB9" i="3"/>
  <c r="AC9" i="3" s="1"/>
  <c r="S9" i="3"/>
  <c r="T9" i="3" s="1"/>
  <c r="V9" i="3" s="1"/>
  <c r="L9" i="3"/>
  <c r="K9" i="3"/>
  <c r="H9" i="3"/>
  <c r="B9" i="3"/>
  <c r="AK8" i="3"/>
  <c r="AH8" i="3"/>
  <c r="AG8" i="3"/>
  <c r="AF8" i="3"/>
  <c r="AD8" i="3"/>
  <c r="AB8" i="3"/>
  <c r="AC8" i="3" s="1"/>
  <c r="S8" i="3"/>
  <c r="T8" i="3" s="1"/>
  <c r="L8" i="3"/>
  <c r="K8" i="3"/>
  <c r="H8" i="3"/>
  <c r="B8" i="3"/>
  <c r="AK7" i="3"/>
  <c r="AH7" i="3"/>
  <c r="AG7" i="3"/>
  <c r="AF7" i="3"/>
  <c r="AD7" i="3"/>
  <c r="AC7" i="3"/>
  <c r="AB7" i="3"/>
  <c r="S7" i="3"/>
  <c r="T7" i="3" s="1"/>
  <c r="L7" i="3"/>
  <c r="K7" i="3"/>
  <c r="H7" i="3"/>
  <c r="B7" i="3"/>
  <c r="AK6" i="3"/>
  <c r="AH6" i="3"/>
  <c r="AG6" i="3"/>
  <c r="AF6" i="3"/>
  <c r="AD6" i="3"/>
  <c r="AB6" i="3"/>
  <c r="AC6" i="3" s="1"/>
  <c r="S6" i="3"/>
  <c r="T6" i="3" s="1"/>
  <c r="L6" i="3"/>
  <c r="K6" i="3"/>
  <c r="H6" i="3"/>
  <c r="B6" i="3"/>
  <c r="AK5" i="3"/>
  <c r="AH5" i="3"/>
  <c r="AG5" i="3"/>
  <c r="AF5" i="3"/>
  <c r="AD5" i="3"/>
  <c r="AB5" i="3"/>
  <c r="AC5" i="3" s="1"/>
  <c r="S5" i="3"/>
  <c r="T5" i="3" s="1"/>
  <c r="L5" i="3"/>
  <c r="K5" i="3"/>
  <c r="H5" i="3"/>
  <c r="B5" i="3"/>
  <c r="AK4" i="3"/>
  <c r="AH4" i="3"/>
  <c r="AG4" i="3"/>
  <c r="AF4" i="3"/>
  <c r="AD4" i="3"/>
  <c r="AB4" i="3"/>
  <c r="AC4" i="3" s="1"/>
  <c r="S4" i="3"/>
  <c r="T4" i="3" s="1"/>
  <c r="L4" i="3"/>
  <c r="K4" i="3"/>
  <c r="H4" i="3"/>
  <c r="B4" i="3"/>
  <c r="AG3" i="3"/>
  <c r="AH3" i="3" s="1"/>
  <c r="AF3" i="3"/>
  <c r="AB3" i="3"/>
  <c r="AC3" i="3" s="1"/>
  <c r="L3" i="3"/>
  <c r="S3" i="3" s="1"/>
  <c r="K3" i="3"/>
  <c r="H3" i="3"/>
  <c r="B3" i="3"/>
  <c r="AG2" i="3"/>
  <c r="AH2" i="3" s="1"/>
  <c r="AF2" i="3"/>
  <c r="AB2" i="3"/>
  <c r="AC2" i="3" s="1"/>
  <c r="L2" i="3"/>
  <c r="K2" i="3"/>
  <c r="S2" i="3" s="1"/>
  <c r="T2" i="3" s="1"/>
  <c r="H2" i="3"/>
  <c r="B2" i="3"/>
  <c r="V236" i="5" l="1"/>
  <c r="O236" i="5"/>
  <c r="H236" i="5"/>
  <c r="C236" i="5"/>
  <c r="P236" i="5"/>
  <c r="H151" i="4"/>
  <c r="J151" i="4"/>
  <c r="L151" i="4" s="1"/>
  <c r="I168" i="4"/>
  <c r="I45" i="4"/>
  <c r="H50" i="4"/>
  <c r="H62" i="4"/>
  <c r="J108" i="4"/>
  <c r="L108" i="4" s="1"/>
  <c r="J127" i="4"/>
  <c r="L127" i="4" s="1"/>
  <c r="J168" i="4"/>
  <c r="L168" i="4" s="1"/>
  <c r="U117" i="5"/>
  <c r="U149" i="5"/>
  <c r="V219" i="5"/>
  <c r="J60" i="4"/>
  <c r="L60" i="4" s="1"/>
  <c r="J161" i="4"/>
  <c r="L161" i="4" s="1"/>
  <c r="J183" i="4"/>
  <c r="L183" i="4" s="1"/>
  <c r="U409" i="5"/>
  <c r="V218" i="3"/>
  <c r="I127" i="4"/>
  <c r="I62" i="4"/>
  <c r="W219" i="5"/>
  <c r="U217" i="3"/>
  <c r="Z217" i="3" s="1"/>
  <c r="H81" i="4"/>
  <c r="U5" i="5"/>
  <c r="U28" i="5"/>
  <c r="A47" i="5"/>
  <c r="H47" i="5" s="1"/>
  <c r="A79" i="5"/>
  <c r="G79" i="5" s="1"/>
  <c r="U91" i="5"/>
  <c r="U163" i="5"/>
  <c r="U245" i="5"/>
  <c r="U301" i="5"/>
  <c r="A391" i="5"/>
  <c r="H391" i="5" s="1"/>
  <c r="G412" i="5"/>
  <c r="A453" i="5"/>
  <c r="H82" i="4"/>
  <c r="V32" i="5"/>
  <c r="A13" i="5"/>
  <c r="M79" i="5"/>
  <c r="A119" i="5"/>
  <c r="C119" i="5" s="1"/>
  <c r="F379" i="5"/>
  <c r="N379" i="5" s="1"/>
  <c r="M391" i="5"/>
  <c r="H412" i="5"/>
  <c r="A447" i="5"/>
  <c r="M453" i="5"/>
  <c r="A501" i="5"/>
  <c r="J94" i="4"/>
  <c r="L94" i="4" s="1"/>
  <c r="U32" i="5"/>
  <c r="H219" i="5"/>
  <c r="X301" i="3"/>
  <c r="I47" i="4"/>
  <c r="J69" i="4"/>
  <c r="L69" i="4" s="1"/>
  <c r="I105" i="4"/>
  <c r="A17" i="5"/>
  <c r="M119" i="5"/>
  <c r="A216" i="5"/>
  <c r="P216" i="5" s="1"/>
  <c r="U295" i="5"/>
  <c r="U407" i="5"/>
  <c r="M412" i="5"/>
  <c r="U425" i="5"/>
  <c r="M447" i="5"/>
  <c r="W466" i="5"/>
  <c r="M473" i="5"/>
  <c r="A42" i="5"/>
  <c r="M63" i="5"/>
  <c r="P93" i="5"/>
  <c r="A165" i="5"/>
  <c r="A254" i="5"/>
  <c r="H254" i="5" s="1"/>
  <c r="A386" i="5"/>
  <c r="O386" i="5" s="1"/>
  <c r="F2" i="4"/>
  <c r="V296" i="3"/>
  <c r="W296" i="3" s="1"/>
  <c r="H5" i="4"/>
  <c r="J61" i="4"/>
  <c r="L61" i="4" s="1"/>
  <c r="H90" i="4"/>
  <c r="U159" i="5"/>
  <c r="A276" i="5"/>
  <c r="A331" i="5"/>
  <c r="A488" i="5"/>
  <c r="O488" i="5" s="1"/>
  <c r="B409" i="5"/>
  <c r="V136" i="3"/>
  <c r="Y136" i="3" s="1"/>
  <c r="AA136" i="3" s="1"/>
  <c r="V316" i="3"/>
  <c r="Y316" i="3" s="1"/>
  <c r="AA316" i="3" s="1"/>
  <c r="A70" i="5"/>
  <c r="B70" i="5" s="1"/>
  <c r="A76" i="5"/>
  <c r="C76" i="5" s="1"/>
  <c r="C409" i="5"/>
  <c r="H186" i="4"/>
  <c r="P37" i="5"/>
  <c r="M70" i="5"/>
  <c r="M76" i="5"/>
  <c r="A108" i="5"/>
  <c r="H108" i="5" s="1"/>
  <c r="H135" i="5"/>
  <c r="M368" i="5"/>
  <c r="O409" i="5"/>
  <c r="I14" i="4"/>
  <c r="J135" i="4"/>
  <c r="L135" i="4" s="1"/>
  <c r="I174" i="4"/>
  <c r="I186" i="4"/>
  <c r="F32" i="5"/>
  <c r="N32" i="5" s="1"/>
  <c r="M44" i="5"/>
  <c r="M135" i="5"/>
  <c r="U375" i="5"/>
  <c r="A400" i="5"/>
  <c r="P409" i="5"/>
  <c r="V500" i="3"/>
  <c r="U500" i="3"/>
  <c r="Z500" i="3" s="1"/>
  <c r="U371" i="3"/>
  <c r="Z371" i="3" s="1"/>
  <c r="V371" i="3"/>
  <c r="Y371" i="3" s="1"/>
  <c r="AA371" i="3" s="1"/>
  <c r="U17" i="3"/>
  <c r="Z17" i="3" s="1"/>
  <c r="V17" i="3"/>
  <c r="U446" i="3"/>
  <c r="Z446" i="3" s="1"/>
  <c r="V446" i="3"/>
  <c r="H423" i="5"/>
  <c r="G423" i="5"/>
  <c r="V61" i="5"/>
  <c r="H61" i="5"/>
  <c r="G61" i="5"/>
  <c r="F61" i="5"/>
  <c r="N61" i="5" s="1"/>
  <c r="P61" i="5"/>
  <c r="V57" i="3"/>
  <c r="U57" i="3"/>
  <c r="Z57" i="3" s="1"/>
  <c r="Y493" i="3"/>
  <c r="AA493" i="3" s="1"/>
  <c r="AJ493" i="3" s="1"/>
  <c r="X493" i="3"/>
  <c r="W493" i="3"/>
  <c r="U356" i="3"/>
  <c r="Z356" i="3" s="1"/>
  <c r="V356" i="3"/>
  <c r="V330" i="3"/>
  <c r="U330" i="3"/>
  <c r="Z330" i="3" s="1"/>
  <c r="V455" i="3"/>
  <c r="W455" i="3" s="1"/>
  <c r="U455" i="3"/>
  <c r="Z455" i="3" s="1"/>
  <c r="P303" i="5"/>
  <c r="H303" i="5"/>
  <c r="G303" i="5"/>
  <c r="F303" i="5"/>
  <c r="N303" i="5" s="1"/>
  <c r="C303" i="5"/>
  <c r="U233" i="3"/>
  <c r="Z233" i="3" s="1"/>
  <c r="V233" i="3"/>
  <c r="V215" i="3"/>
  <c r="X215" i="3" s="1"/>
  <c r="U215" i="3"/>
  <c r="Z215" i="3" s="1"/>
  <c r="U487" i="3"/>
  <c r="Z487" i="3" s="1"/>
  <c r="V487" i="3"/>
  <c r="Y487" i="3" s="1"/>
  <c r="AA487" i="3" s="1"/>
  <c r="AJ487" i="3" s="1"/>
  <c r="V310" i="3"/>
  <c r="Y310" i="3" s="1"/>
  <c r="AA310" i="3" s="1"/>
  <c r="V336" i="3"/>
  <c r="V448" i="3"/>
  <c r="H16" i="4"/>
  <c r="J21" i="4"/>
  <c r="L21" i="4" s="1"/>
  <c r="J93" i="4"/>
  <c r="L93" i="4" s="1"/>
  <c r="H135" i="4"/>
  <c r="H183" i="4"/>
  <c r="M61" i="5"/>
  <c r="H93" i="5"/>
  <c r="U96" i="5"/>
  <c r="A123" i="5"/>
  <c r="U145" i="5"/>
  <c r="M161" i="5"/>
  <c r="U180" i="5"/>
  <c r="F236" i="5"/>
  <c r="N236" i="5" s="1"/>
  <c r="A258" i="5"/>
  <c r="A305" i="5"/>
  <c r="W305" i="5" s="1"/>
  <c r="M373" i="5"/>
  <c r="M378" i="5"/>
  <c r="M423" i="5"/>
  <c r="M469" i="5"/>
  <c r="C473" i="5"/>
  <c r="A493" i="5"/>
  <c r="G493" i="5" s="1"/>
  <c r="V138" i="3"/>
  <c r="Y138" i="3" s="1"/>
  <c r="AA138" i="3" s="1"/>
  <c r="AJ138" i="3" s="1"/>
  <c r="V267" i="3"/>
  <c r="J10" i="4"/>
  <c r="L10" i="4" s="1"/>
  <c r="I16" i="4"/>
  <c r="H45" i="4"/>
  <c r="I69" i="4"/>
  <c r="J79" i="4"/>
  <c r="L79" i="4" s="1"/>
  <c r="J140" i="4"/>
  <c r="L140" i="4" s="1"/>
  <c r="A25" i="5"/>
  <c r="U82" i="5"/>
  <c r="M93" i="5"/>
  <c r="V96" i="5"/>
  <c r="U101" i="5"/>
  <c r="U135" i="5"/>
  <c r="A146" i="5"/>
  <c r="V146" i="5" s="1"/>
  <c r="U165" i="5"/>
  <c r="G236" i="5"/>
  <c r="U253" i="5"/>
  <c r="G400" i="5"/>
  <c r="M441" i="5"/>
  <c r="J23" i="4"/>
  <c r="L23" i="4" s="1"/>
  <c r="Y313" i="3"/>
  <c r="AA313" i="3" s="1"/>
  <c r="AL313" i="3" s="1"/>
  <c r="AM313" i="3" s="1"/>
  <c r="U483" i="3"/>
  <c r="Z483" i="3" s="1"/>
  <c r="I15" i="4"/>
  <c r="H106" i="4"/>
  <c r="I114" i="4"/>
  <c r="I142" i="4"/>
  <c r="U61" i="5"/>
  <c r="O254" i="5"/>
  <c r="U305" i="5"/>
  <c r="U423" i="5"/>
  <c r="V227" i="3"/>
  <c r="V297" i="3"/>
  <c r="W297" i="3" s="1"/>
  <c r="V317" i="3"/>
  <c r="H12" i="4"/>
  <c r="J15" i="4"/>
  <c r="L15" i="4" s="1"/>
  <c r="H95" i="4"/>
  <c r="J114" i="4"/>
  <c r="L114" i="4" s="1"/>
  <c r="J134" i="4"/>
  <c r="L134" i="4" s="1"/>
  <c r="H137" i="4"/>
  <c r="J158" i="4"/>
  <c r="L158" i="4" s="1"/>
  <c r="U57" i="5"/>
  <c r="V93" i="5"/>
  <c r="C147" i="5"/>
  <c r="A173" i="5"/>
  <c r="C266" i="5"/>
  <c r="A289" i="5"/>
  <c r="G379" i="5"/>
  <c r="U185" i="3"/>
  <c r="Z185" i="3" s="1"/>
  <c r="W313" i="3"/>
  <c r="U373" i="5"/>
  <c r="V188" i="3"/>
  <c r="V281" i="3"/>
  <c r="Y281" i="3" s="1"/>
  <c r="AA281" i="3" s="1"/>
  <c r="X289" i="3"/>
  <c r="V359" i="3"/>
  <c r="Y359" i="3" s="1"/>
  <c r="AA359" i="3" s="1"/>
  <c r="H6" i="4"/>
  <c r="I12" i="4"/>
  <c r="I84" i="4"/>
  <c r="I95" i="4"/>
  <c r="I103" i="4"/>
  <c r="H163" i="4"/>
  <c r="H166" i="4"/>
  <c r="M8" i="5"/>
  <c r="M13" i="5"/>
  <c r="A73" i="5"/>
  <c r="P73" i="5" s="1"/>
  <c r="A90" i="5"/>
  <c r="W93" i="5"/>
  <c r="U108" i="5"/>
  <c r="F147" i="5"/>
  <c r="N147" i="5" s="1"/>
  <c r="U157" i="5"/>
  <c r="A292" i="5"/>
  <c r="W292" i="5" s="1"/>
  <c r="U311" i="5"/>
  <c r="U348" i="5"/>
  <c r="A375" i="5"/>
  <c r="C375" i="5" s="1"/>
  <c r="H379" i="5"/>
  <c r="C393" i="5"/>
  <c r="A421" i="5"/>
  <c r="O439" i="5"/>
  <c r="U339" i="3"/>
  <c r="Z339" i="3" s="1"/>
  <c r="U343" i="5"/>
  <c r="U357" i="5"/>
  <c r="U395" i="5"/>
  <c r="U469" i="5"/>
  <c r="V148" i="3"/>
  <c r="Y289" i="3"/>
  <c r="AA289" i="3" s="1"/>
  <c r="AL289" i="3" s="1"/>
  <c r="AM289" i="3" s="1"/>
  <c r="W301" i="3"/>
  <c r="H3" i="4"/>
  <c r="I6" i="4"/>
  <c r="H47" i="4"/>
  <c r="H68" i="4"/>
  <c r="J71" i="4"/>
  <c r="L71" i="4" s="1"/>
  <c r="J103" i="4"/>
  <c r="L103" i="4" s="1"/>
  <c r="J126" i="4"/>
  <c r="L126" i="4" s="1"/>
  <c r="I163" i="4"/>
  <c r="J169" i="4"/>
  <c r="L169" i="4" s="1"/>
  <c r="H172" i="4"/>
  <c r="C63" i="5"/>
  <c r="M73" i="5"/>
  <c r="A77" i="5"/>
  <c r="G147" i="5"/>
  <c r="U167" i="5"/>
  <c r="A197" i="5"/>
  <c r="F197" i="5" s="1"/>
  <c r="N197" i="5" s="1"/>
  <c r="U216" i="5"/>
  <c r="U233" i="5"/>
  <c r="U254" i="5"/>
  <c r="V311" i="5"/>
  <c r="A335" i="5"/>
  <c r="O335" i="5" s="1"/>
  <c r="U340" i="5"/>
  <c r="B349" i="5"/>
  <c r="A365" i="5"/>
  <c r="F365" i="5" s="1"/>
  <c r="N365" i="5" s="1"/>
  <c r="M379" i="5"/>
  <c r="A389" i="5"/>
  <c r="P389" i="5" s="1"/>
  <c r="G393" i="5"/>
  <c r="A415" i="5"/>
  <c r="B425" i="5"/>
  <c r="H428" i="5"/>
  <c r="U470" i="5"/>
  <c r="B23" i="5"/>
  <c r="C349" i="5"/>
  <c r="A372" i="5"/>
  <c r="P372" i="5" s="1"/>
  <c r="H393" i="5"/>
  <c r="C425" i="5"/>
  <c r="M428" i="5"/>
  <c r="M461" i="5"/>
  <c r="U489" i="5"/>
  <c r="A496" i="5"/>
  <c r="V496" i="5" s="1"/>
  <c r="M501" i="5"/>
  <c r="U25" i="3"/>
  <c r="Z25" i="3" s="1"/>
  <c r="U32" i="3"/>
  <c r="Z32" i="3" s="1"/>
  <c r="V46" i="3"/>
  <c r="X46" i="3" s="1"/>
  <c r="V122" i="3"/>
  <c r="Y122" i="3" s="1"/>
  <c r="AA122" i="3" s="1"/>
  <c r="V237" i="3"/>
  <c r="V241" i="3"/>
  <c r="Y241" i="3" s="1"/>
  <c r="AA241" i="3" s="1"/>
  <c r="V284" i="3"/>
  <c r="Y284" i="3" s="1"/>
  <c r="AA284" i="3" s="1"/>
  <c r="Y296" i="3"/>
  <c r="AA296" i="3" s="1"/>
  <c r="AI296" i="3" s="1"/>
  <c r="U323" i="3"/>
  <c r="Z323" i="3" s="1"/>
  <c r="U422" i="3"/>
  <c r="Z422" i="3" s="1"/>
  <c r="H154" i="4"/>
  <c r="H157" i="4"/>
  <c r="A9" i="5"/>
  <c r="P9" i="5" s="1"/>
  <c r="C23" i="5"/>
  <c r="A91" i="5"/>
  <c r="W91" i="5" s="1"/>
  <c r="A100" i="5"/>
  <c r="H100" i="5" s="1"/>
  <c r="A125" i="5"/>
  <c r="W125" i="5" s="1"/>
  <c r="U158" i="5"/>
  <c r="U250" i="5"/>
  <c r="A279" i="5"/>
  <c r="A285" i="5"/>
  <c r="C346" i="5"/>
  <c r="F349" i="5"/>
  <c r="N349" i="5" s="1"/>
  <c r="O379" i="5"/>
  <c r="M393" i="5"/>
  <c r="F425" i="5"/>
  <c r="N425" i="5" s="1"/>
  <c r="W439" i="5"/>
  <c r="M475" i="5"/>
  <c r="A480" i="5"/>
  <c r="I154" i="4"/>
  <c r="I157" i="4"/>
  <c r="M9" i="5"/>
  <c r="P23" i="5"/>
  <c r="F135" i="5"/>
  <c r="N135" i="5" s="1"/>
  <c r="A235" i="5"/>
  <c r="O235" i="5" s="1"/>
  <c r="F346" i="5"/>
  <c r="N346" i="5" s="1"/>
  <c r="M349" i="5"/>
  <c r="M372" i="5"/>
  <c r="P379" i="5"/>
  <c r="A385" i="5"/>
  <c r="F385" i="5" s="1"/>
  <c r="N385" i="5" s="1"/>
  <c r="O393" i="5"/>
  <c r="M416" i="5"/>
  <c r="M425" i="5"/>
  <c r="A445" i="5"/>
  <c r="A467" i="5"/>
  <c r="O475" i="5"/>
  <c r="H87" i="4"/>
  <c r="U70" i="3"/>
  <c r="Z70" i="3" s="1"/>
  <c r="V155" i="3"/>
  <c r="X155" i="3" s="1"/>
  <c r="I97" i="4"/>
  <c r="I165" i="4"/>
  <c r="H187" i="4"/>
  <c r="A15" i="5"/>
  <c r="F15" i="5" s="1"/>
  <c r="N15" i="5" s="1"/>
  <c r="A28" i="5"/>
  <c r="G28" i="5" s="1"/>
  <c r="M37" i="5"/>
  <c r="U42" i="5"/>
  <c r="V63" i="5"/>
  <c r="C74" i="5"/>
  <c r="U77" i="5"/>
  <c r="F96" i="5"/>
  <c r="N96" i="5" s="1"/>
  <c r="A117" i="5"/>
  <c r="G135" i="5"/>
  <c r="U147" i="5"/>
  <c r="A186" i="5"/>
  <c r="P186" i="5" s="1"/>
  <c r="G346" i="5"/>
  <c r="P475" i="5"/>
  <c r="M480" i="5"/>
  <c r="A441" i="5"/>
  <c r="V272" i="3"/>
  <c r="Y272" i="3" s="1"/>
  <c r="AA272" i="3" s="1"/>
  <c r="V372" i="3"/>
  <c r="Y372" i="3" s="1"/>
  <c r="AA372" i="3" s="1"/>
  <c r="U449" i="3"/>
  <c r="Z449" i="3" s="1"/>
  <c r="V481" i="3"/>
  <c r="Y481" i="3" s="1"/>
  <c r="AA481" i="3" s="1"/>
  <c r="H24" i="4"/>
  <c r="I37" i="4"/>
  <c r="H43" i="4"/>
  <c r="I110" i="4"/>
  <c r="A19" i="5"/>
  <c r="C19" i="5" s="1"/>
  <c r="U23" i="5"/>
  <c r="M55" i="5"/>
  <c r="G101" i="5"/>
  <c r="A145" i="5"/>
  <c r="P145" i="5" s="1"/>
  <c r="U173" i="5"/>
  <c r="A180" i="5"/>
  <c r="M331" i="5"/>
  <c r="A343" i="5"/>
  <c r="M346" i="5"/>
  <c r="U385" i="5"/>
  <c r="U416" i="5"/>
  <c r="U90" i="3"/>
  <c r="Z90" i="3" s="1"/>
  <c r="V107" i="3"/>
  <c r="W107" i="3" s="1"/>
  <c r="V114" i="3"/>
  <c r="V158" i="3"/>
  <c r="V212" i="3"/>
  <c r="X212" i="3" s="1"/>
  <c r="V287" i="3"/>
  <c r="I24" i="4"/>
  <c r="J37" i="4"/>
  <c r="L37" i="4" s="1"/>
  <c r="I49" i="4"/>
  <c r="I153" i="4"/>
  <c r="A82" i="5"/>
  <c r="B82" i="5" s="1"/>
  <c r="M101" i="5"/>
  <c r="P112" i="5"/>
  <c r="P165" i="5"/>
  <c r="B236" i="5"/>
  <c r="U475" i="5"/>
  <c r="M125" i="5"/>
  <c r="A171" i="5"/>
  <c r="P171" i="5" s="1"/>
  <c r="A362" i="5"/>
  <c r="V343" i="3"/>
  <c r="U343" i="3"/>
  <c r="Z343" i="3" s="1"/>
  <c r="V6" i="3"/>
  <c r="U6" i="3"/>
  <c r="Z6" i="3" s="1"/>
  <c r="V462" i="3"/>
  <c r="U462" i="3"/>
  <c r="Z462" i="3" s="1"/>
  <c r="U259" i="3"/>
  <c r="Z259" i="3" s="1"/>
  <c r="V259" i="3"/>
  <c r="V423" i="3"/>
  <c r="W423" i="3" s="1"/>
  <c r="U423" i="3"/>
  <c r="Z423" i="3" s="1"/>
  <c r="U405" i="3"/>
  <c r="Z405" i="3" s="1"/>
  <c r="V405" i="3"/>
  <c r="U439" i="3"/>
  <c r="Z439" i="3" s="1"/>
  <c r="V439" i="3"/>
  <c r="X439" i="3" s="1"/>
  <c r="V51" i="3"/>
  <c r="Y51" i="3" s="1"/>
  <c r="AA51" i="3" s="1"/>
  <c r="U51" i="3"/>
  <c r="Z51" i="3" s="1"/>
  <c r="W370" i="3"/>
  <c r="Y370" i="3"/>
  <c r="AA370" i="3" s="1"/>
  <c r="AI370" i="3" s="1"/>
  <c r="U85" i="3"/>
  <c r="Z85" i="3" s="1"/>
  <c r="V85" i="3"/>
  <c r="W85" i="3" s="1"/>
  <c r="V213" i="3"/>
  <c r="W213" i="3" s="1"/>
  <c r="U213" i="3"/>
  <c r="Z213" i="3" s="1"/>
  <c r="U497" i="3"/>
  <c r="Z497" i="3" s="1"/>
  <c r="V497" i="3"/>
  <c r="X497" i="3" s="1"/>
  <c r="V386" i="3"/>
  <c r="U386" i="3"/>
  <c r="Z386" i="3" s="1"/>
  <c r="U73" i="3"/>
  <c r="Z73" i="3" s="1"/>
  <c r="V73" i="3"/>
  <c r="W73" i="3" s="1"/>
  <c r="V121" i="3"/>
  <c r="Y121" i="3" s="1"/>
  <c r="AA121" i="3" s="1"/>
  <c r="U121" i="3"/>
  <c r="Z121" i="3" s="1"/>
  <c r="U291" i="3"/>
  <c r="Z291" i="3" s="1"/>
  <c r="V291" i="3"/>
  <c r="W291" i="3" s="1"/>
  <c r="V467" i="3"/>
  <c r="U467" i="3"/>
  <c r="Z467" i="3" s="1"/>
  <c r="U350" i="3"/>
  <c r="Z350" i="3" s="1"/>
  <c r="V350" i="3"/>
  <c r="V10" i="3"/>
  <c r="X10" i="3" s="1"/>
  <c r="U10" i="3"/>
  <c r="Z10" i="3" s="1"/>
  <c r="V247" i="3"/>
  <c r="Y247" i="3" s="1"/>
  <c r="AA247" i="3" s="1"/>
  <c r="AI247" i="3" s="1"/>
  <c r="U247" i="3"/>
  <c r="Z247" i="3" s="1"/>
  <c r="V231" i="3"/>
  <c r="W231" i="3" s="1"/>
  <c r="U231" i="3"/>
  <c r="Z231" i="3" s="1"/>
  <c r="V391" i="3"/>
  <c r="Y391" i="3" s="1"/>
  <c r="AA391" i="3" s="1"/>
  <c r="AI391" i="3" s="1"/>
  <c r="U391" i="3"/>
  <c r="Z391" i="3" s="1"/>
  <c r="V402" i="3"/>
  <c r="U402" i="3"/>
  <c r="Z402" i="3" s="1"/>
  <c r="J148" i="4"/>
  <c r="L148" i="4" s="1"/>
  <c r="I148" i="4"/>
  <c r="M87" i="5"/>
  <c r="A128" i="5"/>
  <c r="M128" i="5"/>
  <c r="V105" i="3"/>
  <c r="W105" i="3" s="1"/>
  <c r="V126" i="3"/>
  <c r="W126" i="3" s="1"/>
  <c r="U221" i="3"/>
  <c r="Z221" i="3" s="1"/>
  <c r="V235" i="3"/>
  <c r="U235" i="3"/>
  <c r="Z235" i="3" s="1"/>
  <c r="V239" i="3"/>
  <c r="V375" i="3"/>
  <c r="U375" i="3"/>
  <c r="Z375" i="3" s="1"/>
  <c r="U128" i="5"/>
  <c r="M133" i="5"/>
  <c r="A133" i="5"/>
  <c r="M170" i="5"/>
  <c r="A170" i="5"/>
  <c r="Y448" i="3"/>
  <c r="AA448" i="3" s="1"/>
  <c r="X448" i="3"/>
  <c r="J100" i="4"/>
  <c r="L100" i="4" s="1"/>
  <c r="I100" i="4"/>
  <c r="H100" i="4"/>
  <c r="V199" i="3"/>
  <c r="W199" i="3" s="1"/>
  <c r="U491" i="3"/>
  <c r="Z491" i="3" s="1"/>
  <c r="V491" i="3"/>
  <c r="Y491" i="3" s="1"/>
  <c r="AA491" i="3" s="1"/>
  <c r="J17" i="4"/>
  <c r="L17" i="4" s="1"/>
  <c r="I17" i="4"/>
  <c r="V133" i="3"/>
  <c r="Y133" i="3" s="1"/>
  <c r="AA133" i="3" s="1"/>
  <c r="U147" i="3"/>
  <c r="Z147" i="3" s="1"/>
  <c r="V172" i="3"/>
  <c r="X172" i="3" s="1"/>
  <c r="V397" i="3"/>
  <c r="Y397" i="3" s="1"/>
  <c r="AA397" i="3" s="1"/>
  <c r="V471" i="3"/>
  <c r="U471" i="3"/>
  <c r="Z471" i="3" s="1"/>
  <c r="H17" i="4"/>
  <c r="I116" i="4"/>
  <c r="H199" i="4"/>
  <c r="J199" i="4"/>
  <c r="L199" i="4" s="1"/>
  <c r="I199" i="4"/>
  <c r="U4" i="5"/>
  <c r="A4" i="5"/>
  <c r="U30" i="5"/>
  <c r="M30" i="5"/>
  <c r="A30" i="5"/>
  <c r="W30" i="5" s="1"/>
  <c r="M227" i="5"/>
  <c r="A227" i="5"/>
  <c r="W233" i="5"/>
  <c r="V233" i="5"/>
  <c r="O233" i="5"/>
  <c r="G233" i="5"/>
  <c r="F233" i="5"/>
  <c r="N233" i="5" s="1"/>
  <c r="G386" i="5"/>
  <c r="U244" i="3"/>
  <c r="Z244" i="3" s="1"/>
  <c r="V244" i="3"/>
  <c r="X244" i="3" s="1"/>
  <c r="M111" i="5"/>
  <c r="A111" i="5"/>
  <c r="B111" i="5" s="1"/>
  <c r="V211" i="3"/>
  <c r="U211" i="3"/>
  <c r="Z211" i="3" s="1"/>
  <c r="J70" i="4"/>
  <c r="L70" i="4" s="1"/>
  <c r="I70" i="4"/>
  <c r="U111" i="5"/>
  <c r="V168" i="3"/>
  <c r="Y168" i="3" s="1"/>
  <c r="AA168" i="3" s="1"/>
  <c r="AL168" i="3" s="1"/>
  <c r="AM168" i="3" s="1"/>
  <c r="V385" i="3"/>
  <c r="W385" i="3" s="1"/>
  <c r="J156" i="4"/>
  <c r="L156" i="4" s="1"/>
  <c r="I156" i="4"/>
  <c r="H156" i="4"/>
  <c r="V50" i="3"/>
  <c r="V30" i="3"/>
  <c r="Y30" i="3" s="1"/>
  <c r="AA30" i="3" s="1"/>
  <c r="AL30" i="3" s="1"/>
  <c r="AM30" i="3" s="1"/>
  <c r="U30" i="3"/>
  <c r="Z30" i="3" s="1"/>
  <c r="U275" i="3"/>
  <c r="Z275" i="3" s="1"/>
  <c r="V299" i="3"/>
  <c r="U299" i="3"/>
  <c r="Z299" i="3" s="1"/>
  <c r="U373" i="3"/>
  <c r="Z373" i="3" s="1"/>
  <c r="V373" i="3"/>
  <c r="W373" i="3" s="1"/>
  <c r="X499" i="3"/>
  <c r="J121" i="4"/>
  <c r="L121" i="4" s="1"/>
  <c r="I121" i="4"/>
  <c r="M69" i="5"/>
  <c r="V108" i="5"/>
  <c r="W108" i="5"/>
  <c r="P162" i="5"/>
  <c r="O162" i="5"/>
  <c r="U227" i="5"/>
  <c r="B233" i="5"/>
  <c r="V47" i="3"/>
  <c r="W47" i="3" s="1"/>
  <c r="U47" i="3"/>
  <c r="Z47" i="3" s="1"/>
  <c r="X398" i="3"/>
  <c r="Y398" i="3"/>
  <c r="AA398" i="3" s="1"/>
  <c r="W398" i="3"/>
  <c r="M12" i="5"/>
  <c r="A12" i="5"/>
  <c r="U129" i="3"/>
  <c r="Z129" i="3" s="1"/>
  <c r="V129" i="3"/>
  <c r="U263" i="3"/>
  <c r="Z263" i="3" s="1"/>
  <c r="U365" i="3"/>
  <c r="Z365" i="3" s="1"/>
  <c r="Y390" i="3"/>
  <c r="AA390" i="3" s="1"/>
  <c r="AJ390" i="3" s="1"/>
  <c r="X390" i="3"/>
  <c r="W390" i="3"/>
  <c r="W448" i="3"/>
  <c r="AD2" i="3"/>
  <c r="U195" i="3"/>
  <c r="Z195" i="3" s="1"/>
  <c r="V207" i="3"/>
  <c r="W207" i="3" s="1"/>
  <c r="H70" i="4"/>
  <c r="V13" i="5"/>
  <c r="P13" i="5"/>
  <c r="H13" i="5"/>
  <c r="G13" i="5"/>
  <c r="F13" i="5"/>
  <c r="N13" i="5" s="1"/>
  <c r="M267" i="5"/>
  <c r="A267" i="5"/>
  <c r="U376" i="5"/>
  <c r="M376" i="5"/>
  <c r="A376" i="5"/>
  <c r="H376" i="5" s="1"/>
  <c r="H54" i="4"/>
  <c r="J54" i="4"/>
  <c r="L54" i="4" s="1"/>
  <c r="I54" i="4"/>
  <c r="I119" i="4"/>
  <c r="I171" i="4"/>
  <c r="J171" i="4"/>
  <c r="L171" i="4" s="1"/>
  <c r="H34" i="5"/>
  <c r="C34" i="5"/>
  <c r="U49" i="5"/>
  <c r="M49" i="5"/>
  <c r="A49" i="5"/>
  <c r="H49" i="5" s="1"/>
  <c r="A474" i="5"/>
  <c r="P474" i="5" s="1"/>
  <c r="M474" i="5"/>
  <c r="V116" i="3"/>
  <c r="X116" i="3" s="1"/>
  <c r="U116" i="3"/>
  <c r="Z116" i="3" s="1"/>
  <c r="V146" i="3"/>
  <c r="Y287" i="3"/>
  <c r="AA287" i="3" s="1"/>
  <c r="X287" i="3"/>
  <c r="W287" i="3"/>
  <c r="V408" i="3"/>
  <c r="Y408" i="3" s="1"/>
  <c r="AA408" i="3" s="1"/>
  <c r="U408" i="3"/>
  <c r="Z408" i="3" s="1"/>
  <c r="W422" i="3"/>
  <c r="Y422" i="3"/>
  <c r="AA422" i="3" s="1"/>
  <c r="AI422" i="3" s="1"/>
  <c r="X422" i="3"/>
  <c r="V430" i="3"/>
  <c r="U430" i="3"/>
  <c r="Z430" i="3" s="1"/>
  <c r="V451" i="3"/>
  <c r="U451" i="3"/>
  <c r="Z451" i="3" s="1"/>
  <c r="U490" i="3"/>
  <c r="Z490" i="3" s="1"/>
  <c r="V490" i="3"/>
  <c r="Y499" i="3"/>
  <c r="AA499" i="3" s="1"/>
  <c r="AI499" i="3" s="1"/>
  <c r="B5" i="5"/>
  <c r="P5" i="5"/>
  <c r="G5" i="5"/>
  <c r="W13" i="5"/>
  <c r="U162" i="5"/>
  <c r="M218" i="5"/>
  <c r="A218" i="5"/>
  <c r="C233" i="5"/>
  <c r="U368" i="5"/>
  <c r="M43" i="5"/>
  <c r="A43" i="5"/>
  <c r="V43" i="5" s="1"/>
  <c r="A53" i="5"/>
  <c r="O53" i="5" s="1"/>
  <c r="U53" i="5"/>
  <c r="M53" i="5"/>
  <c r="H119" i="4"/>
  <c r="V258" i="3"/>
  <c r="V26" i="3"/>
  <c r="X26" i="3" s="1"/>
  <c r="U26" i="3"/>
  <c r="Z26" i="3" s="1"/>
  <c r="V219" i="3"/>
  <c r="W219" i="3" s="1"/>
  <c r="U219" i="3"/>
  <c r="Z219" i="3" s="1"/>
  <c r="V327" i="3"/>
  <c r="W327" i="3" s="1"/>
  <c r="U327" i="3"/>
  <c r="Z327" i="3" s="1"/>
  <c r="U384" i="3"/>
  <c r="Z384" i="3" s="1"/>
  <c r="V384" i="3"/>
  <c r="Y396" i="3"/>
  <c r="AA396" i="3" s="1"/>
  <c r="X396" i="3"/>
  <c r="J19" i="4"/>
  <c r="L19" i="4" s="1"/>
  <c r="I19" i="4"/>
  <c r="H19" i="4"/>
  <c r="W69" i="5"/>
  <c r="G69" i="5"/>
  <c r="A98" i="5"/>
  <c r="M98" i="5"/>
  <c r="M277" i="5"/>
  <c r="A277" i="5"/>
  <c r="U277" i="5"/>
  <c r="V494" i="3"/>
  <c r="U494" i="3"/>
  <c r="Z494" i="3" s="1"/>
  <c r="J99" i="4"/>
  <c r="L99" i="4" s="1"/>
  <c r="H99" i="4"/>
  <c r="U69" i="5"/>
  <c r="V14" i="3"/>
  <c r="Y14" i="3" s="1"/>
  <c r="AA14" i="3" s="1"/>
  <c r="AL14" i="3" s="1"/>
  <c r="AM14" i="3" s="1"/>
  <c r="W136" i="3"/>
  <c r="V137" i="3"/>
  <c r="Y137" i="3" s="1"/>
  <c r="AA137" i="3" s="1"/>
  <c r="AL137" i="3" s="1"/>
  <c r="AM137" i="3" s="1"/>
  <c r="U193" i="3"/>
  <c r="Z193" i="3" s="1"/>
  <c r="U265" i="3"/>
  <c r="Z265" i="3" s="1"/>
  <c r="V311" i="3"/>
  <c r="W311" i="3" s="1"/>
  <c r="U331" i="3"/>
  <c r="Z331" i="3" s="1"/>
  <c r="X335" i="3"/>
  <c r="V347" i="3"/>
  <c r="U347" i="3"/>
  <c r="Z347" i="3" s="1"/>
  <c r="V407" i="3"/>
  <c r="U407" i="3"/>
  <c r="Z407" i="3" s="1"/>
  <c r="J146" i="4"/>
  <c r="L146" i="4" s="1"/>
  <c r="I146" i="4"/>
  <c r="V69" i="5"/>
  <c r="X136" i="3"/>
  <c r="Y218" i="3"/>
  <c r="AA218" i="3" s="1"/>
  <c r="AL218" i="3" s="1"/>
  <c r="AM218" i="3" s="1"/>
  <c r="X218" i="3"/>
  <c r="W218" i="3"/>
  <c r="Y335" i="3"/>
  <c r="AA335" i="3" s="1"/>
  <c r="AL335" i="3" s="1"/>
  <c r="AM335" i="3" s="1"/>
  <c r="J4" i="4"/>
  <c r="L4" i="4" s="1"/>
  <c r="I87" i="4"/>
  <c r="H146" i="4"/>
  <c r="U18" i="5"/>
  <c r="M18" i="5"/>
  <c r="A18" i="5"/>
  <c r="O18" i="5" s="1"/>
  <c r="A65" i="5"/>
  <c r="P65" i="5" s="1"/>
  <c r="M65" i="5"/>
  <c r="M153" i="5"/>
  <c r="A153" i="5"/>
  <c r="W153" i="5" s="1"/>
  <c r="U153" i="5"/>
  <c r="W471" i="5"/>
  <c r="P471" i="5"/>
  <c r="U131" i="3"/>
  <c r="Z131" i="3" s="1"/>
  <c r="W359" i="3"/>
  <c r="H29" i="4"/>
  <c r="U65" i="5"/>
  <c r="G81" i="5"/>
  <c r="F81" i="5"/>
  <c r="N81" i="5" s="1"/>
  <c r="M312" i="5"/>
  <c r="A312" i="5"/>
  <c r="O312" i="5" s="1"/>
  <c r="U44" i="3"/>
  <c r="Z44" i="3" s="1"/>
  <c r="V98" i="3"/>
  <c r="X98" i="3" s="1"/>
  <c r="V123" i="3"/>
  <c r="V154" i="3"/>
  <c r="X154" i="3" s="1"/>
  <c r="V222" i="3"/>
  <c r="W222" i="3" s="1"/>
  <c r="V240" i="3"/>
  <c r="W240" i="3" s="1"/>
  <c r="U264" i="3"/>
  <c r="Z264" i="3" s="1"/>
  <c r="V264" i="3"/>
  <c r="Y264" i="3" s="1"/>
  <c r="AA264" i="3" s="1"/>
  <c r="U302" i="3"/>
  <c r="Z302" i="3" s="1"/>
  <c r="V302" i="3"/>
  <c r="V399" i="3"/>
  <c r="Y399" i="3" s="1"/>
  <c r="AA399" i="3" s="1"/>
  <c r="AI399" i="3" s="1"/>
  <c r="U399" i="3"/>
  <c r="Z399" i="3" s="1"/>
  <c r="I29" i="4"/>
  <c r="H55" i="4"/>
  <c r="J55" i="4"/>
  <c r="L55" i="4" s="1"/>
  <c r="I55" i="4"/>
  <c r="U52" i="5"/>
  <c r="M52" i="5"/>
  <c r="A52" i="5"/>
  <c r="A87" i="5"/>
  <c r="O87" i="5" s="1"/>
  <c r="A141" i="5"/>
  <c r="W141" i="5" s="1"/>
  <c r="V440" i="3"/>
  <c r="W440" i="3" s="1"/>
  <c r="Y158" i="3"/>
  <c r="AA158" i="3" s="1"/>
  <c r="AI158" i="3" s="1"/>
  <c r="X158" i="3"/>
  <c r="W158" i="3"/>
  <c r="U249" i="3"/>
  <c r="Z249" i="3" s="1"/>
  <c r="V249" i="3"/>
  <c r="V290" i="3"/>
  <c r="V428" i="3"/>
  <c r="Y483" i="3"/>
  <c r="AA483" i="3" s="1"/>
  <c r="AJ483" i="3" s="1"/>
  <c r="X483" i="3"/>
  <c r="W483" i="3"/>
  <c r="I32" i="4"/>
  <c r="J78" i="4"/>
  <c r="L78" i="4" s="1"/>
  <c r="I78" i="4"/>
  <c r="J98" i="4"/>
  <c r="L98" i="4" s="1"/>
  <c r="H98" i="4"/>
  <c r="J143" i="4"/>
  <c r="L143" i="4" s="1"/>
  <c r="I143" i="4"/>
  <c r="H143" i="4"/>
  <c r="M141" i="5"/>
  <c r="G149" i="5"/>
  <c r="F149" i="5"/>
  <c r="N149" i="5" s="1"/>
  <c r="P149" i="5"/>
  <c r="W149" i="5"/>
  <c r="H149" i="5"/>
  <c r="C149" i="5"/>
  <c r="B149" i="5"/>
  <c r="M281" i="5"/>
  <c r="U281" i="5"/>
  <c r="A281" i="5"/>
  <c r="W281" i="5" s="1"/>
  <c r="M287" i="5"/>
  <c r="A287" i="5"/>
  <c r="P287" i="5" s="1"/>
  <c r="J132" i="4"/>
  <c r="L132" i="4" s="1"/>
  <c r="I132" i="4"/>
  <c r="H132" i="4"/>
  <c r="A40" i="5"/>
  <c r="M40" i="5"/>
  <c r="A105" i="5"/>
  <c r="V105" i="5" s="1"/>
  <c r="M129" i="5"/>
  <c r="A129" i="5"/>
  <c r="O129" i="5" s="1"/>
  <c r="U129" i="5"/>
  <c r="M209" i="5"/>
  <c r="A209" i="5"/>
  <c r="M215" i="5"/>
  <c r="A215" i="5"/>
  <c r="M334" i="5"/>
  <c r="A334" i="5"/>
  <c r="B344" i="5"/>
  <c r="O344" i="5"/>
  <c r="A363" i="5"/>
  <c r="H363" i="5" s="1"/>
  <c r="M363" i="5"/>
  <c r="U369" i="5"/>
  <c r="M369" i="5"/>
  <c r="A369" i="5"/>
  <c r="A484" i="5"/>
  <c r="V484" i="5" s="1"/>
  <c r="M484" i="5"/>
  <c r="V157" i="3"/>
  <c r="Y157" i="3" s="1"/>
  <c r="AA157" i="3" s="1"/>
  <c r="AJ157" i="3" s="1"/>
  <c r="V245" i="3"/>
  <c r="Y245" i="3" s="1"/>
  <c r="AA245" i="3" s="1"/>
  <c r="V270" i="3"/>
  <c r="Y270" i="3" s="1"/>
  <c r="AA270" i="3" s="1"/>
  <c r="V276" i="3"/>
  <c r="U396" i="3"/>
  <c r="Z396" i="3" s="1"/>
  <c r="V461" i="3"/>
  <c r="W461" i="3" s="1"/>
  <c r="H126" i="4"/>
  <c r="I176" i="4"/>
  <c r="J181" i="4"/>
  <c r="L181" i="4" s="1"/>
  <c r="I181" i="4"/>
  <c r="H181" i="4"/>
  <c r="A10" i="5"/>
  <c r="C101" i="5"/>
  <c r="M105" i="5"/>
  <c r="U209" i="5"/>
  <c r="U215" i="5"/>
  <c r="U334" i="5"/>
  <c r="U436" i="5"/>
  <c r="M436" i="5"/>
  <c r="A436" i="5"/>
  <c r="D2" i="4"/>
  <c r="V134" i="3"/>
  <c r="Y134" i="3" s="1"/>
  <c r="AA134" i="3" s="1"/>
  <c r="AL134" i="3" s="1"/>
  <c r="AM134" i="3" s="1"/>
  <c r="V166" i="3"/>
  <c r="W166" i="3" s="1"/>
  <c r="V286" i="3"/>
  <c r="W286" i="3" s="1"/>
  <c r="U301" i="3"/>
  <c r="Z301" i="3" s="1"/>
  <c r="V308" i="3"/>
  <c r="Y308" i="3" s="1"/>
  <c r="AA308" i="3" s="1"/>
  <c r="V374" i="3"/>
  <c r="J34" i="4"/>
  <c r="L34" i="4" s="1"/>
  <c r="I34" i="4"/>
  <c r="J129" i="4"/>
  <c r="L129" i="4" s="1"/>
  <c r="I129" i="4"/>
  <c r="I140" i="4"/>
  <c r="J176" i="4"/>
  <c r="L176" i="4" s="1"/>
  <c r="A29" i="5"/>
  <c r="O29" i="5" s="1"/>
  <c r="M29" i="5"/>
  <c r="C32" i="5"/>
  <c r="B32" i="5"/>
  <c r="W32" i="5"/>
  <c r="P51" i="5"/>
  <c r="V51" i="5"/>
  <c r="A55" i="5"/>
  <c r="P55" i="5" s="1"/>
  <c r="A60" i="5"/>
  <c r="B60" i="5" s="1"/>
  <c r="O96" i="5"/>
  <c r="C96" i="5"/>
  <c r="B96" i="5"/>
  <c r="W96" i="5"/>
  <c r="F101" i="5"/>
  <c r="N101" i="5" s="1"/>
  <c r="M325" i="5"/>
  <c r="A325" i="5"/>
  <c r="F325" i="5" s="1"/>
  <c r="N325" i="5" s="1"/>
  <c r="U330" i="5"/>
  <c r="A330" i="5"/>
  <c r="M330" i="5"/>
  <c r="M364" i="5"/>
  <c r="A364" i="5"/>
  <c r="O364" i="5" s="1"/>
  <c r="U364" i="5"/>
  <c r="A154" i="5"/>
  <c r="G154" i="5" s="1"/>
  <c r="U154" i="5"/>
  <c r="M187" i="5"/>
  <c r="A187" i="5"/>
  <c r="M293" i="5"/>
  <c r="A293" i="5"/>
  <c r="B293" i="5" s="1"/>
  <c r="M297" i="5"/>
  <c r="A297" i="5"/>
  <c r="W331" i="5"/>
  <c r="G331" i="5"/>
  <c r="F331" i="5"/>
  <c r="N331" i="5" s="1"/>
  <c r="C331" i="5"/>
  <c r="B331" i="5"/>
  <c r="U353" i="5"/>
  <c r="A353" i="5"/>
  <c r="B353" i="5" s="1"/>
  <c r="H31" i="4"/>
  <c r="J31" i="4"/>
  <c r="L31" i="4" s="1"/>
  <c r="P26" i="5"/>
  <c r="H26" i="5"/>
  <c r="C26" i="5"/>
  <c r="B26" i="5"/>
  <c r="P85" i="5"/>
  <c r="W85" i="5"/>
  <c r="V85" i="5"/>
  <c r="H85" i="5"/>
  <c r="G85" i="5"/>
  <c r="A130" i="5"/>
  <c r="W130" i="5" s="1"/>
  <c r="U130" i="5"/>
  <c r="M130" i="5"/>
  <c r="M238" i="5"/>
  <c r="A238" i="5"/>
  <c r="C238" i="5" s="1"/>
  <c r="H331" i="5"/>
  <c r="V180" i="3"/>
  <c r="Y180" i="3" s="1"/>
  <c r="AA180" i="3" s="1"/>
  <c r="AJ180" i="3" s="1"/>
  <c r="V236" i="3"/>
  <c r="X236" i="3" s="1"/>
  <c r="V303" i="3"/>
  <c r="Y303" i="3" s="1"/>
  <c r="AA303" i="3" s="1"/>
  <c r="V326" i="3"/>
  <c r="X326" i="3" s="1"/>
  <c r="V353" i="3"/>
  <c r="Y353" i="3" s="1"/>
  <c r="AA353" i="3" s="1"/>
  <c r="AL353" i="3" s="1"/>
  <c r="AM353" i="3" s="1"/>
  <c r="V431" i="3"/>
  <c r="U431" i="3"/>
  <c r="Z431" i="3" s="1"/>
  <c r="H9" i="4"/>
  <c r="H52" i="4"/>
  <c r="J200" i="4"/>
  <c r="L200" i="4" s="1"/>
  <c r="I200" i="4"/>
  <c r="H200" i="4"/>
  <c r="U10" i="5"/>
  <c r="U109" i="5"/>
  <c r="M109" i="5"/>
  <c r="A109" i="5"/>
  <c r="C109" i="5" s="1"/>
  <c r="M265" i="5"/>
  <c r="A265" i="5"/>
  <c r="U265" i="5"/>
  <c r="B306" i="5"/>
  <c r="O306" i="5"/>
  <c r="G306" i="5"/>
  <c r="F306" i="5"/>
  <c r="N306" i="5" s="1"/>
  <c r="V150" i="3"/>
  <c r="V280" i="3"/>
  <c r="Y280" i="3" s="1"/>
  <c r="AA280" i="3" s="1"/>
  <c r="V416" i="3"/>
  <c r="U499" i="3"/>
  <c r="Z499" i="3" s="1"/>
  <c r="H18" i="4"/>
  <c r="H21" i="4"/>
  <c r="I52" i="4"/>
  <c r="H71" i="4"/>
  <c r="I137" i="4"/>
  <c r="I172" i="4"/>
  <c r="H175" i="4"/>
  <c r="H189" i="4"/>
  <c r="U26" i="5"/>
  <c r="M26" i="5"/>
  <c r="B76" i="5"/>
  <c r="P89" i="5"/>
  <c r="H89" i="5"/>
  <c r="G89" i="5"/>
  <c r="F89" i="5"/>
  <c r="N89" i="5" s="1"/>
  <c r="U114" i="5"/>
  <c r="A143" i="5"/>
  <c r="M143" i="5"/>
  <c r="A414" i="5"/>
  <c r="P414" i="5" s="1"/>
  <c r="M414" i="5"/>
  <c r="V184" i="3"/>
  <c r="Y184" i="3" s="1"/>
  <c r="AA184" i="3" s="1"/>
  <c r="AL184" i="3" s="1"/>
  <c r="AM184" i="3" s="1"/>
  <c r="V190" i="3"/>
  <c r="V242" i="3"/>
  <c r="V243" i="3"/>
  <c r="X243" i="3" s="1"/>
  <c r="X321" i="3"/>
  <c r="U450" i="3"/>
  <c r="Z450" i="3" s="1"/>
  <c r="H36" i="4"/>
  <c r="J36" i="4"/>
  <c r="L36" i="4" s="1"/>
  <c r="I36" i="4"/>
  <c r="J57" i="4"/>
  <c r="L57" i="4" s="1"/>
  <c r="I57" i="4"/>
  <c r="H57" i="4"/>
  <c r="J111" i="4"/>
  <c r="L111" i="4" s="1"/>
  <c r="H111" i="4"/>
  <c r="J122" i="4"/>
  <c r="L122" i="4" s="1"/>
  <c r="I122" i="4"/>
  <c r="I175" i="4"/>
  <c r="H180" i="4"/>
  <c r="J180" i="4"/>
  <c r="L180" i="4" s="1"/>
  <c r="I180" i="4"/>
  <c r="I189" i="4"/>
  <c r="H194" i="4"/>
  <c r="V26" i="5"/>
  <c r="W37" i="5"/>
  <c r="F37" i="5"/>
  <c r="N37" i="5" s="1"/>
  <c r="C37" i="5"/>
  <c r="B37" i="5"/>
  <c r="U46" i="5"/>
  <c r="A46" i="5"/>
  <c r="P79" i="5"/>
  <c r="H79" i="5"/>
  <c r="M81" i="5"/>
  <c r="U81" i="5"/>
  <c r="M85" i="5"/>
  <c r="U85" i="5"/>
  <c r="U89" i="5"/>
  <c r="M131" i="5"/>
  <c r="A131" i="5"/>
  <c r="F131" i="5" s="1"/>
  <c r="N131" i="5" s="1"/>
  <c r="U131" i="5"/>
  <c r="U143" i="5"/>
  <c r="H150" i="5"/>
  <c r="C150" i="5"/>
  <c r="B150" i="5"/>
  <c r="F150" i="5"/>
  <c r="N150" i="5" s="1"/>
  <c r="M205" i="5"/>
  <c r="A205" i="5"/>
  <c r="U205" i="5"/>
  <c r="M326" i="5"/>
  <c r="A326" i="5"/>
  <c r="P326" i="5" s="1"/>
  <c r="U326" i="5"/>
  <c r="U414" i="5"/>
  <c r="U424" i="5"/>
  <c r="M424" i="5"/>
  <c r="A424" i="5"/>
  <c r="B424" i="5" s="1"/>
  <c r="V178" i="3"/>
  <c r="Y321" i="3"/>
  <c r="AA321" i="3" s="1"/>
  <c r="V352" i="3"/>
  <c r="Y352" i="3" s="1"/>
  <c r="AA352" i="3" s="1"/>
  <c r="J139" i="4"/>
  <c r="L139" i="4" s="1"/>
  <c r="I139" i="4"/>
  <c r="H139" i="4"/>
  <c r="I194" i="4"/>
  <c r="M11" i="5"/>
  <c r="U11" i="5"/>
  <c r="A11" i="5"/>
  <c r="P11" i="5" s="1"/>
  <c r="U37" i="5"/>
  <c r="F79" i="5"/>
  <c r="N79" i="5" s="1"/>
  <c r="U110" i="5"/>
  <c r="M110" i="5"/>
  <c r="A110" i="5"/>
  <c r="M221" i="5"/>
  <c r="A221" i="5"/>
  <c r="M307" i="5"/>
  <c r="A307" i="5"/>
  <c r="P407" i="5"/>
  <c r="O407" i="5"/>
  <c r="H407" i="5"/>
  <c r="G407" i="5"/>
  <c r="C407" i="5"/>
  <c r="P8" i="5"/>
  <c r="H8" i="5"/>
  <c r="G8" i="5"/>
  <c r="A36" i="5"/>
  <c r="O36" i="5" s="1"/>
  <c r="F112" i="5"/>
  <c r="N112" i="5" s="1"/>
  <c r="W171" i="5"/>
  <c r="V171" i="5"/>
  <c r="O171" i="5"/>
  <c r="H171" i="5"/>
  <c r="M202" i="5"/>
  <c r="A202" i="5"/>
  <c r="C202" i="5" s="1"/>
  <c r="U202" i="5"/>
  <c r="W254" i="5"/>
  <c r="G254" i="5"/>
  <c r="F254" i="5"/>
  <c r="N254" i="5" s="1"/>
  <c r="P254" i="5"/>
  <c r="M308" i="5"/>
  <c r="A308" i="5"/>
  <c r="C308" i="5" s="1"/>
  <c r="M322" i="5"/>
  <c r="U322" i="5"/>
  <c r="U459" i="5"/>
  <c r="A459" i="5"/>
  <c r="O459" i="5" s="1"/>
  <c r="M459" i="5"/>
  <c r="H10" i="4"/>
  <c r="H30" i="4"/>
  <c r="H60" i="4"/>
  <c r="H79" i="4"/>
  <c r="J125" i="4"/>
  <c r="L125" i="4" s="1"/>
  <c r="V8" i="5"/>
  <c r="A33" i="5"/>
  <c r="M36" i="5"/>
  <c r="U51" i="5"/>
  <c r="B61" i="5"/>
  <c r="O93" i="5"/>
  <c r="F93" i="5"/>
  <c r="N93" i="5" s="1"/>
  <c r="C93" i="5"/>
  <c r="A97" i="5"/>
  <c r="O97" i="5" s="1"/>
  <c r="M106" i="5"/>
  <c r="G112" i="5"/>
  <c r="U123" i="5"/>
  <c r="F171" i="5"/>
  <c r="N171" i="5" s="1"/>
  <c r="M178" i="5"/>
  <c r="A178" i="5"/>
  <c r="G178" i="5" s="1"/>
  <c r="U197" i="5"/>
  <c r="A245" i="5"/>
  <c r="B254" i="5"/>
  <c r="V266" i="5"/>
  <c r="W266" i="5"/>
  <c r="P266" i="5"/>
  <c r="O266" i="5"/>
  <c r="H266" i="5"/>
  <c r="G266" i="5"/>
  <c r="U308" i="5"/>
  <c r="A370" i="5"/>
  <c r="V370" i="5" s="1"/>
  <c r="U370" i="5"/>
  <c r="M370" i="5"/>
  <c r="F496" i="5"/>
  <c r="N496" i="5" s="1"/>
  <c r="V432" i="3"/>
  <c r="Y432" i="3" s="1"/>
  <c r="AA432" i="3" s="1"/>
  <c r="AJ432" i="3" s="1"/>
  <c r="H105" i="4"/>
  <c r="I108" i="4"/>
  <c r="H174" i="4"/>
  <c r="W8" i="5"/>
  <c r="M45" i="5"/>
  <c r="A45" i="5"/>
  <c r="V45" i="5" s="1"/>
  <c r="C61" i="5"/>
  <c r="U63" i="5"/>
  <c r="A88" i="5"/>
  <c r="M88" i="5"/>
  <c r="U93" i="5"/>
  <c r="M97" i="5"/>
  <c r="U137" i="5"/>
  <c r="G171" i="5"/>
  <c r="U178" i="5"/>
  <c r="C254" i="5"/>
  <c r="B266" i="5"/>
  <c r="M299" i="5"/>
  <c r="U299" i="5"/>
  <c r="A299" i="5"/>
  <c r="B299" i="5" s="1"/>
  <c r="P416" i="5"/>
  <c r="B416" i="5"/>
  <c r="W416" i="5"/>
  <c r="C416" i="5"/>
  <c r="G491" i="5"/>
  <c r="P491" i="5"/>
  <c r="O491" i="5"/>
  <c r="H491" i="5"/>
  <c r="F491" i="5"/>
  <c r="N491" i="5" s="1"/>
  <c r="C491" i="5"/>
  <c r="W491" i="5"/>
  <c r="V491" i="5"/>
  <c r="W285" i="5"/>
  <c r="H285" i="5"/>
  <c r="G285" i="5"/>
  <c r="M318" i="5"/>
  <c r="A318" i="5"/>
  <c r="V318" i="5" s="1"/>
  <c r="U374" i="5"/>
  <c r="A374" i="5"/>
  <c r="M374" i="5"/>
  <c r="U422" i="5"/>
  <c r="A422" i="5"/>
  <c r="C422" i="5" s="1"/>
  <c r="M422" i="5"/>
  <c r="A429" i="5"/>
  <c r="C429" i="5" s="1"/>
  <c r="U429" i="5"/>
  <c r="M429" i="5"/>
  <c r="A434" i="5"/>
  <c r="M434" i="5"/>
  <c r="A465" i="5"/>
  <c r="U465" i="5"/>
  <c r="M465" i="5"/>
  <c r="C106" i="5"/>
  <c r="B106" i="5"/>
  <c r="F124" i="5"/>
  <c r="N124" i="5" s="1"/>
  <c r="C124" i="5"/>
  <c r="B124" i="5"/>
  <c r="A251" i="5"/>
  <c r="W251" i="5" s="1"/>
  <c r="M270" i="5"/>
  <c r="A270" i="5"/>
  <c r="W270" i="5" s="1"/>
  <c r="B285" i="5"/>
  <c r="M355" i="5"/>
  <c r="A355" i="5"/>
  <c r="O375" i="5"/>
  <c r="G375" i="5"/>
  <c r="F375" i="5"/>
  <c r="N375" i="5" s="1"/>
  <c r="P375" i="5"/>
  <c r="P392" i="5"/>
  <c r="F392" i="5"/>
  <c r="N392" i="5" s="1"/>
  <c r="C392" i="5"/>
  <c r="C405" i="5"/>
  <c r="U408" i="5"/>
  <c r="M408" i="5"/>
  <c r="A408" i="5"/>
  <c r="H408" i="5" s="1"/>
  <c r="P423" i="5"/>
  <c r="O423" i="5"/>
  <c r="U434" i="5"/>
  <c r="M491" i="5"/>
  <c r="U491" i="5"/>
  <c r="M198" i="5"/>
  <c r="A198" i="5"/>
  <c r="C285" i="5"/>
  <c r="U388" i="5"/>
  <c r="M388" i="5"/>
  <c r="A388" i="5"/>
  <c r="F405" i="5"/>
  <c r="N405" i="5" s="1"/>
  <c r="I43" i="4"/>
  <c r="I75" i="4"/>
  <c r="I82" i="4"/>
  <c r="H159" i="4"/>
  <c r="I166" i="4"/>
  <c r="U100" i="5"/>
  <c r="U103" i="5"/>
  <c r="H117" i="5"/>
  <c r="U156" i="5"/>
  <c r="A156" i="5"/>
  <c r="M156" i="5"/>
  <c r="M174" i="5"/>
  <c r="A174" i="5"/>
  <c r="U198" i="5"/>
  <c r="M234" i="5"/>
  <c r="A234" i="5"/>
  <c r="O234" i="5" s="1"/>
  <c r="F285" i="5"/>
  <c r="N285" i="5" s="1"/>
  <c r="P296" i="5"/>
  <c r="H296" i="5"/>
  <c r="G296" i="5"/>
  <c r="U430" i="5"/>
  <c r="M430" i="5"/>
  <c r="A430" i="5"/>
  <c r="W430" i="5" s="1"/>
  <c r="M455" i="5"/>
  <c r="A455" i="5"/>
  <c r="P455" i="5" s="1"/>
  <c r="I134" i="4"/>
  <c r="I159" i="4"/>
  <c r="H162" i="4"/>
  <c r="U33" i="5"/>
  <c r="A68" i="5"/>
  <c r="B68" i="5" s="1"/>
  <c r="U68" i="5"/>
  <c r="U112" i="5"/>
  <c r="M148" i="5"/>
  <c r="A148" i="5"/>
  <c r="U234" i="5"/>
  <c r="M241" i="5"/>
  <c r="A241" i="5"/>
  <c r="B241" i="5" s="1"/>
  <c r="M304" i="5"/>
  <c r="A304" i="5"/>
  <c r="P304" i="5" s="1"/>
  <c r="W389" i="5"/>
  <c r="H389" i="5"/>
  <c r="M487" i="5"/>
  <c r="A487" i="5"/>
  <c r="F487" i="5" s="1"/>
  <c r="N487" i="5" s="1"/>
  <c r="P235" i="5"/>
  <c r="H235" i="5"/>
  <c r="G235" i="5"/>
  <c r="F235" i="5"/>
  <c r="N235" i="5" s="1"/>
  <c r="U241" i="5"/>
  <c r="V254" i="5"/>
  <c r="U304" i="5"/>
  <c r="M316" i="5"/>
  <c r="A316" i="5"/>
  <c r="H316" i="5" s="1"/>
  <c r="A477" i="5"/>
  <c r="C477" i="5" s="1"/>
  <c r="M477" i="5"/>
  <c r="U487" i="5"/>
  <c r="P219" i="5"/>
  <c r="O219" i="5"/>
  <c r="O276" i="5"/>
  <c r="G276" i="5"/>
  <c r="M332" i="5"/>
  <c r="A332" i="5"/>
  <c r="V332" i="5" s="1"/>
  <c r="H362" i="5"/>
  <c r="G362" i="5"/>
  <c r="C362" i="5"/>
  <c r="A420" i="5"/>
  <c r="M420" i="5"/>
  <c r="W488" i="5"/>
  <c r="V488" i="5"/>
  <c r="W501" i="5"/>
  <c r="V501" i="5"/>
  <c r="A167" i="5"/>
  <c r="O167" i="5" s="1"/>
  <c r="A214" i="5"/>
  <c r="B219" i="5"/>
  <c r="U225" i="5"/>
  <c r="A253" i="5"/>
  <c r="A259" i="5"/>
  <c r="C259" i="5" s="1"/>
  <c r="U264" i="5"/>
  <c r="B276" i="5"/>
  <c r="M303" i="5"/>
  <c r="U303" i="5"/>
  <c r="M317" i="5"/>
  <c r="A317" i="5"/>
  <c r="H317" i="5" s="1"/>
  <c r="U332" i="5"/>
  <c r="F362" i="5"/>
  <c r="N362" i="5" s="1"/>
  <c r="C373" i="5"/>
  <c r="U420" i="5"/>
  <c r="U431" i="5"/>
  <c r="W441" i="5"/>
  <c r="U472" i="5"/>
  <c r="M472" i="5"/>
  <c r="A472" i="5"/>
  <c r="C472" i="5" s="1"/>
  <c r="C488" i="5"/>
  <c r="B501" i="5"/>
  <c r="A203" i="5"/>
  <c r="P203" i="5" s="1"/>
  <c r="C219" i="5"/>
  <c r="A237" i="5"/>
  <c r="C276" i="5"/>
  <c r="P362" i="5"/>
  <c r="F373" i="5"/>
  <c r="N373" i="5" s="1"/>
  <c r="U452" i="5"/>
  <c r="M452" i="5"/>
  <c r="A452" i="5"/>
  <c r="C452" i="5" s="1"/>
  <c r="W473" i="5"/>
  <c r="V473" i="5"/>
  <c r="P473" i="5"/>
  <c r="F488" i="5"/>
  <c r="N488" i="5" s="1"/>
  <c r="A161" i="5"/>
  <c r="P161" i="5" s="1"/>
  <c r="F219" i="5"/>
  <c r="N219" i="5" s="1"/>
  <c r="A263" i="5"/>
  <c r="H263" i="5" s="1"/>
  <c r="F276" i="5"/>
  <c r="N276" i="5" s="1"/>
  <c r="A283" i="5"/>
  <c r="A302" i="5"/>
  <c r="V421" i="5"/>
  <c r="W421" i="5"/>
  <c r="H421" i="5"/>
  <c r="G421" i="5"/>
  <c r="M435" i="5"/>
  <c r="A435" i="5"/>
  <c r="C435" i="5" s="1"/>
  <c r="P439" i="5"/>
  <c r="U442" i="5"/>
  <c r="M442" i="5"/>
  <c r="A442" i="5"/>
  <c r="B473" i="5"/>
  <c r="H488" i="5"/>
  <c r="M269" i="5"/>
  <c r="U269" i="5"/>
  <c r="U341" i="5"/>
  <c r="A341" i="5"/>
  <c r="B341" i="5" s="1"/>
  <c r="W453" i="5"/>
  <c r="P453" i="5"/>
  <c r="O453" i="5"/>
  <c r="U266" i="5"/>
  <c r="U283" i="5"/>
  <c r="F311" i="5"/>
  <c r="N311" i="5" s="1"/>
  <c r="M321" i="5"/>
  <c r="A321" i="5"/>
  <c r="C321" i="5" s="1"/>
  <c r="U362" i="5"/>
  <c r="B391" i="5"/>
  <c r="H473" i="5"/>
  <c r="U497" i="5"/>
  <c r="A497" i="5"/>
  <c r="W497" i="5" s="1"/>
  <c r="U186" i="5"/>
  <c r="M222" i="5"/>
  <c r="A222" i="5"/>
  <c r="U237" i="5"/>
  <c r="A250" i="5"/>
  <c r="U259" i="5"/>
  <c r="U263" i="5"/>
  <c r="U276" i="5"/>
  <c r="G311" i="5"/>
  <c r="U321" i="5"/>
  <c r="W362" i="5"/>
  <c r="C391" i="5"/>
  <c r="A417" i="5"/>
  <c r="P417" i="5" s="1"/>
  <c r="U462" i="5"/>
  <c r="A462" i="5"/>
  <c r="M489" i="5"/>
  <c r="U222" i="5"/>
  <c r="U292" i="5"/>
  <c r="U302" i="5"/>
  <c r="M448" i="5"/>
  <c r="A448" i="5"/>
  <c r="A264" i="5"/>
  <c r="O303" i="5"/>
  <c r="V303" i="5"/>
  <c r="U406" i="5"/>
  <c r="A406" i="5"/>
  <c r="W406" i="5" s="1"/>
  <c r="V445" i="5"/>
  <c r="P445" i="5"/>
  <c r="F445" i="5"/>
  <c r="N445" i="5" s="1"/>
  <c r="H489" i="5"/>
  <c r="F489" i="5"/>
  <c r="N489" i="5" s="1"/>
  <c r="C489" i="5"/>
  <c r="M335" i="5"/>
  <c r="A357" i="5"/>
  <c r="B357" i="5" s="1"/>
  <c r="A419" i="5"/>
  <c r="V419" i="5" s="1"/>
  <c r="A463" i="5"/>
  <c r="H463" i="5" s="1"/>
  <c r="A481" i="5"/>
  <c r="M493" i="5"/>
  <c r="M498" i="5"/>
  <c r="M347" i="5"/>
  <c r="U379" i="5"/>
  <c r="U383" i="5"/>
  <c r="U393" i="5"/>
  <c r="U398" i="5"/>
  <c r="F409" i="5"/>
  <c r="N409" i="5" s="1"/>
  <c r="U439" i="5"/>
  <c r="M445" i="5"/>
  <c r="M463" i="5"/>
  <c r="B469" i="5"/>
  <c r="A479" i="5"/>
  <c r="M481" i="5"/>
  <c r="M496" i="5"/>
  <c r="O498" i="5"/>
  <c r="A288" i="5"/>
  <c r="A378" i="5"/>
  <c r="O378" i="5" s="1"/>
  <c r="W379" i="5"/>
  <c r="M389" i="5"/>
  <c r="A399" i="5"/>
  <c r="V399" i="5" s="1"/>
  <c r="M409" i="5"/>
  <c r="M421" i="5"/>
  <c r="A461" i="5"/>
  <c r="P461" i="5" s="1"/>
  <c r="H469" i="5"/>
  <c r="P498" i="5"/>
  <c r="M413" i="5"/>
  <c r="A440" i="5"/>
  <c r="H466" i="5"/>
  <c r="M479" i="5"/>
  <c r="U399" i="5"/>
  <c r="V37" i="3"/>
  <c r="U37" i="3"/>
  <c r="Z37" i="3" s="1"/>
  <c r="V74" i="3"/>
  <c r="U74" i="3"/>
  <c r="Z74" i="3" s="1"/>
  <c r="V307" i="3"/>
  <c r="U307" i="3"/>
  <c r="Z307" i="3" s="1"/>
  <c r="AJ353" i="3"/>
  <c r="V403" i="3"/>
  <c r="U403" i="3"/>
  <c r="Z403" i="3" s="1"/>
  <c r="V86" i="3"/>
  <c r="U86" i="3"/>
  <c r="Z86" i="3" s="1"/>
  <c r="U191" i="3"/>
  <c r="Z191" i="3" s="1"/>
  <c r="V191" i="3"/>
  <c r="V337" i="3"/>
  <c r="U337" i="3"/>
  <c r="Z337" i="3" s="1"/>
  <c r="V418" i="3"/>
  <c r="U418" i="3"/>
  <c r="Z418" i="3" s="1"/>
  <c r="V435" i="3"/>
  <c r="U435" i="3"/>
  <c r="Z435" i="3" s="1"/>
  <c r="Y112" i="3"/>
  <c r="AA112" i="3" s="1"/>
  <c r="X112" i="3"/>
  <c r="W112" i="3"/>
  <c r="AJ122" i="3"/>
  <c r="AL122" i="3"/>
  <c r="AM122" i="3" s="1"/>
  <c r="AI122" i="3"/>
  <c r="Y167" i="3"/>
  <c r="AA167" i="3" s="1"/>
  <c r="X167" i="3"/>
  <c r="W167" i="3"/>
  <c r="V203" i="3"/>
  <c r="U203" i="3"/>
  <c r="Z203" i="3" s="1"/>
  <c r="V369" i="3"/>
  <c r="U369" i="3"/>
  <c r="Z369" i="3" s="1"/>
  <c r="V33" i="3"/>
  <c r="U33" i="3"/>
  <c r="Z33" i="3" s="1"/>
  <c r="V118" i="3"/>
  <c r="U118" i="3"/>
  <c r="Z118" i="3" s="1"/>
  <c r="AL316" i="3"/>
  <c r="AM316" i="3" s="1"/>
  <c r="AJ316" i="3"/>
  <c r="AI316" i="3"/>
  <c r="AL272" i="3"/>
  <c r="AM272" i="3" s="1"/>
  <c r="AJ272" i="3"/>
  <c r="AI272" i="3"/>
  <c r="V406" i="3"/>
  <c r="U406" i="3"/>
  <c r="Z406" i="3" s="1"/>
  <c r="V92" i="3"/>
  <c r="U92" i="3"/>
  <c r="Z92" i="3" s="1"/>
  <c r="AJ131" i="3"/>
  <c r="AI131" i="3"/>
  <c r="AL131" i="3"/>
  <c r="AM131" i="3" s="1"/>
  <c r="AJ137" i="3"/>
  <c r="V22" i="3"/>
  <c r="U22" i="3"/>
  <c r="Z22" i="3" s="1"/>
  <c r="Y48" i="3"/>
  <c r="AA48" i="3" s="1"/>
  <c r="X48" i="3"/>
  <c r="W48" i="3"/>
  <c r="U56" i="3"/>
  <c r="Z56" i="3" s="1"/>
  <c r="V56" i="3"/>
  <c r="V12" i="3"/>
  <c r="U12" i="3"/>
  <c r="Z12" i="3" s="1"/>
  <c r="AJ90" i="3"/>
  <c r="AL90" i="3"/>
  <c r="AM90" i="3" s="1"/>
  <c r="AI90" i="3"/>
  <c r="Y81" i="3"/>
  <c r="AA81" i="3" s="1"/>
  <c r="X81" i="3"/>
  <c r="W81" i="3"/>
  <c r="V169" i="3"/>
  <c r="U169" i="3"/>
  <c r="Z169" i="3" s="1"/>
  <c r="V7" i="3"/>
  <c r="U7" i="3"/>
  <c r="Z7" i="3" s="1"/>
  <c r="V434" i="3"/>
  <c r="U434" i="3"/>
  <c r="Z434" i="3" s="1"/>
  <c r="V15" i="3"/>
  <c r="U15" i="3"/>
  <c r="Z15" i="3" s="1"/>
  <c r="AD3" i="3"/>
  <c r="T3" i="3"/>
  <c r="B6" i="6" s="1"/>
  <c r="V19" i="3"/>
  <c r="U19" i="3"/>
  <c r="Z19" i="3" s="1"/>
  <c r="AJ44" i="3"/>
  <c r="AI44" i="3"/>
  <c r="AL44" i="3"/>
  <c r="AM44" i="3" s="1"/>
  <c r="Y41" i="3"/>
  <c r="AA41" i="3" s="1"/>
  <c r="X41" i="3"/>
  <c r="W41" i="3"/>
  <c r="V101" i="3"/>
  <c r="U101" i="3"/>
  <c r="Z101" i="3" s="1"/>
  <c r="V383" i="3"/>
  <c r="U383" i="3"/>
  <c r="Z383" i="3" s="1"/>
  <c r="V379" i="3"/>
  <c r="U379" i="3"/>
  <c r="Z379" i="3" s="1"/>
  <c r="AJ370" i="3"/>
  <c r="AL370" i="3"/>
  <c r="AM370" i="3" s="1"/>
  <c r="V60" i="3"/>
  <c r="U60" i="3"/>
  <c r="Z60" i="3" s="1"/>
  <c r="V71" i="3"/>
  <c r="U71" i="3"/>
  <c r="Z71" i="3" s="1"/>
  <c r="V225" i="3"/>
  <c r="U225" i="3"/>
  <c r="Z225" i="3" s="1"/>
  <c r="V67" i="3"/>
  <c r="U67" i="3"/>
  <c r="Z67" i="3" s="1"/>
  <c r="V111" i="3"/>
  <c r="U111" i="3"/>
  <c r="Z111" i="3" s="1"/>
  <c r="U55" i="3"/>
  <c r="Z55" i="3" s="1"/>
  <c r="V55" i="3"/>
  <c r="V269" i="3"/>
  <c r="U269" i="3"/>
  <c r="Z269" i="3" s="1"/>
  <c r="V5" i="3"/>
  <c r="U5" i="3"/>
  <c r="Z5" i="3" s="1"/>
  <c r="Y29" i="3"/>
  <c r="AA29" i="3" s="1"/>
  <c r="X29" i="3"/>
  <c r="W29" i="3"/>
  <c r="V72" i="3"/>
  <c r="U72" i="3"/>
  <c r="Z72" i="3" s="1"/>
  <c r="U120" i="3"/>
  <c r="Z120" i="3" s="1"/>
  <c r="V120" i="3"/>
  <c r="Y123" i="3"/>
  <c r="AA123" i="3" s="1"/>
  <c r="X123" i="3"/>
  <c r="W123" i="3"/>
  <c r="AL138" i="3"/>
  <c r="AM138" i="3" s="1"/>
  <c r="X209" i="3"/>
  <c r="W209" i="3"/>
  <c r="Y209" i="3"/>
  <c r="AA209" i="3" s="1"/>
  <c r="V345" i="3"/>
  <c r="U345" i="3"/>
  <c r="Z345" i="3" s="1"/>
  <c r="U495" i="3"/>
  <c r="Z495" i="3" s="1"/>
  <c r="V495" i="3"/>
  <c r="J86" i="4"/>
  <c r="L86" i="4" s="1"/>
  <c r="I86" i="4"/>
  <c r="Y6" i="3"/>
  <c r="AA6" i="3" s="1"/>
  <c r="X6" i="3"/>
  <c r="Y17" i="3"/>
  <c r="AA17" i="3" s="1"/>
  <c r="X17" i="3"/>
  <c r="V21" i="3"/>
  <c r="Y26" i="3"/>
  <c r="AA26" i="3" s="1"/>
  <c r="V39" i="3"/>
  <c r="U39" i="3"/>
  <c r="Z39" i="3" s="1"/>
  <c r="V40" i="3"/>
  <c r="U40" i="3"/>
  <c r="Z40" i="3" s="1"/>
  <c r="V115" i="3"/>
  <c r="U115" i="3"/>
  <c r="Z115" i="3" s="1"/>
  <c r="AL136" i="3"/>
  <c r="AM136" i="3" s="1"/>
  <c r="AJ136" i="3"/>
  <c r="AI136" i="3"/>
  <c r="Y193" i="3"/>
  <c r="AA193" i="3" s="1"/>
  <c r="X193" i="3"/>
  <c r="W193" i="3"/>
  <c r="Y315" i="3"/>
  <c r="AA315" i="3" s="1"/>
  <c r="W315" i="3"/>
  <c r="V427" i="3"/>
  <c r="U427" i="3"/>
  <c r="Z427" i="3" s="1"/>
  <c r="Y449" i="3"/>
  <c r="AA449" i="3" s="1"/>
  <c r="X449" i="3"/>
  <c r="W449" i="3"/>
  <c r="U460" i="3"/>
  <c r="Z460" i="3" s="1"/>
  <c r="V460" i="3"/>
  <c r="H86" i="4"/>
  <c r="O122" i="5"/>
  <c r="G122" i="5"/>
  <c r="F122" i="5"/>
  <c r="N122" i="5" s="1"/>
  <c r="H122" i="5"/>
  <c r="C122" i="5"/>
  <c r="V122" i="5"/>
  <c r="W122" i="5"/>
  <c r="W6" i="3"/>
  <c r="W17" i="3"/>
  <c r="W26" i="3"/>
  <c r="W32" i="3"/>
  <c r="V35" i="3"/>
  <c r="U35" i="3"/>
  <c r="Z35" i="3" s="1"/>
  <c r="V42" i="3"/>
  <c r="W68" i="3"/>
  <c r="X68" i="3"/>
  <c r="Y68" i="3"/>
  <c r="AA68" i="3" s="1"/>
  <c r="Y77" i="3"/>
  <c r="AA77" i="3" s="1"/>
  <c r="X77" i="3"/>
  <c r="W77" i="3"/>
  <c r="V78" i="3"/>
  <c r="V173" i="3"/>
  <c r="U173" i="3"/>
  <c r="Z173" i="3" s="1"/>
  <c r="V208" i="3"/>
  <c r="U315" i="3"/>
  <c r="Z315" i="3" s="1"/>
  <c r="V394" i="3"/>
  <c r="Y9" i="3"/>
  <c r="AA9" i="3" s="1"/>
  <c r="X9" i="3"/>
  <c r="W9" i="3"/>
  <c r="V20" i="3"/>
  <c r="U20" i="3"/>
  <c r="Z20" i="3" s="1"/>
  <c r="V45" i="3"/>
  <c r="U45" i="3"/>
  <c r="Z45" i="3" s="1"/>
  <c r="U68" i="3"/>
  <c r="Z68" i="3" s="1"/>
  <c r="V76" i="3"/>
  <c r="V94" i="3"/>
  <c r="U94" i="3"/>
  <c r="Z94" i="3" s="1"/>
  <c r="V117" i="3"/>
  <c r="Y144" i="3"/>
  <c r="AA144" i="3" s="1"/>
  <c r="X144" i="3"/>
  <c r="W144" i="3"/>
  <c r="Y189" i="3"/>
  <c r="AA189" i="3" s="1"/>
  <c r="X189" i="3"/>
  <c r="W189" i="3"/>
  <c r="U192" i="3"/>
  <c r="Z192" i="3" s="1"/>
  <c r="V192" i="3"/>
  <c r="V261" i="3"/>
  <c r="U261" i="3"/>
  <c r="Z261" i="3" s="1"/>
  <c r="X315" i="3"/>
  <c r="V426" i="3"/>
  <c r="U426" i="3"/>
  <c r="Z426" i="3" s="1"/>
  <c r="AL448" i="3"/>
  <c r="AM448" i="3" s="1"/>
  <c r="AJ448" i="3"/>
  <c r="AI448" i="3"/>
  <c r="J33" i="4"/>
  <c r="L33" i="4" s="1"/>
  <c r="I33" i="4"/>
  <c r="H33" i="4"/>
  <c r="P122" i="5"/>
  <c r="Y32" i="3"/>
  <c r="AA32" i="3" s="1"/>
  <c r="Y46" i="3"/>
  <c r="AA46" i="3" s="1"/>
  <c r="W46" i="3"/>
  <c r="V54" i="3"/>
  <c r="U54" i="3"/>
  <c r="Z54" i="3" s="1"/>
  <c r="Y80" i="3"/>
  <c r="AA80" i="3" s="1"/>
  <c r="X80" i="3"/>
  <c r="W80" i="3"/>
  <c r="Y89" i="3"/>
  <c r="AA89" i="3" s="1"/>
  <c r="X89" i="3"/>
  <c r="W89" i="3"/>
  <c r="V91" i="3"/>
  <c r="Y349" i="3"/>
  <c r="AA349" i="3" s="1"/>
  <c r="X349" i="3"/>
  <c r="W349" i="3"/>
  <c r="V351" i="3"/>
  <c r="U362" i="3"/>
  <c r="Z362" i="3" s="1"/>
  <c r="V411" i="3"/>
  <c r="U411" i="3"/>
  <c r="Z411" i="3" s="1"/>
  <c r="J118" i="4"/>
  <c r="L118" i="4" s="1"/>
  <c r="I118" i="4"/>
  <c r="H118" i="4"/>
  <c r="U48" i="3"/>
  <c r="Z48" i="3" s="1"/>
  <c r="Y50" i="3"/>
  <c r="AA50" i="3" s="1"/>
  <c r="W50" i="3"/>
  <c r="X50" i="3"/>
  <c r="V53" i="3"/>
  <c r="U53" i="3"/>
  <c r="Z53" i="3" s="1"/>
  <c r="U81" i="3"/>
  <c r="Z81" i="3" s="1"/>
  <c r="V83" i="3"/>
  <c r="U83" i="3"/>
  <c r="Z83" i="3" s="1"/>
  <c r="V328" i="3"/>
  <c r="Y49" i="3"/>
  <c r="AA49" i="3" s="1"/>
  <c r="X49" i="3"/>
  <c r="U52" i="3"/>
  <c r="Z52" i="3" s="1"/>
  <c r="U112" i="3"/>
  <c r="Z112" i="3" s="1"/>
  <c r="V197" i="3"/>
  <c r="U197" i="3"/>
  <c r="Z197" i="3" s="1"/>
  <c r="Y336" i="3"/>
  <c r="AA336" i="3" s="1"/>
  <c r="X336" i="3"/>
  <c r="W336" i="3"/>
  <c r="V438" i="3"/>
  <c r="U438" i="3"/>
  <c r="Z438" i="3" s="1"/>
  <c r="X52" i="3"/>
  <c r="V62" i="3"/>
  <c r="Y64" i="3"/>
  <c r="AA64" i="3" s="1"/>
  <c r="X64" i="3"/>
  <c r="U167" i="3"/>
  <c r="Z167" i="3" s="1"/>
  <c r="V273" i="3"/>
  <c r="V357" i="3"/>
  <c r="U357" i="3"/>
  <c r="Z357" i="3" s="1"/>
  <c r="X437" i="3"/>
  <c r="W437" i="3"/>
  <c r="Y500" i="3"/>
  <c r="AA500" i="3" s="1"/>
  <c r="X500" i="3"/>
  <c r="W500" i="3"/>
  <c r="Y25" i="3"/>
  <c r="AA25" i="3" s="1"/>
  <c r="X25" i="3"/>
  <c r="W25" i="3"/>
  <c r="V69" i="3"/>
  <c r="U69" i="3"/>
  <c r="Z69" i="3" s="1"/>
  <c r="X233" i="3"/>
  <c r="W233" i="3"/>
  <c r="V309" i="3"/>
  <c r="U309" i="3"/>
  <c r="Z309" i="3" s="1"/>
  <c r="X316" i="3"/>
  <c r="W316" i="3"/>
  <c r="Y419" i="3"/>
  <c r="AA419" i="3" s="1"/>
  <c r="X419" i="3"/>
  <c r="W419" i="3"/>
  <c r="V13" i="3"/>
  <c r="U13" i="3"/>
  <c r="Z13" i="3" s="1"/>
  <c r="V18" i="3"/>
  <c r="V28" i="3"/>
  <c r="U28" i="3"/>
  <c r="Z28" i="3" s="1"/>
  <c r="U29" i="3"/>
  <c r="Z29" i="3" s="1"/>
  <c r="Y70" i="3"/>
  <c r="AA70" i="3" s="1"/>
  <c r="X70" i="3"/>
  <c r="V96" i="3"/>
  <c r="U96" i="3"/>
  <c r="Z96" i="3" s="1"/>
  <c r="X122" i="3"/>
  <c r="W122" i="3"/>
  <c r="V145" i="3"/>
  <c r="U209" i="3"/>
  <c r="Z209" i="3" s="1"/>
  <c r="Y233" i="3"/>
  <c r="AA233" i="3" s="1"/>
  <c r="V8" i="3"/>
  <c r="U8" i="3"/>
  <c r="Z8" i="3" s="1"/>
  <c r="U16" i="3"/>
  <c r="Z16" i="3" s="1"/>
  <c r="V16" i="3"/>
  <c r="V23" i="3"/>
  <c r="W44" i="3"/>
  <c r="V97" i="3"/>
  <c r="U97" i="3"/>
  <c r="Z97" i="3" s="1"/>
  <c r="V478" i="3"/>
  <c r="U478" i="3"/>
  <c r="Z478" i="3" s="1"/>
  <c r="B122" i="5"/>
  <c r="U36" i="3"/>
  <c r="Z36" i="3" s="1"/>
  <c r="V38" i="3"/>
  <c r="U41" i="3"/>
  <c r="Z41" i="3" s="1"/>
  <c r="X44" i="3"/>
  <c r="U77" i="3"/>
  <c r="Z77" i="3" s="1"/>
  <c r="V119" i="3"/>
  <c r="U119" i="3"/>
  <c r="Z119" i="3" s="1"/>
  <c r="W131" i="3"/>
  <c r="U181" i="3"/>
  <c r="Z181" i="3" s="1"/>
  <c r="V181" i="3"/>
  <c r="V187" i="3"/>
  <c r="U187" i="3"/>
  <c r="Z187" i="3" s="1"/>
  <c r="U198" i="3"/>
  <c r="Z198" i="3" s="1"/>
  <c r="V198" i="3"/>
  <c r="V314" i="3"/>
  <c r="W362" i="3"/>
  <c r="X362" i="3"/>
  <c r="Y362" i="3"/>
  <c r="AA362" i="3" s="1"/>
  <c r="V473" i="3"/>
  <c r="U473" i="3"/>
  <c r="Z473" i="3" s="1"/>
  <c r="O35" i="5"/>
  <c r="H35" i="5"/>
  <c r="P35" i="5"/>
  <c r="G35" i="5"/>
  <c r="C35" i="5"/>
  <c r="B35" i="5"/>
  <c r="V35" i="5"/>
  <c r="W35" i="5"/>
  <c r="U126" i="5"/>
  <c r="A126" i="5"/>
  <c r="M126" i="5"/>
  <c r="X36" i="3"/>
  <c r="V66" i="3"/>
  <c r="V79" i="3"/>
  <c r="X88" i="3"/>
  <c r="Y88" i="3"/>
  <c r="AA88" i="3" s="1"/>
  <c r="X90" i="3"/>
  <c r="W90" i="3"/>
  <c r="X131" i="3"/>
  <c r="U206" i="3"/>
  <c r="Z206" i="3" s="1"/>
  <c r="V206" i="3"/>
  <c r="V277" i="3"/>
  <c r="U277" i="3"/>
  <c r="Z277" i="3" s="1"/>
  <c r="V459" i="3"/>
  <c r="U459" i="3"/>
  <c r="Z459" i="3" s="1"/>
  <c r="U371" i="5"/>
  <c r="M371" i="5"/>
  <c r="A371" i="5"/>
  <c r="V378" i="5"/>
  <c r="Y36" i="3"/>
  <c r="AA36" i="3" s="1"/>
  <c r="Y47" i="3"/>
  <c r="AA47" i="3" s="1"/>
  <c r="X47" i="3"/>
  <c r="V65" i="3"/>
  <c r="U65" i="3"/>
  <c r="Z65" i="3" s="1"/>
  <c r="V82" i="3"/>
  <c r="V93" i="3"/>
  <c r="U93" i="3"/>
  <c r="Z93" i="3" s="1"/>
  <c r="V113" i="3"/>
  <c r="U113" i="3"/>
  <c r="Z113" i="3" s="1"/>
  <c r="V342" i="3"/>
  <c r="U342" i="3"/>
  <c r="Z342" i="3" s="1"/>
  <c r="U349" i="3"/>
  <c r="Z349" i="3" s="1"/>
  <c r="J53" i="4"/>
  <c r="L53" i="4" s="1"/>
  <c r="I53" i="4"/>
  <c r="H53" i="4"/>
  <c r="X51" i="3"/>
  <c r="V205" i="3"/>
  <c r="U205" i="3"/>
  <c r="Z205" i="3" s="1"/>
  <c r="V417" i="3"/>
  <c r="V445" i="3"/>
  <c r="U445" i="3"/>
  <c r="Z445" i="3" s="1"/>
  <c r="V477" i="3"/>
  <c r="U477" i="3"/>
  <c r="Z477" i="3" s="1"/>
  <c r="W49" i="3"/>
  <c r="W51" i="3"/>
  <c r="V87" i="3"/>
  <c r="U87" i="3"/>
  <c r="Z87" i="3" s="1"/>
  <c r="V143" i="3"/>
  <c r="U143" i="3"/>
  <c r="Z143" i="3" s="1"/>
  <c r="V179" i="3"/>
  <c r="U179" i="3"/>
  <c r="Z179" i="3" s="1"/>
  <c r="U223" i="3"/>
  <c r="Z223" i="3" s="1"/>
  <c r="V223" i="3"/>
  <c r="V226" i="3"/>
  <c r="V228" i="3"/>
  <c r="U250" i="3"/>
  <c r="Z250" i="3" s="1"/>
  <c r="V250" i="3"/>
  <c r="W272" i="3"/>
  <c r="V382" i="3"/>
  <c r="U382" i="3"/>
  <c r="Z382" i="3" s="1"/>
  <c r="U392" i="3"/>
  <c r="Z392" i="3" s="1"/>
  <c r="V392" i="3"/>
  <c r="AJ30" i="3"/>
  <c r="Y52" i="3"/>
  <c r="AA52" i="3" s="1"/>
  <c r="V59" i="3"/>
  <c r="V61" i="3"/>
  <c r="U61" i="3"/>
  <c r="Z61" i="3" s="1"/>
  <c r="V63" i="3"/>
  <c r="W64" i="3"/>
  <c r="V127" i="3"/>
  <c r="U127" i="3"/>
  <c r="Z127" i="3" s="1"/>
  <c r="V142" i="3"/>
  <c r="X272" i="3"/>
  <c r="V305" i="3"/>
  <c r="U305" i="3"/>
  <c r="Z305" i="3" s="1"/>
  <c r="V377" i="3"/>
  <c r="U377" i="3"/>
  <c r="Z377" i="3" s="1"/>
  <c r="Y437" i="3"/>
  <c r="AA437" i="3" s="1"/>
  <c r="V470" i="3"/>
  <c r="U470" i="3"/>
  <c r="Z470" i="3" s="1"/>
  <c r="AI472" i="3"/>
  <c r="AJ472" i="3"/>
  <c r="AL472" i="3"/>
  <c r="AM472" i="3" s="1"/>
  <c r="U58" i="5"/>
  <c r="M58" i="5"/>
  <c r="A58" i="5"/>
  <c r="X58" i="3"/>
  <c r="V109" i="3"/>
  <c r="U109" i="3"/>
  <c r="Z109" i="3" s="1"/>
  <c r="V177" i="3"/>
  <c r="U177" i="3"/>
  <c r="Z177" i="3" s="1"/>
  <c r="U312" i="3"/>
  <c r="Z312" i="3" s="1"/>
  <c r="V312" i="3"/>
  <c r="V348" i="3"/>
  <c r="V381" i="3"/>
  <c r="U381" i="3"/>
  <c r="Z381" i="3" s="1"/>
  <c r="U401" i="3"/>
  <c r="Z401" i="3" s="1"/>
  <c r="V401" i="3"/>
  <c r="U415" i="3"/>
  <c r="Z415" i="3" s="1"/>
  <c r="V415" i="3"/>
  <c r="V433" i="3"/>
  <c r="U433" i="3"/>
  <c r="Z433" i="3" s="1"/>
  <c r="U20" i="5"/>
  <c r="A20" i="5"/>
  <c r="M20" i="5"/>
  <c r="AK3" i="3"/>
  <c r="O132" i="5"/>
  <c r="P132" i="5"/>
  <c r="F132" i="5"/>
  <c r="N132" i="5" s="1"/>
  <c r="C132" i="5"/>
  <c r="V132" i="5"/>
  <c r="W132" i="5"/>
  <c r="H132" i="5"/>
  <c r="G132" i="5"/>
  <c r="B132" i="5"/>
  <c r="Y58" i="3"/>
  <c r="AA58" i="3" s="1"/>
  <c r="V141" i="3"/>
  <c r="V196" i="3"/>
  <c r="Y221" i="3"/>
  <c r="AA221" i="3" s="1"/>
  <c r="W221" i="3"/>
  <c r="Y237" i="3"/>
  <c r="AA237" i="3" s="1"/>
  <c r="X237" i="3"/>
  <c r="W237" i="3"/>
  <c r="Y249" i="3"/>
  <c r="AA249" i="3" s="1"/>
  <c r="W249" i="3"/>
  <c r="X249" i="3"/>
  <c r="U256" i="3"/>
  <c r="Z256" i="3" s="1"/>
  <c r="V256" i="3"/>
  <c r="W267" i="3"/>
  <c r="V268" i="3"/>
  <c r="W270" i="3"/>
  <c r="W481" i="3"/>
  <c r="Y497" i="3"/>
  <c r="AA497" i="3" s="1"/>
  <c r="W497" i="3"/>
  <c r="J155" i="4"/>
  <c r="L155" i="4" s="1"/>
  <c r="I155" i="4"/>
  <c r="H155" i="4"/>
  <c r="M191" i="5"/>
  <c r="A191" i="5"/>
  <c r="U191" i="5"/>
  <c r="V103" i="3"/>
  <c r="U103" i="3"/>
  <c r="Z103" i="3" s="1"/>
  <c r="V104" i="3"/>
  <c r="U104" i="3"/>
  <c r="Z104" i="3" s="1"/>
  <c r="V108" i="3"/>
  <c r="U108" i="3"/>
  <c r="Z108" i="3" s="1"/>
  <c r="V151" i="3"/>
  <c r="U151" i="3"/>
  <c r="Z151" i="3" s="1"/>
  <c r="V255" i="3"/>
  <c r="U255" i="3"/>
  <c r="Z255" i="3" s="1"/>
  <c r="U318" i="3"/>
  <c r="Z318" i="3" s="1"/>
  <c r="V318" i="3"/>
  <c r="V334" i="3"/>
  <c r="U334" i="3"/>
  <c r="Z334" i="3" s="1"/>
  <c r="Y365" i="3"/>
  <c r="AA365" i="3" s="1"/>
  <c r="X365" i="3"/>
  <c r="W365" i="3"/>
  <c r="V389" i="3"/>
  <c r="U389" i="3"/>
  <c r="Z389" i="3" s="1"/>
  <c r="V409" i="3"/>
  <c r="U409" i="3"/>
  <c r="Z409" i="3" s="1"/>
  <c r="V489" i="3"/>
  <c r="U489" i="3"/>
  <c r="Z489" i="3" s="1"/>
  <c r="O11" i="5"/>
  <c r="H11" i="5"/>
  <c r="V11" i="5"/>
  <c r="V99" i="3"/>
  <c r="U99" i="3"/>
  <c r="Z99" i="3" s="1"/>
  <c r="V95" i="3"/>
  <c r="F98" i="6"/>
  <c r="B94" i="6"/>
  <c r="C87" i="6"/>
  <c r="E87" i="6" s="1"/>
  <c r="A85" i="6"/>
  <c r="F82" i="6"/>
  <c r="B78" i="6"/>
  <c r="D42" i="6"/>
  <c r="B40" i="6"/>
  <c r="G37" i="6"/>
  <c r="E35" i="6"/>
  <c r="C33" i="6"/>
  <c r="A31" i="6"/>
  <c r="F28" i="6"/>
  <c r="D26" i="6"/>
  <c r="B24" i="6"/>
  <c r="G21" i="6"/>
  <c r="C96" i="6"/>
  <c r="E96" i="6" s="1"/>
  <c r="A94" i="6"/>
  <c r="F91" i="6"/>
  <c r="B87" i="6"/>
  <c r="C80" i="6"/>
  <c r="E80" i="6" s="1"/>
  <c r="A78" i="6"/>
  <c r="F75" i="6"/>
  <c r="B96" i="6"/>
  <c r="C89" i="6"/>
  <c r="E89" i="6" s="1"/>
  <c r="A87" i="6"/>
  <c r="F84" i="6"/>
  <c r="B80" i="6"/>
  <c r="B42" i="6"/>
  <c r="G39" i="6"/>
  <c r="E37" i="6"/>
  <c r="C35" i="6"/>
  <c r="A33" i="6"/>
  <c r="C98" i="6"/>
  <c r="E98" i="6" s="1"/>
  <c r="A96" i="6"/>
  <c r="F93" i="6"/>
  <c r="B89" i="6"/>
  <c r="C82" i="6"/>
  <c r="E82" i="6" s="1"/>
  <c r="A80" i="6"/>
  <c r="F77" i="6"/>
  <c r="A42" i="6"/>
  <c r="F39" i="6"/>
  <c r="D37" i="6"/>
  <c r="B35" i="6"/>
  <c r="G32" i="6"/>
  <c r="E30" i="6"/>
  <c r="C28" i="6"/>
  <c r="A26" i="6"/>
  <c r="F23" i="6"/>
  <c r="D21" i="6"/>
  <c r="B19" i="6"/>
  <c r="B98" i="6"/>
  <c r="F97" i="6"/>
  <c r="B93" i="6"/>
  <c r="C86" i="6"/>
  <c r="E86" i="6" s="1"/>
  <c r="A84" i="6"/>
  <c r="F81" i="6"/>
  <c r="B77" i="6"/>
  <c r="D41" i="6"/>
  <c r="B39" i="6"/>
  <c r="G36" i="6"/>
  <c r="E34" i="6"/>
  <c r="C32" i="6"/>
  <c r="A30" i="6"/>
  <c r="F27" i="6"/>
  <c r="D25" i="6"/>
  <c r="B23" i="6"/>
  <c r="G20" i="6"/>
  <c r="A97" i="6"/>
  <c r="C92" i="6"/>
  <c r="E92" i="6" s="1"/>
  <c r="A90" i="6"/>
  <c r="F87" i="6"/>
  <c r="A98" i="6"/>
  <c r="F86" i="6"/>
  <c r="F76" i="6"/>
  <c r="B41" i="6"/>
  <c r="C38" i="6"/>
  <c r="A35" i="6"/>
  <c r="A32" i="6"/>
  <c r="C29" i="6"/>
  <c r="E26" i="6"/>
  <c r="C94" i="6"/>
  <c r="E94" i="6" s="1"/>
  <c r="C83" i="6"/>
  <c r="E83" i="6" s="1"/>
  <c r="F79" i="6"/>
  <c r="A41" i="6"/>
  <c r="B38" i="6"/>
  <c r="G34" i="6"/>
  <c r="G31" i="6"/>
  <c r="B29" i="6"/>
  <c r="C26" i="6"/>
  <c r="D23" i="6"/>
  <c r="E20" i="6"/>
  <c r="C90" i="6"/>
  <c r="E90" i="6" s="1"/>
  <c r="B83" i="6"/>
  <c r="G40" i="6"/>
  <c r="A38" i="6"/>
  <c r="F34" i="6"/>
  <c r="F31" i="6"/>
  <c r="A29" i="6"/>
  <c r="B26" i="6"/>
  <c r="C23" i="6"/>
  <c r="D20" i="6"/>
  <c r="B90" i="6"/>
  <c r="B86" i="6"/>
  <c r="A83" i="6"/>
  <c r="C79" i="6"/>
  <c r="E79" i="6" s="1"/>
  <c r="C76" i="6"/>
  <c r="E76" i="6" s="1"/>
  <c r="F40" i="6"/>
  <c r="F37" i="6"/>
  <c r="D34" i="6"/>
  <c r="E31" i="6"/>
  <c r="G28" i="6"/>
  <c r="G25" i="6"/>
  <c r="A23" i="6"/>
  <c r="C20" i="6"/>
  <c r="C97" i="6"/>
  <c r="E97" i="6" s="1"/>
  <c r="C93" i="6"/>
  <c r="E93" i="6" s="1"/>
  <c r="A86" i="6"/>
  <c r="B79" i="6"/>
  <c r="B76" i="6"/>
  <c r="E40" i="6"/>
  <c r="C37" i="6"/>
  <c r="C34" i="6"/>
  <c r="D31" i="6"/>
  <c r="E28" i="6"/>
  <c r="F25" i="6"/>
  <c r="G22" i="6"/>
  <c r="B20" i="6"/>
  <c r="B97" i="6"/>
  <c r="A93" i="6"/>
  <c r="F89" i="6"/>
  <c r="B82" i="6"/>
  <c r="A79" i="6"/>
  <c r="A76" i="6"/>
  <c r="D40" i="6"/>
  <c r="B37" i="6"/>
  <c r="B34" i="6"/>
  <c r="C31" i="6"/>
  <c r="D28" i="6"/>
  <c r="E25" i="6"/>
  <c r="F22" i="6"/>
  <c r="A20" i="6"/>
  <c r="F96" i="6"/>
  <c r="A89" i="6"/>
  <c r="F85" i="6"/>
  <c r="A82" i="6"/>
  <c r="C40" i="6"/>
  <c r="A37" i="6"/>
  <c r="A34" i="6"/>
  <c r="B31" i="6"/>
  <c r="B28" i="6"/>
  <c r="C25" i="6"/>
  <c r="E22" i="6"/>
  <c r="G19" i="6"/>
  <c r="A91" i="6"/>
  <c r="F83" i="6"/>
  <c r="F80" i="6"/>
  <c r="A77" i="6"/>
  <c r="A74" i="6"/>
  <c r="B75" i="6"/>
  <c r="F38" i="6"/>
  <c r="B33" i="6"/>
  <c r="E27" i="6"/>
  <c r="E23" i="6"/>
  <c r="F18" i="6"/>
  <c r="F88" i="6"/>
  <c r="A75" i="6"/>
  <c r="E38" i="6"/>
  <c r="F32" i="6"/>
  <c r="D27" i="6"/>
  <c r="D22" i="6"/>
  <c r="D18" i="6"/>
  <c r="F95" i="6"/>
  <c r="F74" i="6"/>
  <c r="G42" i="6"/>
  <c r="D38" i="6"/>
  <c r="E32" i="6"/>
  <c r="C27" i="6"/>
  <c r="C22" i="6"/>
  <c r="C18" i="6"/>
  <c r="C88" i="6"/>
  <c r="E88" i="6" s="1"/>
  <c r="C81" i="6"/>
  <c r="E81" i="6" s="1"/>
  <c r="F42" i="6"/>
  <c r="F36" i="6"/>
  <c r="D32" i="6"/>
  <c r="B27" i="6"/>
  <c r="B22" i="6"/>
  <c r="B18" i="6"/>
  <c r="C95" i="6"/>
  <c r="E95" i="6" s="1"/>
  <c r="B88" i="6"/>
  <c r="B81" i="6"/>
  <c r="E42" i="6"/>
  <c r="E36" i="6"/>
  <c r="B32" i="6"/>
  <c r="A27" i="6"/>
  <c r="A22" i="6"/>
  <c r="A18" i="6"/>
  <c r="A95" i="6"/>
  <c r="B74" i="6"/>
  <c r="G41" i="6"/>
  <c r="C36" i="6"/>
  <c r="F30" i="6"/>
  <c r="F26" i="6"/>
  <c r="E21" i="6"/>
  <c r="F94" i="6"/>
  <c r="F41" i="6"/>
  <c r="B36" i="6"/>
  <c r="D30" i="6"/>
  <c r="B25" i="6"/>
  <c r="C21" i="6"/>
  <c r="F92" i="6"/>
  <c r="F78" i="6"/>
  <c r="E41" i="6"/>
  <c r="C85" i="6"/>
  <c r="E85" i="6" s="1"/>
  <c r="C41" i="6"/>
  <c r="G35" i="6"/>
  <c r="B30" i="6"/>
  <c r="G24" i="6"/>
  <c r="A21" i="6"/>
  <c r="B95" i="6"/>
  <c r="C78" i="6"/>
  <c r="E78" i="6" s="1"/>
  <c r="G30" i="6"/>
  <c r="F21" i="6"/>
  <c r="C42" i="6"/>
  <c r="C30" i="6"/>
  <c r="B21" i="6"/>
  <c r="B92" i="6"/>
  <c r="A40" i="6"/>
  <c r="G29" i="6"/>
  <c r="F20" i="6"/>
  <c r="A92" i="6"/>
  <c r="C77" i="6"/>
  <c r="E77" i="6" s="1"/>
  <c r="E39" i="6"/>
  <c r="F29" i="6"/>
  <c r="F19" i="6"/>
  <c r="F90" i="6"/>
  <c r="A39" i="6"/>
  <c r="A28" i="6"/>
  <c r="A19" i="6"/>
  <c r="A88" i="6"/>
  <c r="G38" i="6"/>
  <c r="G27" i="6"/>
  <c r="G18" i="6"/>
  <c r="B85" i="6"/>
  <c r="D36" i="6"/>
  <c r="G26" i="6"/>
  <c r="A36" i="6"/>
  <c r="A25" i="6"/>
  <c r="C84" i="6"/>
  <c r="E84" i="6" s="1"/>
  <c r="F35" i="6"/>
  <c r="F24" i="6"/>
  <c r="C91" i="6"/>
  <c r="E91" i="6" s="1"/>
  <c r="C24" i="6"/>
  <c r="B91" i="6"/>
  <c r="A24" i="6"/>
  <c r="B84" i="6"/>
  <c r="G23" i="6"/>
  <c r="C19" i="6"/>
  <c r="A81" i="6"/>
  <c r="D39" i="6"/>
  <c r="C39" i="6"/>
  <c r="D35" i="6"/>
  <c r="G33" i="6"/>
  <c r="E24" i="6"/>
  <c r="D24" i="6"/>
  <c r="F33" i="6"/>
  <c r="E33" i="6"/>
  <c r="D33" i="6"/>
  <c r="E29" i="6"/>
  <c r="D29" i="6"/>
  <c r="Y147" i="3"/>
  <c r="AA147" i="3" s="1"/>
  <c r="X147" i="3"/>
  <c r="W147" i="3"/>
  <c r="V376" i="3"/>
  <c r="U376" i="3"/>
  <c r="Z376" i="3" s="1"/>
  <c r="V414" i="3"/>
  <c r="U414" i="3"/>
  <c r="Z414" i="3" s="1"/>
  <c r="AL432" i="3"/>
  <c r="AM432" i="3" s="1"/>
  <c r="X443" i="3"/>
  <c r="W443" i="3"/>
  <c r="Y443" i="3"/>
  <c r="AA443" i="3" s="1"/>
  <c r="V452" i="3"/>
  <c r="U452" i="3"/>
  <c r="Z452" i="3" s="1"/>
  <c r="V100" i="3"/>
  <c r="U100" i="3"/>
  <c r="Z100" i="3" s="1"/>
  <c r="V346" i="3"/>
  <c r="U346" i="3"/>
  <c r="Z346" i="3" s="1"/>
  <c r="J130" i="4"/>
  <c r="L130" i="4" s="1"/>
  <c r="I130" i="4"/>
  <c r="H130" i="4"/>
  <c r="I144" i="4"/>
  <c r="H144" i="4"/>
  <c r="U368" i="3"/>
  <c r="Z368" i="3" s="1"/>
  <c r="V368" i="3"/>
  <c r="V124" i="3"/>
  <c r="U124" i="3"/>
  <c r="Z124" i="3" s="1"/>
  <c r="U304" i="3"/>
  <c r="Z304" i="3" s="1"/>
  <c r="V304" i="3"/>
  <c r="U175" i="3"/>
  <c r="Z175" i="3" s="1"/>
  <c r="V175" i="3"/>
  <c r="X219" i="3"/>
  <c r="Y265" i="3"/>
  <c r="AA265" i="3" s="1"/>
  <c r="X265" i="3"/>
  <c r="W265" i="3"/>
  <c r="V279" i="3"/>
  <c r="U279" i="3"/>
  <c r="Z279" i="3" s="1"/>
  <c r="AI289" i="3"/>
  <c r="V333" i="3"/>
  <c r="X371" i="3"/>
  <c r="W371" i="3"/>
  <c r="X380" i="3"/>
  <c r="W380" i="3"/>
  <c r="Y380" i="3"/>
  <c r="AA380" i="3" s="1"/>
  <c r="E2" i="4"/>
  <c r="V106" i="3"/>
  <c r="V201" i="3"/>
  <c r="U201" i="3"/>
  <c r="Z201" i="3" s="1"/>
  <c r="Y219" i="3"/>
  <c r="AA219" i="3" s="1"/>
  <c r="Y235" i="3"/>
  <c r="AA235" i="3" s="1"/>
  <c r="X235" i="3"/>
  <c r="W235" i="3"/>
  <c r="X303" i="3"/>
  <c r="AL310" i="3"/>
  <c r="AM310" i="3" s="1"/>
  <c r="AI310" i="3"/>
  <c r="AJ310" i="3"/>
  <c r="Y317" i="3"/>
  <c r="AA317" i="3" s="1"/>
  <c r="X317" i="3"/>
  <c r="W317" i="3"/>
  <c r="U380" i="3"/>
  <c r="Z380" i="3" s="1"/>
  <c r="X399" i="3"/>
  <c r="W399" i="3"/>
  <c r="J144" i="4"/>
  <c r="L144" i="4" s="1"/>
  <c r="V204" i="5"/>
  <c r="W204" i="5"/>
  <c r="P204" i="5"/>
  <c r="O204" i="5"/>
  <c r="F204" i="5"/>
  <c r="N204" i="5" s="1"/>
  <c r="C204" i="5"/>
  <c r="H204" i="5"/>
  <c r="G204" i="5"/>
  <c r="B204" i="5"/>
  <c r="V102" i="3"/>
  <c r="X146" i="3"/>
  <c r="W146" i="3"/>
  <c r="Y146" i="3"/>
  <c r="AA146" i="3" s="1"/>
  <c r="V159" i="3"/>
  <c r="U159" i="3"/>
  <c r="Z159" i="3" s="1"/>
  <c r="X195" i="3"/>
  <c r="W195" i="3"/>
  <c r="Y195" i="3"/>
  <c r="AA195" i="3" s="1"/>
  <c r="J123" i="4"/>
  <c r="L123" i="4" s="1"/>
  <c r="I123" i="4"/>
  <c r="H123" i="4"/>
  <c r="V4" i="3"/>
  <c r="U4" i="3"/>
  <c r="Z4" i="3" s="1"/>
  <c r="V24" i="3"/>
  <c r="U24" i="3"/>
  <c r="Z24" i="3" s="1"/>
  <c r="X30" i="3"/>
  <c r="W30" i="3"/>
  <c r="V139" i="3"/>
  <c r="AI157" i="3"/>
  <c r="Y231" i="3"/>
  <c r="AA231" i="3" s="1"/>
  <c r="X231" i="3"/>
  <c r="V232" i="3"/>
  <c r="V285" i="3"/>
  <c r="V354" i="3"/>
  <c r="U354" i="3"/>
  <c r="Z354" i="3" s="1"/>
  <c r="A121" i="5"/>
  <c r="M121" i="5"/>
  <c r="Y458" i="3"/>
  <c r="AA458" i="3" s="1"/>
  <c r="X458" i="3"/>
  <c r="W458" i="3"/>
  <c r="V496" i="3"/>
  <c r="U496" i="3"/>
  <c r="Z496" i="3" s="1"/>
  <c r="J46" i="4"/>
  <c r="L46" i="4" s="1"/>
  <c r="I46" i="4"/>
  <c r="H46" i="4"/>
  <c r="J92" i="4"/>
  <c r="L92" i="4" s="1"/>
  <c r="I92" i="4"/>
  <c r="M115" i="5"/>
  <c r="A115" i="5"/>
  <c r="U115" i="5"/>
  <c r="M122" i="5"/>
  <c r="U122" i="5"/>
  <c r="M232" i="5"/>
  <c r="A232" i="5"/>
  <c r="W238" i="5"/>
  <c r="G238" i="5"/>
  <c r="H250" i="5"/>
  <c r="G250" i="5"/>
  <c r="C250" i="5"/>
  <c r="B250" i="5"/>
  <c r="W250" i="5"/>
  <c r="V250" i="5"/>
  <c r="P250" i="5"/>
  <c r="O250" i="5"/>
  <c r="V171" i="3"/>
  <c r="U171" i="3"/>
  <c r="Z171" i="3" s="1"/>
  <c r="U210" i="3"/>
  <c r="Z210" i="3" s="1"/>
  <c r="V210" i="3"/>
  <c r="Y275" i="3"/>
  <c r="AA275" i="3" s="1"/>
  <c r="X275" i="3"/>
  <c r="W275" i="3"/>
  <c r="V325" i="3"/>
  <c r="U325" i="3"/>
  <c r="Z325" i="3" s="1"/>
  <c r="X347" i="3"/>
  <c r="W347" i="3"/>
  <c r="Y347" i="3"/>
  <c r="AA347" i="3" s="1"/>
  <c r="U367" i="3"/>
  <c r="Z367" i="3" s="1"/>
  <c r="V367" i="3"/>
  <c r="Y378" i="3"/>
  <c r="AA378" i="3" s="1"/>
  <c r="X378" i="3"/>
  <c r="W378" i="3"/>
  <c r="AI396" i="3"/>
  <c r="AL396" i="3"/>
  <c r="AM396" i="3" s="1"/>
  <c r="AJ396" i="3"/>
  <c r="U458" i="3"/>
  <c r="Z458" i="3" s="1"/>
  <c r="J59" i="4"/>
  <c r="L59" i="4" s="1"/>
  <c r="I59" i="4"/>
  <c r="H92" i="4"/>
  <c r="G60" i="5"/>
  <c r="C225" i="5"/>
  <c r="B225" i="5"/>
  <c r="H225" i="5"/>
  <c r="G225" i="5"/>
  <c r="F225" i="5"/>
  <c r="N225" i="5" s="1"/>
  <c r="P225" i="5"/>
  <c r="W225" i="5"/>
  <c r="V225" i="5"/>
  <c r="O225" i="5"/>
  <c r="U232" i="5"/>
  <c r="F250" i="5"/>
  <c r="N250" i="5" s="1"/>
  <c r="V348" i="5"/>
  <c r="F348" i="5"/>
  <c r="N348" i="5" s="1"/>
  <c r="C348" i="5"/>
  <c r="W348" i="5"/>
  <c r="P348" i="5"/>
  <c r="H348" i="5"/>
  <c r="O348" i="5"/>
  <c r="G348" i="5"/>
  <c r="B348" i="5"/>
  <c r="A457" i="5"/>
  <c r="M457" i="5"/>
  <c r="U457" i="5"/>
  <c r="U49" i="3"/>
  <c r="Z49" i="3" s="1"/>
  <c r="U64" i="3"/>
  <c r="Z64" i="3" s="1"/>
  <c r="U88" i="3"/>
  <c r="Z88" i="3" s="1"/>
  <c r="W114" i="3"/>
  <c r="V200" i="3"/>
  <c r="U204" i="3"/>
  <c r="Z204" i="3" s="1"/>
  <c r="V204" i="3"/>
  <c r="V238" i="3"/>
  <c r="Y239" i="3"/>
  <c r="AA239" i="3" s="1"/>
  <c r="X239" i="3"/>
  <c r="W239" i="3"/>
  <c r="V278" i="3"/>
  <c r="Y330" i="3"/>
  <c r="AA330" i="3" s="1"/>
  <c r="X330" i="3"/>
  <c r="U332" i="3"/>
  <c r="Z332" i="3" s="1"/>
  <c r="V332" i="3"/>
  <c r="V344" i="3"/>
  <c r="U378" i="3"/>
  <c r="Z378" i="3" s="1"/>
  <c r="AJ398" i="3"/>
  <c r="AL398" i="3"/>
  <c r="AM398" i="3" s="1"/>
  <c r="AI398" i="3"/>
  <c r="V400" i="3"/>
  <c r="V425" i="3"/>
  <c r="U425" i="3"/>
  <c r="Z425" i="3" s="1"/>
  <c r="X467" i="3"/>
  <c r="W467" i="3"/>
  <c r="U492" i="3"/>
  <c r="Z492" i="3" s="1"/>
  <c r="V492" i="3"/>
  <c r="H59" i="4"/>
  <c r="H284" i="5"/>
  <c r="G284" i="5"/>
  <c r="W284" i="5"/>
  <c r="V284" i="5"/>
  <c r="P284" i="5"/>
  <c r="O284" i="5"/>
  <c r="F284" i="5"/>
  <c r="N284" i="5" s="1"/>
  <c r="C284" i="5"/>
  <c r="B284" i="5"/>
  <c r="V27" i="3"/>
  <c r="V34" i="3"/>
  <c r="V163" i="3"/>
  <c r="U163" i="3"/>
  <c r="Z163" i="3" s="1"/>
  <c r="X211" i="3"/>
  <c r="W211" i="3"/>
  <c r="Y211" i="3"/>
  <c r="AA211" i="3" s="1"/>
  <c r="V253" i="3"/>
  <c r="U254" i="3"/>
  <c r="Z254" i="3" s="1"/>
  <c r="V254" i="3"/>
  <c r="V322" i="3"/>
  <c r="U322" i="3"/>
  <c r="Z322" i="3" s="1"/>
  <c r="V324" i="3"/>
  <c r="W330" i="3"/>
  <c r="X331" i="3"/>
  <c r="W331" i="3"/>
  <c r="Y331" i="3"/>
  <c r="AA331" i="3" s="1"/>
  <c r="V360" i="3"/>
  <c r="U360" i="3"/>
  <c r="Z360" i="3" s="1"/>
  <c r="V361" i="3"/>
  <c r="U361" i="3"/>
  <c r="Z361" i="3" s="1"/>
  <c r="V363" i="3"/>
  <c r="U363" i="3"/>
  <c r="Z363" i="3" s="1"/>
  <c r="V364" i="3"/>
  <c r="U364" i="3"/>
  <c r="Z364" i="3" s="1"/>
  <c r="V366" i="3"/>
  <c r="U366" i="3"/>
  <c r="Z366" i="3" s="1"/>
  <c r="U413" i="3"/>
  <c r="Z413" i="3" s="1"/>
  <c r="V413" i="3"/>
  <c r="V456" i="3"/>
  <c r="Y467" i="3"/>
  <c r="AA467" i="3" s="1"/>
  <c r="Y57" i="3"/>
  <c r="AA57" i="3" s="1"/>
  <c r="X57" i="3"/>
  <c r="W57" i="3"/>
  <c r="V340" i="3"/>
  <c r="U340" i="3"/>
  <c r="Z340" i="3" s="1"/>
  <c r="V412" i="3"/>
  <c r="U412" i="3"/>
  <c r="Z412" i="3" s="1"/>
  <c r="H185" i="4"/>
  <c r="J185" i="4"/>
  <c r="L185" i="4" s="1"/>
  <c r="I185" i="4"/>
  <c r="U9" i="3"/>
  <c r="Z9" i="3" s="1"/>
  <c r="V31" i="3"/>
  <c r="U84" i="3"/>
  <c r="Z84" i="3" s="1"/>
  <c r="V152" i="3"/>
  <c r="U161" i="3"/>
  <c r="Z161" i="3" s="1"/>
  <c r="V161" i="3"/>
  <c r="V162" i="3"/>
  <c r="V176" i="3"/>
  <c r="X185" i="3"/>
  <c r="W185" i="3"/>
  <c r="V214" i="3"/>
  <c r="V216" i="3"/>
  <c r="U260" i="3"/>
  <c r="Z260" i="3" s="1"/>
  <c r="V260" i="3"/>
  <c r="V262" i="3"/>
  <c r="X291" i="3"/>
  <c r="Y420" i="3"/>
  <c r="AA420" i="3" s="1"/>
  <c r="X420" i="3"/>
  <c r="W420" i="3"/>
  <c r="U463" i="3"/>
  <c r="Z463" i="3" s="1"/>
  <c r="X488" i="3"/>
  <c r="W488" i="3"/>
  <c r="J178" i="4"/>
  <c r="L178" i="4" s="1"/>
  <c r="I178" i="4"/>
  <c r="H178" i="4"/>
  <c r="V183" i="3"/>
  <c r="U183" i="3"/>
  <c r="Z183" i="3" s="1"/>
  <c r="Y258" i="3"/>
  <c r="AA258" i="3" s="1"/>
  <c r="X258" i="3"/>
  <c r="W258" i="3"/>
  <c r="Y388" i="3"/>
  <c r="AA388" i="3" s="1"/>
  <c r="X388" i="3"/>
  <c r="U421" i="3"/>
  <c r="Z421" i="3" s="1"/>
  <c r="V421" i="3"/>
  <c r="U454" i="3"/>
  <c r="Z454" i="3" s="1"/>
  <c r="V454" i="3"/>
  <c r="X463" i="3"/>
  <c r="W463" i="3"/>
  <c r="Y463" i="3"/>
  <c r="AA463" i="3" s="1"/>
  <c r="J188" i="4"/>
  <c r="L188" i="4" s="1"/>
  <c r="I188" i="4"/>
  <c r="H188" i="4"/>
  <c r="U58" i="3"/>
  <c r="Z58" i="3" s="1"/>
  <c r="U80" i="3"/>
  <c r="Z80" i="3" s="1"/>
  <c r="X84" i="3"/>
  <c r="U89" i="3"/>
  <c r="Z89" i="3" s="1"/>
  <c r="V153" i="3"/>
  <c r="U182" i="3"/>
  <c r="Z182" i="3" s="1"/>
  <c r="V182" i="3"/>
  <c r="Y185" i="3"/>
  <c r="AA185" i="3" s="1"/>
  <c r="V186" i="3"/>
  <c r="V248" i="3"/>
  <c r="V292" i="3"/>
  <c r="V295" i="3"/>
  <c r="U295" i="3"/>
  <c r="Z295" i="3" s="1"/>
  <c r="AI321" i="3"/>
  <c r="AJ321" i="3"/>
  <c r="AL321" i="3"/>
  <c r="AM321" i="3" s="1"/>
  <c r="U420" i="3"/>
  <c r="Z420" i="3" s="1"/>
  <c r="Y488" i="3"/>
  <c r="AA488" i="3" s="1"/>
  <c r="I58" i="4"/>
  <c r="J58" i="4"/>
  <c r="L58" i="4" s="1"/>
  <c r="H58" i="4"/>
  <c r="J74" i="4"/>
  <c r="L74" i="4" s="1"/>
  <c r="I74" i="4"/>
  <c r="M35" i="5"/>
  <c r="U35" i="5"/>
  <c r="U252" i="3"/>
  <c r="Z252" i="3" s="1"/>
  <c r="V252" i="3"/>
  <c r="V486" i="3"/>
  <c r="U486" i="3"/>
  <c r="Z486" i="3" s="1"/>
  <c r="Y84" i="3"/>
  <c r="AA84" i="3" s="1"/>
  <c r="Y105" i="3"/>
  <c r="AA105" i="3" s="1"/>
  <c r="X105" i="3"/>
  <c r="V110" i="3"/>
  <c r="U128" i="3"/>
  <c r="Z128" i="3" s="1"/>
  <c r="V128" i="3"/>
  <c r="U130" i="3"/>
  <c r="Z130" i="3" s="1"/>
  <c r="V130" i="3"/>
  <c r="U132" i="3"/>
  <c r="Z132" i="3" s="1"/>
  <c r="V132" i="3"/>
  <c r="U355" i="3"/>
  <c r="Z355" i="3" s="1"/>
  <c r="V355" i="3"/>
  <c r="X461" i="3"/>
  <c r="V474" i="3"/>
  <c r="U474" i="3"/>
  <c r="Z474" i="3" s="1"/>
  <c r="V482" i="3"/>
  <c r="U482" i="3"/>
  <c r="Z482" i="3" s="1"/>
  <c r="W501" i="3"/>
  <c r="Y501" i="3"/>
  <c r="AA501" i="3" s="1"/>
  <c r="X501" i="3"/>
  <c r="I51" i="4"/>
  <c r="J51" i="4"/>
  <c r="L51" i="4" s="1"/>
  <c r="H51" i="4"/>
  <c r="H74" i="4"/>
  <c r="V125" i="3"/>
  <c r="U125" i="3"/>
  <c r="Z125" i="3" s="1"/>
  <c r="U464" i="3"/>
  <c r="Z464" i="3" s="1"/>
  <c r="V464" i="3"/>
  <c r="W134" i="3"/>
  <c r="V135" i="3"/>
  <c r="U135" i="3"/>
  <c r="Z135" i="3" s="1"/>
  <c r="Y263" i="3"/>
  <c r="AA263" i="3" s="1"/>
  <c r="X263" i="3"/>
  <c r="W263" i="3"/>
  <c r="U319" i="3"/>
  <c r="Z319" i="3" s="1"/>
  <c r="V319" i="3"/>
  <c r="V338" i="3"/>
  <c r="U338" i="3"/>
  <c r="Z338" i="3" s="1"/>
  <c r="Y339" i="3"/>
  <c r="AA339" i="3" s="1"/>
  <c r="X339" i="3"/>
  <c r="W339" i="3"/>
  <c r="W386" i="3"/>
  <c r="Y386" i="3"/>
  <c r="AA386" i="3" s="1"/>
  <c r="X386" i="3"/>
  <c r="W450" i="3"/>
  <c r="Y450" i="3"/>
  <c r="AA450" i="3" s="1"/>
  <c r="X450" i="3"/>
  <c r="U14" i="5"/>
  <c r="M14" i="5"/>
  <c r="A14" i="5"/>
  <c r="A144" i="5"/>
  <c r="M144" i="5"/>
  <c r="U144" i="5"/>
  <c r="M247" i="5"/>
  <c r="U247" i="5"/>
  <c r="A247" i="5"/>
  <c r="M320" i="5"/>
  <c r="A320" i="5"/>
  <c r="U320" i="5"/>
  <c r="Y446" i="3"/>
  <c r="AA446" i="3" s="1"/>
  <c r="X446" i="3"/>
  <c r="G160" i="5"/>
  <c r="F160" i="5"/>
  <c r="N160" i="5" s="1"/>
  <c r="P160" i="5"/>
  <c r="O160" i="5"/>
  <c r="W160" i="5"/>
  <c r="H160" i="5"/>
  <c r="C160" i="5"/>
  <c r="V160" i="5"/>
  <c r="V410" i="3"/>
  <c r="U410" i="3"/>
  <c r="Z410" i="3" s="1"/>
  <c r="U443" i="3"/>
  <c r="Z443" i="3" s="1"/>
  <c r="U444" i="3"/>
  <c r="Z444" i="3" s="1"/>
  <c r="W446" i="3"/>
  <c r="V447" i="3"/>
  <c r="U447" i="3"/>
  <c r="Z447" i="3" s="1"/>
  <c r="V466" i="3"/>
  <c r="U466" i="3"/>
  <c r="Z466" i="3" s="1"/>
  <c r="J41" i="4"/>
  <c r="L41" i="4" s="1"/>
  <c r="I41" i="4"/>
  <c r="H41" i="4"/>
  <c r="O15" i="5"/>
  <c r="W15" i="5"/>
  <c r="V15" i="5"/>
  <c r="P15" i="5"/>
  <c r="H15" i="5"/>
  <c r="G15" i="5"/>
  <c r="C15" i="5"/>
  <c r="B15" i="5"/>
  <c r="M41" i="5"/>
  <c r="A41" i="5"/>
  <c r="O111" i="5"/>
  <c r="W111" i="5"/>
  <c r="P111" i="5"/>
  <c r="G111" i="5"/>
  <c r="F111" i="5"/>
  <c r="N111" i="5" s="1"/>
  <c r="V111" i="5"/>
  <c r="H111" i="5"/>
  <c r="C111" i="5"/>
  <c r="B160" i="5"/>
  <c r="U442" i="3"/>
  <c r="Z442" i="3" s="1"/>
  <c r="V442" i="3"/>
  <c r="Y444" i="3"/>
  <c r="AA444" i="3" s="1"/>
  <c r="X444" i="3"/>
  <c r="W444" i="3"/>
  <c r="J20" i="4"/>
  <c r="L20" i="4" s="1"/>
  <c r="I20" i="4"/>
  <c r="O17" i="5"/>
  <c r="C17" i="5"/>
  <c r="B17" i="5"/>
  <c r="H17" i="5"/>
  <c r="G17" i="5"/>
  <c r="F17" i="5"/>
  <c r="N17" i="5" s="1"/>
  <c r="W17" i="5"/>
  <c r="V17" i="5"/>
  <c r="P17" i="5"/>
  <c r="A136" i="5"/>
  <c r="M136" i="5"/>
  <c r="U136" i="5"/>
  <c r="H322" i="5"/>
  <c r="G322" i="5"/>
  <c r="B322" i="5"/>
  <c r="W322" i="5"/>
  <c r="V322" i="5"/>
  <c r="P322" i="5"/>
  <c r="O322" i="5"/>
  <c r="F322" i="5"/>
  <c r="N322" i="5" s="1"/>
  <c r="C322" i="5"/>
  <c r="U2" i="3"/>
  <c r="V11" i="3"/>
  <c r="V43" i="3"/>
  <c r="V75" i="3"/>
  <c r="Y107" i="3"/>
  <c r="AA107" i="3" s="1"/>
  <c r="X107" i="3"/>
  <c r="Y199" i="3"/>
  <c r="AA199" i="3" s="1"/>
  <c r="X199" i="3"/>
  <c r="V251" i="3"/>
  <c r="U251" i="3"/>
  <c r="Z251" i="3" s="1"/>
  <c r="V257" i="3"/>
  <c r="U257" i="3"/>
  <c r="Z257" i="3" s="1"/>
  <c r="V293" i="3"/>
  <c r="U293" i="3"/>
  <c r="Z293" i="3" s="1"/>
  <c r="U294" i="3"/>
  <c r="Z294" i="3" s="1"/>
  <c r="V294" i="3"/>
  <c r="Y465" i="3"/>
  <c r="AA465" i="3" s="1"/>
  <c r="X465" i="3"/>
  <c r="V468" i="3"/>
  <c r="U468" i="3"/>
  <c r="Z468" i="3" s="1"/>
  <c r="V479" i="3"/>
  <c r="U479" i="3"/>
  <c r="Z479" i="3" s="1"/>
  <c r="H48" i="4"/>
  <c r="J48" i="4"/>
  <c r="L48" i="4" s="1"/>
  <c r="I48" i="4"/>
  <c r="I112" i="4"/>
  <c r="H112" i="4"/>
  <c r="J147" i="4"/>
  <c r="L147" i="4" s="1"/>
  <c r="I147" i="4"/>
  <c r="H147" i="4"/>
  <c r="J150" i="4"/>
  <c r="L150" i="4" s="1"/>
  <c r="I150" i="4"/>
  <c r="M3" i="5"/>
  <c r="A3" i="5"/>
  <c r="AK2" i="3"/>
  <c r="O134" i="5"/>
  <c r="V134" i="5"/>
  <c r="P134" i="5"/>
  <c r="H134" i="5"/>
  <c r="F134" i="5"/>
  <c r="N134" i="5" s="1"/>
  <c r="C134" i="5"/>
  <c r="W134" i="5"/>
  <c r="G134" i="5"/>
  <c r="B134" i="5"/>
  <c r="U156" i="3"/>
  <c r="Z156" i="3" s="1"/>
  <c r="V156" i="3"/>
  <c r="V229" i="3"/>
  <c r="U229" i="3"/>
  <c r="Z229" i="3" s="1"/>
  <c r="AI335" i="3"/>
  <c r="W341" i="3"/>
  <c r="Y341" i="3"/>
  <c r="AA341" i="3" s="1"/>
  <c r="X341" i="3"/>
  <c r="Y356" i="3"/>
  <c r="AA356" i="3" s="1"/>
  <c r="X356" i="3"/>
  <c r="V395" i="3"/>
  <c r="U395" i="3"/>
  <c r="Z395" i="3" s="1"/>
  <c r="X471" i="3"/>
  <c r="W471" i="3"/>
  <c r="Y471" i="3"/>
  <c r="AA471" i="3" s="1"/>
  <c r="X475" i="3"/>
  <c r="W475" i="3"/>
  <c r="Y475" i="3"/>
  <c r="AA475" i="3" s="1"/>
  <c r="V485" i="3"/>
  <c r="U485" i="3"/>
  <c r="Z485" i="3" s="1"/>
  <c r="J115" i="4"/>
  <c r="L115" i="4" s="1"/>
  <c r="H115" i="4"/>
  <c r="I115" i="4"/>
  <c r="M99" i="5"/>
  <c r="A99" i="5"/>
  <c r="A104" i="5"/>
  <c r="M104" i="5"/>
  <c r="M182" i="5"/>
  <c r="A182" i="5"/>
  <c r="U182" i="5"/>
  <c r="V316" i="5"/>
  <c r="V149" i="3"/>
  <c r="U164" i="3"/>
  <c r="Z164" i="3" s="1"/>
  <c r="V164" i="3"/>
  <c r="U189" i="3"/>
  <c r="Z189" i="3" s="1"/>
  <c r="W212" i="3"/>
  <c r="Y217" i="3"/>
  <c r="AA217" i="3" s="1"/>
  <c r="X217" i="3"/>
  <c r="V246" i="3"/>
  <c r="U282" i="3"/>
  <c r="Z282" i="3" s="1"/>
  <c r="V282" i="3"/>
  <c r="U288" i="3"/>
  <c r="Z288" i="3" s="1"/>
  <c r="V288" i="3"/>
  <c r="U341" i="3"/>
  <c r="Z341" i="3" s="1"/>
  <c r="W356" i="3"/>
  <c r="V424" i="3"/>
  <c r="U424" i="3"/>
  <c r="Z424" i="3" s="1"/>
  <c r="X455" i="3"/>
  <c r="W472" i="3"/>
  <c r="U475" i="3"/>
  <c r="Z475" i="3" s="1"/>
  <c r="V484" i="3"/>
  <c r="H101" i="4"/>
  <c r="U6" i="5"/>
  <c r="A6" i="5"/>
  <c r="M6" i="5"/>
  <c r="M39" i="5"/>
  <c r="A39" i="5"/>
  <c r="U99" i="5"/>
  <c r="U104" i="5"/>
  <c r="M213" i="5"/>
  <c r="A213" i="5"/>
  <c r="V140" i="3"/>
  <c r="V165" i="3"/>
  <c r="V194" i="3"/>
  <c r="U224" i="3"/>
  <c r="Z224" i="3" s="1"/>
  <c r="V224" i="3"/>
  <c r="V230" i="3"/>
  <c r="U289" i="3"/>
  <c r="Z289" i="3" s="1"/>
  <c r="U320" i="3"/>
  <c r="Z320" i="3" s="1"/>
  <c r="V320" i="3"/>
  <c r="U321" i="3"/>
  <c r="Z321" i="3" s="1"/>
  <c r="V358" i="3"/>
  <c r="AL422" i="3"/>
  <c r="AM422" i="3" s="1"/>
  <c r="AJ422" i="3"/>
  <c r="Y423" i="3"/>
  <c r="AA423" i="3" s="1"/>
  <c r="X423" i="3"/>
  <c r="Y455" i="3"/>
  <c r="AA455" i="3" s="1"/>
  <c r="X472" i="3"/>
  <c r="V498" i="3"/>
  <c r="U498" i="3"/>
  <c r="Z498" i="3" s="1"/>
  <c r="J22" i="4"/>
  <c r="L22" i="4" s="1"/>
  <c r="I22" i="4"/>
  <c r="H22" i="4"/>
  <c r="I28" i="4"/>
  <c r="H28" i="4"/>
  <c r="H64" i="4"/>
  <c r="I64" i="4"/>
  <c r="I101" i="4"/>
  <c r="I107" i="4"/>
  <c r="H107" i="4"/>
  <c r="J124" i="4"/>
  <c r="L124" i="4" s="1"/>
  <c r="I124" i="4"/>
  <c r="U39" i="5"/>
  <c r="M183" i="5"/>
  <c r="A183" i="5"/>
  <c r="U183" i="5"/>
  <c r="U213" i="5"/>
  <c r="V283" i="3"/>
  <c r="U283" i="3"/>
  <c r="Z283" i="3" s="1"/>
  <c r="AI301" i="3"/>
  <c r="AL301" i="3"/>
  <c r="AM301" i="3" s="1"/>
  <c r="X310" i="3"/>
  <c r="W310" i="3"/>
  <c r="Y323" i="3"/>
  <c r="AA323" i="3" s="1"/>
  <c r="W323" i="3"/>
  <c r="V429" i="3"/>
  <c r="U429" i="3"/>
  <c r="Z429" i="3" s="1"/>
  <c r="I182" i="4"/>
  <c r="H182" i="4"/>
  <c r="O124" i="5"/>
  <c r="P124" i="5"/>
  <c r="W124" i="5"/>
  <c r="V124" i="5"/>
  <c r="H124" i="5"/>
  <c r="G124" i="5"/>
  <c r="P286" i="5"/>
  <c r="V286" i="5"/>
  <c r="G286" i="5"/>
  <c r="F286" i="5"/>
  <c r="N286" i="5" s="1"/>
  <c r="C286" i="5"/>
  <c r="B286" i="5"/>
  <c r="W286" i="5"/>
  <c r="O286" i="5"/>
  <c r="H286" i="5"/>
  <c r="V387" i="3"/>
  <c r="U387" i="3"/>
  <c r="Z387" i="3" s="1"/>
  <c r="V441" i="3"/>
  <c r="U441" i="3"/>
  <c r="Z441" i="3" s="1"/>
  <c r="I120" i="4"/>
  <c r="H120" i="4"/>
  <c r="J192" i="4"/>
  <c r="L192" i="4" s="1"/>
  <c r="I192" i="4"/>
  <c r="H192" i="4"/>
  <c r="O9" i="5"/>
  <c r="C9" i="5"/>
  <c r="B9" i="5"/>
  <c r="H9" i="5"/>
  <c r="G9" i="5"/>
  <c r="W9" i="5"/>
  <c r="V9" i="5"/>
  <c r="F9" i="5"/>
  <c r="N9" i="5" s="1"/>
  <c r="M59" i="5"/>
  <c r="A59" i="5"/>
  <c r="O105" i="5"/>
  <c r="C105" i="5"/>
  <c r="B105" i="5"/>
  <c r="H105" i="5"/>
  <c r="G105" i="5"/>
  <c r="P105" i="5"/>
  <c r="F105" i="5"/>
  <c r="N105" i="5" s="1"/>
  <c r="W105" i="5"/>
  <c r="M113" i="5"/>
  <c r="A113" i="5"/>
  <c r="M220" i="5"/>
  <c r="U220" i="5"/>
  <c r="A220" i="5"/>
  <c r="V401" i="5"/>
  <c r="O401" i="5"/>
  <c r="G401" i="5"/>
  <c r="P401" i="5"/>
  <c r="H401" i="5"/>
  <c r="F401" i="5"/>
  <c r="N401" i="5" s="1"/>
  <c r="B401" i="5"/>
  <c r="W401" i="5"/>
  <c r="C401" i="5"/>
  <c r="V160" i="3"/>
  <c r="V220" i="3"/>
  <c r="X296" i="3"/>
  <c r="V300" i="3"/>
  <c r="U313" i="3"/>
  <c r="Z313" i="3" s="1"/>
  <c r="V329" i="3"/>
  <c r="U329" i="3"/>
  <c r="Z329" i="3" s="1"/>
  <c r="U335" i="3"/>
  <c r="Z335" i="3" s="1"/>
  <c r="V404" i="3"/>
  <c r="U404" i="3"/>
  <c r="Z404" i="3" s="1"/>
  <c r="Y436" i="3"/>
  <c r="AA436" i="3" s="1"/>
  <c r="X436" i="3"/>
  <c r="V469" i="3"/>
  <c r="U469" i="3"/>
  <c r="Z469" i="3" s="1"/>
  <c r="H7" i="4"/>
  <c r="J7" i="4"/>
  <c r="L7" i="4" s="1"/>
  <c r="J120" i="4"/>
  <c r="L120" i="4" s="1"/>
  <c r="I138" i="4"/>
  <c r="H138" i="4"/>
  <c r="O21" i="5"/>
  <c r="P21" i="5"/>
  <c r="H21" i="5"/>
  <c r="G21" i="5"/>
  <c r="C21" i="5"/>
  <c r="B21" i="5"/>
  <c r="W21" i="5"/>
  <c r="V21" i="5"/>
  <c r="F21" i="5"/>
  <c r="N21" i="5" s="1"/>
  <c r="O49" i="5"/>
  <c r="C49" i="5"/>
  <c r="B49" i="5"/>
  <c r="W49" i="5"/>
  <c r="U59" i="5"/>
  <c r="U113" i="5"/>
  <c r="A138" i="5"/>
  <c r="M138" i="5"/>
  <c r="M207" i="5"/>
  <c r="A207" i="5"/>
  <c r="U207" i="5"/>
  <c r="M243" i="5"/>
  <c r="U243" i="5"/>
  <c r="A243" i="5"/>
  <c r="U306" i="3"/>
  <c r="Z306" i="3" s="1"/>
  <c r="V306" i="3"/>
  <c r="J67" i="4"/>
  <c r="L67" i="4" s="1"/>
  <c r="I67" i="4"/>
  <c r="H67" i="4"/>
  <c r="J197" i="4"/>
  <c r="L197" i="4" s="1"/>
  <c r="I197" i="4"/>
  <c r="M275" i="5"/>
  <c r="U275" i="5"/>
  <c r="A275" i="5"/>
  <c r="C281" i="5"/>
  <c r="C312" i="5"/>
  <c r="W312" i="5"/>
  <c r="V174" i="3"/>
  <c r="V271" i="3"/>
  <c r="V274" i="3"/>
  <c r="V453" i="3"/>
  <c r="J27" i="4"/>
  <c r="L27" i="4" s="1"/>
  <c r="I27" i="4"/>
  <c r="H27" i="4"/>
  <c r="J35" i="4"/>
  <c r="L35" i="4" s="1"/>
  <c r="I35" i="4"/>
  <c r="H35" i="4"/>
  <c r="I88" i="4"/>
  <c r="H88" i="4"/>
  <c r="J88" i="4"/>
  <c r="L88" i="4" s="1"/>
  <c r="O19" i="5"/>
  <c r="H19" i="5"/>
  <c r="W19" i="5"/>
  <c r="V19" i="5"/>
  <c r="P19" i="5"/>
  <c r="G19" i="5"/>
  <c r="F19" i="5"/>
  <c r="N19" i="5" s="1"/>
  <c r="O42" i="5"/>
  <c r="G42" i="5"/>
  <c r="F42" i="5"/>
  <c r="N42" i="5" s="1"/>
  <c r="W42" i="5"/>
  <c r="H42" i="5"/>
  <c r="P42" i="5"/>
  <c r="C42" i="5"/>
  <c r="B42" i="5"/>
  <c r="V42" i="5"/>
  <c r="O82" i="5"/>
  <c r="G82" i="5"/>
  <c r="F82" i="5"/>
  <c r="N82" i="5" s="1"/>
  <c r="H82" i="5"/>
  <c r="C82" i="5"/>
  <c r="W82" i="5"/>
  <c r="V82" i="5"/>
  <c r="P82" i="5"/>
  <c r="I193" i="4"/>
  <c r="H193" i="4"/>
  <c r="A24" i="5"/>
  <c r="M24" i="5"/>
  <c r="P45" i="5"/>
  <c r="H45" i="5"/>
  <c r="A56" i="5"/>
  <c r="M56" i="5"/>
  <c r="M67" i="5"/>
  <c r="U67" i="5"/>
  <c r="A67" i="5"/>
  <c r="M140" i="5"/>
  <c r="U151" i="5"/>
  <c r="M151" i="5"/>
  <c r="A151" i="5"/>
  <c r="P168" i="5"/>
  <c r="V168" i="5"/>
  <c r="O168" i="5"/>
  <c r="H168" i="5"/>
  <c r="G168" i="5"/>
  <c r="F168" i="5"/>
  <c r="N168" i="5" s="1"/>
  <c r="C168" i="5"/>
  <c r="W168" i="5"/>
  <c r="V170" i="3"/>
  <c r="V202" i="3"/>
  <c r="V234" i="3"/>
  <c r="V266" i="3"/>
  <c r="V298" i="3"/>
  <c r="H14" i="4"/>
  <c r="I23" i="4"/>
  <c r="J63" i="4"/>
  <c r="L63" i="4" s="1"/>
  <c r="I63" i="4"/>
  <c r="H63" i="4"/>
  <c r="J73" i="4"/>
  <c r="L73" i="4" s="1"/>
  <c r="I73" i="4"/>
  <c r="H73" i="4"/>
  <c r="I96" i="4"/>
  <c r="H96" i="4"/>
  <c r="J96" i="4"/>
  <c r="L96" i="4" s="1"/>
  <c r="I169" i="4"/>
  <c r="I173" i="4"/>
  <c r="H173" i="4"/>
  <c r="J173" i="4"/>
  <c r="L173" i="4" s="1"/>
  <c r="J193" i="4"/>
  <c r="L193" i="4" s="1"/>
  <c r="U24" i="5"/>
  <c r="A31" i="5"/>
  <c r="M31" i="5"/>
  <c r="O43" i="5"/>
  <c r="H43" i="5"/>
  <c r="W43" i="5"/>
  <c r="M47" i="5"/>
  <c r="U56" i="5"/>
  <c r="O70" i="5"/>
  <c r="V70" i="5"/>
  <c r="W70" i="5"/>
  <c r="P70" i="5"/>
  <c r="H70" i="5"/>
  <c r="G70" i="5"/>
  <c r="F70" i="5"/>
  <c r="N70" i="5" s="1"/>
  <c r="C70" i="5"/>
  <c r="U102" i="5"/>
  <c r="M102" i="5"/>
  <c r="A102" i="5"/>
  <c r="B168" i="5"/>
  <c r="H180" i="5"/>
  <c r="G180" i="5"/>
  <c r="O180" i="5"/>
  <c r="F180" i="5"/>
  <c r="N180" i="5" s="1"/>
  <c r="C180" i="5"/>
  <c r="W180" i="5"/>
  <c r="V180" i="5"/>
  <c r="P180" i="5"/>
  <c r="B180" i="5"/>
  <c r="P184" i="5"/>
  <c r="H184" i="5"/>
  <c r="O184" i="5"/>
  <c r="F184" i="5"/>
  <c r="N184" i="5" s="1"/>
  <c r="C184" i="5"/>
  <c r="G184" i="5"/>
  <c r="V184" i="5"/>
  <c r="W184" i="5"/>
  <c r="M196" i="5"/>
  <c r="A196" i="5"/>
  <c r="M229" i="5"/>
  <c r="U229" i="5"/>
  <c r="A229" i="5"/>
  <c r="M257" i="5"/>
  <c r="A257" i="5"/>
  <c r="J91" i="4"/>
  <c r="L91" i="4" s="1"/>
  <c r="I91" i="4"/>
  <c r="I196" i="4"/>
  <c r="H196" i="4"/>
  <c r="O5" i="5"/>
  <c r="H5" i="5"/>
  <c r="W5" i="5"/>
  <c r="V5" i="5"/>
  <c r="O57" i="5"/>
  <c r="C57" i="5"/>
  <c r="B57" i="5"/>
  <c r="W57" i="5"/>
  <c r="V57" i="5"/>
  <c r="P57" i="5"/>
  <c r="H57" i="5"/>
  <c r="G57" i="5"/>
  <c r="U62" i="5"/>
  <c r="A62" i="5"/>
  <c r="M62" i="5"/>
  <c r="O65" i="5"/>
  <c r="C65" i="5"/>
  <c r="B65" i="5"/>
  <c r="W65" i="5"/>
  <c r="H65" i="5"/>
  <c r="G65" i="5"/>
  <c r="F65" i="5"/>
  <c r="N65" i="5" s="1"/>
  <c r="O92" i="5"/>
  <c r="P92" i="5"/>
  <c r="W92" i="5"/>
  <c r="V92" i="5"/>
  <c r="H92" i="5"/>
  <c r="G92" i="5"/>
  <c r="F92" i="5"/>
  <c r="N92" i="5" s="1"/>
  <c r="C92" i="5"/>
  <c r="B92" i="5"/>
  <c r="O103" i="5"/>
  <c r="W103" i="5"/>
  <c r="C103" i="5"/>
  <c r="B103" i="5"/>
  <c r="V103" i="5"/>
  <c r="P103" i="5"/>
  <c r="H103" i="5"/>
  <c r="G103" i="5"/>
  <c r="O140" i="5"/>
  <c r="P140" i="5"/>
  <c r="G140" i="5"/>
  <c r="F140" i="5"/>
  <c r="N140" i="5" s="1"/>
  <c r="C140" i="5"/>
  <c r="W140" i="5"/>
  <c r="V140" i="5"/>
  <c r="B140" i="5"/>
  <c r="M300" i="5"/>
  <c r="A300" i="5"/>
  <c r="H40" i="4"/>
  <c r="J40" i="4"/>
  <c r="L40" i="4" s="1"/>
  <c r="U2" i="5"/>
  <c r="M2" i="5"/>
  <c r="A2" i="5"/>
  <c r="O25" i="5"/>
  <c r="C25" i="5"/>
  <c r="B25" i="5"/>
  <c r="W25" i="5"/>
  <c r="V25" i="5"/>
  <c r="P25" i="5"/>
  <c r="H25" i="5"/>
  <c r="G25" i="5"/>
  <c r="F25" i="5"/>
  <c r="N25" i="5" s="1"/>
  <c r="U38" i="5"/>
  <c r="M38" i="5"/>
  <c r="A38" i="5"/>
  <c r="O51" i="5"/>
  <c r="H51" i="5"/>
  <c r="W51" i="5"/>
  <c r="G51" i="5"/>
  <c r="F51" i="5"/>
  <c r="N51" i="5" s="1"/>
  <c r="M75" i="5"/>
  <c r="A75" i="5"/>
  <c r="O90" i="5"/>
  <c r="G90" i="5"/>
  <c r="F90" i="5"/>
  <c r="N90" i="5" s="1"/>
  <c r="H90" i="5"/>
  <c r="W90" i="5"/>
  <c r="V90" i="5"/>
  <c r="P90" i="5"/>
  <c r="U94" i="5"/>
  <c r="M94" i="5"/>
  <c r="A94" i="5"/>
  <c r="U140" i="5"/>
  <c r="G156" i="5"/>
  <c r="F156" i="5"/>
  <c r="N156" i="5" s="1"/>
  <c r="W156" i="5"/>
  <c r="V156" i="5"/>
  <c r="O156" i="5"/>
  <c r="M193" i="5"/>
  <c r="U193" i="5"/>
  <c r="A193" i="5"/>
  <c r="U300" i="5"/>
  <c r="U370" i="3"/>
  <c r="Z370" i="3" s="1"/>
  <c r="W384" i="3"/>
  <c r="U390" i="3"/>
  <c r="Z390" i="3" s="1"/>
  <c r="U419" i="3"/>
  <c r="Z419" i="3" s="1"/>
  <c r="U436" i="3"/>
  <c r="Z436" i="3" s="1"/>
  <c r="U465" i="3"/>
  <c r="Z465" i="3" s="1"/>
  <c r="U472" i="3"/>
  <c r="Z472" i="3" s="1"/>
  <c r="V476" i="3"/>
  <c r="V480" i="3"/>
  <c r="U488" i="3"/>
  <c r="Z488" i="3" s="1"/>
  <c r="U493" i="3"/>
  <c r="Z493" i="3" s="1"/>
  <c r="I9" i="4"/>
  <c r="J26" i="4"/>
  <c r="L26" i="4" s="1"/>
  <c r="I26" i="4"/>
  <c r="H26" i="4"/>
  <c r="I40" i="4"/>
  <c r="I68" i="4"/>
  <c r="I102" i="4"/>
  <c r="I106" i="4"/>
  <c r="H125" i="4"/>
  <c r="J133" i="4"/>
  <c r="L133" i="4" s="1"/>
  <c r="I133" i="4"/>
  <c r="I152" i="4"/>
  <c r="H152" i="4"/>
  <c r="H164" i="4"/>
  <c r="C5" i="5"/>
  <c r="M7" i="5"/>
  <c r="A7" i="5"/>
  <c r="U7" i="5"/>
  <c r="B51" i="5"/>
  <c r="V65" i="5"/>
  <c r="U75" i="5"/>
  <c r="B90" i="5"/>
  <c r="O101" i="5"/>
  <c r="V101" i="5"/>
  <c r="H101" i="5"/>
  <c r="W101" i="5"/>
  <c r="P101" i="5"/>
  <c r="F141" i="5"/>
  <c r="N141" i="5" s="1"/>
  <c r="F258" i="5"/>
  <c r="N258" i="5" s="1"/>
  <c r="C258" i="5"/>
  <c r="P258" i="5"/>
  <c r="O258" i="5"/>
  <c r="V258" i="5"/>
  <c r="G258" i="5"/>
  <c r="B258" i="5"/>
  <c r="W258" i="5"/>
  <c r="X370" i="3"/>
  <c r="V393" i="3"/>
  <c r="U393" i="3"/>
  <c r="Z393" i="3" s="1"/>
  <c r="V457" i="3"/>
  <c r="U457" i="3"/>
  <c r="Z457" i="3" s="1"/>
  <c r="J13" i="4"/>
  <c r="L13" i="4" s="1"/>
  <c r="I13" i="4"/>
  <c r="H13" i="4"/>
  <c r="J65" i="4"/>
  <c r="L65" i="4" s="1"/>
  <c r="I65" i="4"/>
  <c r="H65" i="4"/>
  <c r="J83" i="4"/>
  <c r="L83" i="4" s="1"/>
  <c r="H83" i="4"/>
  <c r="J102" i="4"/>
  <c r="L102" i="4" s="1"/>
  <c r="I164" i="4"/>
  <c r="F5" i="5"/>
  <c r="N5" i="5" s="1"/>
  <c r="P18" i="5"/>
  <c r="C51" i="5"/>
  <c r="O66" i="5"/>
  <c r="G66" i="5"/>
  <c r="F66" i="5"/>
  <c r="N66" i="5" s="1"/>
  <c r="W66" i="5"/>
  <c r="V66" i="5"/>
  <c r="P66" i="5"/>
  <c r="H66" i="5"/>
  <c r="C66" i="5"/>
  <c r="B66" i="5"/>
  <c r="O76" i="5"/>
  <c r="P76" i="5"/>
  <c r="G76" i="5"/>
  <c r="F76" i="5"/>
  <c r="N76" i="5" s="1"/>
  <c r="W76" i="5"/>
  <c r="V76" i="5"/>
  <c r="H76" i="5"/>
  <c r="O78" i="5"/>
  <c r="V78" i="5"/>
  <c r="H78" i="5"/>
  <c r="G78" i="5"/>
  <c r="W78" i="5"/>
  <c r="P78" i="5"/>
  <c r="F78" i="5"/>
  <c r="N78" i="5" s="1"/>
  <c r="C78" i="5"/>
  <c r="B78" i="5"/>
  <c r="M83" i="5"/>
  <c r="A83" i="5"/>
  <c r="C90" i="5"/>
  <c r="M92" i="5"/>
  <c r="U92" i="5"/>
  <c r="C156" i="5"/>
  <c r="M217" i="5"/>
  <c r="A217" i="5"/>
  <c r="U217" i="5"/>
  <c r="H258" i="5"/>
  <c r="H261" i="5"/>
  <c r="F261" i="5"/>
  <c r="N261" i="5" s="1"/>
  <c r="C261" i="5"/>
  <c r="B261" i="5"/>
  <c r="W261" i="5"/>
  <c r="V261" i="5"/>
  <c r="P261" i="5"/>
  <c r="O261" i="5"/>
  <c r="H177" i="4"/>
  <c r="I177" i="4"/>
  <c r="J177" i="4"/>
  <c r="L177" i="4" s="1"/>
  <c r="O4" i="5"/>
  <c r="P4" i="5"/>
  <c r="F4" i="5"/>
  <c r="N4" i="5" s="1"/>
  <c r="C4" i="5"/>
  <c r="V4" i="5"/>
  <c r="H4" i="5"/>
  <c r="O12" i="5"/>
  <c r="P12" i="5"/>
  <c r="W12" i="5"/>
  <c r="V12" i="5"/>
  <c r="O52" i="5"/>
  <c r="P52" i="5"/>
  <c r="V52" i="5"/>
  <c r="A71" i="5"/>
  <c r="U71" i="5"/>
  <c r="M80" i="5"/>
  <c r="M107" i="5"/>
  <c r="A107" i="5"/>
  <c r="O130" i="5"/>
  <c r="M132" i="5"/>
  <c r="U132" i="5"/>
  <c r="M184" i="5"/>
  <c r="U184" i="5"/>
  <c r="M230" i="5"/>
  <c r="A230" i="5"/>
  <c r="U230" i="5"/>
  <c r="M278" i="5"/>
  <c r="A278" i="5"/>
  <c r="V368" i="5"/>
  <c r="O368" i="5"/>
  <c r="F368" i="5"/>
  <c r="N368" i="5" s="1"/>
  <c r="C368" i="5"/>
  <c r="W368" i="5"/>
  <c r="P368" i="5"/>
  <c r="H368" i="5"/>
  <c r="J77" i="4"/>
  <c r="L77" i="4" s="1"/>
  <c r="H77" i="4"/>
  <c r="J184" i="4"/>
  <c r="L184" i="4" s="1"/>
  <c r="I184" i="4"/>
  <c r="M23" i="5"/>
  <c r="M34" i="5"/>
  <c r="A44" i="5"/>
  <c r="O46" i="5"/>
  <c r="V46" i="5"/>
  <c r="H46" i="5"/>
  <c r="G46" i="5"/>
  <c r="W46" i="5"/>
  <c r="P68" i="5"/>
  <c r="M74" i="5"/>
  <c r="W100" i="5"/>
  <c r="V100" i="5"/>
  <c r="O106" i="5"/>
  <c r="G106" i="5"/>
  <c r="F106" i="5"/>
  <c r="N106" i="5" s="1"/>
  <c r="W106" i="5"/>
  <c r="V106" i="5"/>
  <c r="P106" i="5"/>
  <c r="U118" i="5"/>
  <c r="M118" i="5"/>
  <c r="A118" i="5"/>
  <c r="H129" i="5"/>
  <c r="U134" i="5"/>
  <c r="M134" i="5"/>
  <c r="O137" i="5"/>
  <c r="C137" i="5"/>
  <c r="B137" i="5"/>
  <c r="H137" i="5"/>
  <c r="G137" i="5"/>
  <c r="W137" i="5"/>
  <c r="V137" i="5"/>
  <c r="M166" i="5"/>
  <c r="A166" i="5"/>
  <c r="U166" i="5"/>
  <c r="M168" i="5"/>
  <c r="U168" i="5"/>
  <c r="A179" i="5"/>
  <c r="M210" i="5"/>
  <c r="U210" i="5"/>
  <c r="A210" i="5"/>
  <c r="V251" i="5"/>
  <c r="M261" i="5"/>
  <c r="U261" i="5"/>
  <c r="U278" i="5"/>
  <c r="B368" i="5"/>
  <c r="J109" i="4"/>
  <c r="L109" i="4" s="1"/>
  <c r="H109" i="4"/>
  <c r="O10" i="5"/>
  <c r="G10" i="5"/>
  <c r="F10" i="5"/>
  <c r="N10" i="5" s="1"/>
  <c r="H10" i="5"/>
  <c r="C10" i="5"/>
  <c r="B10" i="5"/>
  <c r="M27" i="5"/>
  <c r="A27" i="5"/>
  <c r="G108" i="5"/>
  <c r="F108" i="5"/>
  <c r="N108" i="5" s="1"/>
  <c r="C108" i="5"/>
  <c r="O114" i="5"/>
  <c r="G114" i="5"/>
  <c r="F114" i="5"/>
  <c r="N114" i="5" s="1"/>
  <c r="H114" i="5"/>
  <c r="C114" i="5"/>
  <c r="W114" i="5"/>
  <c r="V114" i="5"/>
  <c r="P114" i="5"/>
  <c r="O143" i="5"/>
  <c r="W143" i="5"/>
  <c r="V143" i="5"/>
  <c r="C143" i="5"/>
  <c r="B143" i="5"/>
  <c r="G157" i="5"/>
  <c r="F157" i="5"/>
  <c r="N157" i="5" s="1"/>
  <c r="B157" i="5"/>
  <c r="W157" i="5"/>
  <c r="V157" i="5"/>
  <c r="C157" i="5"/>
  <c r="P157" i="5"/>
  <c r="O157" i="5"/>
  <c r="H157" i="5"/>
  <c r="U160" i="5"/>
  <c r="M160" i="5"/>
  <c r="M181" i="5"/>
  <c r="U181" i="5"/>
  <c r="A181" i="5"/>
  <c r="M286" i="5"/>
  <c r="U286" i="5"/>
  <c r="M360" i="5"/>
  <c r="U360" i="5"/>
  <c r="A360" i="5"/>
  <c r="J85" i="4"/>
  <c r="L85" i="4" s="1"/>
  <c r="I85" i="4"/>
  <c r="J141" i="4"/>
  <c r="L141" i="4" s="1"/>
  <c r="I141" i="4"/>
  <c r="H141" i="4"/>
  <c r="J149" i="4"/>
  <c r="L149" i="4" s="1"/>
  <c r="I149" i="4"/>
  <c r="M50" i="5"/>
  <c r="A50" i="5"/>
  <c r="H119" i="5"/>
  <c r="G119" i="5"/>
  <c r="V119" i="5"/>
  <c r="P119" i="5"/>
  <c r="A120" i="5"/>
  <c r="U120" i="5"/>
  <c r="W169" i="5"/>
  <c r="P169" i="5"/>
  <c r="V169" i="5"/>
  <c r="H169" i="5"/>
  <c r="O169" i="5"/>
  <c r="F169" i="5"/>
  <c r="N169" i="5" s="1"/>
  <c r="C169" i="5"/>
  <c r="V172" i="5"/>
  <c r="G172" i="5"/>
  <c r="F172" i="5"/>
  <c r="N172" i="5" s="1"/>
  <c r="P172" i="5"/>
  <c r="C172" i="5"/>
  <c r="B172" i="5"/>
  <c r="W172" i="5"/>
  <c r="H172" i="5"/>
  <c r="O172" i="5"/>
  <c r="M189" i="5"/>
  <c r="A189" i="5"/>
  <c r="O198" i="5"/>
  <c r="W198" i="5"/>
  <c r="V198" i="5"/>
  <c r="P198" i="5"/>
  <c r="B279" i="5"/>
  <c r="P279" i="5"/>
  <c r="O279" i="5"/>
  <c r="H279" i="5"/>
  <c r="F279" i="5"/>
  <c r="N279" i="5" s="1"/>
  <c r="C279" i="5"/>
  <c r="W279" i="5"/>
  <c r="V279" i="5"/>
  <c r="G279" i="5"/>
  <c r="U356" i="5"/>
  <c r="M356" i="5"/>
  <c r="A356" i="5"/>
  <c r="U501" i="3"/>
  <c r="Z501" i="3" s="1"/>
  <c r="I5" i="4"/>
  <c r="H11" i="4"/>
  <c r="I18" i="4"/>
  <c r="I25" i="4"/>
  <c r="J32" i="4"/>
  <c r="L32" i="4" s="1"/>
  <c r="H38" i="4"/>
  <c r="I44" i="4"/>
  <c r="I50" i="4"/>
  <c r="I56" i="4"/>
  <c r="H66" i="4"/>
  <c r="I81" i="4"/>
  <c r="H85" i="4"/>
  <c r="I99" i="4"/>
  <c r="H113" i="4"/>
  <c r="J117" i="4"/>
  <c r="L117" i="4" s="1"/>
  <c r="I117" i="4"/>
  <c r="H131" i="4"/>
  <c r="H145" i="4"/>
  <c r="H149" i="4"/>
  <c r="I187" i="4"/>
  <c r="H198" i="4"/>
  <c r="U17" i="5"/>
  <c r="U50" i="5"/>
  <c r="A72" i="5"/>
  <c r="M72" i="5"/>
  <c r="O79" i="5"/>
  <c r="W79" i="5"/>
  <c r="V79" i="5"/>
  <c r="O80" i="5"/>
  <c r="C80" i="5"/>
  <c r="B80" i="5"/>
  <c r="W80" i="5"/>
  <c r="V80" i="5"/>
  <c r="H80" i="5"/>
  <c r="G80" i="5"/>
  <c r="F80" i="5"/>
  <c r="N80" i="5" s="1"/>
  <c r="V88" i="5"/>
  <c r="U90" i="5"/>
  <c r="A116" i="5"/>
  <c r="U116" i="5"/>
  <c r="M116" i="5"/>
  <c r="B119" i="5"/>
  <c r="O142" i="5"/>
  <c r="V142" i="5"/>
  <c r="H142" i="5"/>
  <c r="G142" i="5"/>
  <c r="W142" i="5"/>
  <c r="P142" i="5"/>
  <c r="M152" i="5"/>
  <c r="A152" i="5"/>
  <c r="G161" i="5"/>
  <c r="F161" i="5"/>
  <c r="N161" i="5" s="1"/>
  <c r="W161" i="5"/>
  <c r="V161" i="5"/>
  <c r="O161" i="5"/>
  <c r="H161" i="5"/>
  <c r="B169" i="5"/>
  <c r="M185" i="5"/>
  <c r="U185" i="5"/>
  <c r="A185" i="5"/>
  <c r="U189" i="5"/>
  <c r="B198" i="5"/>
  <c r="M284" i="5"/>
  <c r="U284" i="5"/>
  <c r="P357" i="5"/>
  <c r="O357" i="5"/>
  <c r="G357" i="5"/>
  <c r="H357" i="5"/>
  <c r="H4" i="4"/>
  <c r="I11" i="4"/>
  <c r="J38" i="4"/>
  <c r="L38" i="4" s="1"/>
  <c r="J44" i="4"/>
  <c r="L44" i="4" s="1"/>
  <c r="J56" i="4"/>
  <c r="L56" i="4" s="1"/>
  <c r="H61" i="4"/>
  <c r="I66" i="4"/>
  <c r="H72" i="4"/>
  <c r="J72" i="4"/>
  <c r="L72" i="4" s="1"/>
  <c r="I72" i="4"/>
  <c r="I76" i="4"/>
  <c r="J89" i="4"/>
  <c r="L89" i="4" s="1"/>
  <c r="H89" i="4"/>
  <c r="H94" i="4"/>
  <c r="I113" i="4"/>
  <c r="H117" i="4"/>
  <c r="I131" i="4"/>
  <c r="I145" i="4"/>
  <c r="H158" i="4"/>
  <c r="I179" i="4"/>
  <c r="H179" i="4"/>
  <c r="J191" i="4"/>
  <c r="L191" i="4" s="1"/>
  <c r="I191" i="4"/>
  <c r="H191" i="4"/>
  <c r="I198" i="4"/>
  <c r="O23" i="5"/>
  <c r="W23" i="5"/>
  <c r="H23" i="5"/>
  <c r="G23" i="5"/>
  <c r="V23" i="5"/>
  <c r="O26" i="5"/>
  <c r="G26" i="5"/>
  <c r="F26" i="5"/>
  <c r="N26" i="5" s="1"/>
  <c r="W26" i="5"/>
  <c r="O34" i="5"/>
  <c r="G34" i="5"/>
  <c r="F34" i="5"/>
  <c r="N34" i="5" s="1"/>
  <c r="W34" i="5"/>
  <c r="V34" i="5"/>
  <c r="B34" i="5"/>
  <c r="O69" i="5"/>
  <c r="H69" i="5"/>
  <c r="P69" i="5"/>
  <c r="F69" i="5"/>
  <c r="N69" i="5" s="1"/>
  <c r="C69" i="5"/>
  <c r="U72" i="5"/>
  <c r="O74" i="5"/>
  <c r="G74" i="5"/>
  <c r="F74" i="5"/>
  <c r="N74" i="5" s="1"/>
  <c r="W74" i="5"/>
  <c r="B74" i="5"/>
  <c r="B79" i="5"/>
  <c r="U80" i="5"/>
  <c r="B87" i="5"/>
  <c r="B142" i="5"/>
  <c r="O147" i="5"/>
  <c r="H147" i="5"/>
  <c r="W147" i="5"/>
  <c r="V147" i="5"/>
  <c r="U152" i="5"/>
  <c r="M155" i="5"/>
  <c r="A155" i="5"/>
  <c r="B161" i="5"/>
  <c r="G169" i="5"/>
  <c r="U179" i="5"/>
  <c r="W190" i="5"/>
  <c r="G190" i="5"/>
  <c r="F190" i="5"/>
  <c r="N190" i="5" s="1"/>
  <c r="P190" i="5"/>
  <c r="H190" i="5"/>
  <c r="C190" i="5"/>
  <c r="V190" i="5"/>
  <c r="O190" i="5"/>
  <c r="C198" i="5"/>
  <c r="M242" i="5"/>
  <c r="A242" i="5"/>
  <c r="H49" i="4"/>
  <c r="J76" i="4"/>
  <c r="L76" i="4" s="1"/>
  <c r="I80" i="4"/>
  <c r="H80" i="4"/>
  <c r="I89" i="4"/>
  <c r="J179" i="4"/>
  <c r="L179" i="4" s="1"/>
  <c r="O28" i="5"/>
  <c r="H28" i="5"/>
  <c r="F33" i="5"/>
  <c r="N33" i="5" s="1"/>
  <c r="U34" i="5"/>
  <c r="A48" i="5"/>
  <c r="M48" i="5"/>
  <c r="O61" i="5"/>
  <c r="W61" i="5"/>
  <c r="A64" i="5"/>
  <c r="U64" i="5"/>
  <c r="B69" i="5"/>
  <c r="U74" i="5"/>
  <c r="C79" i="5"/>
  <c r="O81" i="5"/>
  <c r="C81" i="5"/>
  <c r="B81" i="5"/>
  <c r="H81" i="5"/>
  <c r="W81" i="5"/>
  <c r="V81" i="5"/>
  <c r="P81" i="5"/>
  <c r="O117" i="5"/>
  <c r="F117" i="5"/>
  <c r="N117" i="5" s="1"/>
  <c r="C117" i="5"/>
  <c r="B117" i="5"/>
  <c r="W117" i="5"/>
  <c r="V117" i="5"/>
  <c r="F119" i="5"/>
  <c r="N119" i="5" s="1"/>
  <c r="C142" i="5"/>
  <c r="B147" i="5"/>
  <c r="G153" i="5"/>
  <c r="H153" i="5"/>
  <c r="C153" i="5"/>
  <c r="B153" i="5"/>
  <c r="O153" i="5"/>
  <c r="U155" i="5"/>
  <c r="C161" i="5"/>
  <c r="B190" i="5"/>
  <c r="F198" i="5"/>
  <c r="N198" i="5" s="1"/>
  <c r="M200" i="5"/>
  <c r="A200" i="5"/>
  <c r="U200" i="5"/>
  <c r="H234" i="5"/>
  <c r="U242" i="5"/>
  <c r="M294" i="5"/>
  <c r="A294" i="5"/>
  <c r="U294" i="5"/>
  <c r="V341" i="5"/>
  <c r="F341" i="5"/>
  <c r="N341" i="5" s="1"/>
  <c r="C341" i="5"/>
  <c r="P341" i="5"/>
  <c r="W341" i="5"/>
  <c r="H341" i="5"/>
  <c r="G341" i="5"/>
  <c r="O341" i="5"/>
  <c r="I104" i="4"/>
  <c r="H104" i="4"/>
  <c r="I136" i="4"/>
  <c r="H136" i="4"/>
  <c r="J167" i="4"/>
  <c r="L167" i="4" s="1"/>
  <c r="I167" i="4"/>
  <c r="I201" i="4"/>
  <c r="H201" i="4"/>
  <c r="O16" i="5"/>
  <c r="W16" i="5"/>
  <c r="V16" i="5"/>
  <c r="V37" i="5"/>
  <c r="O40" i="5"/>
  <c r="H40" i="5"/>
  <c r="B40" i="5"/>
  <c r="F63" i="5"/>
  <c r="N63" i="5" s="1"/>
  <c r="O98" i="5"/>
  <c r="G98" i="5"/>
  <c r="F98" i="5"/>
  <c r="N98" i="5" s="1"/>
  <c r="W98" i="5"/>
  <c r="V98" i="5"/>
  <c r="M127" i="5"/>
  <c r="A127" i="5"/>
  <c r="O131" i="5"/>
  <c r="H131" i="5"/>
  <c r="G131" i="5"/>
  <c r="C131" i="5"/>
  <c r="F178" i="5"/>
  <c r="N178" i="5" s="1"/>
  <c r="C178" i="5"/>
  <c r="H178" i="5"/>
  <c r="W178" i="5"/>
  <c r="V178" i="5"/>
  <c r="M192" i="5"/>
  <c r="A192" i="5"/>
  <c r="W197" i="5"/>
  <c r="O197" i="5"/>
  <c r="C197" i="5"/>
  <c r="M208" i="5"/>
  <c r="A208" i="5"/>
  <c r="U208" i="5"/>
  <c r="G211" i="5"/>
  <c r="F211" i="5"/>
  <c r="N211" i="5" s="1"/>
  <c r="V211" i="5"/>
  <c r="P211" i="5"/>
  <c r="H211" i="5"/>
  <c r="G216" i="5"/>
  <c r="C216" i="5"/>
  <c r="B216" i="5"/>
  <c r="H216" i="5"/>
  <c r="F226" i="5"/>
  <c r="N226" i="5" s="1"/>
  <c r="C226" i="5"/>
  <c r="P226" i="5"/>
  <c r="O226" i="5"/>
  <c r="G226" i="5"/>
  <c r="B226" i="5"/>
  <c r="W226" i="5"/>
  <c r="H228" i="5"/>
  <c r="G228" i="5"/>
  <c r="W228" i="5"/>
  <c r="V228" i="5"/>
  <c r="P228" i="5"/>
  <c r="C228" i="5"/>
  <c r="B228" i="5"/>
  <c r="M255" i="5"/>
  <c r="A255" i="5"/>
  <c r="M298" i="5"/>
  <c r="A298" i="5"/>
  <c r="U298" i="5"/>
  <c r="H78" i="4"/>
  <c r="H84" i="4"/>
  <c r="H97" i="4"/>
  <c r="J104" i="4"/>
  <c r="L104" i="4" s="1"/>
  <c r="H110" i="4"/>
  <c r="H116" i="4"/>
  <c r="H129" i="4"/>
  <c r="J136" i="4"/>
  <c r="L136" i="4" s="1"/>
  <c r="H142" i="4"/>
  <c r="H148" i="4"/>
  <c r="I161" i="4"/>
  <c r="H167" i="4"/>
  <c r="J201" i="4"/>
  <c r="L201" i="4" s="1"/>
  <c r="M4" i="5"/>
  <c r="U16" i="5"/>
  <c r="U19" i="5"/>
  <c r="M32" i="5"/>
  <c r="U40" i="5"/>
  <c r="U43" i="5"/>
  <c r="G63" i="5"/>
  <c r="M89" i="5"/>
  <c r="O91" i="5"/>
  <c r="H91" i="5"/>
  <c r="F91" i="5"/>
  <c r="N91" i="5" s="1"/>
  <c r="C91" i="5"/>
  <c r="M95" i="5"/>
  <c r="A95" i="5"/>
  <c r="U98" i="5"/>
  <c r="O112" i="5"/>
  <c r="C112" i="5"/>
  <c r="B112" i="5"/>
  <c r="W112" i="5"/>
  <c r="V112" i="5"/>
  <c r="U127" i="5"/>
  <c r="O135" i="5"/>
  <c r="W135" i="5"/>
  <c r="C135" i="5"/>
  <c r="B135" i="5"/>
  <c r="V135" i="5"/>
  <c r="A159" i="5"/>
  <c r="A163" i="5"/>
  <c r="B178" i="5"/>
  <c r="U192" i="5"/>
  <c r="M194" i="5"/>
  <c r="U194" i="5"/>
  <c r="A194" i="5"/>
  <c r="B211" i="5"/>
  <c r="O214" i="5"/>
  <c r="P214" i="5"/>
  <c r="G214" i="5"/>
  <c r="F214" i="5"/>
  <c r="N214" i="5" s="1"/>
  <c r="W214" i="5"/>
  <c r="V214" i="5"/>
  <c r="H214" i="5"/>
  <c r="O216" i="5"/>
  <c r="H226" i="5"/>
  <c r="F228" i="5"/>
  <c r="N228" i="5" s="1"/>
  <c r="U238" i="5"/>
  <c r="U255" i="5"/>
  <c r="G259" i="5"/>
  <c r="F259" i="5"/>
  <c r="N259" i="5" s="1"/>
  <c r="W259" i="5"/>
  <c r="P264" i="5"/>
  <c r="W264" i="5"/>
  <c r="V264" i="5"/>
  <c r="M268" i="5"/>
  <c r="U268" i="5"/>
  <c r="A268" i="5"/>
  <c r="M282" i="5"/>
  <c r="A282" i="5"/>
  <c r="U282" i="5"/>
  <c r="M352" i="5"/>
  <c r="U352" i="5"/>
  <c r="A352" i="5"/>
  <c r="I195" i="4"/>
  <c r="H195" i="4"/>
  <c r="W40" i="5"/>
  <c r="A84" i="5"/>
  <c r="U84" i="5"/>
  <c r="O123" i="5"/>
  <c r="H123" i="5"/>
  <c r="F123" i="5"/>
  <c r="N123" i="5" s="1"/>
  <c r="C123" i="5"/>
  <c r="W173" i="5"/>
  <c r="V173" i="5"/>
  <c r="O173" i="5"/>
  <c r="P173" i="5"/>
  <c r="O178" i="5"/>
  <c r="M201" i="5"/>
  <c r="A201" i="5"/>
  <c r="O211" i="5"/>
  <c r="M246" i="5"/>
  <c r="U246" i="5"/>
  <c r="A246" i="5"/>
  <c r="M323" i="5"/>
  <c r="A323" i="5"/>
  <c r="C353" i="5"/>
  <c r="M382" i="5"/>
  <c r="A382" i="5"/>
  <c r="I128" i="4"/>
  <c r="H128" i="4"/>
  <c r="I160" i="4"/>
  <c r="H160" i="4"/>
  <c r="O8" i="5"/>
  <c r="B8" i="5"/>
  <c r="U22" i="5"/>
  <c r="A22" i="5"/>
  <c r="O77" i="5"/>
  <c r="P77" i="5"/>
  <c r="C77" i="5"/>
  <c r="B77" i="5"/>
  <c r="V110" i="5"/>
  <c r="H110" i="5"/>
  <c r="G110" i="5"/>
  <c r="U124" i="5"/>
  <c r="M124" i="5"/>
  <c r="P178" i="5"/>
  <c r="M249" i="5"/>
  <c r="A249" i="5"/>
  <c r="V305" i="5"/>
  <c r="P305" i="5"/>
  <c r="O305" i="5"/>
  <c r="H305" i="5"/>
  <c r="F305" i="5"/>
  <c r="N305" i="5" s="1"/>
  <c r="C305" i="5"/>
  <c r="G305" i="5"/>
  <c r="B305" i="5"/>
  <c r="H121" i="4"/>
  <c r="J128" i="4"/>
  <c r="L128" i="4" s="1"/>
  <c r="H153" i="4"/>
  <c r="J160" i="4"/>
  <c r="L160" i="4" s="1"/>
  <c r="U8" i="5"/>
  <c r="O13" i="5"/>
  <c r="C13" i="5"/>
  <c r="B13" i="5"/>
  <c r="O32" i="5"/>
  <c r="H32" i="5"/>
  <c r="G32" i="5"/>
  <c r="U60" i="5"/>
  <c r="F77" i="5"/>
  <c r="N77" i="5" s="1"/>
  <c r="O85" i="5"/>
  <c r="F85" i="5"/>
  <c r="N85" i="5" s="1"/>
  <c r="C85" i="5"/>
  <c r="O89" i="5"/>
  <c r="C89" i="5"/>
  <c r="B89" i="5"/>
  <c r="W89" i="5"/>
  <c r="V89" i="5"/>
  <c r="B93" i="5"/>
  <c r="G123" i="5"/>
  <c r="C173" i="5"/>
  <c r="O202" i="5"/>
  <c r="G202" i="5"/>
  <c r="F202" i="5"/>
  <c r="N202" i="5" s="1"/>
  <c r="H202" i="5"/>
  <c r="B202" i="5"/>
  <c r="W202" i="5"/>
  <c r="V202" i="5"/>
  <c r="P202" i="5"/>
  <c r="M211" i="5"/>
  <c r="U211" i="5"/>
  <c r="V226" i="5"/>
  <c r="M228" i="5"/>
  <c r="U228" i="5"/>
  <c r="M239" i="5"/>
  <c r="A239" i="5"/>
  <c r="M244" i="5"/>
  <c r="A244" i="5"/>
  <c r="U244" i="5"/>
  <c r="U249" i="5"/>
  <c r="M252" i="5"/>
  <c r="U252" i="5"/>
  <c r="A252" i="5"/>
  <c r="V335" i="5"/>
  <c r="B335" i="5"/>
  <c r="F335" i="5"/>
  <c r="N335" i="5" s="1"/>
  <c r="W335" i="5"/>
  <c r="P335" i="5"/>
  <c r="H335" i="5"/>
  <c r="G335" i="5"/>
  <c r="C335" i="5"/>
  <c r="O37" i="5"/>
  <c r="H37" i="5"/>
  <c r="U54" i="5"/>
  <c r="A54" i="5"/>
  <c r="O63" i="5"/>
  <c r="W63" i="5"/>
  <c r="H63" i="5"/>
  <c r="B63" i="5"/>
  <c r="U86" i="5"/>
  <c r="M86" i="5"/>
  <c r="A86" i="5"/>
  <c r="M139" i="5"/>
  <c r="A139" i="5"/>
  <c r="G162" i="5"/>
  <c r="F162" i="5"/>
  <c r="N162" i="5" s="1"/>
  <c r="B162" i="5"/>
  <c r="W162" i="5"/>
  <c r="V162" i="5"/>
  <c r="M176" i="5"/>
  <c r="A176" i="5"/>
  <c r="M199" i="5"/>
  <c r="A199" i="5"/>
  <c r="M206" i="5"/>
  <c r="A206" i="5"/>
  <c r="U206" i="5"/>
  <c r="W211" i="5"/>
  <c r="W237" i="5"/>
  <c r="V237" i="5"/>
  <c r="F237" i="5"/>
  <c r="N237" i="5" s="1"/>
  <c r="C237" i="5"/>
  <c r="B237" i="5"/>
  <c r="P237" i="5"/>
  <c r="H237" i="5"/>
  <c r="H245" i="5"/>
  <c r="O245" i="5"/>
  <c r="G245" i="5"/>
  <c r="W245" i="5"/>
  <c r="V245" i="5"/>
  <c r="M262" i="5"/>
  <c r="A262" i="5"/>
  <c r="B295" i="5"/>
  <c r="P295" i="5"/>
  <c r="O295" i="5"/>
  <c r="H295" i="5"/>
  <c r="F295" i="5"/>
  <c r="N295" i="5" s="1"/>
  <c r="C295" i="5"/>
  <c r="W295" i="5"/>
  <c r="V295" i="5"/>
  <c r="G295" i="5"/>
  <c r="I190" i="4"/>
  <c r="H190" i="4"/>
  <c r="G96" i="5"/>
  <c r="G128" i="5"/>
  <c r="A158" i="5"/>
  <c r="M164" i="5"/>
  <c r="A164" i="5"/>
  <c r="V186" i="5"/>
  <c r="W221" i="5"/>
  <c r="V221" i="5"/>
  <c r="P221" i="5"/>
  <c r="O221" i="5"/>
  <c r="H221" i="5"/>
  <c r="G221" i="5"/>
  <c r="W253" i="5"/>
  <c r="V253" i="5"/>
  <c r="P253" i="5"/>
  <c r="O253" i="5"/>
  <c r="M260" i="5"/>
  <c r="A260" i="5"/>
  <c r="M273" i="5"/>
  <c r="A273" i="5"/>
  <c r="V344" i="5"/>
  <c r="P344" i="5"/>
  <c r="G344" i="5"/>
  <c r="F344" i="5"/>
  <c r="N344" i="5" s="1"/>
  <c r="W344" i="5"/>
  <c r="H344" i="5"/>
  <c r="C344" i="5"/>
  <c r="A354" i="5"/>
  <c r="U354" i="5"/>
  <c r="M354" i="5"/>
  <c r="H96" i="5"/>
  <c r="H128" i="5"/>
  <c r="O149" i="5"/>
  <c r="V149" i="5"/>
  <c r="M150" i="5"/>
  <c r="P293" i="5"/>
  <c r="O293" i="5"/>
  <c r="G293" i="5"/>
  <c r="F293" i="5"/>
  <c r="N293" i="5" s="1"/>
  <c r="W293" i="5"/>
  <c r="V293" i="5"/>
  <c r="H293" i="5"/>
  <c r="C293" i="5"/>
  <c r="P302" i="5"/>
  <c r="O302" i="5"/>
  <c r="H302" i="5"/>
  <c r="G302" i="5"/>
  <c r="W302" i="5"/>
  <c r="M319" i="5"/>
  <c r="U319" i="5"/>
  <c r="A319" i="5"/>
  <c r="U337" i="5"/>
  <c r="M337" i="5"/>
  <c r="A337" i="5"/>
  <c r="H165" i="5"/>
  <c r="F165" i="5"/>
  <c r="N165" i="5" s="1"/>
  <c r="C165" i="5"/>
  <c r="V165" i="5"/>
  <c r="M169" i="5"/>
  <c r="U169" i="5"/>
  <c r="M188" i="5"/>
  <c r="U188" i="5"/>
  <c r="A188" i="5"/>
  <c r="M195" i="5"/>
  <c r="A195" i="5"/>
  <c r="W235" i="5"/>
  <c r="V235" i="5"/>
  <c r="M256" i="5"/>
  <c r="A256" i="5"/>
  <c r="U256" i="5"/>
  <c r="C296" i="5"/>
  <c r="W296" i="5"/>
  <c r="V296" i="5"/>
  <c r="O296" i="5"/>
  <c r="M310" i="5"/>
  <c r="A310" i="5"/>
  <c r="U310" i="5"/>
  <c r="H327" i="5"/>
  <c r="W327" i="5"/>
  <c r="V327" i="5"/>
  <c r="P327" i="5"/>
  <c r="O327" i="5"/>
  <c r="G327" i="5"/>
  <c r="F327" i="5"/>
  <c r="N327" i="5" s="1"/>
  <c r="C327" i="5"/>
  <c r="B327" i="5"/>
  <c r="O148" i="5"/>
  <c r="V148" i="5"/>
  <c r="G150" i="5"/>
  <c r="P150" i="5"/>
  <c r="O150" i="5"/>
  <c r="W150" i="5"/>
  <c r="V150" i="5"/>
  <c r="B165" i="5"/>
  <c r="M172" i="5"/>
  <c r="U172" i="5"/>
  <c r="U195" i="5"/>
  <c r="M212" i="5"/>
  <c r="A212" i="5"/>
  <c r="P215" i="5"/>
  <c r="O215" i="5"/>
  <c r="V215" i="5"/>
  <c r="B215" i="5"/>
  <c r="M231" i="5"/>
  <c r="A231" i="5"/>
  <c r="U231" i="5"/>
  <c r="B235" i="5"/>
  <c r="M290" i="5"/>
  <c r="U290" i="5"/>
  <c r="A290" i="5"/>
  <c r="B296" i="5"/>
  <c r="U146" i="5"/>
  <c r="U150" i="5"/>
  <c r="G165" i="5"/>
  <c r="M175" i="5"/>
  <c r="A175" i="5"/>
  <c r="U175" i="5"/>
  <c r="C186" i="5"/>
  <c r="M190" i="5"/>
  <c r="U190" i="5"/>
  <c r="C209" i="5"/>
  <c r="B209" i="5"/>
  <c r="O209" i="5"/>
  <c r="V209" i="5"/>
  <c r="U212" i="5"/>
  <c r="C215" i="5"/>
  <c r="C235" i="5"/>
  <c r="F296" i="5"/>
  <c r="N296" i="5" s="1"/>
  <c r="W205" i="5"/>
  <c r="V205" i="5"/>
  <c r="M224" i="5"/>
  <c r="A224" i="5"/>
  <c r="P233" i="5"/>
  <c r="H233" i="5"/>
  <c r="A269" i="5"/>
  <c r="V317" i="5"/>
  <c r="O317" i="5"/>
  <c r="M328" i="5"/>
  <c r="A328" i="5"/>
  <c r="O339" i="5"/>
  <c r="V347" i="5"/>
  <c r="C347" i="5"/>
  <c r="H347" i="5"/>
  <c r="B347" i="5"/>
  <c r="G347" i="5"/>
  <c r="F347" i="5"/>
  <c r="N347" i="5" s="1"/>
  <c r="P347" i="5"/>
  <c r="O347" i="5"/>
  <c r="A350" i="5"/>
  <c r="U396" i="5"/>
  <c r="M396" i="5"/>
  <c r="A396" i="5"/>
  <c r="M433" i="5"/>
  <c r="A433" i="5"/>
  <c r="U433" i="5"/>
  <c r="U174" i="5"/>
  <c r="B205" i="5"/>
  <c r="U214" i="5"/>
  <c r="U221" i="5"/>
  <c r="U224" i="5"/>
  <c r="U226" i="5"/>
  <c r="M248" i="5"/>
  <c r="A248" i="5"/>
  <c r="W276" i="5"/>
  <c r="H276" i="5"/>
  <c r="V276" i="5"/>
  <c r="P276" i="5"/>
  <c r="H299" i="5"/>
  <c r="F299" i="5"/>
  <c r="N299" i="5" s="1"/>
  <c r="C299" i="5"/>
  <c r="W299" i="5"/>
  <c r="M324" i="5"/>
  <c r="A324" i="5"/>
  <c r="U324" i="5"/>
  <c r="U328" i="5"/>
  <c r="W347" i="5"/>
  <c r="P364" i="5"/>
  <c r="H364" i="5"/>
  <c r="G364" i="5"/>
  <c r="C364" i="5"/>
  <c r="W364" i="5"/>
  <c r="M403" i="5"/>
  <c r="A403" i="5"/>
  <c r="U403" i="5"/>
  <c r="M426" i="5"/>
  <c r="A426" i="5"/>
  <c r="U426" i="5"/>
  <c r="H430" i="5"/>
  <c r="C171" i="5"/>
  <c r="B171" i="5"/>
  <c r="M177" i="5"/>
  <c r="A177" i="5"/>
  <c r="H283" i="5"/>
  <c r="O283" i="5"/>
  <c r="F283" i="5"/>
  <c r="N283" i="5" s="1"/>
  <c r="C283" i="5"/>
  <c r="P283" i="5"/>
  <c r="G283" i="5"/>
  <c r="B283" i="5"/>
  <c r="W306" i="5"/>
  <c r="V306" i="5"/>
  <c r="P306" i="5"/>
  <c r="H306" i="5"/>
  <c r="V414" i="5"/>
  <c r="F414" i="5"/>
  <c r="N414" i="5" s="1"/>
  <c r="M476" i="5"/>
  <c r="A476" i="5"/>
  <c r="U476" i="5"/>
  <c r="M486" i="5"/>
  <c r="A486" i="5"/>
  <c r="U486" i="5"/>
  <c r="M291" i="5"/>
  <c r="A291" i="5"/>
  <c r="M315" i="5"/>
  <c r="A315" i="5"/>
  <c r="U336" i="5"/>
  <c r="M336" i="5"/>
  <c r="A336" i="5"/>
  <c r="V339" i="5"/>
  <c r="H339" i="5"/>
  <c r="B339" i="5"/>
  <c r="G339" i="5"/>
  <c r="F339" i="5"/>
  <c r="N339" i="5" s="1"/>
  <c r="C339" i="5"/>
  <c r="W339" i="5"/>
  <c r="A345" i="5"/>
  <c r="U345" i="5"/>
  <c r="M345" i="5"/>
  <c r="W241" i="5"/>
  <c r="V241" i="5"/>
  <c r="M274" i="5"/>
  <c r="A274" i="5"/>
  <c r="C287" i="5"/>
  <c r="U291" i="5"/>
  <c r="C306" i="5"/>
  <c r="U315" i="5"/>
  <c r="U339" i="5"/>
  <c r="U350" i="5"/>
  <c r="A384" i="5"/>
  <c r="U384" i="5"/>
  <c r="M384" i="5"/>
  <c r="M333" i="5"/>
  <c r="A333" i="5"/>
  <c r="V343" i="5"/>
  <c r="W343" i="5"/>
  <c r="P343" i="5"/>
  <c r="H343" i="5"/>
  <c r="G343" i="5"/>
  <c r="C343" i="5"/>
  <c r="A404" i="5"/>
  <c r="M404" i="5"/>
  <c r="U404" i="5"/>
  <c r="M236" i="5"/>
  <c r="U236" i="5"/>
  <c r="M272" i="5"/>
  <c r="A272" i="5"/>
  <c r="V285" i="5"/>
  <c r="A301" i="5"/>
  <c r="W303" i="5"/>
  <c r="B311" i="5"/>
  <c r="W311" i="5"/>
  <c r="P311" i="5"/>
  <c r="H311" i="5"/>
  <c r="M329" i="5"/>
  <c r="A329" i="5"/>
  <c r="A366" i="5"/>
  <c r="U366" i="5"/>
  <c r="V369" i="5"/>
  <c r="O369" i="5"/>
  <c r="H369" i="5"/>
  <c r="G369" i="5"/>
  <c r="F369" i="5"/>
  <c r="N369" i="5" s="1"/>
  <c r="C369" i="5"/>
  <c r="B369" i="5"/>
  <c r="A411" i="5"/>
  <c r="M411" i="5"/>
  <c r="U411" i="5"/>
  <c r="M223" i="5"/>
  <c r="A223" i="5"/>
  <c r="W236" i="5"/>
  <c r="U293" i="5"/>
  <c r="C311" i="5"/>
  <c r="U358" i="5"/>
  <c r="A358" i="5"/>
  <c r="V365" i="5"/>
  <c r="G365" i="5"/>
  <c r="B365" i="5"/>
  <c r="W365" i="5"/>
  <c r="P365" i="5"/>
  <c r="O365" i="5"/>
  <c r="H365" i="5"/>
  <c r="V373" i="5"/>
  <c r="B373" i="5"/>
  <c r="W373" i="5"/>
  <c r="P373" i="5"/>
  <c r="O373" i="5"/>
  <c r="G373" i="5"/>
  <c r="V383" i="5"/>
  <c r="G383" i="5"/>
  <c r="C383" i="5"/>
  <c r="W383" i="5"/>
  <c r="P383" i="5"/>
  <c r="O383" i="5"/>
  <c r="H383" i="5"/>
  <c r="B383" i="5"/>
  <c r="M271" i="5"/>
  <c r="A271" i="5"/>
  <c r="V330" i="5"/>
  <c r="O330" i="5"/>
  <c r="P330" i="5"/>
  <c r="G330" i="5"/>
  <c r="W330" i="5"/>
  <c r="M204" i="5"/>
  <c r="U204" i="5"/>
  <c r="M240" i="5"/>
  <c r="A240" i="5"/>
  <c r="M314" i="5"/>
  <c r="A314" i="5"/>
  <c r="M327" i="5"/>
  <c r="U327" i="5"/>
  <c r="B330" i="5"/>
  <c r="U380" i="5"/>
  <c r="A380" i="5"/>
  <c r="U401" i="5"/>
  <c r="M401" i="5"/>
  <c r="U258" i="5"/>
  <c r="M280" i="5"/>
  <c r="A280" i="5"/>
  <c r="M296" i="5"/>
  <c r="U296" i="5"/>
  <c r="B303" i="5"/>
  <c r="U314" i="5"/>
  <c r="C330" i="5"/>
  <c r="U344" i="5"/>
  <c r="M351" i="5"/>
  <c r="A351" i="5"/>
  <c r="U351" i="5"/>
  <c r="M359" i="5"/>
  <c r="A359" i="5"/>
  <c r="P277" i="5"/>
  <c r="O277" i="5"/>
  <c r="O285" i="5"/>
  <c r="P285" i="5"/>
  <c r="F297" i="5"/>
  <c r="N297" i="5" s="1"/>
  <c r="W297" i="5"/>
  <c r="M306" i="5"/>
  <c r="U306" i="5"/>
  <c r="M309" i="5"/>
  <c r="U309" i="5"/>
  <c r="A309" i="5"/>
  <c r="H325" i="5"/>
  <c r="P325" i="5"/>
  <c r="O325" i="5"/>
  <c r="U342" i="5"/>
  <c r="A342" i="5"/>
  <c r="V402" i="5"/>
  <c r="W402" i="5"/>
  <c r="P402" i="5"/>
  <c r="O402" i="5"/>
  <c r="H402" i="5"/>
  <c r="G402" i="5"/>
  <c r="F402" i="5"/>
  <c r="N402" i="5" s="1"/>
  <c r="C402" i="5"/>
  <c r="B402" i="5"/>
  <c r="V376" i="5"/>
  <c r="F376" i="5"/>
  <c r="N376" i="5" s="1"/>
  <c r="C376" i="5"/>
  <c r="O376" i="5"/>
  <c r="G376" i="5"/>
  <c r="B376" i="5"/>
  <c r="A377" i="5"/>
  <c r="M377" i="5"/>
  <c r="U377" i="5"/>
  <c r="M387" i="5"/>
  <c r="U387" i="5"/>
  <c r="A387" i="5"/>
  <c r="V417" i="5"/>
  <c r="O417" i="5"/>
  <c r="H417" i="5"/>
  <c r="A450" i="5"/>
  <c r="M450" i="5"/>
  <c r="G460" i="5"/>
  <c r="P460" i="5"/>
  <c r="O460" i="5"/>
  <c r="C460" i="5"/>
  <c r="H460" i="5"/>
  <c r="F460" i="5"/>
  <c r="N460" i="5" s="1"/>
  <c r="W460" i="5"/>
  <c r="V460" i="5"/>
  <c r="M313" i="5"/>
  <c r="A313" i="5"/>
  <c r="A340" i="5"/>
  <c r="O346" i="5"/>
  <c r="V349" i="5"/>
  <c r="G349" i="5"/>
  <c r="H349" i="5"/>
  <c r="W349" i="5"/>
  <c r="B363" i="5"/>
  <c r="P376" i="5"/>
  <c r="V386" i="5"/>
  <c r="P386" i="5"/>
  <c r="H386" i="5"/>
  <c r="F386" i="5"/>
  <c r="N386" i="5" s="1"/>
  <c r="C386" i="5"/>
  <c r="W386" i="5"/>
  <c r="U171" i="5"/>
  <c r="U187" i="5"/>
  <c r="U203" i="5"/>
  <c r="U219" i="5"/>
  <c r="U235" i="5"/>
  <c r="U251" i="5"/>
  <c r="U267" i="5"/>
  <c r="U279" i="5"/>
  <c r="U288" i="5"/>
  <c r="U297" i="5"/>
  <c r="U307" i="5"/>
  <c r="U313" i="5"/>
  <c r="U318" i="5"/>
  <c r="U349" i="5"/>
  <c r="U363" i="5"/>
  <c r="M365" i="5"/>
  <c r="B386" i="5"/>
  <c r="V415" i="5"/>
  <c r="H415" i="5"/>
  <c r="G415" i="5"/>
  <c r="F415" i="5"/>
  <c r="N415" i="5" s="1"/>
  <c r="C415" i="5"/>
  <c r="W415" i="5"/>
  <c r="B415" i="5"/>
  <c r="P415" i="5"/>
  <c r="O415" i="5"/>
  <c r="G458" i="5"/>
  <c r="P458" i="5"/>
  <c r="H458" i="5"/>
  <c r="C458" i="5"/>
  <c r="W458" i="5"/>
  <c r="V458" i="5"/>
  <c r="O458" i="5"/>
  <c r="F458" i="5"/>
  <c r="N458" i="5" s="1"/>
  <c r="B458" i="5"/>
  <c r="U460" i="5"/>
  <c r="U418" i="5"/>
  <c r="M418" i="5"/>
  <c r="A418" i="5"/>
  <c r="V346" i="5"/>
  <c r="B346" i="5"/>
  <c r="W346" i="5"/>
  <c r="M353" i="5"/>
  <c r="M381" i="5"/>
  <c r="A381" i="5"/>
  <c r="U381" i="5"/>
  <c r="M454" i="5"/>
  <c r="A454" i="5"/>
  <c r="U454" i="5"/>
  <c r="A494" i="5"/>
  <c r="U494" i="5"/>
  <c r="M494" i="5"/>
  <c r="M499" i="5"/>
  <c r="A499" i="5"/>
  <c r="U499" i="5"/>
  <c r="U312" i="5"/>
  <c r="A338" i="5"/>
  <c r="U338" i="5"/>
  <c r="U346" i="5"/>
  <c r="W376" i="5"/>
  <c r="A394" i="5"/>
  <c r="U394" i="5"/>
  <c r="M394" i="5"/>
  <c r="A397" i="5"/>
  <c r="M397" i="5"/>
  <c r="U402" i="5"/>
  <c r="M402" i="5"/>
  <c r="U490" i="5"/>
  <c r="M490" i="5"/>
  <c r="A490" i="5"/>
  <c r="V374" i="5"/>
  <c r="C374" i="5"/>
  <c r="A438" i="5"/>
  <c r="M438" i="5"/>
  <c r="A492" i="5"/>
  <c r="M492" i="5"/>
  <c r="V331" i="5"/>
  <c r="P331" i="5"/>
  <c r="O331" i="5"/>
  <c r="M367" i="5"/>
  <c r="A367" i="5"/>
  <c r="V406" i="5"/>
  <c r="B446" i="5"/>
  <c r="F446" i="5"/>
  <c r="N446" i="5" s="1"/>
  <c r="W446" i="5"/>
  <c r="V446" i="5"/>
  <c r="O446" i="5"/>
  <c r="H446" i="5"/>
  <c r="G446" i="5"/>
  <c r="P446" i="5"/>
  <c r="C446" i="5"/>
  <c r="U492" i="5"/>
  <c r="V385" i="5"/>
  <c r="O385" i="5"/>
  <c r="A444" i="5"/>
  <c r="M444" i="5"/>
  <c r="V392" i="5"/>
  <c r="W392" i="5"/>
  <c r="O392" i="5"/>
  <c r="H392" i="5"/>
  <c r="U444" i="5"/>
  <c r="A361" i="5"/>
  <c r="M361" i="5"/>
  <c r="P385" i="5"/>
  <c r="B392" i="5"/>
  <c r="V393" i="5"/>
  <c r="W393" i="5"/>
  <c r="B393" i="5"/>
  <c r="F393" i="5"/>
  <c r="N393" i="5" s="1"/>
  <c r="V405" i="5"/>
  <c r="B405" i="5"/>
  <c r="O405" i="5"/>
  <c r="H405" i="5"/>
  <c r="G405" i="5"/>
  <c r="W405" i="5"/>
  <c r="B422" i="5"/>
  <c r="P422" i="5"/>
  <c r="W422" i="5"/>
  <c r="V428" i="5"/>
  <c r="O428" i="5"/>
  <c r="F428" i="5"/>
  <c r="N428" i="5" s="1"/>
  <c r="C428" i="5"/>
  <c r="B428" i="5"/>
  <c r="W428" i="5"/>
  <c r="G428" i="5"/>
  <c r="G481" i="5"/>
  <c r="W481" i="5"/>
  <c r="V481" i="5"/>
  <c r="P481" i="5"/>
  <c r="H481" i="5"/>
  <c r="F481" i="5"/>
  <c r="N481" i="5" s="1"/>
  <c r="C481" i="5"/>
  <c r="B481" i="5"/>
  <c r="V362" i="5"/>
  <c r="B362" i="5"/>
  <c r="O362" i="5"/>
  <c r="U390" i="5"/>
  <c r="M390" i="5"/>
  <c r="A390" i="5"/>
  <c r="G392" i="5"/>
  <c r="U415" i="5"/>
  <c r="P420" i="5"/>
  <c r="M449" i="5"/>
  <c r="U449" i="5"/>
  <c r="A449" i="5"/>
  <c r="V413" i="5"/>
  <c r="P413" i="5"/>
  <c r="O413" i="5"/>
  <c r="G413" i="5"/>
  <c r="F413" i="5"/>
  <c r="N413" i="5" s="1"/>
  <c r="C413" i="5"/>
  <c r="B413" i="5"/>
  <c r="H413" i="5"/>
  <c r="B432" i="5"/>
  <c r="W432" i="5"/>
  <c r="O432" i="5"/>
  <c r="H432" i="5"/>
  <c r="G432" i="5"/>
  <c r="V432" i="5"/>
  <c r="P432" i="5"/>
  <c r="W385" i="5"/>
  <c r="V391" i="5"/>
  <c r="W391" i="5"/>
  <c r="P391" i="5"/>
  <c r="O391" i="5"/>
  <c r="G391" i="5"/>
  <c r="F391" i="5"/>
  <c r="N391" i="5" s="1"/>
  <c r="U413" i="5"/>
  <c r="C432" i="5"/>
  <c r="O481" i="5"/>
  <c r="V395" i="5"/>
  <c r="C395" i="5"/>
  <c r="B395" i="5"/>
  <c r="W395" i="5"/>
  <c r="U464" i="5"/>
  <c r="A464" i="5"/>
  <c r="G469" i="5"/>
  <c r="F469" i="5"/>
  <c r="N469" i="5" s="1"/>
  <c r="P469" i="5"/>
  <c r="C469" i="5"/>
  <c r="V469" i="5"/>
  <c r="B447" i="5"/>
  <c r="G447" i="5"/>
  <c r="V447" i="5"/>
  <c r="W447" i="5"/>
  <c r="P447" i="5"/>
  <c r="O447" i="5"/>
  <c r="G487" i="5"/>
  <c r="P487" i="5"/>
  <c r="O487" i="5"/>
  <c r="C487" i="5"/>
  <c r="M495" i="5"/>
  <c r="A495" i="5"/>
  <c r="V375" i="5"/>
  <c r="W375" i="5"/>
  <c r="F395" i="5"/>
  <c r="N395" i="5" s="1"/>
  <c r="U428" i="5"/>
  <c r="C447" i="5"/>
  <c r="G467" i="5"/>
  <c r="B467" i="5"/>
  <c r="H467" i="5"/>
  <c r="C467" i="5"/>
  <c r="P467" i="5"/>
  <c r="O467" i="5"/>
  <c r="F467" i="5"/>
  <c r="N467" i="5" s="1"/>
  <c r="W467" i="5"/>
  <c r="G472" i="5"/>
  <c r="W472" i="5"/>
  <c r="V472" i="5"/>
  <c r="P472" i="5"/>
  <c r="O472" i="5"/>
  <c r="G480" i="5"/>
  <c r="W480" i="5"/>
  <c r="P480" i="5"/>
  <c r="O480" i="5"/>
  <c r="G484" i="5"/>
  <c r="C484" i="5"/>
  <c r="H484" i="5"/>
  <c r="F484" i="5"/>
  <c r="N484" i="5" s="1"/>
  <c r="B484" i="5"/>
  <c r="W484" i="5"/>
  <c r="P484" i="5"/>
  <c r="O484" i="5"/>
  <c r="U495" i="5"/>
  <c r="U347" i="5"/>
  <c r="B375" i="5"/>
  <c r="V379" i="5"/>
  <c r="C379" i="5"/>
  <c r="M392" i="5"/>
  <c r="G395" i="5"/>
  <c r="A398" i="5"/>
  <c r="V416" i="5"/>
  <c r="H416" i="5"/>
  <c r="G416" i="5"/>
  <c r="F416" i="5"/>
  <c r="N416" i="5" s="1"/>
  <c r="B439" i="5"/>
  <c r="H439" i="5"/>
  <c r="G439" i="5"/>
  <c r="F439" i="5"/>
  <c r="N439" i="5" s="1"/>
  <c r="C439" i="5"/>
  <c r="F447" i="5"/>
  <c r="N447" i="5" s="1"/>
  <c r="M458" i="5"/>
  <c r="U458" i="5"/>
  <c r="B472" i="5"/>
  <c r="B480" i="5"/>
  <c r="U484" i="5"/>
  <c r="G408" i="5"/>
  <c r="W408" i="5"/>
  <c r="M410" i="5"/>
  <c r="A410" i="5"/>
  <c r="U410" i="5"/>
  <c r="V424" i="5"/>
  <c r="G424" i="5"/>
  <c r="F424" i="5"/>
  <c r="N424" i="5" s="1"/>
  <c r="W424" i="5"/>
  <c r="H447" i="5"/>
  <c r="W469" i="5"/>
  <c r="M395" i="5"/>
  <c r="A431" i="5"/>
  <c r="G470" i="5"/>
  <c r="H470" i="5"/>
  <c r="P470" i="5"/>
  <c r="F470" i="5"/>
  <c r="N470" i="5" s="1"/>
  <c r="C470" i="5"/>
  <c r="B470" i="5"/>
  <c r="W470" i="5"/>
  <c r="F472" i="5"/>
  <c r="N472" i="5" s="1"/>
  <c r="F480" i="5"/>
  <c r="N480" i="5" s="1"/>
  <c r="G485" i="5"/>
  <c r="F485" i="5"/>
  <c r="N485" i="5" s="1"/>
  <c r="H485" i="5"/>
  <c r="C485" i="5"/>
  <c r="B485" i="5"/>
  <c r="P485" i="5"/>
  <c r="V412" i="5"/>
  <c r="O412" i="5"/>
  <c r="F412" i="5"/>
  <c r="N412" i="5" s="1"/>
  <c r="C412" i="5"/>
  <c r="B412" i="5"/>
  <c r="C424" i="5"/>
  <c r="U467" i="5"/>
  <c r="O470" i="5"/>
  <c r="H472" i="5"/>
  <c r="H480" i="5"/>
  <c r="O485" i="5"/>
  <c r="H375" i="5"/>
  <c r="C389" i="5"/>
  <c r="O395" i="5"/>
  <c r="V407" i="5"/>
  <c r="F407" i="5"/>
  <c r="N407" i="5" s="1"/>
  <c r="W407" i="5"/>
  <c r="F408" i="5"/>
  <c r="N408" i="5" s="1"/>
  <c r="U412" i="5"/>
  <c r="O416" i="5"/>
  <c r="U419" i="5"/>
  <c r="H424" i="5"/>
  <c r="V425" i="5"/>
  <c r="H425" i="5"/>
  <c r="G425" i="5"/>
  <c r="W425" i="5"/>
  <c r="M464" i="5"/>
  <c r="V467" i="5"/>
  <c r="F389" i="5"/>
  <c r="N389" i="5" s="1"/>
  <c r="P395" i="5"/>
  <c r="V400" i="5"/>
  <c r="H400" i="5"/>
  <c r="F400" i="5"/>
  <c r="N400" i="5" s="1"/>
  <c r="V423" i="5"/>
  <c r="F423" i="5"/>
  <c r="N423" i="5" s="1"/>
  <c r="C423" i="5"/>
  <c r="W423" i="5"/>
  <c r="V409" i="5"/>
  <c r="H409" i="5"/>
  <c r="W409" i="5"/>
  <c r="B423" i="5"/>
  <c r="M427" i="5"/>
  <c r="A427" i="5"/>
  <c r="O429" i="5"/>
  <c r="B436" i="5"/>
  <c r="F436" i="5"/>
  <c r="N436" i="5" s="1"/>
  <c r="H436" i="5"/>
  <c r="G436" i="5"/>
  <c r="W436" i="5"/>
  <c r="V436" i="5"/>
  <c r="M437" i="5"/>
  <c r="A437" i="5"/>
  <c r="M443" i="5"/>
  <c r="A443" i="5"/>
  <c r="U443" i="5"/>
  <c r="G462" i="5"/>
  <c r="P462" i="5"/>
  <c r="V462" i="5"/>
  <c r="O462" i="5"/>
  <c r="U478" i="5"/>
  <c r="M478" i="5"/>
  <c r="A478" i="5"/>
  <c r="V485" i="5"/>
  <c r="O421" i="5"/>
  <c r="B445" i="5"/>
  <c r="C445" i="5"/>
  <c r="A451" i="5"/>
  <c r="M500" i="5"/>
  <c r="A500" i="5"/>
  <c r="P421" i="5"/>
  <c r="V453" i="5"/>
  <c r="B468" i="5"/>
  <c r="G471" i="5"/>
  <c r="V471" i="5"/>
  <c r="O471" i="5"/>
  <c r="M417" i="5"/>
  <c r="M432" i="5"/>
  <c r="M440" i="5"/>
  <c r="G445" i="5"/>
  <c r="M446" i="5"/>
  <c r="A456" i="5"/>
  <c r="U456" i="5"/>
  <c r="F468" i="5"/>
  <c r="N468" i="5" s="1"/>
  <c r="B471" i="5"/>
  <c r="P497" i="5"/>
  <c r="H445" i="5"/>
  <c r="M451" i="5"/>
  <c r="G466" i="5"/>
  <c r="F466" i="5"/>
  <c r="N466" i="5" s="1"/>
  <c r="C466" i="5"/>
  <c r="V466" i="5"/>
  <c r="M468" i="5"/>
  <c r="C471" i="5"/>
  <c r="A483" i="5"/>
  <c r="U483" i="5"/>
  <c r="G489" i="5"/>
  <c r="O489" i="5"/>
  <c r="W489" i="5"/>
  <c r="V489" i="5"/>
  <c r="P489" i="5"/>
  <c r="U466" i="5"/>
  <c r="F471" i="5"/>
  <c r="N471" i="5" s="1"/>
  <c r="G475" i="5"/>
  <c r="H475" i="5"/>
  <c r="F475" i="5"/>
  <c r="N475" i="5" s="1"/>
  <c r="C475" i="5"/>
  <c r="B475" i="5"/>
  <c r="W475" i="5"/>
  <c r="U485" i="5"/>
  <c r="B489" i="5"/>
  <c r="B442" i="5"/>
  <c r="W442" i="5"/>
  <c r="P442" i="5"/>
  <c r="G453" i="5"/>
  <c r="F453" i="5"/>
  <c r="N453" i="5" s="1"/>
  <c r="G468" i="5"/>
  <c r="C468" i="5"/>
  <c r="O468" i="5"/>
  <c r="H468" i="5"/>
  <c r="C442" i="5"/>
  <c r="B448" i="5"/>
  <c r="H448" i="5"/>
  <c r="W448" i="5"/>
  <c r="B453" i="5"/>
  <c r="U455" i="5"/>
  <c r="U468" i="5"/>
  <c r="G488" i="5"/>
  <c r="P488" i="5"/>
  <c r="G496" i="5"/>
  <c r="C496" i="5"/>
  <c r="W496" i="5"/>
  <c r="P496" i="5"/>
  <c r="B421" i="5"/>
  <c r="F442" i="5"/>
  <c r="N442" i="5" s="1"/>
  <c r="C448" i="5"/>
  <c r="C453" i="5"/>
  <c r="V468" i="5"/>
  <c r="B488" i="5"/>
  <c r="B496" i="5"/>
  <c r="B441" i="5"/>
  <c r="V441" i="5"/>
  <c r="O441" i="5"/>
  <c r="G442" i="5"/>
  <c r="H453" i="5"/>
  <c r="H459" i="5"/>
  <c r="W468" i="5"/>
  <c r="A482" i="5"/>
  <c r="U482" i="5"/>
  <c r="G501" i="5"/>
  <c r="O501" i="5"/>
  <c r="F501" i="5"/>
  <c r="N501" i="5" s="1"/>
  <c r="G498" i="5"/>
  <c r="H498" i="5"/>
  <c r="C501" i="5"/>
  <c r="M462" i="5"/>
  <c r="M488" i="5"/>
  <c r="W493" i="5"/>
  <c r="U498" i="5"/>
  <c r="H501" i="5"/>
  <c r="W498" i="5"/>
  <c r="B493" i="5"/>
  <c r="P501" i="5"/>
  <c r="U471" i="5"/>
  <c r="B465" i="5"/>
  <c r="G473" i="5"/>
  <c r="O473" i="5"/>
  <c r="B491" i="5"/>
  <c r="B498" i="5"/>
  <c r="AL359" i="3" l="1"/>
  <c r="AM359" i="3" s="1"/>
  <c r="AI359" i="3"/>
  <c r="AJ359" i="3"/>
  <c r="B435" i="5"/>
  <c r="F429" i="5"/>
  <c r="N429" i="5" s="1"/>
  <c r="P406" i="5"/>
  <c r="Y243" i="3"/>
  <c r="AA243" i="3" s="1"/>
  <c r="P378" i="5"/>
  <c r="W241" i="3"/>
  <c r="AJ313" i="3"/>
  <c r="AJ296" i="3"/>
  <c r="V28" i="5"/>
  <c r="F435" i="5"/>
  <c r="N435" i="5" s="1"/>
  <c r="G452" i="5"/>
  <c r="H385" i="5"/>
  <c r="V372" i="5"/>
  <c r="F430" i="5"/>
  <c r="N430" i="5" s="1"/>
  <c r="C60" i="5"/>
  <c r="B459" i="5"/>
  <c r="V459" i="5"/>
  <c r="G429" i="5"/>
  <c r="O422" i="5"/>
  <c r="G385" i="5"/>
  <c r="C406" i="5"/>
  <c r="H370" i="5"/>
  <c r="G430" i="5"/>
  <c r="F216" i="5"/>
  <c r="N216" i="5" s="1"/>
  <c r="B197" i="5"/>
  <c r="P28" i="5"/>
  <c r="B108" i="5"/>
  <c r="F60" i="5"/>
  <c r="N60" i="5" s="1"/>
  <c r="B378" i="5"/>
  <c r="X241" i="3"/>
  <c r="AL296" i="3"/>
  <c r="AM296" i="3" s="1"/>
  <c r="AI353" i="3"/>
  <c r="W28" i="5"/>
  <c r="P363" i="5"/>
  <c r="V47" i="5"/>
  <c r="W60" i="5"/>
  <c r="P197" i="5"/>
  <c r="O399" i="5"/>
  <c r="V87" i="5"/>
  <c r="W119" i="5"/>
  <c r="O108" i="5"/>
  <c r="B251" i="5"/>
  <c r="C141" i="5"/>
  <c r="O292" i="5"/>
  <c r="AL487" i="3"/>
  <c r="AM487" i="3" s="1"/>
  <c r="C47" i="5"/>
  <c r="X440" i="3"/>
  <c r="P60" i="5"/>
  <c r="X286" i="3"/>
  <c r="AJ289" i="3"/>
  <c r="F97" i="5"/>
  <c r="N97" i="5" s="1"/>
  <c r="W303" i="3"/>
  <c r="G459" i="5"/>
  <c r="W363" i="5"/>
  <c r="V408" i="5"/>
  <c r="C241" i="5"/>
  <c r="V216" i="5"/>
  <c r="H197" i="5"/>
  <c r="B452" i="5"/>
  <c r="C408" i="5"/>
  <c r="P399" i="5"/>
  <c r="G422" i="5"/>
  <c r="V363" i="5"/>
  <c r="W216" i="5"/>
  <c r="G87" i="5"/>
  <c r="O119" i="5"/>
  <c r="C251" i="5"/>
  <c r="H141" i="5"/>
  <c r="V292" i="5"/>
  <c r="AI487" i="3"/>
  <c r="F47" i="5"/>
  <c r="N47" i="5" s="1"/>
  <c r="Y440" i="3"/>
  <c r="AA440" i="3" s="1"/>
  <c r="AI440" i="3" s="1"/>
  <c r="O60" i="5"/>
  <c r="F378" i="5"/>
  <c r="N378" i="5" s="1"/>
  <c r="V97" i="5"/>
  <c r="P429" i="5"/>
  <c r="X481" i="3"/>
  <c r="X359" i="3"/>
  <c r="Y286" i="3"/>
  <c r="AA286" i="3" s="1"/>
  <c r="F477" i="5"/>
  <c r="N477" i="5" s="1"/>
  <c r="V422" i="5"/>
  <c r="C363" i="5"/>
  <c r="W399" i="5"/>
  <c r="H87" i="5"/>
  <c r="H251" i="5"/>
  <c r="P141" i="5"/>
  <c r="F292" i="5"/>
  <c r="N292" i="5" s="1"/>
  <c r="G47" i="5"/>
  <c r="Y116" i="3"/>
  <c r="AA116" i="3" s="1"/>
  <c r="AJ158" i="3"/>
  <c r="G97" i="5"/>
  <c r="AJ399" i="3"/>
  <c r="W400" i="5"/>
  <c r="O400" i="5"/>
  <c r="C400" i="5"/>
  <c r="P400" i="5"/>
  <c r="B400" i="5"/>
  <c r="B47" i="5"/>
  <c r="B408" i="5"/>
  <c r="C399" i="5"/>
  <c r="F422" i="5"/>
  <c r="N422" i="5" s="1"/>
  <c r="B370" i="5"/>
  <c r="F251" i="5"/>
  <c r="N251" i="5" s="1"/>
  <c r="G292" i="5"/>
  <c r="W47" i="5"/>
  <c r="W116" i="3"/>
  <c r="Y215" i="3"/>
  <c r="AA215" i="3" s="1"/>
  <c r="AJ215" i="3" s="1"/>
  <c r="X308" i="3"/>
  <c r="AL158" i="3"/>
  <c r="AM158" i="3" s="1"/>
  <c r="H97" i="5"/>
  <c r="W353" i="3"/>
  <c r="X385" i="3"/>
  <c r="AL399" i="3"/>
  <c r="AM399" i="3" s="1"/>
  <c r="C385" i="5"/>
  <c r="P292" i="5"/>
  <c r="O47" i="5"/>
  <c r="W308" i="3"/>
  <c r="W372" i="3"/>
  <c r="P97" i="5"/>
  <c r="X353" i="3"/>
  <c r="Y385" i="3"/>
  <c r="AA385" i="3" s="1"/>
  <c r="AI385" i="3" s="1"/>
  <c r="W284" i="3"/>
  <c r="O165" i="5"/>
  <c r="W165" i="5"/>
  <c r="V60" i="5"/>
  <c r="G399" i="5"/>
  <c r="F370" i="5"/>
  <c r="N370" i="5" s="1"/>
  <c r="G251" i="5"/>
  <c r="H399" i="5"/>
  <c r="H422" i="5"/>
  <c r="C455" i="5"/>
  <c r="P370" i="5"/>
  <c r="B131" i="5"/>
  <c r="O251" i="5"/>
  <c r="W326" i="5"/>
  <c r="B292" i="5"/>
  <c r="W281" i="3"/>
  <c r="X372" i="3"/>
  <c r="X311" i="3"/>
  <c r="W378" i="5"/>
  <c r="W97" i="5"/>
  <c r="Y172" i="3"/>
  <c r="AA172" i="3" s="1"/>
  <c r="X284" i="3"/>
  <c r="P108" i="5"/>
  <c r="G372" i="5"/>
  <c r="V270" i="5"/>
  <c r="P251" i="5"/>
  <c r="B326" i="5"/>
  <c r="C292" i="5"/>
  <c r="P47" i="5"/>
  <c r="AL493" i="3"/>
  <c r="AM493" i="3" s="1"/>
  <c r="AI390" i="3"/>
  <c r="Y154" i="3"/>
  <c r="AA154" i="3" s="1"/>
  <c r="AL154" i="3" s="1"/>
  <c r="AM154" i="3" s="1"/>
  <c r="X281" i="3"/>
  <c r="AI184" i="3"/>
  <c r="G378" i="5"/>
  <c r="B97" i="5"/>
  <c r="W487" i="3"/>
  <c r="B372" i="5"/>
  <c r="P452" i="5"/>
  <c r="H372" i="5"/>
  <c r="H270" i="5"/>
  <c r="C326" i="5"/>
  <c r="H292" i="5"/>
  <c r="AI493" i="3"/>
  <c r="W154" i="3"/>
  <c r="P109" i="5"/>
  <c r="W184" i="3"/>
  <c r="W215" i="3"/>
  <c r="H378" i="5"/>
  <c r="C97" i="5"/>
  <c r="H60" i="5"/>
  <c r="O452" i="5"/>
  <c r="B429" i="5"/>
  <c r="H452" i="5"/>
  <c r="B385" i="5"/>
  <c r="P270" i="5"/>
  <c r="C53" i="5"/>
  <c r="C28" i="5"/>
  <c r="W243" i="3"/>
  <c r="C378" i="5"/>
  <c r="AI313" i="3"/>
  <c r="B28" i="5"/>
  <c r="V429" i="5"/>
  <c r="X487" i="3"/>
  <c r="B141" i="5"/>
  <c r="O406" i="5"/>
  <c r="O372" i="5"/>
  <c r="C430" i="5"/>
  <c r="F28" i="5"/>
  <c r="N28" i="5" s="1"/>
  <c r="AJ335" i="3"/>
  <c r="G461" i="5"/>
  <c r="W417" i="5"/>
  <c r="C325" i="5"/>
  <c r="H321" i="5"/>
  <c r="B430" i="5"/>
  <c r="O263" i="5"/>
  <c r="H259" i="5"/>
  <c r="F130" i="5"/>
  <c r="N130" i="5" s="1"/>
  <c r="P312" i="5"/>
  <c r="X138" i="3"/>
  <c r="Y155" i="3"/>
  <c r="AA155" i="3" s="1"/>
  <c r="AJ155" i="3" s="1"/>
  <c r="Y85" i="3"/>
  <c r="AA85" i="3" s="1"/>
  <c r="AL85" i="3" s="1"/>
  <c r="AM85" i="3" s="1"/>
  <c r="AI138" i="3"/>
  <c r="P441" i="5"/>
  <c r="G441" i="5"/>
  <c r="F441" i="5"/>
  <c r="N441" i="5" s="1"/>
  <c r="C441" i="5"/>
  <c r="H441" i="5"/>
  <c r="G77" i="5"/>
  <c r="W77" i="5"/>
  <c r="V77" i="5"/>
  <c r="H77" i="5"/>
  <c r="G417" i="5"/>
  <c r="P263" i="5"/>
  <c r="V259" i="5"/>
  <c r="G130" i="5"/>
  <c r="V312" i="5"/>
  <c r="AI432" i="3"/>
  <c r="G389" i="5"/>
  <c r="Y267" i="3"/>
  <c r="AA267" i="3" s="1"/>
  <c r="X267" i="3"/>
  <c r="H125" i="5"/>
  <c r="G125" i="5"/>
  <c r="F125" i="5"/>
  <c r="N125" i="5" s="1"/>
  <c r="C125" i="5"/>
  <c r="B125" i="5"/>
  <c r="P125" i="5"/>
  <c r="X227" i="3"/>
  <c r="Y227" i="3"/>
  <c r="AA227" i="3" s="1"/>
  <c r="V289" i="5"/>
  <c r="P289" i="5"/>
  <c r="O289" i="5"/>
  <c r="H289" i="5"/>
  <c r="G289" i="5"/>
  <c r="F289" i="5"/>
  <c r="N289" i="5" s="1"/>
  <c r="C289" i="5"/>
  <c r="B289" i="5"/>
  <c r="W289" i="5"/>
  <c r="C100" i="5"/>
  <c r="B146" i="5"/>
  <c r="V18" i="5"/>
  <c r="V73" i="5"/>
  <c r="Y213" i="3"/>
  <c r="AA213" i="3" s="1"/>
  <c r="W280" i="3"/>
  <c r="AL157" i="3"/>
  <c r="AM157" i="3" s="1"/>
  <c r="X432" i="3"/>
  <c r="X126" i="3"/>
  <c r="W408" i="3"/>
  <c r="F455" i="5"/>
  <c r="N455" i="5" s="1"/>
  <c r="W129" i="5"/>
  <c r="F100" i="5"/>
  <c r="N100" i="5" s="1"/>
  <c r="P146" i="5"/>
  <c r="C18" i="5"/>
  <c r="W73" i="5"/>
  <c r="W157" i="3"/>
  <c r="X280" i="3"/>
  <c r="Y126" i="3"/>
  <c r="AA126" i="3" s="1"/>
  <c r="AJ247" i="3"/>
  <c r="X408" i="3"/>
  <c r="B19" i="5"/>
  <c r="H496" i="5"/>
  <c r="B100" i="5"/>
  <c r="F421" i="5"/>
  <c r="N421" i="5" s="1"/>
  <c r="C421" i="5"/>
  <c r="H173" i="5"/>
  <c r="G173" i="5"/>
  <c r="F173" i="5"/>
  <c r="N173" i="5" s="1"/>
  <c r="B173" i="5"/>
  <c r="X213" i="3"/>
  <c r="W432" i="3"/>
  <c r="F145" i="5"/>
  <c r="N145" i="5" s="1"/>
  <c r="P100" i="5"/>
  <c r="G73" i="5"/>
  <c r="B29" i="5"/>
  <c r="V145" i="5"/>
  <c r="AL247" i="3"/>
  <c r="AM247" i="3" s="1"/>
  <c r="F186" i="5"/>
  <c r="N186" i="5" s="1"/>
  <c r="O496" i="5"/>
  <c r="G100" i="5"/>
  <c r="P117" i="5"/>
  <c r="G117" i="5"/>
  <c r="V480" i="5"/>
  <c r="C480" i="5"/>
  <c r="P430" i="5"/>
  <c r="V129" i="5"/>
  <c r="O455" i="5"/>
  <c r="P332" i="5"/>
  <c r="B129" i="5"/>
  <c r="C146" i="5"/>
  <c r="H18" i="5"/>
  <c r="X157" i="3"/>
  <c r="O389" i="5"/>
  <c r="W455" i="5"/>
  <c r="W332" i="5"/>
  <c r="B186" i="5"/>
  <c r="C129" i="5"/>
  <c r="O100" i="5"/>
  <c r="H146" i="5"/>
  <c r="F18" i="5"/>
  <c r="N18" i="5" s="1"/>
  <c r="H73" i="5"/>
  <c r="C29" i="5"/>
  <c r="W145" i="5"/>
  <c r="X297" i="3"/>
  <c r="W10" i="3"/>
  <c r="X352" i="3"/>
  <c r="G186" i="5"/>
  <c r="Y212" i="3"/>
  <c r="AA212" i="3" s="1"/>
  <c r="W445" i="5"/>
  <c r="O445" i="5"/>
  <c r="V430" i="5"/>
  <c r="V389" i="5"/>
  <c r="B461" i="5"/>
  <c r="V455" i="5"/>
  <c r="F146" i="5"/>
  <c r="N146" i="5" s="1"/>
  <c r="G18" i="5"/>
  <c r="B73" i="5"/>
  <c r="F29" i="5"/>
  <c r="N29" i="5" s="1"/>
  <c r="G145" i="5"/>
  <c r="Y297" i="3"/>
  <c r="AA297" i="3" s="1"/>
  <c r="X247" i="3"/>
  <c r="W247" i="3"/>
  <c r="W352" i="3"/>
  <c r="O493" i="5"/>
  <c r="O186" i="5"/>
  <c r="B91" i="5"/>
  <c r="X114" i="3"/>
  <c r="Y114" i="3"/>
  <c r="AA114" i="3" s="1"/>
  <c r="H493" i="5"/>
  <c r="H455" i="5"/>
  <c r="F493" i="5"/>
  <c r="N493" i="5" s="1"/>
  <c r="C461" i="5"/>
  <c r="G455" i="5"/>
  <c r="O304" i="5"/>
  <c r="G146" i="5"/>
  <c r="C73" i="5"/>
  <c r="G29" i="5"/>
  <c r="H145" i="5"/>
  <c r="P493" i="5"/>
  <c r="H186" i="5"/>
  <c r="G91" i="5"/>
  <c r="W245" i="3"/>
  <c r="AI30" i="3"/>
  <c r="V493" i="5"/>
  <c r="W186" i="5"/>
  <c r="P91" i="5"/>
  <c r="C372" i="5"/>
  <c r="W372" i="5"/>
  <c r="F372" i="5"/>
  <c r="N372" i="5" s="1"/>
  <c r="F461" i="5"/>
  <c r="N461" i="5" s="1"/>
  <c r="G203" i="5"/>
  <c r="C263" i="5"/>
  <c r="O146" i="5"/>
  <c r="O73" i="5"/>
  <c r="H29" i="5"/>
  <c r="B312" i="5"/>
  <c r="B145" i="5"/>
  <c r="C493" i="5"/>
  <c r="V461" i="5"/>
  <c r="B417" i="5"/>
  <c r="O203" i="5"/>
  <c r="F263" i="5"/>
  <c r="N263" i="5" s="1"/>
  <c r="P29" i="5"/>
  <c r="H312" i="5"/>
  <c r="C145" i="5"/>
  <c r="X270" i="3"/>
  <c r="X245" i="3"/>
  <c r="Y10" i="3"/>
  <c r="AA10" i="3" s="1"/>
  <c r="B389" i="5"/>
  <c r="W146" i="5"/>
  <c r="V91" i="5"/>
  <c r="W461" i="5"/>
  <c r="B455" i="5"/>
  <c r="C417" i="5"/>
  <c r="O430" i="5"/>
  <c r="V203" i="5"/>
  <c r="V263" i="5"/>
  <c r="V29" i="5"/>
  <c r="F312" i="5"/>
  <c r="N312" i="5" s="1"/>
  <c r="O145" i="5"/>
  <c r="Y98" i="3"/>
  <c r="AA98" i="3" s="1"/>
  <c r="Y244" i="3"/>
  <c r="AA244" i="3" s="1"/>
  <c r="V125" i="5"/>
  <c r="C365" i="5"/>
  <c r="V197" i="5"/>
  <c r="G197" i="5"/>
  <c r="W29" i="5"/>
  <c r="G312" i="5"/>
  <c r="AL483" i="3"/>
  <c r="AM483" i="3" s="1"/>
  <c r="X207" i="3"/>
  <c r="W155" i="3"/>
  <c r="W98" i="3"/>
  <c r="W244" i="3"/>
  <c r="O125" i="5"/>
  <c r="W227" i="3"/>
  <c r="H461" i="5"/>
  <c r="F417" i="5"/>
  <c r="N417" i="5" s="1"/>
  <c r="O321" i="5"/>
  <c r="H203" i="5"/>
  <c r="G263" i="5"/>
  <c r="V130" i="5"/>
  <c r="O461" i="5"/>
  <c r="F73" i="5"/>
  <c r="N73" i="5" s="1"/>
  <c r="AI483" i="3"/>
  <c r="Y207" i="3"/>
  <c r="AA207" i="3" s="1"/>
  <c r="W138" i="3"/>
  <c r="X85" i="3"/>
  <c r="F343" i="5"/>
  <c r="N343" i="5" s="1"/>
  <c r="B343" i="5"/>
  <c r="O343" i="5"/>
  <c r="W148" i="3"/>
  <c r="Y148" i="3"/>
  <c r="AA148" i="3" s="1"/>
  <c r="X148" i="3"/>
  <c r="Y188" i="3"/>
  <c r="AA188" i="3" s="1"/>
  <c r="X188" i="3"/>
  <c r="W188" i="3"/>
  <c r="V123" i="5"/>
  <c r="P123" i="5"/>
  <c r="W123" i="5"/>
  <c r="B123" i="5"/>
  <c r="W45" i="5"/>
  <c r="X180" i="3"/>
  <c r="C288" i="5"/>
  <c r="B288" i="5"/>
  <c r="F264" i="5"/>
  <c r="N264" i="5" s="1"/>
  <c r="C264" i="5"/>
  <c r="H264" i="5"/>
  <c r="G264" i="5"/>
  <c r="B264" i="5"/>
  <c r="W167" i="5"/>
  <c r="F167" i="5"/>
  <c r="N167" i="5" s="1"/>
  <c r="C167" i="5"/>
  <c r="V167" i="5"/>
  <c r="H167" i="5"/>
  <c r="G167" i="5"/>
  <c r="W148" i="5"/>
  <c r="H148" i="5"/>
  <c r="G148" i="5"/>
  <c r="C148" i="5"/>
  <c r="F148" i="5"/>
  <c r="N148" i="5" s="1"/>
  <c r="P88" i="5"/>
  <c r="B88" i="5"/>
  <c r="W110" i="5"/>
  <c r="F110" i="5"/>
  <c r="N110" i="5" s="1"/>
  <c r="C110" i="5"/>
  <c r="P110" i="5"/>
  <c r="P187" i="5"/>
  <c r="O187" i="5"/>
  <c r="H187" i="5"/>
  <c r="G187" i="5"/>
  <c r="F187" i="5"/>
  <c r="N187" i="5" s="1"/>
  <c r="C187" i="5"/>
  <c r="Y374" i="3"/>
  <c r="AA374" i="3" s="1"/>
  <c r="X374" i="3"/>
  <c r="W374" i="3"/>
  <c r="Y302" i="3"/>
  <c r="AA302" i="3" s="1"/>
  <c r="X302" i="3"/>
  <c r="W302" i="3"/>
  <c r="P170" i="5"/>
  <c r="O170" i="5"/>
  <c r="H170" i="5"/>
  <c r="C170" i="5"/>
  <c r="B170" i="5"/>
  <c r="G170" i="5"/>
  <c r="F170" i="5"/>
  <c r="N170" i="5" s="1"/>
  <c r="W170" i="5"/>
  <c r="V170" i="5"/>
  <c r="P227" i="5"/>
  <c r="H227" i="5"/>
  <c r="C227" i="5"/>
  <c r="W227" i="5"/>
  <c r="V227" i="5"/>
  <c r="P463" i="5"/>
  <c r="G474" i="5"/>
  <c r="F45" i="5"/>
  <c r="N45" i="5" s="1"/>
  <c r="B477" i="5"/>
  <c r="B419" i="5"/>
  <c r="B364" i="5"/>
  <c r="B167" i="5"/>
  <c r="P167" i="5"/>
  <c r="P148" i="5"/>
  <c r="O264" i="5"/>
  <c r="G234" i="5"/>
  <c r="V153" i="5"/>
  <c r="C357" i="5"/>
  <c r="O68" i="5"/>
  <c r="G141" i="5"/>
  <c r="F326" i="5"/>
  <c r="N326" i="5" s="1"/>
  <c r="G45" i="5"/>
  <c r="F281" i="5"/>
  <c r="N281" i="5" s="1"/>
  <c r="O109" i="5"/>
  <c r="Y291" i="3"/>
  <c r="AA291" i="3" s="1"/>
  <c r="H238" i="5"/>
  <c r="Y311" i="3"/>
  <c r="AA311" i="3" s="1"/>
  <c r="W11" i="5"/>
  <c r="V448" i="5"/>
  <c r="P448" i="5"/>
  <c r="O448" i="5"/>
  <c r="G448" i="5"/>
  <c r="F448" i="5"/>
  <c r="N448" i="5" s="1"/>
  <c r="V435" i="5"/>
  <c r="P435" i="5"/>
  <c r="O435" i="5"/>
  <c r="H435" i="5"/>
  <c r="W435" i="5"/>
  <c r="G435" i="5"/>
  <c r="F452" i="5"/>
  <c r="N452" i="5" s="1"/>
  <c r="V452" i="5"/>
  <c r="W452" i="5"/>
  <c r="W374" i="5"/>
  <c r="H374" i="5"/>
  <c r="G374" i="5"/>
  <c r="F374" i="5"/>
  <c r="N374" i="5" s="1"/>
  <c r="B374" i="5"/>
  <c r="P374" i="5"/>
  <c r="O374" i="5"/>
  <c r="W459" i="5"/>
  <c r="F459" i="5"/>
  <c r="N459" i="5" s="1"/>
  <c r="C459" i="5"/>
  <c r="P459" i="5"/>
  <c r="O363" i="5"/>
  <c r="G363" i="5"/>
  <c r="F363" i="5"/>
  <c r="N363" i="5" s="1"/>
  <c r="Y490" i="3"/>
  <c r="AA490" i="3" s="1"/>
  <c r="X490" i="3"/>
  <c r="W490" i="3"/>
  <c r="G222" i="5"/>
  <c r="H222" i="5"/>
  <c r="W264" i="3"/>
  <c r="W479" i="5"/>
  <c r="F479" i="5"/>
  <c r="N479" i="5" s="1"/>
  <c r="B479" i="5"/>
  <c r="F463" i="5"/>
  <c r="N463" i="5" s="1"/>
  <c r="W316" i="5"/>
  <c r="AJ184" i="3"/>
  <c r="O110" i="5"/>
  <c r="V234" i="5"/>
  <c r="X134" i="3"/>
  <c r="P33" i="5"/>
  <c r="G33" i="5"/>
  <c r="H33" i="5"/>
  <c r="X375" i="3"/>
  <c r="Y375" i="3"/>
  <c r="AA375" i="3" s="1"/>
  <c r="W375" i="3"/>
  <c r="V497" i="5"/>
  <c r="O463" i="5"/>
  <c r="V364" i="5"/>
  <c r="P317" i="5"/>
  <c r="B148" i="5"/>
  <c r="F288" i="5"/>
  <c r="N288" i="5" s="1"/>
  <c r="F353" i="5"/>
  <c r="N353" i="5" s="1"/>
  <c r="V357" i="5"/>
  <c r="W87" i="5"/>
  <c r="C88" i="5"/>
  <c r="O326" i="5"/>
  <c r="B36" i="5"/>
  <c r="Y236" i="3"/>
  <c r="AA236" i="3" s="1"/>
  <c r="B316" i="5"/>
  <c r="AL390" i="3"/>
  <c r="AM390" i="3" s="1"/>
  <c r="X168" i="3"/>
  <c r="W137" i="3"/>
  <c r="W14" i="3"/>
  <c r="W462" i="5"/>
  <c r="H462" i="5"/>
  <c r="C462" i="5"/>
  <c r="B462" i="5"/>
  <c r="F462" i="5"/>
  <c r="N462" i="5" s="1"/>
  <c r="V302" i="5"/>
  <c r="F302" i="5"/>
  <c r="N302" i="5" s="1"/>
  <c r="C302" i="5"/>
  <c r="B302" i="5"/>
  <c r="G237" i="5"/>
  <c r="O237" i="5"/>
  <c r="G465" i="5"/>
  <c r="C465" i="5"/>
  <c r="W465" i="5"/>
  <c r="V465" i="5"/>
  <c r="P465" i="5"/>
  <c r="O465" i="5"/>
  <c r="H465" i="5"/>
  <c r="F465" i="5"/>
  <c r="N465" i="5" s="1"/>
  <c r="P205" i="5"/>
  <c r="O205" i="5"/>
  <c r="H205" i="5"/>
  <c r="G205" i="5"/>
  <c r="F205" i="5"/>
  <c r="N205" i="5" s="1"/>
  <c r="C205" i="5"/>
  <c r="P436" i="5"/>
  <c r="O436" i="5"/>
  <c r="C436" i="5"/>
  <c r="W276" i="3"/>
  <c r="X276" i="3"/>
  <c r="Y276" i="3"/>
  <c r="AA276" i="3" s="1"/>
  <c r="W52" i="5"/>
  <c r="H52" i="5"/>
  <c r="G52" i="5"/>
  <c r="F52" i="5"/>
  <c r="N52" i="5" s="1"/>
  <c r="C52" i="5"/>
  <c r="B52" i="5"/>
  <c r="X384" i="3"/>
  <c r="Y384" i="3"/>
  <c r="AA384" i="3" s="1"/>
  <c r="B4" i="5"/>
  <c r="W4" i="5"/>
  <c r="G4" i="5"/>
  <c r="Y242" i="3"/>
  <c r="AA242" i="3" s="1"/>
  <c r="W242" i="3"/>
  <c r="X242" i="3"/>
  <c r="P265" i="5"/>
  <c r="O265" i="5"/>
  <c r="H265" i="5"/>
  <c r="B265" i="5"/>
  <c r="G265" i="5"/>
  <c r="F265" i="5"/>
  <c r="N265" i="5" s="1"/>
  <c r="W234" i="5"/>
  <c r="V287" i="5"/>
  <c r="G287" i="5"/>
  <c r="B287" i="5"/>
  <c r="O477" i="5"/>
  <c r="F53" i="5"/>
  <c r="N53" i="5" s="1"/>
  <c r="AI180" i="3"/>
  <c r="W121" i="3"/>
  <c r="X166" i="3"/>
  <c r="Y166" i="3"/>
  <c r="AA166" i="3" s="1"/>
  <c r="V334" i="5"/>
  <c r="B334" i="5"/>
  <c r="O334" i="5"/>
  <c r="H334" i="5"/>
  <c r="G334" i="5"/>
  <c r="F334" i="5"/>
  <c r="N334" i="5" s="1"/>
  <c r="W334" i="5"/>
  <c r="P334" i="5"/>
  <c r="C334" i="5"/>
  <c r="G43" i="5"/>
  <c r="F43" i="5"/>
  <c r="N43" i="5" s="1"/>
  <c r="C43" i="5"/>
  <c r="B43" i="5"/>
  <c r="P43" i="5"/>
  <c r="X451" i="3"/>
  <c r="W451" i="3"/>
  <c r="Y451" i="3"/>
  <c r="AA451" i="3" s="1"/>
  <c r="P49" i="5"/>
  <c r="G49" i="5"/>
  <c r="F49" i="5"/>
  <c r="N49" i="5" s="1"/>
  <c r="W168" i="3"/>
  <c r="X121" i="3"/>
  <c r="O287" i="5"/>
  <c r="W317" i="5"/>
  <c r="F109" i="5"/>
  <c r="N109" i="5" s="1"/>
  <c r="W477" i="5"/>
  <c r="V288" i="5"/>
  <c r="B110" i="5"/>
  <c r="V33" i="5"/>
  <c r="F88" i="5"/>
  <c r="N88" i="5" s="1"/>
  <c r="V326" i="5"/>
  <c r="G36" i="5"/>
  <c r="W397" i="3"/>
  <c r="C154" i="5"/>
  <c r="C316" i="5"/>
  <c r="X240" i="3"/>
  <c r="X222" i="3"/>
  <c r="X133" i="3"/>
  <c r="AI168" i="3"/>
  <c r="V283" i="5"/>
  <c r="W283" i="5"/>
  <c r="P156" i="5"/>
  <c r="H156" i="5"/>
  <c r="B156" i="5"/>
  <c r="H198" i="5"/>
  <c r="G198" i="5"/>
  <c r="F46" i="5"/>
  <c r="N46" i="5" s="1"/>
  <c r="C46" i="5"/>
  <c r="B46" i="5"/>
  <c r="P46" i="5"/>
  <c r="P143" i="5"/>
  <c r="F143" i="5"/>
  <c r="N143" i="5" s="1"/>
  <c r="H143" i="5"/>
  <c r="G143" i="5"/>
  <c r="H330" i="5"/>
  <c r="F330" i="5"/>
  <c r="N330" i="5" s="1"/>
  <c r="W209" i="5"/>
  <c r="P209" i="5"/>
  <c r="H209" i="5"/>
  <c r="G209" i="5"/>
  <c r="F209" i="5"/>
  <c r="N209" i="5" s="1"/>
  <c r="W218" i="5"/>
  <c r="G218" i="5"/>
  <c r="F218" i="5"/>
  <c r="N218" i="5" s="1"/>
  <c r="C218" i="5"/>
  <c r="B218" i="5"/>
  <c r="P218" i="5"/>
  <c r="O218" i="5"/>
  <c r="H218" i="5"/>
  <c r="V218" i="5"/>
  <c r="Y259" i="3"/>
  <c r="AA259" i="3" s="1"/>
  <c r="W259" i="3"/>
  <c r="X259" i="3"/>
  <c r="P133" i="5"/>
  <c r="G133" i="5"/>
  <c r="B133" i="5"/>
  <c r="W133" i="5"/>
  <c r="F133" i="5"/>
  <c r="N133" i="5" s="1"/>
  <c r="W190" i="3"/>
  <c r="X190" i="3"/>
  <c r="Y190" i="3"/>
  <c r="AA190" i="3" s="1"/>
  <c r="W53" i="5"/>
  <c r="V53" i="5"/>
  <c r="P53" i="5"/>
  <c r="B53" i="5"/>
  <c r="H53" i="5"/>
  <c r="G53" i="5"/>
  <c r="W402" i="3"/>
  <c r="Y402" i="3"/>
  <c r="AA402" i="3" s="1"/>
  <c r="X402" i="3"/>
  <c r="C463" i="5"/>
  <c r="B45" i="5"/>
  <c r="AI137" i="3"/>
  <c r="V477" i="5"/>
  <c r="Y461" i="3"/>
  <c r="AA461" i="3" s="1"/>
  <c r="AJ461" i="3" s="1"/>
  <c r="AL180" i="3"/>
  <c r="AM180" i="3" s="1"/>
  <c r="B497" i="5"/>
  <c r="H497" i="5"/>
  <c r="H420" i="5"/>
  <c r="F420" i="5"/>
  <c r="N420" i="5" s="1"/>
  <c r="W420" i="5"/>
  <c r="W430" i="3"/>
  <c r="X430" i="3"/>
  <c r="Y430" i="3"/>
  <c r="AA430" i="3" s="1"/>
  <c r="W463" i="5"/>
  <c r="G420" i="5"/>
  <c r="G419" i="5"/>
  <c r="O414" i="5"/>
  <c r="G353" i="5"/>
  <c r="C497" i="5"/>
  <c r="H419" i="5"/>
  <c r="W414" i="5"/>
  <c r="W353" i="5"/>
  <c r="G88" i="5"/>
  <c r="H326" i="5"/>
  <c r="H36" i="5"/>
  <c r="X397" i="3"/>
  <c r="O154" i="5"/>
  <c r="P316" i="5"/>
  <c r="X73" i="3"/>
  <c r="X184" i="3"/>
  <c r="Y240" i="3"/>
  <c r="AA240" i="3" s="1"/>
  <c r="AL240" i="3" s="1"/>
  <c r="AM240" i="3" s="1"/>
  <c r="X373" i="3"/>
  <c r="Y222" i="3"/>
  <c r="AA222" i="3" s="1"/>
  <c r="AJ222" i="3" s="1"/>
  <c r="Y439" i="3"/>
  <c r="AA439" i="3" s="1"/>
  <c r="AI439" i="3" s="1"/>
  <c r="W133" i="3"/>
  <c r="AJ168" i="3"/>
  <c r="AI134" i="3"/>
  <c r="B203" i="5"/>
  <c r="W203" i="5"/>
  <c r="F203" i="5"/>
  <c r="N203" i="5" s="1"/>
  <c r="C203" i="5"/>
  <c r="B434" i="5"/>
  <c r="H434" i="5"/>
  <c r="G434" i="5"/>
  <c r="F434" i="5"/>
  <c r="N434" i="5" s="1"/>
  <c r="C434" i="5"/>
  <c r="W434" i="5"/>
  <c r="V434" i="5"/>
  <c r="P434" i="5"/>
  <c r="O434" i="5"/>
  <c r="H130" i="5"/>
  <c r="C130" i="5"/>
  <c r="B130" i="5"/>
  <c r="P130" i="5"/>
  <c r="W18" i="5"/>
  <c r="B18" i="5"/>
  <c r="W299" i="3"/>
  <c r="X299" i="3"/>
  <c r="Y299" i="3"/>
  <c r="AA299" i="3" s="1"/>
  <c r="C55" i="5"/>
  <c r="B55" i="5"/>
  <c r="F55" i="5"/>
  <c r="N55" i="5" s="1"/>
  <c r="H388" i="5"/>
  <c r="G388" i="5"/>
  <c r="F388" i="5"/>
  <c r="N388" i="5" s="1"/>
  <c r="C388" i="5"/>
  <c r="B388" i="5"/>
  <c r="O388" i="5"/>
  <c r="W388" i="5"/>
  <c r="Y405" i="3"/>
  <c r="AA405" i="3" s="1"/>
  <c r="X405" i="3"/>
  <c r="W405" i="3"/>
  <c r="G477" i="5"/>
  <c r="W357" i="5"/>
  <c r="G326" i="5"/>
  <c r="F440" i="5"/>
  <c r="N440" i="5" s="1"/>
  <c r="C440" i="5"/>
  <c r="G317" i="5"/>
  <c r="F317" i="5"/>
  <c r="N317" i="5" s="1"/>
  <c r="C317" i="5"/>
  <c r="H318" i="5"/>
  <c r="C133" i="5"/>
  <c r="O45" i="5"/>
  <c r="P245" i="5"/>
  <c r="F245" i="5"/>
  <c r="N245" i="5" s="1"/>
  <c r="C245" i="5"/>
  <c r="B245" i="5"/>
  <c r="H215" i="5"/>
  <c r="F215" i="5"/>
  <c r="N215" i="5" s="1"/>
  <c r="W215" i="5"/>
  <c r="G215" i="5"/>
  <c r="F87" i="5"/>
  <c r="N87" i="5" s="1"/>
  <c r="P87" i="5"/>
  <c r="G440" i="5"/>
  <c r="W474" i="5"/>
  <c r="W287" i="5"/>
  <c r="F497" i="5"/>
  <c r="N497" i="5" s="1"/>
  <c r="V487" i="5"/>
  <c r="V463" i="5"/>
  <c r="H440" i="5"/>
  <c r="B420" i="5"/>
  <c r="H474" i="5"/>
  <c r="W288" i="5"/>
  <c r="W33" i="5"/>
  <c r="G497" i="5"/>
  <c r="P388" i="5"/>
  <c r="G463" i="5"/>
  <c r="O440" i="5"/>
  <c r="C420" i="5"/>
  <c r="O419" i="5"/>
  <c r="F474" i="5"/>
  <c r="N474" i="5" s="1"/>
  <c r="B414" i="5"/>
  <c r="G288" i="5"/>
  <c r="C222" i="5"/>
  <c r="V222" i="5"/>
  <c r="P353" i="5"/>
  <c r="H133" i="5"/>
  <c r="B33" i="5"/>
  <c r="H88" i="5"/>
  <c r="V36" i="5"/>
  <c r="V281" i="5"/>
  <c r="V55" i="5"/>
  <c r="W154" i="5"/>
  <c r="G316" i="5"/>
  <c r="Y73" i="3"/>
  <c r="AA73" i="3" s="1"/>
  <c r="AL73" i="3" s="1"/>
  <c r="AM73" i="3" s="1"/>
  <c r="G109" i="5"/>
  <c r="F238" i="5"/>
  <c r="N238" i="5" s="1"/>
  <c r="Y373" i="3"/>
  <c r="AA373" i="3" s="1"/>
  <c r="AI373" i="3" s="1"/>
  <c r="AJ499" i="3"/>
  <c r="X14" i="3"/>
  <c r="AJ134" i="3"/>
  <c r="W263" i="5"/>
  <c r="B263" i="5"/>
  <c r="B332" i="5"/>
  <c r="F332" i="5"/>
  <c r="N332" i="5" s="1"/>
  <c r="C332" i="5"/>
  <c r="O332" i="5"/>
  <c r="H332" i="5"/>
  <c r="G332" i="5"/>
  <c r="V355" i="5"/>
  <c r="P355" i="5"/>
  <c r="O355" i="5"/>
  <c r="H355" i="5"/>
  <c r="F355" i="5"/>
  <c r="N355" i="5" s="1"/>
  <c r="C355" i="5"/>
  <c r="B355" i="5"/>
  <c r="G355" i="5"/>
  <c r="W355" i="5"/>
  <c r="X416" i="3"/>
  <c r="W416" i="3"/>
  <c r="Y416" i="3"/>
  <c r="AA416" i="3" s="1"/>
  <c r="W325" i="5"/>
  <c r="G325" i="5"/>
  <c r="B325" i="5"/>
  <c r="V325" i="5"/>
  <c r="W494" i="3"/>
  <c r="X494" i="3"/>
  <c r="Y494" i="3"/>
  <c r="AA494" i="3" s="1"/>
  <c r="X327" i="3"/>
  <c r="Y327" i="3"/>
  <c r="AA327" i="3" s="1"/>
  <c r="F357" i="5"/>
  <c r="N357" i="5" s="1"/>
  <c r="H479" i="5"/>
  <c r="V388" i="5"/>
  <c r="B487" i="5"/>
  <c r="P440" i="5"/>
  <c r="O420" i="5"/>
  <c r="P419" i="5"/>
  <c r="V308" i="5"/>
  <c r="O474" i="5"/>
  <c r="C265" i="5"/>
  <c r="C414" i="5"/>
  <c r="W187" i="5"/>
  <c r="H288" i="5"/>
  <c r="B222" i="5"/>
  <c r="O353" i="5"/>
  <c r="V133" i="5"/>
  <c r="C33" i="5"/>
  <c r="W88" i="5"/>
  <c r="P30" i="5"/>
  <c r="W36" i="5"/>
  <c r="H281" i="5"/>
  <c r="B281" i="5"/>
  <c r="G55" i="5"/>
  <c r="W326" i="3"/>
  <c r="V154" i="5"/>
  <c r="O316" i="5"/>
  <c r="H109" i="5"/>
  <c r="O238" i="5"/>
  <c r="B11" i="5"/>
  <c r="AL499" i="3"/>
  <c r="AM499" i="3" s="1"/>
  <c r="AI14" i="3"/>
  <c r="B321" i="5"/>
  <c r="W321" i="5"/>
  <c r="V321" i="5"/>
  <c r="G321" i="5"/>
  <c r="F321" i="5"/>
  <c r="N321" i="5" s="1"/>
  <c r="P321" i="5"/>
  <c r="O259" i="5"/>
  <c r="B259" i="5"/>
  <c r="P259" i="5"/>
  <c r="G304" i="5"/>
  <c r="H304" i="5"/>
  <c r="F304" i="5"/>
  <c r="N304" i="5" s="1"/>
  <c r="B304" i="5"/>
  <c r="C304" i="5"/>
  <c r="W304" i="5"/>
  <c r="V304" i="5"/>
  <c r="G129" i="5"/>
  <c r="F129" i="5"/>
  <c r="N129" i="5" s="1"/>
  <c r="P129" i="5"/>
  <c r="Y428" i="3"/>
  <c r="AA428" i="3" s="1"/>
  <c r="X428" i="3"/>
  <c r="W428" i="3"/>
  <c r="X407" i="3"/>
  <c r="W407" i="3"/>
  <c r="Y407" i="3"/>
  <c r="AA407" i="3" s="1"/>
  <c r="W462" i="3"/>
  <c r="Y462" i="3"/>
  <c r="AA462" i="3" s="1"/>
  <c r="X462" i="3"/>
  <c r="F12" i="5"/>
  <c r="N12" i="5" s="1"/>
  <c r="C12" i="5"/>
  <c r="B12" i="5"/>
  <c r="H12" i="5"/>
  <c r="G12" i="5"/>
  <c r="O141" i="5"/>
  <c r="O479" i="5"/>
  <c r="W419" i="5"/>
  <c r="B187" i="5"/>
  <c r="B227" i="5"/>
  <c r="O133" i="5"/>
  <c r="O33" i="5"/>
  <c r="G281" i="5"/>
  <c r="V109" i="5"/>
  <c r="P238" i="5"/>
  <c r="G2" i="4"/>
  <c r="I2" i="4" s="1"/>
  <c r="G11" i="5"/>
  <c r="X137" i="3"/>
  <c r="AJ14" i="3"/>
  <c r="F399" i="5"/>
  <c r="N399" i="5" s="1"/>
  <c r="B399" i="5"/>
  <c r="F406" i="5"/>
  <c r="N406" i="5" s="1"/>
  <c r="B406" i="5"/>
  <c r="H406" i="5"/>
  <c r="G406" i="5"/>
  <c r="H253" i="5"/>
  <c r="C253" i="5"/>
  <c r="B253" i="5"/>
  <c r="F253" i="5"/>
  <c r="N253" i="5" s="1"/>
  <c r="G253" i="5"/>
  <c r="W429" i="5"/>
  <c r="H429" i="5"/>
  <c r="V307" i="5"/>
  <c r="G307" i="5"/>
  <c r="F307" i="5"/>
  <c r="N307" i="5" s="1"/>
  <c r="W307" i="5"/>
  <c r="P307" i="5"/>
  <c r="O307" i="5"/>
  <c r="H307" i="5"/>
  <c r="C307" i="5"/>
  <c r="B307" i="5"/>
  <c r="Y150" i="3"/>
  <c r="AA150" i="3" s="1"/>
  <c r="X150" i="3"/>
  <c r="W150" i="3"/>
  <c r="V297" i="5"/>
  <c r="G297" i="5"/>
  <c r="P297" i="5"/>
  <c r="O297" i="5"/>
  <c r="B297" i="5"/>
  <c r="H297" i="5"/>
  <c r="C297" i="5"/>
  <c r="Y290" i="3"/>
  <c r="AA290" i="3" s="1"/>
  <c r="X290" i="3"/>
  <c r="W290" i="3"/>
  <c r="V277" i="5"/>
  <c r="B277" i="5"/>
  <c r="W277" i="5"/>
  <c r="C277" i="5"/>
  <c r="H277" i="5"/>
  <c r="G277" i="5"/>
  <c r="F277" i="5"/>
  <c r="N277" i="5" s="1"/>
  <c r="Y350" i="3"/>
  <c r="AA350" i="3" s="1"/>
  <c r="X350" i="3"/>
  <c r="W350" i="3"/>
  <c r="C267" i="5"/>
  <c r="B267" i="5"/>
  <c r="G267" i="5"/>
  <c r="F267" i="5"/>
  <c r="N267" i="5" s="1"/>
  <c r="V267" i="5"/>
  <c r="H267" i="5"/>
  <c r="P267" i="5"/>
  <c r="O267" i="5"/>
  <c r="B463" i="5"/>
  <c r="F287" i="5"/>
  <c r="N287" i="5" s="1"/>
  <c r="V68" i="5"/>
  <c r="W68" i="5"/>
  <c r="H30" i="5"/>
  <c r="G30" i="5"/>
  <c r="F30" i="5"/>
  <c r="N30" i="5" s="1"/>
  <c r="C30" i="5"/>
  <c r="B30" i="5"/>
  <c r="C45" i="5"/>
  <c r="V440" i="5"/>
  <c r="V265" i="5"/>
  <c r="F222" i="5"/>
  <c r="N222" i="5" s="1"/>
  <c r="C36" i="5"/>
  <c r="H487" i="5"/>
  <c r="W440" i="5"/>
  <c r="V420" i="5"/>
  <c r="B474" i="5"/>
  <c r="W267" i="5"/>
  <c r="G414" i="5"/>
  <c r="W265" i="5"/>
  <c r="B317" i="5"/>
  <c r="V187" i="5"/>
  <c r="O227" i="5"/>
  <c r="P288" i="5"/>
  <c r="O222" i="5"/>
  <c r="H68" i="5"/>
  <c r="V30" i="5"/>
  <c r="F36" i="5"/>
  <c r="N36" i="5" s="1"/>
  <c r="O281" i="5"/>
  <c r="W55" i="5"/>
  <c r="H154" i="5"/>
  <c r="W109" i="5"/>
  <c r="W391" i="3"/>
  <c r="V238" i="5"/>
  <c r="X264" i="3"/>
  <c r="C11" i="5"/>
  <c r="AJ391" i="3"/>
  <c r="W491" i="3"/>
  <c r="AJ218" i="3"/>
  <c r="V442" i="5"/>
  <c r="O442" i="5"/>
  <c r="H442" i="5"/>
  <c r="P241" i="5"/>
  <c r="O241" i="5"/>
  <c r="H241" i="5"/>
  <c r="G241" i="5"/>
  <c r="F241" i="5"/>
  <c r="N241" i="5" s="1"/>
  <c r="G270" i="5"/>
  <c r="F270" i="5"/>
  <c r="N270" i="5" s="1"/>
  <c r="C270" i="5"/>
  <c r="B270" i="5"/>
  <c r="O270" i="5"/>
  <c r="C370" i="5"/>
  <c r="W370" i="5"/>
  <c r="O370" i="5"/>
  <c r="G370" i="5"/>
  <c r="W369" i="5"/>
  <c r="P369" i="5"/>
  <c r="B234" i="5"/>
  <c r="F234" i="5"/>
  <c r="N234" i="5" s="1"/>
  <c r="C234" i="5"/>
  <c r="F419" i="5"/>
  <c r="N419" i="5" s="1"/>
  <c r="C419" i="5"/>
  <c r="X129" i="3"/>
  <c r="W129" i="3"/>
  <c r="Y129" i="3"/>
  <c r="AA129" i="3" s="1"/>
  <c r="P234" i="5"/>
  <c r="W236" i="3"/>
  <c r="P477" i="5"/>
  <c r="O288" i="5"/>
  <c r="V353" i="5"/>
  <c r="O88" i="5"/>
  <c r="F154" i="5"/>
  <c r="N154" i="5" s="1"/>
  <c r="V479" i="5"/>
  <c r="H414" i="5"/>
  <c r="F153" i="5"/>
  <c r="N153" i="5" s="1"/>
  <c r="C68" i="5"/>
  <c r="O30" i="5"/>
  <c r="V141" i="5"/>
  <c r="P36" i="5"/>
  <c r="P281" i="5"/>
  <c r="O55" i="5"/>
  <c r="B154" i="5"/>
  <c r="P154" i="5"/>
  <c r="B109" i="5"/>
  <c r="X391" i="3"/>
  <c r="B238" i="5"/>
  <c r="F11" i="5"/>
  <c r="N11" i="5" s="1"/>
  <c r="AL391" i="3"/>
  <c r="AM391" i="3" s="1"/>
  <c r="X491" i="3"/>
  <c r="W439" i="3"/>
  <c r="W172" i="3"/>
  <c r="AI218" i="3"/>
  <c r="F221" i="5"/>
  <c r="N221" i="5" s="1"/>
  <c r="C221" i="5"/>
  <c r="B221" i="5"/>
  <c r="X178" i="3"/>
  <c r="W178" i="3"/>
  <c r="Y178" i="3"/>
  <c r="AA178" i="3" s="1"/>
  <c r="Y431" i="3"/>
  <c r="AA431" i="3" s="1"/>
  <c r="X431" i="3"/>
  <c r="W431" i="3"/>
  <c r="AL287" i="3"/>
  <c r="AM287" i="3" s="1"/>
  <c r="AI287" i="3"/>
  <c r="AJ287" i="3"/>
  <c r="O128" i="5"/>
  <c r="F128" i="5"/>
  <c r="N128" i="5" s="1"/>
  <c r="C128" i="5"/>
  <c r="B128" i="5"/>
  <c r="P128" i="5"/>
  <c r="V128" i="5"/>
  <c r="W128" i="5"/>
  <c r="H477" i="5"/>
  <c r="F318" i="5"/>
  <c r="N318" i="5" s="1"/>
  <c r="C318" i="5"/>
  <c r="B318" i="5"/>
  <c r="P318" i="5"/>
  <c r="O318" i="5"/>
  <c r="W318" i="5"/>
  <c r="G318" i="5"/>
  <c r="H287" i="5"/>
  <c r="W174" i="5"/>
  <c r="G174" i="5"/>
  <c r="F174" i="5"/>
  <c r="N174" i="5" s="1"/>
  <c r="O174" i="5"/>
  <c r="H174" i="5"/>
  <c r="V174" i="5"/>
  <c r="C174" i="5"/>
  <c r="B174" i="5"/>
  <c r="P174" i="5"/>
  <c r="G299" i="5"/>
  <c r="O299" i="5"/>
  <c r="W308" i="5"/>
  <c r="P308" i="5"/>
  <c r="H308" i="5"/>
  <c r="G308" i="5"/>
  <c r="F308" i="5"/>
  <c r="N308" i="5" s="1"/>
  <c r="O308" i="5"/>
  <c r="F364" i="5"/>
  <c r="N364" i="5" s="1"/>
  <c r="H353" i="5"/>
  <c r="F316" i="5"/>
  <c r="N316" i="5" s="1"/>
  <c r="C479" i="5"/>
  <c r="V474" i="5"/>
  <c r="G68" i="5"/>
  <c r="H55" i="5"/>
  <c r="Y326" i="3"/>
  <c r="AA326" i="3" s="1"/>
  <c r="AL326" i="3" s="1"/>
  <c r="AM326" i="3" s="1"/>
  <c r="P479" i="5"/>
  <c r="W487" i="5"/>
  <c r="B440" i="5"/>
  <c r="B308" i="5"/>
  <c r="C474" i="5"/>
  <c r="P299" i="5"/>
  <c r="F227" i="5"/>
  <c r="N227" i="5" s="1"/>
  <c r="P222" i="5"/>
  <c r="O497" i="5"/>
  <c r="G479" i="5"/>
  <c r="V299" i="5"/>
  <c r="G227" i="5"/>
  <c r="W222" i="5"/>
  <c r="P153" i="5"/>
  <c r="C87" i="5"/>
  <c r="F68" i="5"/>
  <c r="N68" i="5" s="1"/>
  <c r="V49" i="5"/>
  <c r="W180" i="3"/>
  <c r="C214" i="5"/>
  <c r="B214" i="5"/>
  <c r="O408" i="5"/>
  <c r="P408" i="5"/>
  <c r="P424" i="5"/>
  <c r="O424" i="5"/>
  <c r="P131" i="5"/>
  <c r="W131" i="5"/>
  <c r="V131" i="5"/>
  <c r="W10" i="5"/>
  <c r="V10" i="5"/>
  <c r="P10" i="5"/>
  <c r="G40" i="5"/>
  <c r="F40" i="5"/>
  <c r="N40" i="5" s="1"/>
  <c r="C40" i="5"/>
  <c r="V40" i="5"/>
  <c r="P40" i="5"/>
  <c r="C98" i="5"/>
  <c r="B98" i="5"/>
  <c r="P98" i="5"/>
  <c r="H98" i="5"/>
  <c r="Y343" i="3"/>
  <c r="AA343" i="3" s="1"/>
  <c r="W343" i="3"/>
  <c r="X343" i="3"/>
  <c r="H2" i="4"/>
  <c r="Y21" i="3"/>
  <c r="AA21" i="3" s="1"/>
  <c r="X21" i="3"/>
  <c r="W21" i="3"/>
  <c r="Y60" i="3"/>
  <c r="AA60" i="3" s="1"/>
  <c r="X60" i="3"/>
  <c r="W60" i="3"/>
  <c r="O113" i="5"/>
  <c r="C113" i="5"/>
  <c r="B113" i="5"/>
  <c r="H113" i="5"/>
  <c r="P113" i="5"/>
  <c r="G113" i="5"/>
  <c r="F113" i="5"/>
  <c r="N113" i="5" s="1"/>
  <c r="W113" i="5"/>
  <c r="V113" i="5"/>
  <c r="G77" i="6"/>
  <c r="D77" i="6"/>
  <c r="P231" i="5"/>
  <c r="O231" i="5"/>
  <c r="H231" i="5"/>
  <c r="G231" i="5"/>
  <c r="F231" i="5"/>
  <c r="N231" i="5" s="1"/>
  <c r="B231" i="5"/>
  <c r="W231" i="5"/>
  <c r="V231" i="5"/>
  <c r="C231" i="5"/>
  <c r="W482" i="3"/>
  <c r="X482" i="3"/>
  <c r="Y482" i="3"/>
  <c r="AA482" i="3" s="1"/>
  <c r="Y153" i="3"/>
  <c r="AA153" i="3" s="1"/>
  <c r="X153" i="3"/>
  <c r="W153" i="3"/>
  <c r="X232" i="3"/>
  <c r="W232" i="3"/>
  <c r="Y232" i="3"/>
  <c r="AA232" i="3" s="1"/>
  <c r="B176" i="5"/>
  <c r="P176" i="5"/>
  <c r="G176" i="5"/>
  <c r="F176" i="5"/>
  <c r="N176" i="5" s="1"/>
  <c r="W176" i="5"/>
  <c r="O176" i="5"/>
  <c r="C176" i="5"/>
  <c r="V176" i="5"/>
  <c r="H176" i="5"/>
  <c r="Y496" i="3"/>
  <c r="AA496" i="3" s="1"/>
  <c r="X496" i="3"/>
  <c r="W496" i="3"/>
  <c r="O20" i="5"/>
  <c r="P20" i="5"/>
  <c r="V20" i="5"/>
  <c r="C20" i="5"/>
  <c r="B20" i="5"/>
  <c r="H20" i="5"/>
  <c r="G20" i="5"/>
  <c r="W20" i="5"/>
  <c r="F20" i="5"/>
  <c r="N20" i="5" s="1"/>
  <c r="Y55" i="3"/>
  <c r="AA55" i="3" s="1"/>
  <c r="X55" i="3"/>
  <c r="W55" i="3"/>
  <c r="B444" i="5"/>
  <c r="P444" i="5"/>
  <c r="O444" i="5"/>
  <c r="F444" i="5"/>
  <c r="N444" i="5" s="1"/>
  <c r="C444" i="5"/>
  <c r="H444" i="5"/>
  <c r="W444" i="5"/>
  <c r="V444" i="5"/>
  <c r="G444" i="5"/>
  <c r="V359" i="5"/>
  <c r="W359" i="5"/>
  <c r="C359" i="5"/>
  <c r="B359" i="5"/>
  <c r="H359" i="5"/>
  <c r="P359" i="5"/>
  <c r="O359" i="5"/>
  <c r="G359" i="5"/>
  <c r="F359" i="5"/>
  <c r="N359" i="5" s="1"/>
  <c r="B290" i="5"/>
  <c r="W290" i="5"/>
  <c r="V290" i="5"/>
  <c r="F290" i="5"/>
  <c r="N290" i="5" s="1"/>
  <c r="C290" i="5"/>
  <c r="O290" i="5"/>
  <c r="P290" i="5"/>
  <c r="H290" i="5"/>
  <c r="G290" i="5"/>
  <c r="G298" i="5"/>
  <c r="B298" i="5"/>
  <c r="W298" i="5"/>
  <c r="V298" i="5"/>
  <c r="O298" i="5"/>
  <c r="H298" i="5"/>
  <c r="F298" i="5"/>
  <c r="N298" i="5" s="1"/>
  <c r="P298" i="5"/>
  <c r="C298" i="5"/>
  <c r="B208" i="5"/>
  <c r="P208" i="5"/>
  <c r="O208" i="5"/>
  <c r="G208" i="5"/>
  <c r="F208" i="5"/>
  <c r="N208" i="5" s="1"/>
  <c r="H208" i="5"/>
  <c r="C208" i="5"/>
  <c r="W208" i="5"/>
  <c r="V208" i="5"/>
  <c r="O166" i="5"/>
  <c r="P166" i="5"/>
  <c r="H166" i="5"/>
  <c r="W166" i="5"/>
  <c r="V166" i="5"/>
  <c r="G166" i="5"/>
  <c r="F166" i="5"/>
  <c r="N166" i="5" s="1"/>
  <c r="C166" i="5"/>
  <c r="B166" i="5"/>
  <c r="O107" i="5"/>
  <c r="H107" i="5"/>
  <c r="W107" i="5"/>
  <c r="V107" i="5"/>
  <c r="B107" i="5"/>
  <c r="G107" i="5"/>
  <c r="F107" i="5"/>
  <c r="N107" i="5" s="1"/>
  <c r="P107" i="5"/>
  <c r="C107" i="5"/>
  <c r="X387" i="3"/>
  <c r="W387" i="3"/>
  <c r="Y387" i="3"/>
  <c r="AA387" i="3" s="1"/>
  <c r="X358" i="3"/>
  <c r="W358" i="3"/>
  <c r="Y358" i="3"/>
  <c r="AA358" i="3" s="1"/>
  <c r="AI475" i="3"/>
  <c r="AJ475" i="3"/>
  <c r="AL475" i="3"/>
  <c r="AM475" i="3" s="1"/>
  <c r="W229" i="3"/>
  <c r="Y229" i="3"/>
  <c r="AA229" i="3" s="1"/>
  <c r="X229" i="3"/>
  <c r="Z2" i="3"/>
  <c r="V2" i="3"/>
  <c r="W252" i="3"/>
  <c r="Y252" i="3"/>
  <c r="AA252" i="3" s="1"/>
  <c r="X252" i="3"/>
  <c r="AJ185" i="3"/>
  <c r="AL185" i="3"/>
  <c r="AM185" i="3" s="1"/>
  <c r="AI185" i="3"/>
  <c r="AL57" i="3"/>
  <c r="AM57" i="3" s="1"/>
  <c r="AI57" i="3"/>
  <c r="AJ57" i="3"/>
  <c r="AJ281" i="3"/>
  <c r="AL281" i="3"/>
  <c r="AM281" i="3" s="1"/>
  <c r="AI281" i="3"/>
  <c r="O115" i="5"/>
  <c r="H115" i="5"/>
  <c r="W115" i="5"/>
  <c r="V115" i="5"/>
  <c r="B115" i="5"/>
  <c r="C115" i="5"/>
  <c r="P115" i="5"/>
  <c r="F115" i="5"/>
  <c r="N115" i="5" s="1"/>
  <c r="G115" i="5"/>
  <c r="AL219" i="3"/>
  <c r="AM219" i="3" s="1"/>
  <c r="AJ219" i="3"/>
  <c r="AI219" i="3"/>
  <c r="D19" i="6"/>
  <c r="Y63" i="3"/>
  <c r="AA63" i="3" s="1"/>
  <c r="X63" i="3"/>
  <c r="W63" i="3"/>
  <c r="Y223" i="3"/>
  <c r="AA223" i="3" s="1"/>
  <c r="X223" i="3"/>
  <c r="W223" i="3"/>
  <c r="AL243" i="3"/>
  <c r="AM243" i="3" s="1"/>
  <c r="AI243" i="3"/>
  <c r="AJ243" i="3"/>
  <c r="AL49" i="3"/>
  <c r="AM49" i="3" s="1"/>
  <c r="AJ49" i="3"/>
  <c r="AI49" i="3"/>
  <c r="AL50" i="3"/>
  <c r="AM50" i="3" s="1"/>
  <c r="AJ50" i="3"/>
  <c r="AI50" i="3"/>
  <c r="X72" i="3"/>
  <c r="Y72" i="3"/>
  <c r="AA72" i="3" s="1"/>
  <c r="W72" i="3"/>
  <c r="Y22" i="3"/>
  <c r="AA22" i="3" s="1"/>
  <c r="X22" i="3"/>
  <c r="W22" i="3"/>
  <c r="D89" i="6"/>
  <c r="G89" i="6"/>
  <c r="Y345" i="3"/>
  <c r="AA345" i="3" s="1"/>
  <c r="W345" i="3"/>
  <c r="X345" i="3"/>
  <c r="V356" i="5"/>
  <c r="B356" i="5"/>
  <c r="W356" i="5"/>
  <c r="O356" i="5"/>
  <c r="H356" i="5"/>
  <c r="G356" i="5"/>
  <c r="P356" i="5"/>
  <c r="F356" i="5"/>
  <c r="N356" i="5" s="1"/>
  <c r="C356" i="5"/>
  <c r="O62" i="5"/>
  <c r="V62" i="5"/>
  <c r="B62" i="5"/>
  <c r="F62" i="5"/>
  <c r="N62" i="5" s="1"/>
  <c r="C62" i="5"/>
  <c r="P62" i="5"/>
  <c r="H62" i="5"/>
  <c r="G62" i="5"/>
  <c r="W62" i="5"/>
  <c r="AL17" i="3"/>
  <c r="AM17" i="3" s="1"/>
  <c r="AI17" i="3"/>
  <c r="AJ17" i="3"/>
  <c r="AI323" i="3"/>
  <c r="AJ323" i="3"/>
  <c r="AL323" i="3"/>
  <c r="AM323" i="3" s="1"/>
  <c r="AI450" i="3"/>
  <c r="AL450" i="3"/>
  <c r="AM450" i="3" s="1"/>
  <c r="AJ450" i="3"/>
  <c r="V345" i="5"/>
  <c r="P345" i="5"/>
  <c r="O345" i="5"/>
  <c r="H345" i="5"/>
  <c r="G345" i="5"/>
  <c r="C345" i="5"/>
  <c r="B345" i="5"/>
  <c r="W345" i="5"/>
  <c r="F345" i="5"/>
  <c r="N345" i="5" s="1"/>
  <c r="V361" i="5"/>
  <c r="H361" i="5"/>
  <c r="G361" i="5"/>
  <c r="F361" i="5"/>
  <c r="N361" i="5" s="1"/>
  <c r="C361" i="5"/>
  <c r="W361" i="5"/>
  <c r="P361" i="5"/>
  <c r="O361" i="5"/>
  <c r="B361" i="5"/>
  <c r="B438" i="5"/>
  <c r="H438" i="5"/>
  <c r="P438" i="5"/>
  <c r="O438" i="5"/>
  <c r="F438" i="5"/>
  <c r="N438" i="5" s="1"/>
  <c r="C438" i="5"/>
  <c r="W438" i="5"/>
  <c r="V438" i="5"/>
  <c r="G438" i="5"/>
  <c r="B240" i="5"/>
  <c r="P240" i="5"/>
  <c r="O240" i="5"/>
  <c r="W240" i="5"/>
  <c r="V240" i="5"/>
  <c r="H240" i="5"/>
  <c r="C240" i="5"/>
  <c r="G240" i="5"/>
  <c r="F240" i="5"/>
  <c r="N240" i="5" s="1"/>
  <c r="V358" i="5"/>
  <c r="G358" i="5"/>
  <c r="W358" i="5"/>
  <c r="C358" i="5"/>
  <c r="B358" i="5"/>
  <c r="H358" i="5"/>
  <c r="F358" i="5"/>
  <c r="N358" i="5" s="1"/>
  <c r="P358" i="5"/>
  <c r="O358" i="5"/>
  <c r="V336" i="5"/>
  <c r="C336" i="5"/>
  <c r="W336" i="5"/>
  <c r="P336" i="5"/>
  <c r="B336" i="5"/>
  <c r="H336" i="5"/>
  <c r="G336" i="5"/>
  <c r="F336" i="5"/>
  <c r="N336" i="5" s="1"/>
  <c r="O336" i="5"/>
  <c r="G482" i="5"/>
  <c r="W482" i="5"/>
  <c r="V482" i="5"/>
  <c r="P482" i="5"/>
  <c r="O482" i="5"/>
  <c r="H482" i="5"/>
  <c r="F482" i="5"/>
  <c r="N482" i="5" s="1"/>
  <c r="C482" i="5"/>
  <c r="B482" i="5"/>
  <c r="G483" i="5"/>
  <c r="B483" i="5"/>
  <c r="C483" i="5"/>
  <c r="W483" i="5"/>
  <c r="V483" i="5"/>
  <c r="P483" i="5"/>
  <c r="H483" i="5"/>
  <c r="F483" i="5"/>
  <c r="N483" i="5" s="1"/>
  <c r="O483" i="5"/>
  <c r="G478" i="5"/>
  <c r="P478" i="5"/>
  <c r="O478" i="5"/>
  <c r="H478" i="5"/>
  <c r="C478" i="5"/>
  <c r="W478" i="5"/>
  <c r="V478" i="5"/>
  <c r="F478" i="5"/>
  <c r="N478" i="5" s="1"/>
  <c r="B478" i="5"/>
  <c r="B272" i="5"/>
  <c r="W272" i="5"/>
  <c r="O272" i="5"/>
  <c r="P272" i="5"/>
  <c r="F272" i="5"/>
  <c r="N272" i="5" s="1"/>
  <c r="C272" i="5"/>
  <c r="H272" i="5"/>
  <c r="G272" i="5"/>
  <c r="V272" i="5"/>
  <c r="V426" i="5"/>
  <c r="H426" i="5"/>
  <c r="B426" i="5"/>
  <c r="W426" i="5"/>
  <c r="C426" i="5"/>
  <c r="G426" i="5"/>
  <c r="P426" i="5"/>
  <c r="O426" i="5"/>
  <c r="F426" i="5"/>
  <c r="N426" i="5" s="1"/>
  <c r="H324" i="5"/>
  <c r="O324" i="5"/>
  <c r="G324" i="5"/>
  <c r="F324" i="5"/>
  <c r="N324" i="5" s="1"/>
  <c r="C324" i="5"/>
  <c r="W324" i="5"/>
  <c r="V324" i="5"/>
  <c r="P324" i="5"/>
  <c r="B324" i="5"/>
  <c r="V188" i="5"/>
  <c r="G188" i="5"/>
  <c r="C188" i="5"/>
  <c r="W188" i="5"/>
  <c r="P188" i="5"/>
  <c r="O188" i="5"/>
  <c r="H188" i="5"/>
  <c r="F188" i="5"/>
  <c r="N188" i="5" s="1"/>
  <c r="B188" i="5"/>
  <c r="O86" i="5"/>
  <c r="V86" i="5"/>
  <c r="H86" i="5"/>
  <c r="B86" i="5"/>
  <c r="P86" i="5"/>
  <c r="F86" i="5"/>
  <c r="N86" i="5" s="1"/>
  <c r="C86" i="5"/>
  <c r="W86" i="5"/>
  <c r="G86" i="5"/>
  <c r="O22" i="5"/>
  <c r="V22" i="5"/>
  <c r="B22" i="5"/>
  <c r="W22" i="5"/>
  <c r="P22" i="5"/>
  <c r="G22" i="5"/>
  <c r="F22" i="5"/>
  <c r="N22" i="5" s="1"/>
  <c r="C22" i="5"/>
  <c r="H22" i="5"/>
  <c r="O64" i="5"/>
  <c r="H64" i="5"/>
  <c r="G64" i="5"/>
  <c r="V64" i="5"/>
  <c r="P64" i="5"/>
  <c r="F64" i="5"/>
  <c r="N64" i="5" s="1"/>
  <c r="C64" i="5"/>
  <c r="B64" i="5"/>
  <c r="W64" i="5"/>
  <c r="G155" i="5"/>
  <c r="F155" i="5"/>
  <c r="N155" i="5" s="1"/>
  <c r="W155" i="5"/>
  <c r="V155" i="5"/>
  <c r="P155" i="5"/>
  <c r="H155" i="5"/>
  <c r="C155" i="5"/>
  <c r="B155" i="5"/>
  <c r="O155" i="5"/>
  <c r="O118" i="5"/>
  <c r="V118" i="5"/>
  <c r="H118" i="5"/>
  <c r="G118" i="5"/>
  <c r="B118" i="5"/>
  <c r="F118" i="5"/>
  <c r="N118" i="5" s="1"/>
  <c r="C118" i="5"/>
  <c r="W118" i="5"/>
  <c r="P118" i="5"/>
  <c r="H300" i="5"/>
  <c r="G300" i="5"/>
  <c r="F300" i="5"/>
  <c r="N300" i="5" s="1"/>
  <c r="B300" i="5"/>
  <c r="W300" i="5"/>
  <c r="V300" i="5"/>
  <c r="P300" i="5"/>
  <c r="O300" i="5"/>
  <c r="C300" i="5"/>
  <c r="C257" i="5"/>
  <c r="B257" i="5"/>
  <c r="P257" i="5"/>
  <c r="O257" i="5"/>
  <c r="H257" i="5"/>
  <c r="G257" i="5"/>
  <c r="F257" i="5"/>
  <c r="N257" i="5" s="1"/>
  <c r="W257" i="5"/>
  <c r="V257" i="5"/>
  <c r="V220" i="5"/>
  <c r="H220" i="5"/>
  <c r="G220" i="5"/>
  <c r="C220" i="5"/>
  <c r="B220" i="5"/>
  <c r="O220" i="5"/>
  <c r="P220" i="5"/>
  <c r="F220" i="5"/>
  <c r="N220" i="5" s="1"/>
  <c r="W220" i="5"/>
  <c r="AI397" i="3"/>
  <c r="AJ397" i="3"/>
  <c r="AL397" i="3"/>
  <c r="AM397" i="3" s="1"/>
  <c r="O39" i="5"/>
  <c r="W39" i="5"/>
  <c r="B39" i="5"/>
  <c r="V39" i="5"/>
  <c r="P39" i="5"/>
  <c r="G39" i="5"/>
  <c r="F39" i="5"/>
  <c r="N39" i="5" s="1"/>
  <c r="C39" i="5"/>
  <c r="H39" i="5"/>
  <c r="W282" i="3"/>
  <c r="Y282" i="3"/>
  <c r="AA282" i="3" s="1"/>
  <c r="X282" i="3"/>
  <c r="W156" i="3"/>
  <c r="Y156" i="3"/>
  <c r="AA156" i="3" s="1"/>
  <c r="X156" i="3"/>
  <c r="AI339" i="3"/>
  <c r="AJ339" i="3"/>
  <c r="AL339" i="3"/>
  <c r="AM339" i="3" s="1"/>
  <c r="AI488" i="3"/>
  <c r="AJ488" i="3"/>
  <c r="AL488" i="3"/>
  <c r="AM488" i="3" s="1"/>
  <c r="AI463" i="3"/>
  <c r="AL463" i="3"/>
  <c r="AM463" i="3" s="1"/>
  <c r="AJ463" i="3"/>
  <c r="Y262" i="3"/>
  <c r="AA262" i="3" s="1"/>
  <c r="X262" i="3"/>
  <c r="W262" i="3"/>
  <c r="Y152" i="3"/>
  <c r="AA152" i="3" s="1"/>
  <c r="X152" i="3"/>
  <c r="W152" i="3"/>
  <c r="AI467" i="3"/>
  <c r="AL467" i="3"/>
  <c r="AM467" i="3" s="1"/>
  <c r="AJ467" i="3"/>
  <c r="X361" i="3"/>
  <c r="W361" i="3"/>
  <c r="Y361" i="3"/>
  <c r="AA361" i="3" s="1"/>
  <c r="Y204" i="3"/>
  <c r="AA204" i="3" s="1"/>
  <c r="X204" i="3"/>
  <c r="W204" i="3"/>
  <c r="AL378" i="3"/>
  <c r="AM378" i="3" s="1"/>
  <c r="AI378" i="3"/>
  <c r="AJ378" i="3"/>
  <c r="Y102" i="3"/>
  <c r="AA102" i="3" s="1"/>
  <c r="X102" i="3"/>
  <c r="W102" i="3"/>
  <c r="Y279" i="3"/>
  <c r="AA279" i="3" s="1"/>
  <c r="X279" i="3"/>
  <c r="W279" i="3"/>
  <c r="AI147" i="3"/>
  <c r="AJ147" i="3"/>
  <c r="AL147" i="3"/>
  <c r="AM147" i="3" s="1"/>
  <c r="D82" i="6"/>
  <c r="G82" i="6"/>
  <c r="G93" i="6"/>
  <c r="D93" i="6"/>
  <c r="D96" i="6"/>
  <c r="G96" i="6"/>
  <c r="D85" i="6"/>
  <c r="G85" i="6"/>
  <c r="AI365" i="3"/>
  <c r="AJ365" i="3"/>
  <c r="AL365" i="3"/>
  <c r="AM365" i="3" s="1"/>
  <c r="AJ249" i="3"/>
  <c r="AL249" i="3"/>
  <c r="AM249" i="3" s="1"/>
  <c r="AI249" i="3"/>
  <c r="Y401" i="3"/>
  <c r="AA401" i="3" s="1"/>
  <c r="X401" i="3"/>
  <c r="W401" i="3"/>
  <c r="W205" i="3"/>
  <c r="Y205" i="3"/>
  <c r="AA205" i="3" s="1"/>
  <c r="X205" i="3"/>
  <c r="X314" i="3"/>
  <c r="W314" i="3"/>
  <c r="Y314" i="3"/>
  <c r="AA314" i="3" s="1"/>
  <c r="AJ233" i="3"/>
  <c r="AI233" i="3"/>
  <c r="AL233" i="3"/>
  <c r="AM233" i="3" s="1"/>
  <c r="Y357" i="3"/>
  <c r="AA357" i="3" s="1"/>
  <c r="X357" i="3"/>
  <c r="W357" i="3"/>
  <c r="AJ385" i="3"/>
  <c r="AL10" i="3"/>
  <c r="AM10" i="3" s="1"/>
  <c r="AJ10" i="3"/>
  <c r="AI10" i="3"/>
  <c r="AL9" i="3"/>
  <c r="AM9" i="3" s="1"/>
  <c r="AI9" i="3"/>
  <c r="AJ9" i="3"/>
  <c r="AJ26" i="3"/>
  <c r="AL26" i="3"/>
  <c r="AM26" i="3" s="1"/>
  <c r="AI26" i="3"/>
  <c r="Y71" i="3"/>
  <c r="AA71" i="3" s="1"/>
  <c r="X71" i="3"/>
  <c r="W71" i="3"/>
  <c r="AL81" i="3"/>
  <c r="AM81" i="3" s="1"/>
  <c r="AI81" i="3"/>
  <c r="AJ81" i="3"/>
  <c r="Y86" i="3"/>
  <c r="AA86" i="3" s="1"/>
  <c r="X86" i="3"/>
  <c r="W86" i="3"/>
  <c r="Y320" i="3"/>
  <c r="AA320" i="3" s="1"/>
  <c r="W320" i="3"/>
  <c r="X320" i="3"/>
  <c r="W354" i="3"/>
  <c r="Y354" i="3"/>
  <c r="AA354" i="3" s="1"/>
  <c r="X354" i="3"/>
  <c r="AI471" i="3"/>
  <c r="AL471" i="3"/>
  <c r="AM471" i="3" s="1"/>
  <c r="AJ471" i="3"/>
  <c r="AJ193" i="3"/>
  <c r="AI193" i="3"/>
  <c r="AL193" i="3"/>
  <c r="AM193" i="3" s="1"/>
  <c r="V403" i="5"/>
  <c r="P403" i="5"/>
  <c r="O403" i="5"/>
  <c r="B403" i="5"/>
  <c r="W403" i="5"/>
  <c r="F403" i="5"/>
  <c r="N403" i="5" s="1"/>
  <c r="H403" i="5"/>
  <c r="G403" i="5"/>
  <c r="C403" i="5"/>
  <c r="W414" i="3"/>
  <c r="Y414" i="3"/>
  <c r="AA414" i="3" s="1"/>
  <c r="X414" i="3"/>
  <c r="O83" i="5"/>
  <c r="H83" i="5"/>
  <c r="W83" i="5"/>
  <c r="P83" i="5"/>
  <c r="G83" i="5"/>
  <c r="F83" i="5"/>
  <c r="N83" i="5" s="1"/>
  <c r="B83" i="5"/>
  <c r="C83" i="5"/>
  <c r="V83" i="5"/>
  <c r="G243" i="5"/>
  <c r="F243" i="5"/>
  <c r="N243" i="5" s="1"/>
  <c r="H243" i="5"/>
  <c r="C243" i="5"/>
  <c r="B243" i="5"/>
  <c r="V243" i="5"/>
  <c r="W243" i="5"/>
  <c r="P243" i="5"/>
  <c r="O243" i="5"/>
  <c r="AJ217" i="3"/>
  <c r="AL217" i="3"/>
  <c r="AM217" i="3" s="1"/>
  <c r="AI217" i="3"/>
  <c r="W466" i="3"/>
  <c r="X466" i="3"/>
  <c r="Y466" i="3"/>
  <c r="AA466" i="3" s="1"/>
  <c r="AI215" i="3"/>
  <c r="AI275" i="3"/>
  <c r="AJ275" i="3"/>
  <c r="AL275" i="3"/>
  <c r="AM275" i="3" s="1"/>
  <c r="W4" i="3"/>
  <c r="X4" i="3"/>
  <c r="Y4" i="3"/>
  <c r="AA4" i="3" s="1"/>
  <c r="Y95" i="3"/>
  <c r="AA95" i="3" s="1"/>
  <c r="X95" i="3"/>
  <c r="W95" i="3"/>
  <c r="Y348" i="3"/>
  <c r="AA348" i="3" s="1"/>
  <c r="X348" i="3"/>
  <c r="W348" i="3"/>
  <c r="Y113" i="3"/>
  <c r="AA113" i="3" s="1"/>
  <c r="X113" i="3"/>
  <c r="W113" i="3"/>
  <c r="Y277" i="3"/>
  <c r="AA277" i="3" s="1"/>
  <c r="X277" i="3"/>
  <c r="W277" i="3"/>
  <c r="W187" i="3"/>
  <c r="Y187" i="3"/>
  <c r="AA187" i="3" s="1"/>
  <c r="X187" i="3"/>
  <c r="AL245" i="3"/>
  <c r="AM245" i="3" s="1"/>
  <c r="AJ245" i="3"/>
  <c r="AI245" i="3"/>
  <c r="Y13" i="3"/>
  <c r="AA13" i="3" s="1"/>
  <c r="X13" i="3"/>
  <c r="W13" i="3"/>
  <c r="Y69" i="3"/>
  <c r="AA69" i="3" s="1"/>
  <c r="X69" i="3"/>
  <c r="W69" i="3"/>
  <c r="Y328" i="3"/>
  <c r="AA328" i="3" s="1"/>
  <c r="X328" i="3"/>
  <c r="W328" i="3"/>
  <c r="AJ80" i="3"/>
  <c r="AI80" i="3"/>
  <c r="AL80" i="3"/>
  <c r="AM80" i="3" s="1"/>
  <c r="AL144" i="3"/>
  <c r="AM144" i="3" s="1"/>
  <c r="AJ144" i="3"/>
  <c r="AI144" i="3"/>
  <c r="Y5" i="3"/>
  <c r="AA5" i="3" s="1"/>
  <c r="X5" i="3"/>
  <c r="W5" i="3"/>
  <c r="U3" i="3"/>
  <c r="Z3" i="3" s="1"/>
  <c r="Y118" i="3"/>
  <c r="AA118" i="3" s="1"/>
  <c r="X118" i="3"/>
  <c r="W118" i="3"/>
  <c r="V390" i="5"/>
  <c r="P390" i="5"/>
  <c r="H390" i="5"/>
  <c r="G390" i="5"/>
  <c r="C390" i="5"/>
  <c r="W390" i="5"/>
  <c r="F390" i="5"/>
  <c r="N390" i="5" s="1"/>
  <c r="B390" i="5"/>
  <c r="O390" i="5"/>
  <c r="V367" i="5"/>
  <c r="H367" i="5"/>
  <c r="B367" i="5"/>
  <c r="P367" i="5"/>
  <c r="C367" i="5"/>
  <c r="O367" i="5"/>
  <c r="F367" i="5"/>
  <c r="N367" i="5" s="1"/>
  <c r="W367" i="5"/>
  <c r="G367" i="5"/>
  <c r="G499" i="5"/>
  <c r="B499" i="5"/>
  <c r="H499" i="5"/>
  <c r="F499" i="5"/>
  <c r="N499" i="5" s="1"/>
  <c r="C499" i="5"/>
  <c r="W499" i="5"/>
  <c r="P499" i="5"/>
  <c r="O499" i="5"/>
  <c r="V499" i="5"/>
  <c r="P199" i="5"/>
  <c r="O199" i="5"/>
  <c r="W199" i="5"/>
  <c r="G199" i="5"/>
  <c r="C199" i="5"/>
  <c r="F199" i="5"/>
  <c r="N199" i="5" s="1"/>
  <c r="B199" i="5"/>
  <c r="V199" i="5"/>
  <c r="H199" i="5"/>
  <c r="O38" i="5"/>
  <c r="V38" i="5"/>
  <c r="G38" i="5"/>
  <c r="F38" i="5"/>
  <c r="N38" i="5" s="1"/>
  <c r="C38" i="5"/>
  <c r="B38" i="5"/>
  <c r="P38" i="5"/>
  <c r="H38" i="5"/>
  <c r="W38" i="5"/>
  <c r="H196" i="5"/>
  <c r="G196" i="5"/>
  <c r="P196" i="5"/>
  <c r="F196" i="5"/>
  <c r="N196" i="5" s="1"/>
  <c r="O196" i="5"/>
  <c r="B196" i="5"/>
  <c r="C196" i="5"/>
  <c r="W196" i="5"/>
  <c r="V196" i="5"/>
  <c r="O56" i="5"/>
  <c r="W56" i="5"/>
  <c r="H56" i="5"/>
  <c r="G56" i="5"/>
  <c r="F56" i="5"/>
  <c r="N56" i="5" s="1"/>
  <c r="C56" i="5"/>
  <c r="P56" i="5"/>
  <c r="B56" i="5"/>
  <c r="V56" i="5"/>
  <c r="Y271" i="3"/>
  <c r="AA271" i="3" s="1"/>
  <c r="X271" i="3"/>
  <c r="W271" i="3"/>
  <c r="X220" i="3"/>
  <c r="Y220" i="3"/>
  <c r="AA220" i="3" s="1"/>
  <c r="W220" i="3"/>
  <c r="W224" i="3"/>
  <c r="X224" i="3"/>
  <c r="Y224" i="3"/>
  <c r="AA224" i="3" s="1"/>
  <c r="W251" i="3"/>
  <c r="X251" i="3"/>
  <c r="Y251" i="3"/>
  <c r="AA251" i="3" s="1"/>
  <c r="AL213" i="3"/>
  <c r="AM213" i="3" s="1"/>
  <c r="AJ213" i="3"/>
  <c r="AI213" i="3"/>
  <c r="Y130" i="3"/>
  <c r="AA130" i="3" s="1"/>
  <c r="X130" i="3"/>
  <c r="W130" i="3"/>
  <c r="Y421" i="3"/>
  <c r="AA421" i="3" s="1"/>
  <c r="X421" i="3"/>
  <c r="W421" i="3"/>
  <c r="X214" i="3"/>
  <c r="W214" i="3"/>
  <c r="Y214" i="3"/>
  <c r="AA214" i="3" s="1"/>
  <c r="AI331" i="3"/>
  <c r="AJ331" i="3"/>
  <c r="AL331" i="3"/>
  <c r="AM331" i="3" s="1"/>
  <c r="Y163" i="3"/>
  <c r="AA163" i="3" s="1"/>
  <c r="X163" i="3"/>
  <c r="W163" i="3"/>
  <c r="X278" i="3"/>
  <c r="W278" i="3"/>
  <c r="Y278" i="3"/>
  <c r="AA278" i="3" s="1"/>
  <c r="Y210" i="3"/>
  <c r="AA210" i="3" s="1"/>
  <c r="X210" i="3"/>
  <c r="W210" i="3"/>
  <c r="Y285" i="3"/>
  <c r="AA285" i="3" s="1"/>
  <c r="X285" i="3"/>
  <c r="W285" i="3"/>
  <c r="AL264" i="3"/>
  <c r="AM264" i="3" s="1"/>
  <c r="AJ264" i="3"/>
  <c r="AI264" i="3"/>
  <c r="Y376" i="3"/>
  <c r="AA376" i="3" s="1"/>
  <c r="W376" i="3"/>
  <c r="X376" i="3"/>
  <c r="Y103" i="3"/>
  <c r="AA103" i="3" s="1"/>
  <c r="X103" i="3"/>
  <c r="W103" i="3"/>
  <c r="Y143" i="3"/>
  <c r="AA143" i="3" s="1"/>
  <c r="X143" i="3"/>
  <c r="W143" i="3"/>
  <c r="AL51" i="3"/>
  <c r="AM51" i="3" s="1"/>
  <c r="AI51" i="3"/>
  <c r="AJ51" i="3"/>
  <c r="V371" i="5"/>
  <c r="P371" i="5"/>
  <c r="O371" i="5"/>
  <c r="G371" i="5"/>
  <c r="B371" i="5"/>
  <c r="H371" i="5"/>
  <c r="C371" i="5"/>
  <c r="F371" i="5"/>
  <c r="N371" i="5" s="1"/>
  <c r="W371" i="5"/>
  <c r="Y206" i="3"/>
  <c r="AA206" i="3" s="1"/>
  <c r="X206" i="3"/>
  <c r="W206" i="3"/>
  <c r="X181" i="3"/>
  <c r="W181" i="3"/>
  <c r="Y181" i="3"/>
  <c r="AA181" i="3" s="1"/>
  <c r="AL133" i="3"/>
  <c r="AM133" i="3" s="1"/>
  <c r="AJ133" i="3"/>
  <c r="AI133" i="3"/>
  <c r="X411" i="3"/>
  <c r="W411" i="3"/>
  <c r="Y411" i="3"/>
  <c r="AA411" i="3" s="1"/>
  <c r="Y117" i="3"/>
  <c r="AA117" i="3" s="1"/>
  <c r="X117" i="3"/>
  <c r="W117" i="3"/>
  <c r="AL284" i="3"/>
  <c r="AM284" i="3" s="1"/>
  <c r="AJ284" i="3"/>
  <c r="AI284" i="3"/>
  <c r="AI449" i="3"/>
  <c r="AJ449" i="3"/>
  <c r="AL449" i="3"/>
  <c r="AM449" i="3" s="1"/>
  <c r="Y12" i="3"/>
  <c r="AA12" i="3" s="1"/>
  <c r="W12" i="3"/>
  <c r="X12" i="3"/>
  <c r="X435" i="3"/>
  <c r="W435" i="3"/>
  <c r="Y435" i="3"/>
  <c r="AA435" i="3" s="1"/>
  <c r="V338" i="5"/>
  <c r="G338" i="5"/>
  <c r="W338" i="5"/>
  <c r="P338" i="5"/>
  <c r="O338" i="5"/>
  <c r="H338" i="5"/>
  <c r="C338" i="5"/>
  <c r="B338" i="5"/>
  <c r="F338" i="5"/>
  <c r="N338" i="5" s="1"/>
  <c r="O67" i="5"/>
  <c r="H67" i="5"/>
  <c r="F67" i="5"/>
  <c r="N67" i="5" s="1"/>
  <c r="V67" i="5"/>
  <c r="B67" i="5"/>
  <c r="W67" i="5"/>
  <c r="P67" i="5"/>
  <c r="G67" i="5"/>
  <c r="C67" i="5"/>
  <c r="G88" i="6"/>
  <c r="D88" i="6"/>
  <c r="AI481" i="3"/>
  <c r="AJ481" i="3"/>
  <c r="AL481" i="3"/>
  <c r="AM481" i="3" s="1"/>
  <c r="Y109" i="3"/>
  <c r="AA109" i="3" s="1"/>
  <c r="X109" i="3"/>
  <c r="W109" i="3"/>
  <c r="Y28" i="3"/>
  <c r="AA28" i="3" s="1"/>
  <c r="X28" i="3"/>
  <c r="W28" i="3"/>
  <c r="AL189" i="3"/>
  <c r="AM189" i="3" s="1"/>
  <c r="AJ189" i="3"/>
  <c r="AI189" i="3"/>
  <c r="H315" i="5"/>
  <c r="O315" i="5"/>
  <c r="F315" i="5"/>
  <c r="N315" i="5" s="1"/>
  <c r="P315" i="5"/>
  <c r="G315" i="5"/>
  <c r="B315" i="5"/>
  <c r="V315" i="5"/>
  <c r="C315" i="5"/>
  <c r="W315" i="5"/>
  <c r="H323" i="5"/>
  <c r="O323" i="5"/>
  <c r="F323" i="5"/>
  <c r="N323" i="5" s="1"/>
  <c r="B323" i="5"/>
  <c r="W323" i="5"/>
  <c r="G323" i="5"/>
  <c r="C323" i="5"/>
  <c r="V323" i="5"/>
  <c r="P323" i="5"/>
  <c r="F242" i="5"/>
  <c r="N242" i="5" s="1"/>
  <c r="C242" i="5"/>
  <c r="W242" i="5"/>
  <c r="V242" i="5"/>
  <c r="P242" i="5"/>
  <c r="O242" i="5"/>
  <c r="H242" i="5"/>
  <c r="G242" i="5"/>
  <c r="B242" i="5"/>
  <c r="W306" i="3"/>
  <c r="Y306" i="3"/>
  <c r="AA306" i="3" s="1"/>
  <c r="X306" i="3"/>
  <c r="Y145" i="3"/>
  <c r="AA145" i="3" s="1"/>
  <c r="X145" i="3"/>
  <c r="W145" i="3"/>
  <c r="AL121" i="3"/>
  <c r="AM121" i="3" s="1"/>
  <c r="AI121" i="3"/>
  <c r="AJ121" i="3"/>
  <c r="AJ241" i="3"/>
  <c r="AI241" i="3"/>
  <c r="AL241" i="3"/>
  <c r="AM241" i="3" s="1"/>
  <c r="G490" i="5"/>
  <c r="P490" i="5"/>
  <c r="W490" i="5"/>
  <c r="V490" i="5"/>
  <c r="O490" i="5"/>
  <c r="H490" i="5"/>
  <c r="F490" i="5"/>
  <c r="N490" i="5" s="1"/>
  <c r="B490" i="5"/>
  <c r="C490" i="5"/>
  <c r="V310" i="5"/>
  <c r="P310" i="5"/>
  <c r="O310" i="5"/>
  <c r="H310" i="5"/>
  <c r="F310" i="5"/>
  <c r="N310" i="5" s="1"/>
  <c r="C310" i="5"/>
  <c r="W310" i="5"/>
  <c r="G310" i="5"/>
  <c r="B310" i="5"/>
  <c r="O95" i="5"/>
  <c r="W95" i="5"/>
  <c r="H95" i="5"/>
  <c r="B95" i="5"/>
  <c r="V95" i="5"/>
  <c r="C95" i="5"/>
  <c r="P95" i="5"/>
  <c r="G95" i="5"/>
  <c r="F95" i="5"/>
  <c r="N95" i="5" s="1"/>
  <c r="W189" i="5"/>
  <c r="V189" i="5"/>
  <c r="B189" i="5"/>
  <c r="O189" i="5"/>
  <c r="H189" i="5"/>
  <c r="G189" i="5"/>
  <c r="C189" i="5"/>
  <c r="F189" i="5"/>
  <c r="N189" i="5" s="1"/>
  <c r="P189" i="5"/>
  <c r="O71" i="5"/>
  <c r="W71" i="5"/>
  <c r="B71" i="5"/>
  <c r="V71" i="5"/>
  <c r="H71" i="5"/>
  <c r="G71" i="5"/>
  <c r="C71" i="5"/>
  <c r="F71" i="5"/>
  <c r="N71" i="5" s="1"/>
  <c r="P71" i="5"/>
  <c r="Y104" i="3"/>
  <c r="AA104" i="3" s="1"/>
  <c r="W104" i="3"/>
  <c r="X104" i="3"/>
  <c r="AL52" i="3"/>
  <c r="AM52" i="3" s="1"/>
  <c r="AI52" i="3"/>
  <c r="AJ52" i="3"/>
  <c r="P185" i="5"/>
  <c r="O185" i="5"/>
  <c r="W185" i="5"/>
  <c r="H185" i="5"/>
  <c r="F185" i="5"/>
  <c r="N185" i="5" s="1"/>
  <c r="C185" i="5"/>
  <c r="B185" i="5"/>
  <c r="V185" i="5"/>
  <c r="G185" i="5"/>
  <c r="D13" i="6"/>
  <c r="D14" i="6"/>
  <c r="B8" i="6"/>
  <c r="O2" i="5"/>
  <c r="G2" i="5"/>
  <c r="F2" i="5"/>
  <c r="N2" i="5" s="1"/>
  <c r="W2" i="5"/>
  <c r="V2" i="5"/>
  <c r="P2" i="5"/>
  <c r="H2" i="5"/>
  <c r="C2" i="5"/>
  <c r="B2" i="5"/>
  <c r="K2" i="4"/>
  <c r="O144" i="5"/>
  <c r="C144" i="5"/>
  <c r="B144" i="5"/>
  <c r="W144" i="5"/>
  <c r="V144" i="5"/>
  <c r="P144" i="5"/>
  <c r="G144" i="5"/>
  <c r="F144" i="5"/>
  <c r="N144" i="5" s="1"/>
  <c r="H144" i="5"/>
  <c r="W260" i="3"/>
  <c r="Y260" i="3"/>
  <c r="AA260" i="3" s="1"/>
  <c r="X260" i="3"/>
  <c r="W367" i="3"/>
  <c r="Y367" i="3"/>
  <c r="AA367" i="3" s="1"/>
  <c r="X367" i="3"/>
  <c r="X108" i="3"/>
  <c r="W108" i="3"/>
  <c r="Y108" i="3"/>
  <c r="AA108" i="3" s="1"/>
  <c r="W198" i="3"/>
  <c r="Y198" i="3"/>
  <c r="AA198" i="3" s="1"/>
  <c r="X198" i="3"/>
  <c r="Y394" i="3"/>
  <c r="AA394" i="3" s="1"/>
  <c r="X394" i="3"/>
  <c r="W394" i="3"/>
  <c r="Y460" i="3"/>
  <c r="AA460" i="3" s="1"/>
  <c r="X460" i="3"/>
  <c r="W460" i="3"/>
  <c r="P183" i="5"/>
  <c r="O183" i="5"/>
  <c r="F183" i="5"/>
  <c r="N183" i="5" s="1"/>
  <c r="C183" i="5"/>
  <c r="G183" i="5"/>
  <c r="W183" i="5"/>
  <c r="V183" i="5"/>
  <c r="H183" i="5"/>
  <c r="B183" i="5"/>
  <c r="Y464" i="3"/>
  <c r="AA464" i="3" s="1"/>
  <c r="X464" i="3"/>
  <c r="W464" i="3"/>
  <c r="Y492" i="3"/>
  <c r="AA492" i="3" s="1"/>
  <c r="X492" i="3"/>
  <c r="W492" i="3"/>
  <c r="Y18" i="3"/>
  <c r="AA18" i="3" s="1"/>
  <c r="X18" i="3"/>
  <c r="W18" i="3"/>
  <c r="Y453" i="3"/>
  <c r="AA453" i="3" s="1"/>
  <c r="X453" i="3"/>
  <c r="W453" i="3"/>
  <c r="W132" i="3"/>
  <c r="Y132" i="3"/>
  <c r="AA132" i="3" s="1"/>
  <c r="X132" i="3"/>
  <c r="Y381" i="3"/>
  <c r="AA381" i="3" s="1"/>
  <c r="W381" i="3"/>
  <c r="X381" i="3"/>
  <c r="AJ112" i="3"/>
  <c r="AI112" i="3"/>
  <c r="AL112" i="3"/>
  <c r="AM112" i="3" s="1"/>
  <c r="G500" i="5"/>
  <c r="C500" i="5"/>
  <c r="P500" i="5"/>
  <c r="O500" i="5"/>
  <c r="H500" i="5"/>
  <c r="F500" i="5"/>
  <c r="N500" i="5" s="1"/>
  <c r="W500" i="5"/>
  <c r="V500" i="5"/>
  <c r="B500" i="5"/>
  <c r="V387" i="5"/>
  <c r="O387" i="5"/>
  <c r="W387" i="5"/>
  <c r="P387" i="5"/>
  <c r="G387" i="5"/>
  <c r="B387" i="5"/>
  <c r="C387" i="5"/>
  <c r="F387" i="5"/>
  <c r="N387" i="5" s="1"/>
  <c r="H387" i="5"/>
  <c r="O246" i="5"/>
  <c r="W246" i="5"/>
  <c r="V246" i="5"/>
  <c r="P246" i="5"/>
  <c r="F246" i="5"/>
  <c r="N246" i="5" s="1"/>
  <c r="C246" i="5"/>
  <c r="H246" i="5"/>
  <c r="G246" i="5"/>
  <c r="B246" i="5"/>
  <c r="Y274" i="3"/>
  <c r="AA274" i="3" s="1"/>
  <c r="X274" i="3"/>
  <c r="W274" i="3"/>
  <c r="W223" i="5"/>
  <c r="V223" i="5"/>
  <c r="O223" i="5"/>
  <c r="H223" i="5"/>
  <c r="G223" i="5"/>
  <c r="P223" i="5"/>
  <c r="B223" i="5"/>
  <c r="C223" i="5"/>
  <c r="F223" i="5"/>
  <c r="N223" i="5" s="1"/>
  <c r="W201" i="3"/>
  <c r="X201" i="3"/>
  <c r="Y201" i="3"/>
  <c r="AA201" i="3" s="1"/>
  <c r="O126" i="5"/>
  <c r="V126" i="5"/>
  <c r="C126" i="5"/>
  <c r="B126" i="5"/>
  <c r="P126" i="5"/>
  <c r="H126" i="5"/>
  <c r="G126" i="5"/>
  <c r="W126" i="5"/>
  <c r="F126" i="5"/>
  <c r="N126" i="5" s="1"/>
  <c r="W478" i="3"/>
  <c r="X478" i="3"/>
  <c r="Y478" i="3"/>
  <c r="AA478" i="3" s="1"/>
  <c r="X273" i="3"/>
  <c r="W273" i="3"/>
  <c r="Y273" i="3"/>
  <c r="AA273" i="3" s="1"/>
  <c r="W42" i="3"/>
  <c r="Y42" i="3"/>
  <c r="AA42" i="3" s="1"/>
  <c r="X42" i="3"/>
  <c r="O27" i="5"/>
  <c r="H27" i="5"/>
  <c r="F27" i="5"/>
  <c r="N27" i="5" s="1"/>
  <c r="C27" i="5"/>
  <c r="G27" i="5"/>
  <c r="B27" i="5"/>
  <c r="W27" i="5"/>
  <c r="V27" i="5"/>
  <c r="P27" i="5"/>
  <c r="AJ326" i="3"/>
  <c r="AI326" i="3"/>
  <c r="W338" i="3"/>
  <c r="Y338" i="3"/>
  <c r="AA338" i="3" s="1"/>
  <c r="X338" i="3"/>
  <c r="D74" i="6"/>
  <c r="V252" i="5"/>
  <c r="P252" i="5"/>
  <c r="H252" i="5"/>
  <c r="O252" i="5"/>
  <c r="G252" i="5"/>
  <c r="F252" i="5"/>
  <c r="N252" i="5" s="1"/>
  <c r="B252" i="5"/>
  <c r="W252" i="5"/>
  <c r="C252" i="5"/>
  <c r="Y300" i="3"/>
  <c r="AA300" i="3" s="1"/>
  <c r="X300" i="3"/>
  <c r="W300" i="3"/>
  <c r="O6" i="5"/>
  <c r="V6" i="5"/>
  <c r="C6" i="5"/>
  <c r="B6" i="5"/>
  <c r="P6" i="5"/>
  <c r="H6" i="5"/>
  <c r="G6" i="5"/>
  <c r="F6" i="5"/>
  <c r="N6" i="5" s="1"/>
  <c r="W6" i="5"/>
  <c r="Y257" i="3"/>
  <c r="AA257" i="3" s="1"/>
  <c r="W257" i="3"/>
  <c r="X257" i="3"/>
  <c r="Y319" i="3"/>
  <c r="AA319" i="3" s="1"/>
  <c r="X319" i="3"/>
  <c r="W319" i="3"/>
  <c r="AI501" i="3"/>
  <c r="AL501" i="3"/>
  <c r="AM501" i="3" s="1"/>
  <c r="AJ501" i="3"/>
  <c r="W454" i="3"/>
  <c r="Y454" i="3"/>
  <c r="AA454" i="3" s="1"/>
  <c r="X454" i="3"/>
  <c r="X216" i="3"/>
  <c r="W216" i="3"/>
  <c r="Y216" i="3"/>
  <c r="AA216" i="3" s="1"/>
  <c r="AI347" i="3"/>
  <c r="AJ347" i="3"/>
  <c r="AL347" i="3"/>
  <c r="AM347" i="3" s="1"/>
  <c r="AL265" i="3"/>
  <c r="AM265" i="3" s="1"/>
  <c r="AJ265" i="3"/>
  <c r="AI265" i="3"/>
  <c r="AI237" i="3"/>
  <c r="AJ237" i="3"/>
  <c r="AL237" i="3"/>
  <c r="AM237" i="3" s="1"/>
  <c r="Y377" i="3"/>
  <c r="AA377" i="3" s="1"/>
  <c r="W377" i="3"/>
  <c r="X377" i="3"/>
  <c r="AL336" i="3"/>
  <c r="AM336" i="3" s="1"/>
  <c r="AJ336" i="3"/>
  <c r="AI336" i="3"/>
  <c r="V329" i="5"/>
  <c r="F329" i="5"/>
  <c r="N329" i="5" s="1"/>
  <c r="P329" i="5"/>
  <c r="O329" i="5"/>
  <c r="H329" i="5"/>
  <c r="G329" i="5"/>
  <c r="B329" i="5"/>
  <c r="W329" i="5"/>
  <c r="C329" i="5"/>
  <c r="V291" i="5"/>
  <c r="G291" i="5"/>
  <c r="F291" i="5"/>
  <c r="N291" i="5" s="1"/>
  <c r="H291" i="5"/>
  <c r="C291" i="5"/>
  <c r="B291" i="5"/>
  <c r="W291" i="5"/>
  <c r="P291" i="5"/>
  <c r="O291" i="5"/>
  <c r="O48" i="5"/>
  <c r="B48" i="5"/>
  <c r="W48" i="5"/>
  <c r="V48" i="5"/>
  <c r="P48" i="5"/>
  <c r="G48" i="5"/>
  <c r="F48" i="5"/>
  <c r="N48" i="5" s="1"/>
  <c r="H48" i="5"/>
  <c r="C48" i="5"/>
  <c r="X498" i="3"/>
  <c r="W498" i="3"/>
  <c r="Y498" i="3"/>
  <c r="AA498" i="3" s="1"/>
  <c r="O182" i="5"/>
  <c r="V182" i="5"/>
  <c r="P182" i="5"/>
  <c r="F182" i="5"/>
  <c r="N182" i="5" s="1"/>
  <c r="C182" i="5"/>
  <c r="W182" i="5"/>
  <c r="H182" i="5"/>
  <c r="G182" i="5"/>
  <c r="B182" i="5"/>
  <c r="O120" i="5"/>
  <c r="W120" i="5"/>
  <c r="V120" i="5"/>
  <c r="B120" i="5"/>
  <c r="P120" i="5"/>
  <c r="H120" i="5"/>
  <c r="G120" i="5"/>
  <c r="C120" i="5"/>
  <c r="F120" i="5"/>
  <c r="N120" i="5" s="1"/>
  <c r="AJ372" i="3"/>
  <c r="AL372" i="3"/>
  <c r="AM372" i="3" s="1"/>
  <c r="AI372" i="3"/>
  <c r="Y93" i="3"/>
  <c r="AA93" i="3" s="1"/>
  <c r="X93" i="3"/>
  <c r="W93" i="3"/>
  <c r="AL352" i="3"/>
  <c r="AM352" i="3" s="1"/>
  <c r="AJ352" i="3"/>
  <c r="AI352" i="3"/>
  <c r="Y208" i="3"/>
  <c r="AA208" i="3" s="1"/>
  <c r="X208" i="3"/>
  <c r="W208" i="3"/>
  <c r="AI6" i="3"/>
  <c r="AL6" i="3"/>
  <c r="AM6" i="3" s="1"/>
  <c r="AJ6" i="3"/>
  <c r="V404" i="5"/>
  <c r="P404" i="5"/>
  <c r="H404" i="5"/>
  <c r="G404" i="5"/>
  <c r="C404" i="5"/>
  <c r="W404" i="5"/>
  <c r="O404" i="5"/>
  <c r="F404" i="5"/>
  <c r="N404" i="5" s="1"/>
  <c r="B404" i="5"/>
  <c r="G486" i="5"/>
  <c r="H486" i="5"/>
  <c r="P486" i="5"/>
  <c r="O486" i="5"/>
  <c r="F486" i="5"/>
  <c r="N486" i="5" s="1"/>
  <c r="B486" i="5"/>
  <c r="C486" i="5"/>
  <c r="W486" i="5"/>
  <c r="V486" i="5"/>
  <c r="B192" i="5"/>
  <c r="G192" i="5"/>
  <c r="C192" i="5"/>
  <c r="P192" i="5"/>
  <c r="O192" i="5"/>
  <c r="W192" i="5"/>
  <c r="V192" i="5"/>
  <c r="H192" i="5"/>
  <c r="F192" i="5"/>
  <c r="N192" i="5" s="1"/>
  <c r="O75" i="5"/>
  <c r="H75" i="5"/>
  <c r="W75" i="5"/>
  <c r="V75" i="5"/>
  <c r="P75" i="5"/>
  <c r="G75" i="5"/>
  <c r="C75" i="5"/>
  <c r="B75" i="5"/>
  <c r="F75" i="5"/>
  <c r="N75" i="5" s="1"/>
  <c r="AI199" i="3"/>
  <c r="AL199" i="3"/>
  <c r="AM199" i="3" s="1"/>
  <c r="AJ199" i="3"/>
  <c r="O191" i="5"/>
  <c r="B191" i="5"/>
  <c r="W191" i="5"/>
  <c r="V191" i="5"/>
  <c r="G191" i="5"/>
  <c r="F191" i="5"/>
  <c r="N191" i="5" s="1"/>
  <c r="C191" i="5"/>
  <c r="P191" i="5"/>
  <c r="H191" i="5"/>
  <c r="Y82" i="3"/>
  <c r="AA82" i="3" s="1"/>
  <c r="X82" i="3"/>
  <c r="W82" i="3"/>
  <c r="AI419" i="3"/>
  <c r="AL419" i="3"/>
  <c r="AM419" i="3" s="1"/>
  <c r="AJ419" i="3"/>
  <c r="X427" i="3"/>
  <c r="W427" i="3"/>
  <c r="Y427" i="3"/>
  <c r="AA427" i="3" s="1"/>
  <c r="W418" i="3"/>
  <c r="X418" i="3"/>
  <c r="Y418" i="3"/>
  <c r="AA418" i="3" s="1"/>
  <c r="V398" i="5"/>
  <c r="H398" i="5"/>
  <c r="G398" i="5"/>
  <c r="F398" i="5"/>
  <c r="N398" i="5" s="1"/>
  <c r="B398" i="5"/>
  <c r="P398" i="5"/>
  <c r="O398" i="5"/>
  <c r="W398" i="5"/>
  <c r="C398" i="5"/>
  <c r="V382" i="5"/>
  <c r="H382" i="5"/>
  <c r="F382" i="5"/>
  <c r="N382" i="5" s="1"/>
  <c r="B382" i="5"/>
  <c r="G382" i="5"/>
  <c r="P382" i="5"/>
  <c r="O382" i="5"/>
  <c r="C382" i="5"/>
  <c r="W382" i="5"/>
  <c r="AL207" i="3"/>
  <c r="AM207" i="3" s="1"/>
  <c r="AJ207" i="3"/>
  <c r="AI207" i="3"/>
  <c r="AJ195" i="3"/>
  <c r="AI195" i="3"/>
  <c r="AL195" i="3"/>
  <c r="AM195" i="3" s="1"/>
  <c r="X409" i="3"/>
  <c r="W409" i="3"/>
  <c r="Y409" i="3"/>
  <c r="AA409" i="3" s="1"/>
  <c r="B224" i="5"/>
  <c r="C224" i="5"/>
  <c r="W224" i="5"/>
  <c r="V224" i="5"/>
  <c r="P224" i="5"/>
  <c r="O224" i="5"/>
  <c r="H224" i="5"/>
  <c r="F224" i="5"/>
  <c r="N224" i="5" s="1"/>
  <c r="G224" i="5"/>
  <c r="F255" i="5"/>
  <c r="N255" i="5" s="1"/>
  <c r="C255" i="5"/>
  <c r="B255" i="5"/>
  <c r="W255" i="5"/>
  <c r="O255" i="5"/>
  <c r="H255" i="5"/>
  <c r="G255" i="5"/>
  <c r="V255" i="5"/>
  <c r="P255" i="5"/>
  <c r="D94" i="6"/>
  <c r="G94" i="6"/>
  <c r="V384" i="5"/>
  <c r="H384" i="5"/>
  <c r="F384" i="5"/>
  <c r="N384" i="5" s="1"/>
  <c r="W384" i="5"/>
  <c r="B384" i="5"/>
  <c r="O384" i="5"/>
  <c r="G384" i="5"/>
  <c r="C384" i="5"/>
  <c r="P384" i="5"/>
  <c r="Y31" i="3"/>
  <c r="AA31" i="3" s="1"/>
  <c r="X31" i="3"/>
  <c r="W31" i="3"/>
  <c r="Y200" i="3"/>
  <c r="AA200" i="3" s="1"/>
  <c r="X200" i="3"/>
  <c r="W200" i="3"/>
  <c r="W106" i="3"/>
  <c r="Y106" i="3"/>
  <c r="AA106" i="3" s="1"/>
  <c r="X106" i="3"/>
  <c r="Y59" i="3"/>
  <c r="AA59" i="3" s="1"/>
  <c r="X59" i="3"/>
  <c r="W59" i="3"/>
  <c r="W206" i="5"/>
  <c r="C206" i="5"/>
  <c r="B206" i="5"/>
  <c r="V206" i="5"/>
  <c r="P206" i="5"/>
  <c r="O206" i="5"/>
  <c r="H206" i="5"/>
  <c r="G206" i="5"/>
  <c r="F206" i="5"/>
  <c r="N206" i="5" s="1"/>
  <c r="G163" i="5"/>
  <c r="F163" i="5"/>
  <c r="N163" i="5" s="1"/>
  <c r="W163" i="5"/>
  <c r="H163" i="5"/>
  <c r="B163" i="5"/>
  <c r="P163" i="5"/>
  <c r="O163" i="5"/>
  <c r="V163" i="5"/>
  <c r="C163" i="5"/>
  <c r="G309" i="5"/>
  <c r="F309" i="5"/>
  <c r="N309" i="5" s="1"/>
  <c r="C309" i="5"/>
  <c r="P309" i="5"/>
  <c r="H309" i="5"/>
  <c r="O309" i="5"/>
  <c r="B309" i="5"/>
  <c r="W309" i="5"/>
  <c r="V309" i="5"/>
  <c r="AL297" i="3"/>
  <c r="AM297" i="3" s="1"/>
  <c r="AJ297" i="3"/>
  <c r="AI297" i="3"/>
  <c r="Y33" i="3"/>
  <c r="AA33" i="3" s="1"/>
  <c r="X33" i="3"/>
  <c r="W33" i="3"/>
  <c r="Y457" i="3"/>
  <c r="AA457" i="3" s="1"/>
  <c r="X457" i="3"/>
  <c r="W457" i="3"/>
  <c r="O104" i="5"/>
  <c r="H104" i="5"/>
  <c r="B104" i="5"/>
  <c r="W104" i="5"/>
  <c r="V104" i="5"/>
  <c r="P104" i="5"/>
  <c r="G104" i="5"/>
  <c r="F104" i="5"/>
  <c r="N104" i="5" s="1"/>
  <c r="C104" i="5"/>
  <c r="Y27" i="3"/>
  <c r="AA27" i="3" s="1"/>
  <c r="X27" i="3"/>
  <c r="W27" i="3"/>
  <c r="Y87" i="3"/>
  <c r="AA87" i="3" s="1"/>
  <c r="X87" i="3"/>
  <c r="W87" i="3"/>
  <c r="Y97" i="3"/>
  <c r="AA97" i="3" s="1"/>
  <c r="X97" i="3"/>
  <c r="W97" i="3"/>
  <c r="Y92" i="3"/>
  <c r="AA92" i="3" s="1"/>
  <c r="X92" i="3"/>
  <c r="W92" i="3"/>
  <c r="B443" i="5"/>
  <c r="H443" i="5"/>
  <c r="G443" i="5"/>
  <c r="W443" i="5"/>
  <c r="V443" i="5"/>
  <c r="P443" i="5"/>
  <c r="O443" i="5"/>
  <c r="F443" i="5"/>
  <c r="N443" i="5" s="1"/>
  <c r="C443" i="5"/>
  <c r="F210" i="5"/>
  <c r="N210" i="5" s="1"/>
  <c r="C210" i="5"/>
  <c r="W210" i="5"/>
  <c r="V210" i="5"/>
  <c r="G210" i="5"/>
  <c r="P210" i="5"/>
  <c r="H210" i="5"/>
  <c r="B210" i="5"/>
  <c r="O210" i="5"/>
  <c r="Y196" i="3"/>
  <c r="AA196" i="3" s="1"/>
  <c r="X196" i="3"/>
  <c r="W196" i="3"/>
  <c r="X312" i="3"/>
  <c r="W312" i="3"/>
  <c r="Y312" i="3"/>
  <c r="AA312" i="3" s="1"/>
  <c r="X305" i="3"/>
  <c r="W305" i="3"/>
  <c r="Y305" i="3"/>
  <c r="AA305" i="3" s="1"/>
  <c r="Y62" i="3"/>
  <c r="AA62" i="3" s="1"/>
  <c r="X62" i="3"/>
  <c r="W62" i="3"/>
  <c r="Y197" i="3"/>
  <c r="AA197" i="3" s="1"/>
  <c r="X197" i="3"/>
  <c r="W197" i="3"/>
  <c r="Y76" i="3"/>
  <c r="AA76" i="3" s="1"/>
  <c r="X76" i="3"/>
  <c r="W76" i="3"/>
  <c r="Y173" i="3"/>
  <c r="AA173" i="3" s="1"/>
  <c r="W173" i="3"/>
  <c r="X173" i="3"/>
  <c r="Y369" i="3"/>
  <c r="AA369" i="3" s="1"/>
  <c r="W369" i="3"/>
  <c r="X369" i="3"/>
  <c r="V427" i="5"/>
  <c r="C427" i="5"/>
  <c r="B427" i="5"/>
  <c r="W427" i="5"/>
  <c r="P427" i="5"/>
  <c r="O427" i="5"/>
  <c r="H427" i="5"/>
  <c r="G427" i="5"/>
  <c r="F427" i="5"/>
  <c r="N427" i="5" s="1"/>
  <c r="B449" i="5"/>
  <c r="H449" i="5"/>
  <c r="G449" i="5"/>
  <c r="F449" i="5"/>
  <c r="N449" i="5" s="1"/>
  <c r="W449" i="5"/>
  <c r="V449" i="5"/>
  <c r="P449" i="5"/>
  <c r="O449" i="5"/>
  <c r="C449" i="5"/>
  <c r="G494" i="5"/>
  <c r="H494" i="5"/>
  <c r="F494" i="5"/>
  <c r="N494" i="5" s="1"/>
  <c r="C494" i="5"/>
  <c r="O494" i="5"/>
  <c r="B494" i="5"/>
  <c r="W494" i="5"/>
  <c r="P494" i="5"/>
  <c r="V494" i="5"/>
  <c r="V377" i="5"/>
  <c r="W377" i="5"/>
  <c r="H377" i="5"/>
  <c r="P377" i="5"/>
  <c r="C377" i="5"/>
  <c r="B377" i="5"/>
  <c r="O377" i="5"/>
  <c r="G377" i="5"/>
  <c r="F377" i="5"/>
  <c r="N377" i="5" s="1"/>
  <c r="V337" i="5"/>
  <c r="F337" i="5"/>
  <c r="N337" i="5" s="1"/>
  <c r="W337" i="5"/>
  <c r="P337" i="5"/>
  <c r="O337" i="5"/>
  <c r="H337" i="5"/>
  <c r="C337" i="5"/>
  <c r="B337" i="5"/>
  <c r="G337" i="5"/>
  <c r="Y393" i="3"/>
  <c r="AA393" i="3" s="1"/>
  <c r="X393" i="3"/>
  <c r="W393" i="3"/>
  <c r="O102" i="5"/>
  <c r="V102" i="5"/>
  <c r="G102" i="5"/>
  <c r="F102" i="5"/>
  <c r="N102" i="5" s="1"/>
  <c r="C102" i="5"/>
  <c r="B102" i="5"/>
  <c r="H102" i="5"/>
  <c r="W102" i="5"/>
  <c r="P102" i="5"/>
  <c r="Y234" i="3"/>
  <c r="AA234" i="3" s="1"/>
  <c r="X234" i="3"/>
  <c r="W234" i="3"/>
  <c r="Y194" i="3"/>
  <c r="AA194" i="3" s="1"/>
  <c r="X194" i="3"/>
  <c r="W194" i="3"/>
  <c r="X149" i="3"/>
  <c r="W149" i="3"/>
  <c r="Y149" i="3"/>
  <c r="AA149" i="3" s="1"/>
  <c r="Y479" i="3"/>
  <c r="AA479" i="3" s="1"/>
  <c r="X479" i="3"/>
  <c r="W479" i="3"/>
  <c r="AJ263" i="3"/>
  <c r="AI263" i="3"/>
  <c r="AL263" i="3"/>
  <c r="AM263" i="3" s="1"/>
  <c r="Y110" i="3"/>
  <c r="AA110" i="3" s="1"/>
  <c r="W110" i="3"/>
  <c r="X110" i="3"/>
  <c r="Y248" i="3"/>
  <c r="AA248" i="3" s="1"/>
  <c r="X248" i="3"/>
  <c r="W248" i="3"/>
  <c r="Y324" i="3"/>
  <c r="AA324" i="3" s="1"/>
  <c r="X324" i="3"/>
  <c r="W324" i="3"/>
  <c r="G457" i="5"/>
  <c r="O457" i="5"/>
  <c r="F457" i="5"/>
  <c r="N457" i="5" s="1"/>
  <c r="C457" i="5"/>
  <c r="W457" i="5"/>
  <c r="P457" i="5"/>
  <c r="B457" i="5"/>
  <c r="V457" i="5"/>
  <c r="H457" i="5"/>
  <c r="AL286" i="3"/>
  <c r="AM286" i="3" s="1"/>
  <c r="AJ286" i="3"/>
  <c r="AI286" i="3"/>
  <c r="Y304" i="3"/>
  <c r="AA304" i="3" s="1"/>
  <c r="X304" i="3"/>
  <c r="W304" i="3"/>
  <c r="D83" i="6"/>
  <c r="G83" i="6"/>
  <c r="G98" i="6"/>
  <c r="D98" i="6"/>
  <c r="G87" i="6"/>
  <c r="D87" i="6"/>
  <c r="AL270" i="3"/>
  <c r="AM270" i="3" s="1"/>
  <c r="AJ270" i="3"/>
  <c r="AI270" i="3"/>
  <c r="Y141" i="3"/>
  <c r="AA141" i="3" s="1"/>
  <c r="X141" i="3"/>
  <c r="W141" i="3"/>
  <c r="Y382" i="3"/>
  <c r="AA382" i="3" s="1"/>
  <c r="X382" i="3"/>
  <c r="W382" i="3"/>
  <c r="Y65" i="3"/>
  <c r="AA65" i="3" s="1"/>
  <c r="X65" i="3"/>
  <c r="W65" i="3"/>
  <c r="Y119" i="3"/>
  <c r="AA119" i="3" s="1"/>
  <c r="X119" i="3"/>
  <c r="W119" i="3"/>
  <c r="Y23" i="3"/>
  <c r="AA23" i="3" s="1"/>
  <c r="X23" i="3"/>
  <c r="W23" i="3"/>
  <c r="Y83" i="3"/>
  <c r="AA83" i="3" s="1"/>
  <c r="X83" i="3"/>
  <c r="W83" i="3"/>
  <c r="AL46" i="3"/>
  <c r="AM46" i="3" s="1"/>
  <c r="AJ46" i="3"/>
  <c r="AI46" i="3"/>
  <c r="X261" i="3"/>
  <c r="W261" i="3"/>
  <c r="Y261" i="3"/>
  <c r="AA261" i="3" s="1"/>
  <c r="Y495" i="3"/>
  <c r="AA495" i="3" s="1"/>
  <c r="X495" i="3"/>
  <c r="W495" i="3"/>
  <c r="Y383" i="3"/>
  <c r="AA383" i="3" s="1"/>
  <c r="W383" i="3"/>
  <c r="X383" i="3"/>
  <c r="W434" i="3"/>
  <c r="Y434" i="3"/>
  <c r="AA434" i="3" s="1"/>
  <c r="X434" i="3"/>
  <c r="X406" i="3"/>
  <c r="W406" i="3"/>
  <c r="Y406" i="3"/>
  <c r="AA406" i="3" s="1"/>
  <c r="Y337" i="3"/>
  <c r="AA337" i="3" s="1"/>
  <c r="X337" i="3"/>
  <c r="W337" i="3"/>
  <c r="G282" i="5"/>
  <c r="H282" i="5"/>
  <c r="B282" i="5"/>
  <c r="F282" i="5"/>
  <c r="N282" i="5" s="1"/>
  <c r="C282" i="5"/>
  <c r="V282" i="5"/>
  <c r="W282" i="5"/>
  <c r="P282" i="5"/>
  <c r="O282" i="5"/>
  <c r="Y329" i="3"/>
  <c r="AA329" i="3" s="1"/>
  <c r="W329" i="3"/>
  <c r="X329" i="3"/>
  <c r="Y456" i="3"/>
  <c r="AA456" i="3" s="1"/>
  <c r="X456" i="3"/>
  <c r="W456" i="3"/>
  <c r="O14" i="5"/>
  <c r="V14" i="5"/>
  <c r="H14" i="5"/>
  <c r="G14" i="5"/>
  <c r="P14" i="5"/>
  <c r="F14" i="5"/>
  <c r="N14" i="5" s="1"/>
  <c r="B14" i="5"/>
  <c r="C14" i="5"/>
  <c r="W14" i="5"/>
  <c r="Y413" i="3"/>
  <c r="AA413" i="3" s="1"/>
  <c r="X413" i="3"/>
  <c r="W413" i="3"/>
  <c r="Y24" i="3"/>
  <c r="AA24" i="3" s="1"/>
  <c r="X24" i="3"/>
  <c r="W24" i="3"/>
  <c r="O262" i="5"/>
  <c r="P262" i="5"/>
  <c r="H262" i="5"/>
  <c r="G262" i="5"/>
  <c r="C262" i="5"/>
  <c r="B262" i="5"/>
  <c r="F262" i="5"/>
  <c r="N262" i="5" s="1"/>
  <c r="V262" i="5"/>
  <c r="W262" i="5"/>
  <c r="V268" i="5"/>
  <c r="H268" i="5"/>
  <c r="G268" i="5"/>
  <c r="F268" i="5"/>
  <c r="N268" i="5" s="1"/>
  <c r="C268" i="5"/>
  <c r="O268" i="5"/>
  <c r="B268" i="5"/>
  <c r="P268" i="5"/>
  <c r="W268" i="5"/>
  <c r="P294" i="5"/>
  <c r="H294" i="5"/>
  <c r="F294" i="5"/>
  <c r="N294" i="5" s="1"/>
  <c r="C294" i="5"/>
  <c r="B294" i="5"/>
  <c r="W294" i="5"/>
  <c r="V294" i="5"/>
  <c r="O294" i="5"/>
  <c r="G294" i="5"/>
  <c r="AJ209" i="3"/>
  <c r="AI209" i="3"/>
  <c r="AL209" i="3"/>
  <c r="AM209" i="3" s="1"/>
  <c r="G159" i="5"/>
  <c r="F159" i="5"/>
  <c r="N159" i="5" s="1"/>
  <c r="P159" i="5"/>
  <c r="H159" i="5"/>
  <c r="C159" i="5"/>
  <c r="W159" i="5"/>
  <c r="V159" i="5"/>
  <c r="O159" i="5"/>
  <c r="B159" i="5"/>
  <c r="O116" i="5"/>
  <c r="P116" i="5"/>
  <c r="V116" i="5"/>
  <c r="H116" i="5"/>
  <c r="G116" i="5"/>
  <c r="F116" i="5"/>
  <c r="N116" i="5" s="1"/>
  <c r="B116" i="5"/>
  <c r="W116" i="5"/>
  <c r="C116" i="5"/>
  <c r="Y56" i="3"/>
  <c r="AA56" i="3" s="1"/>
  <c r="X56" i="3"/>
  <c r="W56" i="3"/>
  <c r="Y292" i="3"/>
  <c r="AA292" i="3" s="1"/>
  <c r="X292" i="3"/>
  <c r="W292" i="3"/>
  <c r="X379" i="3"/>
  <c r="W379" i="3"/>
  <c r="Y379" i="3"/>
  <c r="AA379" i="3" s="1"/>
  <c r="AI154" i="3"/>
  <c r="V418" i="5"/>
  <c r="W418" i="5"/>
  <c r="P418" i="5"/>
  <c r="O418" i="5"/>
  <c r="H418" i="5"/>
  <c r="F418" i="5"/>
  <c r="N418" i="5" s="1"/>
  <c r="C418" i="5"/>
  <c r="B418" i="5"/>
  <c r="G418" i="5"/>
  <c r="V411" i="5"/>
  <c r="C411" i="5"/>
  <c r="B411" i="5"/>
  <c r="W411" i="5"/>
  <c r="O411" i="5"/>
  <c r="H411" i="5"/>
  <c r="G411" i="5"/>
  <c r="F411" i="5"/>
  <c r="N411" i="5" s="1"/>
  <c r="P411" i="5"/>
  <c r="G476" i="5"/>
  <c r="H476" i="5"/>
  <c r="F476" i="5"/>
  <c r="N476" i="5" s="1"/>
  <c r="C476" i="5"/>
  <c r="B476" i="5"/>
  <c r="P476" i="5"/>
  <c r="O476" i="5"/>
  <c r="W476" i="5"/>
  <c r="V476" i="5"/>
  <c r="V396" i="5"/>
  <c r="F396" i="5"/>
  <c r="N396" i="5" s="1"/>
  <c r="C396" i="5"/>
  <c r="B396" i="5"/>
  <c r="W396" i="5"/>
  <c r="P396" i="5"/>
  <c r="O396" i="5"/>
  <c r="H396" i="5"/>
  <c r="G396" i="5"/>
  <c r="H212" i="5"/>
  <c r="G212" i="5"/>
  <c r="C212" i="5"/>
  <c r="B212" i="5"/>
  <c r="W212" i="5"/>
  <c r="V212" i="5"/>
  <c r="O212" i="5"/>
  <c r="F212" i="5"/>
  <c r="N212" i="5" s="1"/>
  <c r="P212" i="5"/>
  <c r="B256" i="5"/>
  <c r="H256" i="5"/>
  <c r="G256" i="5"/>
  <c r="C256" i="5"/>
  <c r="W256" i="5"/>
  <c r="V256" i="5"/>
  <c r="P256" i="5"/>
  <c r="O256" i="5"/>
  <c r="F256" i="5"/>
  <c r="N256" i="5" s="1"/>
  <c r="V354" i="5"/>
  <c r="P354" i="5"/>
  <c r="F354" i="5"/>
  <c r="N354" i="5" s="1"/>
  <c r="W354" i="5"/>
  <c r="H354" i="5"/>
  <c r="G354" i="5"/>
  <c r="C354" i="5"/>
  <c r="B354" i="5"/>
  <c r="O354" i="5"/>
  <c r="P239" i="5"/>
  <c r="O239" i="5"/>
  <c r="H239" i="5"/>
  <c r="G239" i="5"/>
  <c r="F239" i="5"/>
  <c r="N239" i="5" s="1"/>
  <c r="B239" i="5"/>
  <c r="W239" i="5"/>
  <c r="V239" i="5"/>
  <c r="C239" i="5"/>
  <c r="O72" i="5"/>
  <c r="H72" i="5"/>
  <c r="B72" i="5"/>
  <c r="P72" i="5"/>
  <c r="G72" i="5"/>
  <c r="C72" i="5"/>
  <c r="V72" i="5"/>
  <c r="F72" i="5"/>
  <c r="N72" i="5" s="1"/>
  <c r="W72" i="5"/>
  <c r="V278" i="5"/>
  <c r="G278" i="5"/>
  <c r="F278" i="5"/>
  <c r="N278" i="5" s="1"/>
  <c r="C278" i="5"/>
  <c r="B278" i="5"/>
  <c r="O278" i="5"/>
  <c r="H278" i="5"/>
  <c r="W278" i="5"/>
  <c r="P278" i="5"/>
  <c r="Y480" i="3"/>
  <c r="AA480" i="3" s="1"/>
  <c r="X480" i="3"/>
  <c r="W480" i="3"/>
  <c r="X202" i="3"/>
  <c r="W202" i="3"/>
  <c r="Y202" i="3"/>
  <c r="AA202" i="3" s="1"/>
  <c r="W469" i="3"/>
  <c r="Y469" i="3"/>
  <c r="AA469" i="3" s="1"/>
  <c r="X469" i="3"/>
  <c r="W283" i="3"/>
  <c r="X283" i="3"/>
  <c r="Y283" i="3"/>
  <c r="AA283" i="3" s="1"/>
  <c r="AI455" i="3"/>
  <c r="AL455" i="3"/>
  <c r="AM455" i="3" s="1"/>
  <c r="AJ455" i="3"/>
  <c r="W165" i="3"/>
  <c r="Y165" i="3"/>
  <c r="AA165" i="3" s="1"/>
  <c r="X165" i="3"/>
  <c r="AI341" i="3"/>
  <c r="AJ341" i="3"/>
  <c r="AL341" i="3"/>
  <c r="AM341" i="3" s="1"/>
  <c r="AI444" i="3"/>
  <c r="AL444" i="3"/>
  <c r="AM444" i="3" s="1"/>
  <c r="AJ444" i="3"/>
  <c r="H320" i="5"/>
  <c r="W320" i="5"/>
  <c r="P320" i="5"/>
  <c r="O320" i="5"/>
  <c r="G320" i="5"/>
  <c r="C320" i="5"/>
  <c r="B320" i="5"/>
  <c r="V320" i="5"/>
  <c r="F320" i="5"/>
  <c r="N320" i="5" s="1"/>
  <c r="AL440" i="3"/>
  <c r="AM440" i="3" s="1"/>
  <c r="AJ440" i="3"/>
  <c r="Y340" i="3"/>
  <c r="AA340" i="3" s="1"/>
  <c r="X340" i="3"/>
  <c r="W340" i="3"/>
  <c r="X366" i="3"/>
  <c r="Y366" i="3"/>
  <c r="AA366" i="3" s="1"/>
  <c r="W366" i="3"/>
  <c r="AL308" i="3"/>
  <c r="AM308" i="3" s="1"/>
  <c r="AI308" i="3"/>
  <c r="AJ308" i="3"/>
  <c r="P232" i="5"/>
  <c r="O232" i="5"/>
  <c r="G232" i="5"/>
  <c r="F232" i="5"/>
  <c r="N232" i="5" s="1"/>
  <c r="W232" i="5"/>
  <c r="B232" i="5"/>
  <c r="H232" i="5"/>
  <c r="C232" i="5"/>
  <c r="V232" i="5"/>
  <c r="AJ458" i="3"/>
  <c r="AI458" i="3"/>
  <c r="AL458" i="3"/>
  <c r="AM458" i="3" s="1"/>
  <c r="W100" i="3"/>
  <c r="Y100" i="3"/>
  <c r="AA100" i="3" s="1"/>
  <c r="X100" i="3"/>
  <c r="G92" i="6"/>
  <c r="D92" i="6"/>
  <c r="D75" i="6"/>
  <c r="Y268" i="3"/>
  <c r="AA268" i="3" s="1"/>
  <c r="X268" i="3"/>
  <c r="W268" i="3"/>
  <c r="AL88" i="3"/>
  <c r="AM88" i="3" s="1"/>
  <c r="AJ88" i="3"/>
  <c r="AI88" i="3"/>
  <c r="Y16" i="3"/>
  <c r="AA16" i="3" s="1"/>
  <c r="X16" i="3"/>
  <c r="W16" i="3"/>
  <c r="AI349" i="3"/>
  <c r="AJ349" i="3"/>
  <c r="AL349" i="3"/>
  <c r="AM349" i="3" s="1"/>
  <c r="AJ32" i="3"/>
  <c r="AI32" i="3"/>
  <c r="AL32" i="3"/>
  <c r="AM32" i="3" s="1"/>
  <c r="AL244" i="3"/>
  <c r="AM244" i="3" s="1"/>
  <c r="AJ244" i="3"/>
  <c r="AI244" i="3"/>
  <c r="Y78" i="3"/>
  <c r="AA78" i="3" s="1"/>
  <c r="X78" i="3"/>
  <c r="W78" i="3"/>
  <c r="Y115" i="3"/>
  <c r="AA115" i="3" s="1"/>
  <c r="X115" i="3"/>
  <c r="W115" i="3"/>
  <c r="Y111" i="3"/>
  <c r="AA111" i="3" s="1"/>
  <c r="X111" i="3"/>
  <c r="W111" i="3"/>
  <c r="Y203" i="3"/>
  <c r="AA203" i="3" s="1"/>
  <c r="X203" i="3"/>
  <c r="W203" i="3"/>
  <c r="Y307" i="3"/>
  <c r="AA307" i="3" s="1"/>
  <c r="X307" i="3"/>
  <c r="W307" i="3"/>
  <c r="X34" i="3"/>
  <c r="W34" i="3"/>
  <c r="Y34" i="3"/>
  <c r="AA34" i="3" s="1"/>
  <c r="V328" i="5"/>
  <c r="H328" i="5"/>
  <c r="C328" i="5"/>
  <c r="B328" i="5"/>
  <c r="W328" i="5"/>
  <c r="G328" i="5"/>
  <c r="F328" i="5"/>
  <c r="N328" i="5" s="1"/>
  <c r="P328" i="5"/>
  <c r="O328" i="5"/>
  <c r="Y15" i="3"/>
  <c r="AA15" i="3" s="1"/>
  <c r="X15" i="3"/>
  <c r="W15" i="3"/>
  <c r="H207" i="5"/>
  <c r="G207" i="5"/>
  <c r="F207" i="5"/>
  <c r="N207" i="5" s="1"/>
  <c r="B207" i="5"/>
  <c r="W207" i="5"/>
  <c r="V207" i="5"/>
  <c r="P207" i="5"/>
  <c r="O207" i="5"/>
  <c r="C207" i="5"/>
  <c r="AJ446" i="3"/>
  <c r="AI446" i="3"/>
  <c r="AL446" i="3"/>
  <c r="AM446" i="3" s="1"/>
  <c r="B450" i="5"/>
  <c r="P450" i="5"/>
  <c r="O450" i="5"/>
  <c r="F450" i="5"/>
  <c r="N450" i="5" s="1"/>
  <c r="C450" i="5"/>
  <c r="W450" i="5"/>
  <c r="V450" i="5"/>
  <c r="G450" i="5"/>
  <c r="H450" i="5"/>
  <c r="W476" i="3"/>
  <c r="Y476" i="3"/>
  <c r="AA476" i="3" s="1"/>
  <c r="X476" i="3"/>
  <c r="W170" i="3"/>
  <c r="Y170" i="3"/>
  <c r="AA170" i="3" s="1"/>
  <c r="X170" i="3"/>
  <c r="Y429" i="3"/>
  <c r="AA429" i="3" s="1"/>
  <c r="W429" i="3"/>
  <c r="X429" i="3"/>
  <c r="W140" i="3"/>
  <c r="Y140" i="3"/>
  <c r="AA140" i="3" s="1"/>
  <c r="X140" i="3"/>
  <c r="X424" i="3"/>
  <c r="W424" i="3"/>
  <c r="Y424" i="3"/>
  <c r="AA424" i="3" s="1"/>
  <c r="Y468" i="3"/>
  <c r="AA468" i="3" s="1"/>
  <c r="X468" i="3"/>
  <c r="W468" i="3"/>
  <c r="AJ107" i="3"/>
  <c r="AI107" i="3"/>
  <c r="AL107" i="3"/>
  <c r="AM107" i="3" s="1"/>
  <c r="W442" i="3"/>
  <c r="Y442" i="3"/>
  <c r="AA442" i="3" s="1"/>
  <c r="X442" i="3"/>
  <c r="W410" i="3"/>
  <c r="Y410" i="3"/>
  <c r="AA410" i="3" s="1"/>
  <c r="X410" i="3"/>
  <c r="Y135" i="3"/>
  <c r="AA135" i="3" s="1"/>
  <c r="X135" i="3"/>
  <c r="W135" i="3"/>
  <c r="AL105" i="3"/>
  <c r="AM105" i="3" s="1"/>
  <c r="AI105" i="3"/>
  <c r="AJ105" i="3"/>
  <c r="AL258" i="3"/>
  <c r="AM258" i="3" s="1"/>
  <c r="AI258" i="3"/>
  <c r="AJ258" i="3"/>
  <c r="W322" i="3"/>
  <c r="Y322" i="3"/>
  <c r="AA322" i="3" s="1"/>
  <c r="X322" i="3"/>
  <c r="AL239" i="3"/>
  <c r="AM239" i="3" s="1"/>
  <c r="AI239" i="3"/>
  <c r="AJ239" i="3"/>
  <c r="D95" i="6"/>
  <c r="G95" i="6"/>
  <c r="G90" i="6"/>
  <c r="D90" i="6"/>
  <c r="G84" i="6"/>
  <c r="D84" i="6"/>
  <c r="Y151" i="3"/>
  <c r="AA151" i="3" s="1"/>
  <c r="X151" i="3"/>
  <c r="W151" i="3"/>
  <c r="AJ58" i="3"/>
  <c r="AL58" i="3"/>
  <c r="AM58" i="3" s="1"/>
  <c r="AI58" i="3"/>
  <c r="AI491" i="3"/>
  <c r="AJ491" i="3"/>
  <c r="AL491" i="3"/>
  <c r="AM491" i="3" s="1"/>
  <c r="Y142" i="3"/>
  <c r="AA142" i="3" s="1"/>
  <c r="X142" i="3"/>
  <c r="W142" i="3"/>
  <c r="W250" i="3"/>
  <c r="X250" i="3"/>
  <c r="Y250" i="3"/>
  <c r="AA250" i="3" s="1"/>
  <c r="Y477" i="3"/>
  <c r="AA477" i="3" s="1"/>
  <c r="X477" i="3"/>
  <c r="W477" i="3"/>
  <c r="AL47" i="3"/>
  <c r="AM47" i="3" s="1"/>
  <c r="AI47" i="3"/>
  <c r="AJ47" i="3"/>
  <c r="AJ500" i="3"/>
  <c r="AI500" i="3"/>
  <c r="AL500" i="3"/>
  <c r="AM500" i="3" s="1"/>
  <c r="Y45" i="3"/>
  <c r="AA45" i="3" s="1"/>
  <c r="X45" i="3"/>
  <c r="W45" i="3"/>
  <c r="AL123" i="3"/>
  <c r="AM123" i="3" s="1"/>
  <c r="AJ123" i="3"/>
  <c r="AI123" i="3"/>
  <c r="Y101" i="3"/>
  <c r="AA101" i="3" s="1"/>
  <c r="X101" i="3"/>
  <c r="W101" i="3"/>
  <c r="Y7" i="3"/>
  <c r="AA7" i="3" s="1"/>
  <c r="X7" i="3"/>
  <c r="W7" i="3"/>
  <c r="X182" i="3"/>
  <c r="W182" i="3"/>
  <c r="Y182" i="3"/>
  <c r="AA182" i="3" s="1"/>
  <c r="AL330" i="3"/>
  <c r="AM330" i="3" s="1"/>
  <c r="AI330" i="3"/>
  <c r="AJ330" i="3"/>
  <c r="AL317" i="3"/>
  <c r="AM317" i="3" s="1"/>
  <c r="AJ317" i="3"/>
  <c r="AI317" i="3"/>
  <c r="V351" i="5"/>
  <c r="P351" i="5"/>
  <c r="G351" i="5"/>
  <c r="F351" i="5"/>
  <c r="N351" i="5" s="1"/>
  <c r="B351" i="5"/>
  <c r="W351" i="5"/>
  <c r="O351" i="5"/>
  <c r="C351" i="5"/>
  <c r="H351" i="5"/>
  <c r="H229" i="5"/>
  <c r="V229" i="5"/>
  <c r="W229" i="5"/>
  <c r="P229" i="5"/>
  <c r="O229" i="5"/>
  <c r="G229" i="5"/>
  <c r="B229" i="5"/>
  <c r="C229" i="5"/>
  <c r="F229" i="5"/>
  <c r="N229" i="5" s="1"/>
  <c r="O138" i="5"/>
  <c r="G138" i="5"/>
  <c r="F138" i="5"/>
  <c r="N138" i="5" s="1"/>
  <c r="W138" i="5"/>
  <c r="V138" i="5"/>
  <c r="B138" i="5"/>
  <c r="H138" i="5"/>
  <c r="C138" i="5"/>
  <c r="P138" i="5"/>
  <c r="Y360" i="3"/>
  <c r="AA360" i="3" s="1"/>
  <c r="W360" i="3"/>
  <c r="X360" i="3"/>
  <c r="O127" i="5"/>
  <c r="W127" i="5"/>
  <c r="H127" i="5"/>
  <c r="G127" i="5"/>
  <c r="B127" i="5"/>
  <c r="V127" i="5"/>
  <c r="P127" i="5"/>
  <c r="F127" i="5"/>
  <c r="N127" i="5" s="1"/>
  <c r="C127" i="5"/>
  <c r="Y19" i="3"/>
  <c r="AA19" i="3" s="1"/>
  <c r="X19" i="3"/>
  <c r="W19" i="3"/>
  <c r="V381" i="5"/>
  <c r="G381" i="5"/>
  <c r="C381" i="5"/>
  <c r="W381" i="5"/>
  <c r="P381" i="5"/>
  <c r="H381" i="5"/>
  <c r="F381" i="5"/>
  <c r="N381" i="5" s="1"/>
  <c r="B381" i="5"/>
  <c r="O381" i="5"/>
  <c r="X230" i="3"/>
  <c r="W230" i="3"/>
  <c r="Y230" i="3"/>
  <c r="AA230" i="3" s="1"/>
  <c r="X174" i="3"/>
  <c r="Y174" i="3"/>
  <c r="AA174" i="3" s="1"/>
  <c r="W174" i="3"/>
  <c r="Y484" i="3"/>
  <c r="AA484" i="3" s="1"/>
  <c r="X484" i="3"/>
  <c r="W484" i="3"/>
  <c r="O41" i="5"/>
  <c r="C41" i="5"/>
  <c r="B41" i="5"/>
  <c r="H41" i="5"/>
  <c r="G41" i="5"/>
  <c r="F41" i="5"/>
  <c r="N41" i="5" s="1"/>
  <c r="P41" i="5"/>
  <c r="W41" i="5"/>
  <c r="V41" i="5"/>
  <c r="Y269" i="3"/>
  <c r="AA269" i="3" s="1"/>
  <c r="W269" i="3"/>
  <c r="X269" i="3"/>
  <c r="AI380" i="3"/>
  <c r="AL380" i="3"/>
  <c r="AM380" i="3" s="1"/>
  <c r="AJ380" i="3"/>
  <c r="G456" i="5"/>
  <c r="B456" i="5"/>
  <c r="C456" i="5"/>
  <c r="W456" i="5"/>
  <c r="V456" i="5"/>
  <c r="P456" i="5"/>
  <c r="O456" i="5"/>
  <c r="H456" i="5"/>
  <c r="F456" i="5"/>
  <c r="N456" i="5" s="1"/>
  <c r="W271" i="5"/>
  <c r="V271" i="5"/>
  <c r="P271" i="5"/>
  <c r="H271" i="5"/>
  <c r="G271" i="5"/>
  <c r="F271" i="5"/>
  <c r="N271" i="5" s="1"/>
  <c r="B271" i="5"/>
  <c r="C271" i="5"/>
  <c r="O271" i="5"/>
  <c r="V175" i="5"/>
  <c r="F175" i="5"/>
  <c r="N175" i="5" s="1"/>
  <c r="B175" i="5"/>
  <c r="H175" i="5"/>
  <c r="W175" i="5"/>
  <c r="O175" i="5"/>
  <c r="G175" i="5"/>
  <c r="P175" i="5"/>
  <c r="C175" i="5"/>
  <c r="O99" i="5"/>
  <c r="H99" i="5"/>
  <c r="G99" i="5"/>
  <c r="F99" i="5"/>
  <c r="N99" i="5" s="1"/>
  <c r="P99" i="5"/>
  <c r="C99" i="5"/>
  <c r="B99" i="5"/>
  <c r="W99" i="5"/>
  <c r="V99" i="5"/>
  <c r="Y474" i="3"/>
  <c r="AA474" i="3" s="1"/>
  <c r="X474" i="3"/>
  <c r="W474" i="3"/>
  <c r="AI420" i="3"/>
  <c r="AL420" i="3"/>
  <c r="AM420" i="3" s="1"/>
  <c r="AJ420" i="3"/>
  <c r="Y400" i="3"/>
  <c r="AA400" i="3" s="1"/>
  <c r="W400" i="3"/>
  <c r="X400" i="3"/>
  <c r="W171" i="3"/>
  <c r="Y171" i="3"/>
  <c r="AA171" i="3" s="1"/>
  <c r="X171" i="3"/>
  <c r="X346" i="3"/>
  <c r="Y346" i="3"/>
  <c r="AA346" i="3" s="1"/>
  <c r="W346" i="3"/>
  <c r="V397" i="5"/>
  <c r="P397" i="5"/>
  <c r="G397" i="5"/>
  <c r="F397" i="5"/>
  <c r="N397" i="5" s="1"/>
  <c r="C397" i="5"/>
  <c r="B397" i="5"/>
  <c r="W397" i="5"/>
  <c r="O397" i="5"/>
  <c r="H397" i="5"/>
  <c r="H260" i="5"/>
  <c r="G260" i="5"/>
  <c r="W260" i="5"/>
  <c r="V260" i="5"/>
  <c r="O260" i="5"/>
  <c r="F260" i="5"/>
  <c r="N260" i="5" s="1"/>
  <c r="C260" i="5"/>
  <c r="P260" i="5"/>
  <c r="B260" i="5"/>
  <c r="O44" i="5"/>
  <c r="P44" i="5"/>
  <c r="F44" i="5"/>
  <c r="N44" i="5" s="1"/>
  <c r="H44" i="5"/>
  <c r="G44" i="5"/>
  <c r="C44" i="5"/>
  <c r="B44" i="5"/>
  <c r="W44" i="5"/>
  <c r="V44" i="5"/>
  <c r="O31" i="5"/>
  <c r="W31" i="5"/>
  <c r="B31" i="5"/>
  <c r="H31" i="5"/>
  <c r="G31" i="5"/>
  <c r="F31" i="5"/>
  <c r="N31" i="5" s="1"/>
  <c r="C31" i="5"/>
  <c r="P31" i="5"/>
  <c r="V31" i="5"/>
  <c r="AJ436" i="3"/>
  <c r="AL436" i="3"/>
  <c r="AM436" i="3" s="1"/>
  <c r="AI436" i="3"/>
  <c r="AI423" i="3"/>
  <c r="AL423" i="3"/>
  <c r="AM423" i="3" s="1"/>
  <c r="AJ423" i="3"/>
  <c r="H213" i="5"/>
  <c r="O213" i="5"/>
  <c r="G213" i="5"/>
  <c r="F213" i="5"/>
  <c r="N213" i="5" s="1"/>
  <c r="B213" i="5"/>
  <c r="P213" i="5"/>
  <c r="W213" i="5"/>
  <c r="V213" i="5"/>
  <c r="C213" i="5"/>
  <c r="O3" i="5"/>
  <c r="H3" i="5"/>
  <c r="P3" i="5"/>
  <c r="G3" i="5"/>
  <c r="F3" i="5"/>
  <c r="N3" i="5" s="1"/>
  <c r="C3" i="5"/>
  <c r="B3" i="5"/>
  <c r="W3" i="5"/>
  <c r="V3" i="5"/>
  <c r="Y75" i="3"/>
  <c r="AA75" i="3" s="1"/>
  <c r="X75" i="3"/>
  <c r="W75" i="3"/>
  <c r="O136" i="5"/>
  <c r="H136" i="5"/>
  <c r="G136" i="5"/>
  <c r="B136" i="5"/>
  <c r="P136" i="5"/>
  <c r="F136" i="5"/>
  <c r="N136" i="5" s="1"/>
  <c r="C136" i="5"/>
  <c r="W136" i="5"/>
  <c r="V136" i="5"/>
  <c r="P247" i="5"/>
  <c r="O247" i="5"/>
  <c r="V247" i="5"/>
  <c r="H247" i="5"/>
  <c r="G247" i="5"/>
  <c r="C247" i="5"/>
  <c r="B247" i="5"/>
  <c r="F247" i="5"/>
  <c r="N247" i="5" s="1"/>
  <c r="W247" i="5"/>
  <c r="AI386" i="3"/>
  <c r="AL386" i="3"/>
  <c r="AM386" i="3" s="1"/>
  <c r="AJ386" i="3"/>
  <c r="Y125" i="3"/>
  <c r="AA125" i="3" s="1"/>
  <c r="X125" i="3"/>
  <c r="W125" i="3"/>
  <c r="AL84" i="3"/>
  <c r="AM84" i="3" s="1"/>
  <c r="AJ84" i="3"/>
  <c r="AI84" i="3"/>
  <c r="X176" i="3"/>
  <c r="W176" i="3"/>
  <c r="Y176" i="3"/>
  <c r="AA176" i="3" s="1"/>
  <c r="X364" i="3"/>
  <c r="Y364" i="3"/>
  <c r="AA364" i="3" s="1"/>
  <c r="W364" i="3"/>
  <c r="W254" i="3"/>
  <c r="Y254" i="3"/>
  <c r="AA254" i="3" s="1"/>
  <c r="X254" i="3"/>
  <c r="Y238" i="3"/>
  <c r="AA238" i="3" s="1"/>
  <c r="X238" i="3"/>
  <c r="W238" i="3"/>
  <c r="O121" i="5"/>
  <c r="C121" i="5"/>
  <c r="B121" i="5"/>
  <c r="W121" i="5"/>
  <c r="V121" i="5"/>
  <c r="P121" i="5"/>
  <c r="H121" i="5"/>
  <c r="F121" i="5"/>
  <c r="N121" i="5" s="1"/>
  <c r="G121" i="5"/>
  <c r="Y159" i="3"/>
  <c r="AA159" i="3" s="1"/>
  <c r="X159" i="3"/>
  <c r="W159" i="3"/>
  <c r="Y333" i="3"/>
  <c r="AA333" i="3" s="1"/>
  <c r="X333" i="3"/>
  <c r="W333" i="3"/>
  <c r="Y124" i="3"/>
  <c r="AA124" i="3" s="1"/>
  <c r="X124" i="3"/>
  <c r="W124" i="3"/>
  <c r="Y452" i="3"/>
  <c r="AA452" i="3" s="1"/>
  <c r="X452" i="3"/>
  <c r="W452" i="3"/>
  <c r="D76" i="6"/>
  <c r="G76" i="6"/>
  <c r="G86" i="6"/>
  <c r="D86" i="6"/>
  <c r="D80" i="6"/>
  <c r="G80" i="6"/>
  <c r="W256" i="3"/>
  <c r="Y256" i="3"/>
  <c r="AA256" i="3" s="1"/>
  <c r="X256" i="3"/>
  <c r="Y342" i="3"/>
  <c r="AA342" i="3" s="1"/>
  <c r="X342" i="3"/>
  <c r="W342" i="3"/>
  <c r="AL36" i="3"/>
  <c r="AM36" i="3" s="1"/>
  <c r="AI36" i="3"/>
  <c r="AJ36" i="3"/>
  <c r="Y79" i="3"/>
  <c r="AA79" i="3" s="1"/>
  <c r="X79" i="3"/>
  <c r="W79" i="3"/>
  <c r="Y473" i="3"/>
  <c r="AA473" i="3" s="1"/>
  <c r="X473" i="3"/>
  <c r="W473" i="3"/>
  <c r="Y96" i="3"/>
  <c r="AA96" i="3" s="1"/>
  <c r="X96" i="3"/>
  <c r="W96" i="3"/>
  <c r="Y53" i="3"/>
  <c r="AA53" i="3" s="1"/>
  <c r="X53" i="3"/>
  <c r="W53" i="3"/>
  <c r="AI315" i="3"/>
  <c r="AJ315" i="3"/>
  <c r="AL315" i="3"/>
  <c r="AM315" i="3" s="1"/>
  <c r="Y40" i="3"/>
  <c r="AA40" i="3" s="1"/>
  <c r="X40" i="3"/>
  <c r="W40" i="3"/>
  <c r="Y120" i="3"/>
  <c r="AA120" i="3" s="1"/>
  <c r="X120" i="3"/>
  <c r="W120" i="3"/>
  <c r="Y67" i="3"/>
  <c r="AA67" i="3" s="1"/>
  <c r="X67" i="3"/>
  <c r="W67" i="3"/>
  <c r="W74" i="3"/>
  <c r="Y74" i="3"/>
  <c r="AA74" i="3" s="1"/>
  <c r="X74" i="3"/>
  <c r="Y293" i="3"/>
  <c r="AA293" i="3" s="1"/>
  <c r="X293" i="3"/>
  <c r="W293" i="3"/>
  <c r="X246" i="3"/>
  <c r="W246" i="3"/>
  <c r="Y246" i="3"/>
  <c r="AA246" i="3" s="1"/>
  <c r="AL29" i="3"/>
  <c r="AM29" i="3" s="1"/>
  <c r="AJ29" i="3"/>
  <c r="AI29" i="3"/>
  <c r="AL280" i="3"/>
  <c r="AM280" i="3" s="1"/>
  <c r="AI280" i="3"/>
  <c r="AJ280" i="3"/>
  <c r="Y425" i="3"/>
  <c r="AA425" i="3" s="1"/>
  <c r="X425" i="3"/>
  <c r="W425" i="3"/>
  <c r="X175" i="3"/>
  <c r="W175" i="3"/>
  <c r="Y175" i="3"/>
  <c r="AA175" i="3" s="1"/>
  <c r="AL356" i="3"/>
  <c r="AM356" i="3" s="1"/>
  <c r="AJ356" i="3"/>
  <c r="AI356" i="3"/>
  <c r="Y412" i="3"/>
  <c r="AA412" i="3" s="1"/>
  <c r="X412" i="3"/>
  <c r="W412" i="3"/>
  <c r="AJ231" i="3"/>
  <c r="AI231" i="3"/>
  <c r="AL231" i="3"/>
  <c r="AM231" i="3" s="1"/>
  <c r="AL311" i="3"/>
  <c r="AM311" i="3" s="1"/>
  <c r="AJ311" i="3"/>
  <c r="AI311" i="3"/>
  <c r="AL98" i="3"/>
  <c r="AM98" i="3" s="1"/>
  <c r="AJ98" i="3"/>
  <c r="AI98" i="3"/>
  <c r="V394" i="5"/>
  <c r="B394" i="5"/>
  <c r="H394" i="5"/>
  <c r="G394" i="5"/>
  <c r="F394" i="5"/>
  <c r="N394" i="5" s="1"/>
  <c r="P394" i="5"/>
  <c r="O394" i="5"/>
  <c r="W394" i="5"/>
  <c r="C394" i="5"/>
  <c r="G249" i="5"/>
  <c r="F249" i="5"/>
  <c r="N249" i="5" s="1"/>
  <c r="C249" i="5"/>
  <c r="H249" i="5"/>
  <c r="B249" i="5"/>
  <c r="V249" i="5"/>
  <c r="O249" i="5"/>
  <c r="W249" i="5"/>
  <c r="P249" i="5"/>
  <c r="O230" i="5"/>
  <c r="C230" i="5"/>
  <c r="B230" i="5"/>
  <c r="G230" i="5"/>
  <c r="W230" i="5"/>
  <c r="V230" i="5"/>
  <c r="P230" i="5"/>
  <c r="H230" i="5"/>
  <c r="F230" i="5"/>
  <c r="N230" i="5" s="1"/>
  <c r="O59" i="5"/>
  <c r="H59" i="5"/>
  <c r="F59" i="5"/>
  <c r="N59" i="5" s="1"/>
  <c r="C59" i="5"/>
  <c r="P59" i="5"/>
  <c r="G59" i="5"/>
  <c r="B59" i="5"/>
  <c r="W59" i="5"/>
  <c r="V59" i="5"/>
  <c r="Y441" i="3"/>
  <c r="AA441" i="3" s="1"/>
  <c r="X441" i="3"/>
  <c r="W441" i="3"/>
  <c r="AL236" i="3"/>
  <c r="AM236" i="3" s="1"/>
  <c r="AJ236" i="3"/>
  <c r="AI236" i="3"/>
  <c r="AI465" i="3"/>
  <c r="AJ465" i="3"/>
  <c r="AL465" i="3"/>
  <c r="AM465" i="3" s="1"/>
  <c r="AI461" i="3"/>
  <c r="X162" i="3"/>
  <c r="W162" i="3"/>
  <c r="Y162" i="3"/>
  <c r="AA162" i="3" s="1"/>
  <c r="Y344" i="3"/>
  <c r="AA344" i="3" s="1"/>
  <c r="W344" i="3"/>
  <c r="X344" i="3"/>
  <c r="AL146" i="3"/>
  <c r="AM146" i="3" s="1"/>
  <c r="AJ146" i="3"/>
  <c r="AI146" i="3"/>
  <c r="Y368" i="3"/>
  <c r="AA368" i="3" s="1"/>
  <c r="X368" i="3"/>
  <c r="W368" i="3"/>
  <c r="AI443" i="3"/>
  <c r="AJ443" i="3"/>
  <c r="AL443" i="3"/>
  <c r="AM443" i="3" s="1"/>
  <c r="G81" i="6"/>
  <c r="D81" i="6"/>
  <c r="D79" i="6"/>
  <c r="G79" i="6"/>
  <c r="G97" i="6"/>
  <c r="D97" i="6"/>
  <c r="G78" i="6"/>
  <c r="D78" i="6"/>
  <c r="Y389" i="3"/>
  <c r="AA389" i="3" s="1"/>
  <c r="W389" i="3"/>
  <c r="X389" i="3"/>
  <c r="AL126" i="3"/>
  <c r="AM126" i="3" s="1"/>
  <c r="AJ126" i="3"/>
  <c r="AI126" i="3"/>
  <c r="X433" i="3"/>
  <c r="W433" i="3"/>
  <c r="Y433" i="3"/>
  <c r="AA433" i="3" s="1"/>
  <c r="W470" i="3"/>
  <c r="Y470" i="3"/>
  <c r="AA470" i="3" s="1"/>
  <c r="X470" i="3"/>
  <c r="W127" i="3"/>
  <c r="Y127" i="3"/>
  <c r="AA127" i="3" s="1"/>
  <c r="X127" i="3"/>
  <c r="Y228" i="3"/>
  <c r="AA228" i="3" s="1"/>
  <c r="X228" i="3"/>
  <c r="W228" i="3"/>
  <c r="Y445" i="3"/>
  <c r="AA445" i="3" s="1"/>
  <c r="W445" i="3"/>
  <c r="X445" i="3"/>
  <c r="X66" i="3"/>
  <c r="W66" i="3"/>
  <c r="Y66" i="3"/>
  <c r="AA66" i="3" s="1"/>
  <c r="AJ362" i="3"/>
  <c r="AI362" i="3"/>
  <c r="AL362" i="3"/>
  <c r="AM362" i="3" s="1"/>
  <c r="Y38" i="3"/>
  <c r="AA38" i="3" s="1"/>
  <c r="X38" i="3"/>
  <c r="W38" i="3"/>
  <c r="X8" i="3"/>
  <c r="W8" i="3"/>
  <c r="Y8" i="3"/>
  <c r="AA8" i="3" s="1"/>
  <c r="Y309" i="3"/>
  <c r="AA309" i="3" s="1"/>
  <c r="X309" i="3"/>
  <c r="W309" i="3"/>
  <c r="AL172" i="3"/>
  <c r="AM172" i="3" s="1"/>
  <c r="AI172" i="3"/>
  <c r="AJ172" i="3"/>
  <c r="W192" i="3"/>
  <c r="Y192" i="3"/>
  <c r="AA192" i="3" s="1"/>
  <c r="X192" i="3"/>
  <c r="W20" i="3"/>
  <c r="Y20" i="3"/>
  <c r="AA20" i="3" s="1"/>
  <c r="X20" i="3"/>
  <c r="AL77" i="3"/>
  <c r="AM77" i="3" s="1"/>
  <c r="AI77" i="3"/>
  <c r="AJ77" i="3"/>
  <c r="AJ408" i="3"/>
  <c r="AI408" i="3"/>
  <c r="AL408" i="3"/>
  <c r="AM408" i="3" s="1"/>
  <c r="Y169" i="3"/>
  <c r="AA169" i="3" s="1"/>
  <c r="X169" i="3"/>
  <c r="W169" i="3"/>
  <c r="AJ48" i="3"/>
  <c r="AI48" i="3"/>
  <c r="AL48" i="3"/>
  <c r="AM48" i="3" s="1"/>
  <c r="AL167" i="3"/>
  <c r="AM167" i="3" s="1"/>
  <c r="AJ167" i="3"/>
  <c r="AI167" i="3"/>
  <c r="Y191" i="3"/>
  <c r="AA191" i="3" s="1"/>
  <c r="X191" i="3"/>
  <c r="W191" i="3"/>
  <c r="AL211" i="3"/>
  <c r="AM211" i="3" s="1"/>
  <c r="AJ211" i="3"/>
  <c r="AI211" i="3"/>
  <c r="Y489" i="3"/>
  <c r="AA489" i="3" s="1"/>
  <c r="W489" i="3"/>
  <c r="X489" i="3"/>
  <c r="Y61" i="3"/>
  <c r="AA61" i="3" s="1"/>
  <c r="X61" i="3"/>
  <c r="W61" i="3"/>
  <c r="AL89" i="3"/>
  <c r="AM89" i="3" s="1"/>
  <c r="AJ89" i="3"/>
  <c r="AI89" i="3"/>
  <c r="C273" i="5"/>
  <c r="B273" i="5"/>
  <c r="G273" i="5"/>
  <c r="F273" i="5"/>
  <c r="N273" i="5" s="1"/>
  <c r="W273" i="5"/>
  <c r="V273" i="5"/>
  <c r="P273" i="5"/>
  <c r="O273" i="5"/>
  <c r="H273" i="5"/>
  <c r="X334" i="3"/>
  <c r="W334" i="3"/>
  <c r="Y334" i="3"/>
  <c r="AA334" i="3" s="1"/>
  <c r="W179" i="3"/>
  <c r="Y179" i="3"/>
  <c r="AA179" i="3" s="1"/>
  <c r="X179" i="3"/>
  <c r="X459" i="3"/>
  <c r="W459" i="3"/>
  <c r="Y459" i="3"/>
  <c r="AA459" i="3" s="1"/>
  <c r="Y403" i="3"/>
  <c r="AA403" i="3" s="1"/>
  <c r="X403" i="3"/>
  <c r="W403" i="3"/>
  <c r="V366" i="5"/>
  <c r="H366" i="5"/>
  <c r="F366" i="5"/>
  <c r="N366" i="5" s="1"/>
  <c r="C366" i="5"/>
  <c r="W366" i="5"/>
  <c r="P366" i="5"/>
  <c r="O366" i="5"/>
  <c r="G366" i="5"/>
  <c r="B366" i="5"/>
  <c r="C177" i="5"/>
  <c r="B177" i="5"/>
  <c r="F177" i="5"/>
  <c r="N177" i="5" s="1"/>
  <c r="V177" i="5"/>
  <c r="P177" i="5"/>
  <c r="O177" i="5"/>
  <c r="G177" i="5"/>
  <c r="H177" i="5"/>
  <c r="W177" i="5"/>
  <c r="X318" i="3"/>
  <c r="Y318" i="3"/>
  <c r="AA318" i="3" s="1"/>
  <c r="W318" i="3"/>
  <c r="O58" i="5"/>
  <c r="G58" i="5"/>
  <c r="F58" i="5"/>
  <c r="N58" i="5" s="1"/>
  <c r="H58" i="5"/>
  <c r="V58" i="5"/>
  <c r="P58" i="5"/>
  <c r="C58" i="5"/>
  <c r="B58" i="5"/>
  <c r="W58" i="5"/>
  <c r="Y426" i="3"/>
  <c r="AA426" i="3" s="1"/>
  <c r="X426" i="3"/>
  <c r="W426" i="3"/>
  <c r="Y35" i="3"/>
  <c r="AA35" i="3" s="1"/>
  <c r="X35" i="3"/>
  <c r="W35" i="3"/>
  <c r="C193" i="5"/>
  <c r="B193" i="5"/>
  <c r="V193" i="5"/>
  <c r="O193" i="5"/>
  <c r="H193" i="5"/>
  <c r="G193" i="5"/>
  <c r="F193" i="5"/>
  <c r="N193" i="5" s="1"/>
  <c r="P193" i="5"/>
  <c r="W193" i="5"/>
  <c r="V360" i="5"/>
  <c r="O360" i="5"/>
  <c r="G360" i="5"/>
  <c r="F360" i="5"/>
  <c r="N360" i="5" s="1"/>
  <c r="W360" i="5"/>
  <c r="P360" i="5"/>
  <c r="H360" i="5"/>
  <c r="C360" i="5"/>
  <c r="B360" i="5"/>
  <c r="Y160" i="3"/>
  <c r="AA160" i="3" s="1"/>
  <c r="X160" i="3"/>
  <c r="W160" i="3"/>
  <c r="X395" i="3"/>
  <c r="W395" i="3"/>
  <c r="Y395" i="3"/>
  <c r="AA395" i="3" s="1"/>
  <c r="X447" i="3"/>
  <c r="W447" i="3"/>
  <c r="Y447" i="3"/>
  <c r="AA447" i="3" s="1"/>
  <c r="Y295" i="3"/>
  <c r="AA295" i="3" s="1"/>
  <c r="X295" i="3"/>
  <c r="W295" i="3"/>
  <c r="G91" i="6"/>
  <c r="D91" i="6"/>
  <c r="Y99" i="3"/>
  <c r="AA99" i="3" s="1"/>
  <c r="X99" i="3"/>
  <c r="W99" i="3"/>
  <c r="X255" i="3"/>
  <c r="Y255" i="3"/>
  <c r="AA255" i="3" s="1"/>
  <c r="W255" i="3"/>
  <c r="Y392" i="3"/>
  <c r="AA392" i="3" s="1"/>
  <c r="X392" i="3"/>
  <c r="W392" i="3"/>
  <c r="Y54" i="3"/>
  <c r="AA54" i="3" s="1"/>
  <c r="X54" i="3"/>
  <c r="W54" i="3"/>
  <c r="O54" i="5"/>
  <c r="V54" i="5"/>
  <c r="H54" i="5"/>
  <c r="B54" i="5"/>
  <c r="P54" i="5"/>
  <c r="G54" i="5"/>
  <c r="F54" i="5"/>
  <c r="N54" i="5" s="1"/>
  <c r="C54" i="5"/>
  <c r="W54" i="5"/>
  <c r="O84" i="5"/>
  <c r="P84" i="5"/>
  <c r="V84" i="5"/>
  <c r="W84" i="5"/>
  <c r="H84" i="5"/>
  <c r="B84" i="5"/>
  <c r="G84" i="5"/>
  <c r="F84" i="5"/>
  <c r="N84" i="5" s="1"/>
  <c r="C84" i="5"/>
  <c r="O7" i="5"/>
  <c r="W7" i="5"/>
  <c r="V7" i="5"/>
  <c r="H7" i="5"/>
  <c r="G7" i="5"/>
  <c r="F7" i="5"/>
  <c r="N7" i="5" s="1"/>
  <c r="B7" i="5"/>
  <c r="C7" i="5"/>
  <c r="P7" i="5"/>
  <c r="X298" i="3"/>
  <c r="W298" i="3"/>
  <c r="Y298" i="3"/>
  <c r="AA298" i="3" s="1"/>
  <c r="W164" i="3"/>
  <c r="Y164" i="3"/>
  <c r="AA164" i="3" s="1"/>
  <c r="X164" i="3"/>
  <c r="X128" i="3"/>
  <c r="W128" i="3"/>
  <c r="Y128" i="3"/>
  <c r="AA128" i="3" s="1"/>
  <c r="X325" i="3"/>
  <c r="W325" i="3"/>
  <c r="Y325" i="3"/>
  <c r="AA325" i="3" s="1"/>
  <c r="AL303" i="3"/>
  <c r="AM303" i="3" s="1"/>
  <c r="AJ303" i="3"/>
  <c r="AI303" i="3"/>
  <c r="AL221" i="3"/>
  <c r="AM221" i="3" s="1"/>
  <c r="AI221" i="3"/>
  <c r="AJ221" i="3"/>
  <c r="AL25" i="3"/>
  <c r="AM25" i="3" s="1"/>
  <c r="AJ25" i="3"/>
  <c r="AI25" i="3"/>
  <c r="AJ64" i="3"/>
  <c r="AI64" i="3"/>
  <c r="AL64" i="3"/>
  <c r="AM64" i="3" s="1"/>
  <c r="Y351" i="3"/>
  <c r="AA351" i="3" s="1"/>
  <c r="X351" i="3"/>
  <c r="W351" i="3"/>
  <c r="X94" i="3"/>
  <c r="W94" i="3"/>
  <c r="Y94" i="3"/>
  <c r="AA94" i="3" s="1"/>
  <c r="V380" i="5"/>
  <c r="F380" i="5"/>
  <c r="N380" i="5" s="1"/>
  <c r="B380" i="5"/>
  <c r="C380" i="5"/>
  <c r="W380" i="5"/>
  <c r="O380" i="5"/>
  <c r="H380" i="5"/>
  <c r="G380" i="5"/>
  <c r="P380" i="5"/>
  <c r="B433" i="5"/>
  <c r="W433" i="5"/>
  <c r="V433" i="5"/>
  <c r="P433" i="5"/>
  <c r="O433" i="5"/>
  <c r="G433" i="5"/>
  <c r="F433" i="5"/>
  <c r="N433" i="5" s="1"/>
  <c r="C433" i="5"/>
  <c r="H433" i="5"/>
  <c r="H244" i="5"/>
  <c r="G244" i="5"/>
  <c r="P244" i="5"/>
  <c r="O244" i="5"/>
  <c r="C244" i="5"/>
  <c r="B244" i="5"/>
  <c r="F244" i="5"/>
  <c r="N244" i="5" s="1"/>
  <c r="W244" i="5"/>
  <c r="V244" i="5"/>
  <c r="H201" i="5"/>
  <c r="G201" i="5"/>
  <c r="C201" i="5"/>
  <c r="B201" i="5"/>
  <c r="W201" i="5"/>
  <c r="V201" i="5"/>
  <c r="P201" i="5"/>
  <c r="O201" i="5"/>
  <c r="F201" i="5"/>
  <c r="N201" i="5" s="1"/>
  <c r="W266" i="3"/>
  <c r="Y266" i="3"/>
  <c r="AA266" i="3" s="1"/>
  <c r="X266" i="3"/>
  <c r="V275" i="5"/>
  <c r="G275" i="5"/>
  <c r="F275" i="5"/>
  <c r="N275" i="5" s="1"/>
  <c r="P275" i="5"/>
  <c r="O275" i="5"/>
  <c r="H275" i="5"/>
  <c r="C275" i="5"/>
  <c r="W275" i="5"/>
  <c r="B275" i="5"/>
  <c r="AJ291" i="3"/>
  <c r="AI291" i="3"/>
  <c r="AL291" i="3"/>
  <c r="AM291" i="3" s="1"/>
  <c r="AJ388" i="3"/>
  <c r="AI388" i="3"/>
  <c r="AL388" i="3"/>
  <c r="AM388" i="3" s="1"/>
  <c r="B437" i="5"/>
  <c r="G437" i="5"/>
  <c r="O437" i="5"/>
  <c r="W437" i="5"/>
  <c r="V437" i="5"/>
  <c r="P437" i="5"/>
  <c r="H437" i="5"/>
  <c r="F437" i="5"/>
  <c r="N437" i="5" s="1"/>
  <c r="C437" i="5"/>
  <c r="C280" i="5"/>
  <c r="W280" i="5"/>
  <c r="V280" i="5"/>
  <c r="O280" i="5"/>
  <c r="B280" i="5"/>
  <c r="G280" i="5"/>
  <c r="F280" i="5"/>
  <c r="N280" i="5" s="1"/>
  <c r="H280" i="5"/>
  <c r="P280" i="5"/>
  <c r="G451" i="5"/>
  <c r="B451" i="5"/>
  <c r="P451" i="5"/>
  <c r="O451" i="5"/>
  <c r="C451" i="5"/>
  <c r="W451" i="5"/>
  <c r="V451" i="5"/>
  <c r="H451" i="5"/>
  <c r="F451" i="5"/>
  <c r="N451" i="5" s="1"/>
  <c r="G464" i="5"/>
  <c r="W464" i="5"/>
  <c r="P464" i="5"/>
  <c r="O464" i="5"/>
  <c r="H464" i="5"/>
  <c r="F464" i="5"/>
  <c r="N464" i="5" s="1"/>
  <c r="C464" i="5"/>
  <c r="B464" i="5"/>
  <c r="V464" i="5"/>
  <c r="G454" i="5"/>
  <c r="H454" i="5"/>
  <c r="W454" i="5"/>
  <c r="V454" i="5"/>
  <c r="P454" i="5"/>
  <c r="O454" i="5"/>
  <c r="B454" i="5"/>
  <c r="F454" i="5"/>
  <c r="N454" i="5" s="1"/>
  <c r="C454" i="5"/>
  <c r="G152" i="5"/>
  <c r="F152" i="5"/>
  <c r="N152" i="5" s="1"/>
  <c r="B152" i="5"/>
  <c r="O152" i="5"/>
  <c r="H152" i="5"/>
  <c r="W152" i="5"/>
  <c r="V152" i="5"/>
  <c r="P152" i="5"/>
  <c r="C152" i="5"/>
  <c r="H181" i="5"/>
  <c r="W181" i="5"/>
  <c r="P181" i="5"/>
  <c r="O181" i="5"/>
  <c r="V181" i="5"/>
  <c r="G181" i="5"/>
  <c r="B181" i="5"/>
  <c r="C181" i="5"/>
  <c r="F181" i="5"/>
  <c r="N181" i="5" s="1"/>
  <c r="G179" i="5"/>
  <c r="F179" i="5"/>
  <c r="N179" i="5" s="1"/>
  <c r="P179" i="5"/>
  <c r="H179" i="5"/>
  <c r="B179" i="5"/>
  <c r="O179" i="5"/>
  <c r="C179" i="5"/>
  <c r="V179" i="5"/>
  <c r="W179" i="5"/>
  <c r="V410" i="5"/>
  <c r="B410" i="5"/>
  <c r="W410" i="5"/>
  <c r="C410" i="5"/>
  <c r="P410" i="5"/>
  <c r="O410" i="5"/>
  <c r="H410" i="5"/>
  <c r="G410" i="5"/>
  <c r="F410" i="5"/>
  <c r="N410" i="5" s="1"/>
  <c r="H319" i="5"/>
  <c r="F319" i="5"/>
  <c r="N319" i="5" s="1"/>
  <c r="C319" i="5"/>
  <c r="B319" i="5"/>
  <c r="P319" i="5"/>
  <c r="O319" i="5"/>
  <c r="G319" i="5"/>
  <c r="W319" i="5"/>
  <c r="V319" i="5"/>
  <c r="H164" i="5"/>
  <c r="G164" i="5"/>
  <c r="P164" i="5"/>
  <c r="F164" i="5"/>
  <c r="N164" i="5" s="1"/>
  <c r="W164" i="5"/>
  <c r="V164" i="5"/>
  <c r="O164" i="5"/>
  <c r="C164" i="5"/>
  <c r="B164" i="5"/>
  <c r="G492" i="5"/>
  <c r="C492" i="5"/>
  <c r="B492" i="5"/>
  <c r="V492" i="5"/>
  <c r="P492" i="5"/>
  <c r="O492" i="5"/>
  <c r="F492" i="5"/>
  <c r="N492" i="5" s="1"/>
  <c r="H492" i="5"/>
  <c r="W492" i="5"/>
  <c r="V340" i="5"/>
  <c r="C340" i="5"/>
  <c r="B340" i="5"/>
  <c r="P340" i="5"/>
  <c r="H340" i="5"/>
  <c r="G340" i="5"/>
  <c r="O340" i="5"/>
  <c r="F340" i="5"/>
  <c r="N340" i="5" s="1"/>
  <c r="W340" i="5"/>
  <c r="V342" i="5"/>
  <c r="O342" i="5"/>
  <c r="G342" i="5"/>
  <c r="F342" i="5"/>
  <c r="N342" i="5" s="1"/>
  <c r="W342" i="5"/>
  <c r="H342" i="5"/>
  <c r="C342" i="5"/>
  <c r="B342" i="5"/>
  <c r="P342" i="5"/>
  <c r="H314" i="5"/>
  <c r="G314" i="5"/>
  <c r="B314" i="5"/>
  <c r="F314" i="5"/>
  <c r="N314" i="5" s="1"/>
  <c r="C314" i="5"/>
  <c r="V314" i="5"/>
  <c r="P314" i="5"/>
  <c r="O314" i="5"/>
  <c r="W314" i="5"/>
  <c r="V350" i="5"/>
  <c r="H350" i="5"/>
  <c r="C350" i="5"/>
  <c r="B350" i="5"/>
  <c r="O350" i="5"/>
  <c r="G350" i="5"/>
  <c r="F350" i="5"/>
  <c r="N350" i="5" s="1"/>
  <c r="W350" i="5"/>
  <c r="P350" i="5"/>
  <c r="V352" i="5"/>
  <c r="H352" i="5"/>
  <c r="P352" i="5"/>
  <c r="O352" i="5"/>
  <c r="B352" i="5"/>
  <c r="C352" i="5"/>
  <c r="G352" i="5"/>
  <c r="F352" i="5"/>
  <c r="N352" i="5" s="1"/>
  <c r="W352" i="5"/>
  <c r="P200" i="5"/>
  <c r="F200" i="5"/>
  <c r="N200" i="5" s="1"/>
  <c r="C200" i="5"/>
  <c r="O200" i="5"/>
  <c r="W200" i="5"/>
  <c r="V200" i="5"/>
  <c r="H200" i="5"/>
  <c r="G200" i="5"/>
  <c r="B200" i="5"/>
  <c r="O50" i="5"/>
  <c r="G50" i="5"/>
  <c r="F50" i="5"/>
  <c r="N50" i="5" s="1"/>
  <c r="H50" i="5"/>
  <c r="C50" i="5"/>
  <c r="B50" i="5"/>
  <c r="W50" i="5"/>
  <c r="V50" i="5"/>
  <c r="P50" i="5"/>
  <c r="O94" i="5"/>
  <c r="V94" i="5"/>
  <c r="C94" i="5"/>
  <c r="B94" i="5"/>
  <c r="P94" i="5"/>
  <c r="H94" i="5"/>
  <c r="G94" i="5"/>
  <c r="F94" i="5"/>
  <c r="N94" i="5" s="1"/>
  <c r="W94" i="5"/>
  <c r="G151" i="5"/>
  <c r="P151" i="5"/>
  <c r="F151" i="5"/>
  <c r="N151" i="5" s="1"/>
  <c r="B151" i="5"/>
  <c r="V151" i="5"/>
  <c r="O151" i="5"/>
  <c r="C151" i="5"/>
  <c r="W151" i="5"/>
  <c r="H151" i="5"/>
  <c r="Y43" i="3"/>
  <c r="AA43" i="3" s="1"/>
  <c r="X43" i="3"/>
  <c r="W43" i="3"/>
  <c r="W183" i="3"/>
  <c r="Y183" i="3"/>
  <c r="AA183" i="3" s="1"/>
  <c r="X183" i="3"/>
  <c r="V431" i="5"/>
  <c r="H431" i="5"/>
  <c r="G431" i="5"/>
  <c r="F431" i="5"/>
  <c r="N431" i="5" s="1"/>
  <c r="C431" i="5"/>
  <c r="P431" i="5"/>
  <c r="O431" i="5"/>
  <c r="B431" i="5"/>
  <c r="W431" i="5"/>
  <c r="G495" i="5"/>
  <c r="B495" i="5"/>
  <c r="V495" i="5"/>
  <c r="P495" i="5"/>
  <c r="O495" i="5"/>
  <c r="F495" i="5"/>
  <c r="N495" i="5" s="1"/>
  <c r="C495" i="5"/>
  <c r="W495" i="5"/>
  <c r="H495" i="5"/>
  <c r="F313" i="5"/>
  <c r="N313" i="5" s="1"/>
  <c r="W313" i="5"/>
  <c r="G313" i="5"/>
  <c r="C313" i="5"/>
  <c r="B313" i="5"/>
  <c r="O313" i="5"/>
  <c r="H313" i="5"/>
  <c r="P313" i="5"/>
  <c r="V313" i="5"/>
  <c r="O301" i="5"/>
  <c r="P301" i="5"/>
  <c r="H301" i="5"/>
  <c r="F301" i="5"/>
  <c r="N301" i="5" s="1"/>
  <c r="C301" i="5"/>
  <c r="B301" i="5"/>
  <c r="W301" i="5"/>
  <c r="V301" i="5"/>
  <c r="G301" i="5"/>
  <c r="V333" i="5"/>
  <c r="B333" i="5"/>
  <c r="P333" i="5"/>
  <c r="O333" i="5"/>
  <c r="G333" i="5"/>
  <c r="F333" i="5"/>
  <c r="N333" i="5" s="1"/>
  <c r="H333" i="5"/>
  <c r="C333" i="5"/>
  <c r="W333" i="5"/>
  <c r="F274" i="5"/>
  <c r="N274" i="5" s="1"/>
  <c r="C274" i="5"/>
  <c r="O274" i="5"/>
  <c r="H274" i="5"/>
  <c r="G274" i="5"/>
  <c r="B274" i="5"/>
  <c r="P274" i="5"/>
  <c r="W274" i="5"/>
  <c r="V274" i="5"/>
  <c r="P248" i="5"/>
  <c r="C248" i="5"/>
  <c r="B248" i="5"/>
  <c r="W248" i="5"/>
  <c r="V248" i="5"/>
  <c r="H248" i="5"/>
  <c r="O248" i="5"/>
  <c r="G248" i="5"/>
  <c r="F248" i="5"/>
  <c r="N248" i="5" s="1"/>
  <c r="W269" i="5"/>
  <c r="V269" i="5"/>
  <c r="P269" i="5"/>
  <c r="O269" i="5"/>
  <c r="H269" i="5"/>
  <c r="F269" i="5"/>
  <c r="N269" i="5" s="1"/>
  <c r="C269" i="5"/>
  <c r="B269" i="5"/>
  <c r="G269" i="5"/>
  <c r="G195" i="5"/>
  <c r="F195" i="5"/>
  <c r="N195" i="5" s="1"/>
  <c r="H195" i="5"/>
  <c r="B195" i="5"/>
  <c r="V195" i="5"/>
  <c r="P195" i="5"/>
  <c r="O195" i="5"/>
  <c r="C195" i="5"/>
  <c r="W195" i="5"/>
  <c r="G158" i="5"/>
  <c r="F158" i="5"/>
  <c r="N158" i="5" s="1"/>
  <c r="H158" i="5"/>
  <c r="C158" i="5"/>
  <c r="B158" i="5"/>
  <c r="W158" i="5"/>
  <c r="P158" i="5"/>
  <c r="O158" i="5"/>
  <c r="V158" i="5"/>
  <c r="O139" i="5"/>
  <c r="H139" i="5"/>
  <c r="W139" i="5"/>
  <c r="V139" i="5"/>
  <c r="P139" i="5"/>
  <c r="F139" i="5"/>
  <c r="N139" i="5" s="1"/>
  <c r="C139" i="5"/>
  <c r="G139" i="5"/>
  <c r="B139" i="5"/>
  <c r="F194" i="5"/>
  <c r="N194" i="5" s="1"/>
  <c r="C194" i="5"/>
  <c r="W194" i="5"/>
  <c r="G194" i="5"/>
  <c r="B194" i="5"/>
  <c r="V194" i="5"/>
  <c r="H194" i="5"/>
  <c r="O194" i="5"/>
  <c r="P194" i="5"/>
  <c r="V217" i="5"/>
  <c r="W217" i="5"/>
  <c r="O217" i="5"/>
  <c r="B217" i="5"/>
  <c r="H217" i="5"/>
  <c r="G217" i="5"/>
  <c r="F217" i="5"/>
  <c r="N217" i="5" s="1"/>
  <c r="C217" i="5"/>
  <c r="P217" i="5"/>
  <c r="O24" i="5"/>
  <c r="H24" i="5"/>
  <c r="G24" i="5"/>
  <c r="F24" i="5"/>
  <c r="N24" i="5" s="1"/>
  <c r="B24" i="5"/>
  <c r="W24" i="5"/>
  <c r="V24" i="5"/>
  <c r="C24" i="5"/>
  <c r="P24" i="5"/>
  <c r="Y404" i="3"/>
  <c r="AA404" i="3" s="1"/>
  <c r="X404" i="3"/>
  <c r="W404" i="3"/>
  <c r="W288" i="3"/>
  <c r="Y288" i="3"/>
  <c r="AA288" i="3" s="1"/>
  <c r="X288" i="3"/>
  <c r="Y485" i="3"/>
  <c r="AA485" i="3" s="1"/>
  <c r="X485" i="3"/>
  <c r="W485" i="3"/>
  <c r="W294" i="3"/>
  <c r="Y294" i="3"/>
  <c r="AA294" i="3" s="1"/>
  <c r="X294" i="3"/>
  <c r="Y11" i="3"/>
  <c r="AA11" i="3" s="1"/>
  <c r="X11" i="3"/>
  <c r="W11" i="3"/>
  <c r="AL116" i="3"/>
  <c r="AM116" i="3" s="1"/>
  <c r="AI116" i="3"/>
  <c r="AJ116" i="3"/>
  <c r="Y355" i="3"/>
  <c r="AA355" i="3" s="1"/>
  <c r="W355" i="3"/>
  <c r="X355" i="3"/>
  <c r="Y486" i="3"/>
  <c r="AA486" i="3" s="1"/>
  <c r="X486" i="3"/>
  <c r="W486" i="3"/>
  <c r="X186" i="3"/>
  <c r="W186" i="3"/>
  <c r="Y186" i="3"/>
  <c r="AA186" i="3" s="1"/>
  <c r="W161" i="3"/>
  <c r="Y161" i="3"/>
  <c r="AA161" i="3" s="1"/>
  <c r="X161" i="3"/>
  <c r="X363" i="3"/>
  <c r="W363" i="3"/>
  <c r="Y363" i="3"/>
  <c r="AA363" i="3" s="1"/>
  <c r="Y253" i="3"/>
  <c r="AA253" i="3" s="1"/>
  <c r="X253" i="3"/>
  <c r="W253" i="3"/>
  <c r="X332" i="3"/>
  <c r="W332" i="3"/>
  <c r="Y332" i="3"/>
  <c r="AA332" i="3" s="1"/>
  <c r="Y139" i="3"/>
  <c r="AA139" i="3" s="1"/>
  <c r="X139" i="3"/>
  <c r="W139" i="3"/>
  <c r="AI371" i="3"/>
  <c r="AL371" i="3"/>
  <c r="AM371" i="3" s="1"/>
  <c r="AJ371" i="3"/>
  <c r="AL235" i="3"/>
  <c r="AM235" i="3" s="1"/>
  <c r="AJ235" i="3"/>
  <c r="AI235" i="3"/>
  <c r="AI497" i="3"/>
  <c r="AJ497" i="3"/>
  <c r="AL497" i="3"/>
  <c r="AM497" i="3" s="1"/>
  <c r="Y415" i="3"/>
  <c r="AA415" i="3" s="1"/>
  <c r="X415" i="3"/>
  <c r="W415" i="3"/>
  <c r="X177" i="3"/>
  <c r="W177" i="3"/>
  <c r="Y177" i="3"/>
  <c r="AA177" i="3" s="1"/>
  <c r="AI437" i="3"/>
  <c r="AJ437" i="3"/>
  <c r="AL437" i="3"/>
  <c r="AM437" i="3" s="1"/>
  <c r="Y226" i="3"/>
  <c r="AA226" i="3" s="1"/>
  <c r="X226" i="3"/>
  <c r="W226" i="3"/>
  <c r="Y417" i="3"/>
  <c r="AA417" i="3" s="1"/>
  <c r="X417" i="3"/>
  <c r="W417" i="3"/>
  <c r="AI70" i="3"/>
  <c r="AL70" i="3"/>
  <c r="AM70" i="3" s="1"/>
  <c r="AJ70" i="3"/>
  <c r="Y438" i="3"/>
  <c r="AA438" i="3" s="1"/>
  <c r="X438" i="3"/>
  <c r="W438" i="3"/>
  <c r="Y91" i="3"/>
  <c r="AA91" i="3" s="1"/>
  <c r="X91" i="3"/>
  <c r="W91" i="3"/>
  <c r="AL68" i="3"/>
  <c r="AM68" i="3" s="1"/>
  <c r="AJ68" i="3"/>
  <c r="AI68" i="3"/>
  <c r="Y39" i="3"/>
  <c r="AA39" i="3" s="1"/>
  <c r="X39" i="3"/>
  <c r="W39" i="3"/>
  <c r="Y225" i="3"/>
  <c r="AA225" i="3" s="1"/>
  <c r="X225" i="3"/>
  <c r="W225" i="3"/>
  <c r="AL41" i="3"/>
  <c r="AM41" i="3" s="1"/>
  <c r="AI41" i="3"/>
  <c r="AJ41" i="3"/>
  <c r="Y37" i="3"/>
  <c r="AA37" i="3" s="1"/>
  <c r="X37" i="3"/>
  <c r="W37" i="3"/>
  <c r="AL222" i="3" l="1"/>
  <c r="AM222" i="3" s="1"/>
  <c r="AL155" i="3"/>
  <c r="AM155" i="3" s="1"/>
  <c r="AI155" i="3"/>
  <c r="AL215" i="3"/>
  <c r="AM215" i="3" s="1"/>
  <c r="AJ240" i="3"/>
  <c r="AI240" i="3"/>
  <c r="AL385" i="3"/>
  <c r="AM385" i="3" s="1"/>
  <c r="AI85" i="3"/>
  <c r="AJ73" i="3"/>
  <c r="AJ85" i="3"/>
  <c r="AI73" i="3"/>
  <c r="AL373" i="3"/>
  <c r="AM373" i="3" s="1"/>
  <c r="AJ154" i="3"/>
  <c r="AJ373" i="3"/>
  <c r="AI222" i="3"/>
  <c r="AL188" i="3"/>
  <c r="AM188" i="3" s="1"/>
  <c r="AJ188" i="3"/>
  <c r="AI188" i="3"/>
  <c r="AI267" i="3"/>
  <c r="AL267" i="3"/>
  <c r="AM267" i="3" s="1"/>
  <c r="AJ267" i="3"/>
  <c r="AJ148" i="3"/>
  <c r="AL148" i="3"/>
  <c r="AM148" i="3" s="1"/>
  <c r="AI148" i="3"/>
  <c r="J2" i="4"/>
  <c r="AL114" i="3"/>
  <c r="AM114" i="3" s="1"/>
  <c r="AI114" i="3"/>
  <c r="AJ114" i="3"/>
  <c r="AJ227" i="3"/>
  <c r="AI227" i="3"/>
  <c r="AL227" i="3"/>
  <c r="AM227" i="3" s="1"/>
  <c r="AL212" i="3"/>
  <c r="AM212" i="3" s="1"/>
  <c r="AJ212" i="3"/>
  <c r="AI212" i="3"/>
  <c r="AJ439" i="3"/>
  <c r="AL439" i="3"/>
  <c r="AM439" i="3" s="1"/>
  <c r="AJ462" i="3"/>
  <c r="AL462" i="3"/>
  <c r="AM462" i="3" s="1"/>
  <c r="AI462" i="3"/>
  <c r="AJ350" i="3"/>
  <c r="AL350" i="3"/>
  <c r="AM350" i="3" s="1"/>
  <c r="AI350" i="3"/>
  <c r="AI405" i="3"/>
  <c r="AJ405" i="3"/>
  <c r="AL405" i="3"/>
  <c r="AM405" i="3" s="1"/>
  <c r="AL166" i="3"/>
  <c r="AM166" i="3" s="1"/>
  <c r="AJ166" i="3"/>
  <c r="AI166" i="3"/>
  <c r="AJ375" i="3"/>
  <c r="AI375" i="3"/>
  <c r="AL375" i="3"/>
  <c r="AM375" i="3" s="1"/>
  <c r="AL490" i="3"/>
  <c r="AM490" i="3" s="1"/>
  <c r="AJ490" i="3"/>
  <c r="AI490" i="3"/>
  <c r="AL428" i="3"/>
  <c r="AM428" i="3" s="1"/>
  <c r="AJ428" i="3"/>
  <c r="AI428" i="3"/>
  <c r="AI327" i="3"/>
  <c r="AL327" i="3"/>
  <c r="AM327" i="3" s="1"/>
  <c r="AJ327" i="3"/>
  <c r="AL129" i="3"/>
  <c r="AM129" i="3" s="1"/>
  <c r="AJ129" i="3"/>
  <c r="AI129" i="3"/>
  <c r="AJ242" i="3"/>
  <c r="AI242" i="3"/>
  <c r="AL242" i="3"/>
  <c r="AM242" i="3" s="1"/>
  <c r="AI290" i="3"/>
  <c r="AL290" i="3"/>
  <c r="AM290" i="3" s="1"/>
  <c r="AJ290" i="3"/>
  <c r="AI384" i="3"/>
  <c r="AL384" i="3"/>
  <c r="AM384" i="3" s="1"/>
  <c r="AJ384" i="3"/>
  <c r="AJ343" i="3"/>
  <c r="AI343" i="3"/>
  <c r="AL343" i="3"/>
  <c r="AM343" i="3" s="1"/>
  <c r="AL494" i="3"/>
  <c r="AM494" i="3" s="1"/>
  <c r="AJ494" i="3"/>
  <c r="AI494" i="3"/>
  <c r="AI402" i="3"/>
  <c r="AJ402" i="3"/>
  <c r="AL402" i="3"/>
  <c r="AM402" i="3" s="1"/>
  <c r="AL302" i="3"/>
  <c r="AM302" i="3" s="1"/>
  <c r="AI302" i="3"/>
  <c r="AJ302" i="3"/>
  <c r="AJ430" i="3"/>
  <c r="AI430" i="3"/>
  <c r="AL430" i="3"/>
  <c r="AM430" i="3" s="1"/>
  <c r="AI431" i="3"/>
  <c r="AJ431" i="3"/>
  <c r="AL431" i="3"/>
  <c r="AM431" i="3" s="1"/>
  <c r="AI407" i="3"/>
  <c r="AL407" i="3"/>
  <c r="AM407" i="3" s="1"/>
  <c r="AJ407" i="3"/>
  <c r="AI178" i="3"/>
  <c r="AJ178" i="3"/>
  <c r="AL178" i="3"/>
  <c r="AM178" i="3" s="1"/>
  <c r="AL190" i="3"/>
  <c r="AM190" i="3" s="1"/>
  <c r="AJ190" i="3"/>
  <c r="AI190" i="3"/>
  <c r="AJ150" i="3"/>
  <c r="AL150" i="3"/>
  <c r="AM150" i="3" s="1"/>
  <c r="AI150" i="3"/>
  <c r="AL461" i="3"/>
  <c r="AM461" i="3" s="1"/>
  <c r="AL259" i="3"/>
  <c r="AM259" i="3" s="1"/>
  <c r="AJ259" i="3"/>
  <c r="AI259" i="3"/>
  <c r="AL416" i="3"/>
  <c r="AM416" i="3" s="1"/>
  <c r="AI416" i="3"/>
  <c r="AJ416" i="3"/>
  <c r="AI276" i="3"/>
  <c r="AL276" i="3"/>
  <c r="AM276" i="3" s="1"/>
  <c r="AJ276" i="3"/>
  <c r="AL451" i="3"/>
  <c r="AM451" i="3" s="1"/>
  <c r="AI451" i="3"/>
  <c r="AJ451" i="3"/>
  <c r="AL299" i="3"/>
  <c r="AM299" i="3" s="1"/>
  <c r="AJ299" i="3"/>
  <c r="AI299" i="3"/>
  <c r="AL374" i="3"/>
  <c r="AM374" i="3" s="1"/>
  <c r="AJ374" i="3"/>
  <c r="AI374" i="3"/>
  <c r="B7" i="6"/>
  <c r="B9" i="6" s="1"/>
  <c r="L2" i="4"/>
  <c r="AJ11" i="3"/>
  <c r="AI11" i="3"/>
  <c r="AL11" i="3"/>
  <c r="AM11" i="3" s="1"/>
  <c r="AL261" i="3"/>
  <c r="AM261" i="3" s="1"/>
  <c r="AJ261" i="3"/>
  <c r="AI261" i="3"/>
  <c r="AL257" i="3"/>
  <c r="AM257" i="3" s="1"/>
  <c r="AI257" i="3"/>
  <c r="AJ257" i="3"/>
  <c r="AJ438" i="3"/>
  <c r="AL438" i="3"/>
  <c r="AM438" i="3" s="1"/>
  <c r="AI438" i="3"/>
  <c r="AL486" i="3"/>
  <c r="AM486" i="3" s="1"/>
  <c r="AJ486" i="3"/>
  <c r="AI486" i="3"/>
  <c r="AI433" i="3"/>
  <c r="AL433" i="3"/>
  <c r="AM433" i="3" s="1"/>
  <c r="AJ433" i="3"/>
  <c r="AL293" i="3"/>
  <c r="AM293" i="3" s="1"/>
  <c r="AJ293" i="3"/>
  <c r="AI293" i="3"/>
  <c r="AL124" i="3"/>
  <c r="AM124" i="3" s="1"/>
  <c r="AJ124" i="3"/>
  <c r="AI124" i="3"/>
  <c r="AL151" i="3"/>
  <c r="AM151" i="3" s="1"/>
  <c r="AJ151" i="3"/>
  <c r="AI151" i="3"/>
  <c r="AL115" i="3"/>
  <c r="AM115" i="3" s="1"/>
  <c r="AJ115" i="3"/>
  <c r="AI115" i="3"/>
  <c r="AL202" i="3"/>
  <c r="AM202" i="3" s="1"/>
  <c r="AJ202" i="3"/>
  <c r="AI202" i="3"/>
  <c r="AI329" i="3"/>
  <c r="AL329" i="3"/>
  <c r="AM329" i="3" s="1"/>
  <c r="AJ329" i="3"/>
  <c r="AL141" i="3"/>
  <c r="AM141" i="3" s="1"/>
  <c r="AJ141" i="3"/>
  <c r="AI141" i="3"/>
  <c r="AL234" i="3"/>
  <c r="AM234" i="3" s="1"/>
  <c r="AJ234" i="3"/>
  <c r="AI234" i="3"/>
  <c r="AL274" i="3"/>
  <c r="AM274" i="3" s="1"/>
  <c r="AI274" i="3"/>
  <c r="AJ274" i="3"/>
  <c r="AL492" i="3"/>
  <c r="AM492" i="3" s="1"/>
  <c r="AJ492" i="3"/>
  <c r="AI492" i="3"/>
  <c r="AL28" i="3"/>
  <c r="AM28" i="3" s="1"/>
  <c r="AJ28" i="3"/>
  <c r="AI28" i="3"/>
  <c r="AL12" i="3"/>
  <c r="AM12" i="3" s="1"/>
  <c r="AJ12" i="3"/>
  <c r="AI12" i="3"/>
  <c r="AI181" i="3"/>
  <c r="AL181" i="3"/>
  <c r="AM181" i="3" s="1"/>
  <c r="AJ181" i="3"/>
  <c r="AL376" i="3"/>
  <c r="AM376" i="3" s="1"/>
  <c r="AJ376" i="3"/>
  <c r="AI376" i="3"/>
  <c r="AJ69" i="3"/>
  <c r="AI69" i="3"/>
  <c r="AL69" i="3"/>
  <c r="AM69" i="3" s="1"/>
  <c r="AI387" i="3"/>
  <c r="AJ387" i="3"/>
  <c r="AL387" i="3"/>
  <c r="AM387" i="3" s="1"/>
  <c r="AL496" i="3"/>
  <c r="AM496" i="3" s="1"/>
  <c r="AJ496" i="3"/>
  <c r="AI496" i="3"/>
  <c r="AJ482" i="3"/>
  <c r="AI482" i="3"/>
  <c r="AL482" i="3"/>
  <c r="AM482" i="3" s="1"/>
  <c r="AJ191" i="3"/>
  <c r="AI191" i="3"/>
  <c r="AL191" i="3"/>
  <c r="AM191" i="3" s="1"/>
  <c r="AL179" i="3"/>
  <c r="AM179" i="3" s="1"/>
  <c r="AJ179" i="3"/>
  <c r="AI179" i="3"/>
  <c r="AL192" i="3"/>
  <c r="AM192" i="3" s="1"/>
  <c r="AJ192" i="3"/>
  <c r="AI192" i="3"/>
  <c r="AL288" i="3"/>
  <c r="AM288" i="3" s="1"/>
  <c r="AI288" i="3"/>
  <c r="AJ288" i="3"/>
  <c r="AL66" i="3"/>
  <c r="AM66" i="3" s="1"/>
  <c r="AJ66" i="3"/>
  <c r="AI66" i="3"/>
  <c r="AJ342" i="3"/>
  <c r="AI342" i="3"/>
  <c r="AL342" i="3"/>
  <c r="AM342" i="3" s="1"/>
  <c r="AL125" i="3"/>
  <c r="AM125" i="3" s="1"/>
  <c r="AJ125" i="3"/>
  <c r="AI125" i="3"/>
  <c r="AI477" i="3"/>
  <c r="AL477" i="3"/>
  <c r="AM477" i="3" s="1"/>
  <c r="AJ477" i="3"/>
  <c r="AL468" i="3"/>
  <c r="AM468" i="3" s="1"/>
  <c r="AJ468" i="3"/>
  <c r="AI468" i="3"/>
  <c r="AJ340" i="3"/>
  <c r="AI340" i="3"/>
  <c r="AL340" i="3"/>
  <c r="AM340" i="3" s="1"/>
  <c r="AI413" i="3"/>
  <c r="AL413" i="3"/>
  <c r="AM413" i="3" s="1"/>
  <c r="AJ413" i="3"/>
  <c r="AL434" i="3"/>
  <c r="AM434" i="3" s="1"/>
  <c r="AJ434" i="3"/>
  <c r="AI434" i="3"/>
  <c r="AL83" i="3"/>
  <c r="AM83" i="3" s="1"/>
  <c r="AJ83" i="3"/>
  <c r="AI83" i="3"/>
  <c r="AL110" i="3"/>
  <c r="AM110" i="3" s="1"/>
  <c r="AJ110" i="3"/>
  <c r="AI110" i="3"/>
  <c r="AL196" i="3"/>
  <c r="AM196" i="3" s="1"/>
  <c r="AJ196" i="3"/>
  <c r="AI196" i="3"/>
  <c r="AI106" i="3"/>
  <c r="AL106" i="3"/>
  <c r="AM106" i="3" s="1"/>
  <c r="AJ106" i="3"/>
  <c r="AJ418" i="3"/>
  <c r="AL418" i="3"/>
  <c r="AM418" i="3" s="1"/>
  <c r="AI418" i="3"/>
  <c r="AI377" i="3"/>
  <c r="AJ377" i="3"/>
  <c r="AL377" i="3"/>
  <c r="AM377" i="3" s="1"/>
  <c r="AL42" i="3"/>
  <c r="AM42" i="3" s="1"/>
  <c r="AJ42" i="3"/>
  <c r="AI42" i="3"/>
  <c r="E70" i="6"/>
  <c r="C68" i="6"/>
  <c r="A66" i="6"/>
  <c r="F63" i="6"/>
  <c r="D61" i="6"/>
  <c r="B59" i="6"/>
  <c r="G56" i="6"/>
  <c r="E54" i="6"/>
  <c r="C52" i="6"/>
  <c r="A50" i="6"/>
  <c r="F47" i="6"/>
  <c r="D70" i="6"/>
  <c r="B68" i="6"/>
  <c r="G65" i="6"/>
  <c r="E63" i="6"/>
  <c r="C61" i="6"/>
  <c r="A59" i="6"/>
  <c r="F56" i="6"/>
  <c r="D54" i="6"/>
  <c r="B52" i="6"/>
  <c r="G49" i="6"/>
  <c r="C70" i="6"/>
  <c r="A68" i="6"/>
  <c r="F65" i="6"/>
  <c r="D63" i="6"/>
  <c r="B61" i="6"/>
  <c r="G58" i="6"/>
  <c r="E56" i="6"/>
  <c r="C54" i="6"/>
  <c r="A52" i="6"/>
  <c r="F49" i="6"/>
  <c r="D47" i="6"/>
  <c r="B70" i="6"/>
  <c r="G67" i="6"/>
  <c r="E65" i="6"/>
  <c r="C63" i="6"/>
  <c r="A61" i="6"/>
  <c r="F58" i="6"/>
  <c r="D56" i="6"/>
  <c r="B54" i="6"/>
  <c r="G51" i="6"/>
  <c r="E49" i="6"/>
  <c r="C47" i="6"/>
  <c r="E69" i="6"/>
  <c r="C67" i="6"/>
  <c r="A65" i="6"/>
  <c r="F62" i="6"/>
  <c r="D60" i="6"/>
  <c r="B58" i="6"/>
  <c r="G55" i="6"/>
  <c r="E53" i="6"/>
  <c r="C51" i="6"/>
  <c r="A49" i="6"/>
  <c r="F46" i="6"/>
  <c r="F70" i="6"/>
  <c r="A67" i="6"/>
  <c r="A64" i="6"/>
  <c r="C60" i="6"/>
  <c r="C57" i="6"/>
  <c r="F53" i="6"/>
  <c r="E50" i="6"/>
  <c r="B47" i="6"/>
  <c r="A70" i="6"/>
  <c r="G66" i="6"/>
  <c r="G63" i="6"/>
  <c r="B60" i="6"/>
  <c r="B57" i="6"/>
  <c r="D53" i="6"/>
  <c r="D50" i="6"/>
  <c r="A47" i="6"/>
  <c r="G69" i="6"/>
  <c r="F66" i="6"/>
  <c r="B63" i="6"/>
  <c r="A60" i="6"/>
  <c r="A57" i="6"/>
  <c r="C53" i="6"/>
  <c r="C50" i="6"/>
  <c r="G46" i="6"/>
  <c r="F69" i="6"/>
  <c r="E66" i="6"/>
  <c r="A63" i="6"/>
  <c r="G59" i="6"/>
  <c r="C56" i="6"/>
  <c r="B53" i="6"/>
  <c r="B50" i="6"/>
  <c r="E46" i="6"/>
  <c r="D69" i="6"/>
  <c r="D66" i="6"/>
  <c r="G62" i="6"/>
  <c r="F59" i="6"/>
  <c r="B56" i="6"/>
  <c r="A53" i="6"/>
  <c r="D49" i="6"/>
  <c r="D46" i="6"/>
  <c r="C69" i="6"/>
  <c r="C66" i="6"/>
  <c r="E62" i="6"/>
  <c r="E59" i="6"/>
  <c r="A56" i="6"/>
  <c r="G52" i="6"/>
  <c r="C49" i="6"/>
  <c r="C46" i="6"/>
  <c r="B69" i="6"/>
  <c r="B66" i="6"/>
  <c r="D62" i="6"/>
  <c r="D59" i="6"/>
  <c r="F55" i="6"/>
  <c r="F52" i="6"/>
  <c r="B49" i="6"/>
  <c r="B46" i="6"/>
  <c r="D67" i="6"/>
  <c r="C64" i="6"/>
  <c r="F60" i="6"/>
  <c r="E57" i="6"/>
  <c r="A54" i="6"/>
  <c r="G50" i="6"/>
  <c r="D65" i="6"/>
  <c r="C59" i="6"/>
  <c r="E52" i="6"/>
  <c r="E47" i="6"/>
  <c r="C65" i="6"/>
  <c r="E58" i="6"/>
  <c r="D52" i="6"/>
  <c r="A46" i="6"/>
  <c r="B65" i="6"/>
  <c r="D58" i="6"/>
  <c r="F51" i="6"/>
  <c r="G64" i="6"/>
  <c r="C58" i="6"/>
  <c r="E51" i="6"/>
  <c r="F64" i="6"/>
  <c r="A58" i="6"/>
  <c r="D51" i="6"/>
  <c r="D64" i="6"/>
  <c r="F57" i="6"/>
  <c r="A51" i="6"/>
  <c r="G70" i="6"/>
  <c r="B64" i="6"/>
  <c r="D57" i="6"/>
  <c r="F50" i="6"/>
  <c r="A69" i="6"/>
  <c r="C62" i="6"/>
  <c r="E55" i="6"/>
  <c r="G48" i="6"/>
  <c r="G68" i="6"/>
  <c r="B62" i="6"/>
  <c r="D55" i="6"/>
  <c r="F48" i="6"/>
  <c r="E61" i="6"/>
  <c r="G47" i="6"/>
  <c r="G60" i="6"/>
  <c r="E60" i="6"/>
  <c r="G57" i="6"/>
  <c r="F68" i="6"/>
  <c r="A55" i="6"/>
  <c r="E68" i="6"/>
  <c r="G54" i="6"/>
  <c r="D68" i="6"/>
  <c r="F54" i="6"/>
  <c r="F67" i="6"/>
  <c r="G53" i="6"/>
  <c r="E67" i="6"/>
  <c r="B51" i="6"/>
  <c r="E48" i="6"/>
  <c r="D48" i="6"/>
  <c r="C48" i="6"/>
  <c r="B48" i="6"/>
  <c r="A48" i="6"/>
  <c r="C55" i="6"/>
  <c r="B55" i="6"/>
  <c r="B67" i="6"/>
  <c r="E64" i="6"/>
  <c r="A62" i="6"/>
  <c r="G61" i="6"/>
  <c r="F61" i="6"/>
  <c r="V3" i="3"/>
  <c r="AJ86" i="3"/>
  <c r="AI86" i="3"/>
  <c r="AL86" i="3"/>
  <c r="AM86" i="3" s="1"/>
  <c r="AL404" i="3"/>
  <c r="AM404" i="3" s="1"/>
  <c r="AJ404" i="3"/>
  <c r="AI404" i="3"/>
  <c r="AJ96" i="3"/>
  <c r="AI96" i="3"/>
  <c r="AL96" i="3"/>
  <c r="AM96" i="3" s="1"/>
  <c r="AL300" i="3"/>
  <c r="AM300" i="3" s="1"/>
  <c r="AI300" i="3"/>
  <c r="AJ300" i="3"/>
  <c r="AI489" i="3"/>
  <c r="AL489" i="3"/>
  <c r="AM489" i="3" s="1"/>
  <c r="AJ489" i="3"/>
  <c r="AL159" i="3"/>
  <c r="AM159" i="3" s="1"/>
  <c r="AJ159" i="3"/>
  <c r="AI159" i="3"/>
  <c r="AL226" i="3"/>
  <c r="AM226" i="3" s="1"/>
  <c r="AI226" i="3"/>
  <c r="AJ226" i="3"/>
  <c r="AL176" i="3"/>
  <c r="AM176" i="3" s="1"/>
  <c r="AJ176" i="3"/>
  <c r="AI176" i="3"/>
  <c r="AI344" i="3"/>
  <c r="AL344" i="3"/>
  <c r="AM344" i="3" s="1"/>
  <c r="AJ344" i="3"/>
  <c r="AI94" i="3"/>
  <c r="AL94" i="3"/>
  <c r="AM94" i="3" s="1"/>
  <c r="AJ94" i="3"/>
  <c r="AL255" i="3"/>
  <c r="AM255" i="3" s="1"/>
  <c r="AI255" i="3"/>
  <c r="AJ255" i="3"/>
  <c r="AI415" i="3"/>
  <c r="AL415" i="3"/>
  <c r="AM415" i="3" s="1"/>
  <c r="AJ415" i="3"/>
  <c r="AI351" i="3"/>
  <c r="AJ351" i="3"/>
  <c r="AL351" i="3"/>
  <c r="AM351" i="3" s="1"/>
  <c r="AL128" i="3"/>
  <c r="AM128" i="3" s="1"/>
  <c r="AJ128" i="3"/>
  <c r="AI128" i="3"/>
  <c r="AL160" i="3"/>
  <c r="AM160" i="3" s="1"/>
  <c r="AJ160" i="3"/>
  <c r="AI160" i="3"/>
  <c r="AJ334" i="3"/>
  <c r="AL334" i="3"/>
  <c r="AM334" i="3" s="1"/>
  <c r="AI334" i="3"/>
  <c r="AL74" i="3"/>
  <c r="AM74" i="3" s="1"/>
  <c r="AJ74" i="3"/>
  <c r="AI74" i="3"/>
  <c r="AL53" i="3"/>
  <c r="AM53" i="3" s="1"/>
  <c r="AI53" i="3"/>
  <c r="AJ53" i="3"/>
  <c r="AL238" i="3"/>
  <c r="AM238" i="3" s="1"/>
  <c r="AJ238" i="3"/>
  <c r="AI238" i="3"/>
  <c r="AL101" i="3"/>
  <c r="AM101" i="3" s="1"/>
  <c r="AJ101" i="3"/>
  <c r="AI101" i="3"/>
  <c r="AL250" i="3"/>
  <c r="AM250" i="3" s="1"/>
  <c r="AJ250" i="3"/>
  <c r="AI250" i="3"/>
  <c r="AL424" i="3"/>
  <c r="AM424" i="3" s="1"/>
  <c r="AJ424" i="3"/>
  <c r="AI424" i="3"/>
  <c r="AL34" i="3"/>
  <c r="AM34" i="3" s="1"/>
  <c r="AJ34" i="3"/>
  <c r="AI34" i="3"/>
  <c r="AL76" i="3"/>
  <c r="AM76" i="3" s="1"/>
  <c r="AJ76" i="3"/>
  <c r="AI76" i="3"/>
  <c r="AL208" i="3"/>
  <c r="AM208" i="3" s="1"/>
  <c r="AJ208" i="3"/>
  <c r="AI208" i="3"/>
  <c r="AL338" i="3"/>
  <c r="AM338" i="3" s="1"/>
  <c r="AJ338" i="3"/>
  <c r="AI338" i="3"/>
  <c r="AJ201" i="3"/>
  <c r="AI201" i="3"/>
  <c r="AL201" i="3"/>
  <c r="AM201" i="3" s="1"/>
  <c r="AI394" i="3"/>
  <c r="AJ394" i="3"/>
  <c r="AL394" i="3"/>
  <c r="AM394" i="3" s="1"/>
  <c r="AL251" i="3"/>
  <c r="AM251" i="3" s="1"/>
  <c r="AJ251" i="3"/>
  <c r="AI251" i="3"/>
  <c r="AI348" i="3"/>
  <c r="AL348" i="3"/>
  <c r="AM348" i="3" s="1"/>
  <c r="AJ348" i="3"/>
  <c r="AI401" i="3"/>
  <c r="AL401" i="3"/>
  <c r="AM401" i="3" s="1"/>
  <c r="AJ401" i="3"/>
  <c r="AI169" i="3"/>
  <c r="AL169" i="3"/>
  <c r="AM169" i="3" s="1"/>
  <c r="AJ169" i="3"/>
  <c r="AL480" i="3"/>
  <c r="AM480" i="3" s="1"/>
  <c r="AJ480" i="3"/>
  <c r="AI480" i="3"/>
  <c r="AL200" i="3"/>
  <c r="AM200" i="3" s="1"/>
  <c r="AJ200" i="3"/>
  <c r="AI200" i="3"/>
  <c r="AL206" i="3"/>
  <c r="AM206" i="3" s="1"/>
  <c r="AJ206" i="3"/>
  <c r="AI206" i="3"/>
  <c r="AL224" i="3"/>
  <c r="AM224" i="3" s="1"/>
  <c r="AI224" i="3"/>
  <c r="AJ224" i="3"/>
  <c r="AI445" i="3"/>
  <c r="AL445" i="3"/>
  <c r="AM445" i="3" s="1"/>
  <c r="AJ445" i="3"/>
  <c r="AI295" i="3"/>
  <c r="AJ295" i="3"/>
  <c r="AL295" i="3"/>
  <c r="AM295" i="3" s="1"/>
  <c r="AI459" i="3"/>
  <c r="AL459" i="3"/>
  <c r="AM459" i="3" s="1"/>
  <c r="AJ459" i="3"/>
  <c r="AL40" i="3"/>
  <c r="AM40" i="3" s="1"/>
  <c r="AJ40" i="3"/>
  <c r="AI40" i="3"/>
  <c r="AJ177" i="3"/>
  <c r="AI177" i="3"/>
  <c r="AL177" i="3"/>
  <c r="AM177" i="3" s="1"/>
  <c r="AI355" i="3"/>
  <c r="AL355" i="3"/>
  <c r="AM355" i="3" s="1"/>
  <c r="AJ355" i="3"/>
  <c r="AL61" i="3"/>
  <c r="AM61" i="3" s="1"/>
  <c r="AI61" i="3"/>
  <c r="AJ61" i="3"/>
  <c r="AL256" i="3"/>
  <c r="AM256" i="3" s="1"/>
  <c r="AI256" i="3"/>
  <c r="AJ256" i="3"/>
  <c r="AI333" i="3"/>
  <c r="AL333" i="3"/>
  <c r="AM333" i="3" s="1"/>
  <c r="AJ333" i="3"/>
  <c r="AL78" i="3"/>
  <c r="AM78" i="3" s="1"/>
  <c r="AI78" i="3"/>
  <c r="AJ78" i="3"/>
  <c r="AI379" i="3"/>
  <c r="AL379" i="3"/>
  <c r="AM379" i="3" s="1"/>
  <c r="AJ379" i="3"/>
  <c r="AJ273" i="3"/>
  <c r="AI273" i="3"/>
  <c r="AL273" i="3"/>
  <c r="AM273" i="3" s="1"/>
  <c r="AL464" i="3"/>
  <c r="AM464" i="3" s="1"/>
  <c r="AI464" i="3"/>
  <c r="AJ464" i="3"/>
  <c r="AI109" i="3"/>
  <c r="AL109" i="3"/>
  <c r="AM109" i="3" s="1"/>
  <c r="AJ109" i="3"/>
  <c r="AL214" i="3"/>
  <c r="AM214" i="3" s="1"/>
  <c r="AJ214" i="3"/>
  <c r="AI214" i="3"/>
  <c r="AJ13" i="3"/>
  <c r="AI13" i="3"/>
  <c r="AL13" i="3"/>
  <c r="AM13" i="3" s="1"/>
  <c r="AI361" i="3"/>
  <c r="AJ361" i="3"/>
  <c r="AL361" i="3"/>
  <c r="AM361" i="3" s="1"/>
  <c r="AL252" i="3"/>
  <c r="AM252" i="3" s="1"/>
  <c r="AI252" i="3"/>
  <c r="AJ252" i="3"/>
  <c r="AI183" i="3"/>
  <c r="AJ183" i="3"/>
  <c r="AL183" i="3"/>
  <c r="AM183" i="3" s="1"/>
  <c r="AJ67" i="3"/>
  <c r="AI67" i="3"/>
  <c r="AL67" i="3"/>
  <c r="AM67" i="3" s="1"/>
  <c r="AL161" i="3"/>
  <c r="AM161" i="3" s="1"/>
  <c r="AI161" i="3"/>
  <c r="AJ161" i="3"/>
  <c r="AJ305" i="3"/>
  <c r="AI305" i="3"/>
  <c r="AL305" i="3"/>
  <c r="AM305" i="3" s="1"/>
  <c r="AJ225" i="3"/>
  <c r="AI225" i="3"/>
  <c r="AL225" i="3"/>
  <c r="AM225" i="3" s="1"/>
  <c r="AI253" i="3"/>
  <c r="AL253" i="3"/>
  <c r="AM253" i="3" s="1"/>
  <c r="AJ253" i="3"/>
  <c r="AJ99" i="3"/>
  <c r="AI99" i="3"/>
  <c r="AL99" i="3"/>
  <c r="AM99" i="3" s="1"/>
  <c r="AI425" i="3"/>
  <c r="AL425" i="3"/>
  <c r="AM425" i="3" s="1"/>
  <c r="AJ425" i="3"/>
  <c r="AL254" i="3"/>
  <c r="AM254" i="3" s="1"/>
  <c r="AJ254" i="3"/>
  <c r="AI254" i="3"/>
  <c r="AJ474" i="3"/>
  <c r="AI474" i="3"/>
  <c r="AL474" i="3"/>
  <c r="AM474" i="3" s="1"/>
  <c r="AJ23" i="3"/>
  <c r="AI23" i="3"/>
  <c r="AL23" i="3"/>
  <c r="AM23" i="3" s="1"/>
  <c r="AI427" i="3"/>
  <c r="AL427" i="3"/>
  <c r="AM427" i="3" s="1"/>
  <c r="AJ427" i="3"/>
  <c r="AI381" i="3"/>
  <c r="AL381" i="3"/>
  <c r="AM381" i="3" s="1"/>
  <c r="AJ381" i="3"/>
  <c r="AL198" i="3"/>
  <c r="AM198" i="3" s="1"/>
  <c r="AJ198" i="3"/>
  <c r="AI198" i="3"/>
  <c r="AL143" i="3"/>
  <c r="AM143" i="3" s="1"/>
  <c r="AJ143" i="3"/>
  <c r="AI143" i="3"/>
  <c r="AL5" i="3"/>
  <c r="AM5" i="3" s="1"/>
  <c r="AI5" i="3"/>
  <c r="AJ5" i="3"/>
  <c r="AI345" i="3"/>
  <c r="AL345" i="3"/>
  <c r="AM345" i="3" s="1"/>
  <c r="AJ345" i="3"/>
  <c r="AJ55" i="3"/>
  <c r="AI55" i="3"/>
  <c r="AL55" i="3"/>
  <c r="AM55" i="3" s="1"/>
  <c r="W2" i="3"/>
  <c r="X2" i="3"/>
  <c r="AL132" i="3"/>
  <c r="AM132" i="3" s="1"/>
  <c r="AJ132" i="3"/>
  <c r="AI132" i="3"/>
  <c r="AL108" i="3"/>
  <c r="AM108" i="3" s="1"/>
  <c r="AI108" i="3"/>
  <c r="AJ108" i="3"/>
  <c r="AJ104" i="3"/>
  <c r="AL104" i="3"/>
  <c r="AM104" i="3" s="1"/>
  <c r="AI104" i="3"/>
  <c r="AJ285" i="3"/>
  <c r="AI285" i="3"/>
  <c r="AL285" i="3"/>
  <c r="AM285" i="3" s="1"/>
  <c r="AL4" i="3"/>
  <c r="AM4" i="3" s="1"/>
  <c r="AJ4" i="3"/>
  <c r="AI4" i="3"/>
  <c r="AI357" i="3"/>
  <c r="AJ357" i="3"/>
  <c r="AL357" i="3"/>
  <c r="AM357" i="3" s="1"/>
  <c r="AL279" i="3"/>
  <c r="AM279" i="3" s="1"/>
  <c r="AI279" i="3"/>
  <c r="AJ279" i="3"/>
  <c r="AL368" i="3"/>
  <c r="AM368" i="3" s="1"/>
  <c r="AI368" i="3"/>
  <c r="AJ368" i="3"/>
  <c r="AL140" i="3"/>
  <c r="AM140" i="3" s="1"/>
  <c r="AI140" i="3"/>
  <c r="AJ140" i="3"/>
  <c r="AI319" i="3"/>
  <c r="AL319" i="3"/>
  <c r="AM319" i="3" s="1"/>
  <c r="AJ319" i="3"/>
  <c r="AL142" i="3"/>
  <c r="AM142" i="3" s="1"/>
  <c r="AJ142" i="3"/>
  <c r="AI142" i="3"/>
  <c r="AL410" i="3"/>
  <c r="AM410" i="3" s="1"/>
  <c r="AJ410" i="3"/>
  <c r="AI410" i="3"/>
  <c r="AJ71" i="3"/>
  <c r="AI71" i="3"/>
  <c r="AL71" i="3"/>
  <c r="AM71" i="3" s="1"/>
  <c r="AI363" i="3"/>
  <c r="AJ363" i="3"/>
  <c r="AL363" i="3"/>
  <c r="AM363" i="3" s="1"/>
  <c r="AL318" i="3"/>
  <c r="AM318" i="3" s="1"/>
  <c r="AJ318" i="3"/>
  <c r="AI318" i="3"/>
  <c r="AL135" i="3"/>
  <c r="AM135" i="3" s="1"/>
  <c r="AJ135" i="3"/>
  <c r="AI135" i="3"/>
  <c r="AJ478" i="3"/>
  <c r="AI478" i="3"/>
  <c r="AL478" i="3"/>
  <c r="AM478" i="3" s="1"/>
  <c r="AJ39" i="3"/>
  <c r="AI39" i="3"/>
  <c r="AL39" i="3"/>
  <c r="AM39" i="3" s="1"/>
  <c r="AL266" i="3"/>
  <c r="AM266" i="3" s="1"/>
  <c r="AI266" i="3"/>
  <c r="AJ266" i="3"/>
  <c r="AJ35" i="3"/>
  <c r="AI35" i="3"/>
  <c r="AL35" i="3"/>
  <c r="AM35" i="3" s="1"/>
  <c r="AI309" i="3"/>
  <c r="AL309" i="3"/>
  <c r="AM309" i="3" s="1"/>
  <c r="AJ309" i="3"/>
  <c r="AI364" i="3"/>
  <c r="AL364" i="3"/>
  <c r="AM364" i="3" s="1"/>
  <c r="AJ364" i="3"/>
  <c r="AL346" i="3"/>
  <c r="AM346" i="3" s="1"/>
  <c r="AJ346" i="3"/>
  <c r="AI346" i="3"/>
  <c r="AJ307" i="3"/>
  <c r="AI307" i="3"/>
  <c r="AL307" i="3"/>
  <c r="AM307" i="3" s="1"/>
  <c r="AJ119" i="3"/>
  <c r="AI119" i="3"/>
  <c r="AL119" i="3"/>
  <c r="AM119" i="3" s="1"/>
  <c r="AI479" i="3"/>
  <c r="AL479" i="3"/>
  <c r="AM479" i="3" s="1"/>
  <c r="AJ479" i="3"/>
  <c r="AL298" i="3"/>
  <c r="AM298" i="3" s="1"/>
  <c r="AJ298" i="3"/>
  <c r="AI298" i="3"/>
  <c r="AJ54" i="3"/>
  <c r="AI54" i="3"/>
  <c r="AL54" i="3"/>
  <c r="AM54" i="3" s="1"/>
  <c r="AL8" i="3"/>
  <c r="AM8" i="3" s="1"/>
  <c r="AJ8" i="3"/>
  <c r="AI8" i="3"/>
  <c r="AI389" i="3"/>
  <c r="AJ389" i="3"/>
  <c r="AL389" i="3"/>
  <c r="AM389" i="3" s="1"/>
  <c r="AI473" i="3"/>
  <c r="AL473" i="3"/>
  <c r="AM473" i="3" s="1"/>
  <c r="AJ473" i="3"/>
  <c r="AJ360" i="3"/>
  <c r="AL360" i="3"/>
  <c r="AM360" i="3" s="1"/>
  <c r="AI360" i="3"/>
  <c r="AL45" i="3"/>
  <c r="AM45" i="3" s="1"/>
  <c r="AJ45" i="3"/>
  <c r="AI45" i="3"/>
  <c r="AL15" i="3"/>
  <c r="AM15" i="3" s="1"/>
  <c r="AJ15" i="3"/>
  <c r="AI15" i="3"/>
  <c r="AL292" i="3"/>
  <c r="AM292" i="3" s="1"/>
  <c r="AI292" i="3"/>
  <c r="AJ292" i="3"/>
  <c r="AI495" i="3"/>
  <c r="AL495" i="3"/>
  <c r="AM495" i="3" s="1"/>
  <c r="AJ495" i="3"/>
  <c r="AL149" i="3"/>
  <c r="AM149" i="3" s="1"/>
  <c r="AI149" i="3"/>
  <c r="AJ149" i="3"/>
  <c r="AL62" i="3"/>
  <c r="AM62" i="3" s="1"/>
  <c r="AI62" i="3"/>
  <c r="AJ62" i="3"/>
  <c r="AL31" i="3"/>
  <c r="AM31" i="3" s="1"/>
  <c r="AJ31" i="3"/>
  <c r="AI31" i="3"/>
  <c r="AL93" i="3"/>
  <c r="AM93" i="3" s="1"/>
  <c r="AJ93" i="3"/>
  <c r="AI93" i="3"/>
  <c r="AI421" i="3"/>
  <c r="AJ421" i="3"/>
  <c r="AL421" i="3"/>
  <c r="AM421" i="3" s="1"/>
  <c r="AJ187" i="3"/>
  <c r="AL187" i="3"/>
  <c r="AM187" i="3" s="1"/>
  <c r="AI187" i="3"/>
  <c r="AJ414" i="3"/>
  <c r="AL414" i="3"/>
  <c r="AM414" i="3" s="1"/>
  <c r="AI414" i="3"/>
  <c r="AL223" i="3"/>
  <c r="AM223" i="3" s="1"/>
  <c r="AI223" i="3"/>
  <c r="AJ223" i="3"/>
  <c r="AL229" i="3"/>
  <c r="AM229" i="3" s="1"/>
  <c r="AI229" i="3"/>
  <c r="AJ229" i="3"/>
  <c r="AJ22" i="3"/>
  <c r="AI22" i="3"/>
  <c r="AL22" i="3"/>
  <c r="AM22" i="3" s="1"/>
  <c r="AI60" i="3"/>
  <c r="AL60" i="3"/>
  <c r="AM60" i="3" s="1"/>
  <c r="AJ60" i="3"/>
  <c r="AL95" i="3"/>
  <c r="AM95" i="3" s="1"/>
  <c r="AI95" i="3"/>
  <c r="AJ95" i="3"/>
  <c r="AI409" i="3"/>
  <c r="AJ409" i="3"/>
  <c r="AL409" i="3"/>
  <c r="AM409" i="3" s="1"/>
  <c r="AL120" i="3"/>
  <c r="AM120" i="3" s="1"/>
  <c r="AJ120" i="3"/>
  <c r="AI120" i="3"/>
  <c r="AI102" i="3"/>
  <c r="AJ102" i="3"/>
  <c r="AL102" i="3"/>
  <c r="AM102" i="3" s="1"/>
  <c r="AL156" i="3"/>
  <c r="AM156" i="3" s="1"/>
  <c r="AJ156" i="3"/>
  <c r="AI156" i="3"/>
  <c r="AI447" i="3"/>
  <c r="AL447" i="3"/>
  <c r="AM447" i="3" s="1"/>
  <c r="AJ447" i="3"/>
  <c r="AI426" i="3"/>
  <c r="AJ426" i="3"/>
  <c r="AL426" i="3"/>
  <c r="AM426" i="3" s="1"/>
  <c r="AL171" i="3"/>
  <c r="AM171" i="3" s="1"/>
  <c r="AJ171" i="3"/>
  <c r="AI171" i="3"/>
  <c r="AL484" i="3"/>
  <c r="AM484" i="3" s="1"/>
  <c r="AJ484" i="3"/>
  <c r="AI484" i="3"/>
  <c r="AL182" i="3"/>
  <c r="AM182" i="3" s="1"/>
  <c r="AJ182" i="3"/>
  <c r="AI182" i="3"/>
  <c r="AL442" i="3"/>
  <c r="AM442" i="3" s="1"/>
  <c r="AJ442" i="3"/>
  <c r="AI442" i="3"/>
  <c r="AI429" i="3"/>
  <c r="AL429" i="3"/>
  <c r="AM429" i="3" s="1"/>
  <c r="AJ429" i="3"/>
  <c r="AI203" i="3"/>
  <c r="AJ203" i="3"/>
  <c r="AL203" i="3"/>
  <c r="AM203" i="3" s="1"/>
  <c r="AJ283" i="3"/>
  <c r="AI283" i="3"/>
  <c r="AL283" i="3"/>
  <c r="AM283" i="3" s="1"/>
  <c r="AL65" i="3"/>
  <c r="AM65" i="3" s="1"/>
  <c r="AJ65" i="3"/>
  <c r="AI65" i="3"/>
  <c r="AI453" i="3"/>
  <c r="AJ453" i="3"/>
  <c r="AL453" i="3"/>
  <c r="AM453" i="3" s="1"/>
  <c r="AI367" i="3"/>
  <c r="AJ367" i="3"/>
  <c r="AL367" i="3"/>
  <c r="AM367" i="3" s="1"/>
  <c r="AI411" i="3"/>
  <c r="AJ411" i="3"/>
  <c r="AL411" i="3"/>
  <c r="AM411" i="3" s="1"/>
  <c r="AL278" i="3"/>
  <c r="AM278" i="3" s="1"/>
  <c r="AI278" i="3"/>
  <c r="AJ278" i="3"/>
  <c r="AI354" i="3"/>
  <c r="AL354" i="3"/>
  <c r="AM354" i="3" s="1"/>
  <c r="AJ354" i="3"/>
  <c r="AL314" i="3"/>
  <c r="AM314" i="3" s="1"/>
  <c r="AI314" i="3"/>
  <c r="AJ314" i="3"/>
  <c r="AL232" i="3"/>
  <c r="AM232" i="3" s="1"/>
  <c r="AJ232" i="3"/>
  <c r="AI232" i="3"/>
  <c r="AL268" i="3"/>
  <c r="AM268" i="3" s="1"/>
  <c r="AJ268" i="3"/>
  <c r="AI268" i="3"/>
  <c r="AL197" i="3"/>
  <c r="AM197" i="3" s="1"/>
  <c r="AI197" i="3"/>
  <c r="AJ197" i="3"/>
  <c r="AL92" i="3"/>
  <c r="AM92" i="3" s="1"/>
  <c r="AJ92" i="3"/>
  <c r="AI92" i="3"/>
  <c r="AL228" i="3"/>
  <c r="AM228" i="3" s="1"/>
  <c r="AJ228" i="3"/>
  <c r="AI228" i="3"/>
  <c r="AL186" i="3"/>
  <c r="AM186" i="3" s="1"/>
  <c r="AJ186" i="3"/>
  <c r="AI186" i="3"/>
  <c r="AL294" i="3"/>
  <c r="AM294" i="3" s="1"/>
  <c r="AI294" i="3"/>
  <c r="AJ294" i="3"/>
  <c r="AL392" i="3"/>
  <c r="AM392" i="3" s="1"/>
  <c r="AJ392" i="3"/>
  <c r="AI392" i="3"/>
  <c r="AI403" i="3"/>
  <c r="AL403" i="3"/>
  <c r="AM403" i="3" s="1"/>
  <c r="AJ403" i="3"/>
  <c r="AJ127" i="3"/>
  <c r="AI127" i="3"/>
  <c r="AL127" i="3"/>
  <c r="AM127" i="3" s="1"/>
  <c r="AI441" i="3"/>
  <c r="AL441" i="3"/>
  <c r="AM441" i="3" s="1"/>
  <c r="AJ441" i="3"/>
  <c r="AI412" i="3"/>
  <c r="AJ412" i="3"/>
  <c r="AL412" i="3"/>
  <c r="AM412" i="3" s="1"/>
  <c r="AL246" i="3"/>
  <c r="AM246" i="3" s="1"/>
  <c r="AJ246" i="3"/>
  <c r="AI246" i="3"/>
  <c r="AL79" i="3"/>
  <c r="AM79" i="3" s="1"/>
  <c r="AJ79" i="3"/>
  <c r="AI79" i="3"/>
  <c r="AJ322" i="3"/>
  <c r="AL322" i="3"/>
  <c r="AM322" i="3" s="1"/>
  <c r="AI322" i="3"/>
  <c r="AI100" i="3"/>
  <c r="AL100" i="3"/>
  <c r="AM100" i="3" s="1"/>
  <c r="AJ100" i="3"/>
  <c r="AI56" i="3"/>
  <c r="AJ56" i="3"/>
  <c r="AL56" i="3"/>
  <c r="AM56" i="3" s="1"/>
  <c r="AL324" i="3"/>
  <c r="AM324" i="3" s="1"/>
  <c r="AJ324" i="3"/>
  <c r="AI324" i="3"/>
  <c r="AI457" i="3"/>
  <c r="AL457" i="3"/>
  <c r="AM457" i="3" s="1"/>
  <c r="AJ457" i="3"/>
  <c r="AL216" i="3"/>
  <c r="AM216" i="3" s="1"/>
  <c r="AI216" i="3"/>
  <c r="AJ216" i="3"/>
  <c r="AI435" i="3"/>
  <c r="AL435" i="3"/>
  <c r="AM435" i="3" s="1"/>
  <c r="AJ435" i="3"/>
  <c r="AL152" i="3"/>
  <c r="AM152" i="3" s="1"/>
  <c r="AJ152" i="3"/>
  <c r="AI152" i="3"/>
  <c r="AL72" i="3"/>
  <c r="AM72" i="3" s="1"/>
  <c r="AJ72" i="3"/>
  <c r="AI72" i="3"/>
  <c r="AJ63" i="3"/>
  <c r="AI63" i="3"/>
  <c r="AL63" i="3"/>
  <c r="AM63" i="3" s="1"/>
  <c r="AL164" i="3"/>
  <c r="AM164" i="3" s="1"/>
  <c r="AJ164" i="3"/>
  <c r="AI164" i="3"/>
  <c r="AL174" i="3"/>
  <c r="AM174" i="3" s="1"/>
  <c r="AI174" i="3"/>
  <c r="AJ174" i="3"/>
  <c r="AL19" i="3"/>
  <c r="AM19" i="3" s="1"/>
  <c r="AJ19" i="3"/>
  <c r="AI19" i="3"/>
  <c r="AL170" i="3"/>
  <c r="AM170" i="3" s="1"/>
  <c r="AJ170" i="3"/>
  <c r="AI170" i="3"/>
  <c r="AI337" i="3"/>
  <c r="AL337" i="3"/>
  <c r="AM337" i="3" s="1"/>
  <c r="AJ337" i="3"/>
  <c r="AL304" i="3"/>
  <c r="AM304" i="3" s="1"/>
  <c r="AJ304" i="3"/>
  <c r="AI304" i="3"/>
  <c r="AI393" i="3"/>
  <c r="AL393" i="3"/>
  <c r="AM393" i="3" s="1"/>
  <c r="AJ393" i="3"/>
  <c r="AI369" i="3"/>
  <c r="AL369" i="3"/>
  <c r="AM369" i="3" s="1"/>
  <c r="AJ369" i="3"/>
  <c r="AL312" i="3"/>
  <c r="AM312" i="3" s="1"/>
  <c r="AJ312" i="3"/>
  <c r="AI312" i="3"/>
  <c r="AJ87" i="3"/>
  <c r="AI87" i="3"/>
  <c r="AL87" i="3"/>
  <c r="AM87" i="3" s="1"/>
  <c r="AL82" i="3"/>
  <c r="AM82" i="3" s="1"/>
  <c r="AI82" i="3"/>
  <c r="AJ82" i="3"/>
  <c r="AL145" i="3"/>
  <c r="AM145" i="3" s="1"/>
  <c r="AI145" i="3"/>
  <c r="AJ145" i="3"/>
  <c r="AL277" i="3"/>
  <c r="AM277" i="3" s="1"/>
  <c r="AJ277" i="3"/>
  <c r="AI277" i="3"/>
  <c r="AL282" i="3"/>
  <c r="AM282" i="3" s="1"/>
  <c r="AJ282" i="3"/>
  <c r="AI282" i="3"/>
  <c r="AL21" i="3"/>
  <c r="AM21" i="3" s="1"/>
  <c r="AJ21" i="3"/>
  <c r="AI21" i="3"/>
  <c r="AI417" i="3"/>
  <c r="AJ417" i="3"/>
  <c r="AL417" i="3"/>
  <c r="AM417" i="3" s="1"/>
  <c r="AJ103" i="3"/>
  <c r="AI103" i="3"/>
  <c r="AL103" i="3"/>
  <c r="AM103" i="3" s="1"/>
  <c r="AL271" i="3"/>
  <c r="AM271" i="3" s="1"/>
  <c r="AJ271" i="3"/>
  <c r="AI271" i="3"/>
  <c r="AL328" i="3"/>
  <c r="AM328" i="3" s="1"/>
  <c r="AJ328" i="3"/>
  <c r="AI328" i="3"/>
  <c r="AL358" i="3"/>
  <c r="AM358" i="3" s="1"/>
  <c r="AI358" i="3"/>
  <c r="AJ358" i="3"/>
  <c r="AL165" i="3"/>
  <c r="AM165" i="3" s="1"/>
  <c r="AJ165" i="3"/>
  <c r="AI165" i="3"/>
  <c r="AI383" i="3"/>
  <c r="AJ383" i="3"/>
  <c r="AL383" i="3"/>
  <c r="AM383" i="3" s="1"/>
  <c r="AI75" i="3"/>
  <c r="AL75" i="3"/>
  <c r="AM75" i="3" s="1"/>
  <c r="AJ75" i="3"/>
  <c r="AJ97" i="3"/>
  <c r="AI97" i="3"/>
  <c r="AL97" i="3"/>
  <c r="AM97" i="3" s="1"/>
  <c r="AL117" i="3"/>
  <c r="AM117" i="3" s="1"/>
  <c r="AJ117" i="3"/>
  <c r="AI117" i="3"/>
  <c r="AL220" i="3"/>
  <c r="AM220" i="3" s="1"/>
  <c r="AI220" i="3"/>
  <c r="AJ220" i="3"/>
  <c r="AL20" i="3"/>
  <c r="AM20" i="3" s="1"/>
  <c r="AJ20" i="3"/>
  <c r="AI20" i="3"/>
  <c r="AI38" i="3"/>
  <c r="AL38" i="3"/>
  <c r="AM38" i="3" s="1"/>
  <c r="AJ38" i="3"/>
  <c r="AL452" i="3"/>
  <c r="AM452" i="3" s="1"/>
  <c r="AJ452" i="3"/>
  <c r="AI452" i="3"/>
  <c r="AL111" i="3"/>
  <c r="AM111" i="3" s="1"/>
  <c r="AI111" i="3"/>
  <c r="AJ111" i="3"/>
  <c r="AL194" i="3"/>
  <c r="AM194" i="3" s="1"/>
  <c r="AJ194" i="3"/>
  <c r="AI194" i="3"/>
  <c r="AI470" i="3"/>
  <c r="AL470" i="3"/>
  <c r="AM470" i="3" s="1"/>
  <c r="AJ470" i="3"/>
  <c r="AL400" i="3"/>
  <c r="AM400" i="3" s="1"/>
  <c r="AJ400" i="3"/>
  <c r="AI400" i="3"/>
  <c r="AI269" i="3"/>
  <c r="AJ269" i="3"/>
  <c r="AL269" i="3"/>
  <c r="AM269" i="3" s="1"/>
  <c r="AL230" i="3"/>
  <c r="AM230" i="3" s="1"/>
  <c r="AJ230" i="3"/>
  <c r="AI230" i="3"/>
  <c r="AI469" i="3"/>
  <c r="AJ469" i="3"/>
  <c r="AL469" i="3"/>
  <c r="AM469" i="3" s="1"/>
  <c r="AL24" i="3"/>
  <c r="AM24" i="3" s="1"/>
  <c r="AJ24" i="3"/>
  <c r="AI24" i="3"/>
  <c r="AL248" i="3"/>
  <c r="AM248" i="3" s="1"/>
  <c r="AJ248" i="3"/>
  <c r="AI248" i="3"/>
  <c r="AI33" i="3"/>
  <c r="AL33" i="3"/>
  <c r="AM33" i="3" s="1"/>
  <c r="AJ33" i="3"/>
  <c r="AL498" i="3"/>
  <c r="AM498" i="3" s="1"/>
  <c r="AI498" i="3"/>
  <c r="AJ498" i="3"/>
  <c r="AL306" i="3"/>
  <c r="AM306" i="3" s="1"/>
  <c r="AI306" i="3"/>
  <c r="AJ306" i="3"/>
  <c r="AL130" i="3"/>
  <c r="AM130" i="3" s="1"/>
  <c r="AJ130" i="3"/>
  <c r="AI130" i="3"/>
  <c r="AL320" i="3"/>
  <c r="AM320" i="3" s="1"/>
  <c r="AJ320" i="3"/>
  <c r="AI320" i="3"/>
  <c r="AI205" i="3"/>
  <c r="AJ205" i="3"/>
  <c r="AL205" i="3"/>
  <c r="AM205" i="3" s="1"/>
  <c r="AL262" i="3"/>
  <c r="AM262" i="3" s="1"/>
  <c r="AJ262" i="3"/>
  <c r="AI262" i="3"/>
  <c r="AL43" i="3"/>
  <c r="AM43" i="3" s="1"/>
  <c r="AJ43" i="3"/>
  <c r="AI43" i="3"/>
  <c r="AL210" i="3"/>
  <c r="AM210" i="3" s="1"/>
  <c r="AI210" i="3"/>
  <c r="AJ210" i="3"/>
  <c r="AL91" i="3"/>
  <c r="AM91" i="3" s="1"/>
  <c r="AJ91" i="3"/>
  <c r="AI91" i="3"/>
  <c r="AI395" i="3"/>
  <c r="AL395" i="3"/>
  <c r="AM395" i="3" s="1"/>
  <c r="AJ395" i="3"/>
  <c r="AL162" i="3"/>
  <c r="AM162" i="3" s="1"/>
  <c r="AI162" i="3"/>
  <c r="AJ162" i="3"/>
  <c r="AJ366" i="3"/>
  <c r="AL366" i="3"/>
  <c r="AM366" i="3" s="1"/>
  <c r="AI366" i="3"/>
  <c r="AL456" i="3"/>
  <c r="AM456" i="3" s="1"/>
  <c r="AI456" i="3"/>
  <c r="AJ456" i="3"/>
  <c r="AL406" i="3"/>
  <c r="AM406" i="3" s="1"/>
  <c r="AJ406" i="3"/>
  <c r="AI406" i="3"/>
  <c r="AJ382" i="3"/>
  <c r="AI382" i="3"/>
  <c r="AL382" i="3"/>
  <c r="AM382" i="3" s="1"/>
  <c r="AL18" i="3"/>
  <c r="AM18" i="3" s="1"/>
  <c r="AJ18" i="3"/>
  <c r="AI18" i="3"/>
  <c r="AL260" i="3"/>
  <c r="AM260" i="3" s="1"/>
  <c r="AI260" i="3"/>
  <c r="AJ260" i="3"/>
  <c r="AJ37" i="3"/>
  <c r="AI37" i="3"/>
  <c r="AL37" i="3"/>
  <c r="AM37" i="3" s="1"/>
  <c r="AI139" i="3"/>
  <c r="AL139" i="3"/>
  <c r="AM139" i="3" s="1"/>
  <c r="AJ139" i="3"/>
  <c r="AI332" i="3"/>
  <c r="AL332" i="3"/>
  <c r="AM332" i="3" s="1"/>
  <c r="AJ332" i="3"/>
  <c r="AI485" i="3"/>
  <c r="AJ485" i="3"/>
  <c r="AL485" i="3"/>
  <c r="AM485" i="3" s="1"/>
  <c r="AI325" i="3"/>
  <c r="AJ325" i="3"/>
  <c r="AL325" i="3"/>
  <c r="AM325" i="3" s="1"/>
  <c r="AL175" i="3"/>
  <c r="AM175" i="3" s="1"/>
  <c r="AI175" i="3"/>
  <c r="AJ175" i="3"/>
  <c r="AJ7" i="3"/>
  <c r="AI7" i="3"/>
  <c r="AL7" i="3"/>
  <c r="AM7" i="3" s="1"/>
  <c r="AL476" i="3"/>
  <c r="AM476" i="3" s="1"/>
  <c r="AI476" i="3"/>
  <c r="AJ476" i="3"/>
  <c r="AJ16" i="3"/>
  <c r="AI16" i="3"/>
  <c r="AL16" i="3"/>
  <c r="AM16" i="3" s="1"/>
  <c r="AI173" i="3"/>
  <c r="AL173" i="3"/>
  <c r="AM173" i="3" s="1"/>
  <c r="AJ173" i="3"/>
  <c r="AL27" i="3"/>
  <c r="AM27" i="3" s="1"/>
  <c r="AJ27" i="3"/>
  <c r="AI27" i="3"/>
  <c r="AL59" i="3"/>
  <c r="AM59" i="3" s="1"/>
  <c r="AJ59" i="3"/>
  <c r="AI59" i="3"/>
  <c r="AL454" i="3"/>
  <c r="AM454" i="3" s="1"/>
  <c r="AI454" i="3"/>
  <c r="AJ454" i="3"/>
  <c r="AL460" i="3"/>
  <c r="AM460" i="3" s="1"/>
  <c r="AI460" i="3"/>
  <c r="AJ460" i="3"/>
  <c r="AI163" i="3"/>
  <c r="AJ163" i="3"/>
  <c r="AL163" i="3"/>
  <c r="AM163" i="3" s="1"/>
  <c r="AL118" i="3"/>
  <c r="AM118" i="3" s="1"/>
  <c r="AJ118" i="3"/>
  <c r="AI118" i="3"/>
  <c r="AL113" i="3"/>
  <c r="AM113" i="3" s="1"/>
  <c r="AI113" i="3"/>
  <c r="AJ113" i="3"/>
  <c r="AL466" i="3"/>
  <c r="AM466" i="3" s="1"/>
  <c r="AJ466" i="3"/>
  <c r="AI466" i="3"/>
  <c r="AL204" i="3"/>
  <c r="AM204" i="3" s="1"/>
  <c r="AI204" i="3"/>
  <c r="AJ204" i="3"/>
  <c r="AL153" i="3"/>
  <c r="AM153" i="3" s="1"/>
  <c r="AI153" i="3"/>
  <c r="AJ153" i="3"/>
  <c r="Y2" i="3" l="1"/>
  <c r="AA2" i="3" s="1"/>
  <c r="AL2" i="3" s="1"/>
  <c r="E18" i="6"/>
  <c r="C74" i="6"/>
  <c r="E74" i="6" s="1"/>
  <c r="G74" i="6" s="1"/>
  <c r="X3" i="3"/>
  <c r="W3" i="3"/>
  <c r="Y3" i="3" l="1"/>
  <c r="AA3" i="3" s="1"/>
  <c r="AI3" i="3" s="1"/>
  <c r="AJ3" i="3"/>
  <c r="E19" i="6"/>
  <c r="C75" i="6"/>
  <c r="E75" i="6" s="1"/>
  <c r="G75" i="6" s="1"/>
  <c r="B100" i="6" s="1"/>
  <c r="AI2" i="3"/>
  <c r="M2" i="4"/>
  <c r="AJ2" i="3"/>
  <c r="B10" i="6" s="1"/>
  <c r="AL3" i="3" l="1"/>
  <c r="AM3" i="3" l="1"/>
  <c r="AM2" i="3"/>
  <c r="N2" i="4" s="1"/>
  <c r="O2" i="4" s="1"/>
  <c r="P2" i="4" s="1"/>
</calcChain>
</file>

<file path=xl/sharedStrings.xml><?xml version="1.0" encoding="utf-8"?>
<sst xmlns="http://schemas.openxmlformats.org/spreadsheetml/2006/main" count="318" uniqueCount="233">
  <si>
    <t>广电计量股权激励个人所得税计算及分期台账（2026版）</t>
  </si>
  <si>
    <t>一、录入顺序</t>
  </si>
  <si>
    <t>先维护计划参数，再逐笔录入激励事件，最后在分期缴税台账登记计划及实际缴税。</t>
  </si>
  <si>
    <t>二、颜色</t>
  </si>
  <si>
    <t>蓝色为人工输入；灰色为公告参数；绿色为公式；红色为异常；黄色为说明。</t>
  </si>
  <si>
    <t>三、年度计税</t>
  </si>
  <si>
    <t>同一员工同一纳税年度的股权激励所得合并计税，按事件日期及事件编号稳定排序逐笔确认新增税额。</t>
  </si>
  <si>
    <t>四、36个月</t>
  </si>
  <si>
    <t>每次事件新增税额独立形成批次，从该事件行权日或解禁日起单独计算36个月。</t>
  </si>
  <si>
    <t>五、限制性股票</t>
  </si>
  <si>
    <t>个人获授总数和个人实际出资必须按员工口径录入，公司802万股绝不能作为个人分母。</t>
  </si>
  <si>
    <t>六、员工主数据</t>
  </si>
  <si>
    <t>先在计划参数表I:J列维护员工编号和姓名；事件明细员工编号可下拉选择，也允许新增后补录主数据。</t>
  </si>
  <si>
    <t>七、分期缴税</t>
  </si>
  <si>
    <t>缴税日期、计划金额和实际金额均可自定义；事件编号或税额批次任填其一，双填时必须指向同一事件。</t>
  </si>
  <si>
    <t>八、其他股权激励</t>
  </si>
  <si>
    <t>选择“其他股权激励”时，只需填写其他需合并股权激励所得，不要求数量和市场价。</t>
  </si>
  <si>
    <t>九、单人测算</t>
  </si>
  <si>
    <t>该页只引用事件明细、年度汇总和分期台账；事件、缴税、批次余额各25行分页，最多20页。</t>
  </si>
  <si>
    <t>十、范围</t>
  </si>
  <si>
    <t>不计算股息红利个人所得税；演示数据仅用于验证公式，不得直接用于申报。</t>
  </si>
  <si>
    <t>十一、保护</t>
  </si>
  <si>
    <t>公式及公告参数已启用无密码保护；需要维护时可在Excel“审阅-撤销工作表保护”后操作。</t>
  </si>
  <si>
    <t>十二、申报</t>
  </si>
  <si>
    <t>36个月缴税以完成主管税务机关备案为前提，最终申报口径以备案及主管税务机关要求为准。</t>
  </si>
  <si>
    <t>演示员工</t>
  </si>
  <si>
    <t>DEMO001，两条事件均标注“仅演示”。</t>
  </si>
  <si>
    <t>图例</t>
  </si>
  <si>
    <t>人工输入</t>
  </si>
  <si>
    <t>公告参数</t>
  </si>
  <si>
    <t>公式结果</t>
  </si>
  <si>
    <t>异常提示</t>
  </si>
  <si>
    <t>参数类别</t>
  </si>
  <si>
    <t>参数名称</t>
  </si>
  <si>
    <t>参数值</t>
  </si>
  <si>
    <t>生效日</t>
  </si>
  <si>
    <t>失效日</t>
  </si>
  <si>
    <t>口径/说明</t>
  </si>
  <si>
    <t>来源公告</t>
  </si>
  <si>
    <t>员工编号</t>
  </si>
  <si>
    <t>姓名</t>
  </si>
  <si>
    <t>基本</t>
  </si>
  <si>
    <t>激励计划</t>
  </si>
  <si>
    <t>2023年股票期权与限制性股票激励计划</t>
  </si>
  <si>
    <t>2023计划</t>
  </si>
  <si>
    <t>2024-035</t>
  </si>
  <si>
    <t>DEMO001</t>
  </si>
  <si>
    <t>股票代码</t>
  </si>
  <si>
    <t>002967</t>
  </si>
  <si>
    <t>广电计量</t>
  </si>
  <si>
    <t>公司公告</t>
  </si>
  <si>
    <t>实际授予</t>
  </si>
  <si>
    <t>股票期权实际授予数量</t>
  </si>
  <si>
    <t>623人；授予决定口径</t>
  </si>
  <si>
    <t>2024-043</t>
  </si>
  <si>
    <t>完成登记</t>
  </si>
  <si>
    <t>股票期权登记数量</t>
  </si>
  <si>
    <t>557人；完成登记口径</t>
  </si>
  <si>
    <t>2024-045</t>
  </si>
  <si>
    <t>限制性股票实际授予数量</t>
  </si>
  <si>
    <t>限制性股票登记数量</t>
  </si>
  <si>
    <t>2024-054</t>
  </si>
  <si>
    <t>限制性股票</t>
  </si>
  <si>
    <t>登记日</t>
  </si>
  <si>
    <t>登记完成日及上市日</t>
  </si>
  <si>
    <t>2024-054及后续公告</t>
  </si>
  <si>
    <t>登记日收盘价</t>
  </si>
  <si>
    <t>深交所2024-08-27今收</t>
  </si>
  <si>
    <t>深交所历史行情</t>
  </si>
  <si>
    <t>授予价格</t>
  </si>
  <si>
    <t>仅用于核对个人实际出资</t>
  </si>
  <si>
    <t>个人口径</t>
  </si>
  <si>
    <t>限制性股票个人分母</t>
  </si>
  <si>
    <t>员工实际登记取得总股数</t>
  </si>
  <si>
    <t>802万股不得作为个人分母</t>
  </si>
  <si>
    <t>国税函〔2009〕461号</t>
  </si>
  <si>
    <t>行权价格</t>
  </si>
  <si>
    <t>股票期权行权价格</t>
  </si>
  <si>
    <t>按事件日自动选择</t>
  </si>
  <si>
    <t>2024-043/045</t>
  </si>
  <si>
    <t>2025-002</t>
  </si>
  <si>
    <t>2025-031</t>
  </si>
  <si>
    <t>按本任务要求内置至该区间</t>
  </si>
  <si>
    <t>2025-060</t>
  </si>
  <si>
    <t>说明</t>
  </si>
  <si>
    <t>员工编号和姓名主数据输入区；可继续新增，事件明细下拉引用本区域。</t>
  </si>
  <si>
    <t>事件编号</t>
  </si>
  <si>
    <t>税额批次</t>
  </si>
  <si>
    <t>权益类型</t>
  </si>
  <si>
    <t>事件日期</t>
  </si>
  <si>
    <t>纳税年度</t>
  </si>
  <si>
    <t>本次行权或解禁数量</t>
  </si>
  <si>
    <t>行权日或解禁日收盘价</t>
  </si>
  <si>
    <t>适用行权或授予价格</t>
  </si>
  <si>
    <t>限制性股票登记日收盘价</t>
  </si>
  <si>
    <t>员工获授限制性股票总数</t>
  </si>
  <si>
    <t>员工实际出资总额</t>
  </si>
  <si>
    <t>其他需合并股权激励所得</t>
  </si>
  <si>
    <t>离职日期</t>
  </si>
  <si>
    <t>备案状态</t>
  </si>
  <si>
    <t>备案日期</t>
  </si>
  <si>
    <t>原始本次所得</t>
  </si>
  <si>
    <t>本次应纳税所得额</t>
  </si>
  <si>
    <t>此前年度累计所得</t>
  </si>
  <si>
    <t>本次事件后年度累计所得</t>
  </si>
  <si>
    <t>税率</t>
  </si>
  <si>
    <t>速算扣除数</t>
  </si>
  <si>
    <t>累计税额</t>
  </si>
  <si>
    <t>此前累计已确认税额</t>
  </si>
  <si>
    <t>本次新增税额</t>
  </si>
  <si>
    <t>本事件纳税义务发生日</t>
  </si>
  <si>
    <t>事件级36个月截止日</t>
  </si>
  <si>
    <t>校验</t>
  </si>
  <si>
    <t>备注</t>
  </si>
  <si>
    <t>员工首次序号</t>
  </si>
  <si>
    <t>员工事件序号</t>
  </si>
  <si>
    <t>员工事件键</t>
  </si>
  <si>
    <t>年度到期键</t>
  </si>
  <si>
    <t>员工到期键</t>
  </si>
  <si>
    <t>批次有效已缴</t>
  </si>
  <si>
    <t>批次未缴</t>
  </si>
  <si>
    <t>年度未缴到期键</t>
  </si>
  <si>
    <t>DEMO-OPT-001</t>
  </si>
  <si>
    <t>股票期权</t>
  </si>
  <si>
    <t>已备案</t>
  </si>
  <si>
    <t>仅演示：5万份期权</t>
  </si>
  <si>
    <t>DEMO-RS-001</t>
  </si>
  <si>
    <t>仅演示：5万股限制性股票</t>
  </si>
  <si>
    <t>股票期权所得</t>
  </si>
  <si>
    <t>限制性股票所得</t>
  </si>
  <si>
    <t>其他股权激励所得</t>
  </si>
  <si>
    <t>年度股权激励应纳税所得额</t>
  </si>
  <si>
    <t>年度应纳税额</t>
  </si>
  <si>
    <t>已缴金额</t>
  </si>
  <si>
    <t>未缴金额</t>
  </si>
  <si>
    <t>事件新增税额批次数</t>
  </si>
  <si>
    <t>最早到期事件编号</t>
  </si>
  <si>
    <t>最早到期日</t>
  </si>
  <si>
    <t>状态</t>
  </si>
  <si>
    <t>新增税额批次</t>
  </si>
  <si>
    <t>该事件新增应纳税额</t>
  </si>
  <si>
    <t>该事件纳税义务发生日</t>
  </si>
  <si>
    <t>该事件最晚缴清日</t>
  </si>
  <si>
    <t>缴税日期</t>
  </si>
  <si>
    <t>计划缴税金额</t>
  </si>
  <si>
    <t>实际缴税金额</t>
  </si>
  <si>
    <t>完税凭证号</t>
  </si>
  <si>
    <t>累计已缴</t>
  </si>
  <si>
    <t>剩余税额</t>
  </si>
  <si>
    <t>是否逾期</t>
  </si>
  <si>
    <t>关联有效</t>
  </si>
  <si>
    <t>解析事件编号</t>
  </si>
  <si>
    <t>解析税额批次</t>
  </si>
  <si>
    <t>员工缴税序号</t>
  </si>
  <si>
    <t>员工缴税键</t>
  </si>
  <si>
    <t>单人测算（仅引用业务明细）</t>
  </si>
  <si>
    <t>全部事件所得</t>
  </si>
  <si>
    <t>年度汇总税额</t>
  </si>
  <si>
    <t>实际已缴</t>
  </si>
  <si>
    <t>最早事件截止日</t>
  </si>
  <si>
    <t>事件页码</t>
  </si>
  <si>
    <t>缴税页码</t>
  </si>
  <si>
    <t>批次页码</t>
  </si>
  <si>
    <t>事件明细</t>
  </si>
  <si>
    <t>本次所得</t>
  </si>
  <si>
    <t>新增税额</t>
  </si>
  <si>
    <t>批次截止日</t>
  </si>
  <si>
    <t>分期记录</t>
  </si>
  <si>
    <t>实际金额</t>
  </si>
  <si>
    <t>批次累计已缴</t>
  </si>
  <si>
    <t>批次剩余</t>
  </si>
  <si>
    <t>批次余额</t>
  </si>
  <si>
    <t>有效已缴</t>
  </si>
  <si>
    <t>截止日</t>
  </si>
  <si>
    <t>到期/逾期提示</t>
  </si>
  <si>
    <t>所得下限</t>
  </si>
  <si>
    <t>所得上限</t>
  </si>
  <si>
    <t>规则说明</t>
  </si>
  <si>
    <t>同一员工同一年度股权激励所得合并后单独计税</t>
  </si>
  <si>
    <t>以上</t>
  </si>
  <si>
    <t>（行权日收盘价－事件日有效行权价）×本次行权数量</t>
  </si>
  <si>
    <t>（登记日收盘价＋解禁日收盘价）÷2×本批解禁数量－个人实际出资×本批数量÷个人获授总数</t>
  </si>
  <si>
    <t>36个月</t>
  </si>
  <si>
    <t>每次事件新增税额独立起算，不按年度最早事件统一截止</t>
  </si>
  <si>
    <t>月末规则</t>
  </si>
  <si>
    <t>使用EDATE按公历加36个月</t>
  </si>
  <si>
    <t>离职</t>
  </si>
  <si>
    <t>在36个月期间内离职的，应在离职前缴清全部税款</t>
  </si>
  <si>
    <t>类别</t>
  </si>
  <si>
    <t>文件名称</t>
  </si>
  <si>
    <t>发布日期</t>
  </si>
  <si>
    <t>文号/公告编号</t>
  </si>
  <si>
    <t>采用内容</t>
  </si>
  <si>
    <t>来源链接</t>
  </si>
  <si>
    <t>关于向2023年股票期权与限制性股票激励计划激励对象授予权益的公告</t>
  </si>
  <si>
    <t>实际授予862.50万份/股、623人；授予日2024-07-01</t>
  </si>
  <si>
    <t>https://disc.static.szse.cn/disc/disk03/finalpage/2024-07-01/d4e22bf2-dc60-41be-ab59-090c05df4556.PDF</t>
  </si>
  <si>
    <t>股票期权授予登记完成公告</t>
  </si>
  <si>
    <t>登记802万份、557人；登记完成日2024-07-24</t>
  </si>
  <si>
    <t>https://static.cninfo.com.cn/finalpage/2024-07-25/1220719491.PDF</t>
  </si>
  <si>
    <t>限制性股票授予登记完成公告</t>
  </si>
  <si>
    <t>登记802万股、557人；上市及登记日2024-08-27</t>
  </si>
  <si>
    <t>https://static.cninfo.com.cn/finalpage/2024-08-26/1220961881.PDF</t>
  </si>
  <si>
    <t>行情</t>
  </si>
  <si>
    <t>深圳证券交易所股票历史行情</t>
  </si>
  <si>
    <t>无</t>
  </si>
  <si>
    <t>002967当日今收13.06元</t>
  </si>
  <si>
    <t>https://www.szse.cn/api/report/ShowReport/data?SHOWTYPE=JSON&amp;CATALOGID=1815_stock&amp;TABKEY=tab1&amp;txtDMorJC=002967&amp;txtBeginDate=2024-08-27</t>
  </si>
  <si>
    <t>税收政策</t>
  </si>
  <si>
    <t>关于延续实施上市公司股权激励有关个人所得税政策的公告</t>
  </si>
  <si>
    <t>财政部 税务总局公告2023年第25号</t>
  </si>
  <si>
    <t>同年度两次以上股权激励合并、单独计税</t>
  </si>
  <si>
    <t>https://fgk.chinatax.gov.cn/zcfgk/c102416/c5211082/content.html</t>
  </si>
  <si>
    <t>关于上市公司股权激励有关个人所得税政策的公告</t>
  </si>
  <si>
    <t>财政部 税务总局公告2024年第2号</t>
  </si>
  <si>
    <t>备案后自事件日起不超过36个月缴税；离职前缴清</t>
  </si>
  <si>
    <t>https://jiangsu.chinatax.gov.cn/art/2024/4/28/art_8349_458449.html</t>
  </si>
  <si>
    <t>关于股权激励有关个人所得税问题的通知</t>
  </si>
  <si>
    <t>限制性股票所得公式及个人口径分母</t>
  </si>
  <si>
    <t>https://fgk.chinatax.gov.cn/zcfgk/c100012/c5194079/content.html</t>
  </si>
  <si>
    <t>关于个人股票期权所得征收个人所得税问题的通知</t>
  </si>
  <si>
    <t>财税〔2005〕35号</t>
  </si>
  <si>
    <t>股票期权所得公式；市场价为行权日收盘价</t>
  </si>
  <si>
    <t>https://fgk.chinatax.gov.cn/zcfgk/c102416/c5203004/content.html</t>
  </si>
  <si>
    <t>2024年中期权益分派实施公告</t>
  </si>
  <si>
    <t>2025-01-10起行权价14.32</t>
  </si>
  <si>
    <t>https://static.cninfo.com.cn/finalpage/2025-01-06/1222225049.PDF</t>
  </si>
  <si>
    <t>2024年年度权益分派实施公告</t>
  </si>
  <si>
    <t>2025-04-29起行权价14.18</t>
  </si>
  <si>
    <t>https://static.cninfo.com.cn/finalpage/2025-04-23/1223212213.PDF</t>
  </si>
  <si>
    <t>2025年中期权益分派实施公告</t>
  </si>
  <si>
    <t>2025-09-26起行权价14.04</t>
  </si>
  <si>
    <t>https://static.cninfo.com.cn/finalpage/2025-09-19/1224668254.PDF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</si>
</sst>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宋体"/>
      <family val="2"/>
      <scheme val="minor"/>
    </font>
    <font>
      <b/>
      <sz val="16"/>
      <color rgb="FFFFFFFF"/>
      <name val="宋体"/>
      <charset val="134"/>
    </font>
    <font>
      <b/>
      <sz val="11"/>
      <color rgb="FF1F4E78"/>
      <name val="宋体"/>
      <charset val="134"/>
    </font>
    <font>
      <b/>
      <sz val="11"/>
      <color rgb="FFFFFFFF"/>
      <name val="宋体"/>
      <charset val="134"/>
    </font>
    <font>
      <b/>
      <sz val="15"/>
      <color rgb="FFFFFFFF"/>
      <name val="宋体"/>
      <charset val="134"/>
    </font>
    <font>
      <b/>
      <sz val="11"/>
      <name val="宋体"/>
      <charset val="134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76" fontId="0" fillId="4" borderId="0" xfId="0" applyNumberFormat="1" applyFill="1"/>
    <xf numFmtId="0" fontId="0" fillId="3" borderId="0" xfId="0" applyFill="1" applyProtection="1">
      <protection locked="0"/>
    </xf>
    <xf numFmtId="2" fontId="0" fillId="4" borderId="0" xfId="0" applyNumberFormat="1" applyFill="1"/>
    <xf numFmtId="176" fontId="0" fillId="0" borderId="0" xfId="0" applyNumberFormat="1"/>
    <xf numFmtId="0" fontId="0" fillId="7" borderId="0" xfId="0" applyFill="1"/>
    <xf numFmtId="176" fontId="0" fillId="3" borderId="0" xfId="0" applyNumberFormat="1" applyFill="1" applyProtection="1">
      <protection locked="0"/>
    </xf>
    <xf numFmtId="40" fontId="0" fillId="3" borderId="0" xfId="0" applyNumberFormat="1" applyFill="1" applyProtection="1">
      <protection locked="0"/>
    </xf>
    <xf numFmtId="40" fontId="0" fillId="5" borderId="0" xfId="0" applyNumberFormat="1" applyFill="1"/>
    <xf numFmtId="9" fontId="0" fillId="5" borderId="0" xfId="0" applyNumberFormat="1" applyFill="1"/>
    <xf numFmtId="176" fontId="0" fillId="5" borderId="0" xfId="0" applyNumberFormat="1" applyFill="1"/>
    <xf numFmtId="0" fontId="5" fillId="0" borderId="0" xfId="0" applyFont="1"/>
    <xf numFmtId="40" fontId="0" fillId="0" borderId="0" xfId="0" applyNumberFormat="1"/>
    <xf numFmtId="40" fontId="0" fillId="4" borderId="0" xfId="0" applyNumberFormat="1" applyFill="1"/>
    <xf numFmtId="9" fontId="0" fillId="4" borderId="0" xfId="0" applyNumberFormat="1" applyFill="1"/>
    <xf numFmtId="0" fontId="6" fillId="0" borderId="0" xfId="1"/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/>
  </cellXfs>
  <cellStyles count="2">
    <cellStyle name="常规" xfId="0" builtinId="0"/>
    <cellStyle name="超链接" xfId="1" builtinId="8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lanParameters" displayName="tblPlanParameters" ref="A1:G15">
  <autoFilter ref="A1:G15" xr:uid="{00000000-0009-0000-0100-000001000000}"/>
  <tableColumns count="7">
    <tableColumn id="1" xr3:uid="{00000000-0010-0000-0000-000001000000}" name="参数类别"/>
    <tableColumn id="2" xr3:uid="{00000000-0010-0000-0000-000002000000}" name="参数名称"/>
    <tableColumn id="3" xr3:uid="{00000000-0010-0000-0000-000003000000}" name="参数值"/>
    <tableColumn id="4" xr3:uid="{00000000-0010-0000-0000-000004000000}" name="生效日"/>
    <tableColumn id="5" xr3:uid="{00000000-0010-0000-0000-000005000000}" name="失效日"/>
    <tableColumn id="6" xr3:uid="{00000000-0010-0000-0000-000006000000}" name="口径/说明"/>
    <tableColumn id="7" xr3:uid="{00000000-0010-0000-0000-000007000000}" name="来源公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centiveEvents" displayName="tblIncentiveEvents" ref="A1:AM501">
  <autoFilter ref="A1:AM501" xr:uid="{00000000-0009-0000-0100-000002000000}"/>
  <tableColumns count="39">
    <tableColumn id="1" xr3:uid="{00000000-0010-0000-0100-000001000000}" name="事件编号"/>
    <tableColumn id="2" xr3:uid="{00000000-0010-0000-0100-000002000000}" name="税额批次"/>
    <tableColumn id="3" xr3:uid="{00000000-0010-0000-0100-000003000000}" name="员工编号"/>
    <tableColumn id="4" xr3:uid="{00000000-0010-0000-0100-000004000000}" name="姓名"/>
    <tableColumn id="5" xr3:uid="{00000000-0010-0000-0100-000005000000}" name="激励计划"/>
    <tableColumn id="6" xr3:uid="{00000000-0010-0000-0100-000006000000}" name="权益类型"/>
    <tableColumn id="7" xr3:uid="{00000000-0010-0000-0100-000007000000}" name="事件日期"/>
    <tableColumn id="8" xr3:uid="{00000000-0010-0000-0100-000008000000}" name="纳税年度"/>
    <tableColumn id="9" xr3:uid="{00000000-0010-0000-0100-000009000000}" name="本次行权或解禁数量"/>
    <tableColumn id="10" xr3:uid="{00000000-0010-0000-0100-00000A000000}" name="行权日或解禁日收盘价"/>
    <tableColumn id="11" xr3:uid="{00000000-0010-0000-0100-00000B000000}" name="适用行权或授予价格"/>
    <tableColumn id="12" xr3:uid="{00000000-0010-0000-0100-00000C000000}" name="限制性股票登记日收盘价"/>
    <tableColumn id="13" xr3:uid="{00000000-0010-0000-0100-00000D000000}" name="员工获授限制性股票总数"/>
    <tableColumn id="14" xr3:uid="{00000000-0010-0000-0100-00000E000000}" name="员工实际出资总额"/>
    <tableColumn id="15" xr3:uid="{00000000-0010-0000-0100-00000F000000}" name="其他需合并股权激励所得"/>
    <tableColumn id="16" xr3:uid="{00000000-0010-0000-0100-000010000000}" name="离职日期"/>
    <tableColumn id="17" xr3:uid="{00000000-0010-0000-0100-000011000000}" name="备案状态"/>
    <tableColumn id="18" xr3:uid="{00000000-0010-0000-0100-000012000000}" name="备案日期"/>
    <tableColumn id="19" xr3:uid="{00000000-0010-0000-0100-000013000000}" name="原始本次所得"/>
    <tableColumn id="20" xr3:uid="{00000000-0010-0000-0100-000014000000}" name="本次应纳税所得额"/>
    <tableColumn id="21" xr3:uid="{00000000-0010-0000-0100-000015000000}" name="此前年度累计所得"/>
    <tableColumn id="22" xr3:uid="{00000000-0010-0000-0100-000016000000}" name="本次事件后年度累计所得"/>
    <tableColumn id="23" xr3:uid="{00000000-0010-0000-0100-000017000000}" name="税率"/>
    <tableColumn id="24" xr3:uid="{00000000-0010-0000-0100-000018000000}" name="速算扣除数"/>
    <tableColumn id="25" xr3:uid="{00000000-0010-0000-0100-000019000000}" name="累计税额"/>
    <tableColumn id="26" xr3:uid="{00000000-0010-0000-0100-00001A000000}" name="此前累计已确认税额"/>
    <tableColumn id="27" xr3:uid="{00000000-0010-0000-0100-00001B000000}" name="本次新增税额"/>
    <tableColumn id="28" xr3:uid="{00000000-0010-0000-0100-00001C000000}" name="本事件纳税义务发生日"/>
    <tableColumn id="29" xr3:uid="{00000000-0010-0000-0100-00001D000000}" name="事件级36个月截止日"/>
    <tableColumn id="30" xr3:uid="{00000000-0010-0000-0100-00001E000000}" name="校验"/>
    <tableColumn id="31" xr3:uid="{00000000-0010-0000-0100-00001F000000}" name="备注"/>
    <tableColumn id="32" xr3:uid="{00000000-0010-0000-0100-000020000000}" name="员工首次序号"/>
    <tableColumn id="33" xr3:uid="{00000000-0010-0000-0100-000021000000}" name="员工事件序号"/>
    <tableColumn id="34" xr3:uid="{00000000-0010-0000-0100-000022000000}" name="员工事件键"/>
    <tableColumn id="35" xr3:uid="{00000000-0010-0000-0100-000023000000}" name="年度到期键"/>
    <tableColumn id="36" xr3:uid="{00000000-0010-0000-0100-000024000000}" name="员工到期键"/>
    <tableColumn id="37" xr3:uid="{00000000-0010-0000-0100-000025000000}" name="批次有效已缴"/>
    <tableColumn id="38" xr3:uid="{00000000-0010-0000-0100-000026000000}" name="批次未缴"/>
    <tableColumn id="39" xr3:uid="{00000000-0010-0000-0100-000027000000}" name="年度未缴到期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nnualSummary" displayName="tblAnnualSummary" ref="A1:P201">
  <autoFilter ref="A1:P201" xr:uid="{00000000-0009-0000-0100-000003000000}"/>
  <tableColumns count="16">
    <tableColumn id="1" xr3:uid="{00000000-0010-0000-0200-000001000000}" name="员工编号"/>
    <tableColumn id="2" xr3:uid="{00000000-0010-0000-0200-000002000000}" name="姓名"/>
    <tableColumn id="3" xr3:uid="{00000000-0010-0000-0200-000003000000}" name="纳税年度"/>
    <tableColumn id="4" xr3:uid="{00000000-0010-0000-0200-000004000000}" name="股票期权所得"/>
    <tableColumn id="5" xr3:uid="{00000000-0010-0000-0200-000005000000}" name="限制性股票所得"/>
    <tableColumn id="6" xr3:uid="{00000000-0010-0000-0200-000006000000}" name="其他股权激励所得"/>
    <tableColumn id="7" xr3:uid="{00000000-0010-0000-0200-000007000000}" name="年度股权激励应纳税所得额"/>
    <tableColumn id="8" xr3:uid="{00000000-0010-0000-0200-000008000000}" name="税率"/>
    <tableColumn id="9" xr3:uid="{00000000-0010-0000-0200-000009000000}" name="速算扣除数"/>
    <tableColumn id="10" xr3:uid="{00000000-0010-0000-0200-00000A000000}" name="年度应纳税额"/>
    <tableColumn id="11" xr3:uid="{00000000-0010-0000-0200-00000B000000}" name="已缴金额"/>
    <tableColumn id="12" xr3:uid="{00000000-0010-0000-0200-00000C000000}" name="未缴金额"/>
    <tableColumn id="13" xr3:uid="{00000000-0010-0000-0200-00000D000000}" name="事件新增税额批次数"/>
    <tableColumn id="14" xr3:uid="{00000000-0010-0000-0200-00000E000000}" name="最早到期事件编号"/>
    <tableColumn id="15" xr3:uid="{00000000-0010-0000-0200-00000F000000}" name="最早到期日"/>
    <tableColumn id="16" xr3:uid="{00000000-0010-0000-0200-000010000000}" name="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stallments" displayName="tblInstallments" ref="A1:W501">
  <autoFilter ref="A1:W501" xr:uid="{00000000-0009-0000-0100-000004000000}"/>
  <tableColumns count="23">
    <tableColumn id="1" xr3:uid="{00000000-0010-0000-0300-000001000000}" name="员工编号"/>
    <tableColumn id="2" xr3:uid="{00000000-0010-0000-0300-000002000000}" name="姓名"/>
    <tableColumn id="3" xr3:uid="{00000000-0010-0000-0300-000003000000}" name="纳税年度"/>
    <tableColumn id="4" xr3:uid="{00000000-0010-0000-0300-000004000000}" name="事件编号"/>
    <tableColumn id="5" xr3:uid="{00000000-0010-0000-0300-000005000000}" name="新增税额批次"/>
    <tableColumn id="6" xr3:uid="{00000000-0010-0000-0300-000006000000}" name="该事件新增应纳税额"/>
    <tableColumn id="7" xr3:uid="{00000000-0010-0000-0300-000007000000}" name="该事件纳税义务发生日"/>
    <tableColumn id="8" xr3:uid="{00000000-0010-0000-0300-000008000000}" name="该事件最晚缴清日"/>
    <tableColumn id="9" xr3:uid="{00000000-0010-0000-0300-000009000000}" name="缴税日期"/>
    <tableColumn id="10" xr3:uid="{00000000-0010-0000-0300-00000A000000}" name="计划缴税金额"/>
    <tableColumn id="11" xr3:uid="{00000000-0010-0000-0300-00000B000000}" name="实际缴税金额"/>
    <tableColumn id="12" xr3:uid="{00000000-0010-0000-0300-00000C000000}" name="完税凭证号"/>
    <tableColumn id="13" xr3:uid="{00000000-0010-0000-0300-00000D000000}" name="累计已缴"/>
    <tableColumn id="14" xr3:uid="{00000000-0010-0000-0300-00000E000000}" name="剩余税额"/>
    <tableColumn id="15" xr3:uid="{00000000-0010-0000-0300-00000F000000}" name="是否逾期"/>
    <tableColumn id="16" xr3:uid="{00000000-0010-0000-0300-000010000000}" name="离职日期"/>
    <tableColumn id="17" xr3:uid="{00000000-0010-0000-0300-000011000000}" name="关联有效"/>
    <tableColumn id="18" xr3:uid="{00000000-0010-0000-0300-000012000000}" name="校验"/>
    <tableColumn id="19" xr3:uid="{00000000-0010-0000-0300-000013000000}" name="备注"/>
    <tableColumn id="20" xr3:uid="{00000000-0010-0000-0300-000014000000}" name="解析事件编号"/>
    <tableColumn id="21" xr3:uid="{00000000-0010-0000-0300-000015000000}" name="解析税额批次"/>
    <tableColumn id="22" xr3:uid="{00000000-0010-0000-0300-000016000000}" name="员工缴税序号"/>
    <tableColumn id="23" xr3:uid="{00000000-0010-0000-0300-000017000000}" name="员工缴税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xRates" displayName="tblTaxRates" ref="A1:E8">
  <autoFilter ref="A1:E8" xr:uid="{00000000-0009-0000-0100-000005000000}"/>
  <tableColumns count="5">
    <tableColumn id="1" xr3:uid="{00000000-0010-0000-0400-000001000000}" name="所得下限"/>
    <tableColumn id="2" xr3:uid="{00000000-0010-0000-0400-000002000000}" name="税率"/>
    <tableColumn id="3" xr3:uid="{00000000-0010-0000-0400-000003000000}" name="速算扣除数"/>
    <tableColumn id="4" xr3:uid="{00000000-0010-0000-0400-000004000000}" name="所得上限"/>
    <tableColumn id="5" xr3:uid="{00000000-0010-0000-0400-000005000000}" name="规则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olicies" displayName="tblPolicies" ref="A1:F12">
  <autoFilter ref="A1:F12" xr:uid="{00000000-0009-0000-0100-000006000000}"/>
  <tableColumns count="6">
    <tableColumn id="1" xr3:uid="{00000000-0010-0000-0500-000001000000}" name="类别"/>
    <tableColumn id="2" xr3:uid="{00000000-0010-0000-0500-000002000000}" name="文件名称"/>
    <tableColumn id="3" xr3:uid="{00000000-0010-0000-0500-000003000000}" name="发布日期"/>
    <tableColumn id="4" xr3:uid="{00000000-0010-0000-0500-000004000000}" name="文号/公告编号"/>
    <tableColumn id="5" xr3:uid="{00000000-0010-0000-0500-000005000000}" name="采用内容"/>
    <tableColumn id="6" xr3:uid="{00000000-0010-0000-0500-000006000000}" name="来源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fgk.chinatax.gov.cn/zcfgk/c102416/c5203004/content.html" TargetMode="External"/><Relationship Id="rId3" Type="http://schemas.openxmlformats.org/officeDocument/2006/relationships/hyperlink" Target="https://static.cninfo.com.cn/finalpage/2024-08-26/1220961881.PDF" TargetMode="External"/><Relationship Id="rId7" Type="http://schemas.openxmlformats.org/officeDocument/2006/relationships/hyperlink" Target="https://fgk.chinatax.gov.cn/zcfgk/c100012/c5194079/content.html" TargetMode="External"/><Relationship Id="rId12" Type="http://schemas.openxmlformats.org/officeDocument/2006/relationships/table" Target="../tables/table6.xml"/><Relationship Id="rId2" Type="http://schemas.openxmlformats.org/officeDocument/2006/relationships/hyperlink" Target="https://static.cninfo.com.cn/finalpage/2024-07-25/1220719491.PDF" TargetMode="External"/><Relationship Id="rId1" Type="http://schemas.openxmlformats.org/officeDocument/2006/relationships/hyperlink" Target="https://disc.static.szse.cn/disc/disk03/finalpage/2024-07-01/d4e22bf2-dc60-41be-ab59-090c05df4556.PDF" TargetMode="External"/><Relationship Id="rId6" Type="http://schemas.openxmlformats.org/officeDocument/2006/relationships/hyperlink" Target="https://jiangsu.chinatax.gov.cn/art/2024/4/28/art_8349_458449.html" TargetMode="External"/><Relationship Id="rId11" Type="http://schemas.openxmlformats.org/officeDocument/2006/relationships/hyperlink" Target="https://static.cninfo.com.cn/finalpage/2025-09-19/1224668254.PDF" TargetMode="External"/><Relationship Id="rId5" Type="http://schemas.openxmlformats.org/officeDocument/2006/relationships/hyperlink" Target="https://fgk.chinatax.gov.cn/zcfgk/c102416/c5211082/content.html" TargetMode="External"/><Relationship Id="rId10" Type="http://schemas.openxmlformats.org/officeDocument/2006/relationships/hyperlink" Target="https://static.cninfo.com.cn/finalpage/2025-04-23/1223212213.PDF" TargetMode="External"/><Relationship Id="rId4" Type="http://schemas.openxmlformats.org/officeDocument/2006/relationships/hyperlink" Target="https://www.szse.cn/api/report/ShowReport/data?SHOWTYPE=JSON&amp;CATALOGID=1815_stock&amp;TABKEY=tab1&amp;txtDMorJC=002967&amp;txtBeginDate=2024-08-27" TargetMode="External"/><Relationship Id="rId9" Type="http://schemas.openxmlformats.org/officeDocument/2006/relationships/hyperlink" Target="https://static.cninfo.com.cn/finalpage/2025-01-06/12222250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tabSelected="1" workbookViewId="0">
      <selection sqref="A1:H1"/>
    </sheetView>
  </sheetViews>
  <sheetFormatPr defaultRowHeight="13.5" x14ac:dyDescent="0.3"/>
  <cols>
    <col min="1" max="1" width="18" customWidth="1"/>
    <col min="2" max="2" width="24" customWidth="1"/>
    <col min="3" max="8" width="18" customWidth="1"/>
  </cols>
  <sheetData>
    <row r="1" spans="1:8" ht="20.25" x14ac:dyDescent="0.45">
      <c r="A1" s="25" t="s">
        <v>0</v>
      </c>
      <c r="B1" s="24"/>
      <c r="C1" s="24"/>
      <c r="D1" s="24"/>
      <c r="E1" s="24"/>
      <c r="F1" s="24"/>
      <c r="G1" s="24"/>
      <c r="H1" s="24"/>
    </row>
    <row r="3" spans="1:8" ht="34.049999999999997" customHeight="1" x14ac:dyDescent="0.3">
      <c r="A3" s="1" t="s">
        <v>1</v>
      </c>
      <c r="B3" s="23" t="s">
        <v>2</v>
      </c>
      <c r="C3" s="24"/>
      <c r="D3" s="24"/>
      <c r="E3" s="24"/>
      <c r="F3" s="24"/>
      <c r="G3" s="24"/>
      <c r="H3" s="24"/>
    </row>
    <row r="4" spans="1:8" ht="34.049999999999997" customHeight="1" x14ac:dyDescent="0.3">
      <c r="A4" s="1" t="s">
        <v>3</v>
      </c>
      <c r="B4" s="23" t="s">
        <v>4</v>
      </c>
      <c r="C4" s="24"/>
      <c r="D4" s="24"/>
      <c r="E4" s="24"/>
      <c r="F4" s="24"/>
      <c r="G4" s="24"/>
      <c r="H4" s="24"/>
    </row>
    <row r="5" spans="1:8" ht="34.049999999999997" customHeight="1" x14ac:dyDescent="0.3">
      <c r="A5" s="1" t="s">
        <v>5</v>
      </c>
      <c r="B5" s="23" t="s">
        <v>6</v>
      </c>
      <c r="C5" s="24"/>
      <c r="D5" s="24"/>
      <c r="E5" s="24"/>
      <c r="F5" s="24"/>
      <c r="G5" s="24"/>
      <c r="H5" s="24"/>
    </row>
    <row r="6" spans="1:8" ht="34.049999999999997" customHeight="1" x14ac:dyDescent="0.3">
      <c r="A6" s="1" t="s">
        <v>7</v>
      </c>
      <c r="B6" s="23" t="s">
        <v>8</v>
      </c>
      <c r="C6" s="24"/>
      <c r="D6" s="24"/>
      <c r="E6" s="24"/>
      <c r="F6" s="24"/>
      <c r="G6" s="24"/>
      <c r="H6" s="24"/>
    </row>
    <row r="7" spans="1:8" ht="34.049999999999997" customHeight="1" x14ac:dyDescent="0.3">
      <c r="A7" s="1" t="s">
        <v>9</v>
      </c>
      <c r="B7" s="23" t="s">
        <v>10</v>
      </c>
      <c r="C7" s="24"/>
      <c r="D7" s="24"/>
      <c r="E7" s="24"/>
      <c r="F7" s="24"/>
      <c r="G7" s="24"/>
      <c r="H7" s="24"/>
    </row>
    <row r="8" spans="1:8" ht="34.049999999999997" customHeight="1" x14ac:dyDescent="0.3">
      <c r="A8" s="1" t="s">
        <v>11</v>
      </c>
      <c r="B8" s="23" t="s">
        <v>12</v>
      </c>
      <c r="C8" s="24"/>
      <c r="D8" s="24"/>
      <c r="E8" s="24"/>
      <c r="F8" s="24"/>
      <c r="G8" s="24"/>
      <c r="H8" s="24"/>
    </row>
    <row r="9" spans="1:8" ht="34.049999999999997" customHeight="1" x14ac:dyDescent="0.3">
      <c r="A9" s="1" t="s">
        <v>13</v>
      </c>
      <c r="B9" s="23" t="s">
        <v>14</v>
      </c>
      <c r="C9" s="24"/>
      <c r="D9" s="24"/>
      <c r="E9" s="24"/>
      <c r="F9" s="24"/>
      <c r="G9" s="24"/>
      <c r="H9" s="24"/>
    </row>
    <row r="10" spans="1:8" ht="34.049999999999997" customHeight="1" x14ac:dyDescent="0.3">
      <c r="A10" s="1" t="s">
        <v>15</v>
      </c>
      <c r="B10" s="23" t="s">
        <v>16</v>
      </c>
      <c r="C10" s="24"/>
      <c r="D10" s="24"/>
      <c r="E10" s="24"/>
      <c r="F10" s="24"/>
      <c r="G10" s="24"/>
      <c r="H10" s="24"/>
    </row>
    <row r="11" spans="1:8" ht="34.049999999999997" customHeight="1" x14ac:dyDescent="0.3">
      <c r="A11" s="1" t="s">
        <v>17</v>
      </c>
      <c r="B11" s="23" t="s">
        <v>18</v>
      </c>
      <c r="C11" s="24"/>
      <c r="D11" s="24"/>
      <c r="E11" s="24"/>
      <c r="F11" s="24"/>
      <c r="G11" s="24"/>
      <c r="H11" s="24"/>
    </row>
    <row r="12" spans="1:8" ht="34.049999999999997" customHeight="1" x14ac:dyDescent="0.3">
      <c r="A12" s="1" t="s">
        <v>19</v>
      </c>
      <c r="B12" s="23" t="s">
        <v>20</v>
      </c>
      <c r="C12" s="24"/>
      <c r="D12" s="24"/>
      <c r="E12" s="24"/>
      <c r="F12" s="24"/>
      <c r="G12" s="24"/>
      <c r="H12" s="24"/>
    </row>
    <row r="13" spans="1:8" ht="34.049999999999997" customHeight="1" x14ac:dyDescent="0.3">
      <c r="A13" s="1" t="s">
        <v>21</v>
      </c>
      <c r="B13" s="23" t="s">
        <v>22</v>
      </c>
      <c r="C13" s="24"/>
      <c r="D13" s="24"/>
      <c r="E13" s="24"/>
      <c r="F13" s="24"/>
      <c r="G13" s="24"/>
      <c r="H13" s="24"/>
    </row>
    <row r="14" spans="1:8" ht="34.049999999999997" customHeight="1" x14ac:dyDescent="0.3">
      <c r="A14" s="1" t="s">
        <v>23</v>
      </c>
      <c r="B14" s="23" t="s">
        <v>24</v>
      </c>
      <c r="C14" s="24"/>
      <c r="D14" s="24"/>
      <c r="E14" s="24"/>
      <c r="F14" s="24"/>
      <c r="G14" s="24"/>
      <c r="H14" s="24"/>
    </row>
    <row r="17" spans="1:5" x14ac:dyDescent="0.3">
      <c r="A17" t="s">
        <v>25</v>
      </c>
      <c r="B17" t="s">
        <v>26</v>
      </c>
    </row>
    <row r="19" spans="1:5" x14ac:dyDescent="0.3">
      <c r="A19" t="s">
        <v>27</v>
      </c>
      <c r="B19" s="2" t="s">
        <v>28</v>
      </c>
      <c r="C19" s="3" t="s">
        <v>29</v>
      </c>
      <c r="D19" s="4" t="s">
        <v>30</v>
      </c>
      <c r="E19" s="5" t="s">
        <v>31</v>
      </c>
    </row>
  </sheetData>
  <sheetProtection sheet="1" selectLockedCells="1" sort="0" autoFilter="0" selectUnlockedCells="1"/>
  <mergeCells count="13">
    <mergeCell ref="A1:H1"/>
    <mergeCell ref="B10:H10"/>
    <mergeCell ref="B3:H3"/>
    <mergeCell ref="B5:H5"/>
    <mergeCell ref="B11:H11"/>
    <mergeCell ref="B8:H8"/>
    <mergeCell ref="B14:H14"/>
    <mergeCell ref="B9:H9"/>
    <mergeCell ref="B13:H13"/>
    <mergeCell ref="B4:H4"/>
    <mergeCell ref="B12:H12"/>
    <mergeCell ref="B6:H6"/>
    <mergeCell ref="B7:H7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02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3" width="28" customWidth="1"/>
    <col min="4" max="5" width="14" customWidth="1"/>
    <col min="6" max="6" width="36" customWidth="1"/>
    <col min="7" max="7" width="24" customWidth="1"/>
    <col min="9" max="10" width="18" customWidth="1"/>
  </cols>
  <sheetData>
    <row r="1" spans="1:10" ht="32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I1" s="7" t="s">
        <v>39</v>
      </c>
      <c r="J1" s="7" t="s">
        <v>40</v>
      </c>
    </row>
    <row r="2" spans="1:10" x14ac:dyDescent="0.3">
      <c r="A2" s="3" t="s">
        <v>41</v>
      </c>
      <c r="B2" s="3" t="s">
        <v>42</v>
      </c>
      <c r="C2" s="3" t="s">
        <v>43</v>
      </c>
      <c r="D2" s="8"/>
      <c r="E2" s="8"/>
      <c r="F2" s="3" t="s">
        <v>44</v>
      </c>
      <c r="G2" s="3" t="s">
        <v>45</v>
      </c>
      <c r="I2" s="9" t="s">
        <v>46</v>
      </c>
      <c r="J2" s="9" t="s">
        <v>25</v>
      </c>
    </row>
    <row r="3" spans="1:10" x14ac:dyDescent="0.3">
      <c r="A3" s="3" t="s">
        <v>41</v>
      </c>
      <c r="B3" s="3" t="s">
        <v>47</v>
      </c>
      <c r="C3" s="3" t="s">
        <v>48</v>
      </c>
      <c r="D3" s="8"/>
      <c r="E3" s="8"/>
      <c r="F3" s="3" t="s">
        <v>49</v>
      </c>
      <c r="G3" s="3" t="s">
        <v>50</v>
      </c>
      <c r="I3" s="9"/>
      <c r="J3" s="9"/>
    </row>
    <row r="4" spans="1:10" x14ac:dyDescent="0.3">
      <c r="A4" s="3" t="s">
        <v>51</v>
      </c>
      <c r="B4" s="3" t="s">
        <v>52</v>
      </c>
      <c r="C4" s="3">
        <v>8625000</v>
      </c>
      <c r="D4" s="8">
        <v>45474</v>
      </c>
      <c r="E4" s="8"/>
      <c r="F4" s="3" t="s">
        <v>53</v>
      </c>
      <c r="G4" s="3" t="s">
        <v>54</v>
      </c>
      <c r="I4" s="9"/>
      <c r="J4" s="9"/>
    </row>
    <row r="5" spans="1:10" x14ac:dyDescent="0.3">
      <c r="A5" s="3" t="s">
        <v>55</v>
      </c>
      <c r="B5" s="3" t="s">
        <v>56</v>
      </c>
      <c r="C5" s="3">
        <v>8020000</v>
      </c>
      <c r="D5" s="8">
        <v>45497</v>
      </c>
      <c r="E5" s="8"/>
      <c r="F5" s="3" t="s">
        <v>57</v>
      </c>
      <c r="G5" s="3" t="s">
        <v>58</v>
      </c>
      <c r="I5" s="9"/>
      <c r="J5" s="9"/>
    </row>
    <row r="6" spans="1:10" x14ac:dyDescent="0.3">
      <c r="A6" s="3" t="s">
        <v>51</v>
      </c>
      <c r="B6" s="3" t="s">
        <v>59</v>
      </c>
      <c r="C6" s="3">
        <v>8625000</v>
      </c>
      <c r="D6" s="8">
        <v>45474</v>
      </c>
      <c r="E6" s="8"/>
      <c r="F6" s="3" t="s">
        <v>53</v>
      </c>
      <c r="G6" s="3" t="s">
        <v>54</v>
      </c>
      <c r="I6" s="9"/>
      <c r="J6" s="9"/>
    </row>
    <row r="7" spans="1:10" x14ac:dyDescent="0.3">
      <c r="A7" s="3" t="s">
        <v>55</v>
      </c>
      <c r="B7" s="3" t="s">
        <v>60</v>
      </c>
      <c r="C7" s="3">
        <v>8020000</v>
      </c>
      <c r="D7" s="8">
        <v>45531</v>
      </c>
      <c r="E7" s="8"/>
      <c r="F7" s="3" t="s">
        <v>57</v>
      </c>
      <c r="G7" s="3" t="s">
        <v>61</v>
      </c>
      <c r="I7" s="9"/>
      <c r="J7" s="9"/>
    </row>
    <row r="8" spans="1:10" x14ac:dyDescent="0.3">
      <c r="A8" s="3" t="s">
        <v>62</v>
      </c>
      <c r="B8" s="3" t="s">
        <v>63</v>
      </c>
      <c r="C8" s="8">
        <v>45531</v>
      </c>
      <c r="D8" s="8">
        <v>45531</v>
      </c>
      <c r="E8" s="8"/>
      <c r="F8" s="3" t="s">
        <v>64</v>
      </c>
      <c r="G8" s="3" t="s">
        <v>65</v>
      </c>
      <c r="I8" s="9"/>
      <c r="J8" s="9"/>
    </row>
    <row r="9" spans="1:10" x14ac:dyDescent="0.3">
      <c r="A9" s="3" t="s">
        <v>62</v>
      </c>
      <c r="B9" s="3" t="s">
        <v>66</v>
      </c>
      <c r="C9" s="10">
        <v>13.06</v>
      </c>
      <c r="D9" s="8">
        <v>45531</v>
      </c>
      <c r="E9" s="8"/>
      <c r="F9" s="3" t="s">
        <v>67</v>
      </c>
      <c r="G9" s="3" t="s">
        <v>68</v>
      </c>
      <c r="I9" s="9"/>
      <c r="J9" s="9"/>
    </row>
    <row r="10" spans="1:10" x14ac:dyDescent="0.3">
      <c r="A10" s="3" t="s">
        <v>62</v>
      </c>
      <c r="B10" s="3" t="s">
        <v>69</v>
      </c>
      <c r="C10" s="10">
        <v>8.68</v>
      </c>
      <c r="D10" s="8">
        <v>45474</v>
      </c>
      <c r="E10" s="8"/>
      <c r="F10" s="3" t="s">
        <v>70</v>
      </c>
      <c r="G10" s="3" t="s">
        <v>54</v>
      </c>
      <c r="I10" s="9"/>
      <c r="J10" s="9"/>
    </row>
    <row r="11" spans="1:10" x14ac:dyDescent="0.3">
      <c r="A11" s="3" t="s">
        <v>71</v>
      </c>
      <c r="B11" s="3" t="s">
        <v>72</v>
      </c>
      <c r="C11" s="3" t="s">
        <v>73</v>
      </c>
      <c r="D11" s="8"/>
      <c r="E11" s="8"/>
      <c r="F11" s="3" t="s">
        <v>74</v>
      </c>
      <c r="G11" s="3" t="s">
        <v>75</v>
      </c>
      <c r="I11" s="9"/>
      <c r="J11" s="9"/>
    </row>
    <row r="12" spans="1:10" x14ac:dyDescent="0.3">
      <c r="A12" s="3" t="s">
        <v>76</v>
      </c>
      <c r="B12" s="3" t="s">
        <v>77</v>
      </c>
      <c r="C12" s="10">
        <v>14.56</v>
      </c>
      <c r="D12" s="8">
        <v>45474</v>
      </c>
      <c r="E12" s="8">
        <v>45666</v>
      </c>
      <c r="F12" s="3" t="s">
        <v>78</v>
      </c>
      <c r="G12" s="3" t="s">
        <v>79</v>
      </c>
      <c r="I12" s="9"/>
      <c r="J12" s="9"/>
    </row>
    <row r="13" spans="1:10" x14ac:dyDescent="0.3">
      <c r="A13" s="3" t="s">
        <v>76</v>
      </c>
      <c r="B13" s="3" t="s">
        <v>77</v>
      </c>
      <c r="C13" s="10">
        <v>14.32</v>
      </c>
      <c r="D13" s="8">
        <v>45667</v>
      </c>
      <c r="E13" s="8">
        <v>45775</v>
      </c>
      <c r="F13" s="3" t="s">
        <v>78</v>
      </c>
      <c r="G13" s="3" t="s">
        <v>80</v>
      </c>
      <c r="I13" s="9"/>
      <c r="J13" s="9"/>
    </row>
    <row r="14" spans="1:10" x14ac:dyDescent="0.3">
      <c r="A14" s="3" t="s">
        <v>76</v>
      </c>
      <c r="B14" s="3" t="s">
        <v>77</v>
      </c>
      <c r="C14" s="10">
        <v>14.18</v>
      </c>
      <c r="D14" s="8">
        <v>45776</v>
      </c>
      <c r="E14" s="8">
        <v>45925</v>
      </c>
      <c r="F14" s="3" t="s">
        <v>78</v>
      </c>
      <c r="G14" s="3" t="s">
        <v>81</v>
      </c>
      <c r="I14" s="9"/>
      <c r="J14" s="9"/>
    </row>
    <row r="15" spans="1:10" x14ac:dyDescent="0.3">
      <c r="A15" s="3" t="s">
        <v>76</v>
      </c>
      <c r="B15" s="3" t="s">
        <v>77</v>
      </c>
      <c r="C15" s="10">
        <v>14.04</v>
      </c>
      <c r="D15" s="8">
        <v>45926</v>
      </c>
      <c r="E15" s="8"/>
      <c r="F15" s="3" t="s">
        <v>82</v>
      </c>
      <c r="G15" s="3" t="s">
        <v>83</v>
      </c>
      <c r="I15" s="9"/>
      <c r="J15" s="9"/>
    </row>
    <row r="16" spans="1:10" x14ac:dyDescent="0.3">
      <c r="D16" s="11"/>
      <c r="E16" s="11"/>
      <c r="I16" s="9"/>
      <c r="J16" s="9"/>
    </row>
    <row r="17" spans="4:10" x14ac:dyDescent="0.3">
      <c r="D17" s="11"/>
      <c r="E17" s="11"/>
      <c r="I17" s="9"/>
      <c r="J17" s="9"/>
    </row>
    <row r="18" spans="4:10" x14ac:dyDescent="0.3">
      <c r="D18" s="11"/>
      <c r="E18" s="11"/>
      <c r="I18" s="9"/>
      <c r="J18" s="9"/>
    </row>
    <row r="19" spans="4:10" x14ac:dyDescent="0.3">
      <c r="D19" s="11"/>
      <c r="E19" s="11"/>
      <c r="I19" s="9"/>
      <c r="J19" s="9"/>
    </row>
    <row r="20" spans="4:10" x14ac:dyDescent="0.3">
      <c r="D20" s="11"/>
      <c r="E20" s="11"/>
      <c r="I20" s="9"/>
      <c r="J20" s="9"/>
    </row>
    <row r="21" spans="4:10" x14ac:dyDescent="0.3">
      <c r="D21" s="11"/>
      <c r="E21" s="11"/>
      <c r="I21" s="9"/>
      <c r="J21" s="9"/>
    </row>
    <row r="22" spans="4:10" x14ac:dyDescent="0.3">
      <c r="D22" s="11"/>
      <c r="E22" s="11"/>
      <c r="I22" s="9"/>
      <c r="J22" s="9"/>
    </row>
    <row r="23" spans="4:10" x14ac:dyDescent="0.3">
      <c r="D23" s="11"/>
      <c r="E23" s="11"/>
      <c r="I23" s="9"/>
      <c r="J23" s="9"/>
    </row>
    <row r="24" spans="4:10" x14ac:dyDescent="0.3">
      <c r="D24" s="11"/>
      <c r="E24" s="11"/>
      <c r="I24" s="9"/>
      <c r="J24" s="9"/>
    </row>
    <row r="25" spans="4:10" x14ac:dyDescent="0.3">
      <c r="D25" s="11"/>
      <c r="E25" s="11"/>
      <c r="I25" s="9"/>
      <c r="J25" s="9"/>
    </row>
    <row r="26" spans="4:10" x14ac:dyDescent="0.3">
      <c r="D26" s="11"/>
      <c r="E26" s="11"/>
      <c r="I26" s="9"/>
      <c r="J26" s="9"/>
    </row>
    <row r="27" spans="4:10" x14ac:dyDescent="0.3">
      <c r="D27" s="11"/>
      <c r="E27" s="11"/>
      <c r="I27" s="9"/>
      <c r="J27" s="9"/>
    </row>
    <row r="28" spans="4:10" x14ac:dyDescent="0.3">
      <c r="D28" s="11"/>
      <c r="E28" s="11"/>
      <c r="I28" s="9"/>
      <c r="J28" s="9"/>
    </row>
    <row r="29" spans="4:10" x14ac:dyDescent="0.3">
      <c r="D29" s="11"/>
      <c r="E29" s="11"/>
      <c r="I29" s="9"/>
      <c r="J29" s="9"/>
    </row>
    <row r="30" spans="4:10" x14ac:dyDescent="0.3">
      <c r="D30" s="11"/>
      <c r="E30" s="11"/>
      <c r="I30" s="9"/>
      <c r="J30" s="9"/>
    </row>
    <row r="31" spans="4:10" x14ac:dyDescent="0.3">
      <c r="D31" s="11"/>
      <c r="E31" s="11"/>
      <c r="I31" s="9"/>
      <c r="J31" s="9"/>
    </row>
    <row r="32" spans="4:10" x14ac:dyDescent="0.3">
      <c r="D32" s="11"/>
      <c r="E32" s="11"/>
      <c r="I32" s="9"/>
      <c r="J32" s="9"/>
    </row>
    <row r="33" spans="4:10" x14ac:dyDescent="0.3">
      <c r="D33" s="11"/>
      <c r="E33" s="11"/>
      <c r="I33" s="9"/>
      <c r="J33" s="9"/>
    </row>
    <row r="34" spans="4:10" x14ac:dyDescent="0.3">
      <c r="D34" s="11"/>
      <c r="E34" s="11"/>
      <c r="I34" s="9"/>
      <c r="J34" s="9"/>
    </row>
    <row r="35" spans="4:10" x14ac:dyDescent="0.3">
      <c r="D35" s="11"/>
      <c r="E35" s="11"/>
      <c r="I35" s="9"/>
      <c r="J35" s="9"/>
    </row>
    <row r="36" spans="4:10" x14ac:dyDescent="0.3">
      <c r="D36" s="11"/>
      <c r="E36" s="11"/>
      <c r="I36" s="9"/>
      <c r="J36" s="9"/>
    </row>
    <row r="37" spans="4:10" x14ac:dyDescent="0.3">
      <c r="D37" s="11"/>
      <c r="E37" s="11"/>
      <c r="I37" s="9"/>
      <c r="J37" s="9"/>
    </row>
    <row r="38" spans="4:10" x14ac:dyDescent="0.3">
      <c r="D38" s="11"/>
      <c r="E38" s="11"/>
      <c r="I38" s="9"/>
      <c r="J38" s="9"/>
    </row>
    <row r="39" spans="4:10" x14ac:dyDescent="0.3">
      <c r="D39" s="11"/>
      <c r="E39" s="11"/>
      <c r="I39" s="9"/>
      <c r="J39" s="9"/>
    </row>
    <row r="40" spans="4:10" x14ac:dyDescent="0.3">
      <c r="D40" s="11"/>
      <c r="E40" s="11"/>
      <c r="I40" s="9"/>
      <c r="J40" s="9"/>
    </row>
    <row r="41" spans="4:10" x14ac:dyDescent="0.3">
      <c r="D41" s="11"/>
      <c r="E41" s="11"/>
      <c r="I41" s="9"/>
      <c r="J41" s="9"/>
    </row>
    <row r="42" spans="4:10" x14ac:dyDescent="0.3">
      <c r="D42" s="11"/>
      <c r="E42" s="11"/>
      <c r="I42" s="9"/>
      <c r="J42" s="9"/>
    </row>
    <row r="43" spans="4:10" x14ac:dyDescent="0.3">
      <c r="D43" s="11"/>
      <c r="E43" s="11"/>
      <c r="I43" s="9"/>
      <c r="J43" s="9"/>
    </row>
    <row r="44" spans="4:10" x14ac:dyDescent="0.3">
      <c r="D44" s="11"/>
      <c r="E44" s="11"/>
      <c r="I44" s="9"/>
      <c r="J44" s="9"/>
    </row>
    <row r="45" spans="4:10" x14ac:dyDescent="0.3">
      <c r="D45" s="11"/>
      <c r="E45" s="11"/>
      <c r="I45" s="9"/>
      <c r="J45" s="9"/>
    </row>
    <row r="46" spans="4:10" x14ac:dyDescent="0.3">
      <c r="D46" s="11"/>
      <c r="E46" s="11"/>
      <c r="I46" s="9"/>
      <c r="J46" s="9"/>
    </row>
    <row r="47" spans="4:10" x14ac:dyDescent="0.3">
      <c r="D47" s="11"/>
      <c r="E47" s="11"/>
      <c r="I47" s="9"/>
      <c r="J47" s="9"/>
    </row>
    <row r="48" spans="4:10" x14ac:dyDescent="0.3">
      <c r="D48" s="11"/>
      <c r="E48" s="11"/>
      <c r="I48" s="9"/>
      <c r="J48" s="9"/>
    </row>
    <row r="49" spans="4:10" x14ac:dyDescent="0.3">
      <c r="D49" s="11"/>
      <c r="E49" s="11"/>
      <c r="I49" s="9"/>
      <c r="J49" s="9"/>
    </row>
    <row r="50" spans="4:10" x14ac:dyDescent="0.3">
      <c r="D50" s="11"/>
      <c r="E50" s="11"/>
      <c r="I50" s="9"/>
      <c r="J50" s="9"/>
    </row>
    <row r="51" spans="4:10" x14ac:dyDescent="0.3">
      <c r="D51" s="11"/>
      <c r="E51" s="11"/>
      <c r="I51" s="9"/>
      <c r="J51" s="9"/>
    </row>
    <row r="52" spans="4:10" x14ac:dyDescent="0.3">
      <c r="D52" s="11"/>
      <c r="E52" s="11"/>
      <c r="I52" s="9"/>
      <c r="J52" s="9"/>
    </row>
    <row r="53" spans="4:10" x14ac:dyDescent="0.3">
      <c r="D53" s="11"/>
      <c r="E53" s="11"/>
      <c r="I53" s="9"/>
      <c r="J53" s="9"/>
    </row>
    <row r="54" spans="4:10" x14ac:dyDescent="0.3">
      <c r="D54" s="11"/>
      <c r="E54" s="11"/>
      <c r="I54" s="9"/>
      <c r="J54" s="9"/>
    </row>
    <row r="55" spans="4:10" x14ac:dyDescent="0.3">
      <c r="D55" s="11"/>
      <c r="E55" s="11"/>
      <c r="I55" s="9"/>
      <c r="J55" s="9"/>
    </row>
    <row r="56" spans="4:10" x14ac:dyDescent="0.3">
      <c r="D56" s="11"/>
      <c r="E56" s="11"/>
      <c r="I56" s="9"/>
      <c r="J56" s="9"/>
    </row>
    <row r="57" spans="4:10" x14ac:dyDescent="0.3">
      <c r="D57" s="11"/>
      <c r="E57" s="11"/>
      <c r="I57" s="9"/>
      <c r="J57" s="9"/>
    </row>
    <row r="58" spans="4:10" x14ac:dyDescent="0.3">
      <c r="D58" s="11"/>
      <c r="E58" s="11"/>
      <c r="I58" s="9"/>
      <c r="J58" s="9"/>
    </row>
    <row r="59" spans="4:10" x14ac:dyDescent="0.3">
      <c r="D59" s="11"/>
      <c r="E59" s="11"/>
      <c r="I59" s="9"/>
      <c r="J59" s="9"/>
    </row>
    <row r="60" spans="4:10" x14ac:dyDescent="0.3">
      <c r="D60" s="11"/>
      <c r="E60" s="11"/>
      <c r="I60" s="9"/>
      <c r="J60" s="9"/>
    </row>
    <row r="61" spans="4:10" x14ac:dyDescent="0.3">
      <c r="D61" s="11"/>
      <c r="E61" s="11"/>
      <c r="I61" s="9"/>
      <c r="J61" s="9"/>
    </row>
    <row r="62" spans="4:10" x14ac:dyDescent="0.3">
      <c r="D62" s="11"/>
      <c r="E62" s="11"/>
      <c r="I62" s="9"/>
      <c r="J62" s="9"/>
    </row>
    <row r="63" spans="4:10" x14ac:dyDescent="0.3">
      <c r="D63" s="11"/>
      <c r="E63" s="11"/>
      <c r="I63" s="9"/>
      <c r="J63" s="9"/>
    </row>
    <row r="64" spans="4:10" x14ac:dyDescent="0.3">
      <c r="D64" s="11"/>
      <c r="E64" s="11"/>
      <c r="I64" s="9"/>
      <c r="J64" s="9"/>
    </row>
    <row r="65" spans="4:10" x14ac:dyDescent="0.3">
      <c r="D65" s="11"/>
      <c r="E65" s="11"/>
      <c r="I65" s="9"/>
      <c r="J65" s="9"/>
    </row>
    <row r="66" spans="4:10" x14ac:dyDescent="0.3">
      <c r="D66" s="11"/>
      <c r="E66" s="11"/>
      <c r="I66" s="9"/>
      <c r="J66" s="9"/>
    </row>
    <row r="67" spans="4:10" x14ac:dyDescent="0.3">
      <c r="D67" s="11"/>
      <c r="E67" s="11"/>
      <c r="I67" s="9"/>
      <c r="J67" s="9"/>
    </row>
    <row r="68" spans="4:10" x14ac:dyDescent="0.3">
      <c r="D68" s="11"/>
      <c r="E68" s="11"/>
      <c r="I68" s="9"/>
      <c r="J68" s="9"/>
    </row>
    <row r="69" spans="4:10" x14ac:dyDescent="0.3">
      <c r="D69" s="11"/>
      <c r="E69" s="11"/>
      <c r="I69" s="9"/>
      <c r="J69" s="9"/>
    </row>
    <row r="70" spans="4:10" x14ac:dyDescent="0.3">
      <c r="D70" s="11"/>
      <c r="E70" s="11"/>
      <c r="I70" s="9"/>
      <c r="J70" s="9"/>
    </row>
    <row r="71" spans="4:10" x14ac:dyDescent="0.3">
      <c r="D71" s="11"/>
      <c r="E71" s="11"/>
      <c r="I71" s="9"/>
      <c r="J71" s="9"/>
    </row>
    <row r="72" spans="4:10" x14ac:dyDescent="0.3">
      <c r="D72" s="11"/>
      <c r="E72" s="11"/>
      <c r="I72" s="9"/>
      <c r="J72" s="9"/>
    </row>
    <row r="73" spans="4:10" x14ac:dyDescent="0.3">
      <c r="D73" s="11"/>
      <c r="E73" s="11"/>
      <c r="I73" s="9"/>
      <c r="J73" s="9"/>
    </row>
    <row r="74" spans="4:10" x14ac:dyDescent="0.3">
      <c r="D74" s="11"/>
      <c r="E74" s="11"/>
      <c r="I74" s="9"/>
      <c r="J74" s="9"/>
    </row>
    <row r="75" spans="4:10" x14ac:dyDescent="0.3">
      <c r="D75" s="11"/>
      <c r="E75" s="11"/>
      <c r="I75" s="9"/>
      <c r="J75" s="9"/>
    </row>
    <row r="76" spans="4:10" x14ac:dyDescent="0.3">
      <c r="D76" s="11"/>
      <c r="E76" s="11"/>
      <c r="I76" s="9"/>
      <c r="J76" s="9"/>
    </row>
    <row r="77" spans="4:10" x14ac:dyDescent="0.3">
      <c r="D77" s="11"/>
      <c r="E77" s="11"/>
      <c r="I77" s="9"/>
      <c r="J77" s="9"/>
    </row>
    <row r="78" spans="4:10" x14ac:dyDescent="0.3">
      <c r="D78" s="11"/>
      <c r="E78" s="11"/>
      <c r="I78" s="9"/>
      <c r="J78" s="9"/>
    </row>
    <row r="79" spans="4:10" x14ac:dyDescent="0.3">
      <c r="D79" s="11"/>
      <c r="E79" s="11"/>
      <c r="I79" s="9"/>
      <c r="J79" s="9"/>
    </row>
    <row r="80" spans="4:10" x14ac:dyDescent="0.3">
      <c r="D80" s="11"/>
      <c r="E80" s="11"/>
      <c r="I80" s="9"/>
      <c r="J80" s="9"/>
    </row>
    <row r="81" spans="4:10" x14ac:dyDescent="0.3">
      <c r="D81" s="11"/>
      <c r="E81" s="11"/>
      <c r="I81" s="9"/>
      <c r="J81" s="9"/>
    </row>
    <row r="82" spans="4:10" x14ac:dyDescent="0.3">
      <c r="D82" s="11"/>
      <c r="E82" s="11"/>
      <c r="I82" s="9"/>
      <c r="J82" s="9"/>
    </row>
    <row r="83" spans="4:10" x14ac:dyDescent="0.3">
      <c r="D83" s="11"/>
      <c r="E83" s="11"/>
      <c r="I83" s="9"/>
      <c r="J83" s="9"/>
    </row>
    <row r="84" spans="4:10" x14ac:dyDescent="0.3">
      <c r="D84" s="11"/>
      <c r="E84" s="11"/>
      <c r="I84" s="9"/>
      <c r="J84" s="9"/>
    </row>
    <row r="85" spans="4:10" x14ac:dyDescent="0.3">
      <c r="D85" s="11"/>
      <c r="E85" s="11"/>
      <c r="I85" s="9"/>
      <c r="J85" s="9"/>
    </row>
    <row r="86" spans="4:10" x14ac:dyDescent="0.3">
      <c r="D86" s="11"/>
      <c r="E86" s="11"/>
      <c r="I86" s="9"/>
      <c r="J86" s="9"/>
    </row>
    <row r="87" spans="4:10" x14ac:dyDescent="0.3">
      <c r="D87" s="11"/>
      <c r="E87" s="11"/>
      <c r="I87" s="9"/>
      <c r="J87" s="9"/>
    </row>
    <row r="88" spans="4:10" x14ac:dyDescent="0.3">
      <c r="D88" s="11"/>
      <c r="E88" s="11"/>
      <c r="I88" s="9"/>
      <c r="J88" s="9"/>
    </row>
    <row r="89" spans="4:10" x14ac:dyDescent="0.3">
      <c r="D89" s="11"/>
      <c r="E89" s="11"/>
      <c r="I89" s="9"/>
      <c r="J89" s="9"/>
    </row>
    <row r="90" spans="4:10" x14ac:dyDescent="0.3">
      <c r="D90" s="11"/>
      <c r="E90" s="11"/>
      <c r="I90" s="9"/>
      <c r="J90" s="9"/>
    </row>
    <row r="91" spans="4:10" x14ac:dyDescent="0.3">
      <c r="D91" s="11"/>
      <c r="E91" s="11"/>
      <c r="I91" s="9"/>
      <c r="J91" s="9"/>
    </row>
    <row r="92" spans="4:10" x14ac:dyDescent="0.3">
      <c r="D92" s="11"/>
      <c r="E92" s="11"/>
      <c r="I92" s="9"/>
      <c r="J92" s="9"/>
    </row>
    <row r="93" spans="4:10" x14ac:dyDescent="0.3">
      <c r="D93" s="11"/>
      <c r="E93" s="11"/>
      <c r="I93" s="9"/>
      <c r="J93" s="9"/>
    </row>
    <row r="94" spans="4:10" x14ac:dyDescent="0.3">
      <c r="D94" s="11"/>
      <c r="E94" s="11"/>
      <c r="I94" s="9"/>
      <c r="J94" s="9"/>
    </row>
    <row r="95" spans="4:10" x14ac:dyDescent="0.3">
      <c r="D95" s="11"/>
      <c r="E95" s="11"/>
      <c r="I95" s="9"/>
      <c r="J95" s="9"/>
    </row>
    <row r="96" spans="4:10" x14ac:dyDescent="0.3">
      <c r="D96" s="11"/>
      <c r="E96" s="11"/>
      <c r="I96" s="9"/>
      <c r="J96" s="9"/>
    </row>
    <row r="97" spans="4:10" x14ac:dyDescent="0.3">
      <c r="D97" s="11"/>
      <c r="E97" s="11"/>
      <c r="I97" s="9"/>
      <c r="J97" s="9"/>
    </row>
    <row r="98" spans="4:10" x14ac:dyDescent="0.3">
      <c r="D98" s="11"/>
      <c r="E98" s="11"/>
      <c r="I98" s="9"/>
      <c r="J98" s="9"/>
    </row>
    <row r="99" spans="4:10" x14ac:dyDescent="0.3">
      <c r="D99" s="11"/>
      <c r="E99" s="11"/>
      <c r="I99" s="9"/>
      <c r="J99" s="9"/>
    </row>
    <row r="100" spans="4:10" x14ac:dyDescent="0.3">
      <c r="D100" s="11"/>
      <c r="E100" s="11"/>
      <c r="I100" s="9"/>
      <c r="J100" s="9"/>
    </row>
    <row r="101" spans="4:10" x14ac:dyDescent="0.3">
      <c r="D101" s="11"/>
      <c r="E101" s="11"/>
      <c r="I101" s="9"/>
      <c r="J101" s="9"/>
    </row>
    <row r="102" spans="4:10" x14ac:dyDescent="0.3">
      <c r="D102" s="11"/>
      <c r="E102" s="11"/>
      <c r="I102" s="9"/>
      <c r="J102" s="9"/>
    </row>
    <row r="103" spans="4:10" x14ac:dyDescent="0.3">
      <c r="D103" s="11"/>
      <c r="E103" s="11"/>
      <c r="I103" s="9"/>
      <c r="J103" s="9"/>
    </row>
    <row r="104" spans="4:10" x14ac:dyDescent="0.3">
      <c r="D104" s="11"/>
      <c r="E104" s="11"/>
      <c r="I104" s="9"/>
      <c r="J104" s="9"/>
    </row>
    <row r="105" spans="4:10" x14ac:dyDescent="0.3">
      <c r="D105" s="11"/>
      <c r="E105" s="11"/>
      <c r="I105" s="9"/>
      <c r="J105" s="9"/>
    </row>
    <row r="106" spans="4:10" x14ac:dyDescent="0.3">
      <c r="D106" s="11"/>
      <c r="E106" s="11"/>
      <c r="I106" s="9"/>
      <c r="J106" s="9"/>
    </row>
    <row r="107" spans="4:10" x14ac:dyDescent="0.3">
      <c r="D107" s="11"/>
      <c r="E107" s="11"/>
      <c r="I107" s="9"/>
      <c r="J107" s="9"/>
    </row>
    <row r="108" spans="4:10" x14ac:dyDescent="0.3">
      <c r="D108" s="11"/>
      <c r="E108" s="11"/>
      <c r="I108" s="9"/>
      <c r="J108" s="9"/>
    </row>
    <row r="109" spans="4:10" x14ac:dyDescent="0.3">
      <c r="D109" s="11"/>
      <c r="E109" s="11"/>
      <c r="I109" s="9"/>
      <c r="J109" s="9"/>
    </row>
    <row r="110" spans="4:10" x14ac:dyDescent="0.3">
      <c r="D110" s="11"/>
      <c r="E110" s="11"/>
      <c r="I110" s="9"/>
      <c r="J110" s="9"/>
    </row>
    <row r="111" spans="4:10" x14ac:dyDescent="0.3">
      <c r="D111" s="11"/>
      <c r="E111" s="11"/>
      <c r="I111" s="9"/>
      <c r="J111" s="9"/>
    </row>
    <row r="112" spans="4:10" x14ac:dyDescent="0.3">
      <c r="D112" s="11"/>
      <c r="E112" s="11"/>
      <c r="I112" s="9"/>
      <c r="J112" s="9"/>
    </row>
    <row r="113" spans="4:10" x14ac:dyDescent="0.3">
      <c r="D113" s="11"/>
      <c r="E113" s="11"/>
      <c r="I113" s="9"/>
      <c r="J113" s="9"/>
    </row>
    <row r="114" spans="4:10" x14ac:dyDescent="0.3">
      <c r="D114" s="11"/>
      <c r="E114" s="11"/>
      <c r="I114" s="9"/>
      <c r="J114" s="9"/>
    </row>
    <row r="115" spans="4:10" x14ac:dyDescent="0.3">
      <c r="D115" s="11"/>
      <c r="E115" s="11"/>
      <c r="I115" s="9"/>
      <c r="J115" s="9"/>
    </row>
    <row r="116" spans="4:10" x14ac:dyDescent="0.3">
      <c r="D116" s="11"/>
      <c r="E116" s="11"/>
      <c r="I116" s="9"/>
      <c r="J116" s="9"/>
    </row>
    <row r="117" spans="4:10" x14ac:dyDescent="0.3">
      <c r="D117" s="11"/>
      <c r="E117" s="11"/>
      <c r="I117" s="9"/>
      <c r="J117" s="9"/>
    </row>
    <row r="118" spans="4:10" x14ac:dyDescent="0.3">
      <c r="D118" s="11"/>
      <c r="E118" s="11"/>
      <c r="I118" s="9"/>
      <c r="J118" s="9"/>
    </row>
    <row r="119" spans="4:10" x14ac:dyDescent="0.3">
      <c r="D119" s="11"/>
      <c r="E119" s="11"/>
      <c r="I119" s="9"/>
      <c r="J119" s="9"/>
    </row>
    <row r="120" spans="4:10" x14ac:dyDescent="0.3">
      <c r="D120" s="11"/>
      <c r="E120" s="11"/>
      <c r="I120" s="9"/>
      <c r="J120" s="9"/>
    </row>
    <row r="121" spans="4:10" x14ac:dyDescent="0.3">
      <c r="D121" s="11"/>
      <c r="E121" s="11"/>
      <c r="I121" s="9"/>
      <c r="J121" s="9"/>
    </row>
    <row r="122" spans="4:10" x14ac:dyDescent="0.3">
      <c r="D122" s="11"/>
      <c r="E122" s="11"/>
      <c r="I122" s="9"/>
      <c r="J122" s="9"/>
    </row>
    <row r="123" spans="4:10" x14ac:dyDescent="0.3">
      <c r="D123" s="11"/>
      <c r="E123" s="11"/>
      <c r="I123" s="9"/>
      <c r="J123" s="9"/>
    </row>
    <row r="124" spans="4:10" x14ac:dyDescent="0.3">
      <c r="D124" s="11"/>
      <c r="E124" s="11"/>
      <c r="I124" s="9"/>
      <c r="J124" s="9"/>
    </row>
    <row r="125" spans="4:10" x14ac:dyDescent="0.3">
      <c r="D125" s="11"/>
      <c r="E125" s="11"/>
      <c r="I125" s="9"/>
      <c r="J125" s="9"/>
    </row>
    <row r="126" spans="4:10" x14ac:dyDescent="0.3">
      <c r="D126" s="11"/>
      <c r="E126" s="11"/>
      <c r="I126" s="9"/>
      <c r="J126" s="9"/>
    </row>
    <row r="127" spans="4:10" x14ac:dyDescent="0.3">
      <c r="D127" s="11"/>
      <c r="E127" s="11"/>
      <c r="I127" s="9"/>
      <c r="J127" s="9"/>
    </row>
    <row r="128" spans="4:10" x14ac:dyDescent="0.3">
      <c r="D128" s="11"/>
      <c r="E128" s="11"/>
      <c r="I128" s="9"/>
      <c r="J128" s="9"/>
    </row>
    <row r="129" spans="4:10" x14ac:dyDescent="0.3">
      <c r="D129" s="11"/>
      <c r="E129" s="11"/>
      <c r="I129" s="9"/>
      <c r="J129" s="9"/>
    </row>
    <row r="130" spans="4:10" x14ac:dyDescent="0.3">
      <c r="D130" s="11"/>
      <c r="E130" s="11"/>
      <c r="I130" s="9"/>
      <c r="J130" s="9"/>
    </row>
    <row r="131" spans="4:10" x14ac:dyDescent="0.3">
      <c r="D131" s="11"/>
      <c r="E131" s="11"/>
      <c r="I131" s="9"/>
      <c r="J131" s="9"/>
    </row>
    <row r="132" spans="4:10" x14ac:dyDescent="0.3">
      <c r="D132" s="11"/>
      <c r="E132" s="11"/>
      <c r="I132" s="9"/>
      <c r="J132" s="9"/>
    </row>
    <row r="133" spans="4:10" x14ac:dyDescent="0.3">
      <c r="D133" s="11"/>
      <c r="E133" s="11"/>
      <c r="I133" s="9"/>
      <c r="J133" s="9"/>
    </row>
    <row r="134" spans="4:10" x14ac:dyDescent="0.3">
      <c r="D134" s="11"/>
      <c r="E134" s="11"/>
      <c r="I134" s="9"/>
      <c r="J134" s="9"/>
    </row>
    <row r="135" spans="4:10" x14ac:dyDescent="0.3">
      <c r="D135" s="11"/>
      <c r="E135" s="11"/>
      <c r="I135" s="9"/>
      <c r="J135" s="9"/>
    </row>
    <row r="136" spans="4:10" x14ac:dyDescent="0.3">
      <c r="D136" s="11"/>
      <c r="E136" s="11"/>
      <c r="I136" s="9"/>
      <c r="J136" s="9"/>
    </row>
    <row r="137" spans="4:10" x14ac:dyDescent="0.3">
      <c r="D137" s="11"/>
      <c r="E137" s="11"/>
      <c r="I137" s="9"/>
      <c r="J137" s="9"/>
    </row>
    <row r="138" spans="4:10" x14ac:dyDescent="0.3">
      <c r="D138" s="11"/>
      <c r="E138" s="11"/>
      <c r="I138" s="9"/>
      <c r="J138" s="9"/>
    </row>
    <row r="139" spans="4:10" x14ac:dyDescent="0.3">
      <c r="D139" s="11"/>
      <c r="E139" s="11"/>
      <c r="I139" s="9"/>
      <c r="J139" s="9"/>
    </row>
    <row r="140" spans="4:10" x14ac:dyDescent="0.3">
      <c r="D140" s="11"/>
      <c r="E140" s="11"/>
      <c r="I140" s="9"/>
      <c r="J140" s="9"/>
    </row>
    <row r="141" spans="4:10" x14ac:dyDescent="0.3">
      <c r="D141" s="11"/>
      <c r="E141" s="11"/>
      <c r="I141" s="9"/>
      <c r="J141" s="9"/>
    </row>
    <row r="142" spans="4:10" x14ac:dyDescent="0.3">
      <c r="D142" s="11"/>
      <c r="E142" s="11"/>
      <c r="I142" s="9"/>
      <c r="J142" s="9"/>
    </row>
    <row r="143" spans="4:10" x14ac:dyDescent="0.3">
      <c r="D143" s="11"/>
      <c r="E143" s="11"/>
      <c r="I143" s="9"/>
      <c r="J143" s="9"/>
    </row>
    <row r="144" spans="4:10" x14ac:dyDescent="0.3">
      <c r="D144" s="11"/>
      <c r="E144" s="11"/>
      <c r="I144" s="9"/>
      <c r="J144" s="9"/>
    </row>
    <row r="145" spans="4:10" x14ac:dyDescent="0.3">
      <c r="D145" s="11"/>
      <c r="E145" s="11"/>
      <c r="I145" s="9"/>
      <c r="J145" s="9"/>
    </row>
    <row r="146" spans="4:10" x14ac:dyDescent="0.3">
      <c r="D146" s="11"/>
      <c r="E146" s="11"/>
      <c r="I146" s="9"/>
      <c r="J146" s="9"/>
    </row>
    <row r="147" spans="4:10" x14ac:dyDescent="0.3">
      <c r="D147" s="11"/>
      <c r="E147" s="11"/>
      <c r="I147" s="9"/>
      <c r="J147" s="9"/>
    </row>
    <row r="148" spans="4:10" x14ac:dyDescent="0.3">
      <c r="D148" s="11"/>
      <c r="E148" s="11"/>
      <c r="I148" s="9"/>
      <c r="J148" s="9"/>
    </row>
    <row r="149" spans="4:10" x14ac:dyDescent="0.3">
      <c r="D149" s="11"/>
      <c r="E149" s="11"/>
      <c r="I149" s="9"/>
      <c r="J149" s="9"/>
    </row>
    <row r="150" spans="4:10" x14ac:dyDescent="0.3">
      <c r="D150" s="11"/>
      <c r="E150" s="11"/>
      <c r="I150" s="9"/>
      <c r="J150" s="9"/>
    </row>
    <row r="151" spans="4:10" x14ac:dyDescent="0.3">
      <c r="D151" s="11"/>
      <c r="E151" s="11"/>
      <c r="I151" s="9"/>
      <c r="J151" s="9"/>
    </row>
    <row r="152" spans="4:10" x14ac:dyDescent="0.3">
      <c r="D152" s="11"/>
      <c r="E152" s="11"/>
      <c r="I152" s="9"/>
      <c r="J152" s="9"/>
    </row>
    <row r="153" spans="4:10" x14ac:dyDescent="0.3">
      <c r="D153" s="11"/>
      <c r="E153" s="11"/>
      <c r="I153" s="9"/>
      <c r="J153" s="9"/>
    </row>
    <row r="154" spans="4:10" x14ac:dyDescent="0.3">
      <c r="D154" s="11"/>
      <c r="E154" s="11"/>
      <c r="I154" s="9"/>
      <c r="J154" s="9"/>
    </row>
    <row r="155" spans="4:10" x14ac:dyDescent="0.3">
      <c r="D155" s="11"/>
      <c r="E155" s="11"/>
      <c r="I155" s="9"/>
      <c r="J155" s="9"/>
    </row>
    <row r="156" spans="4:10" x14ac:dyDescent="0.3">
      <c r="D156" s="11"/>
      <c r="E156" s="11"/>
      <c r="I156" s="9"/>
      <c r="J156" s="9"/>
    </row>
    <row r="157" spans="4:10" x14ac:dyDescent="0.3">
      <c r="D157" s="11"/>
      <c r="E157" s="11"/>
      <c r="I157" s="9"/>
      <c r="J157" s="9"/>
    </row>
    <row r="158" spans="4:10" x14ac:dyDescent="0.3">
      <c r="D158" s="11"/>
      <c r="E158" s="11"/>
      <c r="I158" s="9"/>
      <c r="J158" s="9"/>
    </row>
    <row r="159" spans="4:10" x14ac:dyDescent="0.3">
      <c r="D159" s="11"/>
      <c r="E159" s="11"/>
      <c r="I159" s="9"/>
      <c r="J159" s="9"/>
    </row>
    <row r="160" spans="4:10" x14ac:dyDescent="0.3">
      <c r="D160" s="11"/>
      <c r="E160" s="11"/>
      <c r="I160" s="9"/>
      <c r="J160" s="9"/>
    </row>
    <row r="161" spans="4:10" x14ac:dyDescent="0.3">
      <c r="D161" s="11"/>
      <c r="E161" s="11"/>
      <c r="I161" s="9"/>
      <c r="J161" s="9"/>
    </row>
    <row r="162" spans="4:10" x14ac:dyDescent="0.3">
      <c r="D162" s="11"/>
      <c r="E162" s="11"/>
      <c r="I162" s="9"/>
      <c r="J162" s="9"/>
    </row>
    <row r="163" spans="4:10" x14ac:dyDescent="0.3">
      <c r="D163" s="11"/>
      <c r="E163" s="11"/>
      <c r="I163" s="9"/>
      <c r="J163" s="9"/>
    </row>
    <row r="164" spans="4:10" x14ac:dyDescent="0.3">
      <c r="D164" s="11"/>
      <c r="E164" s="11"/>
      <c r="I164" s="9"/>
      <c r="J164" s="9"/>
    </row>
    <row r="165" spans="4:10" x14ac:dyDescent="0.3">
      <c r="D165" s="11"/>
      <c r="E165" s="11"/>
      <c r="I165" s="9"/>
      <c r="J165" s="9"/>
    </row>
    <row r="166" spans="4:10" x14ac:dyDescent="0.3">
      <c r="D166" s="11"/>
      <c r="E166" s="11"/>
      <c r="I166" s="9"/>
      <c r="J166" s="9"/>
    </row>
    <row r="167" spans="4:10" x14ac:dyDescent="0.3">
      <c r="D167" s="11"/>
      <c r="E167" s="11"/>
      <c r="I167" s="9"/>
      <c r="J167" s="9"/>
    </row>
    <row r="168" spans="4:10" x14ac:dyDescent="0.3">
      <c r="D168" s="11"/>
      <c r="E168" s="11"/>
      <c r="I168" s="9"/>
      <c r="J168" s="9"/>
    </row>
    <row r="169" spans="4:10" x14ac:dyDescent="0.3">
      <c r="D169" s="11"/>
      <c r="E169" s="11"/>
      <c r="I169" s="9"/>
      <c r="J169" s="9"/>
    </row>
    <row r="170" spans="4:10" x14ac:dyDescent="0.3">
      <c r="D170" s="11"/>
      <c r="E170" s="11"/>
      <c r="I170" s="9"/>
      <c r="J170" s="9"/>
    </row>
    <row r="171" spans="4:10" x14ac:dyDescent="0.3">
      <c r="D171" s="11"/>
      <c r="E171" s="11"/>
      <c r="I171" s="9"/>
      <c r="J171" s="9"/>
    </row>
    <row r="172" spans="4:10" x14ac:dyDescent="0.3">
      <c r="D172" s="11"/>
      <c r="E172" s="11"/>
      <c r="I172" s="9"/>
      <c r="J172" s="9"/>
    </row>
    <row r="173" spans="4:10" x14ac:dyDescent="0.3">
      <c r="D173" s="11"/>
      <c r="E173" s="11"/>
      <c r="I173" s="9"/>
      <c r="J173" s="9"/>
    </row>
    <row r="174" spans="4:10" x14ac:dyDescent="0.3">
      <c r="D174" s="11"/>
      <c r="E174" s="11"/>
      <c r="I174" s="9"/>
      <c r="J174" s="9"/>
    </row>
    <row r="175" spans="4:10" x14ac:dyDescent="0.3">
      <c r="D175" s="11"/>
      <c r="E175" s="11"/>
      <c r="I175" s="9"/>
      <c r="J175" s="9"/>
    </row>
    <row r="176" spans="4:10" x14ac:dyDescent="0.3">
      <c r="D176" s="11"/>
      <c r="E176" s="11"/>
      <c r="I176" s="9"/>
      <c r="J176" s="9"/>
    </row>
    <row r="177" spans="4:10" x14ac:dyDescent="0.3">
      <c r="D177" s="11"/>
      <c r="E177" s="11"/>
      <c r="I177" s="9"/>
      <c r="J177" s="9"/>
    </row>
    <row r="178" spans="4:10" x14ac:dyDescent="0.3">
      <c r="D178" s="11"/>
      <c r="E178" s="11"/>
      <c r="I178" s="9"/>
      <c r="J178" s="9"/>
    </row>
    <row r="179" spans="4:10" x14ac:dyDescent="0.3">
      <c r="D179" s="11"/>
      <c r="E179" s="11"/>
      <c r="I179" s="9"/>
      <c r="J179" s="9"/>
    </row>
    <row r="180" spans="4:10" x14ac:dyDescent="0.3">
      <c r="D180" s="11"/>
      <c r="E180" s="11"/>
      <c r="I180" s="9"/>
      <c r="J180" s="9"/>
    </row>
    <row r="181" spans="4:10" x14ac:dyDescent="0.3">
      <c r="D181" s="11"/>
      <c r="E181" s="11"/>
      <c r="I181" s="9"/>
      <c r="J181" s="9"/>
    </row>
    <row r="182" spans="4:10" x14ac:dyDescent="0.3">
      <c r="D182" s="11"/>
      <c r="E182" s="11"/>
      <c r="I182" s="9"/>
      <c r="J182" s="9"/>
    </row>
    <row r="183" spans="4:10" x14ac:dyDescent="0.3">
      <c r="D183" s="11"/>
      <c r="E183" s="11"/>
      <c r="I183" s="9"/>
      <c r="J183" s="9"/>
    </row>
    <row r="184" spans="4:10" x14ac:dyDescent="0.3">
      <c r="D184" s="11"/>
      <c r="E184" s="11"/>
      <c r="I184" s="9"/>
      <c r="J184" s="9"/>
    </row>
    <row r="185" spans="4:10" x14ac:dyDescent="0.3">
      <c r="D185" s="11"/>
      <c r="E185" s="11"/>
      <c r="I185" s="9"/>
      <c r="J185" s="9"/>
    </row>
    <row r="186" spans="4:10" x14ac:dyDescent="0.3">
      <c r="D186" s="11"/>
      <c r="E186" s="11"/>
      <c r="I186" s="9"/>
      <c r="J186" s="9"/>
    </row>
    <row r="187" spans="4:10" x14ac:dyDescent="0.3">
      <c r="D187" s="11"/>
      <c r="E187" s="11"/>
      <c r="I187" s="9"/>
      <c r="J187" s="9"/>
    </row>
    <row r="188" spans="4:10" x14ac:dyDescent="0.3">
      <c r="D188" s="11"/>
      <c r="E188" s="11"/>
      <c r="I188" s="9"/>
      <c r="J188" s="9"/>
    </row>
    <row r="189" spans="4:10" x14ac:dyDescent="0.3">
      <c r="D189" s="11"/>
      <c r="E189" s="11"/>
      <c r="I189" s="9"/>
      <c r="J189" s="9"/>
    </row>
    <row r="190" spans="4:10" x14ac:dyDescent="0.3">
      <c r="D190" s="11"/>
      <c r="E190" s="11"/>
      <c r="I190" s="9"/>
      <c r="J190" s="9"/>
    </row>
    <row r="191" spans="4:10" x14ac:dyDescent="0.3">
      <c r="D191" s="11"/>
      <c r="E191" s="11"/>
      <c r="I191" s="9"/>
      <c r="J191" s="9"/>
    </row>
    <row r="192" spans="4:10" x14ac:dyDescent="0.3">
      <c r="D192" s="11"/>
      <c r="E192" s="11"/>
      <c r="I192" s="9"/>
      <c r="J192" s="9"/>
    </row>
    <row r="193" spans="4:10" x14ac:dyDescent="0.3">
      <c r="D193" s="11"/>
      <c r="E193" s="11"/>
      <c r="I193" s="9"/>
      <c r="J193" s="9"/>
    </row>
    <row r="194" spans="4:10" x14ac:dyDescent="0.3">
      <c r="D194" s="11"/>
      <c r="E194" s="11"/>
      <c r="I194" s="9"/>
      <c r="J194" s="9"/>
    </row>
    <row r="195" spans="4:10" x14ac:dyDescent="0.3">
      <c r="D195" s="11"/>
      <c r="E195" s="11"/>
      <c r="I195" s="9"/>
      <c r="J195" s="9"/>
    </row>
    <row r="196" spans="4:10" x14ac:dyDescent="0.3">
      <c r="D196" s="11"/>
      <c r="E196" s="11"/>
      <c r="I196" s="9"/>
      <c r="J196" s="9"/>
    </row>
    <row r="197" spans="4:10" x14ac:dyDescent="0.3">
      <c r="D197" s="11"/>
      <c r="E197" s="11"/>
      <c r="I197" s="9"/>
      <c r="J197" s="9"/>
    </row>
    <row r="198" spans="4:10" x14ac:dyDescent="0.3">
      <c r="D198" s="11"/>
      <c r="E198" s="11"/>
      <c r="I198" s="9"/>
      <c r="J198" s="9"/>
    </row>
    <row r="199" spans="4:10" x14ac:dyDescent="0.3">
      <c r="D199" s="11"/>
      <c r="E199" s="11"/>
      <c r="I199" s="9"/>
      <c r="J199" s="9"/>
    </row>
    <row r="200" spans="4:10" x14ac:dyDescent="0.3">
      <c r="D200" s="11"/>
      <c r="E200" s="11"/>
      <c r="I200" s="9"/>
      <c r="J200" s="9"/>
    </row>
    <row r="201" spans="4:10" x14ac:dyDescent="0.3">
      <c r="D201" s="11"/>
      <c r="E201" s="11"/>
      <c r="I201" s="9"/>
      <c r="J201" s="9"/>
    </row>
    <row r="202" spans="4:10" x14ac:dyDescent="0.3">
      <c r="D202" s="11"/>
      <c r="E202" s="11"/>
      <c r="I202" s="9"/>
      <c r="J202" s="9"/>
    </row>
    <row r="203" spans="4:10" x14ac:dyDescent="0.3">
      <c r="D203" s="11"/>
      <c r="E203" s="11"/>
      <c r="I203" s="9"/>
      <c r="J203" s="9"/>
    </row>
    <row r="204" spans="4:10" x14ac:dyDescent="0.3">
      <c r="D204" s="11"/>
      <c r="E204" s="11"/>
      <c r="I204" s="9"/>
      <c r="J204" s="9"/>
    </row>
    <row r="205" spans="4:10" x14ac:dyDescent="0.3">
      <c r="D205" s="11"/>
      <c r="E205" s="11"/>
      <c r="I205" s="9"/>
      <c r="J205" s="9"/>
    </row>
    <row r="206" spans="4:10" x14ac:dyDescent="0.3">
      <c r="D206" s="11"/>
      <c r="E206" s="11"/>
      <c r="I206" s="9"/>
      <c r="J206" s="9"/>
    </row>
    <row r="207" spans="4:10" x14ac:dyDescent="0.3">
      <c r="D207" s="11"/>
      <c r="E207" s="11"/>
      <c r="I207" s="9"/>
      <c r="J207" s="9"/>
    </row>
    <row r="208" spans="4:10" x14ac:dyDescent="0.3">
      <c r="D208" s="11"/>
      <c r="E208" s="11"/>
      <c r="I208" s="9"/>
      <c r="J208" s="9"/>
    </row>
    <row r="209" spans="4:10" x14ac:dyDescent="0.3">
      <c r="D209" s="11"/>
      <c r="E209" s="11"/>
      <c r="I209" s="9"/>
      <c r="J209" s="9"/>
    </row>
    <row r="210" spans="4:10" x14ac:dyDescent="0.3">
      <c r="D210" s="11"/>
      <c r="E210" s="11"/>
      <c r="I210" s="9"/>
      <c r="J210" s="9"/>
    </row>
    <row r="211" spans="4:10" x14ac:dyDescent="0.3">
      <c r="D211" s="11"/>
      <c r="E211" s="11"/>
      <c r="I211" s="9"/>
      <c r="J211" s="9"/>
    </row>
    <row r="212" spans="4:10" x14ac:dyDescent="0.3">
      <c r="D212" s="11"/>
      <c r="E212" s="11"/>
      <c r="I212" s="9"/>
      <c r="J212" s="9"/>
    </row>
    <row r="213" spans="4:10" x14ac:dyDescent="0.3">
      <c r="D213" s="11"/>
      <c r="E213" s="11"/>
      <c r="I213" s="9"/>
      <c r="J213" s="9"/>
    </row>
    <row r="214" spans="4:10" x14ac:dyDescent="0.3">
      <c r="D214" s="11"/>
      <c r="E214" s="11"/>
      <c r="I214" s="9"/>
      <c r="J214" s="9"/>
    </row>
    <row r="215" spans="4:10" x14ac:dyDescent="0.3">
      <c r="D215" s="11"/>
      <c r="E215" s="11"/>
      <c r="I215" s="9"/>
      <c r="J215" s="9"/>
    </row>
    <row r="216" spans="4:10" x14ac:dyDescent="0.3">
      <c r="D216" s="11"/>
      <c r="E216" s="11"/>
      <c r="I216" s="9"/>
      <c r="J216" s="9"/>
    </row>
    <row r="217" spans="4:10" x14ac:dyDescent="0.3">
      <c r="D217" s="11"/>
      <c r="E217" s="11"/>
      <c r="I217" s="9"/>
      <c r="J217" s="9"/>
    </row>
    <row r="218" spans="4:10" x14ac:dyDescent="0.3">
      <c r="D218" s="11"/>
      <c r="E218" s="11"/>
      <c r="I218" s="9"/>
      <c r="J218" s="9"/>
    </row>
    <row r="219" spans="4:10" x14ac:dyDescent="0.3">
      <c r="D219" s="11"/>
      <c r="E219" s="11"/>
      <c r="I219" s="9"/>
      <c r="J219" s="9"/>
    </row>
    <row r="220" spans="4:10" x14ac:dyDescent="0.3">
      <c r="D220" s="11"/>
      <c r="E220" s="11"/>
      <c r="I220" s="9"/>
      <c r="J220" s="9"/>
    </row>
    <row r="221" spans="4:10" x14ac:dyDescent="0.3">
      <c r="D221" s="11"/>
      <c r="E221" s="11"/>
      <c r="I221" s="9"/>
      <c r="J221" s="9"/>
    </row>
    <row r="222" spans="4:10" x14ac:dyDescent="0.3">
      <c r="D222" s="11"/>
      <c r="E222" s="11"/>
      <c r="I222" s="9"/>
      <c r="J222" s="9"/>
    </row>
    <row r="223" spans="4:10" x14ac:dyDescent="0.3">
      <c r="D223" s="11"/>
      <c r="E223" s="11"/>
      <c r="I223" s="9"/>
      <c r="J223" s="9"/>
    </row>
    <row r="224" spans="4:10" x14ac:dyDescent="0.3">
      <c r="D224" s="11"/>
      <c r="E224" s="11"/>
      <c r="I224" s="9"/>
      <c r="J224" s="9"/>
    </row>
    <row r="225" spans="4:10" x14ac:dyDescent="0.3">
      <c r="D225" s="11"/>
      <c r="E225" s="11"/>
      <c r="I225" s="9"/>
      <c r="J225" s="9"/>
    </row>
    <row r="226" spans="4:10" x14ac:dyDescent="0.3">
      <c r="D226" s="11"/>
      <c r="E226" s="11"/>
      <c r="I226" s="9"/>
      <c r="J226" s="9"/>
    </row>
    <row r="227" spans="4:10" x14ac:dyDescent="0.3">
      <c r="D227" s="11"/>
      <c r="E227" s="11"/>
      <c r="I227" s="9"/>
      <c r="J227" s="9"/>
    </row>
    <row r="228" spans="4:10" x14ac:dyDescent="0.3">
      <c r="D228" s="11"/>
      <c r="E228" s="11"/>
      <c r="I228" s="9"/>
      <c r="J228" s="9"/>
    </row>
    <row r="229" spans="4:10" x14ac:dyDescent="0.3">
      <c r="D229" s="11"/>
      <c r="E229" s="11"/>
      <c r="I229" s="9"/>
      <c r="J229" s="9"/>
    </row>
    <row r="230" spans="4:10" x14ac:dyDescent="0.3">
      <c r="D230" s="11"/>
      <c r="E230" s="11"/>
      <c r="I230" s="9"/>
      <c r="J230" s="9"/>
    </row>
    <row r="231" spans="4:10" x14ac:dyDescent="0.3">
      <c r="D231" s="11"/>
      <c r="E231" s="11"/>
      <c r="I231" s="9"/>
      <c r="J231" s="9"/>
    </row>
    <row r="232" spans="4:10" x14ac:dyDescent="0.3">
      <c r="D232" s="11"/>
      <c r="E232" s="11"/>
      <c r="I232" s="9"/>
      <c r="J232" s="9"/>
    </row>
    <row r="233" spans="4:10" x14ac:dyDescent="0.3">
      <c r="D233" s="11"/>
      <c r="E233" s="11"/>
      <c r="I233" s="9"/>
      <c r="J233" s="9"/>
    </row>
    <row r="234" spans="4:10" x14ac:dyDescent="0.3">
      <c r="D234" s="11"/>
      <c r="E234" s="11"/>
      <c r="I234" s="9"/>
      <c r="J234" s="9"/>
    </row>
    <row r="235" spans="4:10" x14ac:dyDescent="0.3">
      <c r="D235" s="11"/>
      <c r="E235" s="11"/>
      <c r="I235" s="9"/>
      <c r="J235" s="9"/>
    </row>
    <row r="236" spans="4:10" x14ac:dyDescent="0.3">
      <c r="D236" s="11"/>
      <c r="E236" s="11"/>
      <c r="I236" s="9"/>
      <c r="J236" s="9"/>
    </row>
    <row r="237" spans="4:10" x14ac:dyDescent="0.3">
      <c r="D237" s="11"/>
      <c r="E237" s="11"/>
      <c r="I237" s="9"/>
      <c r="J237" s="9"/>
    </row>
    <row r="238" spans="4:10" x14ac:dyDescent="0.3">
      <c r="D238" s="11"/>
      <c r="E238" s="11"/>
      <c r="I238" s="9"/>
      <c r="J238" s="9"/>
    </row>
    <row r="239" spans="4:10" x14ac:dyDescent="0.3">
      <c r="D239" s="11"/>
      <c r="E239" s="11"/>
      <c r="I239" s="9"/>
      <c r="J239" s="9"/>
    </row>
    <row r="240" spans="4:10" x14ac:dyDescent="0.3">
      <c r="D240" s="11"/>
      <c r="E240" s="11"/>
      <c r="I240" s="9"/>
      <c r="J240" s="9"/>
    </row>
    <row r="241" spans="4:10" x14ac:dyDescent="0.3">
      <c r="D241" s="11"/>
      <c r="E241" s="11"/>
      <c r="I241" s="9"/>
      <c r="J241" s="9"/>
    </row>
    <row r="242" spans="4:10" x14ac:dyDescent="0.3">
      <c r="D242" s="11"/>
      <c r="E242" s="11"/>
      <c r="I242" s="9"/>
      <c r="J242" s="9"/>
    </row>
    <row r="243" spans="4:10" x14ac:dyDescent="0.3">
      <c r="D243" s="11"/>
      <c r="E243" s="11"/>
      <c r="I243" s="9"/>
      <c r="J243" s="9"/>
    </row>
    <row r="244" spans="4:10" x14ac:dyDescent="0.3">
      <c r="D244" s="11"/>
      <c r="E244" s="11"/>
      <c r="I244" s="9"/>
      <c r="J244" s="9"/>
    </row>
    <row r="245" spans="4:10" x14ac:dyDescent="0.3">
      <c r="D245" s="11"/>
      <c r="E245" s="11"/>
      <c r="I245" s="9"/>
      <c r="J245" s="9"/>
    </row>
    <row r="246" spans="4:10" x14ac:dyDescent="0.3">
      <c r="D246" s="11"/>
      <c r="E246" s="11"/>
      <c r="I246" s="9"/>
      <c r="J246" s="9"/>
    </row>
    <row r="247" spans="4:10" x14ac:dyDescent="0.3">
      <c r="D247" s="11"/>
      <c r="E247" s="11"/>
      <c r="I247" s="9"/>
      <c r="J247" s="9"/>
    </row>
    <row r="248" spans="4:10" x14ac:dyDescent="0.3">
      <c r="D248" s="11"/>
      <c r="E248" s="11"/>
      <c r="I248" s="9"/>
      <c r="J248" s="9"/>
    </row>
    <row r="249" spans="4:10" x14ac:dyDescent="0.3">
      <c r="D249" s="11"/>
      <c r="E249" s="11"/>
      <c r="I249" s="9"/>
      <c r="J249" s="9"/>
    </row>
    <row r="250" spans="4:10" x14ac:dyDescent="0.3">
      <c r="D250" s="11"/>
      <c r="E250" s="11"/>
      <c r="I250" s="9"/>
      <c r="J250" s="9"/>
    </row>
    <row r="251" spans="4:10" x14ac:dyDescent="0.3">
      <c r="D251" s="11"/>
      <c r="E251" s="11"/>
      <c r="I251" s="9"/>
      <c r="J251" s="9"/>
    </row>
    <row r="252" spans="4:10" x14ac:dyDescent="0.3">
      <c r="D252" s="11"/>
      <c r="E252" s="11"/>
      <c r="I252" s="9"/>
      <c r="J252" s="9"/>
    </row>
    <row r="253" spans="4:10" x14ac:dyDescent="0.3">
      <c r="D253" s="11"/>
      <c r="E253" s="11"/>
      <c r="I253" s="9"/>
      <c r="J253" s="9"/>
    </row>
    <row r="254" spans="4:10" x14ac:dyDescent="0.3">
      <c r="D254" s="11"/>
      <c r="E254" s="11"/>
      <c r="I254" s="9"/>
      <c r="J254" s="9"/>
    </row>
    <row r="255" spans="4:10" x14ac:dyDescent="0.3">
      <c r="D255" s="11"/>
      <c r="E255" s="11"/>
      <c r="I255" s="9"/>
      <c r="J255" s="9"/>
    </row>
    <row r="256" spans="4:10" x14ac:dyDescent="0.3">
      <c r="D256" s="11"/>
      <c r="E256" s="11"/>
      <c r="I256" s="9"/>
      <c r="J256" s="9"/>
    </row>
    <row r="257" spans="4:10" x14ac:dyDescent="0.3">
      <c r="D257" s="11"/>
      <c r="E257" s="11"/>
      <c r="I257" s="9"/>
      <c r="J257" s="9"/>
    </row>
    <row r="258" spans="4:10" x14ac:dyDescent="0.3">
      <c r="D258" s="11"/>
      <c r="E258" s="11"/>
      <c r="I258" s="9"/>
      <c r="J258" s="9"/>
    </row>
    <row r="259" spans="4:10" x14ac:dyDescent="0.3">
      <c r="D259" s="11"/>
      <c r="E259" s="11"/>
      <c r="I259" s="9"/>
      <c r="J259" s="9"/>
    </row>
    <row r="260" spans="4:10" x14ac:dyDescent="0.3">
      <c r="D260" s="11"/>
      <c r="E260" s="11"/>
      <c r="I260" s="9"/>
      <c r="J260" s="9"/>
    </row>
    <row r="261" spans="4:10" x14ac:dyDescent="0.3">
      <c r="D261" s="11"/>
      <c r="E261" s="11"/>
      <c r="I261" s="9"/>
      <c r="J261" s="9"/>
    </row>
    <row r="262" spans="4:10" x14ac:dyDescent="0.3">
      <c r="D262" s="11"/>
      <c r="E262" s="11"/>
      <c r="I262" s="9"/>
      <c r="J262" s="9"/>
    </row>
    <row r="263" spans="4:10" x14ac:dyDescent="0.3">
      <c r="D263" s="11"/>
      <c r="E263" s="11"/>
      <c r="I263" s="9"/>
      <c r="J263" s="9"/>
    </row>
    <row r="264" spans="4:10" x14ac:dyDescent="0.3">
      <c r="D264" s="11"/>
      <c r="E264" s="11"/>
      <c r="I264" s="9"/>
      <c r="J264" s="9"/>
    </row>
    <row r="265" spans="4:10" x14ac:dyDescent="0.3">
      <c r="D265" s="11"/>
      <c r="E265" s="11"/>
      <c r="I265" s="9"/>
      <c r="J265" s="9"/>
    </row>
    <row r="266" spans="4:10" x14ac:dyDescent="0.3">
      <c r="D266" s="11"/>
      <c r="E266" s="11"/>
      <c r="I266" s="9"/>
      <c r="J266" s="9"/>
    </row>
    <row r="267" spans="4:10" x14ac:dyDescent="0.3">
      <c r="D267" s="11"/>
      <c r="E267" s="11"/>
      <c r="I267" s="9"/>
      <c r="J267" s="9"/>
    </row>
    <row r="268" spans="4:10" x14ac:dyDescent="0.3">
      <c r="D268" s="11"/>
      <c r="E268" s="11"/>
      <c r="I268" s="9"/>
      <c r="J268" s="9"/>
    </row>
    <row r="269" spans="4:10" x14ac:dyDescent="0.3">
      <c r="D269" s="11"/>
      <c r="E269" s="11"/>
      <c r="I269" s="9"/>
      <c r="J269" s="9"/>
    </row>
    <row r="270" spans="4:10" x14ac:dyDescent="0.3">
      <c r="D270" s="11"/>
      <c r="E270" s="11"/>
      <c r="I270" s="9"/>
      <c r="J270" s="9"/>
    </row>
    <row r="271" spans="4:10" x14ac:dyDescent="0.3">
      <c r="D271" s="11"/>
      <c r="E271" s="11"/>
      <c r="I271" s="9"/>
      <c r="J271" s="9"/>
    </row>
    <row r="272" spans="4:10" x14ac:dyDescent="0.3">
      <c r="D272" s="11"/>
      <c r="E272" s="11"/>
      <c r="I272" s="9"/>
      <c r="J272" s="9"/>
    </row>
    <row r="273" spans="4:10" x14ac:dyDescent="0.3">
      <c r="D273" s="11"/>
      <c r="E273" s="11"/>
      <c r="I273" s="9"/>
      <c r="J273" s="9"/>
    </row>
    <row r="274" spans="4:10" x14ac:dyDescent="0.3">
      <c r="D274" s="11"/>
      <c r="E274" s="11"/>
      <c r="I274" s="9"/>
      <c r="J274" s="9"/>
    </row>
    <row r="275" spans="4:10" x14ac:dyDescent="0.3">
      <c r="D275" s="11"/>
      <c r="E275" s="11"/>
      <c r="I275" s="9"/>
      <c r="J275" s="9"/>
    </row>
    <row r="276" spans="4:10" x14ac:dyDescent="0.3">
      <c r="D276" s="11"/>
      <c r="E276" s="11"/>
      <c r="I276" s="9"/>
      <c r="J276" s="9"/>
    </row>
    <row r="277" spans="4:10" x14ac:dyDescent="0.3">
      <c r="D277" s="11"/>
      <c r="E277" s="11"/>
      <c r="I277" s="9"/>
      <c r="J277" s="9"/>
    </row>
    <row r="278" spans="4:10" x14ac:dyDescent="0.3">
      <c r="D278" s="11"/>
      <c r="E278" s="11"/>
      <c r="I278" s="9"/>
      <c r="J278" s="9"/>
    </row>
    <row r="279" spans="4:10" x14ac:dyDescent="0.3">
      <c r="D279" s="11"/>
      <c r="E279" s="11"/>
      <c r="I279" s="9"/>
      <c r="J279" s="9"/>
    </row>
    <row r="280" spans="4:10" x14ac:dyDescent="0.3">
      <c r="D280" s="11"/>
      <c r="E280" s="11"/>
      <c r="I280" s="9"/>
      <c r="J280" s="9"/>
    </row>
    <row r="281" spans="4:10" x14ac:dyDescent="0.3">
      <c r="D281" s="11"/>
      <c r="E281" s="11"/>
      <c r="I281" s="9"/>
      <c r="J281" s="9"/>
    </row>
    <row r="282" spans="4:10" x14ac:dyDescent="0.3">
      <c r="D282" s="11"/>
      <c r="E282" s="11"/>
      <c r="I282" s="9"/>
      <c r="J282" s="9"/>
    </row>
    <row r="283" spans="4:10" x14ac:dyDescent="0.3">
      <c r="D283" s="11"/>
      <c r="E283" s="11"/>
      <c r="I283" s="9"/>
      <c r="J283" s="9"/>
    </row>
    <row r="284" spans="4:10" x14ac:dyDescent="0.3">
      <c r="D284" s="11"/>
      <c r="E284" s="11"/>
      <c r="I284" s="9"/>
      <c r="J284" s="9"/>
    </row>
    <row r="285" spans="4:10" x14ac:dyDescent="0.3">
      <c r="D285" s="11"/>
      <c r="E285" s="11"/>
      <c r="I285" s="9"/>
      <c r="J285" s="9"/>
    </row>
    <row r="286" spans="4:10" x14ac:dyDescent="0.3">
      <c r="D286" s="11"/>
      <c r="E286" s="11"/>
      <c r="I286" s="9"/>
      <c r="J286" s="9"/>
    </row>
    <row r="287" spans="4:10" x14ac:dyDescent="0.3">
      <c r="D287" s="11"/>
      <c r="E287" s="11"/>
      <c r="I287" s="9"/>
      <c r="J287" s="9"/>
    </row>
    <row r="288" spans="4:10" x14ac:dyDescent="0.3">
      <c r="D288" s="11"/>
      <c r="E288" s="11"/>
      <c r="I288" s="9"/>
      <c r="J288" s="9"/>
    </row>
    <row r="289" spans="4:10" x14ac:dyDescent="0.3">
      <c r="D289" s="11"/>
      <c r="E289" s="11"/>
      <c r="I289" s="9"/>
      <c r="J289" s="9"/>
    </row>
    <row r="290" spans="4:10" x14ac:dyDescent="0.3">
      <c r="D290" s="11"/>
      <c r="E290" s="11"/>
      <c r="I290" s="9"/>
      <c r="J290" s="9"/>
    </row>
    <row r="291" spans="4:10" x14ac:dyDescent="0.3">
      <c r="D291" s="11"/>
      <c r="E291" s="11"/>
      <c r="I291" s="9"/>
      <c r="J291" s="9"/>
    </row>
    <row r="292" spans="4:10" x14ac:dyDescent="0.3">
      <c r="D292" s="11"/>
      <c r="E292" s="11"/>
      <c r="I292" s="9"/>
      <c r="J292" s="9"/>
    </row>
    <row r="293" spans="4:10" x14ac:dyDescent="0.3">
      <c r="D293" s="11"/>
      <c r="E293" s="11"/>
      <c r="I293" s="9"/>
      <c r="J293" s="9"/>
    </row>
    <row r="294" spans="4:10" x14ac:dyDescent="0.3">
      <c r="D294" s="11"/>
      <c r="E294" s="11"/>
      <c r="I294" s="9"/>
      <c r="J294" s="9"/>
    </row>
    <row r="295" spans="4:10" x14ac:dyDescent="0.3">
      <c r="D295" s="11"/>
      <c r="E295" s="11"/>
      <c r="I295" s="9"/>
      <c r="J295" s="9"/>
    </row>
    <row r="296" spans="4:10" x14ac:dyDescent="0.3">
      <c r="D296" s="11"/>
      <c r="E296" s="11"/>
      <c r="I296" s="9"/>
      <c r="J296" s="9"/>
    </row>
    <row r="297" spans="4:10" x14ac:dyDescent="0.3">
      <c r="D297" s="11"/>
      <c r="E297" s="11"/>
      <c r="I297" s="9"/>
      <c r="J297" s="9"/>
    </row>
    <row r="298" spans="4:10" x14ac:dyDescent="0.3">
      <c r="D298" s="11"/>
      <c r="E298" s="11"/>
      <c r="I298" s="9"/>
      <c r="J298" s="9"/>
    </row>
    <row r="299" spans="4:10" x14ac:dyDescent="0.3">
      <c r="D299" s="11"/>
      <c r="E299" s="11"/>
      <c r="I299" s="9"/>
      <c r="J299" s="9"/>
    </row>
    <row r="300" spans="4:10" x14ac:dyDescent="0.3">
      <c r="D300" s="11"/>
      <c r="E300" s="11"/>
      <c r="I300" s="9"/>
      <c r="J300" s="9"/>
    </row>
    <row r="301" spans="4:10" x14ac:dyDescent="0.3">
      <c r="D301" s="11"/>
      <c r="E301" s="11"/>
      <c r="I301" s="9"/>
      <c r="J301" s="9"/>
    </row>
    <row r="302" spans="4:10" x14ac:dyDescent="0.3">
      <c r="D302" s="11"/>
      <c r="E302" s="11"/>
      <c r="I302" s="9"/>
      <c r="J302" s="9"/>
    </row>
    <row r="303" spans="4:10" x14ac:dyDescent="0.3">
      <c r="D303" s="11"/>
      <c r="E303" s="11"/>
      <c r="I303" s="9"/>
      <c r="J303" s="9"/>
    </row>
    <row r="304" spans="4:10" x14ac:dyDescent="0.3">
      <c r="D304" s="11"/>
      <c r="E304" s="11"/>
      <c r="I304" s="9"/>
      <c r="J304" s="9"/>
    </row>
    <row r="305" spans="4:10" x14ac:dyDescent="0.3">
      <c r="D305" s="11"/>
      <c r="E305" s="11"/>
      <c r="I305" s="9"/>
      <c r="J305" s="9"/>
    </row>
    <row r="306" spans="4:10" x14ac:dyDescent="0.3">
      <c r="D306" s="11"/>
      <c r="E306" s="11"/>
      <c r="I306" s="9"/>
      <c r="J306" s="9"/>
    </row>
    <row r="307" spans="4:10" x14ac:dyDescent="0.3">
      <c r="D307" s="11"/>
      <c r="E307" s="11"/>
      <c r="I307" s="9"/>
      <c r="J307" s="9"/>
    </row>
    <row r="308" spans="4:10" x14ac:dyDescent="0.3">
      <c r="D308" s="11"/>
      <c r="E308" s="11"/>
      <c r="I308" s="9"/>
      <c r="J308" s="9"/>
    </row>
    <row r="309" spans="4:10" x14ac:dyDescent="0.3">
      <c r="D309" s="11"/>
      <c r="E309" s="11"/>
      <c r="I309" s="9"/>
      <c r="J309" s="9"/>
    </row>
    <row r="310" spans="4:10" x14ac:dyDescent="0.3">
      <c r="D310" s="11"/>
      <c r="E310" s="11"/>
      <c r="I310" s="9"/>
      <c r="J310" s="9"/>
    </row>
    <row r="311" spans="4:10" x14ac:dyDescent="0.3">
      <c r="D311" s="11"/>
      <c r="E311" s="11"/>
      <c r="I311" s="9"/>
      <c r="J311" s="9"/>
    </row>
    <row r="312" spans="4:10" x14ac:dyDescent="0.3">
      <c r="D312" s="11"/>
      <c r="E312" s="11"/>
      <c r="I312" s="9"/>
      <c r="J312" s="9"/>
    </row>
    <row r="313" spans="4:10" x14ac:dyDescent="0.3">
      <c r="D313" s="11"/>
      <c r="E313" s="11"/>
      <c r="I313" s="9"/>
      <c r="J313" s="9"/>
    </row>
    <row r="314" spans="4:10" x14ac:dyDescent="0.3">
      <c r="D314" s="11"/>
      <c r="E314" s="11"/>
      <c r="I314" s="9"/>
      <c r="J314" s="9"/>
    </row>
    <row r="315" spans="4:10" x14ac:dyDescent="0.3">
      <c r="D315" s="11"/>
      <c r="E315" s="11"/>
      <c r="I315" s="9"/>
      <c r="J315" s="9"/>
    </row>
    <row r="316" spans="4:10" x14ac:dyDescent="0.3">
      <c r="D316" s="11"/>
      <c r="E316" s="11"/>
      <c r="I316" s="9"/>
      <c r="J316" s="9"/>
    </row>
    <row r="317" spans="4:10" x14ac:dyDescent="0.3">
      <c r="D317" s="11"/>
      <c r="E317" s="11"/>
      <c r="I317" s="9"/>
      <c r="J317" s="9"/>
    </row>
    <row r="318" spans="4:10" x14ac:dyDescent="0.3">
      <c r="D318" s="11"/>
      <c r="E318" s="11"/>
      <c r="I318" s="9"/>
      <c r="J318" s="9"/>
    </row>
    <row r="319" spans="4:10" x14ac:dyDescent="0.3">
      <c r="D319" s="11"/>
      <c r="E319" s="11"/>
      <c r="I319" s="9"/>
      <c r="J319" s="9"/>
    </row>
    <row r="320" spans="4:10" x14ac:dyDescent="0.3">
      <c r="D320" s="11"/>
      <c r="E320" s="11"/>
      <c r="I320" s="9"/>
      <c r="J320" s="9"/>
    </row>
    <row r="321" spans="4:10" x14ac:dyDescent="0.3">
      <c r="D321" s="11"/>
      <c r="E321" s="11"/>
      <c r="I321" s="9"/>
      <c r="J321" s="9"/>
    </row>
    <row r="322" spans="4:10" x14ac:dyDescent="0.3">
      <c r="D322" s="11"/>
      <c r="E322" s="11"/>
      <c r="I322" s="9"/>
      <c r="J322" s="9"/>
    </row>
    <row r="323" spans="4:10" x14ac:dyDescent="0.3">
      <c r="D323" s="11"/>
      <c r="E323" s="11"/>
      <c r="I323" s="9"/>
      <c r="J323" s="9"/>
    </row>
    <row r="324" spans="4:10" x14ac:dyDescent="0.3">
      <c r="D324" s="11"/>
      <c r="E324" s="11"/>
      <c r="I324" s="9"/>
      <c r="J324" s="9"/>
    </row>
    <row r="325" spans="4:10" x14ac:dyDescent="0.3">
      <c r="D325" s="11"/>
      <c r="E325" s="11"/>
      <c r="I325" s="9"/>
      <c r="J325" s="9"/>
    </row>
    <row r="326" spans="4:10" x14ac:dyDescent="0.3">
      <c r="D326" s="11"/>
      <c r="E326" s="11"/>
      <c r="I326" s="9"/>
      <c r="J326" s="9"/>
    </row>
    <row r="327" spans="4:10" x14ac:dyDescent="0.3">
      <c r="D327" s="11"/>
      <c r="E327" s="11"/>
      <c r="I327" s="9"/>
      <c r="J327" s="9"/>
    </row>
    <row r="328" spans="4:10" x14ac:dyDescent="0.3">
      <c r="D328" s="11"/>
      <c r="E328" s="11"/>
      <c r="I328" s="9"/>
      <c r="J328" s="9"/>
    </row>
    <row r="329" spans="4:10" x14ac:dyDescent="0.3">
      <c r="D329" s="11"/>
      <c r="E329" s="11"/>
      <c r="I329" s="9"/>
      <c r="J329" s="9"/>
    </row>
    <row r="330" spans="4:10" x14ac:dyDescent="0.3">
      <c r="D330" s="11"/>
      <c r="E330" s="11"/>
      <c r="I330" s="9"/>
      <c r="J330" s="9"/>
    </row>
    <row r="331" spans="4:10" x14ac:dyDescent="0.3">
      <c r="D331" s="11"/>
      <c r="E331" s="11"/>
      <c r="I331" s="9"/>
      <c r="J331" s="9"/>
    </row>
    <row r="332" spans="4:10" x14ac:dyDescent="0.3">
      <c r="D332" s="11"/>
      <c r="E332" s="11"/>
      <c r="I332" s="9"/>
      <c r="J332" s="9"/>
    </row>
    <row r="333" spans="4:10" x14ac:dyDescent="0.3">
      <c r="D333" s="11"/>
      <c r="E333" s="11"/>
      <c r="I333" s="9"/>
      <c r="J333" s="9"/>
    </row>
    <row r="334" spans="4:10" x14ac:dyDescent="0.3">
      <c r="D334" s="11"/>
      <c r="E334" s="11"/>
      <c r="I334" s="9"/>
      <c r="J334" s="9"/>
    </row>
    <row r="335" spans="4:10" x14ac:dyDescent="0.3">
      <c r="D335" s="11"/>
      <c r="E335" s="11"/>
      <c r="I335" s="9"/>
      <c r="J335" s="9"/>
    </row>
    <row r="336" spans="4:10" x14ac:dyDescent="0.3">
      <c r="D336" s="11"/>
      <c r="E336" s="11"/>
      <c r="I336" s="9"/>
      <c r="J336" s="9"/>
    </row>
    <row r="337" spans="4:10" x14ac:dyDescent="0.3">
      <c r="D337" s="11"/>
      <c r="E337" s="11"/>
      <c r="I337" s="9"/>
      <c r="J337" s="9"/>
    </row>
    <row r="338" spans="4:10" x14ac:dyDescent="0.3">
      <c r="D338" s="11"/>
      <c r="E338" s="11"/>
      <c r="I338" s="9"/>
      <c r="J338" s="9"/>
    </row>
    <row r="339" spans="4:10" x14ac:dyDescent="0.3">
      <c r="D339" s="11"/>
      <c r="E339" s="11"/>
      <c r="I339" s="9"/>
      <c r="J339" s="9"/>
    </row>
    <row r="340" spans="4:10" x14ac:dyDescent="0.3">
      <c r="D340" s="11"/>
      <c r="E340" s="11"/>
      <c r="I340" s="9"/>
      <c r="J340" s="9"/>
    </row>
    <row r="341" spans="4:10" x14ac:dyDescent="0.3">
      <c r="D341" s="11"/>
      <c r="E341" s="11"/>
      <c r="I341" s="9"/>
      <c r="J341" s="9"/>
    </row>
    <row r="342" spans="4:10" x14ac:dyDescent="0.3">
      <c r="D342" s="11"/>
      <c r="E342" s="11"/>
      <c r="I342" s="9"/>
      <c r="J342" s="9"/>
    </row>
    <row r="343" spans="4:10" x14ac:dyDescent="0.3">
      <c r="D343" s="11"/>
      <c r="E343" s="11"/>
      <c r="I343" s="9"/>
      <c r="J343" s="9"/>
    </row>
    <row r="344" spans="4:10" x14ac:dyDescent="0.3">
      <c r="D344" s="11"/>
      <c r="E344" s="11"/>
      <c r="I344" s="9"/>
      <c r="J344" s="9"/>
    </row>
    <row r="345" spans="4:10" x14ac:dyDescent="0.3">
      <c r="D345" s="11"/>
      <c r="E345" s="11"/>
      <c r="I345" s="9"/>
      <c r="J345" s="9"/>
    </row>
    <row r="346" spans="4:10" x14ac:dyDescent="0.3">
      <c r="D346" s="11"/>
      <c r="E346" s="11"/>
      <c r="I346" s="9"/>
      <c r="J346" s="9"/>
    </row>
    <row r="347" spans="4:10" x14ac:dyDescent="0.3">
      <c r="D347" s="11"/>
      <c r="E347" s="11"/>
      <c r="I347" s="9"/>
      <c r="J347" s="9"/>
    </row>
    <row r="348" spans="4:10" x14ac:dyDescent="0.3">
      <c r="D348" s="11"/>
      <c r="E348" s="11"/>
      <c r="I348" s="9"/>
      <c r="J348" s="9"/>
    </row>
    <row r="349" spans="4:10" x14ac:dyDescent="0.3">
      <c r="D349" s="11"/>
      <c r="E349" s="11"/>
      <c r="I349" s="9"/>
      <c r="J349" s="9"/>
    </row>
    <row r="350" spans="4:10" x14ac:dyDescent="0.3">
      <c r="D350" s="11"/>
      <c r="E350" s="11"/>
      <c r="I350" s="9"/>
      <c r="J350" s="9"/>
    </row>
    <row r="351" spans="4:10" x14ac:dyDescent="0.3">
      <c r="D351" s="11"/>
      <c r="E351" s="11"/>
      <c r="I351" s="9"/>
      <c r="J351" s="9"/>
    </row>
    <row r="352" spans="4:10" x14ac:dyDescent="0.3">
      <c r="D352" s="11"/>
      <c r="E352" s="11"/>
      <c r="I352" s="9"/>
      <c r="J352" s="9"/>
    </row>
    <row r="353" spans="4:10" x14ac:dyDescent="0.3">
      <c r="D353" s="11"/>
      <c r="E353" s="11"/>
      <c r="I353" s="9"/>
      <c r="J353" s="9"/>
    </row>
    <row r="354" spans="4:10" x14ac:dyDescent="0.3">
      <c r="D354" s="11"/>
      <c r="E354" s="11"/>
      <c r="I354" s="9"/>
      <c r="J354" s="9"/>
    </row>
    <row r="355" spans="4:10" x14ac:dyDescent="0.3">
      <c r="D355" s="11"/>
      <c r="E355" s="11"/>
      <c r="I355" s="9"/>
      <c r="J355" s="9"/>
    </row>
    <row r="356" spans="4:10" x14ac:dyDescent="0.3">
      <c r="D356" s="11"/>
      <c r="E356" s="11"/>
      <c r="I356" s="9"/>
      <c r="J356" s="9"/>
    </row>
    <row r="357" spans="4:10" x14ac:dyDescent="0.3">
      <c r="D357" s="11"/>
      <c r="E357" s="11"/>
      <c r="I357" s="9"/>
      <c r="J357" s="9"/>
    </row>
    <row r="358" spans="4:10" x14ac:dyDescent="0.3">
      <c r="D358" s="11"/>
      <c r="E358" s="11"/>
      <c r="I358" s="9"/>
      <c r="J358" s="9"/>
    </row>
    <row r="359" spans="4:10" x14ac:dyDescent="0.3">
      <c r="D359" s="11"/>
      <c r="E359" s="11"/>
      <c r="I359" s="9"/>
      <c r="J359" s="9"/>
    </row>
    <row r="360" spans="4:10" x14ac:dyDescent="0.3">
      <c r="D360" s="11"/>
      <c r="E360" s="11"/>
      <c r="I360" s="9"/>
      <c r="J360" s="9"/>
    </row>
    <row r="361" spans="4:10" x14ac:dyDescent="0.3">
      <c r="D361" s="11"/>
      <c r="E361" s="11"/>
      <c r="I361" s="9"/>
      <c r="J361" s="9"/>
    </row>
    <row r="362" spans="4:10" x14ac:dyDescent="0.3">
      <c r="D362" s="11"/>
      <c r="E362" s="11"/>
      <c r="I362" s="9"/>
      <c r="J362" s="9"/>
    </row>
    <row r="363" spans="4:10" x14ac:dyDescent="0.3">
      <c r="D363" s="11"/>
      <c r="E363" s="11"/>
      <c r="I363" s="9"/>
      <c r="J363" s="9"/>
    </row>
    <row r="364" spans="4:10" x14ac:dyDescent="0.3">
      <c r="D364" s="11"/>
      <c r="E364" s="11"/>
      <c r="I364" s="9"/>
      <c r="J364" s="9"/>
    </row>
    <row r="365" spans="4:10" x14ac:dyDescent="0.3">
      <c r="D365" s="11"/>
      <c r="E365" s="11"/>
      <c r="I365" s="9"/>
      <c r="J365" s="9"/>
    </row>
    <row r="366" spans="4:10" x14ac:dyDescent="0.3">
      <c r="D366" s="11"/>
      <c r="E366" s="11"/>
      <c r="I366" s="9"/>
      <c r="J366" s="9"/>
    </row>
    <row r="367" spans="4:10" x14ac:dyDescent="0.3">
      <c r="D367" s="11"/>
      <c r="E367" s="11"/>
      <c r="I367" s="9"/>
      <c r="J367" s="9"/>
    </row>
    <row r="368" spans="4:10" x14ac:dyDescent="0.3">
      <c r="D368" s="11"/>
      <c r="E368" s="11"/>
      <c r="I368" s="9"/>
      <c r="J368" s="9"/>
    </row>
    <row r="369" spans="4:10" x14ac:dyDescent="0.3">
      <c r="D369" s="11"/>
      <c r="E369" s="11"/>
      <c r="I369" s="9"/>
      <c r="J369" s="9"/>
    </row>
    <row r="370" spans="4:10" x14ac:dyDescent="0.3">
      <c r="D370" s="11"/>
      <c r="E370" s="11"/>
      <c r="I370" s="9"/>
      <c r="J370" s="9"/>
    </row>
    <row r="371" spans="4:10" x14ac:dyDescent="0.3">
      <c r="D371" s="11"/>
      <c r="E371" s="11"/>
      <c r="I371" s="9"/>
      <c r="J371" s="9"/>
    </row>
    <row r="372" spans="4:10" x14ac:dyDescent="0.3">
      <c r="D372" s="11"/>
      <c r="E372" s="11"/>
      <c r="I372" s="9"/>
      <c r="J372" s="9"/>
    </row>
    <row r="373" spans="4:10" x14ac:dyDescent="0.3">
      <c r="D373" s="11"/>
      <c r="E373" s="11"/>
      <c r="I373" s="9"/>
      <c r="J373" s="9"/>
    </row>
    <row r="374" spans="4:10" x14ac:dyDescent="0.3">
      <c r="D374" s="11"/>
      <c r="E374" s="11"/>
      <c r="I374" s="9"/>
      <c r="J374" s="9"/>
    </row>
    <row r="375" spans="4:10" x14ac:dyDescent="0.3">
      <c r="D375" s="11"/>
      <c r="E375" s="11"/>
      <c r="I375" s="9"/>
      <c r="J375" s="9"/>
    </row>
    <row r="376" spans="4:10" x14ac:dyDescent="0.3">
      <c r="D376" s="11"/>
      <c r="E376" s="11"/>
      <c r="I376" s="9"/>
      <c r="J376" s="9"/>
    </row>
    <row r="377" spans="4:10" x14ac:dyDescent="0.3">
      <c r="D377" s="11"/>
      <c r="E377" s="11"/>
      <c r="I377" s="9"/>
      <c r="J377" s="9"/>
    </row>
    <row r="378" spans="4:10" x14ac:dyDescent="0.3">
      <c r="D378" s="11"/>
      <c r="E378" s="11"/>
      <c r="I378" s="9"/>
      <c r="J378" s="9"/>
    </row>
    <row r="379" spans="4:10" x14ac:dyDescent="0.3">
      <c r="D379" s="11"/>
      <c r="E379" s="11"/>
      <c r="I379" s="9"/>
      <c r="J379" s="9"/>
    </row>
    <row r="380" spans="4:10" x14ac:dyDescent="0.3">
      <c r="D380" s="11"/>
      <c r="E380" s="11"/>
      <c r="I380" s="9"/>
      <c r="J380" s="9"/>
    </row>
    <row r="381" spans="4:10" x14ac:dyDescent="0.3">
      <c r="D381" s="11"/>
      <c r="E381" s="11"/>
      <c r="I381" s="9"/>
      <c r="J381" s="9"/>
    </row>
    <row r="382" spans="4:10" x14ac:dyDescent="0.3">
      <c r="D382" s="11"/>
      <c r="E382" s="11"/>
      <c r="I382" s="9"/>
      <c r="J382" s="9"/>
    </row>
    <row r="383" spans="4:10" x14ac:dyDescent="0.3">
      <c r="D383" s="11"/>
      <c r="E383" s="11"/>
      <c r="I383" s="9"/>
      <c r="J383" s="9"/>
    </row>
    <row r="384" spans="4:10" x14ac:dyDescent="0.3">
      <c r="D384" s="11"/>
      <c r="E384" s="11"/>
      <c r="I384" s="9"/>
      <c r="J384" s="9"/>
    </row>
    <row r="385" spans="4:10" x14ac:dyDescent="0.3">
      <c r="D385" s="11"/>
      <c r="E385" s="11"/>
      <c r="I385" s="9"/>
      <c r="J385" s="9"/>
    </row>
    <row r="386" spans="4:10" x14ac:dyDescent="0.3">
      <c r="D386" s="11"/>
      <c r="E386" s="11"/>
      <c r="I386" s="9"/>
      <c r="J386" s="9"/>
    </row>
    <row r="387" spans="4:10" x14ac:dyDescent="0.3">
      <c r="D387" s="11"/>
      <c r="E387" s="11"/>
      <c r="I387" s="9"/>
      <c r="J387" s="9"/>
    </row>
    <row r="388" spans="4:10" x14ac:dyDescent="0.3">
      <c r="D388" s="11"/>
      <c r="E388" s="11"/>
      <c r="I388" s="9"/>
      <c r="J388" s="9"/>
    </row>
    <row r="389" spans="4:10" x14ac:dyDescent="0.3">
      <c r="D389" s="11"/>
      <c r="E389" s="11"/>
      <c r="I389" s="9"/>
      <c r="J389" s="9"/>
    </row>
    <row r="390" spans="4:10" x14ac:dyDescent="0.3">
      <c r="D390" s="11"/>
      <c r="E390" s="11"/>
      <c r="I390" s="9"/>
      <c r="J390" s="9"/>
    </row>
    <row r="391" spans="4:10" x14ac:dyDescent="0.3">
      <c r="D391" s="11"/>
      <c r="E391" s="11"/>
      <c r="I391" s="9"/>
      <c r="J391" s="9"/>
    </row>
    <row r="392" spans="4:10" x14ac:dyDescent="0.3">
      <c r="D392" s="11"/>
      <c r="E392" s="11"/>
      <c r="I392" s="9"/>
      <c r="J392" s="9"/>
    </row>
    <row r="393" spans="4:10" x14ac:dyDescent="0.3">
      <c r="D393" s="11"/>
      <c r="E393" s="11"/>
      <c r="I393" s="9"/>
      <c r="J393" s="9"/>
    </row>
    <row r="394" spans="4:10" x14ac:dyDescent="0.3">
      <c r="D394" s="11"/>
      <c r="E394" s="11"/>
      <c r="I394" s="9"/>
      <c r="J394" s="9"/>
    </row>
    <row r="395" spans="4:10" x14ac:dyDescent="0.3">
      <c r="D395" s="11"/>
      <c r="E395" s="11"/>
      <c r="I395" s="9"/>
      <c r="J395" s="9"/>
    </row>
    <row r="396" spans="4:10" x14ac:dyDescent="0.3">
      <c r="D396" s="11"/>
      <c r="E396" s="11"/>
      <c r="I396" s="9"/>
      <c r="J396" s="9"/>
    </row>
    <row r="397" spans="4:10" x14ac:dyDescent="0.3">
      <c r="D397" s="11"/>
      <c r="E397" s="11"/>
      <c r="I397" s="9"/>
      <c r="J397" s="9"/>
    </row>
    <row r="398" spans="4:10" x14ac:dyDescent="0.3">
      <c r="D398" s="11"/>
      <c r="E398" s="11"/>
      <c r="I398" s="9"/>
      <c r="J398" s="9"/>
    </row>
    <row r="399" spans="4:10" x14ac:dyDescent="0.3">
      <c r="D399" s="11"/>
      <c r="E399" s="11"/>
      <c r="I399" s="9"/>
      <c r="J399" s="9"/>
    </row>
    <row r="400" spans="4:10" x14ac:dyDescent="0.3">
      <c r="D400" s="11"/>
      <c r="E400" s="11"/>
      <c r="I400" s="9"/>
      <c r="J400" s="9"/>
    </row>
    <row r="401" spans="4:10" x14ac:dyDescent="0.3">
      <c r="D401" s="11"/>
      <c r="E401" s="11"/>
      <c r="I401" s="9"/>
      <c r="J401" s="9"/>
    </row>
    <row r="402" spans="4:10" x14ac:dyDescent="0.3">
      <c r="D402" s="11"/>
      <c r="E402" s="11"/>
      <c r="I402" s="9"/>
      <c r="J402" s="9"/>
    </row>
    <row r="403" spans="4:10" x14ac:dyDescent="0.3">
      <c r="D403" s="11"/>
      <c r="E403" s="11"/>
      <c r="I403" s="9"/>
      <c r="J403" s="9"/>
    </row>
    <row r="404" spans="4:10" x14ac:dyDescent="0.3">
      <c r="D404" s="11"/>
      <c r="E404" s="11"/>
      <c r="I404" s="9"/>
      <c r="J404" s="9"/>
    </row>
    <row r="405" spans="4:10" x14ac:dyDescent="0.3">
      <c r="D405" s="11"/>
      <c r="E405" s="11"/>
      <c r="I405" s="9"/>
      <c r="J405" s="9"/>
    </row>
    <row r="406" spans="4:10" x14ac:dyDescent="0.3">
      <c r="D406" s="11"/>
      <c r="E406" s="11"/>
      <c r="I406" s="9"/>
      <c r="J406" s="9"/>
    </row>
    <row r="407" spans="4:10" x14ac:dyDescent="0.3">
      <c r="D407" s="11"/>
      <c r="E407" s="11"/>
      <c r="I407" s="9"/>
      <c r="J407" s="9"/>
    </row>
    <row r="408" spans="4:10" x14ac:dyDescent="0.3">
      <c r="D408" s="11"/>
      <c r="E408" s="11"/>
      <c r="I408" s="9"/>
      <c r="J408" s="9"/>
    </row>
    <row r="409" spans="4:10" x14ac:dyDescent="0.3">
      <c r="D409" s="11"/>
      <c r="E409" s="11"/>
      <c r="I409" s="9"/>
      <c r="J409" s="9"/>
    </row>
    <row r="410" spans="4:10" x14ac:dyDescent="0.3">
      <c r="D410" s="11"/>
      <c r="E410" s="11"/>
      <c r="I410" s="9"/>
      <c r="J410" s="9"/>
    </row>
    <row r="411" spans="4:10" x14ac:dyDescent="0.3">
      <c r="D411" s="11"/>
      <c r="E411" s="11"/>
      <c r="I411" s="9"/>
      <c r="J411" s="9"/>
    </row>
    <row r="412" spans="4:10" x14ac:dyDescent="0.3">
      <c r="D412" s="11"/>
      <c r="E412" s="11"/>
      <c r="I412" s="9"/>
      <c r="J412" s="9"/>
    </row>
    <row r="413" spans="4:10" x14ac:dyDescent="0.3">
      <c r="D413" s="11"/>
      <c r="E413" s="11"/>
      <c r="I413" s="9"/>
      <c r="J413" s="9"/>
    </row>
    <row r="414" spans="4:10" x14ac:dyDescent="0.3">
      <c r="D414" s="11"/>
      <c r="E414" s="11"/>
      <c r="I414" s="9"/>
      <c r="J414" s="9"/>
    </row>
    <row r="415" spans="4:10" x14ac:dyDescent="0.3">
      <c r="D415" s="11"/>
      <c r="E415" s="11"/>
      <c r="I415" s="9"/>
      <c r="J415" s="9"/>
    </row>
    <row r="416" spans="4:10" x14ac:dyDescent="0.3">
      <c r="D416" s="11"/>
      <c r="E416" s="11"/>
      <c r="I416" s="9"/>
      <c r="J416" s="9"/>
    </row>
    <row r="417" spans="4:10" x14ac:dyDescent="0.3">
      <c r="D417" s="11"/>
      <c r="E417" s="11"/>
      <c r="I417" s="9"/>
      <c r="J417" s="9"/>
    </row>
    <row r="418" spans="4:10" x14ac:dyDescent="0.3">
      <c r="D418" s="11"/>
      <c r="E418" s="11"/>
      <c r="I418" s="9"/>
      <c r="J418" s="9"/>
    </row>
    <row r="419" spans="4:10" x14ac:dyDescent="0.3">
      <c r="D419" s="11"/>
      <c r="E419" s="11"/>
      <c r="I419" s="9"/>
      <c r="J419" s="9"/>
    </row>
    <row r="420" spans="4:10" x14ac:dyDescent="0.3">
      <c r="D420" s="11"/>
      <c r="E420" s="11"/>
      <c r="I420" s="9"/>
      <c r="J420" s="9"/>
    </row>
    <row r="421" spans="4:10" x14ac:dyDescent="0.3">
      <c r="D421" s="11"/>
      <c r="E421" s="11"/>
      <c r="I421" s="9"/>
      <c r="J421" s="9"/>
    </row>
    <row r="422" spans="4:10" x14ac:dyDescent="0.3">
      <c r="D422" s="11"/>
      <c r="E422" s="11"/>
      <c r="I422" s="9"/>
      <c r="J422" s="9"/>
    </row>
    <row r="423" spans="4:10" x14ac:dyDescent="0.3">
      <c r="D423" s="11"/>
      <c r="E423" s="11"/>
      <c r="I423" s="9"/>
      <c r="J423" s="9"/>
    </row>
    <row r="424" spans="4:10" x14ac:dyDescent="0.3">
      <c r="D424" s="11"/>
      <c r="E424" s="11"/>
      <c r="I424" s="9"/>
      <c r="J424" s="9"/>
    </row>
    <row r="425" spans="4:10" x14ac:dyDescent="0.3">
      <c r="D425" s="11"/>
      <c r="E425" s="11"/>
      <c r="I425" s="9"/>
      <c r="J425" s="9"/>
    </row>
    <row r="426" spans="4:10" x14ac:dyDescent="0.3">
      <c r="D426" s="11"/>
      <c r="E426" s="11"/>
      <c r="I426" s="9"/>
      <c r="J426" s="9"/>
    </row>
    <row r="427" spans="4:10" x14ac:dyDescent="0.3">
      <c r="D427" s="11"/>
      <c r="E427" s="11"/>
      <c r="I427" s="9"/>
      <c r="J427" s="9"/>
    </row>
    <row r="428" spans="4:10" x14ac:dyDescent="0.3">
      <c r="D428" s="11"/>
      <c r="E428" s="11"/>
      <c r="I428" s="9"/>
      <c r="J428" s="9"/>
    </row>
    <row r="429" spans="4:10" x14ac:dyDescent="0.3">
      <c r="D429" s="11"/>
      <c r="E429" s="11"/>
      <c r="I429" s="9"/>
      <c r="J429" s="9"/>
    </row>
    <row r="430" spans="4:10" x14ac:dyDescent="0.3">
      <c r="D430" s="11"/>
      <c r="E430" s="11"/>
      <c r="I430" s="9"/>
      <c r="J430" s="9"/>
    </row>
    <row r="431" spans="4:10" x14ac:dyDescent="0.3">
      <c r="D431" s="11"/>
      <c r="E431" s="11"/>
      <c r="I431" s="9"/>
      <c r="J431" s="9"/>
    </row>
    <row r="432" spans="4:10" x14ac:dyDescent="0.3">
      <c r="D432" s="11"/>
      <c r="E432" s="11"/>
      <c r="I432" s="9"/>
      <c r="J432" s="9"/>
    </row>
    <row r="433" spans="4:10" x14ac:dyDescent="0.3">
      <c r="D433" s="11"/>
      <c r="E433" s="11"/>
      <c r="I433" s="9"/>
      <c r="J433" s="9"/>
    </row>
    <row r="434" spans="4:10" x14ac:dyDescent="0.3">
      <c r="D434" s="11"/>
      <c r="E434" s="11"/>
      <c r="I434" s="9"/>
      <c r="J434" s="9"/>
    </row>
    <row r="435" spans="4:10" x14ac:dyDescent="0.3">
      <c r="D435" s="11"/>
      <c r="E435" s="11"/>
      <c r="I435" s="9"/>
      <c r="J435" s="9"/>
    </row>
    <row r="436" spans="4:10" x14ac:dyDescent="0.3">
      <c r="D436" s="11"/>
      <c r="E436" s="11"/>
      <c r="I436" s="9"/>
      <c r="J436" s="9"/>
    </row>
    <row r="437" spans="4:10" x14ac:dyDescent="0.3">
      <c r="D437" s="11"/>
      <c r="E437" s="11"/>
      <c r="I437" s="9"/>
      <c r="J437" s="9"/>
    </row>
    <row r="438" spans="4:10" x14ac:dyDescent="0.3">
      <c r="D438" s="11"/>
      <c r="E438" s="11"/>
      <c r="I438" s="9"/>
      <c r="J438" s="9"/>
    </row>
    <row r="439" spans="4:10" x14ac:dyDescent="0.3">
      <c r="D439" s="11"/>
      <c r="E439" s="11"/>
      <c r="I439" s="9"/>
      <c r="J439" s="9"/>
    </row>
    <row r="440" spans="4:10" x14ac:dyDescent="0.3">
      <c r="D440" s="11"/>
      <c r="E440" s="11"/>
      <c r="I440" s="9"/>
      <c r="J440" s="9"/>
    </row>
    <row r="441" spans="4:10" x14ac:dyDescent="0.3">
      <c r="D441" s="11"/>
      <c r="E441" s="11"/>
      <c r="I441" s="9"/>
      <c r="J441" s="9"/>
    </row>
    <row r="442" spans="4:10" x14ac:dyDescent="0.3">
      <c r="D442" s="11"/>
      <c r="E442" s="11"/>
      <c r="I442" s="9"/>
      <c r="J442" s="9"/>
    </row>
    <row r="443" spans="4:10" x14ac:dyDescent="0.3">
      <c r="D443" s="11"/>
      <c r="E443" s="11"/>
      <c r="I443" s="9"/>
      <c r="J443" s="9"/>
    </row>
    <row r="444" spans="4:10" x14ac:dyDescent="0.3">
      <c r="D444" s="11"/>
      <c r="E444" s="11"/>
      <c r="I444" s="9"/>
      <c r="J444" s="9"/>
    </row>
    <row r="445" spans="4:10" x14ac:dyDescent="0.3">
      <c r="D445" s="11"/>
      <c r="E445" s="11"/>
      <c r="I445" s="9"/>
      <c r="J445" s="9"/>
    </row>
    <row r="446" spans="4:10" x14ac:dyDescent="0.3">
      <c r="D446" s="11"/>
      <c r="E446" s="11"/>
      <c r="I446" s="9"/>
      <c r="J446" s="9"/>
    </row>
    <row r="447" spans="4:10" x14ac:dyDescent="0.3">
      <c r="D447" s="11"/>
      <c r="E447" s="11"/>
      <c r="I447" s="9"/>
      <c r="J447" s="9"/>
    </row>
    <row r="448" spans="4:10" x14ac:dyDescent="0.3">
      <c r="D448" s="11"/>
      <c r="E448" s="11"/>
      <c r="I448" s="9"/>
      <c r="J448" s="9"/>
    </row>
    <row r="449" spans="4:10" x14ac:dyDescent="0.3">
      <c r="D449" s="11"/>
      <c r="E449" s="11"/>
      <c r="I449" s="9"/>
      <c r="J449" s="9"/>
    </row>
    <row r="450" spans="4:10" x14ac:dyDescent="0.3">
      <c r="D450" s="11"/>
      <c r="E450" s="11"/>
      <c r="I450" s="9"/>
      <c r="J450" s="9"/>
    </row>
    <row r="451" spans="4:10" x14ac:dyDescent="0.3">
      <c r="D451" s="11"/>
      <c r="E451" s="11"/>
      <c r="I451" s="9"/>
      <c r="J451" s="9"/>
    </row>
    <row r="452" spans="4:10" x14ac:dyDescent="0.3">
      <c r="D452" s="11"/>
      <c r="E452" s="11"/>
      <c r="I452" s="9"/>
      <c r="J452" s="9"/>
    </row>
    <row r="453" spans="4:10" x14ac:dyDescent="0.3">
      <c r="D453" s="11"/>
      <c r="E453" s="11"/>
      <c r="I453" s="9"/>
      <c r="J453" s="9"/>
    </row>
    <row r="454" spans="4:10" x14ac:dyDescent="0.3">
      <c r="D454" s="11"/>
      <c r="E454" s="11"/>
      <c r="I454" s="9"/>
      <c r="J454" s="9"/>
    </row>
    <row r="455" spans="4:10" x14ac:dyDescent="0.3">
      <c r="D455" s="11"/>
      <c r="E455" s="11"/>
      <c r="I455" s="9"/>
      <c r="J455" s="9"/>
    </row>
    <row r="456" spans="4:10" x14ac:dyDescent="0.3">
      <c r="D456" s="11"/>
      <c r="E456" s="11"/>
      <c r="I456" s="9"/>
      <c r="J456" s="9"/>
    </row>
    <row r="457" spans="4:10" x14ac:dyDescent="0.3">
      <c r="D457" s="11"/>
      <c r="E457" s="11"/>
      <c r="I457" s="9"/>
      <c r="J457" s="9"/>
    </row>
    <row r="458" spans="4:10" x14ac:dyDescent="0.3">
      <c r="D458" s="11"/>
      <c r="E458" s="11"/>
      <c r="I458" s="9"/>
      <c r="J458" s="9"/>
    </row>
    <row r="459" spans="4:10" x14ac:dyDescent="0.3">
      <c r="D459" s="11"/>
      <c r="E459" s="11"/>
      <c r="I459" s="9"/>
      <c r="J459" s="9"/>
    </row>
    <row r="460" spans="4:10" x14ac:dyDescent="0.3">
      <c r="D460" s="11"/>
      <c r="E460" s="11"/>
      <c r="I460" s="9"/>
      <c r="J460" s="9"/>
    </row>
    <row r="461" spans="4:10" x14ac:dyDescent="0.3">
      <c r="D461" s="11"/>
      <c r="E461" s="11"/>
      <c r="I461" s="9"/>
      <c r="J461" s="9"/>
    </row>
    <row r="462" spans="4:10" x14ac:dyDescent="0.3">
      <c r="D462" s="11"/>
      <c r="E462" s="11"/>
      <c r="I462" s="9"/>
      <c r="J462" s="9"/>
    </row>
    <row r="463" spans="4:10" x14ac:dyDescent="0.3">
      <c r="D463" s="11"/>
      <c r="E463" s="11"/>
      <c r="I463" s="9"/>
      <c r="J463" s="9"/>
    </row>
    <row r="464" spans="4:10" x14ac:dyDescent="0.3">
      <c r="D464" s="11"/>
      <c r="E464" s="11"/>
      <c r="I464" s="9"/>
      <c r="J464" s="9"/>
    </row>
    <row r="465" spans="4:10" x14ac:dyDescent="0.3">
      <c r="D465" s="11"/>
      <c r="E465" s="11"/>
      <c r="I465" s="9"/>
      <c r="J465" s="9"/>
    </row>
    <row r="466" spans="4:10" x14ac:dyDescent="0.3">
      <c r="D466" s="11"/>
      <c r="E466" s="11"/>
      <c r="I466" s="9"/>
      <c r="J466" s="9"/>
    </row>
    <row r="467" spans="4:10" x14ac:dyDescent="0.3">
      <c r="D467" s="11"/>
      <c r="E467" s="11"/>
      <c r="I467" s="9"/>
      <c r="J467" s="9"/>
    </row>
    <row r="468" spans="4:10" x14ac:dyDescent="0.3">
      <c r="D468" s="11"/>
      <c r="E468" s="11"/>
      <c r="I468" s="9"/>
      <c r="J468" s="9"/>
    </row>
    <row r="469" spans="4:10" x14ac:dyDescent="0.3">
      <c r="D469" s="11"/>
      <c r="E469" s="11"/>
      <c r="I469" s="9"/>
      <c r="J469" s="9"/>
    </row>
    <row r="470" spans="4:10" x14ac:dyDescent="0.3">
      <c r="D470" s="11"/>
      <c r="E470" s="11"/>
      <c r="I470" s="9"/>
      <c r="J470" s="9"/>
    </row>
    <row r="471" spans="4:10" x14ac:dyDescent="0.3">
      <c r="D471" s="11"/>
      <c r="E471" s="11"/>
      <c r="I471" s="9"/>
      <c r="J471" s="9"/>
    </row>
    <row r="472" spans="4:10" x14ac:dyDescent="0.3">
      <c r="D472" s="11"/>
      <c r="E472" s="11"/>
      <c r="I472" s="9"/>
      <c r="J472" s="9"/>
    </row>
    <row r="473" spans="4:10" x14ac:dyDescent="0.3">
      <c r="D473" s="11"/>
      <c r="E473" s="11"/>
      <c r="I473" s="9"/>
      <c r="J473" s="9"/>
    </row>
    <row r="474" spans="4:10" x14ac:dyDescent="0.3">
      <c r="D474" s="11"/>
      <c r="E474" s="11"/>
      <c r="I474" s="9"/>
      <c r="J474" s="9"/>
    </row>
    <row r="475" spans="4:10" x14ac:dyDescent="0.3">
      <c r="D475" s="11"/>
      <c r="E475" s="11"/>
      <c r="I475" s="9"/>
      <c r="J475" s="9"/>
    </row>
    <row r="476" spans="4:10" x14ac:dyDescent="0.3">
      <c r="D476" s="11"/>
      <c r="E476" s="11"/>
      <c r="I476" s="9"/>
      <c r="J476" s="9"/>
    </row>
    <row r="477" spans="4:10" x14ac:dyDescent="0.3">
      <c r="D477" s="11"/>
      <c r="E477" s="11"/>
      <c r="I477" s="9"/>
      <c r="J477" s="9"/>
    </row>
    <row r="478" spans="4:10" x14ac:dyDescent="0.3">
      <c r="D478" s="11"/>
      <c r="E478" s="11"/>
      <c r="I478" s="9"/>
      <c r="J478" s="9"/>
    </row>
    <row r="479" spans="4:10" x14ac:dyDescent="0.3">
      <c r="D479" s="11"/>
      <c r="E479" s="11"/>
      <c r="I479" s="9"/>
      <c r="J479" s="9"/>
    </row>
    <row r="480" spans="4:10" x14ac:dyDescent="0.3">
      <c r="D480" s="11"/>
      <c r="E480" s="11"/>
      <c r="I480" s="9"/>
      <c r="J480" s="9"/>
    </row>
    <row r="481" spans="4:10" x14ac:dyDescent="0.3">
      <c r="D481" s="11"/>
      <c r="E481" s="11"/>
      <c r="I481" s="9"/>
      <c r="J481" s="9"/>
    </row>
    <row r="482" spans="4:10" x14ac:dyDescent="0.3">
      <c r="D482" s="11"/>
      <c r="E482" s="11"/>
      <c r="I482" s="9"/>
      <c r="J482" s="9"/>
    </row>
    <row r="483" spans="4:10" x14ac:dyDescent="0.3">
      <c r="D483" s="11"/>
      <c r="E483" s="11"/>
      <c r="I483" s="9"/>
      <c r="J483" s="9"/>
    </row>
    <row r="484" spans="4:10" x14ac:dyDescent="0.3">
      <c r="D484" s="11"/>
      <c r="E484" s="11"/>
      <c r="I484" s="9"/>
      <c r="J484" s="9"/>
    </row>
    <row r="485" spans="4:10" x14ac:dyDescent="0.3">
      <c r="D485" s="11"/>
      <c r="E485" s="11"/>
      <c r="I485" s="9"/>
      <c r="J485" s="9"/>
    </row>
    <row r="486" spans="4:10" x14ac:dyDescent="0.3">
      <c r="D486" s="11"/>
      <c r="E486" s="11"/>
      <c r="I486" s="9"/>
      <c r="J486" s="9"/>
    </row>
    <row r="487" spans="4:10" x14ac:dyDescent="0.3">
      <c r="D487" s="11"/>
      <c r="E487" s="11"/>
      <c r="I487" s="9"/>
      <c r="J487" s="9"/>
    </row>
    <row r="488" spans="4:10" x14ac:dyDescent="0.3">
      <c r="D488" s="11"/>
      <c r="E488" s="11"/>
      <c r="I488" s="9"/>
      <c r="J488" s="9"/>
    </row>
    <row r="489" spans="4:10" x14ac:dyDescent="0.3">
      <c r="D489" s="11"/>
      <c r="E489" s="11"/>
      <c r="I489" s="9"/>
      <c r="J489" s="9"/>
    </row>
    <row r="490" spans="4:10" x14ac:dyDescent="0.3">
      <c r="D490" s="11"/>
      <c r="E490" s="11"/>
      <c r="I490" s="9"/>
      <c r="J490" s="9"/>
    </row>
    <row r="491" spans="4:10" x14ac:dyDescent="0.3">
      <c r="D491" s="11"/>
      <c r="E491" s="11"/>
      <c r="I491" s="9"/>
      <c r="J491" s="9"/>
    </row>
    <row r="492" spans="4:10" x14ac:dyDescent="0.3">
      <c r="D492" s="11"/>
      <c r="E492" s="11"/>
      <c r="I492" s="9"/>
      <c r="J492" s="9"/>
    </row>
    <row r="493" spans="4:10" x14ac:dyDescent="0.3">
      <c r="D493" s="11"/>
      <c r="E493" s="11"/>
      <c r="I493" s="9"/>
      <c r="J493" s="9"/>
    </row>
    <row r="494" spans="4:10" x14ac:dyDescent="0.3">
      <c r="D494" s="11"/>
      <c r="E494" s="11"/>
      <c r="I494" s="9"/>
      <c r="J494" s="9"/>
    </row>
    <row r="495" spans="4:10" x14ac:dyDescent="0.3">
      <c r="D495" s="11"/>
      <c r="E495" s="11"/>
      <c r="I495" s="9"/>
      <c r="J495" s="9"/>
    </row>
    <row r="496" spans="4:10" x14ac:dyDescent="0.3">
      <c r="D496" s="11"/>
      <c r="E496" s="11"/>
      <c r="I496" s="9"/>
      <c r="J496" s="9"/>
    </row>
    <row r="497" spans="4:10" x14ac:dyDescent="0.3">
      <c r="D497" s="11"/>
      <c r="E497" s="11"/>
      <c r="I497" s="9"/>
      <c r="J497" s="9"/>
    </row>
    <row r="498" spans="4:10" x14ac:dyDescent="0.3">
      <c r="D498" s="11"/>
      <c r="E498" s="11"/>
      <c r="I498" s="9"/>
      <c r="J498" s="9"/>
    </row>
    <row r="499" spans="4:10" x14ac:dyDescent="0.3">
      <c r="D499" s="11"/>
      <c r="E499" s="11"/>
      <c r="I499" s="9"/>
      <c r="J499" s="9"/>
    </row>
    <row r="500" spans="4:10" x14ac:dyDescent="0.3">
      <c r="D500" s="11"/>
      <c r="E500" s="11"/>
      <c r="I500" s="9"/>
      <c r="J500" s="9"/>
    </row>
    <row r="501" spans="4:10" x14ac:dyDescent="0.3">
      <c r="D501" s="11"/>
      <c r="E501" s="11"/>
      <c r="I501" s="9"/>
      <c r="J501" s="9"/>
    </row>
    <row r="502" spans="4:10" x14ac:dyDescent="0.3">
      <c r="D502" s="11"/>
      <c r="E502" s="11"/>
      <c r="I502" s="12" t="s">
        <v>84</v>
      </c>
      <c r="J502" s="12" t="s">
        <v>85</v>
      </c>
    </row>
  </sheetData>
  <sheetProtection sheet="1" selectLockedCells="1" sort="0" autoFilter="0" selectUnlockedCells="1"/>
  <phoneticPr fontId="7" type="noConversion"/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501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8" customWidth="1"/>
    <col min="2" max="2" width="22" customWidth="1"/>
    <col min="3" max="3" width="14" customWidth="1"/>
    <col min="4" max="4" width="12" customWidth="1"/>
    <col min="5" max="5" width="30" customWidth="1"/>
    <col min="6" max="6" width="16" customWidth="1"/>
    <col min="7" max="7" width="13" customWidth="1"/>
    <col min="8" max="8" width="10" customWidth="1"/>
    <col min="9" max="9" width="18" customWidth="1"/>
    <col min="10" max="11" width="20" customWidth="1"/>
    <col min="12" max="13" width="22" customWidth="1"/>
    <col min="14" max="14" width="20" customWidth="1"/>
    <col min="15" max="15" width="22" customWidth="1"/>
    <col min="16" max="16" width="13" customWidth="1"/>
    <col min="17" max="17" width="12" customWidth="1"/>
    <col min="18" max="18" width="13" customWidth="1"/>
    <col min="19" max="20" width="20" customWidth="1"/>
    <col min="21" max="21" width="22" customWidth="1"/>
    <col min="22" max="22" width="10" customWidth="1"/>
    <col min="23" max="23" width="14" customWidth="1"/>
    <col min="24" max="24" width="16" customWidth="1"/>
    <col min="25" max="25" width="20" customWidth="1"/>
    <col min="26" max="26" width="16" customWidth="1"/>
    <col min="27" max="27" width="18" customWidth="1"/>
    <col min="28" max="28" width="22" customWidth="1"/>
    <col min="29" max="30" width="28" customWidth="1"/>
    <col min="32" max="39" width="13" hidden="1" customWidth="1"/>
  </cols>
  <sheetData>
    <row r="1" spans="1:39" ht="32" customHeight="1" x14ac:dyDescent="0.3">
      <c r="A1" s="6" t="s">
        <v>86</v>
      </c>
      <c r="B1" s="6" t="s">
        <v>87</v>
      </c>
      <c r="C1" s="6" t="s">
        <v>39</v>
      </c>
      <c r="D1" s="6" t="s">
        <v>40</v>
      </c>
      <c r="E1" s="6" t="s">
        <v>42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6" t="s">
        <v>104</v>
      </c>
      <c r="W1" s="6" t="s">
        <v>105</v>
      </c>
      <c r="X1" s="6" t="s">
        <v>106</v>
      </c>
      <c r="Y1" s="6" t="s">
        <v>107</v>
      </c>
      <c r="Z1" s="6" t="s">
        <v>108</v>
      </c>
      <c r="AA1" s="6" t="s">
        <v>109</v>
      </c>
      <c r="AB1" s="6" t="s">
        <v>110</v>
      </c>
      <c r="AC1" s="6" t="s">
        <v>111</v>
      </c>
      <c r="AD1" s="6" t="s">
        <v>112</v>
      </c>
      <c r="AE1" s="6" t="s">
        <v>113</v>
      </c>
      <c r="AF1" s="6" t="s">
        <v>114</v>
      </c>
      <c r="AG1" s="6" t="s">
        <v>115</v>
      </c>
      <c r="AH1" s="6" t="s">
        <v>116</v>
      </c>
      <c r="AI1" s="6" t="s">
        <v>117</v>
      </c>
      <c r="AJ1" s="6" t="s">
        <v>118</v>
      </c>
      <c r="AK1" s="6" t="s">
        <v>119</v>
      </c>
      <c r="AL1" s="6" t="s">
        <v>120</v>
      </c>
      <c r="AM1" s="6" t="s">
        <v>121</v>
      </c>
    </row>
    <row r="2" spans="1:39" x14ac:dyDescent="0.3">
      <c r="A2" s="9" t="s">
        <v>122</v>
      </c>
      <c r="B2" s="4" t="str">
        <f t="shared" ref="B2:B65" si="0">IF(A2="","",A2&amp;"-TAX")</f>
        <v>DEMO-OPT-001-TAX</v>
      </c>
      <c r="C2" s="9" t="s">
        <v>46</v>
      </c>
      <c r="D2" s="9" t="s">
        <v>25</v>
      </c>
      <c r="E2" s="9" t="s">
        <v>43</v>
      </c>
      <c r="F2" s="9" t="s">
        <v>123</v>
      </c>
      <c r="G2" s="13">
        <v>45666</v>
      </c>
      <c r="H2" s="4">
        <f t="shared" ref="H2:H65" si="1">IF(G2="","",YEAR(G2))</f>
        <v>2025</v>
      </c>
      <c r="I2" s="9">
        <v>50000</v>
      </c>
      <c r="J2" s="14">
        <v>17.8</v>
      </c>
      <c r="K2" s="15">
        <f>IF(OR(E2="",F2="",G2=""),"",IF(E2&lt;&gt;计划参数!$C$2,"",IF(F2="股票期权",IFERROR(LOOKUP(G2,计划参数!$D$12:$D$15,计划参数!$C$12:$C$15),""),IF(F2="限制性股票",计划参数!$C$10,""))))</f>
        <v>14.56</v>
      </c>
      <c r="L2" s="15" t="str">
        <f>IF(AND(E2=计划参数!$C$2,F2="限制性股票",G2&gt;=计划参数!$D$9),计划参数!$C$9,"")</f>
        <v/>
      </c>
      <c r="M2" s="9"/>
      <c r="N2" s="14"/>
      <c r="O2" s="14">
        <v>0</v>
      </c>
      <c r="P2" s="13"/>
      <c r="Q2" s="9" t="s">
        <v>124</v>
      </c>
      <c r="R2" s="13">
        <v>45665</v>
      </c>
      <c r="S2" s="15">
        <f t="shared" ref="S2:S65" si="2">IF(OR(A2="",C2="",F2="",G2=""),"",IF(F2="股票期权",IF(OR(I2="",J2="",K2=""),"",(J2-K2)*I2),IF(F2="限制性股票",IF(OR(L2="",M2="",M2&lt;=0,N2=""),"",((L2+J2)/2)*I2-N2*I2/M2),IF(F2="其他股权激励",IF(O2="","",O2),""))))</f>
        <v>162000</v>
      </c>
      <c r="T2" s="15">
        <f t="shared" ref="T2:T65" si="3">IF(S2="","",MAX(0,S2))</f>
        <v>162000</v>
      </c>
      <c r="U2" s="15">
        <f t="shared" ref="U2:U65" si="4">IF(T2="","",SUMIFS($T$2:$T$501,$C$2:$C$501,C2,$H$2:$H$501,H2,$G$2:$G$501,"&lt;"&amp;G2)+SUMIFS($T$2:$T$501,$C$2:$C$501,C2,$H$2:$H$501,H2,$G$2:$G$501,G2,$A$2:$A$501,"&lt;"&amp;A2))</f>
        <v>0</v>
      </c>
      <c r="V2" s="15">
        <f t="shared" ref="V2:V65" si="5">IF(T2="","",U2+T2)</f>
        <v>162000</v>
      </c>
      <c r="W2" s="16">
        <f>IF(V2="","",VLOOKUP(V2,税率及规则!$A$2:$C$8,2,TRUE))</f>
        <v>0.2</v>
      </c>
      <c r="X2" s="15">
        <f>IF(V2="","",VLOOKUP(V2,税率及规则!$A$2:$C$8,3,TRUE))</f>
        <v>16920</v>
      </c>
      <c r="Y2" s="15">
        <f t="shared" ref="Y2:Y65" si="6">IF(V2="","",MAX(0,V2*W2-X2))</f>
        <v>15480</v>
      </c>
      <c r="Z2" s="15">
        <f>IF(U2="","",MAX(0,U2*VLOOKUP(U2,税率及规则!$A$2:$C$8,2,TRUE)-VLOOKUP(U2,税率及规则!$A$2:$C$8,3,TRUE)))</f>
        <v>0</v>
      </c>
      <c r="AA2" s="15">
        <f t="shared" ref="AA2:AA65" si="7">IF(Y2="","",MAX(0,Y2-Z2))</f>
        <v>15480</v>
      </c>
      <c r="AB2" s="17">
        <f t="shared" ref="AB2:AB65" si="8">IF(G2="","",G2)</f>
        <v>45666</v>
      </c>
      <c r="AC2" s="17">
        <f t="shared" ref="AC2:AC65" si="9">IF(AB2="","",IF(DAY(AB2)=DAY(EOMONTH(AB2,0)),EOMONTH(EDATE(AB2,36),0),EDATE(AB2,36)))</f>
        <v>46761</v>
      </c>
      <c r="AD2" s="4" t="str">
        <f>IF(A2="","",IF(COUNTIF($A$2:$A$501,A2)&gt;1,"异常：事件编号重复",IF(OR(C2="",D2="",E2="",F2="",G2=""),"异常：必填项缺失",IF(AND(F2="其他股权激励",O2=""),"异常：其他股权激励所得缺失",IF(AND(F2&lt;&gt;"其他股权激励",OR(I2="",J2="")),"异常：数量或市场价缺失",IF(AND(F2&lt;&gt;"其他股权激励",OR(I2&lt;=0,J2&lt;0)),"异常：数量或价格无效",IF(AND(F2="限制性股票",OR(M2&lt;=0,N2&lt;0,I2&gt;M2)),"异常：个人获授或出资数据无效",IF(AND(IFERROR(INDEX(计划参数!$J$2:$J$501,MATCH(C2,计划参数!$I$2:$I$501,0)),"")&lt;&gt;"",D2&lt;&gt;IFERROR(INDEX(计划参数!$J$2:$J$501,MATCH(C2,计划参数!$I$2:$I$501,0)),"")),"异常：姓名与员工主数据不一致",IF(S2&lt;0,"异常：原始所得为负，已按0计税",IF(OR(AND(F2="股票期权",K2=""),AND(F2="限制性股票",OR(K2="",L2=""))),"异常：计划参数缺失",IF(COUNTIF(计划参数!$I$2:$I$501,C2)=0,"提示：员工编号未在主数据",IF(Q2&lt;&gt;"已备案","提示：未确认备案","正常"))))))))))))</f>
        <v>正常</v>
      </c>
      <c r="AE2" s="9" t="s">
        <v>125</v>
      </c>
      <c r="AF2" s="4">
        <f>IF(C2="","",IF(COUNTIF($C$2:C2,C2)=1,MAX($AF$1:AF1)+1,""))</f>
        <v>1</v>
      </c>
      <c r="AG2" s="4">
        <f>IF(C2="","",COUNTIF($C$2:C2,C2))</f>
        <v>1</v>
      </c>
      <c r="AH2" s="4" t="str">
        <f t="shared" ref="AH2:AH65" si="10">IF(C2="","",C2&amp;"|"&amp;AG2)</f>
        <v>DEMO001|1</v>
      </c>
      <c r="AI2" s="4" t="str">
        <f t="shared" ref="AI2:AI65" si="11">IF(OR(A2="",AA2&lt;=0),"",C2&amp;"|"&amp;H2&amp;"|"&amp;(COUNTIFS($C$2:$C$501,C2,$H$2:$H$501,H2,$AA$2:$AA$501,"&gt;0",$AC$2:$AC$501,"&lt;"&amp;AC2)+COUNTIFS($C$2:$C$501,C2,$H$2:$H$501,H2,$AA$2:$AA$501,"&gt;0",$AC$2:$AC$501,AC2,$A$2:$A$501,"&lt;="&amp;A2)))</f>
        <v>DEMO001|2025|1</v>
      </c>
      <c r="AJ2" s="4" t="str">
        <f t="shared" ref="AJ2:AJ65" si="12">IF(OR(A2="",AA2&lt;=0),"",C2&amp;"|"&amp;(COUNTIFS($C$2:$C$501,C2,$AA$2:$AA$501,"&gt;0",$AC$2:$AC$501,"&lt;"&amp;AC2)+COUNTIFS($C$2:$C$501,C2,$AA$2:$AA$501,"&gt;0",$AC$2:$AC$501,AC2,$A$2:$A$501,"&lt;="&amp;A2)))</f>
        <v>DEMO001|1</v>
      </c>
      <c r="AK2" s="15">
        <f>IF(A2="","",SUMIFS(分期缴税台账!$K$2:$K$501,分期缴税台账!$T$2:$T$501,A2,分期缴税台账!$Q$2:$Q$501,"有效"))</f>
        <v>0</v>
      </c>
      <c r="AL2" s="15">
        <f t="shared" ref="AL2:AL65" si="13">IF(AA2="","",MAX(0,AA2-AK2))</f>
        <v>15480</v>
      </c>
      <c r="AM2" s="4" t="str">
        <f t="shared" ref="AM2:AM65" si="14">IF(OR(A2="",AL2&lt;=0),"",C2&amp;"|"&amp;H2&amp;"|"&amp;(COUNTIFS($C$2:$C$501,C2,$H$2:$H$501,H2,$AL$2:$AL$501,"&gt;0",$AC$2:$AC$501,"&lt;"&amp;AC2)+COUNTIFS($C$2:$C$501,C2,$H$2:$H$501,H2,$AL$2:$AL$501,"&gt;0",$AC$2:$AC$501,AC2,$A$2:$A$501,"&lt;="&amp;A2)))</f>
        <v>DEMO001|2025|1</v>
      </c>
    </row>
    <row r="3" spans="1:39" x14ac:dyDescent="0.3">
      <c r="A3" s="9" t="s">
        <v>126</v>
      </c>
      <c r="B3" s="4" t="str">
        <f t="shared" si="0"/>
        <v>DEMO-RS-001-TAX</v>
      </c>
      <c r="C3" s="9" t="s">
        <v>46</v>
      </c>
      <c r="D3" s="9" t="s">
        <v>25</v>
      </c>
      <c r="E3" s="9" t="s">
        <v>43</v>
      </c>
      <c r="F3" s="9" t="s">
        <v>62</v>
      </c>
      <c r="G3" s="13">
        <v>45838</v>
      </c>
      <c r="H3" s="4">
        <f t="shared" si="1"/>
        <v>2025</v>
      </c>
      <c r="I3" s="9">
        <v>50000</v>
      </c>
      <c r="J3" s="14">
        <v>17.8</v>
      </c>
      <c r="K3" s="15">
        <f>IF(OR(E3="",F3="",G3=""),"",IF(E3&lt;&gt;计划参数!$C$2,"",IF(F3="股票期权",IFERROR(LOOKUP(G3,计划参数!$D$12:$D$15,计划参数!$C$12:$C$15),""),IF(F3="限制性股票",计划参数!$C$10,""))))</f>
        <v>8.68</v>
      </c>
      <c r="L3" s="15">
        <f>IF(AND(E3=计划参数!$C$2,F3="限制性股票",G3&gt;=计划参数!$D$9),计划参数!$C$9,"")</f>
        <v>13.06</v>
      </c>
      <c r="M3" s="9">
        <v>50000</v>
      </c>
      <c r="N3" s="14">
        <v>434000</v>
      </c>
      <c r="O3" s="14">
        <v>0</v>
      </c>
      <c r="P3" s="13"/>
      <c r="Q3" s="9" t="s">
        <v>124</v>
      </c>
      <c r="R3" s="13">
        <v>45545</v>
      </c>
      <c r="S3" s="15">
        <f t="shared" si="2"/>
        <v>337500</v>
      </c>
      <c r="T3" s="15">
        <f t="shared" si="3"/>
        <v>337500</v>
      </c>
      <c r="U3" s="15">
        <f t="shared" si="4"/>
        <v>162000</v>
      </c>
      <c r="V3" s="15">
        <f t="shared" si="5"/>
        <v>499500</v>
      </c>
      <c r="W3" s="16">
        <f>IF(V3="","",VLOOKUP(V3,税率及规则!$A$2:$C$8,2,TRUE))</f>
        <v>0.3</v>
      </c>
      <c r="X3" s="15">
        <f>IF(V3="","",VLOOKUP(V3,税率及规则!$A$2:$C$8,3,TRUE))</f>
        <v>52920</v>
      </c>
      <c r="Y3" s="15">
        <f t="shared" si="6"/>
        <v>96930</v>
      </c>
      <c r="Z3" s="15">
        <f>IF(U3="","",MAX(0,U3*VLOOKUP(U3,税率及规则!$A$2:$C$8,2,TRUE)-VLOOKUP(U3,税率及规则!$A$2:$C$8,3,TRUE)))</f>
        <v>15480</v>
      </c>
      <c r="AA3" s="15">
        <f t="shared" si="7"/>
        <v>81450</v>
      </c>
      <c r="AB3" s="17">
        <f t="shared" si="8"/>
        <v>45838</v>
      </c>
      <c r="AC3" s="17">
        <f t="shared" si="9"/>
        <v>46934</v>
      </c>
      <c r="AD3" s="4" t="str">
        <f>IF(A3="","",IF(COUNTIF($A$2:$A$501,A3)&gt;1,"异常：事件编号重复",IF(OR(C3="",D3="",E3="",F3="",G3=""),"异常：必填项缺失",IF(AND(F3="其他股权激励",O3=""),"异常：其他股权激励所得缺失",IF(AND(F3&lt;&gt;"其他股权激励",OR(I3="",J3="")),"异常：数量或市场价缺失",IF(AND(F3&lt;&gt;"其他股权激励",OR(I3&lt;=0,J3&lt;0)),"异常：数量或价格无效",IF(AND(F3="限制性股票",OR(M3&lt;=0,N3&lt;0,I3&gt;M3)),"异常：个人获授或出资数据无效",IF(AND(IFERROR(INDEX(计划参数!$J$2:$J$501,MATCH(C3,计划参数!$I$2:$I$501,0)),"")&lt;&gt;"",D3&lt;&gt;IFERROR(INDEX(计划参数!$J$2:$J$501,MATCH(C3,计划参数!$I$2:$I$501,0)),"")),"异常：姓名与员工主数据不一致",IF(S3&lt;0,"异常：原始所得为负，已按0计税",IF(OR(AND(F3="股票期权",K3=""),AND(F3="限制性股票",OR(K3="",L3=""))),"异常：计划参数缺失",IF(COUNTIF(计划参数!$I$2:$I$501,C3)=0,"提示：员工编号未在主数据",IF(Q3&lt;&gt;"已备案","提示：未确认备案","正常"))))))))))))</f>
        <v>正常</v>
      </c>
      <c r="AE3" s="9" t="s">
        <v>127</v>
      </c>
      <c r="AF3" s="4" t="str">
        <f>IF(C3="","",IF(COUNTIF($C$2:C3,C3)=1,MAX($AF$1:AF2)+1,""))</f>
        <v/>
      </c>
      <c r="AG3" s="4">
        <f>IF(C3="","",COUNTIF($C$2:C3,C3))</f>
        <v>2</v>
      </c>
      <c r="AH3" s="4" t="str">
        <f t="shared" si="10"/>
        <v>DEMO001|2</v>
      </c>
      <c r="AI3" s="4" t="str">
        <f t="shared" si="11"/>
        <v>DEMO001|2025|2</v>
      </c>
      <c r="AJ3" s="4" t="str">
        <f t="shared" si="12"/>
        <v>DEMO001|2</v>
      </c>
      <c r="AK3" s="15">
        <f>IF(A3="","",SUMIFS(分期缴税台账!$K$2:$K$501,分期缴税台账!$T$2:$T$501,A3,分期缴税台账!$Q$2:$Q$501,"有效"))</f>
        <v>0</v>
      </c>
      <c r="AL3" s="15">
        <f t="shared" si="13"/>
        <v>81450</v>
      </c>
      <c r="AM3" s="4" t="str">
        <f t="shared" si="14"/>
        <v>DEMO001|2025|2</v>
      </c>
    </row>
    <row r="4" spans="1:39" x14ac:dyDescent="0.3">
      <c r="A4" s="9"/>
      <c r="B4" s="4" t="str">
        <f t="shared" si="0"/>
        <v/>
      </c>
      <c r="C4" s="9"/>
      <c r="D4" s="9"/>
      <c r="E4" s="9"/>
      <c r="F4" s="9"/>
      <c r="G4" s="13"/>
      <c r="H4" s="4" t="str">
        <f t="shared" si="1"/>
        <v/>
      </c>
      <c r="I4" s="9"/>
      <c r="J4" s="14"/>
      <c r="K4" s="15" t="str">
        <f>IF(OR(E4="",F4="",G4=""),"",IF(E4&lt;&gt;计划参数!$C$2,"",IF(F4="股票期权",IFERROR(LOOKUP(G4,计划参数!$D$12:$D$15,计划参数!$C$12:$C$15),""),IF(F4="限制性股票",计划参数!$C$10,""))))</f>
        <v/>
      </c>
      <c r="L4" s="15" t="str">
        <f>IF(AND(E4=计划参数!$C$2,F4="限制性股票",G4&gt;=计划参数!$D$9),计划参数!$C$9,"")</f>
        <v/>
      </c>
      <c r="M4" s="9"/>
      <c r="N4" s="14"/>
      <c r="O4" s="14"/>
      <c r="P4" s="13"/>
      <c r="Q4" s="9"/>
      <c r="R4" s="13"/>
      <c r="S4" s="15" t="str">
        <f t="shared" si="2"/>
        <v/>
      </c>
      <c r="T4" s="15" t="str">
        <f t="shared" si="3"/>
        <v/>
      </c>
      <c r="U4" s="15" t="str">
        <f t="shared" si="4"/>
        <v/>
      </c>
      <c r="V4" s="15" t="str">
        <f t="shared" si="5"/>
        <v/>
      </c>
      <c r="W4" s="16" t="str">
        <f>IF(V4="","",VLOOKUP(V4,税率及规则!$A$2:$C$8,2,TRUE))</f>
        <v/>
      </c>
      <c r="X4" s="15" t="str">
        <f>IF(V4="","",VLOOKUP(V4,税率及规则!$A$2:$C$8,3,TRUE))</f>
        <v/>
      </c>
      <c r="Y4" s="15" t="str">
        <f t="shared" si="6"/>
        <v/>
      </c>
      <c r="Z4" s="15" t="str">
        <f>IF(U4="","",MAX(0,U4*VLOOKUP(U4,税率及规则!$A$2:$C$8,2,TRUE)-VLOOKUP(U4,税率及规则!$A$2:$C$8,3,TRUE)))</f>
        <v/>
      </c>
      <c r="AA4" s="15" t="str">
        <f t="shared" si="7"/>
        <v/>
      </c>
      <c r="AB4" s="17" t="str">
        <f t="shared" si="8"/>
        <v/>
      </c>
      <c r="AC4" s="17" t="str">
        <f t="shared" si="9"/>
        <v/>
      </c>
      <c r="AD4" s="4" t="str">
        <f>IF(A4="","",IF(COUNTIF($A$2:$A$501,A4)&gt;1,"异常：事件编号重复",IF(OR(C4="",D4="",E4="",F4="",G4=""),"异常：必填项缺失",IF(AND(F4="其他股权激励",O4=""),"异常：其他股权激励所得缺失",IF(AND(F4&lt;&gt;"其他股权激励",OR(I4="",J4="")),"异常：数量或市场价缺失",IF(AND(F4&lt;&gt;"其他股权激励",OR(I4&lt;=0,J4&lt;0)),"异常：数量或价格无效",IF(AND(F4="限制性股票",OR(M4&lt;=0,N4&lt;0,I4&gt;M4)),"异常：个人获授或出资数据无效",IF(AND(IFERROR(INDEX(计划参数!$J$2:$J$501,MATCH(C4,计划参数!$I$2:$I$501,0)),"")&lt;&gt;"",D4&lt;&gt;IFERROR(INDEX(计划参数!$J$2:$J$501,MATCH(C4,计划参数!$I$2:$I$501,0)),"")),"异常：姓名与员工主数据不一致",IF(S4&lt;0,"异常：原始所得为负，已按0计税",IF(OR(AND(F4="股票期权",K4=""),AND(F4="限制性股票",OR(K4="",L4=""))),"异常：计划参数缺失",IF(COUNTIF(计划参数!$I$2:$I$501,C4)=0,"提示：员工编号未在主数据",IF(Q4&lt;&gt;"已备案","提示：未确认备案","正常"))))))))))))</f>
        <v/>
      </c>
      <c r="AE4" s="9"/>
      <c r="AF4" s="4" t="str">
        <f>IF(C4="","",IF(COUNTIF($C$2:C4,C4)=1,MAX($AF$1:AF3)+1,""))</f>
        <v/>
      </c>
      <c r="AG4" s="4" t="str">
        <f>IF(C4="","",COUNTIF($C$2:C4,C4))</f>
        <v/>
      </c>
      <c r="AH4" s="4" t="str">
        <f t="shared" si="10"/>
        <v/>
      </c>
      <c r="AI4" s="4" t="str">
        <f t="shared" si="11"/>
        <v/>
      </c>
      <c r="AJ4" s="4" t="str">
        <f t="shared" si="12"/>
        <v/>
      </c>
      <c r="AK4" s="15" t="str">
        <f>IF(A4="","",SUMIFS(分期缴税台账!$K$2:$K$501,分期缴税台账!$T$2:$T$501,A4,分期缴税台账!$Q$2:$Q$501,"有效"))</f>
        <v/>
      </c>
      <c r="AL4" s="15" t="str">
        <f t="shared" si="13"/>
        <v/>
      </c>
      <c r="AM4" s="4" t="str">
        <f t="shared" si="14"/>
        <v/>
      </c>
    </row>
    <row r="5" spans="1:39" x14ac:dyDescent="0.3">
      <c r="A5" s="9"/>
      <c r="B5" s="4" t="str">
        <f t="shared" si="0"/>
        <v/>
      </c>
      <c r="C5" s="9"/>
      <c r="D5" s="9"/>
      <c r="E5" s="9"/>
      <c r="F5" s="9"/>
      <c r="G5" s="13"/>
      <c r="H5" s="4" t="str">
        <f t="shared" si="1"/>
        <v/>
      </c>
      <c r="I5" s="9"/>
      <c r="J5" s="14"/>
      <c r="K5" s="15" t="str">
        <f>IF(OR(E5="",F5="",G5=""),"",IF(E5&lt;&gt;计划参数!$C$2,"",IF(F5="股票期权",IFERROR(LOOKUP(G5,计划参数!$D$12:$D$15,计划参数!$C$12:$C$15),""),IF(F5="限制性股票",计划参数!$C$10,""))))</f>
        <v/>
      </c>
      <c r="L5" s="15" t="str">
        <f>IF(AND(E5=计划参数!$C$2,F5="限制性股票",G5&gt;=计划参数!$D$9),计划参数!$C$9,"")</f>
        <v/>
      </c>
      <c r="M5" s="9"/>
      <c r="N5" s="14"/>
      <c r="O5" s="14"/>
      <c r="P5" s="13"/>
      <c r="Q5" s="9"/>
      <c r="R5" s="13"/>
      <c r="S5" s="15" t="str">
        <f t="shared" si="2"/>
        <v/>
      </c>
      <c r="T5" s="15" t="str">
        <f t="shared" si="3"/>
        <v/>
      </c>
      <c r="U5" s="15" t="str">
        <f t="shared" si="4"/>
        <v/>
      </c>
      <c r="V5" s="15" t="str">
        <f t="shared" si="5"/>
        <v/>
      </c>
      <c r="W5" s="16" t="str">
        <f>IF(V5="","",VLOOKUP(V5,税率及规则!$A$2:$C$8,2,TRUE))</f>
        <v/>
      </c>
      <c r="X5" s="15" t="str">
        <f>IF(V5="","",VLOOKUP(V5,税率及规则!$A$2:$C$8,3,TRUE))</f>
        <v/>
      </c>
      <c r="Y5" s="15" t="str">
        <f t="shared" si="6"/>
        <v/>
      </c>
      <c r="Z5" s="15" t="str">
        <f>IF(U5="","",MAX(0,U5*VLOOKUP(U5,税率及规则!$A$2:$C$8,2,TRUE)-VLOOKUP(U5,税率及规则!$A$2:$C$8,3,TRUE)))</f>
        <v/>
      </c>
      <c r="AA5" s="15" t="str">
        <f t="shared" si="7"/>
        <v/>
      </c>
      <c r="AB5" s="17" t="str">
        <f t="shared" si="8"/>
        <v/>
      </c>
      <c r="AC5" s="17" t="str">
        <f t="shared" si="9"/>
        <v/>
      </c>
      <c r="AD5" s="4" t="str">
        <f>IF(A5="","",IF(COUNTIF($A$2:$A$501,A5)&gt;1,"异常：事件编号重复",IF(OR(C5="",D5="",E5="",F5="",G5=""),"异常：必填项缺失",IF(AND(F5="其他股权激励",O5=""),"异常：其他股权激励所得缺失",IF(AND(F5&lt;&gt;"其他股权激励",OR(I5="",J5="")),"异常：数量或市场价缺失",IF(AND(F5&lt;&gt;"其他股权激励",OR(I5&lt;=0,J5&lt;0)),"异常：数量或价格无效",IF(AND(F5="限制性股票",OR(M5&lt;=0,N5&lt;0,I5&gt;M5)),"异常：个人获授或出资数据无效",IF(AND(IFERROR(INDEX(计划参数!$J$2:$J$501,MATCH(C5,计划参数!$I$2:$I$501,0)),"")&lt;&gt;"",D5&lt;&gt;IFERROR(INDEX(计划参数!$J$2:$J$501,MATCH(C5,计划参数!$I$2:$I$501,0)),"")),"异常：姓名与员工主数据不一致",IF(S5&lt;0,"异常：原始所得为负，已按0计税",IF(OR(AND(F5="股票期权",K5=""),AND(F5="限制性股票",OR(K5="",L5=""))),"异常：计划参数缺失",IF(COUNTIF(计划参数!$I$2:$I$501,C5)=0,"提示：员工编号未在主数据",IF(Q5&lt;&gt;"已备案","提示：未确认备案","正常"))))))))))))</f>
        <v/>
      </c>
      <c r="AE5" s="9"/>
      <c r="AF5" s="4" t="str">
        <f>IF(C5="","",IF(COUNTIF($C$2:C5,C5)=1,MAX($AF$1:AF4)+1,""))</f>
        <v/>
      </c>
      <c r="AG5" s="4" t="str">
        <f>IF(C5="","",COUNTIF($C$2:C5,C5))</f>
        <v/>
      </c>
      <c r="AH5" s="4" t="str">
        <f t="shared" si="10"/>
        <v/>
      </c>
      <c r="AI5" s="4" t="str">
        <f t="shared" si="11"/>
        <v/>
      </c>
      <c r="AJ5" s="4" t="str">
        <f t="shared" si="12"/>
        <v/>
      </c>
      <c r="AK5" s="15" t="str">
        <f>IF(A5="","",SUMIFS(分期缴税台账!$K$2:$K$501,分期缴税台账!$T$2:$T$501,A5,分期缴税台账!$Q$2:$Q$501,"有效"))</f>
        <v/>
      </c>
      <c r="AL5" s="15" t="str">
        <f t="shared" si="13"/>
        <v/>
      </c>
      <c r="AM5" s="4" t="str">
        <f t="shared" si="14"/>
        <v/>
      </c>
    </row>
    <row r="6" spans="1:39" x14ac:dyDescent="0.3">
      <c r="A6" s="9"/>
      <c r="B6" s="4" t="str">
        <f t="shared" si="0"/>
        <v/>
      </c>
      <c r="C6" s="9"/>
      <c r="D6" s="9"/>
      <c r="E6" s="9"/>
      <c r="F6" s="9"/>
      <c r="G6" s="13"/>
      <c r="H6" s="4" t="str">
        <f t="shared" si="1"/>
        <v/>
      </c>
      <c r="I6" s="9"/>
      <c r="J6" s="14"/>
      <c r="K6" s="15" t="str">
        <f>IF(OR(E6="",F6="",G6=""),"",IF(E6&lt;&gt;计划参数!$C$2,"",IF(F6="股票期权",IFERROR(LOOKUP(G6,计划参数!$D$12:$D$15,计划参数!$C$12:$C$15),""),IF(F6="限制性股票",计划参数!$C$10,""))))</f>
        <v/>
      </c>
      <c r="L6" s="15" t="str">
        <f>IF(AND(E6=计划参数!$C$2,F6="限制性股票",G6&gt;=计划参数!$D$9),计划参数!$C$9,"")</f>
        <v/>
      </c>
      <c r="M6" s="9"/>
      <c r="N6" s="14"/>
      <c r="O6" s="14"/>
      <c r="P6" s="13"/>
      <c r="Q6" s="9"/>
      <c r="R6" s="13"/>
      <c r="S6" s="15" t="str">
        <f t="shared" si="2"/>
        <v/>
      </c>
      <c r="T6" s="15" t="str">
        <f t="shared" si="3"/>
        <v/>
      </c>
      <c r="U6" s="15" t="str">
        <f t="shared" si="4"/>
        <v/>
      </c>
      <c r="V6" s="15" t="str">
        <f t="shared" si="5"/>
        <v/>
      </c>
      <c r="W6" s="16" t="str">
        <f>IF(V6="","",VLOOKUP(V6,税率及规则!$A$2:$C$8,2,TRUE))</f>
        <v/>
      </c>
      <c r="X6" s="15" t="str">
        <f>IF(V6="","",VLOOKUP(V6,税率及规则!$A$2:$C$8,3,TRUE))</f>
        <v/>
      </c>
      <c r="Y6" s="15" t="str">
        <f t="shared" si="6"/>
        <v/>
      </c>
      <c r="Z6" s="15" t="str">
        <f>IF(U6="","",MAX(0,U6*VLOOKUP(U6,税率及规则!$A$2:$C$8,2,TRUE)-VLOOKUP(U6,税率及规则!$A$2:$C$8,3,TRUE)))</f>
        <v/>
      </c>
      <c r="AA6" s="15" t="str">
        <f t="shared" si="7"/>
        <v/>
      </c>
      <c r="AB6" s="17" t="str">
        <f t="shared" si="8"/>
        <v/>
      </c>
      <c r="AC6" s="17" t="str">
        <f t="shared" si="9"/>
        <v/>
      </c>
      <c r="AD6" s="4" t="str">
        <f>IF(A6="","",IF(COUNTIF($A$2:$A$501,A6)&gt;1,"异常：事件编号重复",IF(OR(C6="",D6="",E6="",F6="",G6=""),"异常：必填项缺失",IF(AND(F6="其他股权激励",O6=""),"异常：其他股权激励所得缺失",IF(AND(F6&lt;&gt;"其他股权激励",OR(I6="",J6="")),"异常：数量或市场价缺失",IF(AND(F6&lt;&gt;"其他股权激励",OR(I6&lt;=0,J6&lt;0)),"异常：数量或价格无效",IF(AND(F6="限制性股票",OR(M6&lt;=0,N6&lt;0,I6&gt;M6)),"异常：个人获授或出资数据无效",IF(AND(IFERROR(INDEX(计划参数!$J$2:$J$501,MATCH(C6,计划参数!$I$2:$I$501,0)),"")&lt;&gt;"",D6&lt;&gt;IFERROR(INDEX(计划参数!$J$2:$J$501,MATCH(C6,计划参数!$I$2:$I$501,0)),"")),"异常：姓名与员工主数据不一致",IF(S6&lt;0,"异常：原始所得为负，已按0计税",IF(OR(AND(F6="股票期权",K6=""),AND(F6="限制性股票",OR(K6="",L6=""))),"异常：计划参数缺失",IF(COUNTIF(计划参数!$I$2:$I$501,C6)=0,"提示：员工编号未在主数据",IF(Q6&lt;&gt;"已备案","提示：未确认备案","正常"))))))))))))</f>
        <v/>
      </c>
      <c r="AE6" s="9"/>
      <c r="AF6" s="4" t="str">
        <f>IF(C6="","",IF(COUNTIF($C$2:C6,C6)=1,MAX($AF$1:AF5)+1,""))</f>
        <v/>
      </c>
      <c r="AG6" s="4" t="str">
        <f>IF(C6="","",COUNTIF($C$2:C6,C6))</f>
        <v/>
      </c>
      <c r="AH6" s="4" t="str">
        <f t="shared" si="10"/>
        <v/>
      </c>
      <c r="AI6" s="4" t="str">
        <f t="shared" si="11"/>
        <v/>
      </c>
      <c r="AJ6" s="4" t="str">
        <f t="shared" si="12"/>
        <v/>
      </c>
      <c r="AK6" s="15" t="str">
        <f>IF(A6="","",SUMIFS(分期缴税台账!$K$2:$K$501,分期缴税台账!$T$2:$T$501,A6,分期缴税台账!$Q$2:$Q$501,"有效"))</f>
        <v/>
      </c>
      <c r="AL6" s="15" t="str">
        <f t="shared" si="13"/>
        <v/>
      </c>
      <c r="AM6" s="4" t="str">
        <f t="shared" si="14"/>
        <v/>
      </c>
    </row>
    <row r="7" spans="1:39" x14ac:dyDescent="0.3">
      <c r="A7" s="9"/>
      <c r="B7" s="4" t="str">
        <f t="shared" si="0"/>
        <v/>
      </c>
      <c r="C7" s="9"/>
      <c r="D7" s="9"/>
      <c r="E7" s="9"/>
      <c r="F7" s="9"/>
      <c r="G7" s="13"/>
      <c r="H7" s="4" t="str">
        <f t="shared" si="1"/>
        <v/>
      </c>
      <c r="I7" s="9"/>
      <c r="J7" s="14"/>
      <c r="K7" s="15" t="str">
        <f>IF(OR(E7="",F7="",G7=""),"",IF(E7&lt;&gt;计划参数!$C$2,"",IF(F7="股票期权",IFERROR(LOOKUP(G7,计划参数!$D$12:$D$15,计划参数!$C$12:$C$15),""),IF(F7="限制性股票",计划参数!$C$10,""))))</f>
        <v/>
      </c>
      <c r="L7" s="15" t="str">
        <f>IF(AND(E7=计划参数!$C$2,F7="限制性股票",G7&gt;=计划参数!$D$9),计划参数!$C$9,"")</f>
        <v/>
      </c>
      <c r="M7" s="9"/>
      <c r="N7" s="14"/>
      <c r="O7" s="14"/>
      <c r="P7" s="13"/>
      <c r="Q7" s="9"/>
      <c r="R7" s="13"/>
      <c r="S7" s="15" t="str">
        <f t="shared" si="2"/>
        <v/>
      </c>
      <c r="T7" s="15" t="str">
        <f t="shared" si="3"/>
        <v/>
      </c>
      <c r="U7" s="15" t="str">
        <f t="shared" si="4"/>
        <v/>
      </c>
      <c r="V7" s="15" t="str">
        <f t="shared" si="5"/>
        <v/>
      </c>
      <c r="W7" s="16" t="str">
        <f>IF(V7="","",VLOOKUP(V7,税率及规则!$A$2:$C$8,2,TRUE))</f>
        <v/>
      </c>
      <c r="X7" s="15" t="str">
        <f>IF(V7="","",VLOOKUP(V7,税率及规则!$A$2:$C$8,3,TRUE))</f>
        <v/>
      </c>
      <c r="Y7" s="15" t="str">
        <f t="shared" si="6"/>
        <v/>
      </c>
      <c r="Z7" s="15" t="str">
        <f>IF(U7="","",MAX(0,U7*VLOOKUP(U7,税率及规则!$A$2:$C$8,2,TRUE)-VLOOKUP(U7,税率及规则!$A$2:$C$8,3,TRUE)))</f>
        <v/>
      </c>
      <c r="AA7" s="15" t="str">
        <f t="shared" si="7"/>
        <v/>
      </c>
      <c r="AB7" s="17" t="str">
        <f t="shared" si="8"/>
        <v/>
      </c>
      <c r="AC7" s="17" t="str">
        <f t="shared" si="9"/>
        <v/>
      </c>
      <c r="AD7" s="4" t="str">
        <f>IF(A7="","",IF(COUNTIF($A$2:$A$501,A7)&gt;1,"异常：事件编号重复",IF(OR(C7="",D7="",E7="",F7="",G7=""),"异常：必填项缺失",IF(AND(F7="其他股权激励",O7=""),"异常：其他股权激励所得缺失",IF(AND(F7&lt;&gt;"其他股权激励",OR(I7="",J7="")),"异常：数量或市场价缺失",IF(AND(F7&lt;&gt;"其他股权激励",OR(I7&lt;=0,J7&lt;0)),"异常：数量或价格无效",IF(AND(F7="限制性股票",OR(M7&lt;=0,N7&lt;0,I7&gt;M7)),"异常：个人获授或出资数据无效",IF(AND(IFERROR(INDEX(计划参数!$J$2:$J$501,MATCH(C7,计划参数!$I$2:$I$501,0)),"")&lt;&gt;"",D7&lt;&gt;IFERROR(INDEX(计划参数!$J$2:$J$501,MATCH(C7,计划参数!$I$2:$I$501,0)),"")),"异常：姓名与员工主数据不一致",IF(S7&lt;0,"异常：原始所得为负，已按0计税",IF(OR(AND(F7="股票期权",K7=""),AND(F7="限制性股票",OR(K7="",L7=""))),"异常：计划参数缺失",IF(COUNTIF(计划参数!$I$2:$I$501,C7)=0,"提示：员工编号未在主数据",IF(Q7&lt;&gt;"已备案","提示：未确认备案","正常"))))))))))))</f>
        <v/>
      </c>
      <c r="AE7" s="9"/>
      <c r="AF7" s="4" t="str">
        <f>IF(C7="","",IF(COUNTIF($C$2:C7,C7)=1,MAX($AF$1:AF6)+1,""))</f>
        <v/>
      </c>
      <c r="AG7" s="4" t="str">
        <f>IF(C7="","",COUNTIF($C$2:C7,C7))</f>
        <v/>
      </c>
      <c r="AH7" s="4" t="str">
        <f t="shared" si="10"/>
        <v/>
      </c>
      <c r="AI7" s="4" t="str">
        <f t="shared" si="11"/>
        <v/>
      </c>
      <c r="AJ7" s="4" t="str">
        <f t="shared" si="12"/>
        <v/>
      </c>
      <c r="AK7" s="15" t="str">
        <f>IF(A7="","",SUMIFS(分期缴税台账!$K$2:$K$501,分期缴税台账!$T$2:$T$501,A7,分期缴税台账!$Q$2:$Q$501,"有效"))</f>
        <v/>
      </c>
      <c r="AL7" s="15" t="str">
        <f t="shared" si="13"/>
        <v/>
      </c>
      <c r="AM7" s="4" t="str">
        <f t="shared" si="14"/>
        <v/>
      </c>
    </row>
    <row r="8" spans="1:39" x14ac:dyDescent="0.3">
      <c r="A8" s="9"/>
      <c r="B8" s="4" t="str">
        <f t="shared" si="0"/>
        <v/>
      </c>
      <c r="C8" s="9"/>
      <c r="D8" s="9"/>
      <c r="E8" s="9"/>
      <c r="F8" s="9"/>
      <c r="G8" s="13"/>
      <c r="H8" s="4" t="str">
        <f t="shared" si="1"/>
        <v/>
      </c>
      <c r="I8" s="9"/>
      <c r="J8" s="14"/>
      <c r="K8" s="15" t="str">
        <f>IF(OR(E8="",F8="",G8=""),"",IF(E8&lt;&gt;计划参数!$C$2,"",IF(F8="股票期权",IFERROR(LOOKUP(G8,计划参数!$D$12:$D$15,计划参数!$C$12:$C$15),""),IF(F8="限制性股票",计划参数!$C$10,""))))</f>
        <v/>
      </c>
      <c r="L8" s="15" t="str">
        <f>IF(AND(E8=计划参数!$C$2,F8="限制性股票",G8&gt;=计划参数!$D$9),计划参数!$C$9,"")</f>
        <v/>
      </c>
      <c r="M8" s="9"/>
      <c r="N8" s="14"/>
      <c r="O8" s="14"/>
      <c r="P8" s="13"/>
      <c r="Q8" s="9"/>
      <c r="R8" s="13"/>
      <c r="S8" s="15" t="str">
        <f t="shared" si="2"/>
        <v/>
      </c>
      <c r="T8" s="15" t="str">
        <f t="shared" si="3"/>
        <v/>
      </c>
      <c r="U8" s="15" t="str">
        <f t="shared" si="4"/>
        <v/>
      </c>
      <c r="V8" s="15" t="str">
        <f t="shared" si="5"/>
        <v/>
      </c>
      <c r="W8" s="16" t="str">
        <f>IF(V8="","",VLOOKUP(V8,税率及规则!$A$2:$C$8,2,TRUE))</f>
        <v/>
      </c>
      <c r="X8" s="15" t="str">
        <f>IF(V8="","",VLOOKUP(V8,税率及规则!$A$2:$C$8,3,TRUE))</f>
        <v/>
      </c>
      <c r="Y8" s="15" t="str">
        <f t="shared" si="6"/>
        <v/>
      </c>
      <c r="Z8" s="15" t="str">
        <f>IF(U8="","",MAX(0,U8*VLOOKUP(U8,税率及规则!$A$2:$C$8,2,TRUE)-VLOOKUP(U8,税率及规则!$A$2:$C$8,3,TRUE)))</f>
        <v/>
      </c>
      <c r="AA8" s="15" t="str">
        <f t="shared" si="7"/>
        <v/>
      </c>
      <c r="AB8" s="17" t="str">
        <f t="shared" si="8"/>
        <v/>
      </c>
      <c r="AC8" s="17" t="str">
        <f t="shared" si="9"/>
        <v/>
      </c>
      <c r="AD8" s="4" t="str">
        <f>IF(A8="","",IF(COUNTIF($A$2:$A$501,A8)&gt;1,"异常：事件编号重复",IF(OR(C8="",D8="",E8="",F8="",G8=""),"异常：必填项缺失",IF(AND(F8="其他股权激励",O8=""),"异常：其他股权激励所得缺失",IF(AND(F8&lt;&gt;"其他股权激励",OR(I8="",J8="")),"异常：数量或市场价缺失",IF(AND(F8&lt;&gt;"其他股权激励",OR(I8&lt;=0,J8&lt;0)),"异常：数量或价格无效",IF(AND(F8="限制性股票",OR(M8&lt;=0,N8&lt;0,I8&gt;M8)),"异常：个人获授或出资数据无效",IF(AND(IFERROR(INDEX(计划参数!$J$2:$J$501,MATCH(C8,计划参数!$I$2:$I$501,0)),"")&lt;&gt;"",D8&lt;&gt;IFERROR(INDEX(计划参数!$J$2:$J$501,MATCH(C8,计划参数!$I$2:$I$501,0)),"")),"异常：姓名与员工主数据不一致",IF(S8&lt;0,"异常：原始所得为负，已按0计税",IF(OR(AND(F8="股票期权",K8=""),AND(F8="限制性股票",OR(K8="",L8=""))),"异常：计划参数缺失",IF(COUNTIF(计划参数!$I$2:$I$501,C8)=0,"提示：员工编号未在主数据",IF(Q8&lt;&gt;"已备案","提示：未确认备案","正常"))))))))))))</f>
        <v/>
      </c>
      <c r="AE8" s="9"/>
      <c r="AF8" s="4" t="str">
        <f>IF(C8="","",IF(COUNTIF($C$2:C8,C8)=1,MAX($AF$1:AF7)+1,""))</f>
        <v/>
      </c>
      <c r="AG8" s="4" t="str">
        <f>IF(C8="","",COUNTIF($C$2:C8,C8))</f>
        <v/>
      </c>
      <c r="AH8" s="4" t="str">
        <f t="shared" si="10"/>
        <v/>
      </c>
      <c r="AI8" s="4" t="str">
        <f t="shared" si="11"/>
        <v/>
      </c>
      <c r="AJ8" s="4" t="str">
        <f t="shared" si="12"/>
        <v/>
      </c>
      <c r="AK8" s="15" t="str">
        <f>IF(A8="","",SUMIFS(分期缴税台账!$K$2:$K$501,分期缴税台账!$T$2:$T$501,A8,分期缴税台账!$Q$2:$Q$501,"有效"))</f>
        <v/>
      </c>
      <c r="AL8" s="15" t="str">
        <f t="shared" si="13"/>
        <v/>
      </c>
      <c r="AM8" s="4" t="str">
        <f t="shared" si="14"/>
        <v/>
      </c>
    </row>
    <row r="9" spans="1:39" x14ac:dyDescent="0.3">
      <c r="A9" s="9"/>
      <c r="B9" s="4" t="str">
        <f t="shared" si="0"/>
        <v/>
      </c>
      <c r="C9" s="9"/>
      <c r="D9" s="9"/>
      <c r="E9" s="9"/>
      <c r="F9" s="9"/>
      <c r="G9" s="13"/>
      <c r="H9" s="4" t="str">
        <f t="shared" si="1"/>
        <v/>
      </c>
      <c r="I9" s="9"/>
      <c r="J9" s="14"/>
      <c r="K9" s="15" t="str">
        <f>IF(OR(E9="",F9="",G9=""),"",IF(E9&lt;&gt;计划参数!$C$2,"",IF(F9="股票期权",IFERROR(LOOKUP(G9,计划参数!$D$12:$D$15,计划参数!$C$12:$C$15),""),IF(F9="限制性股票",计划参数!$C$10,""))))</f>
        <v/>
      </c>
      <c r="L9" s="15" t="str">
        <f>IF(AND(E9=计划参数!$C$2,F9="限制性股票",G9&gt;=计划参数!$D$9),计划参数!$C$9,"")</f>
        <v/>
      </c>
      <c r="M9" s="9"/>
      <c r="N9" s="14"/>
      <c r="O9" s="14"/>
      <c r="P9" s="13"/>
      <c r="Q9" s="9"/>
      <c r="R9" s="13"/>
      <c r="S9" s="15" t="str">
        <f t="shared" si="2"/>
        <v/>
      </c>
      <c r="T9" s="15" t="str">
        <f t="shared" si="3"/>
        <v/>
      </c>
      <c r="U9" s="15" t="str">
        <f t="shared" si="4"/>
        <v/>
      </c>
      <c r="V9" s="15" t="str">
        <f t="shared" si="5"/>
        <v/>
      </c>
      <c r="W9" s="16" t="str">
        <f>IF(V9="","",VLOOKUP(V9,税率及规则!$A$2:$C$8,2,TRUE))</f>
        <v/>
      </c>
      <c r="X9" s="15" t="str">
        <f>IF(V9="","",VLOOKUP(V9,税率及规则!$A$2:$C$8,3,TRUE))</f>
        <v/>
      </c>
      <c r="Y9" s="15" t="str">
        <f t="shared" si="6"/>
        <v/>
      </c>
      <c r="Z9" s="15" t="str">
        <f>IF(U9="","",MAX(0,U9*VLOOKUP(U9,税率及规则!$A$2:$C$8,2,TRUE)-VLOOKUP(U9,税率及规则!$A$2:$C$8,3,TRUE)))</f>
        <v/>
      </c>
      <c r="AA9" s="15" t="str">
        <f t="shared" si="7"/>
        <v/>
      </c>
      <c r="AB9" s="17" t="str">
        <f t="shared" si="8"/>
        <v/>
      </c>
      <c r="AC9" s="17" t="str">
        <f t="shared" si="9"/>
        <v/>
      </c>
      <c r="AD9" s="4" t="str">
        <f>IF(A9="","",IF(COUNTIF($A$2:$A$501,A9)&gt;1,"异常：事件编号重复",IF(OR(C9="",D9="",E9="",F9="",G9=""),"异常：必填项缺失",IF(AND(F9="其他股权激励",O9=""),"异常：其他股权激励所得缺失",IF(AND(F9&lt;&gt;"其他股权激励",OR(I9="",J9="")),"异常：数量或市场价缺失",IF(AND(F9&lt;&gt;"其他股权激励",OR(I9&lt;=0,J9&lt;0)),"异常：数量或价格无效",IF(AND(F9="限制性股票",OR(M9&lt;=0,N9&lt;0,I9&gt;M9)),"异常：个人获授或出资数据无效",IF(AND(IFERROR(INDEX(计划参数!$J$2:$J$501,MATCH(C9,计划参数!$I$2:$I$501,0)),"")&lt;&gt;"",D9&lt;&gt;IFERROR(INDEX(计划参数!$J$2:$J$501,MATCH(C9,计划参数!$I$2:$I$501,0)),"")),"异常：姓名与员工主数据不一致",IF(S9&lt;0,"异常：原始所得为负，已按0计税",IF(OR(AND(F9="股票期权",K9=""),AND(F9="限制性股票",OR(K9="",L9=""))),"异常：计划参数缺失",IF(COUNTIF(计划参数!$I$2:$I$501,C9)=0,"提示：员工编号未在主数据",IF(Q9&lt;&gt;"已备案","提示：未确认备案","正常"))))))))))))</f>
        <v/>
      </c>
      <c r="AE9" s="9"/>
      <c r="AF9" s="4" t="str">
        <f>IF(C9="","",IF(COUNTIF($C$2:C9,C9)=1,MAX($AF$1:AF8)+1,""))</f>
        <v/>
      </c>
      <c r="AG9" s="4" t="str">
        <f>IF(C9="","",COUNTIF($C$2:C9,C9))</f>
        <v/>
      </c>
      <c r="AH9" s="4" t="str">
        <f t="shared" si="10"/>
        <v/>
      </c>
      <c r="AI9" s="4" t="str">
        <f t="shared" si="11"/>
        <v/>
      </c>
      <c r="AJ9" s="4" t="str">
        <f t="shared" si="12"/>
        <v/>
      </c>
      <c r="AK9" s="15" t="str">
        <f>IF(A9="","",SUMIFS(分期缴税台账!$K$2:$K$501,分期缴税台账!$T$2:$T$501,A9,分期缴税台账!$Q$2:$Q$501,"有效"))</f>
        <v/>
      </c>
      <c r="AL9" s="15" t="str">
        <f t="shared" si="13"/>
        <v/>
      </c>
      <c r="AM9" s="4" t="str">
        <f t="shared" si="14"/>
        <v/>
      </c>
    </row>
    <row r="10" spans="1:39" x14ac:dyDescent="0.3">
      <c r="A10" s="9"/>
      <c r="B10" s="4" t="str">
        <f t="shared" si="0"/>
        <v/>
      </c>
      <c r="C10" s="9"/>
      <c r="D10" s="9"/>
      <c r="E10" s="9"/>
      <c r="F10" s="9"/>
      <c r="G10" s="13"/>
      <c r="H10" s="4" t="str">
        <f t="shared" si="1"/>
        <v/>
      </c>
      <c r="I10" s="9"/>
      <c r="J10" s="14"/>
      <c r="K10" s="15" t="str">
        <f>IF(OR(E10="",F10="",G10=""),"",IF(E10&lt;&gt;计划参数!$C$2,"",IF(F10="股票期权",IFERROR(LOOKUP(G10,计划参数!$D$12:$D$15,计划参数!$C$12:$C$15),""),IF(F10="限制性股票",计划参数!$C$10,""))))</f>
        <v/>
      </c>
      <c r="L10" s="15" t="str">
        <f>IF(AND(E10=计划参数!$C$2,F10="限制性股票",G10&gt;=计划参数!$D$9),计划参数!$C$9,"")</f>
        <v/>
      </c>
      <c r="M10" s="9"/>
      <c r="N10" s="14"/>
      <c r="O10" s="14"/>
      <c r="P10" s="13"/>
      <c r="Q10" s="9"/>
      <c r="R10" s="13"/>
      <c r="S10" s="15" t="str">
        <f t="shared" si="2"/>
        <v/>
      </c>
      <c r="T10" s="15" t="str">
        <f t="shared" si="3"/>
        <v/>
      </c>
      <c r="U10" s="15" t="str">
        <f t="shared" si="4"/>
        <v/>
      </c>
      <c r="V10" s="15" t="str">
        <f t="shared" si="5"/>
        <v/>
      </c>
      <c r="W10" s="16" t="str">
        <f>IF(V10="","",VLOOKUP(V10,税率及规则!$A$2:$C$8,2,TRUE))</f>
        <v/>
      </c>
      <c r="X10" s="15" t="str">
        <f>IF(V10="","",VLOOKUP(V10,税率及规则!$A$2:$C$8,3,TRUE))</f>
        <v/>
      </c>
      <c r="Y10" s="15" t="str">
        <f t="shared" si="6"/>
        <v/>
      </c>
      <c r="Z10" s="15" t="str">
        <f>IF(U10="","",MAX(0,U10*VLOOKUP(U10,税率及规则!$A$2:$C$8,2,TRUE)-VLOOKUP(U10,税率及规则!$A$2:$C$8,3,TRUE)))</f>
        <v/>
      </c>
      <c r="AA10" s="15" t="str">
        <f t="shared" si="7"/>
        <v/>
      </c>
      <c r="AB10" s="17" t="str">
        <f t="shared" si="8"/>
        <v/>
      </c>
      <c r="AC10" s="17" t="str">
        <f t="shared" si="9"/>
        <v/>
      </c>
      <c r="AD10" s="4" t="str">
        <f>IF(A10="","",IF(COUNTIF($A$2:$A$501,A10)&gt;1,"异常：事件编号重复",IF(OR(C10="",D10="",E10="",F10="",G10=""),"异常：必填项缺失",IF(AND(F10="其他股权激励",O10=""),"异常：其他股权激励所得缺失",IF(AND(F10&lt;&gt;"其他股权激励",OR(I10="",J10="")),"异常：数量或市场价缺失",IF(AND(F10&lt;&gt;"其他股权激励",OR(I10&lt;=0,J10&lt;0)),"异常：数量或价格无效",IF(AND(F10="限制性股票",OR(M10&lt;=0,N10&lt;0,I10&gt;M10)),"异常：个人获授或出资数据无效",IF(AND(IFERROR(INDEX(计划参数!$J$2:$J$501,MATCH(C10,计划参数!$I$2:$I$501,0)),"")&lt;&gt;"",D10&lt;&gt;IFERROR(INDEX(计划参数!$J$2:$J$501,MATCH(C10,计划参数!$I$2:$I$501,0)),"")),"异常：姓名与员工主数据不一致",IF(S10&lt;0,"异常：原始所得为负，已按0计税",IF(OR(AND(F10="股票期权",K10=""),AND(F10="限制性股票",OR(K10="",L10=""))),"异常：计划参数缺失",IF(COUNTIF(计划参数!$I$2:$I$501,C10)=0,"提示：员工编号未在主数据",IF(Q10&lt;&gt;"已备案","提示：未确认备案","正常"))))))))))))</f>
        <v/>
      </c>
      <c r="AE10" s="9"/>
      <c r="AF10" s="4" t="str">
        <f>IF(C10="","",IF(COUNTIF($C$2:C10,C10)=1,MAX($AF$1:AF9)+1,""))</f>
        <v/>
      </c>
      <c r="AG10" s="4" t="str">
        <f>IF(C10="","",COUNTIF($C$2:C10,C10))</f>
        <v/>
      </c>
      <c r="AH10" s="4" t="str">
        <f t="shared" si="10"/>
        <v/>
      </c>
      <c r="AI10" s="4" t="str">
        <f t="shared" si="11"/>
        <v/>
      </c>
      <c r="AJ10" s="4" t="str">
        <f t="shared" si="12"/>
        <v/>
      </c>
      <c r="AK10" s="15" t="str">
        <f>IF(A10="","",SUMIFS(分期缴税台账!$K$2:$K$501,分期缴税台账!$T$2:$T$501,A10,分期缴税台账!$Q$2:$Q$501,"有效"))</f>
        <v/>
      </c>
      <c r="AL10" s="15" t="str">
        <f t="shared" si="13"/>
        <v/>
      </c>
      <c r="AM10" s="4" t="str">
        <f t="shared" si="14"/>
        <v/>
      </c>
    </row>
    <row r="11" spans="1:39" x14ac:dyDescent="0.3">
      <c r="A11" s="9"/>
      <c r="B11" s="4" t="str">
        <f t="shared" si="0"/>
        <v/>
      </c>
      <c r="C11" s="9"/>
      <c r="D11" s="9"/>
      <c r="E11" s="9"/>
      <c r="F11" s="9"/>
      <c r="G11" s="13"/>
      <c r="H11" s="4" t="str">
        <f t="shared" si="1"/>
        <v/>
      </c>
      <c r="I11" s="9"/>
      <c r="J11" s="14"/>
      <c r="K11" s="15" t="str">
        <f>IF(OR(E11="",F11="",G11=""),"",IF(E11&lt;&gt;计划参数!$C$2,"",IF(F11="股票期权",IFERROR(LOOKUP(G11,计划参数!$D$12:$D$15,计划参数!$C$12:$C$15),""),IF(F11="限制性股票",计划参数!$C$10,""))))</f>
        <v/>
      </c>
      <c r="L11" s="15" t="str">
        <f>IF(AND(E11=计划参数!$C$2,F11="限制性股票",G11&gt;=计划参数!$D$9),计划参数!$C$9,"")</f>
        <v/>
      </c>
      <c r="M11" s="9"/>
      <c r="N11" s="14"/>
      <c r="O11" s="14"/>
      <c r="P11" s="13"/>
      <c r="Q11" s="9"/>
      <c r="R11" s="13"/>
      <c r="S11" s="15" t="str">
        <f t="shared" si="2"/>
        <v/>
      </c>
      <c r="T11" s="15" t="str">
        <f t="shared" si="3"/>
        <v/>
      </c>
      <c r="U11" s="15" t="str">
        <f t="shared" si="4"/>
        <v/>
      </c>
      <c r="V11" s="15" t="str">
        <f t="shared" si="5"/>
        <v/>
      </c>
      <c r="W11" s="16" t="str">
        <f>IF(V11="","",VLOOKUP(V11,税率及规则!$A$2:$C$8,2,TRUE))</f>
        <v/>
      </c>
      <c r="X11" s="15" t="str">
        <f>IF(V11="","",VLOOKUP(V11,税率及规则!$A$2:$C$8,3,TRUE))</f>
        <v/>
      </c>
      <c r="Y11" s="15" t="str">
        <f t="shared" si="6"/>
        <v/>
      </c>
      <c r="Z11" s="15" t="str">
        <f>IF(U11="","",MAX(0,U11*VLOOKUP(U11,税率及规则!$A$2:$C$8,2,TRUE)-VLOOKUP(U11,税率及规则!$A$2:$C$8,3,TRUE)))</f>
        <v/>
      </c>
      <c r="AA11" s="15" t="str">
        <f t="shared" si="7"/>
        <v/>
      </c>
      <c r="AB11" s="17" t="str">
        <f t="shared" si="8"/>
        <v/>
      </c>
      <c r="AC11" s="17" t="str">
        <f t="shared" si="9"/>
        <v/>
      </c>
      <c r="AD11" s="4" t="str">
        <f>IF(A11="","",IF(COUNTIF($A$2:$A$501,A11)&gt;1,"异常：事件编号重复",IF(OR(C11="",D11="",E11="",F11="",G11=""),"异常：必填项缺失",IF(AND(F11="其他股权激励",O11=""),"异常：其他股权激励所得缺失",IF(AND(F11&lt;&gt;"其他股权激励",OR(I11="",J11="")),"异常：数量或市场价缺失",IF(AND(F11&lt;&gt;"其他股权激励",OR(I11&lt;=0,J11&lt;0)),"异常：数量或价格无效",IF(AND(F11="限制性股票",OR(M11&lt;=0,N11&lt;0,I11&gt;M11)),"异常：个人获授或出资数据无效",IF(AND(IFERROR(INDEX(计划参数!$J$2:$J$501,MATCH(C11,计划参数!$I$2:$I$501,0)),"")&lt;&gt;"",D11&lt;&gt;IFERROR(INDEX(计划参数!$J$2:$J$501,MATCH(C11,计划参数!$I$2:$I$501,0)),"")),"异常：姓名与员工主数据不一致",IF(S11&lt;0,"异常：原始所得为负，已按0计税",IF(OR(AND(F11="股票期权",K11=""),AND(F11="限制性股票",OR(K11="",L11=""))),"异常：计划参数缺失",IF(COUNTIF(计划参数!$I$2:$I$501,C11)=0,"提示：员工编号未在主数据",IF(Q11&lt;&gt;"已备案","提示：未确认备案","正常"))))))))))))</f>
        <v/>
      </c>
      <c r="AE11" s="9"/>
      <c r="AF11" s="4" t="str">
        <f>IF(C11="","",IF(COUNTIF($C$2:C11,C11)=1,MAX($AF$1:AF10)+1,""))</f>
        <v/>
      </c>
      <c r="AG11" s="4" t="str">
        <f>IF(C11="","",COUNTIF($C$2:C11,C11))</f>
        <v/>
      </c>
      <c r="AH11" s="4" t="str">
        <f t="shared" si="10"/>
        <v/>
      </c>
      <c r="AI11" s="4" t="str">
        <f t="shared" si="11"/>
        <v/>
      </c>
      <c r="AJ11" s="4" t="str">
        <f t="shared" si="12"/>
        <v/>
      </c>
      <c r="AK11" s="15" t="str">
        <f>IF(A11="","",SUMIFS(分期缴税台账!$K$2:$K$501,分期缴税台账!$T$2:$T$501,A11,分期缴税台账!$Q$2:$Q$501,"有效"))</f>
        <v/>
      </c>
      <c r="AL11" s="15" t="str">
        <f t="shared" si="13"/>
        <v/>
      </c>
      <c r="AM11" s="4" t="str">
        <f t="shared" si="14"/>
        <v/>
      </c>
    </row>
    <row r="12" spans="1:39" x14ac:dyDescent="0.3">
      <c r="A12" s="9"/>
      <c r="B12" s="4" t="str">
        <f t="shared" si="0"/>
        <v/>
      </c>
      <c r="C12" s="9"/>
      <c r="D12" s="9"/>
      <c r="E12" s="9"/>
      <c r="F12" s="9"/>
      <c r="G12" s="13"/>
      <c r="H12" s="4" t="str">
        <f t="shared" si="1"/>
        <v/>
      </c>
      <c r="I12" s="9"/>
      <c r="J12" s="14"/>
      <c r="K12" s="15" t="str">
        <f>IF(OR(E12="",F12="",G12=""),"",IF(E12&lt;&gt;计划参数!$C$2,"",IF(F12="股票期权",IFERROR(LOOKUP(G12,计划参数!$D$12:$D$15,计划参数!$C$12:$C$15),""),IF(F12="限制性股票",计划参数!$C$10,""))))</f>
        <v/>
      </c>
      <c r="L12" s="15" t="str">
        <f>IF(AND(E12=计划参数!$C$2,F12="限制性股票",G12&gt;=计划参数!$D$9),计划参数!$C$9,"")</f>
        <v/>
      </c>
      <c r="M12" s="9"/>
      <c r="N12" s="14"/>
      <c r="O12" s="14"/>
      <c r="P12" s="13"/>
      <c r="Q12" s="9"/>
      <c r="R12" s="13"/>
      <c r="S12" s="15" t="str">
        <f t="shared" si="2"/>
        <v/>
      </c>
      <c r="T12" s="15" t="str">
        <f t="shared" si="3"/>
        <v/>
      </c>
      <c r="U12" s="15" t="str">
        <f t="shared" si="4"/>
        <v/>
      </c>
      <c r="V12" s="15" t="str">
        <f t="shared" si="5"/>
        <v/>
      </c>
      <c r="W12" s="16" t="str">
        <f>IF(V12="","",VLOOKUP(V12,税率及规则!$A$2:$C$8,2,TRUE))</f>
        <v/>
      </c>
      <c r="X12" s="15" t="str">
        <f>IF(V12="","",VLOOKUP(V12,税率及规则!$A$2:$C$8,3,TRUE))</f>
        <v/>
      </c>
      <c r="Y12" s="15" t="str">
        <f t="shared" si="6"/>
        <v/>
      </c>
      <c r="Z12" s="15" t="str">
        <f>IF(U12="","",MAX(0,U12*VLOOKUP(U12,税率及规则!$A$2:$C$8,2,TRUE)-VLOOKUP(U12,税率及规则!$A$2:$C$8,3,TRUE)))</f>
        <v/>
      </c>
      <c r="AA12" s="15" t="str">
        <f t="shared" si="7"/>
        <v/>
      </c>
      <c r="AB12" s="17" t="str">
        <f t="shared" si="8"/>
        <v/>
      </c>
      <c r="AC12" s="17" t="str">
        <f t="shared" si="9"/>
        <v/>
      </c>
      <c r="AD12" s="4" t="str">
        <f>IF(A12="","",IF(COUNTIF($A$2:$A$501,A12)&gt;1,"异常：事件编号重复",IF(OR(C12="",D12="",E12="",F12="",G12=""),"异常：必填项缺失",IF(AND(F12="其他股权激励",O12=""),"异常：其他股权激励所得缺失",IF(AND(F12&lt;&gt;"其他股权激励",OR(I12="",J12="")),"异常：数量或市场价缺失",IF(AND(F12&lt;&gt;"其他股权激励",OR(I12&lt;=0,J12&lt;0)),"异常：数量或价格无效",IF(AND(F12="限制性股票",OR(M12&lt;=0,N12&lt;0,I12&gt;M12)),"异常：个人获授或出资数据无效",IF(AND(IFERROR(INDEX(计划参数!$J$2:$J$501,MATCH(C12,计划参数!$I$2:$I$501,0)),"")&lt;&gt;"",D12&lt;&gt;IFERROR(INDEX(计划参数!$J$2:$J$501,MATCH(C12,计划参数!$I$2:$I$501,0)),"")),"异常：姓名与员工主数据不一致",IF(S12&lt;0,"异常：原始所得为负，已按0计税",IF(OR(AND(F12="股票期权",K12=""),AND(F12="限制性股票",OR(K12="",L12=""))),"异常：计划参数缺失",IF(COUNTIF(计划参数!$I$2:$I$501,C12)=0,"提示：员工编号未在主数据",IF(Q12&lt;&gt;"已备案","提示：未确认备案","正常"))))))))))))</f>
        <v/>
      </c>
      <c r="AE12" s="9"/>
      <c r="AF12" s="4" t="str">
        <f>IF(C12="","",IF(COUNTIF($C$2:C12,C12)=1,MAX($AF$1:AF11)+1,""))</f>
        <v/>
      </c>
      <c r="AG12" s="4" t="str">
        <f>IF(C12="","",COUNTIF($C$2:C12,C12))</f>
        <v/>
      </c>
      <c r="AH12" s="4" t="str">
        <f t="shared" si="10"/>
        <v/>
      </c>
      <c r="AI12" s="4" t="str">
        <f t="shared" si="11"/>
        <v/>
      </c>
      <c r="AJ12" s="4" t="str">
        <f t="shared" si="12"/>
        <v/>
      </c>
      <c r="AK12" s="15" t="str">
        <f>IF(A12="","",SUMIFS(分期缴税台账!$K$2:$K$501,分期缴税台账!$T$2:$T$501,A12,分期缴税台账!$Q$2:$Q$501,"有效"))</f>
        <v/>
      </c>
      <c r="AL12" s="15" t="str">
        <f t="shared" si="13"/>
        <v/>
      </c>
      <c r="AM12" s="4" t="str">
        <f t="shared" si="14"/>
        <v/>
      </c>
    </row>
    <row r="13" spans="1:39" x14ac:dyDescent="0.3">
      <c r="A13" s="9"/>
      <c r="B13" s="4" t="str">
        <f t="shared" si="0"/>
        <v/>
      </c>
      <c r="C13" s="9"/>
      <c r="D13" s="9"/>
      <c r="E13" s="9"/>
      <c r="F13" s="9"/>
      <c r="G13" s="13"/>
      <c r="H13" s="4" t="str">
        <f t="shared" si="1"/>
        <v/>
      </c>
      <c r="I13" s="9"/>
      <c r="J13" s="14"/>
      <c r="K13" s="15" t="str">
        <f>IF(OR(E13="",F13="",G13=""),"",IF(E13&lt;&gt;计划参数!$C$2,"",IF(F13="股票期权",IFERROR(LOOKUP(G13,计划参数!$D$12:$D$15,计划参数!$C$12:$C$15),""),IF(F13="限制性股票",计划参数!$C$10,""))))</f>
        <v/>
      </c>
      <c r="L13" s="15" t="str">
        <f>IF(AND(E13=计划参数!$C$2,F13="限制性股票",G13&gt;=计划参数!$D$9),计划参数!$C$9,"")</f>
        <v/>
      </c>
      <c r="M13" s="9"/>
      <c r="N13" s="14"/>
      <c r="O13" s="14"/>
      <c r="P13" s="13"/>
      <c r="Q13" s="9"/>
      <c r="R13" s="13"/>
      <c r="S13" s="15" t="str">
        <f t="shared" si="2"/>
        <v/>
      </c>
      <c r="T13" s="15" t="str">
        <f t="shared" si="3"/>
        <v/>
      </c>
      <c r="U13" s="15" t="str">
        <f t="shared" si="4"/>
        <v/>
      </c>
      <c r="V13" s="15" t="str">
        <f t="shared" si="5"/>
        <v/>
      </c>
      <c r="W13" s="16" t="str">
        <f>IF(V13="","",VLOOKUP(V13,税率及规则!$A$2:$C$8,2,TRUE))</f>
        <v/>
      </c>
      <c r="X13" s="15" t="str">
        <f>IF(V13="","",VLOOKUP(V13,税率及规则!$A$2:$C$8,3,TRUE))</f>
        <v/>
      </c>
      <c r="Y13" s="15" t="str">
        <f t="shared" si="6"/>
        <v/>
      </c>
      <c r="Z13" s="15" t="str">
        <f>IF(U13="","",MAX(0,U13*VLOOKUP(U13,税率及规则!$A$2:$C$8,2,TRUE)-VLOOKUP(U13,税率及规则!$A$2:$C$8,3,TRUE)))</f>
        <v/>
      </c>
      <c r="AA13" s="15" t="str">
        <f t="shared" si="7"/>
        <v/>
      </c>
      <c r="AB13" s="17" t="str">
        <f t="shared" si="8"/>
        <v/>
      </c>
      <c r="AC13" s="17" t="str">
        <f t="shared" si="9"/>
        <v/>
      </c>
      <c r="AD13" s="4" t="str">
        <f>IF(A13="","",IF(COUNTIF($A$2:$A$501,A13)&gt;1,"异常：事件编号重复",IF(OR(C13="",D13="",E13="",F13="",G13=""),"异常：必填项缺失",IF(AND(F13="其他股权激励",O13=""),"异常：其他股权激励所得缺失",IF(AND(F13&lt;&gt;"其他股权激励",OR(I13="",J13="")),"异常：数量或市场价缺失",IF(AND(F13&lt;&gt;"其他股权激励",OR(I13&lt;=0,J13&lt;0)),"异常：数量或价格无效",IF(AND(F13="限制性股票",OR(M13&lt;=0,N13&lt;0,I13&gt;M13)),"异常：个人获授或出资数据无效",IF(AND(IFERROR(INDEX(计划参数!$J$2:$J$501,MATCH(C13,计划参数!$I$2:$I$501,0)),"")&lt;&gt;"",D13&lt;&gt;IFERROR(INDEX(计划参数!$J$2:$J$501,MATCH(C13,计划参数!$I$2:$I$501,0)),"")),"异常：姓名与员工主数据不一致",IF(S13&lt;0,"异常：原始所得为负，已按0计税",IF(OR(AND(F13="股票期权",K13=""),AND(F13="限制性股票",OR(K13="",L13=""))),"异常：计划参数缺失",IF(COUNTIF(计划参数!$I$2:$I$501,C13)=0,"提示：员工编号未在主数据",IF(Q13&lt;&gt;"已备案","提示：未确认备案","正常"))))))))))))</f>
        <v/>
      </c>
      <c r="AE13" s="9"/>
      <c r="AF13" s="4" t="str">
        <f>IF(C13="","",IF(COUNTIF($C$2:C13,C13)=1,MAX($AF$1:AF12)+1,""))</f>
        <v/>
      </c>
      <c r="AG13" s="4" t="str">
        <f>IF(C13="","",COUNTIF($C$2:C13,C13))</f>
        <v/>
      </c>
      <c r="AH13" s="4" t="str">
        <f t="shared" si="10"/>
        <v/>
      </c>
      <c r="AI13" s="4" t="str">
        <f t="shared" si="11"/>
        <v/>
      </c>
      <c r="AJ13" s="4" t="str">
        <f t="shared" si="12"/>
        <v/>
      </c>
      <c r="AK13" s="15" t="str">
        <f>IF(A13="","",SUMIFS(分期缴税台账!$K$2:$K$501,分期缴税台账!$T$2:$T$501,A13,分期缴税台账!$Q$2:$Q$501,"有效"))</f>
        <v/>
      </c>
      <c r="AL13" s="15" t="str">
        <f t="shared" si="13"/>
        <v/>
      </c>
      <c r="AM13" s="4" t="str">
        <f t="shared" si="14"/>
        <v/>
      </c>
    </row>
    <row r="14" spans="1:39" x14ac:dyDescent="0.3">
      <c r="A14" s="9"/>
      <c r="B14" s="4" t="str">
        <f t="shared" si="0"/>
        <v/>
      </c>
      <c r="C14" s="9"/>
      <c r="D14" s="9"/>
      <c r="E14" s="9"/>
      <c r="F14" s="9"/>
      <c r="G14" s="13"/>
      <c r="H14" s="4" t="str">
        <f t="shared" si="1"/>
        <v/>
      </c>
      <c r="I14" s="9"/>
      <c r="J14" s="14"/>
      <c r="K14" s="15" t="str">
        <f>IF(OR(E14="",F14="",G14=""),"",IF(E14&lt;&gt;计划参数!$C$2,"",IF(F14="股票期权",IFERROR(LOOKUP(G14,计划参数!$D$12:$D$15,计划参数!$C$12:$C$15),""),IF(F14="限制性股票",计划参数!$C$10,""))))</f>
        <v/>
      </c>
      <c r="L14" s="15" t="str">
        <f>IF(AND(E14=计划参数!$C$2,F14="限制性股票",G14&gt;=计划参数!$D$9),计划参数!$C$9,"")</f>
        <v/>
      </c>
      <c r="M14" s="9"/>
      <c r="N14" s="14"/>
      <c r="O14" s="14"/>
      <c r="P14" s="13"/>
      <c r="Q14" s="9"/>
      <c r="R14" s="13"/>
      <c r="S14" s="15" t="str">
        <f t="shared" si="2"/>
        <v/>
      </c>
      <c r="T14" s="15" t="str">
        <f t="shared" si="3"/>
        <v/>
      </c>
      <c r="U14" s="15" t="str">
        <f t="shared" si="4"/>
        <v/>
      </c>
      <c r="V14" s="15" t="str">
        <f t="shared" si="5"/>
        <v/>
      </c>
      <c r="W14" s="16" t="str">
        <f>IF(V14="","",VLOOKUP(V14,税率及规则!$A$2:$C$8,2,TRUE))</f>
        <v/>
      </c>
      <c r="X14" s="15" t="str">
        <f>IF(V14="","",VLOOKUP(V14,税率及规则!$A$2:$C$8,3,TRUE))</f>
        <v/>
      </c>
      <c r="Y14" s="15" t="str">
        <f t="shared" si="6"/>
        <v/>
      </c>
      <c r="Z14" s="15" t="str">
        <f>IF(U14="","",MAX(0,U14*VLOOKUP(U14,税率及规则!$A$2:$C$8,2,TRUE)-VLOOKUP(U14,税率及规则!$A$2:$C$8,3,TRUE)))</f>
        <v/>
      </c>
      <c r="AA14" s="15" t="str">
        <f t="shared" si="7"/>
        <v/>
      </c>
      <c r="AB14" s="17" t="str">
        <f t="shared" si="8"/>
        <v/>
      </c>
      <c r="AC14" s="17" t="str">
        <f t="shared" si="9"/>
        <v/>
      </c>
      <c r="AD14" s="4" t="str">
        <f>IF(A14="","",IF(COUNTIF($A$2:$A$501,A14)&gt;1,"异常：事件编号重复",IF(OR(C14="",D14="",E14="",F14="",G14=""),"异常：必填项缺失",IF(AND(F14="其他股权激励",O14=""),"异常：其他股权激励所得缺失",IF(AND(F14&lt;&gt;"其他股权激励",OR(I14="",J14="")),"异常：数量或市场价缺失",IF(AND(F14&lt;&gt;"其他股权激励",OR(I14&lt;=0,J14&lt;0)),"异常：数量或价格无效",IF(AND(F14="限制性股票",OR(M14&lt;=0,N14&lt;0,I14&gt;M14)),"异常：个人获授或出资数据无效",IF(AND(IFERROR(INDEX(计划参数!$J$2:$J$501,MATCH(C14,计划参数!$I$2:$I$501,0)),"")&lt;&gt;"",D14&lt;&gt;IFERROR(INDEX(计划参数!$J$2:$J$501,MATCH(C14,计划参数!$I$2:$I$501,0)),"")),"异常：姓名与员工主数据不一致",IF(S14&lt;0,"异常：原始所得为负，已按0计税",IF(OR(AND(F14="股票期权",K14=""),AND(F14="限制性股票",OR(K14="",L14=""))),"异常：计划参数缺失",IF(COUNTIF(计划参数!$I$2:$I$501,C14)=0,"提示：员工编号未在主数据",IF(Q14&lt;&gt;"已备案","提示：未确认备案","正常"))))))))))))</f>
        <v/>
      </c>
      <c r="AE14" s="9"/>
      <c r="AF14" s="4" t="str">
        <f>IF(C14="","",IF(COUNTIF($C$2:C14,C14)=1,MAX($AF$1:AF13)+1,""))</f>
        <v/>
      </c>
      <c r="AG14" s="4" t="str">
        <f>IF(C14="","",COUNTIF($C$2:C14,C14))</f>
        <v/>
      </c>
      <c r="AH14" s="4" t="str">
        <f t="shared" si="10"/>
        <v/>
      </c>
      <c r="AI14" s="4" t="str">
        <f t="shared" si="11"/>
        <v/>
      </c>
      <c r="AJ14" s="4" t="str">
        <f t="shared" si="12"/>
        <v/>
      </c>
      <c r="AK14" s="15" t="str">
        <f>IF(A14="","",SUMIFS(分期缴税台账!$K$2:$K$501,分期缴税台账!$T$2:$T$501,A14,分期缴税台账!$Q$2:$Q$501,"有效"))</f>
        <v/>
      </c>
      <c r="AL14" s="15" t="str">
        <f t="shared" si="13"/>
        <v/>
      </c>
      <c r="AM14" s="4" t="str">
        <f t="shared" si="14"/>
        <v/>
      </c>
    </row>
    <row r="15" spans="1:39" x14ac:dyDescent="0.3">
      <c r="A15" s="9"/>
      <c r="B15" s="4" t="str">
        <f t="shared" si="0"/>
        <v/>
      </c>
      <c r="C15" s="9"/>
      <c r="D15" s="9"/>
      <c r="E15" s="9"/>
      <c r="F15" s="9"/>
      <c r="G15" s="13"/>
      <c r="H15" s="4" t="str">
        <f t="shared" si="1"/>
        <v/>
      </c>
      <c r="I15" s="9"/>
      <c r="J15" s="14"/>
      <c r="K15" s="15" t="str">
        <f>IF(OR(E15="",F15="",G15=""),"",IF(E15&lt;&gt;计划参数!$C$2,"",IF(F15="股票期权",IFERROR(LOOKUP(G15,计划参数!$D$12:$D$15,计划参数!$C$12:$C$15),""),IF(F15="限制性股票",计划参数!$C$10,""))))</f>
        <v/>
      </c>
      <c r="L15" s="15" t="str">
        <f>IF(AND(E15=计划参数!$C$2,F15="限制性股票",G15&gt;=计划参数!$D$9),计划参数!$C$9,"")</f>
        <v/>
      </c>
      <c r="M15" s="9"/>
      <c r="N15" s="14"/>
      <c r="O15" s="14"/>
      <c r="P15" s="13"/>
      <c r="Q15" s="9"/>
      <c r="R15" s="13"/>
      <c r="S15" s="15" t="str">
        <f t="shared" si="2"/>
        <v/>
      </c>
      <c r="T15" s="15" t="str">
        <f t="shared" si="3"/>
        <v/>
      </c>
      <c r="U15" s="15" t="str">
        <f t="shared" si="4"/>
        <v/>
      </c>
      <c r="V15" s="15" t="str">
        <f t="shared" si="5"/>
        <v/>
      </c>
      <c r="W15" s="16" t="str">
        <f>IF(V15="","",VLOOKUP(V15,税率及规则!$A$2:$C$8,2,TRUE))</f>
        <v/>
      </c>
      <c r="X15" s="15" t="str">
        <f>IF(V15="","",VLOOKUP(V15,税率及规则!$A$2:$C$8,3,TRUE))</f>
        <v/>
      </c>
      <c r="Y15" s="15" t="str">
        <f t="shared" si="6"/>
        <v/>
      </c>
      <c r="Z15" s="15" t="str">
        <f>IF(U15="","",MAX(0,U15*VLOOKUP(U15,税率及规则!$A$2:$C$8,2,TRUE)-VLOOKUP(U15,税率及规则!$A$2:$C$8,3,TRUE)))</f>
        <v/>
      </c>
      <c r="AA15" s="15" t="str">
        <f t="shared" si="7"/>
        <v/>
      </c>
      <c r="AB15" s="17" t="str">
        <f t="shared" si="8"/>
        <v/>
      </c>
      <c r="AC15" s="17" t="str">
        <f t="shared" si="9"/>
        <v/>
      </c>
      <c r="AD15" s="4" t="str">
        <f>IF(A15="","",IF(COUNTIF($A$2:$A$501,A15)&gt;1,"异常：事件编号重复",IF(OR(C15="",D15="",E15="",F15="",G15=""),"异常：必填项缺失",IF(AND(F15="其他股权激励",O15=""),"异常：其他股权激励所得缺失",IF(AND(F15&lt;&gt;"其他股权激励",OR(I15="",J15="")),"异常：数量或市场价缺失",IF(AND(F15&lt;&gt;"其他股权激励",OR(I15&lt;=0,J15&lt;0)),"异常：数量或价格无效",IF(AND(F15="限制性股票",OR(M15&lt;=0,N15&lt;0,I15&gt;M15)),"异常：个人获授或出资数据无效",IF(AND(IFERROR(INDEX(计划参数!$J$2:$J$501,MATCH(C15,计划参数!$I$2:$I$501,0)),"")&lt;&gt;"",D15&lt;&gt;IFERROR(INDEX(计划参数!$J$2:$J$501,MATCH(C15,计划参数!$I$2:$I$501,0)),"")),"异常：姓名与员工主数据不一致",IF(S15&lt;0,"异常：原始所得为负，已按0计税",IF(OR(AND(F15="股票期权",K15=""),AND(F15="限制性股票",OR(K15="",L15=""))),"异常：计划参数缺失",IF(COUNTIF(计划参数!$I$2:$I$501,C15)=0,"提示：员工编号未在主数据",IF(Q15&lt;&gt;"已备案","提示：未确认备案","正常"))))))))))))</f>
        <v/>
      </c>
      <c r="AE15" s="9"/>
      <c r="AF15" s="4" t="str">
        <f>IF(C15="","",IF(COUNTIF($C$2:C15,C15)=1,MAX($AF$1:AF14)+1,""))</f>
        <v/>
      </c>
      <c r="AG15" s="4" t="str">
        <f>IF(C15="","",COUNTIF($C$2:C15,C15))</f>
        <v/>
      </c>
      <c r="AH15" s="4" t="str">
        <f t="shared" si="10"/>
        <v/>
      </c>
      <c r="AI15" s="4" t="str">
        <f t="shared" si="11"/>
        <v/>
      </c>
      <c r="AJ15" s="4" t="str">
        <f t="shared" si="12"/>
        <v/>
      </c>
      <c r="AK15" s="15" t="str">
        <f>IF(A15="","",SUMIFS(分期缴税台账!$K$2:$K$501,分期缴税台账!$T$2:$T$501,A15,分期缴税台账!$Q$2:$Q$501,"有效"))</f>
        <v/>
      </c>
      <c r="AL15" s="15" t="str">
        <f t="shared" si="13"/>
        <v/>
      </c>
      <c r="AM15" s="4" t="str">
        <f t="shared" si="14"/>
        <v/>
      </c>
    </row>
    <row r="16" spans="1:39" x14ac:dyDescent="0.3">
      <c r="A16" s="9"/>
      <c r="B16" s="4" t="str">
        <f t="shared" si="0"/>
        <v/>
      </c>
      <c r="C16" s="9"/>
      <c r="D16" s="9"/>
      <c r="E16" s="9"/>
      <c r="F16" s="9"/>
      <c r="G16" s="13"/>
      <c r="H16" s="4" t="str">
        <f t="shared" si="1"/>
        <v/>
      </c>
      <c r="I16" s="9"/>
      <c r="J16" s="14"/>
      <c r="K16" s="15" t="str">
        <f>IF(OR(E16="",F16="",G16=""),"",IF(E16&lt;&gt;计划参数!$C$2,"",IF(F16="股票期权",IFERROR(LOOKUP(G16,计划参数!$D$12:$D$15,计划参数!$C$12:$C$15),""),IF(F16="限制性股票",计划参数!$C$10,""))))</f>
        <v/>
      </c>
      <c r="L16" s="15" t="str">
        <f>IF(AND(E16=计划参数!$C$2,F16="限制性股票",G16&gt;=计划参数!$D$9),计划参数!$C$9,"")</f>
        <v/>
      </c>
      <c r="M16" s="9"/>
      <c r="N16" s="14"/>
      <c r="O16" s="14"/>
      <c r="P16" s="13"/>
      <c r="Q16" s="9"/>
      <c r="R16" s="13"/>
      <c r="S16" s="15" t="str">
        <f t="shared" si="2"/>
        <v/>
      </c>
      <c r="T16" s="15" t="str">
        <f t="shared" si="3"/>
        <v/>
      </c>
      <c r="U16" s="15" t="str">
        <f t="shared" si="4"/>
        <v/>
      </c>
      <c r="V16" s="15" t="str">
        <f t="shared" si="5"/>
        <v/>
      </c>
      <c r="W16" s="16" t="str">
        <f>IF(V16="","",VLOOKUP(V16,税率及规则!$A$2:$C$8,2,TRUE))</f>
        <v/>
      </c>
      <c r="X16" s="15" t="str">
        <f>IF(V16="","",VLOOKUP(V16,税率及规则!$A$2:$C$8,3,TRUE))</f>
        <v/>
      </c>
      <c r="Y16" s="15" t="str">
        <f t="shared" si="6"/>
        <v/>
      </c>
      <c r="Z16" s="15" t="str">
        <f>IF(U16="","",MAX(0,U16*VLOOKUP(U16,税率及规则!$A$2:$C$8,2,TRUE)-VLOOKUP(U16,税率及规则!$A$2:$C$8,3,TRUE)))</f>
        <v/>
      </c>
      <c r="AA16" s="15" t="str">
        <f t="shared" si="7"/>
        <v/>
      </c>
      <c r="AB16" s="17" t="str">
        <f t="shared" si="8"/>
        <v/>
      </c>
      <c r="AC16" s="17" t="str">
        <f t="shared" si="9"/>
        <v/>
      </c>
      <c r="AD16" s="4" t="str">
        <f>IF(A16="","",IF(COUNTIF($A$2:$A$501,A16)&gt;1,"异常：事件编号重复",IF(OR(C16="",D16="",E16="",F16="",G16=""),"异常：必填项缺失",IF(AND(F16="其他股权激励",O16=""),"异常：其他股权激励所得缺失",IF(AND(F16&lt;&gt;"其他股权激励",OR(I16="",J16="")),"异常：数量或市场价缺失",IF(AND(F16&lt;&gt;"其他股权激励",OR(I16&lt;=0,J16&lt;0)),"异常：数量或价格无效",IF(AND(F16="限制性股票",OR(M16&lt;=0,N16&lt;0,I16&gt;M16)),"异常：个人获授或出资数据无效",IF(AND(IFERROR(INDEX(计划参数!$J$2:$J$501,MATCH(C16,计划参数!$I$2:$I$501,0)),"")&lt;&gt;"",D16&lt;&gt;IFERROR(INDEX(计划参数!$J$2:$J$501,MATCH(C16,计划参数!$I$2:$I$501,0)),"")),"异常：姓名与员工主数据不一致",IF(S16&lt;0,"异常：原始所得为负，已按0计税",IF(OR(AND(F16="股票期权",K16=""),AND(F16="限制性股票",OR(K16="",L16=""))),"异常：计划参数缺失",IF(COUNTIF(计划参数!$I$2:$I$501,C16)=0,"提示：员工编号未在主数据",IF(Q16&lt;&gt;"已备案","提示：未确认备案","正常"))))))))))))</f>
        <v/>
      </c>
      <c r="AE16" s="9"/>
      <c r="AF16" s="4" t="str">
        <f>IF(C16="","",IF(COUNTIF($C$2:C16,C16)=1,MAX($AF$1:AF15)+1,""))</f>
        <v/>
      </c>
      <c r="AG16" s="4" t="str">
        <f>IF(C16="","",COUNTIF($C$2:C16,C16))</f>
        <v/>
      </c>
      <c r="AH16" s="4" t="str">
        <f t="shared" si="10"/>
        <v/>
      </c>
      <c r="AI16" s="4" t="str">
        <f t="shared" si="11"/>
        <v/>
      </c>
      <c r="AJ16" s="4" t="str">
        <f t="shared" si="12"/>
        <v/>
      </c>
      <c r="AK16" s="15" t="str">
        <f>IF(A16="","",SUMIFS(分期缴税台账!$K$2:$K$501,分期缴税台账!$T$2:$T$501,A16,分期缴税台账!$Q$2:$Q$501,"有效"))</f>
        <v/>
      </c>
      <c r="AL16" s="15" t="str">
        <f t="shared" si="13"/>
        <v/>
      </c>
      <c r="AM16" s="4" t="str">
        <f t="shared" si="14"/>
        <v/>
      </c>
    </row>
    <row r="17" spans="1:39" x14ac:dyDescent="0.3">
      <c r="A17" s="9"/>
      <c r="B17" s="4" t="str">
        <f t="shared" si="0"/>
        <v/>
      </c>
      <c r="C17" s="9"/>
      <c r="D17" s="9"/>
      <c r="E17" s="9"/>
      <c r="F17" s="9"/>
      <c r="G17" s="13"/>
      <c r="H17" s="4" t="str">
        <f t="shared" si="1"/>
        <v/>
      </c>
      <c r="I17" s="9"/>
      <c r="J17" s="14"/>
      <c r="K17" s="15" t="str">
        <f>IF(OR(E17="",F17="",G17=""),"",IF(E17&lt;&gt;计划参数!$C$2,"",IF(F17="股票期权",IFERROR(LOOKUP(G17,计划参数!$D$12:$D$15,计划参数!$C$12:$C$15),""),IF(F17="限制性股票",计划参数!$C$10,""))))</f>
        <v/>
      </c>
      <c r="L17" s="15" t="str">
        <f>IF(AND(E17=计划参数!$C$2,F17="限制性股票",G17&gt;=计划参数!$D$9),计划参数!$C$9,"")</f>
        <v/>
      </c>
      <c r="M17" s="9"/>
      <c r="N17" s="14"/>
      <c r="O17" s="14"/>
      <c r="P17" s="13"/>
      <c r="Q17" s="9"/>
      <c r="R17" s="13"/>
      <c r="S17" s="15" t="str">
        <f t="shared" si="2"/>
        <v/>
      </c>
      <c r="T17" s="15" t="str">
        <f t="shared" si="3"/>
        <v/>
      </c>
      <c r="U17" s="15" t="str">
        <f t="shared" si="4"/>
        <v/>
      </c>
      <c r="V17" s="15" t="str">
        <f t="shared" si="5"/>
        <v/>
      </c>
      <c r="W17" s="16" t="str">
        <f>IF(V17="","",VLOOKUP(V17,税率及规则!$A$2:$C$8,2,TRUE))</f>
        <v/>
      </c>
      <c r="X17" s="15" t="str">
        <f>IF(V17="","",VLOOKUP(V17,税率及规则!$A$2:$C$8,3,TRUE))</f>
        <v/>
      </c>
      <c r="Y17" s="15" t="str">
        <f t="shared" si="6"/>
        <v/>
      </c>
      <c r="Z17" s="15" t="str">
        <f>IF(U17="","",MAX(0,U17*VLOOKUP(U17,税率及规则!$A$2:$C$8,2,TRUE)-VLOOKUP(U17,税率及规则!$A$2:$C$8,3,TRUE)))</f>
        <v/>
      </c>
      <c r="AA17" s="15" t="str">
        <f t="shared" si="7"/>
        <v/>
      </c>
      <c r="AB17" s="17" t="str">
        <f t="shared" si="8"/>
        <v/>
      </c>
      <c r="AC17" s="17" t="str">
        <f t="shared" si="9"/>
        <v/>
      </c>
      <c r="AD17" s="4" t="str">
        <f>IF(A17="","",IF(COUNTIF($A$2:$A$501,A17)&gt;1,"异常：事件编号重复",IF(OR(C17="",D17="",E17="",F17="",G17=""),"异常：必填项缺失",IF(AND(F17="其他股权激励",O17=""),"异常：其他股权激励所得缺失",IF(AND(F17&lt;&gt;"其他股权激励",OR(I17="",J17="")),"异常：数量或市场价缺失",IF(AND(F17&lt;&gt;"其他股权激励",OR(I17&lt;=0,J17&lt;0)),"异常：数量或价格无效",IF(AND(F17="限制性股票",OR(M17&lt;=0,N17&lt;0,I17&gt;M17)),"异常：个人获授或出资数据无效",IF(AND(IFERROR(INDEX(计划参数!$J$2:$J$501,MATCH(C17,计划参数!$I$2:$I$501,0)),"")&lt;&gt;"",D17&lt;&gt;IFERROR(INDEX(计划参数!$J$2:$J$501,MATCH(C17,计划参数!$I$2:$I$501,0)),"")),"异常：姓名与员工主数据不一致",IF(S17&lt;0,"异常：原始所得为负，已按0计税",IF(OR(AND(F17="股票期权",K17=""),AND(F17="限制性股票",OR(K17="",L17=""))),"异常：计划参数缺失",IF(COUNTIF(计划参数!$I$2:$I$501,C17)=0,"提示：员工编号未在主数据",IF(Q17&lt;&gt;"已备案","提示：未确认备案","正常"))))))))))))</f>
        <v/>
      </c>
      <c r="AE17" s="9"/>
      <c r="AF17" s="4" t="str">
        <f>IF(C17="","",IF(COUNTIF($C$2:C17,C17)=1,MAX($AF$1:AF16)+1,""))</f>
        <v/>
      </c>
      <c r="AG17" s="4" t="str">
        <f>IF(C17="","",COUNTIF($C$2:C17,C17))</f>
        <v/>
      </c>
      <c r="AH17" s="4" t="str">
        <f t="shared" si="10"/>
        <v/>
      </c>
      <c r="AI17" s="4" t="str">
        <f t="shared" si="11"/>
        <v/>
      </c>
      <c r="AJ17" s="4" t="str">
        <f t="shared" si="12"/>
        <v/>
      </c>
      <c r="AK17" s="15" t="str">
        <f>IF(A17="","",SUMIFS(分期缴税台账!$K$2:$K$501,分期缴税台账!$T$2:$T$501,A17,分期缴税台账!$Q$2:$Q$501,"有效"))</f>
        <v/>
      </c>
      <c r="AL17" s="15" t="str">
        <f t="shared" si="13"/>
        <v/>
      </c>
      <c r="AM17" s="4" t="str">
        <f t="shared" si="14"/>
        <v/>
      </c>
    </row>
    <row r="18" spans="1:39" x14ac:dyDescent="0.3">
      <c r="A18" s="9"/>
      <c r="B18" s="4" t="str">
        <f t="shared" si="0"/>
        <v/>
      </c>
      <c r="C18" s="9"/>
      <c r="D18" s="9"/>
      <c r="E18" s="9"/>
      <c r="F18" s="9"/>
      <c r="G18" s="13"/>
      <c r="H18" s="4" t="str">
        <f t="shared" si="1"/>
        <v/>
      </c>
      <c r="I18" s="9"/>
      <c r="J18" s="14"/>
      <c r="K18" s="15" t="str">
        <f>IF(OR(E18="",F18="",G18=""),"",IF(E18&lt;&gt;计划参数!$C$2,"",IF(F18="股票期权",IFERROR(LOOKUP(G18,计划参数!$D$12:$D$15,计划参数!$C$12:$C$15),""),IF(F18="限制性股票",计划参数!$C$10,""))))</f>
        <v/>
      </c>
      <c r="L18" s="15" t="str">
        <f>IF(AND(E18=计划参数!$C$2,F18="限制性股票",G18&gt;=计划参数!$D$9),计划参数!$C$9,"")</f>
        <v/>
      </c>
      <c r="M18" s="9"/>
      <c r="N18" s="14"/>
      <c r="O18" s="14"/>
      <c r="P18" s="13"/>
      <c r="Q18" s="9"/>
      <c r="R18" s="13"/>
      <c r="S18" s="15" t="str">
        <f t="shared" si="2"/>
        <v/>
      </c>
      <c r="T18" s="15" t="str">
        <f t="shared" si="3"/>
        <v/>
      </c>
      <c r="U18" s="15" t="str">
        <f t="shared" si="4"/>
        <v/>
      </c>
      <c r="V18" s="15" t="str">
        <f t="shared" si="5"/>
        <v/>
      </c>
      <c r="W18" s="16" t="str">
        <f>IF(V18="","",VLOOKUP(V18,税率及规则!$A$2:$C$8,2,TRUE))</f>
        <v/>
      </c>
      <c r="X18" s="15" t="str">
        <f>IF(V18="","",VLOOKUP(V18,税率及规则!$A$2:$C$8,3,TRUE))</f>
        <v/>
      </c>
      <c r="Y18" s="15" t="str">
        <f t="shared" si="6"/>
        <v/>
      </c>
      <c r="Z18" s="15" t="str">
        <f>IF(U18="","",MAX(0,U18*VLOOKUP(U18,税率及规则!$A$2:$C$8,2,TRUE)-VLOOKUP(U18,税率及规则!$A$2:$C$8,3,TRUE)))</f>
        <v/>
      </c>
      <c r="AA18" s="15" t="str">
        <f t="shared" si="7"/>
        <v/>
      </c>
      <c r="AB18" s="17" t="str">
        <f t="shared" si="8"/>
        <v/>
      </c>
      <c r="AC18" s="17" t="str">
        <f t="shared" si="9"/>
        <v/>
      </c>
      <c r="AD18" s="4" t="str">
        <f>IF(A18="","",IF(COUNTIF($A$2:$A$501,A18)&gt;1,"异常：事件编号重复",IF(OR(C18="",D18="",E18="",F18="",G18=""),"异常：必填项缺失",IF(AND(F18="其他股权激励",O18=""),"异常：其他股权激励所得缺失",IF(AND(F18&lt;&gt;"其他股权激励",OR(I18="",J18="")),"异常：数量或市场价缺失",IF(AND(F18&lt;&gt;"其他股权激励",OR(I18&lt;=0,J18&lt;0)),"异常：数量或价格无效",IF(AND(F18="限制性股票",OR(M18&lt;=0,N18&lt;0,I18&gt;M18)),"异常：个人获授或出资数据无效",IF(AND(IFERROR(INDEX(计划参数!$J$2:$J$501,MATCH(C18,计划参数!$I$2:$I$501,0)),"")&lt;&gt;"",D18&lt;&gt;IFERROR(INDEX(计划参数!$J$2:$J$501,MATCH(C18,计划参数!$I$2:$I$501,0)),"")),"异常：姓名与员工主数据不一致",IF(S18&lt;0,"异常：原始所得为负，已按0计税",IF(OR(AND(F18="股票期权",K18=""),AND(F18="限制性股票",OR(K18="",L18=""))),"异常：计划参数缺失",IF(COUNTIF(计划参数!$I$2:$I$501,C18)=0,"提示：员工编号未在主数据",IF(Q18&lt;&gt;"已备案","提示：未确认备案","正常"))))))))))))</f>
        <v/>
      </c>
      <c r="AE18" s="9"/>
      <c r="AF18" s="4" t="str">
        <f>IF(C18="","",IF(COUNTIF($C$2:C18,C18)=1,MAX($AF$1:AF17)+1,""))</f>
        <v/>
      </c>
      <c r="AG18" s="4" t="str">
        <f>IF(C18="","",COUNTIF($C$2:C18,C18))</f>
        <v/>
      </c>
      <c r="AH18" s="4" t="str">
        <f t="shared" si="10"/>
        <v/>
      </c>
      <c r="AI18" s="4" t="str">
        <f t="shared" si="11"/>
        <v/>
      </c>
      <c r="AJ18" s="4" t="str">
        <f t="shared" si="12"/>
        <v/>
      </c>
      <c r="AK18" s="15" t="str">
        <f>IF(A18="","",SUMIFS(分期缴税台账!$K$2:$K$501,分期缴税台账!$T$2:$T$501,A18,分期缴税台账!$Q$2:$Q$501,"有效"))</f>
        <v/>
      </c>
      <c r="AL18" s="15" t="str">
        <f t="shared" si="13"/>
        <v/>
      </c>
      <c r="AM18" s="4" t="str">
        <f t="shared" si="14"/>
        <v/>
      </c>
    </row>
    <row r="19" spans="1:39" x14ac:dyDescent="0.3">
      <c r="A19" s="9"/>
      <c r="B19" s="4" t="str">
        <f t="shared" si="0"/>
        <v/>
      </c>
      <c r="C19" s="9"/>
      <c r="D19" s="9"/>
      <c r="E19" s="9"/>
      <c r="F19" s="9"/>
      <c r="G19" s="13"/>
      <c r="H19" s="4" t="str">
        <f t="shared" si="1"/>
        <v/>
      </c>
      <c r="I19" s="9"/>
      <c r="J19" s="14"/>
      <c r="K19" s="15" t="str">
        <f>IF(OR(E19="",F19="",G19=""),"",IF(E19&lt;&gt;计划参数!$C$2,"",IF(F19="股票期权",IFERROR(LOOKUP(G19,计划参数!$D$12:$D$15,计划参数!$C$12:$C$15),""),IF(F19="限制性股票",计划参数!$C$10,""))))</f>
        <v/>
      </c>
      <c r="L19" s="15" t="str">
        <f>IF(AND(E19=计划参数!$C$2,F19="限制性股票",G19&gt;=计划参数!$D$9),计划参数!$C$9,"")</f>
        <v/>
      </c>
      <c r="M19" s="9"/>
      <c r="N19" s="14"/>
      <c r="O19" s="14"/>
      <c r="P19" s="13"/>
      <c r="Q19" s="9"/>
      <c r="R19" s="13"/>
      <c r="S19" s="15" t="str">
        <f t="shared" si="2"/>
        <v/>
      </c>
      <c r="T19" s="15" t="str">
        <f t="shared" si="3"/>
        <v/>
      </c>
      <c r="U19" s="15" t="str">
        <f t="shared" si="4"/>
        <v/>
      </c>
      <c r="V19" s="15" t="str">
        <f t="shared" si="5"/>
        <v/>
      </c>
      <c r="W19" s="16" t="str">
        <f>IF(V19="","",VLOOKUP(V19,税率及规则!$A$2:$C$8,2,TRUE))</f>
        <v/>
      </c>
      <c r="X19" s="15" t="str">
        <f>IF(V19="","",VLOOKUP(V19,税率及规则!$A$2:$C$8,3,TRUE))</f>
        <v/>
      </c>
      <c r="Y19" s="15" t="str">
        <f t="shared" si="6"/>
        <v/>
      </c>
      <c r="Z19" s="15" t="str">
        <f>IF(U19="","",MAX(0,U19*VLOOKUP(U19,税率及规则!$A$2:$C$8,2,TRUE)-VLOOKUP(U19,税率及规则!$A$2:$C$8,3,TRUE)))</f>
        <v/>
      </c>
      <c r="AA19" s="15" t="str">
        <f t="shared" si="7"/>
        <v/>
      </c>
      <c r="AB19" s="17" t="str">
        <f t="shared" si="8"/>
        <v/>
      </c>
      <c r="AC19" s="17" t="str">
        <f t="shared" si="9"/>
        <v/>
      </c>
      <c r="AD19" s="4" t="str">
        <f>IF(A19="","",IF(COUNTIF($A$2:$A$501,A19)&gt;1,"异常：事件编号重复",IF(OR(C19="",D19="",E19="",F19="",G19=""),"异常：必填项缺失",IF(AND(F19="其他股权激励",O19=""),"异常：其他股权激励所得缺失",IF(AND(F19&lt;&gt;"其他股权激励",OR(I19="",J19="")),"异常：数量或市场价缺失",IF(AND(F19&lt;&gt;"其他股权激励",OR(I19&lt;=0,J19&lt;0)),"异常：数量或价格无效",IF(AND(F19="限制性股票",OR(M19&lt;=0,N19&lt;0,I19&gt;M19)),"异常：个人获授或出资数据无效",IF(AND(IFERROR(INDEX(计划参数!$J$2:$J$501,MATCH(C19,计划参数!$I$2:$I$501,0)),"")&lt;&gt;"",D19&lt;&gt;IFERROR(INDEX(计划参数!$J$2:$J$501,MATCH(C19,计划参数!$I$2:$I$501,0)),"")),"异常：姓名与员工主数据不一致",IF(S19&lt;0,"异常：原始所得为负，已按0计税",IF(OR(AND(F19="股票期权",K19=""),AND(F19="限制性股票",OR(K19="",L19=""))),"异常：计划参数缺失",IF(COUNTIF(计划参数!$I$2:$I$501,C19)=0,"提示：员工编号未在主数据",IF(Q19&lt;&gt;"已备案","提示：未确认备案","正常"))))))))))))</f>
        <v/>
      </c>
      <c r="AE19" s="9"/>
      <c r="AF19" s="4" t="str">
        <f>IF(C19="","",IF(COUNTIF($C$2:C19,C19)=1,MAX($AF$1:AF18)+1,""))</f>
        <v/>
      </c>
      <c r="AG19" s="4" t="str">
        <f>IF(C19="","",COUNTIF($C$2:C19,C19))</f>
        <v/>
      </c>
      <c r="AH19" s="4" t="str">
        <f t="shared" si="10"/>
        <v/>
      </c>
      <c r="AI19" s="4" t="str">
        <f t="shared" si="11"/>
        <v/>
      </c>
      <c r="AJ19" s="4" t="str">
        <f t="shared" si="12"/>
        <v/>
      </c>
      <c r="AK19" s="15" t="str">
        <f>IF(A19="","",SUMIFS(分期缴税台账!$K$2:$K$501,分期缴税台账!$T$2:$T$501,A19,分期缴税台账!$Q$2:$Q$501,"有效"))</f>
        <v/>
      </c>
      <c r="AL19" s="15" t="str">
        <f t="shared" si="13"/>
        <v/>
      </c>
      <c r="AM19" s="4" t="str">
        <f t="shared" si="14"/>
        <v/>
      </c>
    </row>
    <row r="20" spans="1:39" x14ac:dyDescent="0.3">
      <c r="A20" s="9"/>
      <c r="B20" s="4" t="str">
        <f t="shared" si="0"/>
        <v/>
      </c>
      <c r="C20" s="9"/>
      <c r="D20" s="9"/>
      <c r="E20" s="9"/>
      <c r="F20" s="9"/>
      <c r="G20" s="13"/>
      <c r="H20" s="4" t="str">
        <f t="shared" si="1"/>
        <v/>
      </c>
      <c r="I20" s="9"/>
      <c r="J20" s="14"/>
      <c r="K20" s="15" t="str">
        <f>IF(OR(E20="",F20="",G20=""),"",IF(E20&lt;&gt;计划参数!$C$2,"",IF(F20="股票期权",IFERROR(LOOKUP(G20,计划参数!$D$12:$D$15,计划参数!$C$12:$C$15),""),IF(F20="限制性股票",计划参数!$C$10,""))))</f>
        <v/>
      </c>
      <c r="L20" s="15" t="str">
        <f>IF(AND(E20=计划参数!$C$2,F20="限制性股票",G20&gt;=计划参数!$D$9),计划参数!$C$9,"")</f>
        <v/>
      </c>
      <c r="M20" s="9"/>
      <c r="N20" s="14"/>
      <c r="O20" s="14"/>
      <c r="P20" s="13"/>
      <c r="Q20" s="9"/>
      <c r="R20" s="13"/>
      <c r="S20" s="15" t="str">
        <f t="shared" si="2"/>
        <v/>
      </c>
      <c r="T20" s="15" t="str">
        <f t="shared" si="3"/>
        <v/>
      </c>
      <c r="U20" s="15" t="str">
        <f t="shared" si="4"/>
        <v/>
      </c>
      <c r="V20" s="15" t="str">
        <f t="shared" si="5"/>
        <v/>
      </c>
      <c r="W20" s="16" t="str">
        <f>IF(V20="","",VLOOKUP(V20,税率及规则!$A$2:$C$8,2,TRUE))</f>
        <v/>
      </c>
      <c r="X20" s="15" t="str">
        <f>IF(V20="","",VLOOKUP(V20,税率及规则!$A$2:$C$8,3,TRUE))</f>
        <v/>
      </c>
      <c r="Y20" s="15" t="str">
        <f t="shared" si="6"/>
        <v/>
      </c>
      <c r="Z20" s="15" t="str">
        <f>IF(U20="","",MAX(0,U20*VLOOKUP(U20,税率及规则!$A$2:$C$8,2,TRUE)-VLOOKUP(U20,税率及规则!$A$2:$C$8,3,TRUE)))</f>
        <v/>
      </c>
      <c r="AA20" s="15" t="str">
        <f t="shared" si="7"/>
        <v/>
      </c>
      <c r="AB20" s="17" t="str">
        <f t="shared" si="8"/>
        <v/>
      </c>
      <c r="AC20" s="17" t="str">
        <f t="shared" si="9"/>
        <v/>
      </c>
      <c r="AD20" s="4" t="str">
        <f>IF(A20="","",IF(COUNTIF($A$2:$A$501,A20)&gt;1,"异常：事件编号重复",IF(OR(C20="",D20="",E20="",F20="",G20=""),"异常：必填项缺失",IF(AND(F20="其他股权激励",O20=""),"异常：其他股权激励所得缺失",IF(AND(F20&lt;&gt;"其他股权激励",OR(I20="",J20="")),"异常：数量或市场价缺失",IF(AND(F20&lt;&gt;"其他股权激励",OR(I20&lt;=0,J20&lt;0)),"异常：数量或价格无效",IF(AND(F20="限制性股票",OR(M20&lt;=0,N20&lt;0,I20&gt;M20)),"异常：个人获授或出资数据无效",IF(AND(IFERROR(INDEX(计划参数!$J$2:$J$501,MATCH(C20,计划参数!$I$2:$I$501,0)),"")&lt;&gt;"",D20&lt;&gt;IFERROR(INDEX(计划参数!$J$2:$J$501,MATCH(C20,计划参数!$I$2:$I$501,0)),"")),"异常：姓名与员工主数据不一致",IF(S20&lt;0,"异常：原始所得为负，已按0计税",IF(OR(AND(F20="股票期权",K20=""),AND(F20="限制性股票",OR(K20="",L20=""))),"异常：计划参数缺失",IF(COUNTIF(计划参数!$I$2:$I$501,C20)=0,"提示：员工编号未在主数据",IF(Q20&lt;&gt;"已备案","提示：未确认备案","正常"))))))))))))</f>
        <v/>
      </c>
      <c r="AE20" s="9"/>
      <c r="AF20" s="4" t="str">
        <f>IF(C20="","",IF(COUNTIF($C$2:C20,C20)=1,MAX($AF$1:AF19)+1,""))</f>
        <v/>
      </c>
      <c r="AG20" s="4" t="str">
        <f>IF(C20="","",COUNTIF($C$2:C20,C20))</f>
        <v/>
      </c>
      <c r="AH20" s="4" t="str">
        <f t="shared" si="10"/>
        <v/>
      </c>
      <c r="AI20" s="4" t="str">
        <f t="shared" si="11"/>
        <v/>
      </c>
      <c r="AJ20" s="4" t="str">
        <f t="shared" si="12"/>
        <v/>
      </c>
      <c r="AK20" s="15" t="str">
        <f>IF(A20="","",SUMIFS(分期缴税台账!$K$2:$K$501,分期缴税台账!$T$2:$T$501,A20,分期缴税台账!$Q$2:$Q$501,"有效"))</f>
        <v/>
      </c>
      <c r="AL20" s="15" t="str">
        <f t="shared" si="13"/>
        <v/>
      </c>
      <c r="AM20" s="4" t="str">
        <f t="shared" si="14"/>
        <v/>
      </c>
    </row>
    <row r="21" spans="1:39" x14ac:dyDescent="0.3">
      <c r="A21" s="9"/>
      <c r="B21" s="4" t="str">
        <f t="shared" si="0"/>
        <v/>
      </c>
      <c r="C21" s="9"/>
      <c r="D21" s="9"/>
      <c r="E21" s="9"/>
      <c r="F21" s="9"/>
      <c r="G21" s="13"/>
      <c r="H21" s="4" t="str">
        <f t="shared" si="1"/>
        <v/>
      </c>
      <c r="I21" s="9"/>
      <c r="J21" s="14"/>
      <c r="K21" s="15" t="str">
        <f>IF(OR(E21="",F21="",G21=""),"",IF(E21&lt;&gt;计划参数!$C$2,"",IF(F21="股票期权",IFERROR(LOOKUP(G21,计划参数!$D$12:$D$15,计划参数!$C$12:$C$15),""),IF(F21="限制性股票",计划参数!$C$10,""))))</f>
        <v/>
      </c>
      <c r="L21" s="15" t="str">
        <f>IF(AND(E21=计划参数!$C$2,F21="限制性股票",G21&gt;=计划参数!$D$9),计划参数!$C$9,"")</f>
        <v/>
      </c>
      <c r="M21" s="9"/>
      <c r="N21" s="14"/>
      <c r="O21" s="14"/>
      <c r="P21" s="13"/>
      <c r="Q21" s="9"/>
      <c r="R21" s="13"/>
      <c r="S21" s="15" t="str">
        <f t="shared" si="2"/>
        <v/>
      </c>
      <c r="T21" s="15" t="str">
        <f t="shared" si="3"/>
        <v/>
      </c>
      <c r="U21" s="15" t="str">
        <f t="shared" si="4"/>
        <v/>
      </c>
      <c r="V21" s="15" t="str">
        <f t="shared" si="5"/>
        <v/>
      </c>
      <c r="W21" s="16" t="str">
        <f>IF(V21="","",VLOOKUP(V21,税率及规则!$A$2:$C$8,2,TRUE))</f>
        <v/>
      </c>
      <c r="X21" s="15" t="str">
        <f>IF(V21="","",VLOOKUP(V21,税率及规则!$A$2:$C$8,3,TRUE))</f>
        <v/>
      </c>
      <c r="Y21" s="15" t="str">
        <f t="shared" si="6"/>
        <v/>
      </c>
      <c r="Z21" s="15" t="str">
        <f>IF(U21="","",MAX(0,U21*VLOOKUP(U21,税率及规则!$A$2:$C$8,2,TRUE)-VLOOKUP(U21,税率及规则!$A$2:$C$8,3,TRUE)))</f>
        <v/>
      </c>
      <c r="AA21" s="15" t="str">
        <f t="shared" si="7"/>
        <v/>
      </c>
      <c r="AB21" s="17" t="str">
        <f t="shared" si="8"/>
        <v/>
      </c>
      <c r="AC21" s="17" t="str">
        <f t="shared" si="9"/>
        <v/>
      </c>
      <c r="AD21" s="4" t="str">
        <f>IF(A21="","",IF(COUNTIF($A$2:$A$501,A21)&gt;1,"异常：事件编号重复",IF(OR(C21="",D21="",E21="",F21="",G21=""),"异常：必填项缺失",IF(AND(F21="其他股权激励",O21=""),"异常：其他股权激励所得缺失",IF(AND(F21&lt;&gt;"其他股权激励",OR(I21="",J21="")),"异常：数量或市场价缺失",IF(AND(F21&lt;&gt;"其他股权激励",OR(I21&lt;=0,J21&lt;0)),"异常：数量或价格无效",IF(AND(F21="限制性股票",OR(M21&lt;=0,N21&lt;0,I21&gt;M21)),"异常：个人获授或出资数据无效",IF(AND(IFERROR(INDEX(计划参数!$J$2:$J$501,MATCH(C21,计划参数!$I$2:$I$501,0)),"")&lt;&gt;"",D21&lt;&gt;IFERROR(INDEX(计划参数!$J$2:$J$501,MATCH(C21,计划参数!$I$2:$I$501,0)),"")),"异常：姓名与员工主数据不一致",IF(S21&lt;0,"异常：原始所得为负，已按0计税",IF(OR(AND(F21="股票期权",K21=""),AND(F21="限制性股票",OR(K21="",L21=""))),"异常：计划参数缺失",IF(COUNTIF(计划参数!$I$2:$I$501,C21)=0,"提示：员工编号未在主数据",IF(Q21&lt;&gt;"已备案","提示：未确认备案","正常"))))))))))))</f>
        <v/>
      </c>
      <c r="AE21" s="9"/>
      <c r="AF21" s="4" t="str">
        <f>IF(C21="","",IF(COUNTIF($C$2:C21,C21)=1,MAX($AF$1:AF20)+1,""))</f>
        <v/>
      </c>
      <c r="AG21" s="4" t="str">
        <f>IF(C21="","",COUNTIF($C$2:C21,C21))</f>
        <v/>
      </c>
      <c r="AH21" s="4" t="str">
        <f t="shared" si="10"/>
        <v/>
      </c>
      <c r="AI21" s="4" t="str">
        <f t="shared" si="11"/>
        <v/>
      </c>
      <c r="AJ21" s="4" t="str">
        <f t="shared" si="12"/>
        <v/>
      </c>
      <c r="AK21" s="15" t="str">
        <f>IF(A21="","",SUMIFS(分期缴税台账!$K$2:$K$501,分期缴税台账!$T$2:$T$501,A21,分期缴税台账!$Q$2:$Q$501,"有效"))</f>
        <v/>
      </c>
      <c r="AL21" s="15" t="str">
        <f t="shared" si="13"/>
        <v/>
      </c>
      <c r="AM21" s="4" t="str">
        <f t="shared" si="14"/>
        <v/>
      </c>
    </row>
    <row r="22" spans="1:39" x14ac:dyDescent="0.3">
      <c r="A22" s="9"/>
      <c r="B22" s="4" t="str">
        <f t="shared" si="0"/>
        <v/>
      </c>
      <c r="C22" s="9"/>
      <c r="D22" s="9"/>
      <c r="E22" s="9"/>
      <c r="F22" s="9"/>
      <c r="G22" s="13"/>
      <c r="H22" s="4" t="str">
        <f t="shared" si="1"/>
        <v/>
      </c>
      <c r="I22" s="9"/>
      <c r="J22" s="14"/>
      <c r="K22" s="15" t="str">
        <f>IF(OR(E22="",F22="",G22=""),"",IF(E22&lt;&gt;计划参数!$C$2,"",IF(F22="股票期权",IFERROR(LOOKUP(G22,计划参数!$D$12:$D$15,计划参数!$C$12:$C$15),""),IF(F22="限制性股票",计划参数!$C$10,""))))</f>
        <v/>
      </c>
      <c r="L22" s="15" t="str">
        <f>IF(AND(E22=计划参数!$C$2,F22="限制性股票",G22&gt;=计划参数!$D$9),计划参数!$C$9,"")</f>
        <v/>
      </c>
      <c r="M22" s="9"/>
      <c r="N22" s="14"/>
      <c r="O22" s="14"/>
      <c r="P22" s="13"/>
      <c r="Q22" s="9"/>
      <c r="R22" s="13"/>
      <c r="S22" s="15" t="str">
        <f t="shared" si="2"/>
        <v/>
      </c>
      <c r="T22" s="15" t="str">
        <f t="shared" si="3"/>
        <v/>
      </c>
      <c r="U22" s="15" t="str">
        <f t="shared" si="4"/>
        <v/>
      </c>
      <c r="V22" s="15" t="str">
        <f t="shared" si="5"/>
        <v/>
      </c>
      <c r="W22" s="16" t="str">
        <f>IF(V22="","",VLOOKUP(V22,税率及规则!$A$2:$C$8,2,TRUE))</f>
        <v/>
      </c>
      <c r="X22" s="15" t="str">
        <f>IF(V22="","",VLOOKUP(V22,税率及规则!$A$2:$C$8,3,TRUE))</f>
        <v/>
      </c>
      <c r="Y22" s="15" t="str">
        <f t="shared" si="6"/>
        <v/>
      </c>
      <c r="Z22" s="15" t="str">
        <f>IF(U22="","",MAX(0,U22*VLOOKUP(U22,税率及规则!$A$2:$C$8,2,TRUE)-VLOOKUP(U22,税率及规则!$A$2:$C$8,3,TRUE)))</f>
        <v/>
      </c>
      <c r="AA22" s="15" t="str">
        <f t="shared" si="7"/>
        <v/>
      </c>
      <c r="AB22" s="17" t="str">
        <f t="shared" si="8"/>
        <v/>
      </c>
      <c r="AC22" s="17" t="str">
        <f t="shared" si="9"/>
        <v/>
      </c>
      <c r="AD22" s="4" t="str">
        <f>IF(A22="","",IF(COUNTIF($A$2:$A$501,A22)&gt;1,"异常：事件编号重复",IF(OR(C22="",D22="",E22="",F22="",G22=""),"异常：必填项缺失",IF(AND(F22="其他股权激励",O22=""),"异常：其他股权激励所得缺失",IF(AND(F22&lt;&gt;"其他股权激励",OR(I22="",J22="")),"异常：数量或市场价缺失",IF(AND(F22&lt;&gt;"其他股权激励",OR(I22&lt;=0,J22&lt;0)),"异常：数量或价格无效",IF(AND(F22="限制性股票",OR(M22&lt;=0,N22&lt;0,I22&gt;M22)),"异常：个人获授或出资数据无效",IF(AND(IFERROR(INDEX(计划参数!$J$2:$J$501,MATCH(C22,计划参数!$I$2:$I$501,0)),"")&lt;&gt;"",D22&lt;&gt;IFERROR(INDEX(计划参数!$J$2:$J$501,MATCH(C22,计划参数!$I$2:$I$501,0)),"")),"异常：姓名与员工主数据不一致",IF(S22&lt;0,"异常：原始所得为负，已按0计税",IF(OR(AND(F22="股票期权",K22=""),AND(F22="限制性股票",OR(K22="",L22=""))),"异常：计划参数缺失",IF(COUNTIF(计划参数!$I$2:$I$501,C22)=0,"提示：员工编号未在主数据",IF(Q22&lt;&gt;"已备案","提示：未确认备案","正常"))))))))))))</f>
        <v/>
      </c>
      <c r="AE22" s="9"/>
      <c r="AF22" s="4" t="str">
        <f>IF(C22="","",IF(COUNTIF($C$2:C22,C22)=1,MAX($AF$1:AF21)+1,""))</f>
        <v/>
      </c>
      <c r="AG22" s="4" t="str">
        <f>IF(C22="","",COUNTIF($C$2:C22,C22))</f>
        <v/>
      </c>
      <c r="AH22" s="4" t="str">
        <f t="shared" si="10"/>
        <v/>
      </c>
      <c r="AI22" s="4" t="str">
        <f t="shared" si="11"/>
        <v/>
      </c>
      <c r="AJ22" s="4" t="str">
        <f t="shared" si="12"/>
        <v/>
      </c>
      <c r="AK22" s="15" t="str">
        <f>IF(A22="","",SUMIFS(分期缴税台账!$K$2:$K$501,分期缴税台账!$T$2:$T$501,A22,分期缴税台账!$Q$2:$Q$501,"有效"))</f>
        <v/>
      </c>
      <c r="AL22" s="15" t="str">
        <f t="shared" si="13"/>
        <v/>
      </c>
      <c r="AM22" s="4" t="str">
        <f t="shared" si="14"/>
        <v/>
      </c>
    </row>
    <row r="23" spans="1:39" x14ac:dyDescent="0.3">
      <c r="A23" s="9"/>
      <c r="B23" s="4" t="str">
        <f t="shared" si="0"/>
        <v/>
      </c>
      <c r="C23" s="9"/>
      <c r="D23" s="9"/>
      <c r="E23" s="9"/>
      <c r="F23" s="9"/>
      <c r="G23" s="13"/>
      <c r="H23" s="4" t="str">
        <f t="shared" si="1"/>
        <v/>
      </c>
      <c r="I23" s="9"/>
      <c r="J23" s="14"/>
      <c r="K23" s="15" t="str">
        <f>IF(OR(E23="",F23="",G23=""),"",IF(E23&lt;&gt;计划参数!$C$2,"",IF(F23="股票期权",IFERROR(LOOKUP(G23,计划参数!$D$12:$D$15,计划参数!$C$12:$C$15),""),IF(F23="限制性股票",计划参数!$C$10,""))))</f>
        <v/>
      </c>
      <c r="L23" s="15" t="str">
        <f>IF(AND(E23=计划参数!$C$2,F23="限制性股票",G23&gt;=计划参数!$D$9),计划参数!$C$9,"")</f>
        <v/>
      </c>
      <c r="M23" s="9"/>
      <c r="N23" s="14"/>
      <c r="O23" s="14"/>
      <c r="P23" s="13"/>
      <c r="Q23" s="9"/>
      <c r="R23" s="13"/>
      <c r="S23" s="15" t="str">
        <f t="shared" si="2"/>
        <v/>
      </c>
      <c r="T23" s="15" t="str">
        <f t="shared" si="3"/>
        <v/>
      </c>
      <c r="U23" s="15" t="str">
        <f t="shared" si="4"/>
        <v/>
      </c>
      <c r="V23" s="15" t="str">
        <f t="shared" si="5"/>
        <v/>
      </c>
      <c r="W23" s="16" t="str">
        <f>IF(V23="","",VLOOKUP(V23,税率及规则!$A$2:$C$8,2,TRUE))</f>
        <v/>
      </c>
      <c r="X23" s="15" t="str">
        <f>IF(V23="","",VLOOKUP(V23,税率及规则!$A$2:$C$8,3,TRUE))</f>
        <v/>
      </c>
      <c r="Y23" s="15" t="str">
        <f t="shared" si="6"/>
        <v/>
      </c>
      <c r="Z23" s="15" t="str">
        <f>IF(U23="","",MAX(0,U23*VLOOKUP(U23,税率及规则!$A$2:$C$8,2,TRUE)-VLOOKUP(U23,税率及规则!$A$2:$C$8,3,TRUE)))</f>
        <v/>
      </c>
      <c r="AA23" s="15" t="str">
        <f t="shared" si="7"/>
        <v/>
      </c>
      <c r="AB23" s="17" t="str">
        <f t="shared" si="8"/>
        <v/>
      </c>
      <c r="AC23" s="17" t="str">
        <f t="shared" si="9"/>
        <v/>
      </c>
      <c r="AD23" s="4" t="str">
        <f>IF(A23="","",IF(COUNTIF($A$2:$A$501,A23)&gt;1,"异常：事件编号重复",IF(OR(C23="",D23="",E23="",F23="",G23=""),"异常：必填项缺失",IF(AND(F23="其他股权激励",O23=""),"异常：其他股权激励所得缺失",IF(AND(F23&lt;&gt;"其他股权激励",OR(I23="",J23="")),"异常：数量或市场价缺失",IF(AND(F23&lt;&gt;"其他股权激励",OR(I23&lt;=0,J23&lt;0)),"异常：数量或价格无效",IF(AND(F23="限制性股票",OR(M23&lt;=0,N23&lt;0,I23&gt;M23)),"异常：个人获授或出资数据无效",IF(AND(IFERROR(INDEX(计划参数!$J$2:$J$501,MATCH(C23,计划参数!$I$2:$I$501,0)),"")&lt;&gt;"",D23&lt;&gt;IFERROR(INDEX(计划参数!$J$2:$J$501,MATCH(C23,计划参数!$I$2:$I$501,0)),"")),"异常：姓名与员工主数据不一致",IF(S23&lt;0,"异常：原始所得为负，已按0计税",IF(OR(AND(F23="股票期权",K23=""),AND(F23="限制性股票",OR(K23="",L23=""))),"异常：计划参数缺失",IF(COUNTIF(计划参数!$I$2:$I$501,C23)=0,"提示：员工编号未在主数据",IF(Q23&lt;&gt;"已备案","提示：未确认备案","正常"))))))))))))</f>
        <v/>
      </c>
      <c r="AE23" s="9"/>
      <c r="AF23" s="4" t="str">
        <f>IF(C23="","",IF(COUNTIF($C$2:C23,C23)=1,MAX($AF$1:AF22)+1,""))</f>
        <v/>
      </c>
      <c r="AG23" s="4" t="str">
        <f>IF(C23="","",COUNTIF($C$2:C23,C23))</f>
        <v/>
      </c>
      <c r="AH23" s="4" t="str">
        <f t="shared" si="10"/>
        <v/>
      </c>
      <c r="AI23" s="4" t="str">
        <f t="shared" si="11"/>
        <v/>
      </c>
      <c r="AJ23" s="4" t="str">
        <f t="shared" si="12"/>
        <v/>
      </c>
      <c r="AK23" s="15" t="str">
        <f>IF(A23="","",SUMIFS(分期缴税台账!$K$2:$K$501,分期缴税台账!$T$2:$T$501,A23,分期缴税台账!$Q$2:$Q$501,"有效"))</f>
        <v/>
      </c>
      <c r="AL23" s="15" t="str">
        <f t="shared" si="13"/>
        <v/>
      </c>
      <c r="AM23" s="4" t="str">
        <f t="shared" si="14"/>
        <v/>
      </c>
    </row>
    <row r="24" spans="1:39" x14ac:dyDescent="0.3">
      <c r="A24" s="9"/>
      <c r="B24" s="4" t="str">
        <f t="shared" si="0"/>
        <v/>
      </c>
      <c r="C24" s="9"/>
      <c r="D24" s="9"/>
      <c r="E24" s="9"/>
      <c r="F24" s="9"/>
      <c r="G24" s="13"/>
      <c r="H24" s="4" t="str">
        <f t="shared" si="1"/>
        <v/>
      </c>
      <c r="I24" s="9"/>
      <c r="J24" s="14"/>
      <c r="K24" s="15" t="str">
        <f>IF(OR(E24="",F24="",G24=""),"",IF(E24&lt;&gt;计划参数!$C$2,"",IF(F24="股票期权",IFERROR(LOOKUP(G24,计划参数!$D$12:$D$15,计划参数!$C$12:$C$15),""),IF(F24="限制性股票",计划参数!$C$10,""))))</f>
        <v/>
      </c>
      <c r="L24" s="15" t="str">
        <f>IF(AND(E24=计划参数!$C$2,F24="限制性股票",G24&gt;=计划参数!$D$9),计划参数!$C$9,"")</f>
        <v/>
      </c>
      <c r="M24" s="9"/>
      <c r="N24" s="14"/>
      <c r="O24" s="14"/>
      <c r="P24" s="13"/>
      <c r="Q24" s="9"/>
      <c r="R24" s="13"/>
      <c r="S24" s="15" t="str">
        <f t="shared" si="2"/>
        <v/>
      </c>
      <c r="T24" s="15" t="str">
        <f t="shared" si="3"/>
        <v/>
      </c>
      <c r="U24" s="15" t="str">
        <f t="shared" si="4"/>
        <v/>
      </c>
      <c r="V24" s="15" t="str">
        <f t="shared" si="5"/>
        <v/>
      </c>
      <c r="W24" s="16" t="str">
        <f>IF(V24="","",VLOOKUP(V24,税率及规则!$A$2:$C$8,2,TRUE))</f>
        <v/>
      </c>
      <c r="X24" s="15" t="str">
        <f>IF(V24="","",VLOOKUP(V24,税率及规则!$A$2:$C$8,3,TRUE))</f>
        <v/>
      </c>
      <c r="Y24" s="15" t="str">
        <f t="shared" si="6"/>
        <v/>
      </c>
      <c r="Z24" s="15" t="str">
        <f>IF(U24="","",MAX(0,U24*VLOOKUP(U24,税率及规则!$A$2:$C$8,2,TRUE)-VLOOKUP(U24,税率及规则!$A$2:$C$8,3,TRUE)))</f>
        <v/>
      </c>
      <c r="AA24" s="15" t="str">
        <f t="shared" si="7"/>
        <v/>
      </c>
      <c r="AB24" s="17" t="str">
        <f t="shared" si="8"/>
        <v/>
      </c>
      <c r="AC24" s="17" t="str">
        <f t="shared" si="9"/>
        <v/>
      </c>
      <c r="AD24" s="4" t="str">
        <f>IF(A24="","",IF(COUNTIF($A$2:$A$501,A24)&gt;1,"异常：事件编号重复",IF(OR(C24="",D24="",E24="",F24="",G24=""),"异常：必填项缺失",IF(AND(F24="其他股权激励",O24=""),"异常：其他股权激励所得缺失",IF(AND(F24&lt;&gt;"其他股权激励",OR(I24="",J24="")),"异常：数量或市场价缺失",IF(AND(F24&lt;&gt;"其他股权激励",OR(I24&lt;=0,J24&lt;0)),"异常：数量或价格无效",IF(AND(F24="限制性股票",OR(M24&lt;=0,N24&lt;0,I24&gt;M24)),"异常：个人获授或出资数据无效",IF(AND(IFERROR(INDEX(计划参数!$J$2:$J$501,MATCH(C24,计划参数!$I$2:$I$501,0)),"")&lt;&gt;"",D24&lt;&gt;IFERROR(INDEX(计划参数!$J$2:$J$501,MATCH(C24,计划参数!$I$2:$I$501,0)),"")),"异常：姓名与员工主数据不一致",IF(S24&lt;0,"异常：原始所得为负，已按0计税",IF(OR(AND(F24="股票期权",K24=""),AND(F24="限制性股票",OR(K24="",L24=""))),"异常：计划参数缺失",IF(COUNTIF(计划参数!$I$2:$I$501,C24)=0,"提示：员工编号未在主数据",IF(Q24&lt;&gt;"已备案","提示：未确认备案","正常"))))))))))))</f>
        <v/>
      </c>
      <c r="AE24" s="9"/>
      <c r="AF24" s="4" t="str">
        <f>IF(C24="","",IF(COUNTIF($C$2:C24,C24)=1,MAX($AF$1:AF23)+1,""))</f>
        <v/>
      </c>
      <c r="AG24" s="4" t="str">
        <f>IF(C24="","",COUNTIF($C$2:C24,C24))</f>
        <v/>
      </c>
      <c r="AH24" s="4" t="str">
        <f t="shared" si="10"/>
        <v/>
      </c>
      <c r="AI24" s="4" t="str">
        <f t="shared" si="11"/>
        <v/>
      </c>
      <c r="AJ24" s="4" t="str">
        <f t="shared" si="12"/>
        <v/>
      </c>
      <c r="AK24" s="15" t="str">
        <f>IF(A24="","",SUMIFS(分期缴税台账!$K$2:$K$501,分期缴税台账!$T$2:$T$501,A24,分期缴税台账!$Q$2:$Q$501,"有效"))</f>
        <v/>
      </c>
      <c r="AL24" s="15" t="str">
        <f t="shared" si="13"/>
        <v/>
      </c>
      <c r="AM24" s="4" t="str">
        <f t="shared" si="14"/>
        <v/>
      </c>
    </row>
    <row r="25" spans="1:39" x14ac:dyDescent="0.3">
      <c r="A25" s="9"/>
      <c r="B25" s="4" t="str">
        <f t="shared" si="0"/>
        <v/>
      </c>
      <c r="C25" s="9"/>
      <c r="D25" s="9"/>
      <c r="E25" s="9"/>
      <c r="F25" s="9"/>
      <c r="G25" s="13"/>
      <c r="H25" s="4" t="str">
        <f t="shared" si="1"/>
        <v/>
      </c>
      <c r="I25" s="9"/>
      <c r="J25" s="14"/>
      <c r="K25" s="15" t="str">
        <f>IF(OR(E25="",F25="",G25=""),"",IF(E25&lt;&gt;计划参数!$C$2,"",IF(F25="股票期权",IFERROR(LOOKUP(G25,计划参数!$D$12:$D$15,计划参数!$C$12:$C$15),""),IF(F25="限制性股票",计划参数!$C$10,""))))</f>
        <v/>
      </c>
      <c r="L25" s="15" t="str">
        <f>IF(AND(E25=计划参数!$C$2,F25="限制性股票",G25&gt;=计划参数!$D$9),计划参数!$C$9,"")</f>
        <v/>
      </c>
      <c r="M25" s="9"/>
      <c r="N25" s="14"/>
      <c r="O25" s="14"/>
      <c r="P25" s="13"/>
      <c r="Q25" s="9"/>
      <c r="R25" s="13"/>
      <c r="S25" s="15" t="str">
        <f t="shared" si="2"/>
        <v/>
      </c>
      <c r="T25" s="15" t="str">
        <f t="shared" si="3"/>
        <v/>
      </c>
      <c r="U25" s="15" t="str">
        <f t="shared" si="4"/>
        <v/>
      </c>
      <c r="V25" s="15" t="str">
        <f t="shared" si="5"/>
        <v/>
      </c>
      <c r="W25" s="16" t="str">
        <f>IF(V25="","",VLOOKUP(V25,税率及规则!$A$2:$C$8,2,TRUE))</f>
        <v/>
      </c>
      <c r="X25" s="15" t="str">
        <f>IF(V25="","",VLOOKUP(V25,税率及规则!$A$2:$C$8,3,TRUE))</f>
        <v/>
      </c>
      <c r="Y25" s="15" t="str">
        <f t="shared" si="6"/>
        <v/>
      </c>
      <c r="Z25" s="15" t="str">
        <f>IF(U25="","",MAX(0,U25*VLOOKUP(U25,税率及规则!$A$2:$C$8,2,TRUE)-VLOOKUP(U25,税率及规则!$A$2:$C$8,3,TRUE)))</f>
        <v/>
      </c>
      <c r="AA25" s="15" t="str">
        <f t="shared" si="7"/>
        <v/>
      </c>
      <c r="AB25" s="17" t="str">
        <f t="shared" si="8"/>
        <v/>
      </c>
      <c r="AC25" s="17" t="str">
        <f t="shared" si="9"/>
        <v/>
      </c>
      <c r="AD25" s="4" t="str">
        <f>IF(A25="","",IF(COUNTIF($A$2:$A$501,A25)&gt;1,"异常：事件编号重复",IF(OR(C25="",D25="",E25="",F25="",G25=""),"异常：必填项缺失",IF(AND(F25="其他股权激励",O25=""),"异常：其他股权激励所得缺失",IF(AND(F25&lt;&gt;"其他股权激励",OR(I25="",J25="")),"异常：数量或市场价缺失",IF(AND(F25&lt;&gt;"其他股权激励",OR(I25&lt;=0,J25&lt;0)),"异常：数量或价格无效",IF(AND(F25="限制性股票",OR(M25&lt;=0,N25&lt;0,I25&gt;M25)),"异常：个人获授或出资数据无效",IF(AND(IFERROR(INDEX(计划参数!$J$2:$J$501,MATCH(C25,计划参数!$I$2:$I$501,0)),"")&lt;&gt;"",D25&lt;&gt;IFERROR(INDEX(计划参数!$J$2:$J$501,MATCH(C25,计划参数!$I$2:$I$501,0)),"")),"异常：姓名与员工主数据不一致",IF(S25&lt;0,"异常：原始所得为负，已按0计税",IF(OR(AND(F25="股票期权",K25=""),AND(F25="限制性股票",OR(K25="",L25=""))),"异常：计划参数缺失",IF(COUNTIF(计划参数!$I$2:$I$501,C25)=0,"提示：员工编号未在主数据",IF(Q25&lt;&gt;"已备案","提示：未确认备案","正常"))))))))))))</f>
        <v/>
      </c>
      <c r="AE25" s="9"/>
      <c r="AF25" s="4" t="str">
        <f>IF(C25="","",IF(COUNTIF($C$2:C25,C25)=1,MAX($AF$1:AF24)+1,""))</f>
        <v/>
      </c>
      <c r="AG25" s="4" t="str">
        <f>IF(C25="","",COUNTIF($C$2:C25,C25))</f>
        <v/>
      </c>
      <c r="AH25" s="4" t="str">
        <f t="shared" si="10"/>
        <v/>
      </c>
      <c r="AI25" s="4" t="str">
        <f t="shared" si="11"/>
        <v/>
      </c>
      <c r="AJ25" s="4" t="str">
        <f t="shared" si="12"/>
        <v/>
      </c>
      <c r="AK25" s="15" t="str">
        <f>IF(A25="","",SUMIFS(分期缴税台账!$K$2:$K$501,分期缴税台账!$T$2:$T$501,A25,分期缴税台账!$Q$2:$Q$501,"有效"))</f>
        <v/>
      </c>
      <c r="AL25" s="15" t="str">
        <f t="shared" si="13"/>
        <v/>
      </c>
      <c r="AM25" s="4" t="str">
        <f t="shared" si="14"/>
        <v/>
      </c>
    </row>
    <row r="26" spans="1:39" x14ac:dyDescent="0.3">
      <c r="A26" s="9"/>
      <c r="B26" s="4" t="str">
        <f t="shared" si="0"/>
        <v/>
      </c>
      <c r="C26" s="9"/>
      <c r="D26" s="9"/>
      <c r="E26" s="9"/>
      <c r="F26" s="9"/>
      <c r="G26" s="13"/>
      <c r="H26" s="4" t="str">
        <f t="shared" si="1"/>
        <v/>
      </c>
      <c r="I26" s="9"/>
      <c r="J26" s="14"/>
      <c r="K26" s="15" t="str">
        <f>IF(OR(E26="",F26="",G26=""),"",IF(E26&lt;&gt;计划参数!$C$2,"",IF(F26="股票期权",IFERROR(LOOKUP(G26,计划参数!$D$12:$D$15,计划参数!$C$12:$C$15),""),IF(F26="限制性股票",计划参数!$C$10,""))))</f>
        <v/>
      </c>
      <c r="L26" s="15" t="str">
        <f>IF(AND(E26=计划参数!$C$2,F26="限制性股票",G26&gt;=计划参数!$D$9),计划参数!$C$9,"")</f>
        <v/>
      </c>
      <c r="M26" s="9"/>
      <c r="N26" s="14"/>
      <c r="O26" s="14"/>
      <c r="P26" s="13"/>
      <c r="Q26" s="9"/>
      <c r="R26" s="13"/>
      <c r="S26" s="15" t="str">
        <f t="shared" si="2"/>
        <v/>
      </c>
      <c r="T26" s="15" t="str">
        <f t="shared" si="3"/>
        <v/>
      </c>
      <c r="U26" s="15" t="str">
        <f t="shared" si="4"/>
        <v/>
      </c>
      <c r="V26" s="15" t="str">
        <f t="shared" si="5"/>
        <v/>
      </c>
      <c r="W26" s="16" t="str">
        <f>IF(V26="","",VLOOKUP(V26,税率及规则!$A$2:$C$8,2,TRUE))</f>
        <v/>
      </c>
      <c r="X26" s="15" t="str">
        <f>IF(V26="","",VLOOKUP(V26,税率及规则!$A$2:$C$8,3,TRUE))</f>
        <v/>
      </c>
      <c r="Y26" s="15" t="str">
        <f t="shared" si="6"/>
        <v/>
      </c>
      <c r="Z26" s="15" t="str">
        <f>IF(U26="","",MAX(0,U26*VLOOKUP(U26,税率及规则!$A$2:$C$8,2,TRUE)-VLOOKUP(U26,税率及规则!$A$2:$C$8,3,TRUE)))</f>
        <v/>
      </c>
      <c r="AA26" s="15" t="str">
        <f t="shared" si="7"/>
        <v/>
      </c>
      <c r="AB26" s="17" t="str">
        <f t="shared" si="8"/>
        <v/>
      </c>
      <c r="AC26" s="17" t="str">
        <f t="shared" si="9"/>
        <v/>
      </c>
      <c r="AD26" s="4" t="str">
        <f>IF(A26="","",IF(COUNTIF($A$2:$A$501,A26)&gt;1,"异常：事件编号重复",IF(OR(C26="",D26="",E26="",F26="",G26=""),"异常：必填项缺失",IF(AND(F26="其他股权激励",O26=""),"异常：其他股权激励所得缺失",IF(AND(F26&lt;&gt;"其他股权激励",OR(I26="",J26="")),"异常：数量或市场价缺失",IF(AND(F26&lt;&gt;"其他股权激励",OR(I26&lt;=0,J26&lt;0)),"异常：数量或价格无效",IF(AND(F26="限制性股票",OR(M26&lt;=0,N26&lt;0,I26&gt;M26)),"异常：个人获授或出资数据无效",IF(AND(IFERROR(INDEX(计划参数!$J$2:$J$501,MATCH(C26,计划参数!$I$2:$I$501,0)),"")&lt;&gt;"",D26&lt;&gt;IFERROR(INDEX(计划参数!$J$2:$J$501,MATCH(C26,计划参数!$I$2:$I$501,0)),"")),"异常：姓名与员工主数据不一致",IF(S26&lt;0,"异常：原始所得为负，已按0计税",IF(OR(AND(F26="股票期权",K26=""),AND(F26="限制性股票",OR(K26="",L26=""))),"异常：计划参数缺失",IF(COUNTIF(计划参数!$I$2:$I$501,C26)=0,"提示：员工编号未在主数据",IF(Q26&lt;&gt;"已备案","提示：未确认备案","正常"))))))))))))</f>
        <v/>
      </c>
      <c r="AE26" s="9"/>
      <c r="AF26" s="4" t="str">
        <f>IF(C26="","",IF(COUNTIF($C$2:C26,C26)=1,MAX($AF$1:AF25)+1,""))</f>
        <v/>
      </c>
      <c r="AG26" s="4" t="str">
        <f>IF(C26="","",COUNTIF($C$2:C26,C26))</f>
        <v/>
      </c>
      <c r="AH26" s="4" t="str">
        <f t="shared" si="10"/>
        <v/>
      </c>
      <c r="AI26" s="4" t="str">
        <f t="shared" si="11"/>
        <v/>
      </c>
      <c r="AJ26" s="4" t="str">
        <f t="shared" si="12"/>
        <v/>
      </c>
      <c r="AK26" s="15" t="str">
        <f>IF(A26="","",SUMIFS(分期缴税台账!$K$2:$K$501,分期缴税台账!$T$2:$T$501,A26,分期缴税台账!$Q$2:$Q$501,"有效"))</f>
        <v/>
      </c>
      <c r="AL26" s="15" t="str">
        <f t="shared" si="13"/>
        <v/>
      </c>
      <c r="AM26" s="4" t="str">
        <f t="shared" si="14"/>
        <v/>
      </c>
    </row>
    <row r="27" spans="1:39" x14ac:dyDescent="0.3">
      <c r="A27" s="9"/>
      <c r="B27" s="4" t="str">
        <f t="shared" si="0"/>
        <v/>
      </c>
      <c r="C27" s="9"/>
      <c r="D27" s="9"/>
      <c r="E27" s="9"/>
      <c r="F27" s="9"/>
      <c r="G27" s="13"/>
      <c r="H27" s="4" t="str">
        <f t="shared" si="1"/>
        <v/>
      </c>
      <c r="I27" s="9"/>
      <c r="J27" s="14"/>
      <c r="K27" s="15" t="str">
        <f>IF(OR(E27="",F27="",G27=""),"",IF(E27&lt;&gt;计划参数!$C$2,"",IF(F27="股票期权",IFERROR(LOOKUP(G27,计划参数!$D$12:$D$15,计划参数!$C$12:$C$15),""),IF(F27="限制性股票",计划参数!$C$10,""))))</f>
        <v/>
      </c>
      <c r="L27" s="15" t="str">
        <f>IF(AND(E27=计划参数!$C$2,F27="限制性股票",G27&gt;=计划参数!$D$9),计划参数!$C$9,"")</f>
        <v/>
      </c>
      <c r="M27" s="9"/>
      <c r="N27" s="14"/>
      <c r="O27" s="14"/>
      <c r="P27" s="13"/>
      <c r="Q27" s="9"/>
      <c r="R27" s="13"/>
      <c r="S27" s="15" t="str">
        <f t="shared" si="2"/>
        <v/>
      </c>
      <c r="T27" s="15" t="str">
        <f t="shared" si="3"/>
        <v/>
      </c>
      <c r="U27" s="15" t="str">
        <f t="shared" si="4"/>
        <v/>
      </c>
      <c r="V27" s="15" t="str">
        <f t="shared" si="5"/>
        <v/>
      </c>
      <c r="W27" s="16" t="str">
        <f>IF(V27="","",VLOOKUP(V27,税率及规则!$A$2:$C$8,2,TRUE))</f>
        <v/>
      </c>
      <c r="X27" s="15" t="str">
        <f>IF(V27="","",VLOOKUP(V27,税率及规则!$A$2:$C$8,3,TRUE))</f>
        <v/>
      </c>
      <c r="Y27" s="15" t="str">
        <f t="shared" si="6"/>
        <v/>
      </c>
      <c r="Z27" s="15" t="str">
        <f>IF(U27="","",MAX(0,U27*VLOOKUP(U27,税率及规则!$A$2:$C$8,2,TRUE)-VLOOKUP(U27,税率及规则!$A$2:$C$8,3,TRUE)))</f>
        <v/>
      </c>
      <c r="AA27" s="15" t="str">
        <f t="shared" si="7"/>
        <v/>
      </c>
      <c r="AB27" s="17" t="str">
        <f t="shared" si="8"/>
        <v/>
      </c>
      <c r="AC27" s="17" t="str">
        <f t="shared" si="9"/>
        <v/>
      </c>
      <c r="AD27" s="4" t="str">
        <f>IF(A27="","",IF(COUNTIF($A$2:$A$501,A27)&gt;1,"异常：事件编号重复",IF(OR(C27="",D27="",E27="",F27="",G27=""),"异常：必填项缺失",IF(AND(F27="其他股权激励",O27=""),"异常：其他股权激励所得缺失",IF(AND(F27&lt;&gt;"其他股权激励",OR(I27="",J27="")),"异常：数量或市场价缺失",IF(AND(F27&lt;&gt;"其他股权激励",OR(I27&lt;=0,J27&lt;0)),"异常：数量或价格无效",IF(AND(F27="限制性股票",OR(M27&lt;=0,N27&lt;0,I27&gt;M27)),"异常：个人获授或出资数据无效",IF(AND(IFERROR(INDEX(计划参数!$J$2:$J$501,MATCH(C27,计划参数!$I$2:$I$501,0)),"")&lt;&gt;"",D27&lt;&gt;IFERROR(INDEX(计划参数!$J$2:$J$501,MATCH(C27,计划参数!$I$2:$I$501,0)),"")),"异常：姓名与员工主数据不一致",IF(S27&lt;0,"异常：原始所得为负，已按0计税",IF(OR(AND(F27="股票期权",K27=""),AND(F27="限制性股票",OR(K27="",L27=""))),"异常：计划参数缺失",IF(COUNTIF(计划参数!$I$2:$I$501,C27)=0,"提示：员工编号未在主数据",IF(Q27&lt;&gt;"已备案","提示：未确认备案","正常"))))))))))))</f>
        <v/>
      </c>
      <c r="AE27" s="9"/>
      <c r="AF27" s="4" t="str">
        <f>IF(C27="","",IF(COUNTIF($C$2:C27,C27)=1,MAX($AF$1:AF26)+1,""))</f>
        <v/>
      </c>
      <c r="AG27" s="4" t="str">
        <f>IF(C27="","",COUNTIF($C$2:C27,C27))</f>
        <v/>
      </c>
      <c r="AH27" s="4" t="str">
        <f t="shared" si="10"/>
        <v/>
      </c>
      <c r="AI27" s="4" t="str">
        <f t="shared" si="11"/>
        <v/>
      </c>
      <c r="AJ27" s="4" t="str">
        <f t="shared" si="12"/>
        <v/>
      </c>
      <c r="AK27" s="15" t="str">
        <f>IF(A27="","",SUMIFS(分期缴税台账!$K$2:$K$501,分期缴税台账!$T$2:$T$501,A27,分期缴税台账!$Q$2:$Q$501,"有效"))</f>
        <v/>
      </c>
      <c r="AL27" s="15" t="str">
        <f t="shared" si="13"/>
        <v/>
      </c>
      <c r="AM27" s="4" t="str">
        <f t="shared" si="14"/>
        <v/>
      </c>
    </row>
    <row r="28" spans="1:39" x14ac:dyDescent="0.3">
      <c r="A28" s="9"/>
      <c r="B28" s="4" t="str">
        <f t="shared" si="0"/>
        <v/>
      </c>
      <c r="C28" s="9"/>
      <c r="D28" s="9"/>
      <c r="E28" s="9"/>
      <c r="F28" s="9"/>
      <c r="G28" s="13"/>
      <c r="H28" s="4" t="str">
        <f t="shared" si="1"/>
        <v/>
      </c>
      <c r="I28" s="9"/>
      <c r="J28" s="14"/>
      <c r="K28" s="15" t="str">
        <f>IF(OR(E28="",F28="",G28=""),"",IF(E28&lt;&gt;计划参数!$C$2,"",IF(F28="股票期权",IFERROR(LOOKUP(G28,计划参数!$D$12:$D$15,计划参数!$C$12:$C$15),""),IF(F28="限制性股票",计划参数!$C$10,""))))</f>
        <v/>
      </c>
      <c r="L28" s="15" t="str">
        <f>IF(AND(E28=计划参数!$C$2,F28="限制性股票",G28&gt;=计划参数!$D$9),计划参数!$C$9,"")</f>
        <v/>
      </c>
      <c r="M28" s="9"/>
      <c r="N28" s="14"/>
      <c r="O28" s="14"/>
      <c r="P28" s="13"/>
      <c r="Q28" s="9"/>
      <c r="R28" s="13"/>
      <c r="S28" s="15" t="str">
        <f t="shared" si="2"/>
        <v/>
      </c>
      <c r="T28" s="15" t="str">
        <f t="shared" si="3"/>
        <v/>
      </c>
      <c r="U28" s="15" t="str">
        <f t="shared" si="4"/>
        <v/>
      </c>
      <c r="V28" s="15" t="str">
        <f t="shared" si="5"/>
        <v/>
      </c>
      <c r="W28" s="16" t="str">
        <f>IF(V28="","",VLOOKUP(V28,税率及规则!$A$2:$C$8,2,TRUE))</f>
        <v/>
      </c>
      <c r="X28" s="15" t="str">
        <f>IF(V28="","",VLOOKUP(V28,税率及规则!$A$2:$C$8,3,TRUE))</f>
        <v/>
      </c>
      <c r="Y28" s="15" t="str">
        <f t="shared" si="6"/>
        <v/>
      </c>
      <c r="Z28" s="15" t="str">
        <f>IF(U28="","",MAX(0,U28*VLOOKUP(U28,税率及规则!$A$2:$C$8,2,TRUE)-VLOOKUP(U28,税率及规则!$A$2:$C$8,3,TRUE)))</f>
        <v/>
      </c>
      <c r="AA28" s="15" t="str">
        <f t="shared" si="7"/>
        <v/>
      </c>
      <c r="AB28" s="17" t="str">
        <f t="shared" si="8"/>
        <v/>
      </c>
      <c r="AC28" s="17" t="str">
        <f t="shared" si="9"/>
        <v/>
      </c>
      <c r="AD28" s="4" t="str">
        <f>IF(A28="","",IF(COUNTIF($A$2:$A$501,A28)&gt;1,"异常：事件编号重复",IF(OR(C28="",D28="",E28="",F28="",G28=""),"异常：必填项缺失",IF(AND(F28="其他股权激励",O28=""),"异常：其他股权激励所得缺失",IF(AND(F28&lt;&gt;"其他股权激励",OR(I28="",J28="")),"异常：数量或市场价缺失",IF(AND(F28&lt;&gt;"其他股权激励",OR(I28&lt;=0,J28&lt;0)),"异常：数量或价格无效",IF(AND(F28="限制性股票",OR(M28&lt;=0,N28&lt;0,I28&gt;M28)),"异常：个人获授或出资数据无效",IF(AND(IFERROR(INDEX(计划参数!$J$2:$J$501,MATCH(C28,计划参数!$I$2:$I$501,0)),"")&lt;&gt;"",D28&lt;&gt;IFERROR(INDEX(计划参数!$J$2:$J$501,MATCH(C28,计划参数!$I$2:$I$501,0)),"")),"异常：姓名与员工主数据不一致",IF(S28&lt;0,"异常：原始所得为负，已按0计税",IF(OR(AND(F28="股票期权",K28=""),AND(F28="限制性股票",OR(K28="",L28=""))),"异常：计划参数缺失",IF(COUNTIF(计划参数!$I$2:$I$501,C28)=0,"提示：员工编号未在主数据",IF(Q28&lt;&gt;"已备案","提示：未确认备案","正常"))))))))))))</f>
        <v/>
      </c>
      <c r="AE28" s="9"/>
      <c r="AF28" s="4" t="str">
        <f>IF(C28="","",IF(COUNTIF($C$2:C28,C28)=1,MAX($AF$1:AF27)+1,""))</f>
        <v/>
      </c>
      <c r="AG28" s="4" t="str">
        <f>IF(C28="","",COUNTIF($C$2:C28,C28))</f>
        <v/>
      </c>
      <c r="AH28" s="4" t="str">
        <f t="shared" si="10"/>
        <v/>
      </c>
      <c r="AI28" s="4" t="str">
        <f t="shared" si="11"/>
        <v/>
      </c>
      <c r="AJ28" s="4" t="str">
        <f t="shared" si="12"/>
        <v/>
      </c>
      <c r="AK28" s="15" t="str">
        <f>IF(A28="","",SUMIFS(分期缴税台账!$K$2:$K$501,分期缴税台账!$T$2:$T$501,A28,分期缴税台账!$Q$2:$Q$501,"有效"))</f>
        <v/>
      </c>
      <c r="AL28" s="15" t="str">
        <f t="shared" si="13"/>
        <v/>
      </c>
      <c r="AM28" s="4" t="str">
        <f t="shared" si="14"/>
        <v/>
      </c>
    </row>
    <row r="29" spans="1:39" x14ac:dyDescent="0.3">
      <c r="A29" s="9"/>
      <c r="B29" s="4" t="str">
        <f t="shared" si="0"/>
        <v/>
      </c>
      <c r="C29" s="9"/>
      <c r="D29" s="9"/>
      <c r="E29" s="9"/>
      <c r="F29" s="9"/>
      <c r="G29" s="13"/>
      <c r="H29" s="4" t="str">
        <f t="shared" si="1"/>
        <v/>
      </c>
      <c r="I29" s="9"/>
      <c r="J29" s="14"/>
      <c r="K29" s="15" t="str">
        <f>IF(OR(E29="",F29="",G29=""),"",IF(E29&lt;&gt;计划参数!$C$2,"",IF(F29="股票期权",IFERROR(LOOKUP(G29,计划参数!$D$12:$D$15,计划参数!$C$12:$C$15),""),IF(F29="限制性股票",计划参数!$C$10,""))))</f>
        <v/>
      </c>
      <c r="L29" s="15" t="str">
        <f>IF(AND(E29=计划参数!$C$2,F29="限制性股票",G29&gt;=计划参数!$D$9),计划参数!$C$9,"")</f>
        <v/>
      </c>
      <c r="M29" s="9"/>
      <c r="N29" s="14"/>
      <c r="O29" s="14"/>
      <c r="P29" s="13"/>
      <c r="Q29" s="9"/>
      <c r="R29" s="13"/>
      <c r="S29" s="15" t="str">
        <f t="shared" si="2"/>
        <v/>
      </c>
      <c r="T29" s="15" t="str">
        <f t="shared" si="3"/>
        <v/>
      </c>
      <c r="U29" s="15" t="str">
        <f t="shared" si="4"/>
        <v/>
      </c>
      <c r="V29" s="15" t="str">
        <f t="shared" si="5"/>
        <v/>
      </c>
      <c r="W29" s="16" t="str">
        <f>IF(V29="","",VLOOKUP(V29,税率及规则!$A$2:$C$8,2,TRUE))</f>
        <v/>
      </c>
      <c r="X29" s="15" t="str">
        <f>IF(V29="","",VLOOKUP(V29,税率及规则!$A$2:$C$8,3,TRUE))</f>
        <v/>
      </c>
      <c r="Y29" s="15" t="str">
        <f t="shared" si="6"/>
        <v/>
      </c>
      <c r="Z29" s="15" t="str">
        <f>IF(U29="","",MAX(0,U29*VLOOKUP(U29,税率及规则!$A$2:$C$8,2,TRUE)-VLOOKUP(U29,税率及规则!$A$2:$C$8,3,TRUE)))</f>
        <v/>
      </c>
      <c r="AA29" s="15" t="str">
        <f t="shared" si="7"/>
        <v/>
      </c>
      <c r="AB29" s="17" t="str">
        <f t="shared" si="8"/>
        <v/>
      </c>
      <c r="AC29" s="17" t="str">
        <f t="shared" si="9"/>
        <v/>
      </c>
      <c r="AD29" s="4" t="str">
        <f>IF(A29="","",IF(COUNTIF($A$2:$A$501,A29)&gt;1,"异常：事件编号重复",IF(OR(C29="",D29="",E29="",F29="",G29=""),"异常：必填项缺失",IF(AND(F29="其他股权激励",O29=""),"异常：其他股权激励所得缺失",IF(AND(F29&lt;&gt;"其他股权激励",OR(I29="",J29="")),"异常：数量或市场价缺失",IF(AND(F29&lt;&gt;"其他股权激励",OR(I29&lt;=0,J29&lt;0)),"异常：数量或价格无效",IF(AND(F29="限制性股票",OR(M29&lt;=0,N29&lt;0,I29&gt;M29)),"异常：个人获授或出资数据无效",IF(AND(IFERROR(INDEX(计划参数!$J$2:$J$501,MATCH(C29,计划参数!$I$2:$I$501,0)),"")&lt;&gt;"",D29&lt;&gt;IFERROR(INDEX(计划参数!$J$2:$J$501,MATCH(C29,计划参数!$I$2:$I$501,0)),"")),"异常：姓名与员工主数据不一致",IF(S29&lt;0,"异常：原始所得为负，已按0计税",IF(OR(AND(F29="股票期权",K29=""),AND(F29="限制性股票",OR(K29="",L29=""))),"异常：计划参数缺失",IF(COUNTIF(计划参数!$I$2:$I$501,C29)=0,"提示：员工编号未在主数据",IF(Q29&lt;&gt;"已备案","提示：未确认备案","正常"))))))))))))</f>
        <v/>
      </c>
      <c r="AE29" s="9"/>
      <c r="AF29" s="4" t="str">
        <f>IF(C29="","",IF(COUNTIF($C$2:C29,C29)=1,MAX($AF$1:AF28)+1,""))</f>
        <v/>
      </c>
      <c r="AG29" s="4" t="str">
        <f>IF(C29="","",COUNTIF($C$2:C29,C29))</f>
        <v/>
      </c>
      <c r="AH29" s="4" t="str">
        <f t="shared" si="10"/>
        <v/>
      </c>
      <c r="AI29" s="4" t="str">
        <f t="shared" si="11"/>
        <v/>
      </c>
      <c r="AJ29" s="4" t="str">
        <f t="shared" si="12"/>
        <v/>
      </c>
      <c r="AK29" s="15" t="str">
        <f>IF(A29="","",SUMIFS(分期缴税台账!$K$2:$K$501,分期缴税台账!$T$2:$T$501,A29,分期缴税台账!$Q$2:$Q$501,"有效"))</f>
        <v/>
      </c>
      <c r="AL29" s="15" t="str">
        <f t="shared" si="13"/>
        <v/>
      </c>
      <c r="AM29" s="4" t="str">
        <f t="shared" si="14"/>
        <v/>
      </c>
    </row>
    <row r="30" spans="1:39" x14ac:dyDescent="0.3">
      <c r="A30" s="9"/>
      <c r="B30" s="4" t="str">
        <f t="shared" si="0"/>
        <v/>
      </c>
      <c r="C30" s="9"/>
      <c r="D30" s="9"/>
      <c r="E30" s="9"/>
      <c r="F30" s="9"/>
      <c r="G30" s="13"/>
      <c r="H30" s="4" t="str">
        <f t="shared" si="1"/>
        <v/>
      </c>
      <c r="I30" s="9"/>
      <c r="J30" s="14"/>
      <c r="K30" s="15" t="str">
        <f>IF(OR(E30="",F30="",G30=""),"",IF(E30&lt;&gt;计划参数!$C$2,"",IF(F30="股票期权",IFERROR(LOOKUP(G30,计划参数!$D$12:$D$15,计划参数!$C$12:$C$15),""),IF(F30="限制性股票",计划参数!$C$10,""))))</f>
        <v/>
      </c>
      <c r="L30" s="15" t="str">
        <f>IF(AND(E30=计划参数!$C$2,F30="限制性股票",G30&gt;=计划参数!$D$9),计划参数!$C$9,"")</f>
        <v/>
      </c>
      <c r="M30" s="9"/>
      <c r="N30" s="14"/>
      <c r="O30" s="14"/>
      <c r="P30" s="13"/>
      <c r="Q30" s="9"/>
      <c r="R30" s="13"/>
      <c r="S30" s="15" t="str">
        <f t="shared" si="2"/>
        <v/>
      </c>
      <c r="T30" s="15" t="str">
        <f t="shared" si="3"/>
        <v/>
      </c>
      <c r="U30" s="15" t="str">
        <f t="shared" si="4"/>
        <v/>
      </c>
      <c r="V30" s="15" t="str">
        <f t="shared" si="5"/>
        <v/>
      </c>
      <c r="W30" s="16" t="str">
        <f>IF(V30="","",VLOOKUP(V30,税率及规则!$A$2:$C$8,2,TRUE))</f>
        <v/>
      </c>
      <c r="X30" s="15" t="str">
        <f>IF(V30="","",VLOOKUP(V30,税率及规则!$A$2:$C$8,3,TRUE))</f>
        <v/>
      </c>
      <c r="Y30" s="15" t="str">
        <f t="shared" si="6"/>
        <v/>
      </c>
      <c r="Z30" s="15" t="str">
        <f>IF(U30="","",MAX(0,U30*VLOOKUP(U30,税率及规则!$A$2:$C$8,2,TRUE)-VLOOKUP(U30,税率及规则!$A$2:$C$8,3,TRUE)))</f>
        <v/>
      </c>
      <c r="AA30" s="15" t="str">
        <f t="shared" si="7"/>
        <v/>
      </c>
      <c r="AB30" s="17" t="str">
        <f t="shared" si="8"/>
        <v/>
      </c>
      <c r="AC30" s="17" t="str">
        <f t="shared" si="9"/>
        <v/>
      </c>
      <c r="AD30" s="4" t="str">
        <f>IF(A30="","",IF(COUNTIF($A$2:$A$501,A30)&gt;1,"异常：事件编号重复",IF(OR(C30="",D30="",E30="",F30="",G30=""),"异常：必填项缺失",IF(AND(F30="其他股权激励",O30=""),"异常：其他股权激励所得缺失",IF(AND(F30&lt;&gt;"其他股权激励",OR(I30="",J30="")),"异常：数量或市场价缺失",IF(AND(F30&lt;&gt;"其他股权激励",OR(I30&lt;=0,J30&lt;0)),"异常：数量或价格无效",IF(AND(F30="限制性股票",OR(M30&lt;=0,N30&lt;0,I30&gt;M30)),"异常：个人获授或出资数据无效",IF(AND(IFERROR(INDEX(计划参数!$J$2:$J$501,MATCH(C30,计划参数!$I$2:$I$501,0)),"")&lt;&gt;"",D30&lt;&gt;IFERROR(INDEX(计划参数!$J$2:$J$501,MATCH(C30,计划参数!$I$2:$I$501,0)),"")),"异常：姓名与员工主数据不一致",IF(S30&lt;0,"异常：原始所得为负，已按0计税",IF(OR(AND(F30="股票期权",K30=""),AND(F30="限制性股票",OR(K30="",L30=""))),"异常：计划参数缺失",IF(COUNTIF(计划参数!$I$2:$I$501,C30)=0,"提示：员工编号未在主数据",IF(Q30&lt;&gt;"已备案","提示：未确认备案","正常"))))))))))))</f>
        <v/>
      </c>
      <c r="AE30" s="9"/>
      <c r="AF30" s="4" t="str">
        <f>IF(C30="","",IF(COUNTIF($C$2:C30,C30)=1,MAX($AF$1:AF29)+1,""))</f>
        <v/>
      </c>
      <c r="AG30" s="4" t="str">
        <f>IF(C30="","",COUNTIF($C$2:C30,C30))</f>
        <v/>
      </c>
      <c r="AH30" s="4" t="str">
        <f t="shared" si="10"/>
        <v/>
      </c>
      <c r="AI30" s="4" t="str">
        <f t="shared" si="11"/>
        <v/>
      </c>
      <c r="AJ30" s="4" t="str">
        <f t="shared" si="12"/>
        <v/>
      </c>
      <c r="AK30" s="15" t="str">
        <f>IF(A30="","",SUMIFS(分期缴税台账!$K$2:$K$501,分期缴税台账!$T$2:$T$501,A30,分期缴税台账!$Q$2:$Q$501,"有效"))</f>
        <v/>
      </c>
      <c r="AL30" s="15" t="str">
        <f t="shared" si="13"/>
        <v/>
      </c>
      <c r="AM30" s="4" t="str">
        <f t="shared" si="14"/>
        <v/>
      </c>
    </row>
    <row r="31" spans="1:39" x14ac:dyDescent="0.3">
      <c r="A31" s="9"/>
      <c r="B31" s="4" t="str">
        <f t="shared" si="0"/>
        <v/>
      </c>
      <c r="C31" s="9"/>
      <c r="D31" s="9"/>
      <c r="E31" s="9"/>
      <c r="F31" s="9"/>
      <c r="G31" s="13"/>
      <c r="H31" s="4" t="str">
        <f t="shared" si="1"/>
        <v/>
      </c>
      <c r="I31" s="9"/>
      <c r="J31" s="14"/>
      <c r="K31" s="15" t="str">
        <f>IF(OR(E31="",F31="",G31=""),"",IF(E31&lt;&gt;计划参数!$C$2,"",IF(F31="股票期权",IFERROR(LOOKUP(G31,计划参数!$D$12:$D$15,计划参数!$C$12:$C$15),""),IF(F31="限制性股票",计划参数!$C$10,""))))</f>
        <v/>
      </c>
      <c r="L31" s="15" t="str">
        <f>IF(AND(E31=计划参数!$C$2,F31="限制性股票",G31&gt;=计划参数!$D$9),计划参数!$C$9,"")</f>
        <v/>
      </c>
      <c r="M31" s="9"/>
      <c r="N31" s="14"/>
      <c r="O31" s="14"/>
      <c r="P31" s="13"/>
      <c r="Q31" s="9"/>
      <c r="R31" s="13"/>
      <c r="S31" s="15" t="str">
        <f t="shared" si="2"/>
        <v/>
      </c>
      <c r="T31" s="15" t="str">
        <f t="shared" si="3"/>
        <v/>
      </c>
      <c r="U31" s="15" t="str">
        <f t="shared" si="4"/>
        <v/>
      </c>
      <c r="V31" s="15" t="str">
        <f t="shared" si="5"/>
        <v/>
      </c>
      <c r="W31" s="16" t="str">
        <f>IF(V31="","",VLOOKUP(V31,税率及规则!$A$2:$C$8,2,TRUE))</f>
        <v/>
      </c>
      <c r="X31" s="15" t="str">
        <f>IF(V31="","",VLOOKUP(V31,税率及规则!$A$2:$C$8,3,TRUE))</f>
        <v/>
      </c>
      <c r="Y31" s="15" t="str">
        <f t="shared" si="6"/>
        <v/>
      </c>
      <c r="Z31" s="15" t="str">
        <f>IF(U31="","",MAX(0,U31*VLOOKUP(U31,税率及规则!$A$2:$C$8,2,TRUE)-VLOOKUP(U31,税率及规则!$A$2:$C$8,3,TRUE)))</f>
        <v/>
      </c>
      <c r="AA31" s="15" t="str">
        <f t="shared" si="7"/>
        <v/>
      </c>
      <c r="AB31" s="17" t="str">
        <f t="shared" si="8"/>
        <v/>
      </c>
      <c r="AC31" s="17" t="str">
        <f t="shared" si="9"/>
        <v/>
      </c>
      <c r="AD31" s="4" t="str">
        <f>IF(A31="","",IF(COUNTIF($A$2:$A$501,A31)&gt;1,"异常：事件编号重复",IF(OR(C31="",D31="",E31="",F31="",G31=""),"异常：必填项缺失",IF(AND(F31="其他股权激励",O31=""),"异常：其他股权激励所得缺失",IF(AND(F31&lt;&gt;"其他股权激励",OR(I31="",J31="")),"异常：数量或市场价缺失",IF(AND(F31&lt;&gt;"其他股权激励",OR(I31&lt;=0,J31&lt;0)),"异常：数量或价格无效",IF(AND(F31="限制性股票",OR(M31&lt;=0,N31&lt;0,I31&gt;M31)),"异常：个人获授或出资数据无效",IF(AND(IFERROR(INDEX(计划参数!$J$2:$J$501,MATCH(C31,计划参数!$I$2:$I$501,0)),"")&lt;&gt;"",D31&lt;&gt;IFERROR(INDEX(计划参数!$J$2:$J$501,MATCH(C31,计划参数!$I$2:$I$501,0)),"")),"异常：姓名与员工主数据不一致",IF(S31&lt;0,"异常：原始所得为负，已按0计税",IF(OR(AND(F31="股票期权",K31=""),AND(F31="限制性股票",OR(K31="",L31=""))),"异常：计划参数缺失",IF(COUNTIF(计划参数!$I$2:$I$501,C31)=0,"提示：员工编号未在主数据",IF(Q31&lt;&gt;"已备案","提示：未确认备案","正常"))))))))))))</f>
        <v/>
      </c>
      <c r="AE31" s="9"/>
      <c r="AF31" s="4" t="str">
        <f>IF(C31="","",IF(COUNTIF($C$2:C31,C31)=1,MAX($AF$1:AF30)+1,""))</f>
        <v/>
      </c>
      <c r="AG31" s="4" t="str">
        <f>IF(C31="","",COUNTIF($C$2:C31,C31))</f>
        <v/>
      </c>
      <c r="AH31" s="4" t="str">
        <f t="shared" si="10"/>
        <v/>
      </c>
      <c r="AI31" s="4" t="str">
        <f t="shared" si="11"/>
        <v/>
      </c>
      <c r="AJ31" s="4" t="str">
        <f t="shared" si="12"/>
        <v/>
      </c>
      <c r="AK31" s="15" t="str">
        <f>IF(A31="","",SUMIFS(分期缴税台账!$K$2:$K$501,分期缴税台账!$T$2:$T$501,A31,分期缴税台账!$Q$2:$Q$501,"有效"))</f>
        <v/>
      </c>
      <c r="AL31" s="15" t="str">
        <f t="shared" si="13"/>
        <v/>
      </c>
      <c r="AM31" s="4" t="str">
        <f t="shared" si="14"/>
        <v/>
      </c>
    </row>
    <row r="32" spans="1:39" x14ac:dyDescent="0.3">
      <c r="A32" s="9"/>
      <c r="B32" s="4" t="str">
        <f t="shared" si="0"/>
        <v/>
      </c>
      <c r="C32" s="9"/>
      <c r="D32" s="9"/>
      <c r="E32" s="9"/>
      <c r="F32" s="9"/>
      <c r="G32" s="13"/>
      <c r="H32" s="4" t="str">
        <f t="shared" si="1"/>
        <v/>
      </c>
      <c r="I32" s="9"/>
      <c r="J32" s="14"/>
      <c r="K32" s="15" t="str">
        <f>IF(OR(E32="",F32="",G32=""),"",IF(E32&lt;&gt;计划参数!$C$2,"",IF(F32="股票期权",IFERROR(LOOKUP(G32,计划参数!$D$12:$D$15,计划参数!$C$12:$C$15),""),IF(F32="限制性股票",计划参数!$C$10,""))))</f>
        <v/>
      </c>
      <c r="L32" s="15" t="str">
        <f>IF(AND(E32=计划参数!$C$2,F32="限制性股票",G32&gt;=计划参数!$D$9),计划参数!$C$9,"")</f>
        <v/>
      </c>
      <c r="M32" s="9"/>
      <c r="N32" s="14"/>
      <c r="O32" s="14"/>
      <c r="P32" s="13"/>
      <c r="Q32" s="9"/>
      <c r="R32" s="13"/>
      <c r="S32" s="15" t="str">
        <f t="shared" si="2"/>
        <v/>
      </c>
      <c r="T32" s="15" t="str">
        <f t="shared" si="3"/>
        <v/>
      </c>
      <c r="U32" s="15" t="str">
        <f t="shared" si="4"/>
        <v/>
      </c>
      <c r="V32" s="15" t="str">
        <f t="shared" si="5"/>
        <v/>
      </c>
      <c r="W32" s="16" t="str">
        <f>IF(V32="","",VLOOKUP(V32,税率及规则!$A$2:$C$8,2,TRUE))</f>
        <v/>
      </c>
      <c r="X32" s="15" t="str">
        <f>IF(V32="","",VLOOKUP(V32,税率及规则!$A$2:$C$8,3,TRUE))</f>
        <v/>
      </c>
      <c r="Y32" s="15" t="str">
        <f t="shared" si="6"/>
        <v/>
      </c>
      <c r="Z32" s="15" t="str">
        <f>IF(U32="","",MAX(0,U32*VLOOKUP(U32,税率及规则!$A$2:$C$8,2,TRUE)-VLOOKUP(U32,税率及规则!$A$2:$C$8,3,TRUE)))</f>
        <v/>
      </c>
      <c r="AA32" s="15" t="str">
        <f t="shared" si="7"/>
        <v/>
      </c>
      <c r="AB32" s="17" t="str">
        <f t="shared" si="8"/>
        <v/>
      </c>
      <c r="AC32" s="17" t="str">
        <f t="shared" si="9"/>
        <v/>
      </c>
      <c r="AD32" s="4" t="str">
        <f>IF(A32="","",IF(COUNTIF($A$2:$A$501,A32)&gt;1,"异常：事件编号重复",IF(OR(C32="",D32="",E32="",F32="",G32=""),"异常：必填项缺失",IF(AND(F32="其他股权激励",O32=""),"异常：其他股权激励所得缺失",IF(AND(F32&lt;&gt;"其他股权激励",OR(I32="",J32="")),"异常：数量或市场价缺失",IF(AND(F32&lt;&gt;"其他股权激励",OR(I32&lt;=0,J32&lt;0)),"异常：数量或价格无效",IF(AND(F32="限制性股票",OR(M32&lt;=0,N32&lt;0,I32&gt;M32)),"异常：个人获授或出资数据无效",IF(AND(IFERROR(INDEX(计划参数!$J$2:$J$501,MATCH(C32,计划参数!$I$2:$I$501,0)),"")&lt;&gt;"",D32&lt;&gt;IFERROR(INDEX(计划参数!$J$2:$J$501,MATCH(C32,计划参数!$I$2:$I$501,0)),"")),"异常：姓名与员工主数据不一致",IF(S32&lt;0,"异常：原始所得为负，已按0计税",IF(OR(AND(F32="股票期权",K32=""),AND(F32="限制性股票",OR(K32="",L32=""))),"异常：计划参数缺失",IF(COUNTIF(计划参数!$I$2:$I$501,C32)=0,"提示：员工编号未在主数据",IF(Q32&lt;&gt;"已备案","提示：未确认备案","正常"))))))))))))</f>
        <v/>
      </c>
      <c r="AE32" s="9"/>
      <c r="AF32" s="4" t="str">
        <f>IF(C32="","",IF(COUNTIF($C$2:C32,C32)=1,MAX($AF$1:AF31)+1,""))</f>
        <v/>
      </c>
      <c r="AG32" s="4" t="str">
        <f>IF(C32="","",COUNTIF($C$2:C32,C32))</f>
        <v/>
      </c>
      <c r="AH32" s="4" t="str">
        <f t="shared" si="10"/>
        <v/>
      </c>
      <c r="AI32" s="4" t="str">
        <f t="shared" si="11"/>
        <v/>
      </c>
      <c r="AJ32" s="4" t="str">
        <f t="shared" si="12"/>
        <v/>
      </c>
      <c r="AK32" s="15" t="str">
        <f>IF(A32="","",SUMIFS(分期缴税台账!$K$2:$K$501,分期缴税台账!$T$2:$T$501,A32,分期缴税台账!$Q$2:$Q$501,"有效"))</f>
        <v/>
      </c>
      <c r="AL32" s="15" t="str">
        <f t="shared" si="13"/>
        <v/>
      </c>
      <c r="AM32" s="4" t="str">
        <f t="shared" si="14"/>
        <v/>
      </c>
    </row>
    <row r="33" spans="1:39" x14ac:dyDescent="0.3">
      <c r="A33" s="9"/>
      <c r="B33" s="4" t="str">
        <f t="shared" si="0"/>
        <v/>
      </c>
      <c r="C33" s="9"/>
      <c r="D33" s="9"/>
      <c r="E33" s="9"/>
      <c r="F33" s="9"/>
      <c r="G33" s="13"/>
      <c r="H33" s="4" t="str">
        <f t="shared" si="1"/>
        <v/>
      </c>
      <c r="I33" s="9"/>
      <c r="J33" s="14"/>
      <c r="K33" s="15" t="str">
        <f>IF(OR(E33="",F33="",G33=""),"",IF(E33&lt;&gt;计划参数!$C$2,"",IF(F33="股票期权",IFERROR(LOOKUP(G33,计划参数!$D$12:$D$15,计划参数!$C$12:$C$15),""),IF(F33="限制性股票",计划参数!$C$10,""))))</f>
        <v/>
      </c>
      <c r="L33" s="15" t="str">
        <f>IF(AND(E33=计划参数!$C$2,F33="限制性股票",G33&gt;=计划参数!$D$9),计划参数!$C$9,"")</f>
        <v/>
      </c>
      <c r="M33" s="9"/>
      <c r="N33" s="14"/>
      <c r="O33" s="14"/>
      <c r="P33" s="13"/>
      <c r="Q33" s="9"/>
      <c r="R33" s="13"/>
      <c r="S33" s="15" t="str">
        <f t="shared" si="2"/>
        <v/>
      </c>
      <c r="T33" s="15" t="str">
        <f t="shared" si="3"/>
        <v/>
      </c>
      <c r="U33" s="15" t="str">
        <f t="shared" si="4"/>
        <v/>
      </c>
      <c r="V33" s="15" t="str">
        <f t="shared" si="5"/>
        <v/>
      </c>
      <c r="W33" s="16" t="str">
        <f>IF(V33="","",VLOOKUP(V33,税率及规则!$A$2:$C$8,2,TRUE))</f>
        <v/>
      </c>
      <c r="X33" s="15" t="str">
        <f>IF(V33="","",VLOOKUP(V33,税率及规则!$A$2:$C$8,3,TRUE))</f>
        <v/>
      </c>
      <c r="Y33" s="15" t="str">
        <f t="shared" si="6"/>
        <v/>
      </c>
      <c r="Z33" s="15" t="str">
        <f>IF(U33="","",MAX(0,U33*VLOOKUP(U33,税率及规则!$A$2:$C$8,2,TRUE)-VLOOKUP(U33,税率及规则!$A$2:$C$8,3,TRUE)))</f>
        <v/>
      </c>
      <c r="AA33" s="15" t="str">
        <f t="shared" si="7"/>
        <v/>
      </c>
      <c r="AB33" s="17" t="str">
        <f t="shared" si="8"/>
        <v/>
      </c>
      <c r="AC33" s="17" t="str">
        <f t="shared" si="9"/>
        <v/>
      </c>
      <c r="AD33" s="4" t="str">
        <f>IF(A33="","",IF(COUNTIF($A$2:$A$501,A33)&gt;1,"异常：事件编号重复",IF(OR(C33="",D33="",E33="",F33="",G33=""),"异常：必填项缺失",IF(AND(F33="其他股权激励",O33=""),"异常：其他股权激励所得缺失",IF(AND(F33&lt;&gt;"其他股权激励",OR(I33="",J33="")),"异常：数量或市场价缺失",IF(AND(F33&lt;&gt;"其他股权激励",OR(I33&lt;=0,J33&lt;0)),"异常：数量或价格无效",IF(AND(F33="限制性股票",OR(M33&lt;=0,N33&lt;0,I33&gt;M33)),"异常：个人获授或出资数据无效",IF(AND(IFERROR(INDEX(计划参数!$J$2:$J$501,MATCH(C33,计划参数!$I$2:$I$501,0)),"")&lt;&gt;"",D33&lt;&gt;IFERROR(INDEX(计划参数!$J$2:$J$501,MATCH(C33,计划参数!$I$2:$I$501,0)),"")),"异常：姓名与员工主数据不一致",IF(S33&lt;0,"异常：原始所得为负，已按0计税",IF(OR(AND(F33="股票期权",K33=""),AND(F33="限制性股票",OR(K33="",L33=""))),"异常：计划参数缺失",IF(COUNTIF(计划参数!$I$2:$I$501,C33)=0,"提示：员工编号未在主数据",IF(Q33&lt;&gt;"已备案","提示：未确认备案","正常"))))))))))))</f>
        <v/>
      </c>
      <c r="AE33" s="9"/>
      <c r="AF33" s="4" t="str">
        <f>IF(C33="","",IF(COUNTIF($C$2:C33,C33)=1,MAX($AF$1:AF32)+1,""))</f>
        <v/>
      </c>
      <c r="AG33" s="4" t="str">
        <f>IF(C33="","",COUNTIF($C$2:C33,C33))</f>
        <v/>
      </c>
      <c r="AH33" s="4" t="str">
        <f t="shared" si="10"/>
        <v/>
      </c>
      <c r="AI33" s="4" t="str">
        <f t="shared" si="11"/>
        <v/>
      </c>
      <c r="AJ33" s="4" t="str">
        <f t="shared" si="12"/>
        <v/>
      </c>
      <c r="AK33" s="15" t="str">
        <f>IF(A33="","",SUMIFS(分期缴税台账!$K$2:$K$501,分期缴税台账!$T$2:$T$501,A33,分期缴税台账!$Q$2:$Q$501,"有效"))</f>
        <v/>
      </c>
      <c r="AL33" s="15" t="str">
        <f t="shared" si="13"/>
        <v/>
      </c>
      <c r="AM33" s="4" t="str">
        <f t="shared" si="14"/>
        <v/>
      </c>
    </row>
    <row r="34" spans="1:39" x14ac:dyDescent="0.3">
      <c r="A34" s="9"/>
      <c r="B34" s="4" t="str">
        <f t="shared" si="0"/>
        <v/>
      </c>
      <c r="C34" s="9"/>
      <c r="D34" s="9"/>
      <c r="E34" s="9"/>
      <c r="F34" s="9"/>
      <c r="G34" s="13"/>
      <c r="H34" s="4" t="str">
        <f t="shared" si="1"/>
        <v/>
      </c>
      <c r="I34" s="9"/>
      <c r="J34" s="14"/>
      <c r="K34" s="15" t="str">
        <f>IF(OR(E34="",F34="",G34=""),"",IF(E34&lt;&gt;计划参数!$C$2,"",IF(F34="股票期权",IFERROR(LOOKUP(G34,计划参数!$D$12:$D$15,计划参数!$C$12:$C$15),""),IF(F34="限制性股票",计划参数!$C$10,""))))</f>
        <v/>
      </c>
      <c r="L34" s="15" t="str">
        <f>IF(AND(E34=计划参数!$C$2,F34="限制性股票",G34&gt;=计划参数!$D$9),计划参数!$C$9,"")</f>
        <v/>
      </c>
      <c r="M34" s="9"/>
      <c r="N34" s="14"/>
      <c r="O34" s="14"/>
      <c r="P34" s="13"/>
      <c r="Q34" s="9"/>
      <c r="R34" s="13"/>
      <c r="S34" s="15" t="str">
        <f t="shared" si="2"/>
        <v/>
      </c>
      <c r="T34" s="15" t="str">
        <f t="shared" si="3"/>
        <v/>
      </c>
      <c r="U34" s="15" t="str">
        <f t="shared" si="4"/>
        <v/>
      </c>
      <c r="V34" s="15" t="str">
        <f t="shared" si="5"/>
        <v/>
      </c>
      <c r="W34" s="16" t="str">
        <f>IF(V34="","",VLOOKUP(V34,税率及规则!$A$2:$C$8,2,TRUE))</f>
        <v/>
      </c>
      <c r="X34" s="15" t="str">
        <f>IF(V34="","",VLOOKUP(V34,税率及规则!$A$2:$C$8,3,TRUE))</f>
        <v/>
      </c>
      <c r="Y34" s="15" t="str">
        <f t="shared" si="6"/>
        <v/>
      </c>
      <c r="Z34" s="15" t="str">
        <f>IF(U34="","",MAX(0,U34*VLOOKUP(U34,税率及规则!$A$2:$C$8,2,TRUE)-VLOOKUP(U34,税率及规则!$A$2:$C$8,3,TRUE)))</f>
        <v/>
      </c>
      <c r="AA34" s="15" t="str">
        <f t="shared" si="7"/>
        <v/>
      </c>
      <c r="AB34" s="17" t="str">
        <f t="shared" si="8"/>
        <v/>
      </c>
      <c r="AC34" s="17" t="str">
        <f t="shared" si="9"/>
        <v/>
      </c>
      <c r="AD34" s="4" t="str">
        <f>IF(A34="","",IF(COUNTIF($A$2:$A$501,A34)&gt;1,"异常：事件编号重复",IF(OR(C34="",D34="",E34="",F34="",G34=""),"异常：必填项缺失",IF(AND(F34="其他股权激励",O34=""),"异常：其他股权激励所得缺失",IF(AND(F34&lt;&gt;"其他股权激励",OR(I34="",J34="")),"异常：数量或市场价缺失",IF(AND(F34&lt;&gt;"其他股权激励",OR(I34&lt;=0,J34&lt;0)),"异常：数量或价格无效",IF(AND(F34="限制性股票",OR(M34&lt;=0,N34&lt;0,I34&gt;M34)),"异常：个人获授或出资数据无效",IF(AND(IFERROR(INDEX(计划参数!$J$2:$J$501,MATCH(C34,计划参数!$I$2:$I$501,0)),"")&lt;&gt;"",D34&lt;&gt;IFERROR(INDEX(计划参数!$J$2:$J$501,MATCH(C34,计划参数!$I$2:$I$501,0)),"")),"异常：姓名与员工主数据不一致",IF(S34&lt;0,"异常：原始所得为负，已按0计税",IF(OR(AND(F34="股票期权",K34=""),AND(F34="限制性股票",OR(K34="",L34=""))),"异常：计划参数缺失",IF(COUNTIF(计划参数!$I$2:$I$501,C34)=0,"提示：员工编号未在主数据",IF(Q34&lt;&gt;"已备案","提示：未确认备案","正常"))))))))))))</f>
        <v/>
      </c>
      <c r="AE34" s="9"/>
      <c r="AF34" s="4" t="str">
        <f>IF(C34="","",IF(COUNTIF($C$2:C34,C34)=1,MAX($AF$1:AF33)+1,""))</f>
        <v/>
      </c>
      <c r="AG34" s="4" t="str">
        <f>IF(C34="","",COUNTIF($C$2:C34,C34))</f>
        <v/>
      </c>
      <c r="AH34" s="4" t="str">
        <f t="shared" si="10"/>
        <v/>
      </c>
      <c r="AI34" s="4" t="str">
        <f t="shared" si="11"/>
        <v/>
      </c>
      <c r="AJ34" s="4" t="str">
        <f t="shared" si="12"/>
        <v/>
      </c>
      <c r="AK34" s="15" t="str">
        <f>IF(A34="","",SUMIFS(分期缴税台账!$K$2:$K$501,分期缴税台账!$T$2:$T$501,A34,分期缴税台账!$Q$2:$Q$501,"有效"))</f>
        <v/>
      </c>
      <c r="AL34" s="15" t="str">
        <f t="shared" si="13"/>
        <v/>
      </c>
      <c r="AM34" s="4" t="str">
        <f t="shared" si="14"/>
        <v/>
      </c>
    </row>
    <row r="35" spans="1:39" x14ac:dyDescent="0.3">
      <c r="A35" s="9"/>
      <c r="B35" s="4" t="str">
        <f t="shared" si="0"/>
        <v/>
      </c>
      <c r="C35" s="9"/>
      <c r="D35" s="9"/>
      <c r="E35" s="9"/>
      <c r="F35" s="9"/>
      <c r="G35" s="13"/>
      <c r="H35" s="4" t="str">
        <f t="shared" si="1"/>
        <v/>
      </c>
      <c r="I35" s="9"/>
      <c r="J35" s="14"/>
      <c r="K35" s="15" t="str">
        <f>IF(OR(E35="",F35="",G35=""),"",IF(E35&lt;&gt;计划参数!$C$2,"",IF(F35="股票期权",IFERROR(LOOKUP(G35,计划参数!$D$12:$D$15,计划参数!$C$12:$C$15),""),IF(F35="限制性股票",计划参数!$C$10,""))))</f>
        <v/>
      </c>
      <c r="L35" s="15" t="str">
        <f>IF(AND(E35=计划参数!$C$2,F35="限制性股票",G35&gt;=计划参数!$D$9),计划参数!$C$9,"")</f>
        <v/>
      </c>
      <c r="M35" s="9"/>
      <c r="N35" s="14"/>
      <c r="O35" s="14"/>
      <c r="P35" s="13"/>
      <c r="Q35" s="9"/>
      <c r="R35" s="13"/>
      <c r="S35" s="15" t="str">
        <f t="shared" si="2"/>
        <v/>
      </c>
      <c r="T35" s="15" t="str">
        <f t="shared" si="3"/>
        <v/>
      </c>
      <c r="U35" s="15" t="str">
        <f t="shared" si="4"/>
        <v/>
      </c>
      <c r="V35" s="15" t="str">
        <f t="shared" si="5"/>
        <v/>
      </c>
      <c r="W35" s="16" t="str">
        <f>IF(V35="","",VLOOKUP(V35,税率及规则!$A$2:$C$8,2,TRUE))</f>
        <v/>
      </c>
      <c r="X35" s="15" t="str">
        <f>IF(V35="","",VLOOKUP(V35,税率及规则!$A$2:$C$8,3,TRUE))</f>
        <v/>
      </c>
      <c r="Y35" s="15" t="str">
        <f t="shared" si="6"/>
        <v/>
      </c>
      <c r="Z35" s="15" t="str">
        <f>IF(U35="","",MAX(0,U35*VLOOKUP(U35,税率及规则!$A$2:$C$8,2,TRUE)-VLOOKUP(U35,税率及规则!$A$2:$C$8,3,TRUE)))</f>
        <v/>
      </c>
      <c r="AA35" s="15" t="str">
        <f t="shared" si="7"/>
        <v/>
      </c>
      <c r="AB35" s="17" t="str">
        <f t="shared" si="8"/>
        <v/>
      </c>
      <c r="AC35" s="17" t="str">
        <f t="shared" si="9"/>
        <v/>
      </c>
      <c r="AD35" s="4" t="str">
        <f>IF(A35="","",IF(COUNTIF($A$2:$A$501,A35)&gt;1,"异常：事件编号重复",IF(OR(C35="",D35="",E35="",F35="",G35=""),"异常：必填项缺失",IF(AND(F35="其他股权激励",O35=""),"异常：其他股权激励所得缺失",IF(AND(F35&lt;&gt;"其他股权激励",OR(I35="",J35="")),"异常：数量或市场价缺失",IF(AND(F35&lt;&gt;"其他股权激励",OR(I35&lt;=0,J35&lt;0)),"异常：数量或价格无效",IF(AND(F35="限制性股票",OR(M35&lt;=0,N35&lt;0,I35&gt;M35)),"异常：个人获授或出资数据无效",IF(AND(IFERROR(INDEX(计划参数!$J$2:$J$501,MATCH(C35,计划参数!$I$2:$I$501,0)),"")&lt;&gt;"",D35&lt;&gt;IFERROR(INDEX(计划参数!$J$2:$J$501,MATCH(C35,计划参数!$I$2:$I$501,0)),"")),"异常：姓名与员工主数据不一致",IF(S35&lt;0,"异常：原始所得为负，已按0计税",IF(OR(AND(F35="股票期权",K35=""),AND(F35="限制性股票",OR(K35="",L35=""))),"异常：计划参数缺失",IF(COUNTIF(计划参数!$I$2:$I$501,C35)=0,"提示：员工编号未在主数据",IF(Q35&lt;&gt;"已备案","提示：未确认备案","正常"))))))))))))</f>
        <v/>
      </c>
      <c r="AE35" s="9"/>
      <c r="AF35" s="4" t="str">
        <f>IF(C35="","",IF(COUNTIF($C$2:C35,C35)=1,MAX($AF$1:AF34)+1,""))</f>
        <v/>
      </c>
      <c r="AG35" s="4" t="str">
        <f>IF(C35="","",COUNTIF($C$2:C35,C35))</f>
        <v/>
      </c>
      <c r="AH35" s="4" t="str">
        <f t="shared" si="10"/>
        <v/>
      </c>
      <c r="AI35" s="4" t="str">
        <f t="shared" si="11"/>
        <v/>
      </c>
      <c r="AJ35" s="4" t="str">
        <f t="shared" si="12"/>
        <v/>
      </c>
      <c r="AK35" s="15" t="str">
        <f>IF(A35="","",SUMIFS(分期缴税台账!$K$2:$K$501,分期缴税台账!$T$2:$T$501,A35,分期缴税台账!$Q$2:$Q$501,"有效"))</f>
        <v/>
      </c>
      <c r="AL35" s="15" t="str">
        <f t="shared" si="13"/>
        <v/>
      </c>
      <c r="AM35" s="4" t="str">
        <f t="shared" si="14"/>
        <v/>
      </c>
    </row>
    <row r="36" spans="1:39" x14ac:dyDescent="0.3">
      <c r="A36" s="9"/>
      <c r="B36" s="4" t="str">
        <f t="shared" si="0"/>
        <v/>
      </c>
      <c r="C36" s="9"/>
      <c r="D36" s="9"/>
      <c r="E36" s="9"/>
      <c r="F36" s="9"/>
      <c r="G36" s="13"/>
      <c r="H36" s="4" t="str">
        <f t="shared" si="1"/>
        <v/>
      </c>
      <c r="I36" s="9"/>
      <c r="J36" s="14"/>
      <c r="K36" s="15" t="str">
        <f>IF(OR(E36="",F36="",G36=""),"",IF(E36&lt;&gt;计划参数!$C$2,"",IF(F36="股票期权",IFERROR(LOOKUP(G36,计划参数!$D$12:$D$15,计划参数!$C$12:$C$15),""),IF(F36="限制性股票",计划参数!$C$10,""))))</f>
        <v/>
      </c>
      <c r="L36" s="15" t="str">
        <f>IF(AND(E36=计划参数!$C$2,F36="限制性股票",G36&gt;=计划参数!$D$9),计划参数!$C$9,"")</f>
        <v/>
      </c>
      <c r="M36" s="9"/>
      <c r="N36" s="14"/>
      <c r="O36" s="14"/>
      <c r="P36" s="13"/>
      <c r="Q36" s="9"/>
      <c r="R36" s="13"/>
      <c r="S36" s="15" t="str">
        <f t="shared" si="2"/>
        <v/>
      </c>
      <c r="T36" s="15" t="str">
        <f t="shared" si="3"/>
        <v/>
      </c>
      <c r="U36" s="15" t="str">
        <f t="shared" si="4"/>
        <v/>
      </c>
      <c r="V36" s="15" t="str">
        <f t="shared" si="5"/>
        <v/>
      </c>
      <c r="W36" s="16" t="str">
        <f>IF(V36="","",VLOOKUP(V36,税率及规则!$A$2:$C$8,2,TRUE))</f>
        <v/>
      </c>
      <c r="X36" s="15" t="str">
        <f>IF(V36="","",VLOOKUP(V36,税率及规则!$A$2:$C$8,3,TRUE))</f>
        <v/>
      </c>
      <c r="Y36" s="15" t="str">
        <f t="shared" si="6"/>
        <v/>
      </c>
      <c r="Z36" s="15" t="str">
        <f>IF(U36="","",MAX(0,U36*VLOOKUP(U36,税率及规则!$A$2:$C$8,2,TRUE)-VLOOKUP(U36,税率及规则!$A$2:$C$8,3,TRUE)))</f>
        <v/>
      </c>
      <c r="AA36" s="15" t="str">
        <f t="shared" si="7"/>
        <v/>
      </c>
      <c r="AB36" s="17" t="str">
        <f t="shared" si="8"/>
        <v/>
      </c>
      <c r="AC36" s="17" t="str">
        <f t="shared" si="9"/>
        <v/>
      </c>
      <c r="AD36" s="4" t="str">
        <f>IF(A36="","",IF(COUNTIF($A$2:$A$501,A36)&gt;1,"异常：事件编号重复",IF(OR(C36="",D36="",E36="",F36="",G36=""),"异常：必填项缺失",IF(AND(F36="其他股权激励",O36=""),"异常：其他股权激励所得缺失",IF(AND(F36&lt;&gt;"其他股权激励",OR(I36="",J36="")),"异常：数量或市场价缺失",IF(AND(F36&lt;&gt;"其他股权激励",OR(I36&lt;=0,J36&lt;0)),"异常：数量或价格无效",IF(AND(F36="限制性股票",OR(M36&lt;=0,N36&lt;0,I36&gt;M36)),"异常：个人获授或出资数据无效",IF(AND(IFERROR(INDEX(计划参数!$J$2:$J$501,MATCH(C36,计划参数!$I$2:$I$501,0)),"")&lt;&gt;"",D36&lt;&gt;IFERROR(INDEX(计划参数!$J$2:$J$501,MATCH(C36,计划参数!$I$2:$I$501,0)),"")),"异常：姓名与员工主数据不一致",IF(S36&lt;0,"异常：原始所得为负，已按0计税",IF(OR(AND(F36="股票期权",K36=""),AND(F36="限制性股票",OR(K36="",L36=""))),"异常：计划参数缺失",IF(COUNTIF(计划参数!$I$2:$I$501,C36)=0,"提示：员工编号未在主数据",IF(Q36&lt;&gt;"已备案","提示：未确认备案","正常"))))))))))))</f>
        <v/>
      </c>
      <c r="AE36" s="9"/>
      <c r="AF36" s="4" t="str">
        <f>IF(C36="","",IF(COUNTIF($C$2:C36,C36)=1,MAX($AF$1:AF35)+1,""))</f>
        <v/>
      </c>
      <c r="AG36" s="4" t="str">
        <f>IF(C36="","",COUNTIF($C$2:C36,C36))</f>
        <v/>
      </c>
      <c r="AH36" s="4" t="str">
        <f t="shared" si="10"/>
        <v/>
      </c>
      <c r="AI36" s="4" t="str">
        <f t="shared" si="11"/>
        <v/>
      </c>
      <c r="AJ36" s="4" t="str">
        <f t="shared" si="12"/>
        <v/>
      </c>
      <c r="AK36" s="15" t="str">
        <f>IF(A36="","",SUMIFS(分期缴税台账!$K$2:$K$501,分期缴税台账!$T$2:$T$501,A36,分期缴税台账!$Q$2:$Q$501,"有效"))</f>
        <v/>
      </c>
      <c r="AL36" s="15" t="str">
        <f t="shared" si="13"/>
        <v/>
      </c>
      <c r="AM36" s="4" t="str">
        <f t="shared" si="14"/>
        <v/>
      </c>
    </row>
    <row r="37" spans="1:39" x14ac:dyDescent="0.3">
      <c r="A37" s="9"/>
      <c r="B37" s="4" t="str">
        <f t="shared" si="0"/>
        <v/>
      </c>
      <c r="C37" s="9"/>
      <c r="D37" s="9"/>
      <c r="E37" s="9"/>
      <c r="F37" s="9"/>
      <c r="G37" s="13"/>
      <c r="H37" s="4" t="str">
        <f t="shared" si="1"/>
        <v/>
      </c>
      <c r="I37" s="9"/>
      <c r="J37" s="14"/>
      <c r="K37" s="15" t="str">
        <f>IF(OR(E37="",F37="",G37=""),"",IF(E37&lt;&gt;计划参数!$C$2,"",IF(F37="股票期权",IFERROR(LOOKUP(G37,计划参数!$D$12:$D$15,计划参数!$C$12:$C$15),""),IF(F37="限制性股票",计划参数!$C$10,""))))</f>
        <v/>
      </c>
      <c r="L37" s="15" t="str">
        <f>IF(AND(E37=计划参数!$C$2,F37="限制性股票",G37&gt;=计划参数!$D$9),计划参数!$C$9,"")</f>
        <v/>
      </c>
      <c r="M37" s="9"/>
      <c r="N37" s="14"/>
      <c r="O37" s="14"/>
      <c r="P37" s="13"/>
      <c r="Q37" s="9"/>
      <c r="R37" s="13"/>
      <c r="S37" s="15" t="str">
        <f t="shared" si="2"/>
        <v/>
      </c>
      <c r="T37" s="15" t="str">
        <f t="shared" si="3"/>
        <v/>
      </c>
      <c r="U37" s="15" t="str">
        <f t="shared" si="4"/>
        <v/>
      </c>
      <c r="V37" s="15" t="str">
        <f t="shared" si="5"/>
        <v/>
      </c>
      <c r="W37" s="16" t="str">
        <f>IF(V37="","",VLOOKUP(V37,税率及规则!$A$2:$C$8,2,TRUE))</f>
        <v/>
      </c>
      <c r="X37" s="15" t="str">
        <f>IF(V37="","",VLOOKUP(V37,税率及规则!$A$2:$C$8,3,TRUE))</f>
        <v/>
      </c>
      <c r="Y37" s="15" t="str">
        <f t="shared" si="6"/>
        <v/>
      </c>
      <c r="Z37" s="15" t="str">
        <f>IF(U37="","",MAX(0,U37*VLOOKUP(U37,税率及规则!$A$2:$C$8,2,TRUE)-VLOOKUP(U37,税率及规则!$A$2:$C$8,3,TRUE)))</f>
        <v/>
      </c>
      <c r="AA37" s="15" t="str">
        <f t="shared" si="7"/>
        <v/>
      </c>
      <c r="AB37" s="17" t="str">
        <f t="shared" si="8"/>
        <v/>
      </c>
      <c r="AC37" s="17" t="str">
        <f t="shared" si="9"/>
        <v/>
      </c>
      <c r="AD37" s="4" t="str">
        <f>IF(A37="","",IF(COUNTIF($A$2:$A$501,A37)&gt;1,"异常：事件编号重复",IF(OR(C37="",D37="",E37="",F37="",G37=""),"异常：必填项缺失",IF(AND(F37="其他股权激励",O37=""),"异常：其他股权激励所得缺失",IF(AND(F37&lt;&gt;"其他股权激励",OR(I37="",J37="")),"异常：数量或市场价缺失",IF(AND(F37&lt;&gt;"其他股权激励",OR(I37&lt;=0,J37&lt;0)),"异常：数量或价格无效",IF(AND(F37="限制性股票",OR(M37&lt;=0,N37&lt;0,I37&gt;M37)),"异常：个人获授或出资数据无效",IF(AND(IFERROR(INDEX(计划参数!$J$2:$J$501,MATCH(C37,计划参数!$I$2:$I$501,0)),"")&lt;&gt;"",D37&lt;&gt;IFERROR(INDEX(计划参数!$J$2:$J$501,MATCH(C37,计划参数!$I$2:$I$501,0)),"")),"异常：姓名与员工主数据不一致",IF(S37&lt;0,"异常：原始所得为负，已按0计税",IF(OR(AND(F37="股票期权",K37=""),AND(F37="限制性股票",OR(K37="",L37=""))),"异常：计划参数缺失",IF(COUNTIF(计划参数!$I$2:$I$501,C37)=0,"提示：员工编号未在主数据",IF(Q37&lt;&gt;"已备案","提示：未确认备案","正常"))))))))))))</f>
        <v/>
      </c>
      <c r="AE37" s="9"/>
      <c r="AF37" s="4" t="str">
        <f>IF(C37="","",IF(COUNTIF($C$2:C37,C37)=1,MAX($AF$1:AF36)+1,""))</f>
        <v/>
      </c>
      <c r="AG37" s="4" t="str">
        <f>IF(C37="","",COUNTIF($C$2:C37,C37))</f>
        <v/>
      </c>
      <c r="AH37" s="4" t="str">
        <f t="shared" si="10"/>
        <v/>
      </c>
      <c r="AI37" s="4" t="str">
        <f t="shared" si="11"/>
        <v/>
      </c>
      <c r="AJ37" s="4" t="str">
        <f t="shared" si="12"/>
        <v/>
      </c>
      <c r="AK37" s="15" t="str">
        <f>IF(A37="","",SUMIFS(分期缴税台账!$K$2:$K$501,分期缴税台账!$T$2:$T$501,A37,分期缴税台账!$Q$2:$Q$501,"有效"))</f>
        <v/>
      </c>
      <c r="AL37" s="15" t="str">
        <f t="shared" si="13"/>
        <v/>
      </c>
      <c r="AM37" s="4" t="str">
        <f t="shared" si="14"/>
        <v/>
      </c>
    </row>
    <row r="38" spans="1:39" x14ac:dyDescent="0.3">
      <c r="A38" s="9"/>
      <c r="B38" s="4" t="str">
        <f t="shared" si="0"/>
        <v/>
      </c>
      <c r="C38" s="9"/>
      <c r="D38" s="9"/>
      <c r="E38" s="9"/>
      <c r="F38" s="9"/>
      <c r="G38" s="13"/>
      <c r="H38" s="4" t="str">
        <f t="shared" si="1"/>
        <v/>
      </c>
      <c r="I38" s="9"/>
      <c r="J38" s="14"/>
      <c r="K38" s="15" t="str">
        <f>IF(OR(E38="",F38="",G38=""),"",IF(E38&lt;&gt;计划参数!$C$2,"",IF(F38="股票期权",IFERROR(LOOKUP(G38,计划参数!$D$12:$D$15,计划参数!$C$12:$C$15),""),IF(F38="限制性股票",计划参数!$C$10,""))))</f>
        <v/>
      </c>
      <c r="L38" s="15" t="str">
        <f>IF(AND(E38=计划参数!$C$2,F38="限制性股票",G38&gt;=计划参数!$D$9),计划参数!$C$9,"")</f>
        <v/>
      </c>
      <c r="M38" s="9"/>
      <c r="N38" s="14"/>
      <c r="O38" s="14"/>
      <c r="P38" s="13"/>
      <c r="Q38" s="9"/>
      <c r="R38" s="13"/>
      <c r="S38" s="15" t="str">
        <f t="shared" si="2"/>
        <v/>
      </c>
      <c r="T38" s="15" t="str">
        <f t="shared" si="3"/>
        <v/>
      </c>
      <c r="U38" s="15" t="str">
        <f t="shared" si="4"/>
        <v/>
      </c>
      <c r="V38" s="15" t="str">
        <f t="shared" si="5"/>
        <v/>
      </c>
      <c r="W38" s="16" t="str">
        <f>IF(V38="","",VLOOKUP(V38,税率及规则!$A$2:$C$8,2,TRUE))</f>
        <v/>
      </c>
      <c r="X38" s="15" t="str">
        <f>IF(V38="","",VLOOKUP(V38,税率及规则!$A$2:$C$8,3,TRUE))</f>
        <v/>
      </c>
      <c r="Y38" s="15" t="str">
        <f t="shared" si="6"/>
        <v/>
      </c>
      <c r="Z38" s="15" t="str">
        <f>IF(U38="","",MAX(0,U38*VLOOKUP(U38,税率及规则!$A$2:$C$8,2,TRUE)-VLOOKUP(U38,税率及规则!$A$2:$C$8,3,TRUE)))</f>
        <v/>
      </c>
      <c r="AA38" s="15" t="str">
        <f t="shared" si="7"/>
        <v/>
      </c>
      <c r="AB38" s="17" t="str">
        <f t="shared" si="8"/>
        <v/>
      </c>
      <c r="AC38" s="17" t="str">
        <f t="shared" si="9"/>
        <v/>
      </c>
      <c r="AD38" s="4" t="str">
        <f>IF(A38="","",IF(COUNTIF($A$2:$A$501,A38)&gt;1,"异常：事件编号重复",IF(OR(C38="",D38="",E38="",F38="",G38=""),"异常：必填项缺失",IF(AND(F38="其他股权激励",O38=""),"异常：其他股权激励所得缺失",IF(AND(F38&lt;&gt;"其他股权激励",OR(I38="",J38="")),"异常：数量或市场价缺失",IF(AND(F38&lt;&gt;"其他股权激励",OR(I38&lt;=0,J38&lt;0)),"异常：数量或价格无效",IF(AND(F38="限制性股票",OR(M38&lt;=0,N38&lt;0,I38&gt;M38)),"异常：个人获授或出资数据无效",IF(AND(IFERROR(INDEX(计划参数!$J$2:$J$501,MATCH(C38,计划参数!$I$2:$I$501,0)),"")&lt;&gt;"",D38&lt;&gt;IFERROR(INDEX(计划参数!$J$2:$J$501,MATCH(C38,计划参数!$I$2:$I$501,0)),"")),"异常：姓名与员工主数据不一致",IF(S38&lt;0,"异常：原始所得为负，已按0计税",IF(OR(AND(F38="股票期权",K38=""),AND(F38="限制性股票",OR(K38="",L38=""))),"异常：计划参数缺失",IF(COUNTIF(计划参数!$I$2:$I$501,C38)=0,"提示：员工编号未在主数据",IF(Q38&lt;&gt;"已备案","提示：未确认备案","正常"))))))))))))</f>
        <v/>
      </c>
      <c r="AE38" s="9"/>
      <c r="AF38" s="4" t="str">
        <f>IF(C38="","",IF(COUNTIF($C$2:C38,C38)=1,MAX($AF$1:AF37)+1,""))</f>
        <v/>
      </c>
      <c r="AG38" s="4" t="str">
        <f>IF(C38="","",COUNTIF($C$2:C38,C38))</f>
        <v/>
      </c>
      <c r="AH38" s="4" t="str">
        <f t="shared" si="10"/>
        <v/>
      </c>
      <c r="AI38" s="4" t="str">
        <f t="shared" si="11"/>
        <v/>
      </c>
      <c r="AJ38" s="4" t="str">
        <f t="shared" si="12"/>
        <v/>
      </c>
      <c r="AK38" s="15" t="str">
        <f>IF(A38="","",SUMIFS(分期缴税台账!$K$2:$K$501,分期缴税台账!$T$2:$T$501,A38,分期缴税台账!$Q$2:$Q$501,"有效"))</f>
        <v/>
      </c>
      <c r="AL38" s="15" t="str">
        <f t="shared" si="13"/>
        <v/>
      </c>
      <c r="AM38" s="4" t="str">
        <f t="shared" si="14"/>
        <v/>
      </c>
    </row>
    <row r="39" spans="1:39" x14ac:dyDescent="0.3">
      <c r="A39" s="9"/>
      <c r="B39" s="4" t="str">
        <f t="shared" si="0"/>
        <v/>
      </c>
      <c r="C39" s="9"/>
      <c r="D39" s="9"/>
      <c r="E39" s="9"/>
      <c r="F39" s="9"/>
      <c r="G39" s="13"/>
      <c r="H39" s="4" t="str">
        <f t="shared" si="1"/>
        <v/>
      </c>
      <c r="I39" s="9"/>
      <c r="J39" s="14"/>
      <c r="K39" s="15" t="str">
        <f>IF(OR(E39="",F39="",G39=""),"",IF(E39&lt;&gt;计划参数!$C$2,"",IF(F39="股票期权",IFERROR(LOOKUP(G39,计划参数!$D$12:$D$15,计划参数!$C$12:$C$15),""),IF(F39="限制性股票",计划参数!$C$10,""))))</f>
        <v/>
      </c>
      <c r="L39" s="15" t="str">
        <f>IF(AND(E39=计划参数!$C$2,F39="限制性股票",G39&gt;=计划参数!$D$9),计划参数!$C$9,"")</f>
        <v/>
      </c>
      <c r="M39" s="9"/>
      <c r="N39" s="14"/>
      <c r="O39" s="14"/>
      <c r="P39" s="13"/>
      <c r="Q39" s="9"/>
      <c r="R39" s="13"/>
      <c r="S39" s="15" t="str">
        <f t="shared" si="2"/>
        <v/>
      </c>
      <c r="T39" s="15" t="str">
        <f t="shared" si="3"/>
        <v/>
      </c>
      <c r="U39" s="15" t="str">
        <f t="shared" si="4"/>
        <v/>
      </c>
      <c r="V39" s="15" t="str">
        <f t="shared" si="5"/>
        <v/>
      </c>
      <c r="W39" s="16" t="str">
        <f>IF(V39="","",VLOOKUP(V39,税率及规则!$A$2:$C$8,2,TRUE))</f>
        <v/>
      </c>
      <c r="X39" s="15" t="str">
        <f>IF(V39="","",VLOOKUP(V39,税率及规则!$A$2:$C$8,3,TRUE))</f>
        <v/>
      </c>
      <c r="Y39" s="15" t="str">
        <f t="shared" si="6"/>
        <v/>
      </c>
      <c r="Z39" s="15" t="str">
        <f>IF(U39="","",MAX(0,U39*VLOOKUP(U39,税率及规则!$A$2:$C$8,2,TRUE)-VLOOKUP(U39,税率及规则!$A$2:$C$8,3,TRUE)))</f>
        <v/>
      </c>
      <c r="AA39" s="15" t="str">
        <f t="shared" si="7"/>
        <v/>
      </c>
      <c r="AB39" s="17" t="str">
        <f t="shared" si="8"/>
        <v/>
      </c>
      <c r="AC39" s="17" t="str">
        <f t="shared" si="9"/>
        <v/>
      </c>
      <c r="AD39" s="4" t="str">
        <f>IF(A39="","",IF(COUNTIF($A$2:$A$501,A39)&gt;1,"异常：事件编号重复",IF(OR(C39="",D39="",E39="",F39="",G39=""),"异常：必填项缺失",IF(AND(F39="其他股权激励",O39=""),"异常：其他股权激励所得缺失",IF(AND(F39&lt;&gt;"其他股权激励",OR(I39="",J39="")),"异常：数量或市场价缺失",IF(AND(F39&lt;&gt;"其他股权激励",OR(I39&lt;=0,J39&lt;0)),"异常：数量或价格无效",IF(AND(F39="限制性股票",OR(M39&lt;=0,N39&lt;0,I39&gt;M39)),"异常：个人获授或出资数据无效",IF(AND(IFERROR(INDEX(计划参数!$J$2:$J$501,MATCH(C39,计划参数!$I$2:$I$501,0)),"")&lt;&gt;"",D39&lt;&gt;IFERROR(INDEX(计划参数!$J$2:$J$501,MATCH(C39,计划参数!$I$2:$I$501,0)),"")),"异常：姓名与员工主数据不一致",IF(S39&lt;0,"异常：原始所得为负，已按0计税",IF(OR(AND(F39="股票期权",K39=""),AND(F39="限制性股票",OR(K39="",L39=""))),"异常：计划参数缺失",IF(COUNTIF(计划参数!$I$2:$I$501,C39)=0,"提示：员工编号未在主数据",IF(Q39&lt;&gt;"已备案","提示：未确认备案","正常"))))))))))))</f>
        <v/>
      </c>
      <c r="AE39" s="9"/>
      <c r="AF39" s="4" t="str">
        <f>IF(C39="","",IF(COUNTIF($C$2:C39,C39)=1,MAX($AF$1:AF38)+1,""))</f>
        <v/>
      </c>
      <c r="AG39" s="4" t="str">
        <f>IF(C39="","",COUNTIF($C$2:C39,C39))</f>
        <v/>
      </c>
      <c r="AH39" s="4" t="str">
        <f t="shared" si="10"/>
        <v/>
      </c>
      <c r="AI39" s="4" t="str">
        <f t="shared" si="11"/>
        <v/>
      </c>
      <c r="AJ39" s="4" t="str">
        <f t="shared" si="12"/>
        <v/>
      </c>
      <c r="AK39" s="15" t="str">
        <f>IF(A39="","",SUMIFS(分期缴税台账!$K$2:$K$501,分期缴税台账!$T$2:$T$501,A39,分期缴税台账!$Q$2:$Q$501,"有效"))</f>
        <v/>
      </c>
      <c r="AL39" s="15" t="str">
        <f t="shared" si="13"/>
        <v/>
      </c>
      <c r="AM39" s="4" t="str">
        <f t="shared" si="14"/>
        <v/>
      </c>
    </row>
    <row r="40" spans="1:39" x14ac:dyDescent="0.3">
      <c r="A40" s="9"/>
      <c r="B40" s="4" t="str">
        <f t="shared" si="0"/>
        <v/>
      </c>
      <c r="C40" s="9"/>
      <c r="D40" s="9"/>
      <c r="E40" s="9"/>
      <c r="F40" s="9"/>
      <c r="G40" s="13"/>
      <c r="H40" s="4" t="str">
        <f t="shared" si="1"/>
        <v/>
      </c>
      <c r="I40" s="9"/>
      <c r="J40" s="14"/>
      <c r="K40" s="15" t="str">
        <f>IF(OR(E40="",F40="",G40=""),"",IF(E40&lt;&gt;计划参数!$C$2,"",IF(F40="股票期权",IFERROR(LOOKUP(G40,计划参数!$D$12:$D$15,计划参数!$C$12:$C$15),""),IF(F40="限制性股票",计划参数!$C$10,""))))</f>
        <v/>
      </c>
      <c r="L40" s="15" t="str">
        <f>IF(AND(E40=计划参数!$C$2,F40="限制性股票",G40&gt;=计划参数!$D$9),计划参数!$C$9,"")</f>
        <v/>
      </c>
      <c r="M40" s="9"/>
      <c r="N40" s="14"/>
      <c r="O40" s="14"/>
      <c r="P40" s="13"/>
      <c r="Q40" s="9"/>
      <c r="R40" s="13"/>
      <c r="S40" s="15" t="str">
        <f t="shared" si="2"/>
        <v/>
      </c>
      <c r="T40" s="15" t="str">
        <f t="shared" si="3"/>
        <v/>
      </c>
      <c r="U40" s="15" t="str">
        <f t="shared" si="4"/>
        <v/>
      </c>
      <c r="V40" s="15" t="str">
        <f t="shared" si="5"/>
        <v/>
      </c>
      <c r="W40" s="16" t="str">
        <f>IF(V40="","",VLOOKUP(V40,税率及规则!$A$2:$C$8,2,TRUE))</f>
        <v/>
      </c>
      <c r="X40" s="15" t="str">
        <f>IF(V40="","",VLOOKUP(V40,税率及规则!$A$2:$C$8,3,TRUE))</f>
        <v/>
      </c>
      <c r="Y40" s="15" t="str">
        <f t="shared" si="6"/>
        <v/>
      </c>
      <c r="Z40" s="15" t="str">
        <f>IF(U40="","",MAX(0,U40*VLOOKUP(U40,税率及规则!$A$2:$C$8,2,TRUE)-VLOOKUP(U40,税率及规则!$A$2:$C$8,3,TRUE)))</f>
        <v/>
      </c>
      <c r="AA40" s="15" t="str">
        <f t="shared" si="7"/>
        <v/>
      </c>
      <c r="AB40" s="17" t="str">
        <f t="shared" si="8"/>
        <v/>
      </c>
      <c r="AC40" s="17" t="str">
        <f t="shared" si="9"/>
        <v/>
      </c>
      <c r="AD40" s="4" t="str">
        <f>IF(A40="","",IF(COUNTIF($A$2:$A$501,A40)&gt;1,"异常：事件编号重复",IF(OR(C40="",D40="",E40="",F40="",G40=""),"异常：必填项缺失",IF(AND(F40="其他股权激励",O40=""),"异常：其他股权激励所得缺失",IF(AND(F40&lt;&gt;"其他股权激励",OR(I40="",J40="")),"异常：数量或市场价缺失",IF(AND(F40&lt;&gt;"其他股权激励",OR(I40&lt;=0,J40&lt;0)),"异常：数量或价格无效",IF(AND(F40="限制性股票",OR(M40&lt;=0,N40&lt;0,I40&gt;M40)),"异常：个人获授或出资数据无效",IF(AND(IFERROR(INDEX(计划参数!$J$2:$J$501,MATCH(C40,计划参数!$I$2:$I$501,0)),"")&lt;&gt;"",D40&lt;&gt;IFERROR(INDEX(计划参数!$J$2:$J$501,MATCH(C40,计划参数!$I$2:$I$501,0)),"")),"异常：姓名与员工主数据不一致",IF(S40&lt;0,"异常：原始所得为负，已按0计税",IF(OR(AND(F40="股票期权",K40=""),AND(F40="限制性股票",OR(K40="",L40=""))),"异常：计划参数缺失",IF(COUNTIF(计划参数!$I$2:$I$501,C40)=0,"提示：员工编号未在主数据",IF(Q40&lt;&gt;"已备案","提示：未确认备案","正常"))))))))))))</f>
        <v/>
      </c>
      <c r="AE40" s="9"/>
      <c r="AF40" s="4" t="str">
        <f>IF(C40="","",IF(COUNTIF($C$2:C40,C40)=1,MAX($AF$1:AF39)+1,""))</f>
        <v/>
      </c>
      <c r="AG40" s="4" t="str">
        <f>IF(C40="","",COUNTIF($C$2:C40,C40))</f>
        <v/>
      </c>
      <c r="AH40" s="4" t="str">
        <f t="shared" si="10"/>
        <v/>
      </c>
      <c r="AI40" s="4" t="str">
        <f t="shared" si="11"/>
        <v/>
      </c>
      <c r="AJ40" s="4" t="str">
        <f t="shared" si="12"/>
        <v/>
      </c>
      <c r="AK40" s="15" t="str">
        <f>IF(A40="","",SUMIFS(分期缴税台账!$K$2:$K$501,分期缴税台账!$T$2:$T$501,A40,分期缴税台账!$Q$2:$Q$501,"有效"))</f>
        <v/>
      </c>
      <c r="AL40" s="15" t="str">
        <f t="shared" si="13"/>
        <v/>
      </c>
      <c r="AM40" s="4" t="str">
        <f t="shared" si="14"/>
        <v/>
      </c>
    </row>
    <row r="41" spans="1:39" x14ac:dyDescent="0.3">
      <c r="A41" s="9"/>
      <c r="B41" s="4" t="str">
        <f t="shared" si="0"/>
        <v/>
      </c>
      <c r="C41" s="9"/>
      <c r="D41" s="9"/>
      <c r="E41" s="9"/>
      <c r="F41" s="9"/>
      <c r="G41" s="13"/>
      <c r="H41" s="4" t="str">
        <f t="shared" si="1"/>
        <v/>
      </c>
      <c r="I41" s="9"/>
      <c r="J41" s="14"/>
      <c r="K41" s="15" t="str">
        <f>IF(OR(E41="",F41="",G41=""),"",IF(E41&lt;&gt;计划参数!$C$2,"",IF(F41="股票期权",IFERROR(LOOKUP(G41,计划参数!$D$12:$D$15,计划参数!$C$12:$C$15),""),IF(F41="限制性股票",计划参数!$C$10,""))))</f>
        <v/>
      </c>
      <c r="L41" s="15" t="str">
        <f>IF(AND(E41=计划参数!$C$2,F41="限制性股票",G41&gt;=计划参数!$D$9),计划参数!$C$9,"")</f>
        <v/>
      </c>
      <c r="M41" s="9"/>
      <c r="N41" s="14"/>
      <c r="O41" s="14"/>
      <c r="P41" s="13"/>
      <c r="Q41" s="9"/>
      <c r="R41" s="13"/>
      <c r="S41" s="15" t="str">
        <f t="shared" si="2"/>
        <v/>
      </c>
      <c r="T41" s="15" t="str">
        <f t="shared" si="3"/>
        <v/>
      </c>
      <c r="U41" s="15" t="str">
        <f t="shared" si="4"/>
        <v/>
      </c>
      <c r="V41" s="15" t="str">
        <f t="shared" si="5"/>
        <v/>
      </c>
      <c r="W41" s="16" t="str">
        <f>IF(V41="","",VLOOKUP(V41,税率及规则!$A$2:$C$8,2,TRUE))</f>
        <v/>
      </c>
      <c r="X41" s="15" t="str">
        <f>IF(V41="","",VLOOKUP(V41,税率及规则!$A$2:$C$8,3,TRUE))</f>
        <v/>
      </c>
      <c r="Y41" s="15" t="str">
        <f t="shared" si="6"/>
        <v/>
      </c>
      <c r="Z41" s="15" t="str">
        <f>IF(U41="","",MAX(0,U41*VLOOKUP(U41,税率及规则!$A$2:$C$8,2,TRUE)-VLOOKUP(U41,税率及规则!$A$2:$C$8,3,TRUE)))</f>
        <v/>
      </c>
      <c r="AA41" s="15" t="str">
        <f t="shared" si="7"/>
        <v/>
      </c>
      <c r="AB41" s="17" t="str">
        <f t="shared" si="8"/>
        <v/>
      </c>
      <c r="AC41" s="17" t="str">
        <f t="shared" si="9"/>
        <v/>
      </c>
      <c r="AD41" s="4" t="str">
        <f>IF(A41="","",IF(COUNTIF($A$2:$A$501,A41)&gt;1,"异常：事件编号重复",IF(OR(C41="",D41="",E41="",F41="",G41=""),"异常：必填项缺失",IF(AND(F41="其他股权激励",O41=""),"异常：其他股权激励所得缺失",IF(AND(F41&lt;&gt;"其他股权激励",OR(I41="",J41="")),"异常：数量或市场价缺失",IF(AND(F41&lt;&gt;"其他股权激励",OR(I41&lt;=0,J41&lt;0)),"异常：数量或价格无效",IF(AND(F41="限制性股票",OR(M41&lt;=0,N41&lt;0,I41&gt;M41)),"异常：个人获授或出资数据无效",IF(AND(IFERROR(INDEX(计划参数!$J$2:$J$501,MATCH(C41,计划参数!$I$2:$I$501,0)),"")&lt;&gt;"",D41&lt;&gt;IFERROR(INDEX(计划参数!$J$2:$J$501,MATCH(C41,计划参数!$I$2:$I$501,0)),"")),"异常：姓名与员工主数据不一致",IF(S41&lt;0,"异常：原始所得为负，已按0计税",IF(OR(AND(F41="股票期权",K41=""),AND(F41="限制性股票",OR(K41="",L41=""))),"异常：计划参数缺失",IF(COUNTIF(计划参数!$I$2:$I$501,C41)=0,"提示：员工编号未在主数据",IF(Q41&lt;&gt;"已备案","提示：未确认备案","正常"))))))))))))</f>
        <v/>
      </c>
      <c r="AE41" s="9"/>
      <c r="AF41" s="4" t="str">
        <f>IF(C41="","",IF(COUNTIF($C$2:C41,C41)=1,MAX($AF$1:AF40)+1,""))</f>
        <v/>
      </c>
      <c r="AG41" s="4" t="str">
        <f>IF(C41="","",COUNTIF($C$2:C41,C41))</f>
        <v/>
      </c>
      <c r="AH41" s="4" t="str">
        <f t="shared" si="10"/>
        <v/>
      </c>
      <c r="AI41" s="4" t="str">
        <f t="shared" si="11"/>
        <v/>
      </c>
      <c r="AJ41" s="4" t="str">
        <f t="shared" si="12"/>
        <v/>
      </c>
      <c r="AK41" s="15" t="str">
        <f>IF(A41="","",SUMIFS(分期缴税台账!$K$2:$K$501,分期缴税台账!$T$2:$T$501,A41,分期缴税台账!$Q$2:$Q$501,"有效"))</f>
        <v/>
      </c>
      <c r="AL41" s="15" t="str">
        <f t="shared" si="13"/>
        <v/>
      </c>
      <c r="AM41" s="4" t="str">
        <f t="shared" si="14"/>
        <v/>
      </c>
    </row>
    <row r="42" spans="1:39" x14ac:dyDescent="0.3">
      <c r="A42" s="9"/>
      <c r="B42" s="4" t="str">
        <f t="shared" si="0"/>
        <v/>
      </c>
      <c r="C42" s="9"/>
      <c r="D42" s="9"/>
      <c r="E42" s="9"/>
      <c r="F42" s="9"/>
      <c r="G42" s="13"/>
      <c r="H42" s="4" t="str">
        <f t="shared" si="1"/>
        <v/>
      </c>
      <c r="I42" s="9"/>
      <c r="J42" s="14"/>
      <c r="K42" s="15" t="str">
        <f>IF(OR(E42="",F42="",G42=""),"",IF(E42&lt;&gt;计划参数!$C$2,"",IF(F42="股票期权",IFERROR(LOOKUP(G42,计划参数!$D$12:$D$15,计划参数!$C$12:$C$15),""),IF(F42="限制性股票",计划参数!$C$10,""))))</f>
        <v/>
      </c>
      <c r="L42" s="15" t="str">
        <f>IF(AND(E42=计划参数!$C$2,F42="限制性股票",G42&gt;=计划参数!$D$9),计划参数!$C$9,"")</f>
        <v/>
      </c>
      <c r="M42" s="9"/>
      <c r="N42" s="14"/>
      <c r="O42" s="14"/>
      <c r="P42" s="13"/>
      <c r="Q42" s="9"/>
      <c r="R42" s="13"/>
      <c r="S42" s="15" t="str">
        <f t="shared" si="2"/>
        <v/>
      </c>
      <c r="T42" s="15" t="str">
        <f t="shared" si="3"/>
        <v/>
      </c>
      <c r="U42" s="15" t="str">
        <f t="shared" si="4"/>
        <v/>
      </c>
      <c r="V42" s="15" t="str">
        <f t="shared" si="5"/>
        <v/>
      </c>
      <c r="W42" s="16" t="str">
        <f>IF(V42="","",VLOOKUP(V42,税率及规则!$A$2:$C$8,2,TRUE))</f>
        <v/>
      </c>
      <c r="X42" s="15" t="str">
        <f>IF(V42="","",VLOOKUP(V42,税率及规则!$A$2:$C$8,3,TRUE))</f>
        <v/>
      </c>
      <c r="Y42" s="15" t="str">
        <f t="shared" si="6"/>
        <v/>
      </c>
      <c r="Z42" s="15" t="str">
        <f>IF(U42="","",MAX(0,U42*VLOOKUP(U42,税率及规则!$A$2:$C$8,2,TRUE)-VLOOKUP(U42,税率及规则!$A$2:$C$8,3,TRUE)))</f>
        <v/>
      </c>
      <c r="AA42" s="15" t="str">
        <f t="shared" si="7"/>
        <v/>
      </c>
      <c r="AB42" s="17" t="str">
        <f t="shared" si="8"/>
        <v/>
      </c>
      <c r="AC42" s="17" t="str">
        <f t="shared" si="9"/>
        <v/>
      </c>
      <c r="AD42" s="4" t="str">
        <f>IF(A42="","",IF(COUNTIF($A$2:$A$501,A42)&gt;1,"异常：事件编号重复",IF(OR(C42="",D42="",E42="",F42="",G42=""),"异常：必填项缺失",IF(AND(F42="其他股权激励",O42=""),"异常：其他股权激励所得缺失",IF(AND(F42&lt;&gt;"其他股权激励",OR(I42="",J42="")),"异常：数量或市场价缺失",IF(AND(F42&lt;&gt;"其他股权激励",OR(I42&lt;=0,J42&lt;0)),"异常：数量或价格无效",IF(AND(F42="限制性股票",OR(M42&lt;=0,N42&lt;0,I42&gt;M42)),"异常：个人获授或出资数据无效",IF(AND(IFERROR(INDEX(计划参数!$J$2:$J$501,MATCH(C42,计划参数!$I$2:$I$501,0)),"")&lt;&gt;"",D42&lt;&gt;IFERROR(INDEX(计划参数!$J$2:$J$501,MATCH(C42,计划参数!$I$2:$I$501,0)),"")),"异常：姓名与员工主数据不一致",IF(S42&lt;0,"异常：原始所得为负，已按0计税",IF(OR(AND(F42="股票期权",K42=""),AND(F42="限制性股票",OR(K42="",L42=""))),"异常：计划参数缺失",IF(COUNTIF(计划参数!$I$2:$I$501,C42)=0,"提示：员工编号未在主数据",IF(Q42&lt;&gt;"已备案","提示：未确认备案","正常"))))))))))))</f>
        <v/>
      </c>
      <c r="AE42" s="9"/>
      <c r="AF42" s="4" t="str">
        <f>IF(C42="","",IF(COUNTIF($C$2:C42,C42)=1,MAX($AF$1:AF41)+1,""))</f>
        <v/>
      </c>
      <c r="AG42" s="4" t="str">
        <f>IF(C42="","",COUNTIF($C$2:C42,C42))</f>
        <v/>
      </c>
      <c r="AH42" s="4" t="str">
        <f t="shared" si="10"/>
        <v/>
      </c>
      <c r="AI42" s="4" t="str">
        <f t="shared" si="11"/>
        <v/>
      </c>
      <c r="AJ42" s="4" t="str">
        <f t="shared" si="12"/>
        <v/>
      </c>
      <c r="AK42" s="15" t="str">
        <f>IF(A42="","",SUMIFS(分期缴税台账!$K$2:$K$501,分期缴税台账!$T$2:$T$501,A42,分期缴税台账!$Q$2:$Q$501,"有效"))</f>
        <v/>
      </c>
      <c r="AL42" s="15" t="str">
        <f t="shared" si="13"/>
        <v/>
      </c>
      <c r="AM42" s="4" t="str">
        <f t="shared" si="14"/>
        <v/>
      </c>
    </row>
    <row r="43" spans="1:39" x14ac:dyDescent="0.3">
      <c r="A43" s="9"/>
      <c r="B43" s="4" t="str">
        <f t="shared" si="0"/>
        <v/>
      </c>
      <c r="C43" s="9"/>
      <c r="D43" s="9"/>
      <c r="E43" s="9"/>
      <c r="F43" s="9"/>
      <c r="G43" s="13"/>
      <c r="H43" s="4" t="str">
        <f t="shared" si="1"/>
        <v/>
      </c>
      <c r="I43" s="9"/>
      <c r="J43" s="14"/>
      <c r="K43" s="15" t="str">
        <f>IF(OR(E43="",F43="",G43=""),"",IF(E43&lt;&gt;计划参数!$C$2,"",IF(F43="股票期权",IFERROR(LOOKUP(G43,计划参数!$D$12:$D$15,计划参数!$C$12:$C$15),""),IF(F43="限制性股票",计划参数!$C$10,""))))</f>
        <v/>
      </c>
      <c r="L43" s="15" t="str">
        <f>IF(AND(E43=计划参数!$C$2,F43="限制性股票",G43&gt;=计划参数!$D$9),计划参数!$C$9,"")</f>
        <v/>
      </c>
      <c r="M43" s="9"/>
      <c r="N43" s="14"/>
      <c r="O43" s="14"/>
      <c r="P43" s="13"/>
      <c r="Q43" s="9"/>
      <c r="R43" s="13"/>
      <c r="S43" s="15" t="str">
        <f t="shared" si="2"/>
        <v/>
      </c>
      <c r="T43" s="15" t="str">
        <f t="shared" si="3"/>
        <v/>
      </c>
      <c r="U43" s="15" t="str">
        <f t="shared" si="4"/>
        <v/>
      </c>
      <c r="V43" s="15" t="str">
        <f t="shared" si="5"/>
        <v/>
      </c>
      <c r="W43" s="16" t="str">
        <f>IF(V43="","",VLOOKUP(V43,税率及规则!$A$2:$C$8,2,TRUE))</f>
        <v/>
      </c>
      <c r="X43" s="15" t="str">
        <f>IF(V43="","",VLOOKUP(V43,税率及规则!$A$2:$C$8,3,TRUE))</f>
        <v/>
      </c>
      <c r="Y43" s="15" t="str">
        <f t="shared" si="6"/>
        <v/>
      </c>
      <c r="Z43" s="15" t="str">
        <f>IF(U43="","",MAX(0,U43*VLOOKUP(U43,税率及规则!$A$2:$C$8,2,TRUE)-VLOOKUP(U43,税率及规则!$A$2:$C$8,3,TRUE)))</f>
        <v/>
      </c>
      <c r="AA43" s="15" t="str">
        <f t="shared" si="7"/>
        <v/>
      </c>
      <c r="AB43" s="17" t="str">
        <f t="shared" si="8"/>
        <v/>
      </c>
      <c r="AC43" s="17" t="str">
        <f t="shared" si="9"/>
        <v/>
      </c>
      <c r="AD43" s="4" t="str">
        <f>IF(A43="","",IF(COUNTIF($A$2:$A$501,A43)&gt;1,"异常：事件编号重复",IF(OR(C43="",D43="",E43="",F43="",G43=""),"异常：必填项缺失",IF(AND(F43="其他股权激励",O43=""),"异常：其他股权激励所得缺失",IF(AND(F43&lt;&gt;"其他股权激励",OR(I43="",J43="")),"异常：数量或市场价缺失",IF(AND(F43&lt;&gt;"其他股权激励",OR(I43&lt;=0,J43&lt;0)),"异常：数量或价格无效",IF(AND(F43="限制性股票",OR(M43&lt;=0,N43&lt;0,I43&gt;M43)),"异常：个人获授或出资数据无效",IF(AND(IFERROR(INDEX(计划参数!$J$2:$J$501,MATCH(C43,计划参数!$I$2:$I$501,0)),"")&lt;&gt;"",D43&lt;&gt;IFERROR(INDEX(计划参数!$J$2:$J$501,MATCH(C43,计划参数!$I$2:$I$501,0)),"")),"异常：姓名与员工主数据不一致",IF(S43&lt;0,"异常：原始所得为负，已按0计税",IF(OR(AND(F43="股票期权",K43=""),AND(F43="限制性股票",OR(K43="",L43=""))),"异常：计划参数缺失",IF(COUNTIF(计划参数!$I$2:$I$501,C43)=0,"提示：员工编号未在主数据",IF(Q43&lt;&gt;"已备案","提示：未确认备案","正常"))))))))))))</f>
        <v/>
      </c>
      <c r="AE43" s="9"/>
      <c r="AF43" s="4" t="str">
        <f>IF(C43="","",IF(COUNTIF($C$2:C43,C43)=1,MAX($AF$1:AF42)+1,""))</f>
        <v/>
      </c>
      <c r="AG43" s="4" t="str">
        <f>IF(C43="","",COUNTIF($C$2:C43,C43))</f>
        <v/>
      </c>
      <c r="AH43" s="4" t="str">
        <f t="shared" si="10"/>
        <v/>
      </c>
      <c r="AI43" s="4" t="str">
        <f t="shared" si="11"/>
        <v/>
      </c>
      <c r="AJ43" s="4" t="str">
        <f t="shared" si="12"/>
        <v/>
      </c>
      <c r="AK43" s="15" t="str">
        <f>IF(A43="","",SUMIFS(分期缴税台账!$K$2:$K$501,分期缴税台账!$T$2:$T$501,A43,分期缴税台账!$Q$2:$Q$501,"有效"))</f>
        <v/>
      </c>
      <c r="AL43" s="15" t="str">
        <f t="shared" si="13"/>
        <v/>
      </c>
      <c r="AM43" s="4" t="str">
        <f t="shared" si="14"/>
        <v/>
      </c>
    </row>
    <row r="44" spans="1:39" x14ac:dyDescent="0.3">
      <c r="A44" s="9"/>
      <c r="B44" s="4" t="str">
        <f t="shared" si="0"/>
        <v/>
      </c>
      <c r="C44" s="9"/>
      <c r="D44" s="9"/>
      <c r="E44" s="9"/>
      <c r="F44" s="9"/>
      <c r="G44" s="13"/>
      <c r="H44" s="4" t="str">
        <f t="shared" si="1"/>
        <v/>
      </c>
      <c r="I44" s="9"/>
      <c r="J44" s="14"/>
      <c r="K44" s="15" t="str">
        <f>IF(OR(E44="",F44="",G44=""),"",IF(E44&lt;&gt;计划参数!$C$2,"",IF(F44="股票期权",IFERROR(LOOKUP(G44,计划参数!$D$12:$D$15,计划参数!$C$12:$C$15),""),IF(F44="限制性股票",计划参数!$C$10,""))))</f>
        <v/>
      </c>
      <c r="L44" s="15" t="str">
        <f>IF(AND(E44=计划参数!$C$2,F44="限制性股票",G44&gt;=计划参数!$D$9),计划参数!$C$9,"")</f>
        <v/>
      </c>
      <c r="M44" s="9"/>
      <c r="N44" s="14"/>
      <c r="O44" s="14"/>
      <c r="P44" s="13"/>
      <c r="Q44" s="9"/>
      <c r="R44" s="13"/>
      <c r="S44" s="15" t="str">
        <f t="shared" si="2"/>
        <v/>
      </c>
      <c r="T44" s="15" t="str">
        <f t="shared" si="3"/>
        <v/>
      </c>
      <c r="U44" s="15" t="str">
        <f t="shared" si="4"/>
        <v/>
      </c>
      <c r="V44" s="15" t="str">
        <f t="shared" si="5"/>
        <v/>
      </c>
      <c r="W44" s="16" t="str">
        <f>IF(V44="","",VLOOKUP(V44,税率及规则!$A$2:$C$8,2,TRUE))</f>
        <v/>
      </c>
      <c r="X44" s="15" t="str">
        <f>IF(V44="","",VLOOKUP(V44,税率及规则!$A$2:$C$8,3,TRUE))</f>
        <v/>
      </c>
      <c r="Y44" s="15" t="str">
        <f t="shared" si="6"/>
        <v/>
      </c>
      <c r="Z44" s="15" t="str">
        <f>IF(U44="","",MAX(0,U44*VLOOKUP(U44,税率及规则!$A$2:$C$8,2,TRUE)-VLOOKUP(U44,税率及规则!$A$2:$C$8,3,TRUE)))</f>
        <v/>
      </c>
      <c r="AA44" s="15" t="str">
        <f t="shared" si="7"/>
        <v/>
      </c>
      <c r="AB44" s="17" t="str">
        <f t="shared" si="8"/>
        <v/>
      </c>
      <c r="AC44" s="17" t="str">
        <f t="shared" si="9"/>
        <v/>
      </c>
      <c r="AD44" s="4" t="str">
        <f>IF(A44="","",IF(COUNTIF($A$2:$A$501,A44)&gt;1,"异常：事件编号重复",IF(OR(C44="",D44="",E44="",F44="",G44=""),"异常：必填项缺失",IF(AND(F44="其他股权激励",O44=""),"异常：其他股权激励所得缺失",IF(AND(F44&lt;&gt;"其他股权激励",OR(I44="",J44="")),"异常：数量或市场价缺失",IF(AND(F44&lt;&gt;"其他股权激励",OR(I44&lt;=0,J44&lt;0)),"异常：数量或价格无效",IF(AND(F44="限制性股票",OR(M44&lt;=0,N44&lt;0,I44&gt;M44)),"异常：个人获授或出资数据无效",IF(AND(IFERROR(INDEX(计划参数!$J$2:$J$501,MATCH(C44,计划参数!$I$2:$I$501,0)),"")&lt;&gt;"",D44&lt;&gt;IFERROR(INDEX(计划参数!$J$2:$J$501,MATCH(C44,计划参数!$I$2:$I$501,0)),"")),"异常：姓名与员工主数据不一致",IF(S44&lt;0,"异常：原始所得为负，已按0计税",IF(OR(AND(F44="股票期权",K44=""),AND(F44="限制性股票",OR(K44="",L44=""))),"异常：计划参数缺失",IF(COUNTIF(计划参数!$I$2:$I$501,C44)=0,"提示：员工编号未在主数据",IF(Q44&lt;&gt;"已备案","提示：未确认备案","正常"))))))))))))</f>
        <v/>
      </c>
      <c r="AE44" s="9"/>
      <c r="AF44" s="4" t="str">
        <f>IF(C44="","",IF(COUNTIF($C$2:C44,C44)=1,MAX($AF$1:AF43)+1,""))</f>
        <v/>
      </c>
      <c r="AG44" s="4" t="str">
        <f>IF(C44="","",COUNTIF($C$2:C44,C44))</f>
        <v/>
      </c>
      <c r="AH44" s="4" t="str">
        <f t="shared" si="10"/>
        <v/>
      </c>
      <c r="AI44" s="4" t="str">
        <f t="shared" si="11"/>
        <v/>
      </c>
      <c r="AJ44" s="4" t="str">
        <f t="shared" si="12"/>
        <v/>
      </c>
      <c r="AK44" s="15" t="str">
        <f>IF(A44="","",SUMIFS(分期缴税台账!$K$2:$K$501,分期缴税台账!$T$2:$T$501,A44,分期缴税台账!$Q$2:$Q$501,"有效"))</f>
        <v/>
      </c>
      <c r="AL44" s="15" t="str">
        <f t="shared" si="13"/>
        <v/>
      </c>
      <c r="AM44" s="4" t="str">
        <f t="shared" si="14"/>
        <v/>
      </c>
    </row>
    <row r="45" spans="1:39" x14ac:dyDescent="0.3">
      <c r="A45" s="9"/>
      <c r="B45" s="4" t="str">
        <f t="shared" si="0"/>
        <v/>
      </c>
      <c r="C45" s="9"/>
      <c r="D45" s="9"/>
      <c r="E45" s="9"/>
      <c r="F45" s="9"/>
      <c r="G45" s="13"/>
      <c r="H45" s="4" t="str">
        <f t="shared" si="1"/>
        <v/>
      </c>
      <c r="I45" s="9"/>
      <c r="J45" s="14"/>
      <c r="K45" s="15" t="str">
        <f>IF(OR(E45="",F45="",G45=""),"",IF(E45&lt;&gt;计划参数!$C$2,"",IF(F45="股票期权",IFERROR(LOOKUP(G45,计划参数!$D$12:$D$15,计划参数!$C$12:$C$15),""),IF(F45="限制性股票",计划参数!$C$10,""))))</f>
        <v/>
      </c>
      <c r="L45" s="15" t="str">
        <f>IF(AND(E45=计划参数!$C$2,F45="限制性股票",G45&gt;=计划参数!$D$9),计划参数!$C$9,"")</f>
        <v/>
      </c>
      <c r="M45" s="9"/>
      <c r="N45" s="14"/>
      <c r="O45" s="14"/>
      <c r="P45" s="13"/>
      <c r="Q45" s="9"/>
      <c r="R45" s="13"/>
      <c r="S45" s="15" t="str">
        <f t="shared" si="2"/>
        <v/>
      </c>
      <c r="T45" s="15" t="str">
        <f t="shared" si="3"/>
        <v/>
      </c>
      <c r="U45" s="15" t="str">
        <f t="shared" si="4"/>
        <v/>
      </c>
      <c r="V45" s="15" t="str">
        <f t="shared" si="5"/>
        <v/>
      </c>
      <c r="W45" s="16" t="str">
        <f>IF(V45="","",VLOOKUP(V45,税率及规则!$A$2:$C$8,2,TRUE))</f>
        <v/>
      </c>
      <c r="X45" s="15" t="str">
        <f>IF(V45="","",VLOOKUP(V45,税率及规则!$A$2:$C$8,3,TRUE))</f>
        <v/>
      </c>
      <c r="Y45" s="15" t="str">
        <f t="shared" si="6"/>
        <v/>
      </c>
      <c r="Z45" s="15" t="str">
        <f>IF(U45="","",MAX(0,U45*VLOOKUP(U45,税率及规则!$A$2:$C$8,2,TRUE)-VLOOKUP(U45,税率及规则!$A$2:$C$8,3,TRUE)))</f>
        <v/>
      </c>
      <c r="AA45" s="15" t="str">
        <f t="shared" si="7"/>
        <v/>
      </c>
      <c r="AB45" s="17" t="str">
        <f t="shared" si="8"/>
        <v/>
      </c>
      <c r="AC45" s="17" t="str">
        <f t="shared" si="9"/>
        <v/>
      </c>
      <c r="AD45" s="4" t="str">
        <f>IF(A45="","",IF(COUNTIF($A$2:$A$501,A45)&gt;1,"异常：事件编号重复",IF(OR(C45="",D45="",E45="",F45="",G45=""),"异常：必填项缺失",IF(AND(F45="其他股权激励",O45=""),"异常：其他股权激励所得缺失",IF(AND(F45&lt;&gt;"其他股权激励",OR(I45="",J45="")),"异常：数量或市场价缺失",IF(AND(F45&lt;&gt;"其他股权激励",OR(I45&lt;=0,J45&lt;0)),"异常：数量或价格无效",IF(AND(F45="限制性股票",OR(M45&lt;=0,N45&lt;0,I45&gt;M45)),"异常：个人获授或出资数据无效",IF(AND(IFERROR(INDEX(计划参数!$J$2:$J$501,MATCH(C45,计划参数!$I$2:$I$501,0)),"")&lt;&gt;"",D45&lt;&gt;IFERROR(INDEX(计划参数!$J$2:$J$501,MATCH(C45,计划参数!$I$2:$I$501,0)),"")),"异常：姓名与员工主数据不一致",IF(S45&lt;0,"异常：原始所得为负，已按0计税",IF(OR(AND(F45="股票期权",K45=""),AND(F45="限制性股票",OR(K45="",L45=""))),"异常：计划参数缺失",IF(COUNTIF(计划参数!$I$2:$I$501,C45)=0,"提示：员工编号未在主数据",IF(Q45&lt;&gt;"已备案","提示：未确认备案","正常"))))))))))))</f>
        <v/>
      </c>
      <c r="AE45" s="9"/>
      <c r="AF45" s="4" t="str">
        <f>IF(C45="","",IF(COUNTIF($C$2:C45,C45)=1,MAX($AF$1:AF44)+1,""))</f>
        <v/>
      </c>
      <c r="AG45" s="4" t="str">
        <f>IF(C45="","",COUNTIF($C$2:C45,C45))</f>
        <v/>
      </c>
      <c r="AH45" s="4" t="str">
        <f t="shared" si="10"/>
        <v/>
      </c>
      <c r="AI45" s="4" t="str">
        <f t="shared" si="11"/>
        <v/>
      </c>
      <c r="AJ45" s="4" t="str">
        <f t="shared" si="12"/>
        <v/>
      </c>
      <c r="AK45" s="15" t="str">
        <f>IF(A45="","",SUMIFS(分期缴税台账!$K$2:$K$501,分期缴税台账!$T$2:$T$501,A45,分期缴税台账!$Q$2:$Q$501,"有效"))</f>
        <v/>
      </c>
      <c r="AL45" s="15" t="str">
        <f t="shared" si="13"/>
        <v/>
      </c>
      <c r="AM45" s="4" t="str">
        <f t="shared" si="14"/>
        <v/>
      </c>
    </row>
    <row r="46" spans="1:39" x14ac:dyDescent="0.3">
      <c r="A46" s="9"/>
      <c r="B46" s="4" t="str">
        <f t="shared" si="0"/>
        <v/>
      </c>
      <c r="C46" s="9"/>
      <c r="D46" s="9"/>
      <c r="E46" s="9"/>
      <c r="F46" s="9"/>
      <c r="G46" s="13"/>
      <c r="H46" s="4" t="str">
        <f t="shared" si="1"/>
        <v/>
      </c>
      <c r="I46" s="9"/>
      <c r="J46" s="14"/>
      <c r="K46" s="15" t="str">
        <f>IF(OR(E46="",F46="",G46=""),"",IF(E46&lt;&gt;计划参数!$C$2,"",IF(F46="股票期权",IFERROR(LOOKUP(G46,计划参数!$D$12:$D$15,计划参数!$C$12:$C$15),""),IF(F46="限制性股票",计划参数!$C$10,""))))</f>
        <v/>
      </c>
      <c r="L46" s="15" t="str">
        <f>IF(AND(E46=计划参数!$C$2,F46="限制性股票",G46&gt;=计划参数!$D$9),计划参数!$C$9,"")</f>
        <v/>
      </c>
      <c r="M46" s="9"/>
      <c r="N46" s="14"/>
      <c r="O46" s="14"/>
      <c r="P46" s="13"/>
      <c r="Q46" s="9"/>
      <c r="R46" s="13"/>
      <c r="S46" s="15" t="str">
        <f t="shared" si="2"/>
        <v/>
      </c>
      <c r="T46" s="15" t="str">
        <f t="shared" si="3"/>
        <v/>
      </c>
      <c r="U46" s="15" t="str">
        <f t="shared" si="4"/>
        <v/>
      </c>
      <c r="V46" s="15" t="str">
        <f t="shared" si="5"/>
        <v/>
      </c>
      <c r="W46" s="16" t="str">
        <f>IF(V46="","",VLOOKUP(V46,税率及规则!$A$2:$C$8,2,TRUE))</f>
        <v/>
      </c>
      <c r="X46" s="15" t="str">
        <f>IF(V46="","",VLOOKUP(V46,税率及规则!$A$2:$C$8,3,TRUE))</f>
        <v/>
      </c>
      <c r="Y46" s="15" t="str">
        <f t="shared" si="6"/>
        <v/>
      </c>
      <c r="Z46" s="15" t="str">
        <f>IF(U46="","",MAX(0,U46*VLOOKUP(U46,税率及规则!$A$2:$C$8,2,TRUE)-VLOOKUP(U46,税率及规则!$A$2:$C$8,3,TRUE)))</f>
        <v/>
      </c>
      <c r="AA46" s="15" t="str">
        <f t="shared" si="7"/>
        <v/>
      </c>
      <c r="AB46" s="17" t="str">
        <f t="shared" si="8"/>
        <v/>
      </c>
      <c r="AC46" s="17" t="str">
        <f t="shared" si="9"/>
        <v/>
      </c>
      <c r="AD46" s="4" t="str">
        <f>IF(A46="","",IF(COUNTIF($A$2:$A$501,A46)&gt;1,"异常：事件编号重复",IF(OR(C46="",D46="",E46="",F46="",G46=""),"异常：必填项缺失",IF(AND(F46="其他股权激励",O46=""),"异常：其他股权激励所得缺失",IF(AND(F46&lt;&gt;"其他股权激励",OR(I46="",J46="")),"异常：数量或市场价缺失",IF(AND(F46&lt;&gt;"其他股权激励",OR(I46&lt;=0,J46&lt;0)),"异常：数量或价格无效",IF(AND(F46="限制性股票",OR(M46&lt;=0,N46&lt;0,I46&gt;M46)),"异常：个人获授或出资数据无效",IF(AND(IFERROR(INDEX(计划参数!$J$2:$J$501,MATCH(C46,计划参数!$I$2:$I$501,0)),"")&lt;&gt;"",D46&lt;&gt;IFERROR(INDEX(计划参数!$J$2:$J$501,MATCH(C46,计划参数!$I$2:$I$501,0)),"")),"异常：姓名与员工主数据不一致",IF(S46&lt;0,"异常：原始所得为负，已按0计税",IF(OR(AND(F46="股票期权",K46=""),AND(F46="限制性股票",OR(K46="",L46=""))),"异常：计划参数缺失",IF(COUNTIF(计划参数!$I$2:$I$501,C46)=0,"提示：员工编号未在主数据",IF(Q46&lt;&gt;"已备案","提示：未确认备案","正常"))))))))))))</f>
        <v/>
      </c>
      <c r="AE46" s="9"/>
      <c r="AF46" s="4" t="str">
        <f>IF(C46="","",IF(COUNTIF($C$2:C46,C46)=1,MAX($AF$1:AF45)+1,""))</f>
        <v/>
      </c>
      <c r="AG46" s="4" t="str">
        <f>IF(C46="","",COUNTIF($C$2:C46,C46))</f>
        <v/>
      </c>
      <c r="AH46" s="4" t="str">
        <f t="shared" si="10"/>
        <v/>
      </c>
      <c r="AI46" s="4" t="str">
        <f t="shared" si="11"/>
        <v/>
      </c>
      <c r="AJ46" s="4" t="str">
        <f t="shared" si="12"/>
        <v/>
      </c>
      <c r="AK46" s="15" t="str">
        <f>IF(A46="","",SUMIFS(分期缴税台账!$K$2:$K$501,分期缴税台账!$T$2:$T$501,A46,分期缴税台账!$Q$2:$Q$501,"有效"))</f>
        <v/>
      </c>
      <c r="AL46" s="15" t="str">
        <f t="shared" si="13"/>
        <v/>
      </c>
      <c r="AM46" s="4" t="str">
        <f t="shared" si="14"/>
        <v/>
      </c>
    </row>
    <row r="47" spans="1:39" x14ac:dyDescent="0.3">
      <c r="A47" s="9"/>
      <c r="B47" s="4" t="str">
        <f t="shared" si="0"/>
        <v/>
      </c>
      <c r="C47" s="9"/>
      <c r="D47" s="9"/>
      <c r="E47" s="9"/>
      <c r="F47" s="9"/>
      <c r="G47" s="13"/>
      <c r="H47" s="4" t="str">
        <f t="shared" si="1"/>
        <v/>
      </c>
      <c r="I47" s="9"/>
      <c r="J47" s="14"/>
      <c r="K47" s="15" t="str">
        <f>IF(OR(E47="",F47="",G47=""),"",IF(E47&lt;&gt;计划参数!$C$2,"",IF(F47="股票期权",IFERROR(LOOKUP(G47,计划参数!$D$12:$D$15,计划参数!$C$12:$C$15),""),IF(F47="限制性股票",计划参数!$C$10,""))))</f>
        <v/>
      </c>
      <c r="L47" s="15" t="str">
        <f>IF(AND(E47=计划参数!$C$2,F47="限制性股票",G47&gt;=计划参数!$D$9),计划参数!$C$9,"")</f>
        <v/>
      </c>
      <c r="M47" s="9"/>
      <c r="N47" s="14"/>
      <c r="O47" s="14"/>
      <c r="P47" s="13"/>
      <c r="Q47" s="9"/>
      <c r="R47" s="13"/>
      <c r="S47" s="15" t="str">
        <f t="shared" si="2"/>
        <v/>
      </c>
      <c r="T47" s="15" t="str">
        <f t="shared" si="3"/>
        <v/>
      </c>
      <c r="U47" s="15" t="str">
        <f t="shared" si="4"/>
        <v/>
      </c>
      <c r="V47" s="15" t="str">
        <f t="shared" si="5"/>
        <v/>
      </c>
      <c r="W47" s="16" t="str">
        <f>IF(V47="","",VLOOKUP(V47,税率及规则!$A$2:$C$8,2,TRUE))</f>
        <v/>
      </c>
      <c r="X47" s="15" t="str">
        <f>IF(V47="","",VLOOKUP(V47,税率及规则!$A$2:$C$8,3,TRUE))</f>
        <v/>
      </c>
      <c r="Y47" s="15" t="str">
        <f t="shared" si="6"/>
        <v/>
      </c>
      <c r="Z47" s="15" t="str">
        <f>IF(U47="","",MAX(0,U47*VLOOKUP(U47,税率及规则!$A$2:$C$8,2,TRUE)-VLOOKUP(U47,税率及规则!$A$2:$C$8,3,TRUE)))</f>
        <v/>
      </c>
      <c r="AA47" s="15" t="str">
        <f t="shared" si="7"/>
        <v/>
      </c>
      <c r="AB47" s="17" t="str">
        <f t="shared" si="8"/>
        <v/>
      </c>
      <c r="AC47" s="17" t="str">
        <f t="shared" si="9"/>
        <v/>
      </c>
      <c r="AD47" s="4" t="str">
        <f>IF(A47="","",IF(COUNTIF($A$2:$A$501,A47)&gt;1,"异常：事件编号重复",IF(OR(C47="",D47="",E47="",F47="",G47=""),"异常：必填项缺失",IF(AND(F47="其他股权激励",O47=""),"异常：其他股权激励所得缺失",IF(AND(F47&lt;&gt;"其他股权激励",OR(I47="",J47="")),"异常：数量或市场价缺失",IF(AND(F47&lt;&gt;"其他股权激励",OR(I47&lt;=0,J47&lt;0)),"异常：数量或价格无效",IF(AND(F47="限制性股票",OR(M47&lt;=0,N47&lt;0,I47&gt;M47)),"异常：个人获授或出资数据无效",IF(AND(IFERROR(INDEX(计划参数!$J$2:$J$501,MATCH(C47,计划参数!$I$2:$I$501,0)),"")&lt;&gt;"",D47&lt;&gt;IFERROR(INDEX(计划参数!$J$2:$J$501,MATCH(C47,计划参数!$I$2:$I$501,0)),"")),"异常：姓名与员工主数据不一致",IF(S47&lt;0,"异常：原始所得为负，已按0计税",IF(OR(AND(F47="股票期权",K47=""),AND(F47="限制性股票",OR(K47="",L47=""))),"异常：计划参数缺失",IF(COUNTIF(计划参数!$I$2:$I$501,C47)=0,"提示：员工编号未在主数据",IF(Q47&lt;&gt;"已备案","提示：未确认备案","正常"))))))))))))</f>
        <v/>
      </c>
      <c r="AE47" s="9"/>
      <c r="AF47" s="4" t="str">
        <f>IF(C47="","",IF(COUNTIF($C$2:C47,C47)=1,MAX($AF$1:AF46)+1,""))</f>
        <v/>
      </c>
      <c r="AG47" s="4" t="str">
        <f>IF(C47="","",COUNTIF($C$2:C47,C47))</f>
        <v/>
      </c>
      <c r="AH47" s="4" t="str">
        <f t="shared" si="10"/>
        <v/>
      </c>
      <c r="AI47" s="4" t="str">
        <f t="shared" si="11"/>
        <v/>
      </c>
      <c r="AJ47" s="4" t="str">
        <f t="shared" si="12"/>
        <v/>
      </c>
      <c r="AK47" s="15" t="str">
        <f>IF(A47="","",SUMIFS(分期缴税台账!$K$2:$K$501,分期缴税台账!$T$2:$T$501,A47,分期缴税台账!$Q$2:$Q$501,"有效"))</f>
        <v/>
      </c>
      <c r="AL47" s="15" t="str">
        <f t="shared" si="13"/>
        <v/>
      </c>
      <c r="AM47" s="4" t="str">
        <f t="shared" si="14"/>
        <v/>
      </c>
    </row>
    <row r="48" spans="1:39" x14ac:dyDescent="0.3">
      <c r="A48" s="9"/>
      <c r="B48" s="4" t="str">
        <f t="shared" si="0"/>
        <v/>
      </c>
      <c r="C48" s="9"/>
      <c r="D48" s="9"/>
      <c r="E48" s="9"/>
      <c r="F48" s="9"/>
      <c r="G48" s="13"/>
      <c r="H48" s="4" t="str">
        <f t="shared" si="1"/>
        <v/>
      </c>
      <c r="I48" s="9"/>
      <c r="J48" s="14"/>
      <c r="K48" s="15" t="str">
        <f>IF(OR(E48="",F48="",G48=""),"",IF(E48&lt;&gt;计划参数!$C$2,"",IF(F48="股票期权",IFERROR(LOOKUP(G48,计划参数!$D$12:$D$15,计划参数!$C$12:$C$15),""),IF(F48="限制性股票",计划参数!$C$10,""))))</f>
        <v/>
      </c>
      <c r="L48" s="15" t="str">
        <f>IF(AND(E48=计划参数!$C$2,F48="限制性股票",G48&gt;=计划参数!$D$9),计划参数!$C$9,"")</f>
        <v/>
      </c>
      <c r="M48" s="9"/>
      <c r="N48" s="14"/>
      <c r="O48" s="14"/>
      <c r="P48" s="13"/>
      <c r="Q48" s="9"/>
      <c r="R48" s="13"/>
      <c r="S48" s="15" t="str">
        <f t="shared" si="2"/>
        <v/>
      </c>
      <c r="T48" s="15" t="str">
        <f t="shared" si="3"/>
        <v/>
      </c>
      <c r="U48" s="15" t="str">
        <f t="shared" si="4"/>
        <v/>
      </c>
      <c r="V48" s="15" t="str">
        <f t="shared" si="5"/>
        <v/>
      </c>
      <c r="W48" s="16" t="str">
        <f>IF(V48="","",VLOOKUP(V48,税率及规则!$A$2:$C$8,2,TRUE))</f>
        <v/>
      </c>
      <c r="X48" s="15" t="str">
        <f>IF(V48="","",VLOOKUP(V48,税率及规则!$A$2:$C$8,3,TRUE))</f>
        <v/>
      </c>
      <c r="Y48" s="15" t="str">
        <f t="shared" si="6"/>
        <v/>
      </c>
      <c r="Z48" s="15" t="str">
        <f>IF(U48="","",MAX(0,U48*VLOOKUP(U48,税率及规则!$A$2:$C$8,2,TRUE)-VLOOKUP(U48,税率及规则!$A$2:$C$8,3,TRUE)))</f>
        <v/>
      </c>
      <c r="AA48" s="15" t="str">
        <f t="shared" si="7"/>
        <v/>
      </c>
      <c r="AB48" s="17" t="str">
        <f t="shared" si="8"/>
        <v/>
      </c>
      <c r="AC48" s="17" t="str">
        <f t="shared" si="9"/>
        <v/>
      </c>
      <c r="AD48" s="4" t="str">
        <f>IF(A48="","",IF(COUNTIF($A$2:$A$501,A48)&gt;1,"异常：事件编号重复",IF(OR(C48="",D48="",E48="",F48="",G48=""),"异常：必填项缺失",IF(AND(F48="其他股权激励",O48=""),"异常：其他股权激励所得缺失",IF(AND(F48&lt;&gt;"其他股权激励",OR(I48="",J48="")),"异常：数量或市场价缺失",IF(AND(F48&lt;&gt;"其他股权激励",OR(I48&lt;=0,J48&lt;0)),"异常：数量或价格无效",IF(AND(F48="限制性股票",OR(M48&lt;=0,N48&lt;0,I48&gt;M48)),"异常：个人获授或出资数据无效",IF(AND(IFERROR(INDEX(计划参数!$J$2:$J$501,MATCH(C48,计划参数!$I$2:$I$501,0)),"")&lt;&gt;"",D48&lt;&gt;IFERROR(INDEX(计划参数!$J$2:$J$501,MATCH(C48,计划参数!$I$2:$I$501,0)),"")),"异常：姓名与员工主数据不一致",IF(S48&lt;0,"异常：原始所得为负，已按0计税",IF(OR(AND(F48="股票期权",K48=""),AND(F48="限制性股票",OR(K48="",L48=""))),"异常：计划参数缺失",IF(COUNTIF(计划参数!$I$2:$I$501,C48)=0,"提示：员工编号未在主数据",IF(Q48&lt;&gt;"已备案","提示：未确认备案","正常"))))))))))))</f>
        <v/>
      </c>
      <c r="AE48" s="9"/>
      <c r="AF48" s="4" t="str">
        <f>IF(C48="","",IF(COUNTIF($C$2:C48,C48)=1,MAX($AF$1:AF47)+1,""))</f>
        <v/>
      </c>
      <c r="AG48" s="4" t="str">
        <f>IF(C48="","",COUNTIF($C$2:C48,C48))</f>
        <v/>
      </c>
      <c r="AH48" s="4" t="str">
        <f t="shared" si="10"/>
        <v/>
      </c>
      <c r="AI48" s="4" t="str">
        <f t="shared" si="11"/>
        <v/>
      </c>
      <c r="AJ48" s="4" t="str">
        <f t="shared" si="12"/>
        <v/>
      </c>
      <c r="AK48" s="15" t="str">
        <f>IF(A48="","",SUMIFS(分期缴税台账!$K$2:$K$501,分期缴税台账!$T$2:$T$501,A48,分期缴税台账!$Q$2:$Q$501,"有效"))</f>
        <v/>
      </c>
      <c r="AL48" s="15" t="str">
        <f t="shared" si="13"/>
        <v/>
      </c>
      <c r="AM48" s="4" t="str">
        <f t="shared" si="14"/>
        <v/>
      </c>
    </row>
    <row r="49" spans="1:39" x14ac:dyDescent="0.3">
      <c r="A49" s="9"/>
      <c r="B49" s="4" t="str">
        <f t="shared" si="0"/>
        <v/>
      </c>
      <c r="C49" s="9"/>
      <c r="D49" s="9"/>
      <c r="E49" s="9"/>
      <c r="F49" s="9"/>
      <c r="G49" s="13"/>
      <c r="H49" s="4" t="str">
        <f t="shared" si="1"/>
        <v/>
      </c>
      <c r="I49" s="9"/>
      <c r="J49" s="14"/>
      <c r="K49" s="15" t="str">
        <f>IF(OR(E49="",F49="",G49=""),"",IF(E49&lt;&gt;计划参数!$C$2,"",IF(F49="股票期权",IFERROR(LOOKUP(G49,计划参数!$D$12:$D$15,计划参数!$C$12:$C$15),""),IF(F49="限制性股票",计划参数!$C$10,""))))</f>
        <v/>
      </c>
      <c r="L49" s="15" t="str">
        <f>IF(AND(E49=计划参数!$C$2,F49="限制性股票",G49&gt;=计划参数!$D$9),计划参数!$C$9,"")</f>
        <v/>
      </c>
      <c r="M49" s="9"/>
      <c r="N49" s="14"/>
      <c r="O49" s="14"/>
      <c r="P49" s="13"/>
      <c r="Q49" s="9"/>
      <c r="R49" s="13"/>
      <c r="S49" s="15" t="str">
        <f t="shared" si="2"/>
        <v/>
      </c>
      <c r="T49" s="15" t="str">
        <f t="shared" si="3"/>
        <v/>
      </c>
      <c r="U49" s="15" t="str">
        <f t="shared" si="4"/>
        <v/>
      </c>
      <c r="V49" s="15" t="str">
        <f t="shared" si="5"/>
        <v/>
      </c>
      <c r="W49" s="16" t="str">
        <f>IF(V49="","",VLOOKUP(V49,税率及规则!$A$2:$C$8,2,TRUE))</f>
        <v/>
      </c>
      <c r="X49" s="15" t="str">
        <f>IF(V49="","",VLOOKUP(V49,税率及规则!$A$2:$C$8,3,TRUE))</f>
        <v/>
      </c>
      <c r="Y49" s="15" t="str">
        <f t="shared" si="6"/>
        <v/>
      </c>
      <c r="Z49" s="15" t="str">
        <f>IF(U49="","",MAX(0,U49*VLOOKUP(U49,税率及规则!$A$2:$C$8,2,TRUE)-VLOOKUP(U49,税率及规则!$A$2:$C$8,3,TRUE)))</f>
        <v/>
      </c>
      <c r="AA49" s="15" t="str">
        <f t="shared" si="7"/>
        <v/>
      </c>
      <c r="AB49" s="17" t="str">
        <f t="shared" si="8"/>
        <v/>
      </c>
      <c r="AC49" s="17" t="str">
        <f t="shared" si="9"/>
        <v/>
      </c>
      <c r="AD49" s="4" t="str">
        <f>IF(A49="","",IF(COUNTIF($A$2:$A$501,A49)&gt;1,"异常：事件编号重复",IF(OR(C49="",D49="",E49="",F49="",G49=""),"异常：必填项缺失",IF(AND(F49="其他股权激励",O49=""),"异常：其他股权激励所得缺失",IF(AND(F49&lt;&gt;"其他股权激励",OR(I49="",J49="")),"异常：数量或市场价缺失",IF(AND(F49&lt;&gt;"其他股权激励",OR(I49&lt;=0,J49&lt;0)),"异常：数量或价格无效",IF(AND(F49="限制性股票",OR(M49&lt;=0,N49&lt;0,I49&gt;M49)),"异常：个人获授或出资数据无效",IF(AND(IFERROR(INDEX(计划参数!$J$2:$J$501,MATCH(C49,计划参数!$I$2:$I$501,0)),"")&lt;&gt;"",D49&lt;&gt;IFERROR(INDEX(计划参数!$J$2:$J$501,MATCH(C49,计划参数!$I$2:$I$501,0)),"")),"异常：姓名与员工主数据不一致",IF(S49&lt;0,"异常：原始所得为负，已按0计税",IF(OR(AND(F49="股票期权",K49=""),AND(F49="限制性股票",OR(K49="",L49=""))),"异常：计划参数缺失",IF(COUNTIF(计划参数!$I$2:$I$501,C49)=0,"提示：员工编号未在主数据",IF(Q49&lt;&gt;"已备案","提示：未确认备案","正常"))))))))))))</f>
        <v/>
      </c>
      <c r="AE49" s="9"/>
      <c r="AF49" s="4" t="str">
        <f>IF(C49="","",IF(COUNTIF($C$2:C49,C49)=1,MAX($AF$1:AF48)+1,""))</f>
        <v/>
      </c>
      <c r="AG49" s="4" t="str">
        <f>IF(C49="","",COUNTIF($C$2:C49,C49))</f>
        <v/>
      </c>
      <c r="AH49" s="4" t="str">
        <f t="shared" si="10"/>
        <v/>
      </c>
      <c r="AI49" s="4" t="str">
        <f t="shared" si="11"/>
        <v/>
      </c>
      <c r="AJ49" s="4" t="str">
        <f t="shared" si="12"/>
        <v/>
      </c>
      <c r="AK49" s="15" t="str">
        <f>IF(A49="","",SUMIFS(分期缴税台账!$K$2:$K$501,分期缴税台账!$T$2:$T$501,A49,分期缴税台账!$Q$2:$Q$501,"有效"))</f>
        <v/>
      </c>
      <c r="AL49" s="15" t="str">
        <f t="shared" si="13"/>
        <v/>
      </c>
      <c r="AM49" s="4" t="str">
        <f t="shared" si="14"/>
        <v/>
      </c>
    </row>
    <row r="50" spans="1:39" x14ac:dyDescent="0.3">
      <c r="A50" s="9"/>
      <c r="B50" s="4" t="str">
        <f t="shared" si="0"/>
        <v/>
      </c>
      <c r="C50" s="9"/>
      <c r="D50" s="9"/>
      <c r="E50" s="9"/>
      <c r="F50" s="9"/>
      <c r="G50" s="13"/>
      <c r="H50" s="4" t="str">
        <f t="shared" si="1"/>
        <v/>
      </c>
      <c r="I50" s="9"/>
      <c r="J50" s="14"/>
      <c r="K50" s="15" t="str">
        <f>IF(OR(E50="",F50="",G50=""),"",IF(E50&lt;&gt;计划参数!$C$2,"",IF(F50="股票期权",IFERROR(LOOKUP(G50,计划参数!$D$12:$D$15,计划参数!$C$12:$C$15),""),IF(F50="限制性股票",计划参数!$C$10,""))))</f>
        <v/>
      </c>
      <c r="L50" s="15" t="str">
        <f>IF(AND(E50=计划参数!$C$2,F50="限制性股票",G50&gt;=计划参数!$D$9),计划参数!$C$9,"")</f>
        <v/>
      </c>
      <c r="M50" s="9"/>
      <c r="N50" s="14"/>
      <c r="O50" s="14"/>
      <c r="P50" s="13"/>
      <c r="Q50" s="9"/>
      <c r="R50" s="13"/>
      <c r="S50" s="15" t="str">
        <f t="shared" si="2"/>
        <v/>
      </c>
      <c r="T50" s="15" t="str">
        <f t="shared" si="3"/>
        <v/>
      </c>
      <c r="U50" s="15" t="str">
        <f t="shared" si="4"/>
        <v/>
      </c>
      <c r="V50" s="15" t="str">
        <f t="shared" si="5"/>
        <v/>
      </c>
      <c r="W50" s="16" t="str">
        <f>IF(V50="","",VLOOKUP(V50,税率及规则!$A$2:$C$8,2,TRUE))</f>
        <v/>
      </c>
      <c r="X50" s="15" t="str">
        <f>IF(V50="","",VLOOKUP(V50,税率及规则!$A$2:$C$8,3,TRUE))</f>
        <v/>
      </c>
      <c r="Y50" s="15" t="str">
        <f t="shared" si="6"/>
        <v/>
      </c>
      <c r="Z50" s="15" t="str">
        <f>IF(U50="","",MAX(0,U50*VLOOKUP(U50,税率及规则!$A$2:$C$8,2,TRUE)-VLOOKUP(U50,税率及规则!$A$2:$C$8,3,TRUE)))</f>
        <v/>
      </c>
      <c r="AA50" s="15" t="str">
        <f t="shared" si="7"/>
        <v/>
      </c>
      <c r="AB50" s="17" t="str">
        <f t="shared" si="8"/>
        <v/>
      </c>
      <c r="AC50" s="17" t="str">
        <f t="shared" si="9"/>
        <v/>
      </c>
      <c r="AD50" s="4" t="str">
        <f>IF(A50="","",IF(COUNTIF($A$2:$A$501,A50)&gt;1,"异常：事件编号重复",IF(OR(C50="",D50="",E50="",F50="",G50=""),"异常：必填项缺失",IF(AND(F50="其他股权激励",O50=""),"异常：其他股权激励所得缺失",IF(AND(F50&lt;&gt;"其他股权激励",OR(I50="",J50="")),"异常：数量或市场价缺失",IF(AND(F50&lt;&gt;"其他股权激励",OR(I50&lt;=0,J50&lt;0)),"异常：数量或价格无效",IF(AND(F50="限制性股票",OR(M50&lt;=0,N50&lt;0,I50&gt;M50)),"异常：个人获授或出资数据无效",IF(AND(IFERROR(INDEX(计划参数!$J$2:$J$501,MATCH(C50,计划参数!$I$2:$I$501,0)),"")&lt;&gt;"",D50&lt;&gt;IFERROR(INDEX(计划参数!$J$2:$J$501,MATCH(C50,计划参数!$I$2:$I$501,0)),"")),"异常：姓名与员工主数据不一致",IF(S50&lt;0,"异常：原始所得为负，已按0计税",IF(OR(AND(F50="股票期权",K50=""),AND(F50="限制性股票",OR(K50="",L50=""))),"异常：计划参数缺失",IF(COUNTIF(计划参数!$I$2:$I$501,C50)=0,"提示：员工编号未在主数据",IF(Q50&lt;&gt;"已备案","提示：未确认备案","正常"))))))))))))</f>
        <v/>
      </c>
      <c r="AE50" s="9"/>
      <c r="AF50" s="4" t="str">
        <f>IF(C50="","",IF(COUNTIF($C$2:C50,C50)=1,MAX($AF$1:AF49)+1,""))</f>
        <v/>
      </c>
      <c r="AG50" s="4" t="str">
        <f>IF(C50="","",COUNTIF($C$2:C50,C50))</f>
        <v/>
      </c>
      <c r="AH50" s="4" t="str">
        <f t="shared" si="10"/>
        <v/>
      </c>
      <c r="AI50" s="4" t="str">
        <f t="shared" si="11"/>
        <v/>
      </c>
      <c r="AJ50" s="4" t="str">
        <f t="shared" si="12"/>
        <v/>
      </c>
      <c r="AK50" s="15" t="str">
        <f>IF(A50="","",SUMIFS(分期缴税台账!$K$2:$K$501,分期缴税台账!$T$2:$T$501,A50,分期缴税台账!$Q$2:$Q$501,"有效"))</f>
        <v/>
      </c>
      <c r="AL50" s="15" t="str">
        <f t="shared" si="13"/>
        <v/>
      </c>
      <c r="AM50" s="4" t="str">
        <f t="shared" si="14"/>
        <v/>
      </c>
    </row>
    <row r="51" spans="1:39" x14ac:dyDescent="0.3">
      <c r="A51" s="9"/>
      <c r="B51" s="4" t="str">
        <f t="shared" si="0"/>
        <v/>
      </c>
      <c r="C51" s="9"/>
      <c r="D51" s="9"/>
      <c r="E51" s="9"/>
      <c r="F51" s="9"/>
      <c r="G51" s="13"/>
      <c r="H51" s="4" t="str">
        <f t="shared" si="1"/>
        <v/>
      </c>
      <c r="I51" s="9"/>
      <c r="J51" s="14"/>
      <c r="K51" s="15" t="str">
        <f>IF(OR(E51="",F51="",G51=""),"",IF(E51&lt;&gt;计划参数!$C$2,"",IF(F51="股票期权",IFERROR(LOOKUP(G51,计划参数!$D$12:$D$15,计划参数!$C$12:$C$15),""),IF(F51="限制性股票",计划参数!$C$10,""))))</f>
        <v/>
      </c>
      <c r="L51" s="15" t="str">
        <f>IF(AND(E51=计划参数!$C$2,F51="限制性股票",G51&gt;=计划参数!$D$9),计划参数!$C$9,"")</f>
        <v/>
      </c>
      <c r="M51" s="9"/>
      <c r="N51" s="14"/>
      <c r="O51" s="14"/>
      <c r="P51" s="13"/>
      <c r="Q51" s="9"/>
      <c r="R51" s="13"/>
      <c r="S51" s="15" t="str">
        <f t="shared" si="2"/>
        <v/>
      </c>
      <c r="T51" s="15" t="str">
        <f t="shared" si="3"/>
        <v/>
      </c>
      <c r="U51" s="15" t="str">
        <f t="shared" si="4"/>
        <v/>
      </c>
      <c r="V51" s="15" t="str">
        <f t="shared" si="5"/>
        <v/>
      </c>
      <c r="W51" s="16" t="str">
        <f>IF(V51="","",VLOOKUP(V51,税率及规则!$A$2:$C$8,2,TRUE))</f>
        <v/>
      </c>
      <c r="X51" s="15" t="str">
        <f>IF(V51="","",VLOOKUP(V51,税率及规则!$A$2:$C$8,3,TRUE))</f>
        <v/>
      </c>
      <c r="Y51" s="15" t="str">
        <f t="shared" si="6"/>
        <v/>
      </c>
      <c r="Z51" s="15" t="str">
        <f>IF(U51="","",MAX(0,U51*VLOOKUP(U51,税率及规则!$A$2:$C$8,2,TRUE)-VLOOKUP(U51,税率及规则!$A$2:$C$8,3,TRUE)))</f>
        <v/>
      </c>
      <c r="AA51" s="15" t="str">
        <f t="shared" si="7"/>
        <v/>
      </c>
      <c r="AB51" s="17" t="str">
        <f t="shared" si="8"/>
        <v/>
      </c>
      <c r="AC51" s="17" t="str">
        <f t="shared" si="9"/>
        <v/>
      </c>
      <c r="AD51" s="4" t="str">
        <f>IF(A51="","",IF(COUNTIF($A$2:$A$501,A51)&gt;1,"异常：事件编号重复",IF(OR(C51="",D51="",E51="",F51="",G51=""),"异常：必填项缺失",IF(AND(F51="其他股权激励",O51=""),"异常：其他股权激励所得缺失",IF(AND(F51&lt;&gt;"其他股权激励",OR(I51="",J51="")),"异常：数量或市场价缺失",IF(AND(F51&lt;&gt;"其他股权激励",OR(I51&lt;=0,J51&lt;0)),"异常：数量或价格无效",IF(AND(F51="限制性股票",OR(M51&lt;=0,N51&lt;0,I51&gt;M51)),"异常：个人获授或出资数据无效",IF(AND(IFERROR(INDEX(计划参数!$J$2:$J$501,MATCH(C51,计划参数!$I$2:$I$501,0)),"")&lt;&gt;"",D51&lt;&gt;IFERROR(INDEX(计划参数!$J$2:$J$501,MATCH(C51,计划参数!$I$2:$I$501,0)),"")),"异常：姓名与员工主数据不一致",IF(S51&lt;0,"异常：原始所得为负，已按0计税",IF(OR(AND(F51="股票期权",K51=""),AND(F51="限制性股票",OR(K51="",L51=""))),"异常：计划参数缺失",IF(COUNTIF(计划参数!$I$2:$I$501,C51)=0,"提示：员工编号未在主数据",IF(Q51&lt;&gt;"已备案","提示：未确认备案","正常"))))))))))))</f>
        <v/>
      </c>
      <c r="AE51" s="9"/>
      <c r="AF51" s="4" t="str">
        <f>IF(C51="","",IF(COUNTIF($C$2:C51,C51)=1,MAX($AF$1:AF50)+1,""))</f>
        <v/>
      </c>
      <c r="AG51" s="4" t="str">
        <f>IF(C51="","",COUNTIF($C$2:C51,C51))</f>
        <v/>
      </c>
      <c r="AH51" s="4" t="str">
        <f t="shared" si="10"/>
        <v/>
      </c>
      <c r="AI51" s="4" t="str">
        <f t="shared" si="11"/>
        <v/>
      </c>
      <c r="AJ51" s="4" t="str">
        <f t="shared" si="12"/>
        <v/>
      </c>
      <c r="AK51" s="15" t="str">
        <f>IF(A51="","",SUMIFS(分期缴税台账!$K$2:$K$501,分期缴税台账!$T$2:$T$501,A51,分期缴税台账!$Q$2:$Q$501,"有效"))</f>
        <v/>
      </c>
      <c r="AL51" s="15" t="str">
        <f t="shared" si="13"/>
        <v/>
      </c>
      <c r="AM51" s="4" t="str">
        <f t="shared" si="14"/>
        <v/>
      </c>
    </row>
    <row r="52" spans="1:39" x14ac:dyDescent="0.3">
      <c r="A52" s="9"/>
      <c r="B52" s="4" t="str">
        <f t="shared" si="0"/>
        <v/>
      </c>
      <c r="C52" s="9"/>
      <c r="D52" s="9"/>
      <c r="E52" s="9"/>
      <c r="F52" s="9"/>
      <c r="G52" s="13"/>
      <c r="H52" s="4" t="str">
        <f t="shared" si="1"/>
        <v/>
      </c>
      <c r="I52" s="9"/>
      <c r="J52" s="14"/>
      <c r="K52" s="15" t="str">
        <f>IF(OR(E52="",F52="",G52=""),"",IF(E52&lt;&gt;计划参数!$C$2,"",IF(F52="股票期权",IFERROR(LOOKUP(G52,计划参数!$D$12:$D$15,计划参数!$C$12:$C$15),""),IF(F52="限制性股票",计划参数!$C$10,""))))</f>
        <v/>
      </c>
      <c r="L52" s="15" t="str">
        <f>IF(AND(E52=计划参数!$C$2,F52="限制性股票",G52&gt;=计划参数!$D$9),计划参数!$C$9,"")</f>
        <v/>
      </c>
      <c r="M52" s="9"/>
      <c r="N52" s="14"/>
      <c r="O52" s="14"/>
      <c r="P52" s="13"/>
      <c r="Q52" s="9"/>
      <c r="R52" s="13"/>
      <c r="S52" s="15" t="str">
        <f t="shared" si="2"/>
        <v/>
      </c>
      <c r="T52" s="15" t="str">
        <f t="shared" si="3"/>
        <v/>
      </c>
      <c r="U52" s="15" t="str">
        <f t="shared" si="4"/>
        <v/>
      </c>
      <c r="V52" s="15" t="str">
        <f t="shared" si="5"/>
        <v/>
      </c>
      <c r="W52" s="16" t="str">
        <f>IF(V52="","",VLOOKUP(V52,税率及规则!$A$2:$C$8,2,TRUE))</f>
        <v/>
      </c>
      <c r="X52" s="15" t="str">
        <f>IF(V52="","",VLOOKUP(V52,税率及规则!$A$2:$C$8,3,TRUE))</f>
        <v/>
      </c>
      <c r="Y52" s="15" t="str">
        <f t="shared" si="6"/>
        <v/>
      </c>
      <c r="Z52" s="15" t="str">
        <f>IF(U52="","",MAX(0,U52*VLOOKUP(U52,税率及规则!$A$2:$C$8,2,TRUE)-VLOOKUP(U52,税率及规则!$A$2:$C$8,3,TRUE)))</f>
        <v/>
      </c>
      <c r="AA52" s="15" t="str">
        <f t="shared" si="7"/>
        <v/>
      </c>
      <c r="AB52" s="17" t="str">
        <f t="shared" si="8"/>
        <v/>
      </c>
      <c r="AC52" s="17" t="str">
        <f t="shared" si="9"/>
        <v/>
      </c>
      <c r="AD52" s="4" t="str">
        <f>IF(A52="","",IF(COUNTIF($A$2:$A$501,A52)&gt;1,"异常：事件编号重复",IF(OR(C52="",D52="",E52="",F52="",G52=""),"异常：必填项缺失",IF(AND(F52="其他股权激励",O52=""),"异常：其他股权激励所得缺失",IF(AND(F52&lt;&gt;"其他股权激励",OR(I52="",J52="")),"异常：数量或市场价缺失",IF(AND(F52&lt;&gt;"其他股权激励",OR(I52&lt;=0,J52&lt;0)),"异常：数量或价格无效",IF(AND(F52="限制性股票",OR(M52&lt;=0,N52&lt;0,I52&gt;M52)),"异常：个人获授或出资数据无效",IF(AND(IFERROR(INDEX(计划参数!$J$2:$J$501,MATCH(C52,计划参数!$I$2:$I$501,0)),"")&lt;&gt;"",D52&lt;&gt;IFERROR(INDEX(计划参数!$J$2:$J$501,MATCH(C52,计划参数!$I$2:$I$501,0)),"")),"异常：姓名与员工主数据不一致",IF(S52&lt;0,"异常：原始所得为负，已按0计税",IF(OR(AND(F52="股票期权",K52=""),AND(F52="限制性股票",OR(K52="",L52=""))),"异常：计划参数缺失",IF(COUNTIF(计划参数!$I$2:$I$501,C52)=0,"提示：员工编号未在主数据",IF(Q52&lt;&gt;"已备案","提示：未确认备案","正常"))))))))))))</f>
        <v/>
      </c>
      <c r="AE52" s="9"/>
      <c r="AF52" s="4" t="str">
        <f>IF(C52="","",IF(COUNTIF($C$2:C52,C52)=1,MAX($AF$1:AF51)+1,""))</f>
        <v/>
      </c>
      <c r="AG52" s="4" t="str">
        <f>IF(C52="","",COUNTIF($C$2:C52,C52))</f>
        <v/>
      </c>
      <c r="AH52" s="4" t="str">
        <f t="shared" si="10"/>
        <v/>
      </c>
      <c r="AI52" s="4" t="str">
        <f t="shared" si="11"/>
        <v/>
      </c>
      <c r="AJ52" s="4" t="str">
        <f t="shared" si="12"/>
        <v/>
      </c>
      <c r="AK52" s="15" t="str">
        <f>IF(A52="","",SUMIFS(分期缴税台账!$K$2:$K$501,分期缴税台账!$T$2:$T$501,A52,分期缴税台账!$Q$2:$Q$501,"有效"))</f>
        <v/>
      </c>
      <c r="AL52" s="15" t="str">
        <f t="shared" si="13"/>
        <v/>
      </c>
      <c r="AM52" s="4" t="str">
        <f t="shared" si="14"/>
        <v/>
      </c>
    </row>
    <row r="53" spans="1:39" x14ac:dyDescent="0.3">
      <c r="A53" s="9"/>
      <c r="B53" s="4" t="str">
        <f t="shared" si="0"/>
        <v/>
      </c>
      <c r="C53" s="9"/>
      <c r="D53" s="9"/>
      <c r="E53" s="9"/>
      <c r="F53" s="9"/>
      <c r="G53" s="13"/>
      <c r="H53" s="4" t="str">
        <f t="shared" si="1"/>
        <v/>
      </c>
      <c r="I53" s="9"/>
      <c r="J53" s="14"/>
      <c r="K53" s="15" t="str">
        <f>IF(OR(E53="",F53="",G53=""),"",IF(E53&lt;&gt;计划参数!$C$2,"",IF(F53="股票期权",IFERROR(LOOKUP(G53,计划参数!$D$12:$D$15,计划参数!$C$12:$C$15),""),IF(F53="限制性股票",计划参数!$C$10,""))))</f>
        <v/>
      </c>
      <c r="L53" s="15" t="str">
        <f>IF(AND(E53=计划参数!$C$2,F53="限制性股票",G53&gt;=计划参数!$D$9),计划参数!$C$9,"")</f>
        <v/>
      </c>
      <c r="M53" s="9"/>
      <c r="N53" s="14"/>
      <c r="O53" s="14"/>
      <c r="P53" s="13"/>
      <c r="Q53" s="9"/>
      <c r="R53" s="13"/>
      <c r="S53" s="15" t="str">
        <f t="shared" si="2"/>
        <v/>
      </c>
      <c r="T53" s="15" t="str">
        <f t="shared" si="3"/>
        <v/>
      </c>
      <c r="U53" s="15" t="str">
        <f t="shared" si="4"/>
        <v/>
      </c>
      <c r="V53" s="15" t="str">
        <f t="shared" si="5"/>
        <v/>
      </c>
      <c r="W53" s="16" t="str">
        <f>IF(V53="","",VLOOKUP(V53,税率及规则!$A$2:$C$8,2,TRUE))</f>
        <v/>
      </c>
      <c r="X53" s="15" t="str">
        <f>IF(V53="","",VLOOKUP(V53,税率及规则!$A$2:$C$8,3,TRUE))</f>
        <v/>
      </c>
      <c r="Y53" s="15" t="str">
        <f t="shared" si="6"/>
        <v/>
      </c>
      <c r="Z53" s="15" t="str">
        <f>IF(U53="","",MAX(0,U53*VLOOKUP(U53,税率及规则!$A$2:$C$8,2,TRUE)-VLOOKUP(U53,税率及规则!$A$2:$C$8,3,TRUE)))</f>
        <v/>
      </c>
      <c r="AA53" s="15" t="str">
        <f t="shared" si="7"/>
        <v/>
      </c>
      <c r="AB53" s="17" t="str">
        <f t="shared" si="8"/>
        <v/>
      </c>
      <c r="AC53" s="17" t="str">
        <f t="shared" si="9"/>
        <v/>
      </c>
      <c r="AD53" s="4" t="str">
        <f>IF(A53="","",IF(COUNTIF($A$2:$A$501,A53)&gt;1,"异常：事件编号重复",IF(OR(C53="",D53="",E53="",F53="",G53=""),"异常：必填项缺失",IF(AND(F53="其他股权激励",O53=""),"异常：其他股权激励所得缺失",IF(AND(F53&lt;&gt;"其他股权激励",OR(I53="",J53="")),"异常：数量或市场价缺失",IF(AND(F53&lt;&gt;"其他股权激励",OR(I53&lt;=0,J53&lt;0)),"异常：数量或价格无效",IF(AND(F53="限制性股票",OR(M53&lt;=0,N53&lt;0,I53&gt;M53)),"异常：个人获授或出资数据无效",IF(AND(IFERROR(INDEX(计划参数!$J$2:$J$501,MATCH(C53,计划参数!$I$2:$I$501,0)),"")&lt;&gt;"",D53&lt;&gt;IFERROR(INDEX(计划参数!$J$2:$J$501,MATCH(C53,计划参数!$I$2:$I$501,0)),"")),"异常：姓名与员工主数据不一致",IF(S53&lt;0,"异常：原始所得为负，已按0计税",IF(OR(AND(F53="股票期权",K53=""),AND(F53="限制性股票",OR(K53="",L53=""))),"异常：计划参数缺失",IF(COUNTIF(计划参数!$I$2:$I$501,C53)=0,"提示：员工编号未在主数据",IF(Q53&lt;&gt;"已备案","提示：未确认备案","正常"))))))))))))</f>
        <v/>
      </c>
      <c r="AE53" s="9"/>
      <c r="AF53" s="4" t="str">
        <f>IF(C53="","",IF(COUNTIF($C$2:C53,C53)=1,MAX($AF$1:AF52)+1,""))</f>
        <v/>
      </c>
      <c r="AG53" s="4" t="str">
        <f>IF(C53="","",COUNTIF($C$2:C53,C53))</f>
        <v/>
      </c>
      <c r="AH53" s="4" t="str">
        <f t="shared" si="10"/>
        <v/>
      </c>
      <c r="AI53" s="4" t="str">
        <f t="shared" si="11"/>
        <v/>
      </c>
      <c r="AJ53" s="4" t="str">
        <f t="shared" si="12"/>
        <v/>
      </c>
      <c r="AK53" s="15" t="str">
        <f>IF(A53="","",SUMIFS(分期缴税台账!$K$2:$K$501,分期缴税台账!$T$2:$T$501,A53,分期缴税台账!$Q$2:$Q$501,"有效"))</f>
        <v/>
      </c>
      <c r="AL53" s="15" t="str">
        <f t="shared" si="13"/>
        <v/>
      </c>
      <c r="AM53" s="4" t="str">
        <f t="shared" si="14"/>
        <v/>
      </c>
    </row>
    <row r="54" spans="1:39" x14ac:dyDescent="0.3">
      <c r="A54" s="9"/>
      <c r="B54" s="4" t="str">
        <f t="shared" si="0"/>
        <v/>
      </c>
      <c r="C54" s="9"/>
      <c r="D54" s="9"/>
      <c r="E54" s="9"/>
      <c r="F54" s="9"/>
      <c r="G54" s="13"/>
      <c r="H54" s="4" t="str">
        <f t="shared" si="1"/>
        <v/>
      </c>
      <c r="I54" s="9"/>
      <c r="J54" s="14"/>
      <c r="K54" s="15" t="str">
        <f>IF(OR(E54="",F54="",G54=""),"",IF(E54&lt;&gt;计划参数!$C$2,"",IF(F54="股票期权",IFERROR(LOOKUP(G54,计划参数!$D$12:$D$15,计划参数!$C$12:$C$15),""),IF(F54="限制性股票",计划参数!$C$10,""))))</f>
        <v/>
      </c>
      <c r="L54" s="15" t="str">
        <f>IF(AND(E54=计划参数!$C$2,F54="限制性股票",G54&gt;=计划参数!$D$9),计划参数!$C$9,"")</f>
        <v/>
      </c>
      <c r="M54" s="9"/>
      <c r="N54" s="14"/>
      <c r="O54" s="14"/>
      <c r="P54" s="13"/>
      <c r="Q54" s="9"/>
      <c r="R54" s="13"/>
      <c r="S54" s="15" t="str">
        <f t="shared" si="2"/>
        <v/>
      </c>
      <c r="T54" s="15" t="str">
        <f t="shared" si="3"/>
        <v/>
      </c>
      <c r="U54" s="15" t="str">
        <f t="shared" si="4"/>
        <v/>
      </c>
      <c r="V54" s="15" t="str">
        <f t="shared" si="5"/>
        <v/>
      </c>
      <c r="W54" s="16" t="str">
        <f>IF(V54="","",VLOOKUP(V54,税率及规则!$A$2:$C$8,2,TRUE))</f>
        <v/>
      </c>
      <c r="X54" s="15" t="str">
        <f>IF(V54="","",VLOOKUP(V54,税率及规则!$A$2:$C$8,3,TRUE))</f>
        <v/>
      </c>
      <c r="Y54" s="15" t="str">
        <f t="shared" si="6"/>
        <v/>
      </c>
      <c r="Z54" s="15" t="str">
        <f>IF(U54="","",MAX(0,U54*VLOOKUP(U54,税率及规则!$A$2:$C$8,2,TRUE)-VLOOKUP(U54,税率及规则!$A$2:$C$8,3,TRUE)))</f>
        <v/>
      </c>
      <c r="AA54" s="15" t="str">
        <f t="shared" si="7"/>
        <v/>
      </c>
      <c r="AB54" s="17" t="str">
        <f t="shared" si="8"/>
        <v/>
      </c>
      <c r="AC54" s="17" t="str">
        <f t="shared" si="9"/>
        <v/>
      </c>
      <c r="AD54" s="4" t="str">
        <f>IF(A54="","",IF(COUNTIF($A$2:$A$501,A54)&gt;1,"异常：事件编号重复",IF(OR(C54="",D54="",E54="",F54="",G54=""),"异常：必填项缺失",IF(AND(F54="其他股权激励",O54=""),"异常：其他股权激励所得缺失",IF(AND(F54&lt;&gt;"其他股权激励",OR(I54="",J54="")),"异常：数量或市场价缺失",IF(AND(F54&lt;&gt;"其他股权激励",OR(I54&lt;=0,J54&lt;0)),"异常：数量或价格无效",IF(AND(F54="限制性股票",OR(M54&lt;=0,N54&lt;0,I54&gt;M54)),"异常：个人获授或出资数据无效",IF(AND(IFERROR(INDEX(计划参数!$J$2:$J$501,MATCH(C54,计划参数!$I$2:$I$501,0)),"")&lt;&gt;"",D54&lt;&gt;IFERROR(INDEX(计划参数!$J$2:$J$501,MATCH(C54,计划参数!$I$2:$I$501,0)),"")),"异常：姓名与员工主数据不一致",IF(S54&lt;0,"异常：原始所得为负，已按0计税",IF(OR(AND(F54="股票期权",K54=""),AND(F54="限制性股票",OR(K54="",L54=""))),"异常：计划参数缺失",IF(COUNTIF(计划参数!$I$2:$I$501,C54)=0,"提示：员工编号未在主数据",IF(Q54&lt;&gt;"已备案","提示：未确认备案","正常"))))))))))))</f>
        <v/>
      </c>
      <c r="AE54" s="9"/>
      <c r="AF54" s="4" t="str">
        <f>IF(C54="","",IF(COUNTIF($C$2:C54,C54)=1,MAX($AF$1:AF53)+1,""))</f>
        <v/>
      </c>
      <c r="AG54" s="4" t="str">
        <f>IF(C54="","",COUNTIF($C$2:C54,C54))</f>
        <v/>
      </c>
      <c r="AH54" s="4" t="str">
        <f t="shared" si="10"/>
        <v/>
      </c>
      <c r="AI54" s="4" t="str">
        <f t="shared" si="11"/>
        <v/>
      </c>
      <c r="AJ54" s="4" t="str">
        <f t="shared" si="12"/>
        <v/>
      </c>
      <c r="AK54" s="15" t="str">
        <f>IF(A54="","",SUMIFS(分期缴税台账!$K$2:$K$501,分期缴税台账!$T$2:$T$501,A54,分期缴税台账!$Q$2:$Q$501,"有效"))</f>
        <v/>
      </c>
      <c r="AL54" s="15" t="str">
        <f t="shared" si="13"/>
        <v/>
      </c>
      <c r="AM54" s="4" t="str">
        <f t="shared" si="14"/>
        <v/>
      </c>
    </row>
    <row r="55" spans="1:39" x14ac:dyDescent="0.3">
      <c r="A55" s="9"/>
      <c r="B55" s="4" t="str">
        <f t="shared" si="0"/>
        <v/>
      </c>
      <c r="C55" s="9"/>
      <c r="D55" s="9"/>
      <c r="E55" s="9"/>
      <c r="F55" s="9"/>
      <c r="G55" s="13"/>
      <c r="H55" s="4" t="str">
        <f t="shared" si="1"/>
        <v/>
      </c>
      <c r="I55" s="9"/>
      <c r="J55" s="14"/>
      <c r="K55" s="15" t="str">
        <f>IF(OR(E55="",F55="",G55=""),"",IF(E55&lt;&gt;计划参数!$C$2,"",IF(F55="股票期权",IFERROR(LOOKUP(G55,计划参数!$D$12:$D$15,计划参数!$C$12:$C$15),""),IF(F55="限制性股票",计划参数!$C$10,""))))</f>
        <v/>
      </c>
      <c r="L55" s="15" t="str">
        <f>IF(AND(E55=计划参数!$C$2,F55="限制性股票",G55&gt;=计划参数!$D$9),计划参数!$C$9,"")</f>
        <v/>
      </c>
      <c r="M55" s="9"/>
      <c r="N55" s="14"/>
      <c r="O55" s="14"/>
      <c r="P55" s="13"/>
      <c r="Q55" s="9"/>
      <c r="R55" s="13"/>
      <c r="S55" s="15" t="str">
        <f t="shared" si="2"/>
        <v/>
      </c>
      <c r="T55" s="15" t="str">
        <f t="shared" si="3"/>
        <v/>
      </c>
      <c r="U55" s="15" t="str">
        <f t="shared" si="4"/>
        <v/>
      </c>
      <c r="V55" s="15" t="str">
        <f t="shared" si="5"/>
        <v/>
      </c>
      <c r="W55" s="16" t="str">
        <f>IF(V55="","",VLOOKUP(V55,税率及规则!$A$2:$C$8,2,TRUE))</f>
        <v/>
      </c>
      <c r="X55" s="15" t="str">
        <f>IF(V55="","",VLOOKUP(V55,税率及规则!$A$2:$C$8,3,TRUE))</f>
        <v/>
      </c>
      <c r="Y55" s="15" t="str">
        <f t="shared" si="6"/>
        <v/>
      </c>
      <c r="Z55" s="15" t="str">
        <f>IF(U55="","",MAX(0,U55*VLOOKUP(U55,税率及规则!$A$2:$C$8,2,TRUE)-VLOOKUP(U55,税率及规则!$A$2:$C$8,3,TRUE)))</f>
        <v/>
      </c>
      <c r="AA55" s="15" t="str">
        <f t="shared" si="7"/>
        <v/>
      </c>
      <c r="AB55" s="17" t="str">
        <f t="shared" si="8"/>
        <v/>
      </c>
      <c r="AC55" s="17" t="str">
        <f t="shared" si="9"/>
        <v/>
      </c>
      <c r="AD55" s="4" t="str">
        <f>IF(A55="","",IF(COUNTIF($A$2:$A$501,A55)&gt;1,"异常：事件编号重复",IF(OR(C55="",D55="",E55="",F55="",G55=""),"异常：必填项缺失",IF(AND(F55="其他股权激励",O55=""),"异常：其他股权激励所得缺失",IF(AND(F55&lt;&gt;"其他股权激励",OR(I55="",J55="")),"异常：数量或市场价缺失",IF(AND(F55&lt;&gt;"其他股权激励",OR(I55&lt;=0,J55&lt;0)),"异常：数量或价格无效",IF(AND(F55="限制性股票",OR(M55&lt;=0,N55&lt;0,I55&gt;M55)),"异常：个人获授或出资数据无效",IF(AND(IFERROR(INDEX(计划参数!$J$2:$J$501,MATCH(C55,计划参数!$I$2:$I$501,0)),"")&lt;&gt;"",D55&lt;&gt;IFERROR(INDEX(计划参数!$J$2:$J$501,MATCH(C55,计划参数!$I$2:$I$501,0)),"")),"异常：姓名与员工主数据不一致",IF(S55&lt;0,"异常：原始所得为负，已按0计税",IF(OR(AND(F55="股票期权",K55=""),AND(F55="限制性股票",OR(K55="",L55=""))),"异常：计划参数缺失",IF(COUNTIF(计划参数!$I$2:$I$501,C55)=0,"提示：员工编号未在主数据",IF(Q55&lt;&gt;"已备案","提示：未确认备案","正常"))))))))))))</f>
        <v/>
      </c>
      <c r="AE55" s="9"/>
      <c r="AF55" s="4" t="str">
        <f>IF(C55="","",IF(COUNTIF($C$2:C55,C55)=1,MAX($AF$1:AF54)+1,""))</f>
        <v/>
      </c>
      <c r="AG55" s="4" t="str">
        <f>IF(C55="","",COUNTIF($C$2:C55,C55))</f>
        <v/>
      </c>
      <c r="AH55" s="4" t="str">
        <f t="shared" si="10"/>
        <v/>
      </c>
      <c r="AI55" s="4" t="str">
        <f t="shared" si="11"/>
        <v/>
      </c>
      <c r="AJ55" s="4" t="str">
        <f t="shared" si="12"/>
        <v/>
      </c>
      <c r="AK55" s="15" t="str">
        <f>IF(A55="","",SUMIFS(分期缴税台账!$K$2:$K$501,分期缴税台账!$T$2:$T$501,A55,分期缴税台账!$Q$2:$Q$501,"有效"))</f>
        <v/>
      </c>
      <c r="AL55" s="15" t="str">
        <f t="shared" si="13"/>
        <v/>
      </c>
      <c r="AM55" s="4" t="str">
        <f t="shared" si="14"/>
        <v/>
      </c>
    </row>
    <row r="56" spans="1:39" x14ac:dyDescent="0.3">
      <c r="A56" s="9"/>
      <c r="B56" s="4" t="str">
        <f t="shared" si="0"/>
        <v/>
      </c>
      <c r="C56" s="9"/>
      <c r="D56" s="9"/>
      <c r="E56" s="9"/>
      <c r="F56" s="9"/>
      <c r="G56" s="13"/>
      <c r="H56" s="4" t="str">
        <f t="shared" si="1"/>
        <v/>
      </c>
      <c r="I56" s="9"/>
      <c r="J56" s="14"/>
      <c r="K56" s="15" t="str">
        <f>IF(OR(E56="",F56="",G56=""),"",IF(E56&lt;&gt;计划参数!$C$2,"",IF(F56="股票期权",IFERROR(LOOKUP(G56,计划参数!$D$12:$D$15,计划参数!$C$12:$C$15),""),IF(F56="限制性股票",计划参数!$C$10,""))))</f>
        <v/>
      </c>
      <c r="L56" s="15" t="str">
        <f>IF(AND(E56=计划参数!$C$2,F56="限制性股票",G56&gt;=计划参数!$D$9),计划参数!$C$9,"")</f>
        <v/>
      </c>
      <c r="M56" s="9"/>
      <c r="N56" s="14"/>
      <c r="O56" s="14"/>
      <c r="P56" s="13"/>
      <c r="Q56" s="9"/>
      <c r="R56" s="13"/>
      <c r="S56" s="15" t="str">
        <f t="shared" si="2"/>
        <v/>
      </c>
      <c r="T56" s="15" t="str">
        <f t="shared" si="3"/>
        <v/>
      </c>
      <c r="U56" s="15" t="str">
        <f t="shared" si="4"/>
        <v/>
      </c>
      <c r="V56" s="15" t="str">
        <f t="shared" si="5"/>
        <v/>
      </c>
      <c r="W56" s="16" t="str">
        <f>IF(V56="","",VLOOKUP(V56,税率及规则!$A$2:$C$8,2,TRUE))</f>
        <v/>
      </c>
      <c r="X56" s="15" t="str">
        <f>IF(V56="","",VLOOKUP(V56,税率及规则!$A$2:$C$8,3,TRUE))</f>
        <v/>
      </c>
      <c r="Y56" s="15" t="str">
        <f t="shared" si="6"/>
        <v/>
      </c>
      <c r="Z56" s="15" t="str">
        <f>IF(U56="","",MAX(0,U56*VLOOKUP(U56,税率及规则!$A$2:$C$8,2,TRUE)-VLOOKUP(U56,税率及规则!$A$2:$C$8,3,TRUE)))</f>
        <v/>
      </c>
      <c r="AA56" s="15" t="str">
        <f t="shared" si="7"/>
        <v/>
      </c>
      <c r="AB56" s="17" t="str">
        <f t="shared" si="8"/>
        <v/>
      </c>
      <c r="AC56" s="17" t="str">
        <f t="shared" si="9"/>
        <v/>
      </c>
      <c r="AD56" s="4" t="str">
        <f>IF(A56="","",IF(COUNTIF($A$2:$A$501,A56)&gt;1,"异常：事件编号重复",IF(OR(C56="",D56="",E56="",F56="",G56=""),"异常：必填项缺失",IF(AND(F56="其他股权激励",O56=""),"异常：其他股权激励所得缺失",IF(AND(F56&lt;&gt;"其他股权激励",OR(I56="",J56="")),"异常：数量或市场价缺失",IF(AND(F56&lt;&gt;"其他股权激励",OR(I56&lt;=0,J56&lt;0)),"异常：数量或价格无效",IF(AND(F56="限制性股票",OR(M56&lt;=0,N56&lt;0,I56&gt;M56)),"异常：个人获授或出资数据无效",IF(AND(IFERROR(INDEX(计划参数!$J$2:$J$501,MATCH(C56,计划参数!$I$2:$I$501,0)),"")&lt;&gt;"",D56&lt;&gt;IFERROR(INDEX(计划参数!$J$2:$J$501,MATCH(C56,计划参数!$I$2:$I$501,0)),"")),"异常：姓名与员工主数据不一致",IF(S56&lt;0,"异常：原始所得为负，已按0计税",IF(OR(AND(F56="股票期权",K56=""),AND(F56="限制性股票",OR(K56="",L56=""))),"异常：计划参数缺失",IF(COUNTIF(计划参数!$I$2:$I$501,C56)=0,"提示：员工编号未在主数据",IF(Q56&lt;&gt;"已备案","提示：未确认备案","正常"))))))))))))</f>
        <v/>
      </c>
      <c r="AE56" s="9"/>
      <c r="AF56" s="4" t="str">
        <f>IF(C56="","",IF(COUNTIF($C$2:C56,C56)=1,MAX($AF$1:AF55)+1,""))</f>
        <v/>
      </c>
      <c r="AG56" s="4" t="str">
        <f>IF(C56="","",COUNTIF($C$2:C56,C56))</f>
        <v/>
      </c>
      <c r="AH56" s="4" t="str">
        <f t="shared" si="10"/>
        <v/>
      </c>
      <c r="AI56" s="4" t="str">
        <f t="shared" si="11"/>
        <v/>
      </c>
      <c r="AJ56" s="4" t="str">
        <f t="shared" si="12"/>
        <v/>
      </c>
      <c r="AK56" s="15" t="str">
        <f>IF(A56="","",SUMIFS(分期缴税台账!$K$2:$K$501,分期缴税台账!$T$2:$T$501,A56,分期缴税台账!$Q$2:$Q$501,"有效"))</f>
        <v/>
      </c>
      <c r="AL56" s="15" t="str">
        <f t="shared" si="13"/>
        <v/>
      </c>
      <c r="AM56" s="4" t="str">
        <f t="shared" si="14"/>
        <v/>
      </c>
    </row>
    <row r="57" spans="1:39" x14ac:dyDescent="0.3">
      <c r="A57" s="9"/>
      <c r="B57" s="4" t="str">
        <f t="shared" si="0"/>
        <v/>
      </c>
      <c r="C57" s="9"/>
      <c r="D57" s="9"/>
      <c r="E57" s="9"/>
      <c r="F57" s="9"/>
      <c r="G57" s="13"/>
      <c r="H57" s="4" t="str">
        <f t="shared" si="1"/>
        <v/>
      </c>
      <c r="I57" s="9"/>
      <c r="J57" s="14"/>
      <c r="K57" s="15" t="str">
        <f>IF(OR(E57="",F57="",G57=""),"",IF(E57&lt;&gt;计划参数!$C$2,"",IF(F57="股票期权",IFERROR(LOOKUP(G57,计划参数!$D$12:$D$15,计划参数!$C$12:$C$15),""),IF(F57="限制性股票",计划参数!$C$10,""))))</f>
        <v/>
      </c>
      <c r="L57" s="15" t="str">
        <f>IF(AND(E57=计划参数!$C$2,F57="限制性股票",G57&gt;=计划参数!$D$9),计划参数!$C$9,"")</f>
        <v/>
      </c>
      <c r="M57" s="9"/>
      <c r="N57" s="14"/>
      <c r="O57" s="14"/>
      <c r="P57" s="13"/>
      <c r="Q57" s="9"/>
      <c r="R57" s="13"/>
      <c r="S57" s="15" t="str">
        <f t="shared" si="2"/>
        <v/>
      </c>
      <c r="T57" s="15" t="str">
        <f t="shared" si="3"/>
        <v/>
      </c>
      <c r="U57" s="15" t="str">
        <f t="shared" si="4"/>
        <v/>
      </c>
      <c r="V57" s="15" t="str">
        <f t="shared" si="5"/>
        <v/>
      </c>
      <c r="W57" s="16" t="str">
        <f>IF(V57="","",VLOOKUP(V57,税率及规则!$A$2:$C$8,2,TRUE))</f>
        <v/>
      </c>
      <c r="X57" s="15" t="str">
        <f>IF(V57="","",VLOOKUP(V57,税率及规则!$A$2:$C$8,3,TRUE))</f>
        <v/>
      </c>
      <c r="Y57" s="15" t="str">
        <f t="shared" si="6"/>
        <v/>
      </c>
      <c r="Z57" s="15" t="str">
        <f>IF(U57="","",MAX(0,U57*VLOOKUP(U57,税率及规则!$A$2:$C$8,2,TRUE)-VLOOKUP(U57,税率及规则!$A$2:$C$8,3,TRUE)))</f>
        <v/>
      </c>
      <c r="AA57" s="15" t="str">
        <f t="shared" si="7"/>
        <v/>
      </c>
      <c r="AB57" s="17" t="str">
        <f t="shared" si="8"/>
        <v/>
      </c>
      <c r="AC57" s="17" t="str">
        <f t="shared" si="9"/>
        <v/>
      </c>
      <c r="AD57" s="4" t="str">
        <f>IF(A57="","",IF(COUNTIF($A$2:$A$501,A57)&gt;1,"异常：事件编号重复",IF(OR(C57="",D57="",E57="",F57="",G57=""),"异常：必填项缺失",IF(AND(F57="其他股权激励",O57=""),"异常：其他股权激励所得缺失",IF(AND(F57&lt;&gt;"其他股权激励",OR(I57="",J57="")),"异常：数量或市场价缺失",IF(AND(F57&lt;&gt;"其他股权激励",OR(I57&lt;=0,J57&lt;0)),"异常：数量或价格无效",IF(AND(F57="限制性股票",OR(M57&lt;=0,N57&lt;0,I57&gt;M57)),"异常：个人获授或出资数据无效",IF(AND(IFERROR(INDEX(计划参数!$J$2:$J$501,MATCH(C57,计划参数!$I$2:$I$501,0)),"")&lt;&gt;"",D57&lt;&gt;IFERROR(INDEX(计划参数!$J$2:$J$501,MATCH(C57,计划参数!$I$2:$I$501,0)),"")),"异常：姓名与员工主数据不一致",IF(S57&lt;0,"异常：原始所得为负，已按0计税",IF(OR(AND(F57="股票期权",K57=""),AND(F57="限制性股票",OR(K57="",L57=""))),"异常：计划参数缺失",IF(COUNTIF(计划参数!$I$2:$I$501,C57)=0,"提示：员工编号未在主数据",IF(Q57&lt;&gt;"已备案","提示：未确认备案","正常"))))))))))))</f>
        <v/>
      </c>
      <c r="AE57" s="9"/>
      <c r="AF57" s="4" t="str">
        <f>IF(C57="","",IF(COUNTIF($C$2:C57,C57)=1,MAX($AF$1:AF56)+1,""))</f>
        <v/>
      </c>
      <c r="AG57" s="4" t="str">
        <f>IF(C57="","",COUNTIF($C$2:C57,C57))</f>
        <v/>
      </c>
      <c r="AH57" s="4" t="str">
        <f t="shared" si="10"/>
        <v/>
      </c>
      <c r="AI57" s="4" t="str">
        <f t="shared" si="11"/>
        <v/>
      </c>
      <c r="AJ57" s="4" t="str">
        <f t="shared" si="12"/>
        <v/>
      </c>
      <c r="AK57" s="15" t="str">
        <f>IF(A57="","",SUMIFS(分期缴税台账!$K$2:$K$501,分期缴税台账!$T$2:$T$501,A57,分期缴税台账!$Q$2:$Q$501,"有效"))</f>
        <v/>
      </c>
      <c r="AL57" s="15" t="str">
        <f t="shared" si="13"/>
        <v/>
      </c>
      <c r="AM57" s="4" t="str">
        <f t="shared" si="14"/>
        <v/>
      </c>
    </row>
    <row r="58" spans="1:39" x14ac:dyDescent="0.3">
      <c r="A58" s="9"/>
      <c r="B58" s="4" t="str">
        <f t="shared" si="0"/>
        <v/>
      </c>
      <c r="C58" s="9"/>
      <c r="D58" s="9"/>
      <c r="E58" s="9"/>
      <c r="F58" s="9"/>
      <c r="G58" s="13"/>
      <c r="H58" s="4" t="str">
        <f t="shared" si="1"/>
        <v/>
      </c>
      <c r="I58" s="9"/>
      <c r="J58" s="14"/>
      <c r="K58" s="15" t="str">
        <f>IF(OR(E58="",F58="",G58=""),"",IF(E58&lt;&gt;计划参数!$C$2,"",IF(F58="股票期权",IFERROR(LOOKUP(G58,计划参数!$D$12:$D$15,计划参数!$C$12:$C$15),""),IF(F58="限制性股票",计划参数!$C$10,""))))</f>
        <v/>
      </c>
      <c r="L58" s="15" t="str">
        <f>IF(AND(E58=计划参数!$C$2,F58="限制性股票",G58&gt;=计划参数!$D$9),计划参数!$C$9,"")</f>
        <v/>
      </c>
      <c r="M58" s="9"/>
      <c r="N58" s="14"/>
      <c r="O58" s="14"/>
      <c r="P58" s="13"/>
      <c r="Q58" s="9"/>
      <c r="R58" s="13"/>
      <c r="S58" s="15" t="str">
        <f t="shared" si="2"/>
        <v/>
      </c>
      <c r="T58" s="15" t="str">
        <f t="shared" si="3"/>
        <v/>
      </c>
      <c r="U58" s="15" t="str">
        <f t="shared" si="4"/>
        <v/>
      </c>
      <c r="V58" s="15" t="str">
        <f t="shared" si="5"/>
        <v/>
      </c>
      <c r="W58" s="16" t="str">
        <f>IF(V58="","",VLOOKUP(V58,税率及规则!$A$2:$C$8,2,TRUE))</f>
        <v/>
      </c>
      <c r="X58" s="15" t="str">
        <f>IF(V58="","",VLOOKUP(V58,税率及规则!$A$2:$C$8,3,TRUE))</f>
        <v/>
      </c>
      <c r="Y58" s="15" t="str">
        <f t="shared" si="6"/>
        <v/>
      </c>
      <c r="Z58" s="15" t="str">
        <f>IF(U58="","",MAX(0,U58*VLOOKUP(U58,税率及规则!$A$2:$C$8,2,TRUE)-VLOOKUP(U58,税率及规则!$A$2:$C$8,3,TRUE)))</f>
        <v/>
      </c>
      <c r="AA58" s="15" t="str">
        <f t="shared" si="7"/>
        <v/>
      </c>
      <c r="AB58" s="17" t="str">
        <f t="shared" si="8"/>
        <v/>
      </c>
      <c r="AC58" s="17" t="str">
        <f t="shared" si="9"/>
        <v/>
      </c>
      <c r="AD58" s="4" t="str">
        <f>IF(A58="","",IF(COUNTIF($A$2:$A$501,A58)&gt;1,"异常：事件编号重复",IF(OR(C58="",D58="",E58="",F58="",G58=""),"异常：必填项缺失",IF(AND(F58="其他股权激励",O58=""),"异常：其他股权激励所得缺失",IF(AND(F58&lt;&gt;"其他股权激励",OR(I58="",J58="")),"异常：数量或市场价缺失",IF(AND(F58&lt;&gt;"其他股权激励",OR(I58&lt;=0,J58&lt;0)),"异常：数量或价格无效",IF(AND(F58="限制性股票",OR(M58&lt;=0,N58&lt;0,I58&gt;M58)),"异常：个人获授或出资数据无效",IF(AND(IFERROR(INDEX(计划参数!$J$2:$J$501,MATCH(C58,计划参数!$I$2:$I$501,0)),"")&lt;&gt;"",D58&lt;&gt;IFERROR(INDEX(计划参数!$J$2:$J$501,MATCH(C58,计划参数!$I$2:$I$501,0)),"")),"异常：姓名与员工主数据不一致",IF(S58&lt;0,"异常：原始所得为负，已按0计税",IF(OR(AND(F58="股票期权",K58=""),AND(F58="限制性股票",OR(K58="",L58=""))),"异常：计划参数缺失",IF(COUNTIF(计划参数!$I$2:$I$501,C58)=0,"提示：员工编号未在主数据",IF(Q58&lt;&gt;"已备案","提示：未确认备案","正常"))))))))))))</f>
        <v/>
      </c>
      <c r="AE58" s="9"/>
      <c r="AF58" s="4" t="str">
        <f>IF(C58="","",IF(COUNTIF($C$2:C58,C58)=1,MAX($AF$1:AF57)+1,""))</f>
        <v/>
      </c>
      <c r="AG58" s="4" t="str">
        <f>IF(C58="","",COUNTIF($C$2:C58,C58))</f>
        <v/>
      </c>
      <c r="AH58" s="4" t="str">
        <f t="shared" si="10"/>
        <v/>
      </c>
      <c r="AI58" s="4" t="str">
        <f t="shared" si="11"/>
        <v/>
      </c>
      <c r="AJ58" s="4" t="str">
        <f t="shared" si="12"/>
        <v/>
      </c>
      <c r="AK58" s="15" t="str">
        <f>IF(A58="","",SUMIFS(分期缴税台账!$K$2:$K$501,分期缴税台账!$T$2:$T$501,A58,分期缴税台账!$Q$2:$Q$501,"有效"))</f>
        <v/>
      </c>
      <c r="AL58" s="15" t="str">
        <f t="shared" si="13"/>
        <v/>
      </c>
      <c r="AM58" s="4" t="str">
        <f t="shared" si="14"/>
        <v/>
      </c>
    </row>
    <row r="59" spans="1:39" x14ac:dyDescent="0.3">
      <c r="A59" s="9"/>
      <c r="B59" s="4" t="str">
        <f t="shared" si="0"/>
        <v/>
      </c>
      <c r="C59" s="9"/>
      <c r="D59" s="9"/>
      <c r="E59" s="9"/>
      <c r="F59" s="9"/>
      <c r="G59" s="13"/>
      <c r="H59" s="4" t="str">
        <f t="shared" si="1"/>
        <v/>
      </c>
      <c r="I59" s="9"/>
      <c r="J59" s="14"/>
      <c r="K59" s="15" t="str">
        <f>IF(OR(E59="",F59="",G59=""),"",IF(E59&lt;&gt;计划参数!$C$2,"",IF(F59="股票期权",IFERROR(LOOKUP(G59,计划参数!$D$12:$D$15,计划参数!$C$12:$C$15),""),IF(F59="限制性股票",计划参数!$C$10,""))))</f>
        <v/>
      </c>
      <c r="L59" s="15" t="str">
        <f>IF(AND(E59=计划参数!$C$2,F59="限制性股票",G59&gt;=计划参数!$D$9),计划参数!$C$9,"")</f>
        <v/>
      </c>
      <c r="M59" s="9"/>
      <c r="N59" s="14"/>
      <c r="O59" s="14"/>
      <c r="P59" s="13"/>
      <c r="Q59" s="9"/>
      <c r="R59" s="13"/>
      <c r="S59" s="15" t="str">
        <f t="shared" si="2"/>
        <v/>
      </c>
      <c r="T59" s="15" t="str">
        <f t="shared" si="3"/>
        <v/>
      </c>
      <c r="U59" s="15" t="str">
        <f t="shared" si="4"/>
        <v/>
      </c>
      <c r="V59" s="15" t="str">
        <f t="shared" si="5"/>
        <v/>
      </c>
      <c r="W59" s="16" t="str">
        <f>IF(V59="","",VLOOKUP(V59,税率及规则!$A$2:$C$8,2,TRUE))</f>
        <v/>
      </c>
      <c r="X59" s="15" t="str">
        <f>IF(V59="","",VLOOKUP(V59,税率及规则!$A$2:$C$8,3,TRUE))</f>
        <v/>
      </c>
      <c r="Y59" s="15" t="str">
        <f t="shared" si="6"/>
        <v/>
      </c>
      <c r="Z59" s="15" t="str">
        <f>IF(U59="","",MAX(0,U59*VLOOKUP(U59,税率及规则!$A$2:$C$8,2,TRUE)-VLOOKUP(U59,税率及规则!$A$2:$C$8,3,TRUE)))</f>
        <v/>
      </c>
      <c r="AA59" s="15" t="str">
        <f t="shared" si="7"/>
        <v/>
      </c>
      <c r="AB59" s="17" t="str">
        <f t="shared" si="8"/>
        <v/>
      </c>
      <c r="AC59" s="17" t="str">
        <f t="shared" si="9"/>
        <v/>
      </c>
      <c r="AD59" s="4" t="str">
        <f>IF(A59="","",IF(COUNTIF($A$2:$A$501,A59)&gt;1,"异常：事件编号重复",IF(OR(C59="",D59="",E59="",F59="",G59=""),"异常：必填项缺失",IF(AND(F59="其他股权激励",O59=""),"异常：其他股权激励所得缺失",IF(AND(F59&lt;&gt;"其他股权激励",OR(I59="",J59="")),"异常：数量或市场价缺失",IF(AND(F59&lt;&gt;"其他股权激励",OR(I59&lt;=0,J59&lt;0)),"异常：数量或价格无效",IF(AND(F59="限制性股票",OR(M59&lt;=0,N59&lt;0,I59&gt;M59)),"异常：个人获授或出资数据无效",IF(AND(IFERROR(INDEX(计划参数!$J$2:$J$501,MATCH(C59,计划参数!$I$2:$I$501,0)),"")&lt;&gt;"",D59&lt;&gt;IFERROR(INDEX(计划参数!$J$2:$J$501,MATCH(C59,计划参数!$I$2:$I$501,0)),"")),"异常：姓名与员工主数据不一致",IF(S59&lt;0,"异常：原始所得为负，已按0计税",IF(OR(AND(F59="股票期权",K59=""),AND(F59="限制性股票",OR(K59="",L59=""))),"异常：计划参数缺失",IF(COUNTIF(计划参数!$I$2:$I$501,C59)=0,"提示：员工编号未在主数据",IF(Q59&lt;&gt;"已备案","提示：未确认备案","正常"))))))))))))</f>
        <v/>
      </c>
      <c r="AE59" s="9"/>
      <c r="AF59" s="4" t="str">
        <f>IF(C59="","",IF(COUNTIF($C$2:C59,C59)=1,MAX($AF$1:AF58)+1,""))</f>
        <v/>
      </c>
      <c r="AG59" s="4" t="str">
        <f>IF(C59="","",COUNTIF($C$2:C59,C59))</f>
        <v/>
      </c>
      <c r="AH59" s="4" t="str">
        <f t="shared" si="10"/>
        <v/>
      </c>
      <c r="AI59" s="4" t="str">
        <f t="shared" si="11"/>
        <v/>
      </c>
      <c r="AJ59" s="4" t="str">
        <f t="shared" si="12"/>
        <v/>
      </c>
      <c r="AK59" s="15" t="str">
        <f>IF(A59="","",SUMIFS(分期缴税台账!$K$2:$K$501,分期缴税台账!$T$2:$T$501,A59,分期缴税台账!$Q$2:$Q$501,"有效"))</f>
        <v/>
      </c>
      <c r="AL59" s="15" t="str">
        <f t="shared" si="13"/>
        <v/>
      </c>
      <c r="AM59" s="4" t="str">
        <f t="shared" si="14"/>
        <v/>
      </c>
    </row>
    <row r="60" spans="1:39" x14ac:dyDescent="0.3">
      <c r="A60" s="9"/>
      <c r="B60" s="4" t="str">
        <f t="shared" si="0"/>
        <v/>
      </c>
      <c r="C60" s="9"/>
      <c r="D60" s="9"/>
      <c r="E60" s="9"/>
      <c r="F60" s="9"/>
      <c r="G60" s="13"/>
      <c r="H60" s="4" t="str">
        <f t="shared" si="1"/>
        <v/>
      </c>
      <c r="I60" s="9"/>
      <c r="J60" s="14"/>
      <c r="K60" s="15" t="str">
        <f>IF(OR(E60="",F60="",G60=""),"",IF(E60&lt;&gt;计划参数!$C$2,"",IF(F60="股票期权",IFERROR(LOOKUP(G60,计划参数!$D$12:$D$15,计划参数!$C$12:$C$15),""),IF(F60="限制性股票",计划参数!$C$10,""))))</f>
        <v/>
      </c>
      <c r="L60" s="15" t="str">
        <f>IF(AND(E60=计划参数!$C$2,F60="限制性股票",G60&gt;=计划参数!$D$9),计划参数!$C$9,"")</f>
        <v/>
      </c>
      <c r="M60" s="9"/>
      <c r="N60" s="14"/>
      <c r="O60" s="14"/>
      <c r="P60" s="13"/>
      <c r="Q60" s="9"/>
      <c r="R60" s="13"/>
      <c r="S60" s="15" t="str">
        <f t="shared" si="2"/>
        <v/>
      </c>
      <c r="T60" s="15" t="str">
        <f t="shared" si="3"/>
        <v/>
      </c>
      <c r="U60" s="15" t="str">
        <f t="shared" si="4"/>
        <v/>
      </c>
      <c r="V60" s="15" t="str">
        <f t="shared" si="5"/>
        <v/>
      </c>
      <c r="W60" s="16" t="str">
        <f>IF(V60="","",VLOOKUP(V60,税率及规则!$A$2:$C$8,2,TRUE))</f>
        <v/>
      </c>
      <c r="X60" s="15" t="str">
        <f>IF(V60="","",VLOOKUP(V60,税率及规则!$A$2:$C$8,3,TRUE))</f>
        <v/>
      </c>
      <c r="Y60" s="15" t="str">
        <f t="shared" si="6"/>
        <v/>
      </c>
      <c r="Z60" s="15" t="str">
        <f>IF(U60="","",MAX(0,U60*VLOOKUP(U60,税率及规则!$A$2:$C$8,2,TRUE)-VLOOKUP(U60,税率及规则!$A$2:$C$8,3,TRUE)))</f>
        <v/>
      </c>
      <c r="AA60" s="15" t="str">
        <f t="shared" si="7"/>
        <v/>
      </c>
      <c r="AB60" s="17" t="str">
        <f t="shared" si="8"/>
        <v/>
      </c>
      <c r="AC60" s="17" t="str">
        <f t="shared" si="9"/>
        <v/>
      </c>
      <c r="AD60" s="4" t="str">
        <f>IF(A60="","",IF(COUNTIF($A$2:$A$501,A60)&gt;1,"异常：事件编号重复",IF(OR(C60="",D60="",E60="",F60="",G60=""),"异常：必填项缺失",IF(AND(F60="其他股权激励",O60=""),"异常：其他股权激励所得缺失",IF(AND(F60&lt;&gt;"其他股权激励",OR(I60="",J60="")),"异常：数量或市场价缺失",IF(AND(F60&lt;&gt;"其他股权激励",OR(I60&lt;=0,J60&lt;0)),"异常：数量或价格无效",IF(AND(F60="限制性股票",OR(M60&lt;=0,N60&lt;0,I60&gt;M60)),"异常：个人获授或出资数据无效",IF(AND(IFERROR(INDEX(计划参数!$J$2:$J$501,MATCH(C60,计划参数!$I$2:$I$501,0)),"")&lt;&gt;"",D60&lt;&gt;IFERROR(INDEX(计划参数!$J$2:$J$501,MATCH(C60,计划参数!$I$2:$I$501,0)),"")),"异常：姓名与员工主数据不一致",IF(S60&lt;0,"异常：原始所得为负，已按0计税",IF(OR(AND(F60="股票期权",K60=""),AND(F60="限制性股票",OR(K60="",L60=""))),"异常：计划参数缺失",IF(COUNTIF(计划参数!$I$2:$I$501,C60)=0,"提示：员工编号未在主数据",IF(Q60&lt;&gt;"已备案","提示：未确认备案","正常"))))))))))))</f>
        <v/>
      </c>
      <c r="AE60" s="9"/>
      <c r="AF60" s="4" t="str">
        <f>IF(C60="","",IF(COUNTIF($C$2:C60,C60)=1,MAX($AF$1:AF59)+1,""))</f>
        <v/>
      </c>
      <c r="AG60" s="4" t="str">
        <f>IF(C60="","",COUNTIF($C$2:C60,C60))</f>
        <v/>
      </c>
      <c r="AH60" s="4" t="str">
        <f t="shared" si="10"/>
        <v/>
      </c>
      <c r="AI60" s="4" t="str">
        <f t="shared" si="11"/>
        <v/>
      </c>
      <c r="AJ60" s="4" t="str">
        <f t="shared" si="12"/>
        <v/>
      </c>
      <c r="AK60" s="15" t="str">
        <f>IF(A60="","",SUMIFS(分期缴税台账!$K$2:$K$501,分期缴税台账!$T$2:$T$501,A60,分期缴税台账!$Q$2:$Q$501,"有效"))</f>
        <v/>
      </c>
      <c r="AL60" s="15" t="str">
        <f t="shared" si="13"/>
        <v/>
      </c>
      <c r="AM60" s="4" t="str">
        <f t="shared" si="14"/>
        <v/>
      </c>
    </row>
    <row r="61" spans="1:39" x14ac:dyDescent="0.3">
      <c r="A61" s="9"/>
      <c r="B61" s="4" t="str">
        <f t="shared" si="0"/>
        <v/>
      </c>
      <c r="C61" s="9"/>
      <c r="D61" s="9"/>
      <c r="E61" s="9"/>
      <c r="F61" s="9"/>
      <c r="G61" s="13"/>
      <c r="H61" s="4" t="str">
        <f t="shared" si="1"/>
        <v/>
      </c>
      <c r="I61" s="9"/>
      <c r="J61" s="14"/>
      <c r="K61" s="15" t="str">
        <f>IF(OR(E61="",F61="",G61=""),"",IF(E61&lt;&gt;计划参数!$C$2,"",IF(F61="股票期权",IFERROR(LOOKUP(G61,计划参数!$D$12:$D$15,计划参数!$C$12:$C$15),""),IF(F61="限制性股票",计划参数!$C$10,""))))</f>
        <v/>
      </c>
      <c r="L61" s="15" t="str">
        <f>IF(AND(E61=计划参数!$C$2,F61="限制性股票",G61&gt;=计划参数!$D$9),计划参数!$C$9,"")</f>
        <v/>
      </c>
      <c r="M61" s="9"/>
      <c r="N61" s="14"/>
      <c r="O61" s="14"/>
      <c r="P61" s="13"/>
      <c r="Q61" s="9"/>
      <c r="R61" s="13"/>
      <c r="S61" s="15" t="str">
        <f t="shared" si="2"/>
        <v/>
      </c>
      <c r="T61" s="15" t="str">
        <f t="shared" si="3"/>
        <v/>
      </c>
      <c r="U61" s="15" t="str">
        <f t="shared" si="4"/>
        <v/>
      </c>
      <c r="V61" s="15" t="str">
        <f t="shared" si="5"/>
        <v/>
      </c>
      <c r="W61" s="16" t="str">
        <f>IF(V61="","",VLOOKUP(V61,税率及规则!$A$2:$C$8,2,TRUE))</f>
        <v/>
      </c>
      <c r="X61" s="15" t="str">
        <f>IF(V61="","",VLOOKUP(V61,税率及规则!$A$2:$C$8,3,TRUE))</f>
        <v/>
      </c>
      <c r="Y61" s="15" t="str">
        <f t="shared" si="6"/>
        <v/>
      </c>
      <c r="Z61" s="15" t="str">
        <f>IF(U61="","",MAX(0,U61*VLOOKUP(U61,税率及规则!$A$2:$C$8,2,TRUE)-VLOOKUP(U61,税率及规则!$A$2:$C$8,3,TRUE)))</f>
        <v/>
      </c>
      <c r="AA61" s="15" t="str">
        <f t="shared" si="7"/>
        <v/>
      </c>
      <c r="AB61" s="17" t="str">
        <f t="shared" si="8"/>
        <v/>
      </c>
      <c r="AC61" s="17" t="str">
        <f t="shared" si="9"/>
        <v/>
      </c>
      <c r="AD61" s="4" t="str">
        <f>IF(A61="","",IF(COUNTIF($A$2:$A$501,A61)&gt;1,"异常：事件编号重复",IF(OR(C61="",D61="",E61="",F61="",G61=""),"异常：必填项缺失",IF(AND(F61="其他股权激励",O61=""),"异常：其他股权激励所得缺失",IF(AND(F61&lt;&gt;"其他股权激励",OR(I61="",J61="")),"异常：数量或市场价缺失",IF(AND(F61&lt;&gt;"其他股权激励",OR(I61&lt;=0,J61&lt;0)),"异常：数量或价格无效",IF(AND(F61="限制性股票",OR(M61&lt;=0,N61&lt;0,I61&gt;M61)),"异常：个人获授或出资数据无效",IF(AND(IFERROR(INDEX(计划参数!$J$2:$J$501,MATCH(C61,计划参数!$I$2:$I$501,0)),"")&lt;&gt;"",D61&lt;&gt;IFERROR(INDEX(计划参数!$J$2:$J$501,MATCH(C61,计划参数!$I$2:$I$501,0)),"")),"异常：姓名与员工主数据不一致",IF(S61&lt;0,"异常：原始所得为负，已按0计税",IF(OR(AND(F61="股票期权",K61=""),AND(F61="限制性股票",OR(K61="",L61=""))),"异常：计划参数缺失",IF(COUNTIF(计划参数!$I$2:$I$501,C61)=0,"提示：员工编号未在主数据",IF(Q61&lt;&gt;"已备案","提示：未确认备案","正常"))))))))))))</f>
        <v/>
      </c>
      <c r="AE61" s="9"/>
      <c r="AF61" s="4" t="str">
        <f>IF(C61="","",IF(COUNTIF($C$2:C61,C61)=1,MAX($AF$1:AF60)+1,""))</f>
        <v/>
      </c>
      <c r="AG61" s="4" t="str">
        <f>IF(C61="","",COUNTIF($C$2:C61,C61))</f>
        <v/>
      </c>
      <c r="AH61" s="4" t="str">
        <f t="shared" si="10"/>
        <v/>
      </c>
      <c r="AI61" s="4" t="str">
        <f t="shared" si="11"/>
        <v/>
      </c>
      <c r="AJ61" s="4" t="str">
        <f t="shared" si="12"/>
        <v/>
      </c>
      <c r="AK61" s="15" t="str">
        <f>IF(A61="","",SUMIFS(分期缴税台账!$K$2:$K$501,分期缴税台账!$T$2:$T$501,A61,分期缴税台账!$Q$2:$Q$501,"有效"))</f>
        <v/>
      </c>
      <c r="AL61" s="15" t="str">
        <f t="shared" si="13"/>
        <v/>
      </c>
      <c r="AM61" s="4" t="str">
        <f t="shared" si="14"/>
        <v/>
      </c>
    </row>
    <row r="62" spans="1:39" x14ac:dyDescent="0.3">
      <c r="A62" s="9"/>
      <c r="B62" s="4" t="str">
        <f t="shared" si="0"/>
        <v/>
      </c>
      <c r="C62" s="9"/>
      <c r="D62" s="9"/>
      <c r="E62" s="9"/>
      <c r="F62" s="9"/>
      <c r="G62" s="13"/>
      <c r="H62" s="4" t="str">
        <f t="shared" si="1"/>
        <v/>
      </c>
      <c r="I62" s="9"/>
      <c r="J62" s="14"/>
      <c r="K62" s="15" t="str">
        <f>IF(OR(E62="",F62="",G62=""),"",IF(E62&lt;&gt;计划参数!$C$2,"",IF(F62="股票期权",IFERROR(LOOKUP(G62,计划参数!$D$12:$D$15,计划参数!$C$12:$C$15),""),IF(F62="限制性股票",计划参数!$C$10,""))))</f>
        <v/>
      </c>
      <c r="L62" s="15" t="str">
        <f>IF(AND(E62=计划参数!$C$2,F62="限制性股票",G62&gt;=计划参数!$D$9),计划参数!$C$9,"")</f>
        <v/>
      </c>
      <c r="M62" s="9"/>
      <c r="N62" s="14"/>
      <c r="O62" s="14"/>
      <c r="P62" s="13"/>
      <c r="Q62" s="9"/>
      <c r="R62" s="13"/>
      <c r="S62" s="15" t="str">
        <f t="shared" si="2"/>
        <v/>
      </c>
      <c r="T62" s="15" t="str">
        <f t="shared" si="3"/>
        <v/>
      </c>
      <c r="U62" s="15" t="str">
        <f t="shared" si="4"/>
        <v/>
      </c>
      <c r="V62" s="15" t="str">
        <f t="shared" si="5"/>
        <v/>
      </c>
      <c r="W62" s="16" t="str">
        <f>IF(V62="","",VLOOKUP(V62,税率及规则!$A$2:$C$8,2,TRUE))</f>
        <v/>
      </c>
      <c r="X62" s="15" t="str">
        <f>IF(V62="","",VLOOKUP(V62,税率及规则!$A$2:$C$8,3,TRUE))</f>
        <v/>
      </c>
      <c r="Y62" s="15" t="str">
        <f t="shared" si="6"/>
        <v/>
      </c>
      <c r="Z62" s="15" t="str">
        <f>IF(U62="","",MAX(0,U62*VLOOKUP(U62,税率及规则!$A$2:$C$8,2,TRUE)-VLOOKUP(U62,税率及规则!$A$2:$C$8,3,TRUE)))</f>
        <v/>
      </c>
      <c r="AA62" s="15" t="str">
        <f t="shared" si="7"/>
        <v/>
      </c>
      <c r="AB62" s="17" t="str">
        <f t="shared" si="8"/>
        <v/>
      </c>
      <c r="AC62" s="17" t="str">
        <f t="shared" si="9"/>
        <v/>
      </c>
      <c r="AD62" s="4" t="str">
        <f>IF(A62="","",IF(COUNTIF($A$2:$A$501,A62)&gt;1,"异常：事件编号重复",IF(OR(C62="",D62="",E62="",F62="",G62=""),"异常：必填项缺失",IF(AND(F62="其他股权激励",O62=""),"异常：其他股权激励所得缺失",IF(AND(F62&lt;&gt;"其他股权激励",OR(I62="",J62="")),"异常：数量或市场价缺失",IF(AND(F62&lt;&gt;"其他股权激励",OR(I62&lt;=0,J62&lt;0)),"异常：数量或价格无效",IF(AND(F62="限制性股票",OR(M62&lt;=0,N62&lt;0,I62&gt;M62)),"异常：个人获授或出资数据无效",IF(AND(IFERROR(INDEX(计划参数!$J$2:$J$501,MATCH(C62,计划参数!$I$2:$I$501,0)),"")&lt;&gt;"",D62&lt;&gt;IFERROR(INDEX(计划参数!$J$2:$J$501,MATCH(C62,计划参数!$I$2:$I$501,0)),"")),"异常：姓名与员工主数据不一致",IF(S62&lt;0,"异常：原始所得为负，已按0计税",IF(OR(AND(F62="股票期权",K62=""),AND(F62="限制性股票",OR(K62="",L62=""))),"异常：计划参数缺失",IF(COUNTIF(计划参数!$I$2:$I$501,C62)=0,"提示：员工编号未在主数据",IF(Q62&lt;&gt;"已备案","提示：未确认备案","正常"))))))))))))</f>
        <v/>
      </c>
      <c r="AE62" s="9"/>
      <c r="AF62" s="4" t="str">
        <f>IF(C62="","",IF(COUNTIF($C$2:C62,C62)=1,MAX($AF$1:AF61)+1,""))</f>
        <v/>
      </c>
      <c r="AG62" s="4" t="str">
        <f>IF(C62="","",COUNTIF($C$2:C62,C62))</f>
        <v/>
      </c>
      <c r="AH62" s="4" t="str">
        <f t="shared" si="10"/>
        <v/>
      </c>
      <c r="AI62" s="4" t="str">
        <f t="shared" si="11"/>
        <v/>
      </c>
      <c r="AJ62" s="4" t="str">
        <f t="shared" si="12"/>
        <v/>
      </c>
      <c r="AK62" s="15" t="str">
        <f>IF(A62="","",SUMIFS(分期缴税台账!$K$2:$K$501,分期缴税台账!$T$2:$T$501,A62,分期缴税台账!$Q$2:$Q$501,"有效"))</f>
        <v/>
      </c>
      <c r="AL62" s="15" t="str">
        <f t="shared" si="13"/>
        <v/>
      </c>
      <c r="AM62" s="4" t="str">
        <f t="shared" si="14"/>
        <v/>
      </c>
    </row>
    <row r="63" spans="1:39" x14ac:dyDescent="0.3">
      <c r="A63" s="9"/>
      <c r="B63" s="4" t="str">
        <f t="shared" si="0"/>
        <v/>
      </c>
      <c r="C63" s="9"/>
      <c r="D63" s="9"/>
      <c r="E63" s="9"/>
      <c r="F63" s="9"/>
      <c r="G63" s="13"/>
      <c r="H63" s="4" t="str">
        <f t="shared" si="1"/>
        <v/>
      </c>
      <c r="I63" s="9"/>
      <c r="J63" s="14"/>
      <c r="K63" s="15" t="str">
        <f>IF(OR(E63="",F63="",G63=""),"",IF(E63&lt;&gt;计划参数!$C$2,"",IF(F63="股票期权",IFERROR(LOOKUP(G63,计划参数!$D$12:$D$15,计划参数!$C$12:$C$15),""),IF(F63="限制性股票",计划参数!$C$10,""))))</f>
        <v/>
      </c>
      <c r="L63" s="15" t="str">
        <f>IF(AND(E63=计划参数!$C$2,F63="限制性股票",G63&gt;=计划参数!$D$9),计划参数!$C$9,"")</f>
        <v/>
      </c>
      <c r="M63" s="9"/>
      <c r="N63" s="14"/>
      <c r="O63" s="14"/>
      <c r="P63" s="13"/>
      <c r="Q63" s="9"/>
      <c r="R63" s="13"/>
      <c r="S63" s="15" t="str">
        <f t="shared" si="2"/>
        <v/>
      </c>
      <c r="T63" s="15" t="str">
        <f t="shared" si="3"/>
        <v/>
      </c>
      <c r="U63" s="15" t="str">
        <f t="shared" si="4"/>
        <v/>
      </c>
      <c r="V63" s="15" t="str">
        <f t="shared" si="5"/>
        <v/>
      </c>
      <c r="W63" s="16" t="str">
        <f>IF(V63="","",VLOOKUP(V63,税率及规则!$A$2:$C$8,2,TRUE))</f>
        <v/>
      </c>
      <c r="X63" s="15" t="str">
        <f>IF(V63="","",VLOOKUP(V63,税率及规则!$A$2:$C$8,3,TRUE))</f>
        <v/>
      </c>
      <c r="Y63" s="15" t="str">
        <f t="shared" si="6"/>
        <v/>
      </c>
      <c r="Z63" s="15" t="str">
        <f>IF(U63="","",MAX(0,U63*VLOOKUP(U63,税率及规则!$A$2:$C$8,2,TRUE)-VLOOKUP(U63,税率及规则!$A$2:$C$8,3,TRUE)))</f>
        <v/>
      </c>
      <c r="AA63" s="15" t="str">
        <f t="shared" si="7"/>
        <v/>
      </c>
      <c r="AB63" s="17" t="str">
        <f t="shared" si="8"/>
        <v/>
      </c>
      <c r="AC63" s="17" t="str">
        <f t="shared" si="9"/>
        <v/>
      </c>
      <c r="AD63" s="4" t="str">
        <f>IF(A63="","",IF(COUNTIF($A$2:$A$501,A63)&gt;1,"异常：事件编号重复",IF(OR(C63="",D63="",E63="",F63="",G63=""),"异常：必填项缺失",IF(AND(F63="其他股权激励",O63=""),"异常：其他股权激励所得缺失",IF(AND(F63&lt;&gt;"其他股权激励",OR(I63="",J63="")),"异常：数量或市场价缺失",IF(AND(F63&lt;&gt;"其他股权激励",OR(I63&lt;=0,J63&lt;0)),"异常：数量或价格无效",IF(AND(F63="限制性股票",OR(M63&lt;=0,N63&lt;0,I63&gt;M63)),"异常：个人获授或出资数据无效",IF(AND(IFERROR(INDEX(计划参数!$J$2:$J$501,MATCH(C63,计划参数!$I$2:$I$501,0)),"")&lt;&gt;"",D63&lt;&gt;IFERROR(INDEX(计划参数!$J$2:$J$501,MATCH(C63,计划参数!$I$2:$I$501,0)),"")),"异常：姓名与员工主数据不一致",IF(S63&lt;0,"异常：原始所得为负，已按0计税",IF(OR(AND(F63="股票期权",K63=""),AND(F63="限制性股票",OR(K63="",L63=""))),"异常：计划参数缺失",IF(COUNTIF(计划参数!$I$2:$I$501,C63)=0,"提示：员工编号未在主数据",IF(Q63&lt;&gt;"已备案","提示：未确认备案","正常"))))))))))))</f>
        <v/>
      </c>
      <c r="AE63" s="9"/>
      <c r="AF63" s="4" t="str">
        <f>IF(C63="","",IF(COUNTIF($C$2:C63,C63)=1,MAX($AF$1:AF62)+1,""))</f>
        <v/>
      </c>
      <c r="AG63" s="4" t="str">
        <f>IF(C63="","",COUNTIF($C$2:C63,C63))</f>
        <v/>
      </c>
      <c r="AH63" s="4" t="str">
        <f t="shared" si="10"/>
        <v/>
      </c>
      <c r="AI63" s="4" t="str">
        <f t="shared" si="11"/>
        <v/>
      </c>
      <c r="AJ63" s="4" t="str">
        <f t="shared" si="12"/>
        <v/>
      </c>
      <c r="AK63" s="15" t="str">
        <f>IF(A63="","",SUMIFS(分期缴税台账!$K$2:$K$501,分期缴税台账!$T$2:$T$501,A63,分期缴税台账!$Q$2:$Q$501,"有效"))</f>
        <v/>
      </c>
      <c r="AL63" s="15" t="str">
        <f t="shared" si="13"/>
        <v/>
      </c>
      <c r="AM63" s="4" t="str">
        <f t="shared" si="14"/>
        <v/>
      </c>
    </row>
    <row r="64" spans="1:39" x14ac:dyDescent="0.3">
      <c r="A64" s="9"/>
      <c r="B64" s="4" t="str">
        <f t="shared" si="0"/>
        <v/>
      </c>
      <c r="C64" s="9"/>
      <c r="D64" s="9"/>
      <c r="E64" s="9"/>
      <c r="F64" s="9"/>
      <c r="G64" s="13"/>
      <c r="H64" s="4" t="str">
        <f t="shared" si="1"/>
        <v/>
      </c>
      <c r="I64" s="9"/>
      <c r="J64" s="14"/>
      <c r="K64" s="15" t="str">
        <f>IF(OR(E64="",F64="",G64=""),"",IF(E64&lt;&gt;计划参数!$C$2,"",IF(F64="股票期权",IFERROR(LOOKUP(G64,计划参数!$D$12:$D$15,计划参数!$C$12:$C$15),""),IF(F64="限制性股票",计划参数!$C$10,""))))</f>
        <v/>
      </c>
      <c r="L64" s="15" t="str">
        <f>IF(AND(E64=计划参数!$C$2,F64="限制性股票",G64&gt;=计划参数!$D$9),计划参数!$C$9,"")</f>
        <v/>
      </c>
      <c r="M64" s="9"/>
      <c r="N64" s="14"/>
      <c r="O64" s="14"/>
      <c r="P64" s="13"/>
      <c r="Q64" s="9"/>
      <c r="R64" s="13"/>
      <c r="S64" s="15" t="str">
        <f t="shared" si="2"/>
        <v/>
      </c>
      <c r="T64" s="15" t="str">
        <f t="shared" si="3"/>
        <v/>
      </c>
      <c r="U64" s="15" t="str">
        <f t="shared" si="4"/>
        <v/>
      </c>
      <c r="V64" s="15" t="str">
        <f t="shared" si="5"/>
        <v/>
      </c>
      <c r="W64" s="16" t="str">
        <f>IF(V64="","",VLOOKUP(V64,税率及规则!$A$2:$C$8,2,TRUE))</f>
        <v/>
      </c>
      <c r="X64" s="15" t="str">
        <f>IF(V64="","",VLOOKUP(V64,税率及规则!$A$2:$C$8,3,TRUE))</f>
        <v/>
      </c>
      <c r="Y64" s="15" t="str">
        <f t="shared" si="6"/>
        <v/>
      </c>
      <c r="Z64" s="15" t="str">
        <f>IF(U64="","",MAX(0,U64*VLOOKUP(U64,税率及规则!$A$2:$C$8,2,TRUE)-VLOOKUP(U64,税率及规则!$A$2:$C$8,3,TRUE)))</f>
        <v/>
      </c>
      <c r="AA64" s="15" t="str">
        <f t="shared" si="7"/>
        <v/>
      </c>
      <c r="AB64" s="17" t="str">
        <f t="shared" si="8"/>
        <v/>
      </c>
      <c r="AC64" s="17" t="str">
        <f t="shared" si="9"/>
        <v/>
      </c>
      <c r="AD64" s="4" t="str">
        <f>IF(A64="","",IF(COUNTIF($A$2:$A$501,A64)&gt;1,"异常：事件编号重复",IF(OR(C64="",D64="",E64="",F64="",G64=""),"异常：必填项缺失",IF(AND(F64="其他股权激励",O64=""),"异常：其他股权激励所得缺失",IF(AND(F64&lt;&gt;"其他股权激励",OR(I64="",J64="")),"异常：数量或市场价缺失",IF(AND(F64&lt;&gt;"其他股权激励",OR(I64&lt;=0,J64&lt;0)),"异常：数量或价格无效",IF(AND(F64="限制性股票",OR(M64&lt;=0,N64&lt;0,I64&gt;M64)),"异常：个人获授或出资数据无效",IF(AND(IFERROR(INDEX(计划参数!$J$2:$J$501,MATCH(C64,计划参数!$I$2:$I$501,0)),"")&lt;&gt;"",D64&lt;&gt;IFERROR(INDEX(计划参数!$J$2:$J$501,MATCH(C64,计划参数!$I$2:$I$501,0)),"")),"异常：姓名与员工主数据不一致",IF(S64&lt;0,"异常：原始所得为负，已按0计税",IF(OR(AND(F64="股票期权",K64=""),AND(F64="限制性股票",OR(K64="",L64=""))),"异常：计划参数缺失",IF(COUNTIF(计划参数!$I$2:$I$501,C64)=0,"提示：员工编号未在主数据",IF(Q64&lt;&gt;"已备案","提示：未确认备案","正常"))))))))))))</f>
        <v/>
      </c>
      <c r="AE64" s="9"/>
      <c r="AF64" s="4" t="str">
        <f>IF(C64="","",IF(COUNTIF($C$2:C64,C64)=1,MAX($AF$1:AF63)+1,""))</f>
        <v/>
      </c>
      <c r="AG64" s="4" t="str">
        <f>IF(C64="","",COUNTIF($C$2:C64,C64))</f>
        <v/>
      </c>
      <c r="AH64" s="4" t="str">
        <f t="shared" si="10"/>
        <v/>
      </c>
      <c r="AI64" s="4" t="str">
        <f t="shared" si="11"/>
        <v/>
      </c>
      <c r="AJ64" s="4" t="str">
        <f t="shared" si="12"/>
        <v/>
      </c>
      <c r="AK64" s="15" t="str">
        <f>IF(A64="","",SUMIFS(分期缴税台账!$K$2:$K$501,分期缴税台账!$T$2:$T$501,A64,分期缴税台账!$Q$2:$Q$501,"有效"))</f>
        <v/>
      </c>
      <c r="AL64" s="15" t="str">
        <f t="shared" si="13"/>
        <v/>
      </c>
      <c r="AM64" s="4" t="str">
        <f t="shared" si="14"/>
        <v/>
      </c>
    </row>
    <row r="65" spans="1:39" x14ac:dyDescent="0.3">
      <c r="A65" s="9"/>
      <c r="B65" s="4" t="str">
        <f t="shared" si="0"/>
        <v/>
      </c>
      <c r="C65" s="9"/>
      <c r="D65" s="9"/>
      <c r="E65" s="9"/>
      <c r="F65" s="9"/>
      <c r="G65" s="13"/>
      <c r="H65" s="4" t="str">
        <f t="shared" si="1"/>
        <v/>
      </c>
      <c r="I65" s="9"/>
      <c r="J65" s="14"/>
      <c r="K65" s="15" t="str">
        <f>IF(OR(E65="",F65="",G65=""),"",IF(E65&lt;&gt;计划参数!$C$2,"",IF(F65="股票期权",IFERROR(LOOKUP(G65,计划参数!$D$12:$D$15,计划参数!$C$12:$C$15),""),IF(F65="限制性股票",计划参数!$C$10,""))))</f>
        <v/>
      </c>
      <c r="L65" s="15" t="str">
        <f>IF(AND(E65=计划参数!$C$2,F65="限制性股票",G65&gt;=计划参数!$D$9),计划参数!$C$9,"")</f>
        <v/>
      </c>
      <c r="M65" s="9"/>
      <c r="N65" s="14"/>
      <c r="O65" s="14"/>
      <c r="P65" s="13"/>
      <c r="Q65" s="9"/>
      <c r="R65" s="13"/>
      <c r="S65" s="15" t="str">
        <f t="shared" si="2"/>
        <v/>
      </c>
      <c r="T65" s="15" t="str">
        <f t="shared" si="3"/>
        <v/>
      </c>
      <c r="U65" s="15" t="str">
        <f t="shared" si="4"/>
        <v/>
      </c>
      <c r="V65" s="15" t="str">
        <f t="shared" si="5"/>
        <v/>
      </c>
      <c r="W65" s="16" t="str">
        <f>IF(V65="","",VLOOKUP(V65,税率及规则!$A$2:$C$8,2,TRUE))</f>
        <v/>
      </c>
      <c r="X65" s="15" t="str">
        <f>IF(V65="","",VLOOKUP(V65,税率及规则!$A$2:$C$8,3,TRUE))</f>
        <v/>
      </c>
      <c r="Y65" s="15" t="str">
        <f t="shared" si="6"/>
        <v/>
      </c>
      <c r="Z65" s="15" t="str">
        <f>IF(U65="","",MAX(0,U65*VLOOKUP(U65,税率及规则!$A$2:$C$8,2,TRUE)-VLOOKUP(U65,税率及规则!$A$2:$C$8,3,TRUE)))</f>
        <v/>
      </c>
      <c r="AA65" s="15" t="str">
        <f t="shared" si="7"/>
        <v/>
      </c>
      <c r="AB65" s="17" t="str">
        <f t="shared" si="8"/>
        <v/>
      </c>
      <c r="AC65" s="17" t="str">
        <f t="shared" si="9"/>
        <v/>
      </c>
      <c r="AD65" s="4" t="str">
        <f>IF(A65="","",IF(COUNTIF($A$2:$A$501,A65)&gt;1,"异常：事件编号重复",IF(OR(C65="",D65="",E65="",F65="",G65=""),"异常：必填项缺失",IF(AND(F65="其他股权激励",O65=""),"异常：其他股权激励所得缺失",IF(AND(F65&lt;&gt;"其他股权激励",OR(I65="",J65="")),"异常：数量或市场价缺失",IF(AND(F65&lt;&gt;"其他股权激励",OR(I65&lt;=0,J65&lt;0)),"异常：数量或价格无效",IF(AND(F65="限制性股票",OR(M65&lt;=0,N65&lt;0,I65&gt;M65)),"异常：个人获授或出资数据无效",IF(AND(IFERROR(INDEX(计划参数!$J$2:$J$501,MATCH(C65,计划参数!$I$2:$I$501,0)),"")&lt;&gt;"",D65&lt;&gt;IFERROR(INDEX(计划参数!$J$2:$J$501,MATCH(C65,计划参数!$I$2:$I$501,0)),"")),"异常：姓名与员工主数据不一致",IF(S65&lt;0,"异常：原始所得为负，已按0计税",IF(OR(AND(F65="股票期权",K65=""),AND(F65="限制性股票",OR(K65="",L65=""))),"异常：计划参数缺失",IF(COUNTIF(计划参数!$I$2:$I$501,C65)=0,"提示：员工编号未在主数据",IF(Q65&lt;&gt;"已备案","提示：未确认备案","正常"))))))))))))</f>
        <v/>
      </c>
      <c r="AE65" s="9"/>
      <c r="AF65" s="4" t="str">
        <f>IF(C65="","",IF(COUNTIF($C$2:C65,C65)=1,MAX($AF$1:AF64)+1,""))</f>
        <v/>
      </c>
      <c r="AG65" s="4" t="str">
        <f>IF(C65="","",COUNTIF($C$2:C65,C65))</f>
        <v/>
      </c>
      <c r="AH65" s="4" t="str">
        <f t="shared" si="10"/>
        <v/>
      </c>
      <c r="AI65" s="4" t="str">
        <f t="shared" si="11"/>
        <v/>
      </c>
      <c r="AJ65" s="4" t="str">
        <f t="shared" si="12"/>
        <v/>
      </c>
      <c r="AK65" s="15" t="str">
        <f>IF(A65="","",SUMIFS(分期缴税台账!$K$2:$K$501,分期缴税台账!$T$2:$T$501,A65,分期缴税台账!$Q$2:$Q$501,"有效"))</f>
        <v/>
      </c>
      <c r="AL65" s="15" t="str">
        <f t="shared" si="13"/>
        <v/>
      </c>
      <c r="AM65" s="4" t="str">
        <f t="shared" si="14"/>
        <v/>
      </c>
    </row>
    <row r="66" spans="1:39" x14ac:dyDescent="0.3">
      <c r="A66" s="9"/>
      <c r="B66" s="4" t="str">
        <f t="shared" ref="B66:B129" si="15">IF(A66="","",A66&amp;"-TAX")</f>
        <v/>
      </c>
      <c r="C66" s="9"/>
      <c r="D66" s="9"/>
      <c r="E66" s="9"/>
      <c r="F66" s="9"/>
      <c r="G66" s="13"/>
      <c r="H66" s="4" t="str">
        <f t="shared" ref="H66:H129" si="16">IF(G66="","",YEAR(G66))</f>
        <v/>
      </c>
      <c r="I66" s="9"/>
      <c r="J66" s="14"/>
      <c r="K66" s="15" t="str">
        <f>IF(OR(E66="",F66="",G66=""),"",IF(E66&lt;&gt;计划参数!$C$2,"",IF(F66="股票期权",IFERROR(LOOKUP(G66,计划参数!$D$12:$D$15,计划参数!$C$12:$C$15),""),IF(F66="限制性股票",计划参数!$C$10,""))))</f>
        <v/>
      </c>
      <c r="L66" s="15" t="str">
        <f>IF(AND(E66=计划参数!$C$2,F66="限制性股票",G66&gt;=计划参数!$D$9),计划参数!$C$9,"")</f>
        <v/>
      </c>
      <c r="M66" s="9"/>
      <c r="N66" s="14"/>
      <c r="O66" s="14"/>
      <c r="P66" s="13"/>
      <c r="Q66" s="9"/>
      <c r="R66" s="13"/>
      <c r="S66" s="15" t="str">
        <f t="shared" ref="S66:S129" si="17">IF(OR(A66="",C66="",F66="",G66=""),"",IF(F66="股票期权",IF(OR(I66="",J66="",K66=""),"",(J66-K66)*I66),IF(F66="限制性股票",IF(OR(L66="",M66="",M66&lt;=0,N66=""),"",((L66+J66)/2)*I66-N66*I66/M66),IF(F66="其他股权激励",IF(O66="","",O66),""))))</f>
        <v/>
      </c>
      <c r="T66" s="15" t="str">
        <f t="shared" ref="T66:T129" si="18">IF(S66="","",MAX(0,S66))</f>
        <v/>
      </c>
      <c r="U66" s="15" t="str">
        <f t="shared" ref="U66:U129" si="19">IF(T66="","",SUMIFS($T$2:$T$501,$C$2:$C$501,C66,$H$2:$H$501,H66,$G$2:$G$501,"&lt;"&amp;G66)+SUMIFS($T$2:$T$501,$C$2:$C$501,C66,$H$2:$H$501,H66,$G$2:$G$501,G66,$A$2:$A$501,"&lt;"&amp;A66))</f>
        <v/>
      </c>
      <c r="V66" s="15" t="str">
        <f t="shared" ref="V66:V129" si="20">IF(T66="","",U66+T66)</f>
        <v/>
      </c>
      <c r="W66" s="16" t="str">
        <f>IF(V66="","",VLOOKUP(V66,税率及规则!$A$2:$C$8,2,TRUE))</f>
        <v/>
      </c>
      <c r="X66" s="15" t="str">
        <f>IF(V66="","",VLOOKUP(V66,税率及规则!$A$2:$C$8,3,TRUE))</f>
        <v/>
      </c>
      <c r="Y66" s="15" t="str">
        <f t="shared" ref="Y66:Y129" si="21">IF(V66="","",MAX(0,V66*W66-X66))</f>
        <v/>
      </c>
      <c r="Z66" s="15" t="str">
        <f>IF(U66="","",MAX(0,U66*VLOOKUP(U66,税率及规则!$A$2:$C$8,2,TRUE)-VLOOKUP(U66,税率及规则!$A$2:$C$8,3,TRUE)))</f>
        <v/>
      </c>
      <c r="AA66" s="15" t="str">
        <f t="shared" ref="AA66:AA129" si="22">IF(Y66="","",MAX(0,Y66-Z66))</f>
        <v/>
      </c>
      <c r="AB66" s="17" t="str">
        <f t="shared" ref="AB66:AB129" si="23">IF(G66="","",G66)</f>
        <v/>
      </c>
      <c r="AC66" s="17" t="str">
        <f t="shared" ref="AC66:AC129" si="24">IF(AB66="","",IF(DAY(AB66)=DAY(EOMONTH(AB66,0)),EOMONTH(EDATE(AB66,36),0),EDATE(AB66,36)))</f>
        <v/>
      </c>
      <c r="AD66" s="4" t="str">
        <f>IF(A66="","",IF(COUNTIF($A$2:$A$501,A66)&gt;1,"异常：事件编号重复",IF(OR(C66="",D66="",E66="",F66="",G66=""),"异常：必填项缺失",IF(AND(F66="其他股权激励",O66=""),"异常：其他股权激励所得缺失",IF(AND(F66&lt;&gt;"其他股权激励",OR(I66="",J66="")),"异常：数量或市场价缺失",IF(AND(F66&lt;&gt;"其他股权激励",OR(I66&lt;=0,J66&lt;0)),"异常：数量或价格无效",IF(AND(F66="限制性股票",OR(M66&lt;=0,N66&lt;0,I66&gt;M66)),"异常：个人获授或出资数据无效",IF(AND(IFERROR(INDEX(计划参数!$J$2:$J$501,MATCH(C66,计划参数!$I$2:$I$501,0)),"")&lt;&gt;"",D66&lt;&gt;IFERROR(INDEX(计划参数!$J$2:$J$501,MATCH(C66,计划参数!$I$2:$I$501,0)),"")),"异常：姓名与员工主数据不一致",IF(S66&lt;0,"异常：原始所得为负，已按0计税",IF(OR(AND(F66="股票期权",K66=""),AND(F66="限制性股票",OR(K66="",L66=""))),"异常：计划参数缺失",IF(COUNTIF(计划参数!$I$2:$I$501,C66)=0,"提示：员工编号未在主数据",IF(Q66&lt;&gt;"已备案","提示：未确认备案","正常"))))))))))))</f>
        <v/>
      </c>
      <c r="AE66" s="9"/>
      <c r="AF66" s="4" t="str">
        <f>IF(C66="","",IF(COUNTIF($C$2:C66,C66)=1,MAX($AF$1:AF65)+1,""))</f>
        <v/>
      </c>
      <c r="AG66" s="4" t="str">
        <f>IF(C66="","",COUNTIF($C$2:C66,C66))</f>
        <v/>
      </c>
      <c r="AH66" s="4" t="str">
        <f t="shared" ref="AH66:AH129" si="25">IF(C66="","",C66&amp;"|"&amp;AG66)</f>
        <v/>
      </c>
      <c r="AI66" s="4" t="str">
        <f t="shared" ref="AI66:AI129" si="26">IF(OR(A66="",AA66&lt;=0),"",C66&amp;"|"&amp;H66&amp;"|"&amp;(COUNTIFS($C$2:$C$501,C66,$H$2:$H$501,H66,$AA$2:$AA$501,"&gt;0",$AC$2:$AC$501,"&lt;"&amp;AC66)+COUNTIFS($C$2:$C$501,C66,$H$2:$H$501,H66,$AA$2:$AA$501,"&gt;0",$AC$2:$AC$501,AC66,$A$2:$A$501,"&lt;="&amp;A66)))</f>
        <v/>
      </c>
      <c r="AJ66" s="4" t="str">
        <f t="shared" ref="AJ66:AJ129" si="27">IF(OR(A66="",AA66&lt;=0),"",C66&amp;"|"&amp;(COUNTIFS($C$2:$C$501,C66,$AA$2:$AA$501,"&gt;0",$AC$2:$AC$501,"&lt;"&amp;AC66)+COUNTIFS($C$2:$C$501,C66,$AA$2:$AA$501,"&gt;0",$AC$2:$AC$501,AC66,$A$2:$A$501,"&lt;="&amp;A66)))</f>
        <v/>
      </c>
      <c r="AK66" s="15" t="str">
        <f>IF(A66="","",SUMIFS(分期缴税台账!$K$2:$K$501,分期缴税台账!$T$2:$T$501,A66,分期缴税台账!$Q$2:$Q$501,"有效"))</f>
        <v/>
      </c>
      <c r="AL66" s="15" t="str">
        <f t="shared" ref="AL66:AL129" si="28">IF(AA66="","",MAX(0,AA66-AK66))</f>
        <v/>
      </c>
      <c r="AM66" s="4" t="str">
        <f t="shared" ref="AM66:AM129" si="29">IF(OR(A66="",AL66&lt;=0),"",C66&amp;"|"&amp;H66&amp;"|"&amp;(COUNTIFS($C$2:$C$501,C66,$H$2:$H$501,H66,$AL$2:$AL$501,"&gt;0",$AC$2:$AC$501,"&lt;"&amp;AC66)+COUNTIFS($C$2:$C$501,C66,$H$2:$H$501,H66,$AL$2:$AL$501,"&gt;0",$AC$2:$AC$501,AC66,$A$2:$A$501,"&lt;="&amp;A66)))</f>
        <v/>
      </c>
    </row>
    <row r="67" spans="1:39" x14ac:dyDescent="0.3">
      <c r="A67" s="9"/>
      <c r="B67" s="4" t="str">
        <f t="shared" si="15"/>
        <v/>
      </c>
      <c r="C67" s="9"/>
      <c r="D67" s="9"/>
      <c r="E67" s="9"/>
      <c r="F67" s="9"/>
      <c r="G67" s="13"/>
      <c r="H67" s="4" t="str">
        <f t="shared" si="16"/>
        <v/>
      </c>
      <c r="I67" s="9"/>
      <c r="J67" s="14"/>
      <c r="K67" s="15" t="str">
        <f>IF(OR(E67="",F67="",G67=""),"",IF(E67&lt;&gt;计划参数!$C$2,"",IF(F67="股票期权",IFERROR(LOOKUP(G67,计划参数!$D$12:$D$15,计划参数!$C$12:$C$15),""),IF(F67="限制性股票",计划参数!$C$10,""))))</f>
        <v/>
      </c>
      <c r="L67" s="15" t="str">
        <f>IF(AND(E67=计划参数!$C$2,F67="限制性股票",G67&gt;=计划参数!$D$9),计划参数!$C$9,"")</f>
        <v/>
      </c>
      <c r="M67" s="9"/>
      <c r="N67" s="14"/>
      <c r="O67" s="14"/>
      <c r="P67" s="13"/>
      <c r="Q67" s="9"/>
      <c r="R67" s="13"/>
      <c r="S67" s="15" t="str">
        <f t="shared" si="17"/>
        <v/>
      </c>
      <c r="T67" s="15" t="str">
        <f t="shared" si="18"/>
        <v/>
      </c>
      <c r="U67" s="15" t="str">
        <f t="shared" si="19"/>
        <v/>
      </c>
      <c r="V67" s="15" t="str">
        <f t="shared" si="20"/>
        <v/>
      </c>
      <c r="W67" s="16" t="str">
        <f>IF(V67="","",VLOOKUP(V67,税率及规则!$A$2:$C$8,2,TRUE))</f>
        <v/>
      </c>
      <c r="X67" s="15" t="str">
        <f>IF(V67="","",VLOOKUP(V67,税率及规则!$A$2:$C$8,3,TRUE))</f>
        <v/>
      </c>
      <c r="Y67" s="15" t="str">
        <f t="shared" si="21"/>
        <v/>
      </c>
      <c r="Z67" s="15" t="str">
        <f>IF(U67="","",MAX(0,U67*VLOOKUP(U67,税率及规则!$A$2:$C$8,2,TRUE)-VLOOKUP(U67,税率及规则!$A$2:$C$8,3,TRUE)))</f>
        <v/>
      </c>
      <c r="AA67" s="15" t="str">
        <f t="shared" si="22"/>
        <v/>
      </c>
      <c r="AB67" s="17" t="str">
        <f t="shared" si="23"/>
        <v/>
      </c>
      <c r="AC67" s="17" t="str">
        <f t="shared" si="24"/>
        <v/>
      </c>
      <c r="AD67" s="4" t="str">
        <f>IF(A67="","",IF(COUNTIF($A$2:$A$501,A67)&gt;1,"异常：事件编号重复",IF(OR(C67="",D67="",E67="",F67="",G67=""),"异常：必填项缺失",IF(AND(F67="其他股权激励",O67=""),"异常：其他股权激励所得缺失",IF(AND(F67&lt;&gt;"其他股权激励",OR(I67="",J67="")),"异常：数量或市场价缺失",IF(AND(F67&lt;&gt;"其他股权激励",OR(I67&lt;=0,J67&lt;0)),"异常：数量或价格无效",IF(AND(F67="限制性股票",OR(M67&lt;=0,N67&lt;0,I67&gt;M67)),"异常：个人获授或出资数据无效",IF(AND(IFERROR(INDEX(计划参数!$J$2:$J$501,MATCH(C67,计划参数!$I$2:$I$501,0)),"")&lt;&gt;"",D67&lt;&gt;IFERROR(INDEX(计划参数!$J$2:$J$501,MATCH(C67,计划参数!$I$2:$I$501,0)),"")),"异常：姓名与员工主数据不一致",IF(S67&lt;0,"异常：原始所得为负，已按0计税",IF(OR(AND(F67="股票期权",K67=""),AND(F67="限制性股票",OR(K67="",L67=""))),"异常：计划参数缺失",IF(COUNTIF(计划参数!$I$2:$I$501,C67)=0,"提示：员工编号未在主数据",IF(Q67&lt;&gt;"已备案","提示：未确认备案","正常"))))))))))))</f>
        <v/>
      </c>
      <c r="AE67" s="9"/>
      <c r="AF67" s="4" t="str">
        <f>IF(C67="","",IF(COUNTIF($C$2:C67,C67)=1,MAX($AF$1:AF66)+1,""))</f>
        <v/>
      </c>
      <c r="AG67" s="4" t="str">
        <f>IF(C67="","",COUNTIF($C$2:C67,C67))</f>
        <v/>
      </c>
      <c r="AH67" s="4" t="str">
        <f t="shared" si="25"/>
        <v/>
      </c>
      <c r="AI67" s="4" t="str">
        <f t="shared" si="26"/>
        <v/>
      </c>
      <c r="AJ67" s="4" t="str">
        <f t="shared" si="27"/>
        <v/>
      </c>
      <c r="AK67" s="15" t="str">
        <f>IF(A67="","",SUMIFS(分期缴税台账!$K$2:$K$501,分期缴税台账!$T$2:$T$501,A67,分期缴税台账!$Q$2:$Q$501,"有效"))</f>
        <v/>
      </c>
      <c r="AL67" s="15" t="str">
        <f t="shared" si="28"/>
        <v/>
      </c>
      <c r="AM67" s="4" t="str">
        <f t="shared" si="29"/>
        <v/>
      </c>
    </row>
    <row r="68" spans="1:39" x14ac:dyDescent="0.3">
      <c r="A68" s="9"/>
      <c r="B68" s="4" t="str">
        <f t="shared" si="15"/>
        <v/>
      </c>
      <c r="C68" s="9"/>
      <c r="D68" s="9"/>
      <c r="E68" s="9"/>
      <c r="F68" s="9"/>
      <c r="G68" s="13"/>
      <c r="H68" s="4" t="str">
        <f t="shared" si="16"/>
        <v/>
      </c>
      <c r="I68" s="9"/>
      <c r="J68" s="14"/>
      <c r="K68" s="15" t="str">
        <f>IF(OR(E68="",F68="",G68=""),"",IF(E68&lt;&gt;计划参数!$C$2,"",IF(F68="股票期权",IFERROR(LOOKUP(G68,计划参数!$D$12:$D$15,计划参数!$C$12:$C$15),""),IF(F68="限制性股票",计划参数!$C$10,""))))</f>
        <v/>
      </c>
      <c r="L68" s="15" t="str">
        <f>IF(AND(E68=计划参数!$C$2,F68="限制性股票",G68&gt;=计划参数!$D$9),计划参数!$C$9,"")</f>
        <v/>
      </c>
      <c r="M68" s="9"/>
      <c r="N68" s="14"/>
      <c r="O68" s="14"/>
      <c r="P68" s="13"/>
      <c r="Q68" s="9"/>
      <c r="R68" s="13"/>
      <c r="S68" s="15" t="str">
        <f t="shared" si="17"/>
        <v/>
      </c>
      <c r="T68" s="15" t="str">
        <f t="shared" si="18"/>
        <v/>
      </c>
      <c r="U68" s="15" t="str">
        <f t="shared" si="19"/>
        <v/>
      </c>
      <c r="V68" s="15" t="str">
        <f t="shared" si="20"/>
        <v/>
      </c>
      <c r="W68" s="16" t="str">
        <f>IF(V68="","",VLOOKUP(V68,税率及规则!$A$2:$C$8,2,TRUE))</f>
        <v/>
      </c>
      <c r="X68" s="15" t="str">
        <f>IF(V68="","",VLOOKUP(V68,税率及规则!$A$2:$C$8,3,TRUE))</f>
        <v/>
      </c>
      <c r="Y68" s="15" t="str">
        <f t="shared" si="21"/>
        <v/>
      </c>
      <c r="Z68" s="15" t="str">
        <f>IF(U68="","",MAX(0,U68*VLOOKUP(U68,税率及规则!$A$2:$C$8,2,TRUE)-VLOOKUP(U68,税率及规则!$A$2:$C$8,3,TRUE)))</f>
        <v/>
      </c>
      <c r="AA68" s="15" t="str">
        <f t="shared" si="22"/>
        <v/>
      </c>
      <c r="AB68" s="17" t="str">
        <f t="shared" si="23"/>
        <v/>
      </c>
      <c r="AC68" s="17" t="str">
        <f t="shared" si="24"/>
        <v/>
      </c>
      <c r="AD68" s="4" t="str">
        <f>IF(A68="","",IF(COUNTIF($A$2:$A$501,A68)&gt;1,"异常：事件编号重复",IF(OR(C68="",D68="",E68="",F68="",G68=""),"异常：必填项缺失",IF(AND(F68="其他股权激励",O68=""),"异常：其他股权激励所得缺失",IF(AND(F68&lt;&gt;"其他股权激励",OR(I68="",J68="")),"异常：数量或市场价缺失",IF(AND(F68&lt;&gt;"其他股权激励",OR(I68&lt;=0,J68&lt;0)),"异常：数量或价格无效",IF(AND(F68="限制性股票",OR(M68&lt;=0,N68&lt;0,I68&gt;M68)),"异常：个人获授或出资数据无效",IF(AND(IFERROR(INDEX(计划参数!$J$2:$J$501,MATCH(C68,计划参数!$I$2:$I$501,0)),"")&lt;&gt;"",D68&lt;&gt;IFERROR(INDEX(计划参数!$J$2:$J$501,MATCH(C68,计划参数!$I$2:$I$501,0)),"")),"异常：姓名与员工主数据不一致",IF(S68&lt;0,"异常：原始所得为负，已按0计税",IF(OR(AND(F68="股票期权",K68=""),AND(F68="限制性股票",OR(K68="",L68=""))),"异常：计划参数缺失",IF(COUNTIF(计划参数!$I$2:$I$501,C68)=0,"提示：员工编号未在主数据",IF(Q68&lt;&gt;"已备案","提示：未确认备案","正常"))))))))))))</f>
        <v/>
      </c>
      <c r="AE68" s="9"/>
      <c r="AF68" s="4" t="str">
        <f>IF(C68="","",IF(COUNTIF($C$2:C68,C68)=1,MAX($AF$1:AF67)+1,""))</f>
        <v/>
      </c>
      <c r="AG68" s="4" t="str">
        <f>IF(C68="","",COUNTIF($C$2:C68,C68))</f>
        <v/>
      </c>
      <c r="AH68" s="4" t="str">
        <f t="shared" si="25"/>
        <v/>
      </c>
      <c r="AI68" s="4" t="str">
        <f t="shared" si="26"/>
        <v/>
      </c>
      <c r="AJ68" s="4" t="str">
        <f t="shared" si="27"/>
        <v/>
      </c>
      <c r="AK68" s="15" t="str">
        <f>IF(A68="","",SUMIFS(分期缴税台账!$K$2:$K$501,分期缴税台账!$T$2:$T$501,A68,分期缴税台账!$Q$2:$Q$501,"有效"))</f>
        <v/>
      </c>
      <c r="AL68" s="15" t="str">
        <f t="shared" si="28"/>
        <v/>
      </c>
      <c r="AM68" s="4" t="str">
        <f t="shared" si="29"/>
        <v/>
      </c>
    </row>
    <row r="69" spans="1:39" x14ac:dyDescent="0.3">
      <c r="A69" s="9"/>
      <c r="B69" s="4" t="str">
        <f t="shared" si="15"/>
        <v/>
      </c>
      <c r="C69" s="9"/>
      <c r="D69" s="9"/>
      <c r="E69" s="9"/>
      <c r="F69" s="9"/>
      <c r="G69" s="13"/>
      <c r="H69" s="4" t="str">
        <f t="shared" si="16"/>
        <v/>
      </c>
      <c r="I69" s="9"/>
      <c r="J69" s="14"/>
      <c r="K69" s="15" t="str">
        <f>IF(OR(E69="",F69="",G69=""),"",IF(E69&lt;&gt;计划参数!$C$2,"",IF(F69="股票期权",IFERROR(LOOKUP(G69,计划参数!$D$12:$D$15,计划参数!$C$12:$C$15),""),IF(F69="限制性股票",计划参数!$C$10,""))))</f>
        <v/>
      </c>
      <c r="L69" s="15" t="str">
        <f>IF(AND(E69=计划参数!$C$2,F69="限制性股票",G69&gt;=计划参数!$D$9),计划参数!$C$9,"")</f>
        <v/>
      </c>
      <c r="M69" s="9"/>
      <c r="N69" s="14"/>
      <c r="O69" s="14"/>
      <c r="P69" s="13"/>
      <c r="Q69" s="9"/>
      <c r="R69" s="13"/>
      <c r="S69" s="15" t="str">
        <f t="shared" si="17"/>
        <v/>
      </c>
      <c r="T69" s="15" t="str">
        <f t="shared" si="18"/>
        <v/>
      </c>
      <c r="U69" s="15" t="str">
        <f t="shared" si="19"/>
        <v/>
      </c>
      <c r="V69" s="15" t="str">
        <f t="shared" si="20"/>
        <v/>
      </c>
      <c r="W69" s="16" t="str">
        <f>IF(V69="","",VLOOKUP(V69,税率及规则!$A$2:$C$8,2,TRUE))</f>
        <v/>
      </c>
      <c r="X69" s="15" t="str">
        <f>IF(V69="","",VLOOKUP(V69,税率及规则!$A$2:$C$8,3,TRUE))</f>
        <v/>
      </c>
      <c r="Y69" s="15" t="str">
        <f t="shared" si="21"/>
        <v/>
      </c>
      <c r="Z69" s="15" t="str">
        <f>IF(U69="","",MAX(0,U69*VLOOKUP(U69,税率及规则!$A$2:$C$8,2,TRUE)-VLOOKUP(U69,税率及规则!$A$2:$C$8,3,TRUE)))</f>
        <v/>
      </c>
      <c r="AA69" s="15" t="str">
        <f t="shared" si="22"/>
        <v/>
      </c>
      <c r="AB69" s="17" t="str">
        <f t="shared" si="23"/>
        <v/>
      </c>
      <c r="AC69" s="17" t="str">
        <f t="shared" si="24"/>
        <v/>
      </c>
      <c r="AD69" s="4" t="str">
        <f>IF(A69="","",IF(COUNTIF($A$2:$A$501,A69)&gt;1,"异常：事件编号重复",IF(OR(C69="",D69="",E69="",F69="",G69=""),"异常：必填项缺失",IF(AND(F69="其他股权激励",O69=""),"异常：其他股权激励所得缺失",IF(AND(F69&lt;&gt;"其他股权激励",OR(I69="",J69="")),"异常：数量或市场价缺失",IF(AND(F69&lt;&gt;"其他股权激励",OR(I69&lt;=0,J69&lt;0)),"异常：数量或价格无效",IF(AND(F69="限制性股票",OR(M69&lt;=0,N69&lt;0,I69&gt;M69)),"异常：个人获授或出资数据无效",IF(AND(IFERROR(INDEX(计划参数!$J$2:$J$501,MATCH(C69,计划参数!$I$2:$I$501,0)),"")&lt;&gt;"",D69&lt;&gt;IFERROR(INDEX(计划参数!$J$2:$J$501,MATCH(C69,计划参数!$I$2:$I$501,0)),"")),"异常：姓名与员工主数据不一致",IF(S69&lt;0,"异常：原始所得为负，已按0计税",IF(OR(AND(F69="股票期权",K69=""),AND(F69="限制性股票",OR(K69="",L69=""))),"异常：计划参数缺失",IF(COUNTIF(计划参数!$I$2:$I$501,C69)=0,"提示：员工编号未在主数据",IF(Q69&lt;&gt;"已备案","提示：未确认备案","正常"))))))))))))</f>
        <v/>
      </c>
      <c r="AE69" s="9"/>
      <c r="AF69" s="4" t="str">
        <f>IF(C69="","",IF(COUNTIF($C$2:C69,C69)=1,MAX($AF$1:AF68)+1,""))</f>
        <v/>
      </c>
      <c r="AG69" s="4" t="str">
        <f>IF(C69="","",COUNTIF($C$2:C69,C69))</f>
        <v/>
      </c>
      <c r="AH69" s="4" t="str">
        <f t="shared" si="25"/>
        <v/>
      </c>
      <c r="AI69" s="4" t="str">
        <f t="shared" si="26"/>
        <v/>
      </c>
      <c r="AJ69" s="4" t="str">
        <f t="shared" si="27"/>
        <v/>
      </c>
      <c r="AK69" s="15" t="str">
        <f>IF(A69="","",SUMIFS(分期缴税台账!$K$2:$K$501,分期缴税台账!$T$2:$T$501,A69,分期缴税台账!$Q$2:$Q$501,"有效"))</f>
        <v/>
      </c>
      <c r="AL69" s="15" t="str">
        <f t="shared" si="28"/>
        <v/>
      </c>
      <c r="AM69" s="4" t="str">
        <f t="shared" si="29"/>
        <v/>
      </c>
    </row>
    <row r="70" spans="1:39" x14ac:dyDescent="0.3">
      <c r="A70" s="9"/>
      <c r="B70" s="4" t="str">
        <f t="shared" si="15"/>
        <v/>
      </c>
      <c r="C70" s="9"/>
      <c r="D70" s="9"/>
      <c r="E70" s="9"/>
      <c r="F70" s="9"/>
      <c r="G70" s="13"/>
      <c r="H70" s="4" t="str">
        <f t="shared" si="16"/>
        <v/>
      </c>
      <c r="I70" s="9"/>
      <c r="J70" s="14"/>
      <c r="K70" s="15" t="str">
        <f>IF(OR(E70="",F70="",G70=""),"",IF(E70&lt;&gt;计划参数!$C$2,"",IF(F70="股票期权",IFERROR(LOOKUP(G70,计划参数!$D$12:$D$15,计划参数!$C$12:$C$15),""),IF(F70="限制性股票",计划参数!$C$10,""))))</f>
        <v/>
      </c>
      <c r="L70" s="15" t="str">
        <f>IF(AND(E70=计划参数!$C$2,F70="限制性股票",G70&gt;=计划参数!$D$9),计划参数!$C$9,"")</f>
        <v/>
      </c>
      <c r="M70" s="9"/>
      <c r="N70" s="14"/>
      <c r="O70" s="14"/>
      <c r="P70" s="13"/>
      <c r="Q70" s="9"/>
      <c r="R70" s="13"/>
      <c r="S70" s="15" t="str">
        <f t="shared" si="17"/>
        <v/>
      </c>
      <c r="T70" s="15" t="str">
        <f t="shared" si="18"/>
        <v/>
      </c>
      <c r="U70" s="15" t="str">
        <f t="shared" si="19"/>
        <v/>
      </c>
      <c r="V70" s="15" t="str">
        <f t="shared" si="20"/>
        <v/>
      </c>
      <c r="W70" s="16" t="str">
        <f>IF(V70="","",VLOOKUP(V70,税率及规则!$A$2:$C$8,2,TRUE))</f>
        <v/>
      </c>
      <c r="X70" s="15" t="str">
        <f>IF(V70="","",VLOOKUP(V70,税率及规则!$A$2:$C$8,3,TRUE))</f>
        <v/>
      </c>
      <c r="Y70" s="15" t="str">
        <f t="shared" si="21"/>
        <v/>
      </c>
      <c r="Z70" s="15" t="str">
        <f>IF(U70="","",MAX(0,U70*VLOOKUP(U70,税率及规则!$A$2:$C$8,2,TRUE)-VLOOKUP(U70,税率及规则!$A$2:$C$8,3,TRUE)))</f>
        <v/>
      </c>
      <c r="AA70" s="15" t="str">
        <f t="shared" si="22"/>
        <v/>
      </c>
      <c r="AB70" s="17" t="str">
        <f t="shared" si="23"/>
        <v/>
      </c>
      <c r="AC70" s="17" t="str">
        <f t="shared" si="24"/>
        <v/>
      </c>
      <c r="AD70" s="4" t="str">
        <f>IF(A70="","",IF(COUNTIF($A$2:$A$501,A70)&gt;1,"异常：事件编号重复",IF(OR(C70="",D70="",E70="",F70="",G70=""),"异常：必填项缺失",IF(AND(F70="其他股权激励",O70=""),"异常：其他股权激励所得缺失",IF(AND(F70&lt;&gt;"其他股权激励",OR(I70="",J70="")),"异常：数量或市场价缺失",IF(AND(F70&lt;&gt;"其他股权激励",OR(I70&lt;=0,J70&lt;0)),"异常：数量或价格无效",IF(AND(F70="限制性股票",OR(M70&lt;=0,N70&lt;0,I70&gt;M70)),"异常：个人获授或出资数据无效",IF(AND(IFERROR(INDEX(计划参数!$J$2:$J$501,MATCH(C70,计划参数!$I$2:$I$501,0)),"")&lt;&gt;"",D70&lt;&gt;IFERROR(INDEX(计划参数!$J$2:$J$501,MATCH(C70,计划参数!$I$2:$I$501,0)),"")),"异常：姓名与员工主数据不一致",IF(S70&lt;0,"异常：原始所得为负，已按0计税",IF(OR(AND(F70="股票期权",K70=""),AND(F70="限制性股票",OR(K70="",L70=""))),"异常：计划参数缺失",IF(COUNTIF(计划参数!$I$2:$I$501,C70)=0,"提示：员工编号未在主数据",IF(Q70&lt;&gt;"已备案","提示：未确认备案","正常"))))))))))))</f>
        <v/>
      </c>
      <c r="AE70" s="9"/>
      <c r="AF70" s="4" t="str">
        <f>IF(C70="","",IF(COUNTIF($C$2:C70,C70)=1,MAX($AF$1:AF69)+1,""))</f>
        <v/>
      </c>
      <c r="AG70" s="4" t="str">
        <f>IF(C70="","",COUNTIF($C$2:C70,C70))</f>
        <v/>
      </c>
      <c r="AH70" s="4" t="str">
        <f t="shared" si="25"/>
        <v/>
      </c>
      <c r="AI70" s="4" t="str">
        <f t="shared" si="26"/>
        <v/>
      </c>
      <c r="AJ70" s="4" t="str">
        <f t="shared" si="27"/>
        <v/>
      </c>
      <c r="AK70" s="15" t="str">
        <f>IF(A70="","",SUMIFS(分期缴税台账!$K$2:$K$501,分期缴税台账!$T$2:$T$501,A70,分期缴税台账!$Q$2:$Q$501,"有效"))</f>
        <v/>
      </c>
      <c r="AL70" s="15" t="str">
        <f t="shared" si="28"/>
        <v/>
      </c>
      <c r="AM70" s="4" t="str">
        <f t="shared" si="29"/>
        <v/>
      </c>
    </row>
    <row r="71" spans="1:39" x14ac:dyDescent="0.3">
      <c r="A71" s="9"/>
      <c r="B71" s="4" t="str">
        <f t="shared" si="15"/>
        <v/>
      </c>
      <c r="C71" s="9"/>
      <c r="D71" s="9"/>
      <c r="E71" s="9"/>
      <c r="F71" s="9"/>
      <c r="G71" s="13"/>
      <c r="H71" s="4" t="str">
        <f t="shared" si="16"/>
        <v/>
      </c>
      <c r="I71" s="9"/>
      <c r="J71" s="14"/>
      <c r="K71" s="15" t="str">
        <f>IF(OR(E71="",F71="",G71=""),"",IF(E71&lt;&gt;计划参数!$C$2,"",IF(F71="股票期权",IFERROR(LOOKUP(G71,计划参数!$D$12:$D$15,计划参数!$C$12:$C$15),""),IF(F71="限制性股票",计划参数!$C$10,""))))</f>
        <v/>
      </c>
      <c r="L71" s="15" t="str">
        <f>IF(AND(E71=计划参数!$C$2,F71="限制性股票",G71&gt;=计划参数!$D$9),计划参数!$C$9,"")</f>
        <v/>
      </c>
      <c r="M71" s="9"/>
      <c r="N71" s="14"/>
      <c r="O71" s="14"/>
      <c r="P71" s="13"/>
      <c r="Q71" s="9"/>
      <c r="R71" s="13"/>
      <c r="S71" s="15" t="str">
        <f t="shared" si="17"/>
        <v/>
      </c>
      <c r="T71" s="15" t="str">
        <f t="shared" si="18"/>
        <v/>
      </c>
      <c r="U71" s="15" t="str">
        <f t="shared" si="19"/>
        <v/>
      </c>
      <c r="V71" s="15" t="str">
        <f t="shared" si="20"/>
        <v/>
      </c>
      <c r="W71" s="16" t="str">
        <f>IF(V71="","",VLOOKUP(V71,税率及规则!$A$2:$C$8,2,TRUE))</f>
        <v/>
      </c>
      <c r="X71" s="15" t="str">
        <f>IF(V71="","",VLOOKUP(V71,税率及规则!$A$2:$C$8,3,TRUE))</f>
        <v/>
      </c>
      <c r="Y71" s="15" t="str">
        <f t="shared" si="21"/>
        <v/>
      </c>
      <c r="Z71" s="15" t="str">
        <f>IF(U71="","",MAX(0,U71*VLOOKUP(U71,税率及规则!$A$2:$C$8,2,TRUE)-VLOOKUP(U71,税率及规则!$A$2:$C$8,3,TRUE)))</f>
        <v/>
      </c>
      <c r="AA71" s="15" t="str">
        <f t="shared" si="22"/>
        <v/>
      </c>
      <c r="AB71" s="17" t="str">
        <f t="shared" si="23"/>
        <v/>
      </c>
      <c r="AC71" s="17" t="str">
        <f t="shared" si="24"/>
        <v/>
      </c>
      <c r="AD71" s="4" t="str">
        <f>IF(A71="","",IF(COUNTIF($A$2:$A$501,A71)&gt;1,"异常：事件编号重复",IF(OR(C71="",D71="",E71="",F71="",G71=""),"异常：必填项缺失",IF(AND(F71="其他股权激励",O71=""),"异常：其他股权激励所得缺失",IF(AND(F71&lt;&gt;"其他股权激励",OR(I71="",J71="")),"异常：数量或市场价缺失",IF(AND(F71&lt;&gt;"其他股权激励",OR(I71&lt;=0,J71&lt;0)),"异常：数量或价格无效",IF(AND(F71="限制性股票",OR(M71&lt;=0,N71&lt;0,I71&gt;M71)),"异常：个人获授或出资数据无效",IF(AND(IFERROR(INDEX(计划参数!$J$2:$J$501,MATCH(C71,计划参数!$I$2:$I$501,0)),"")&lt;&gt;"",D71&lt;&gt;IFERROR(INDEX(计划参数!$J$2:$J$501,MATCH(C71,计划参数!$I$2:$I$501,0)),"")),"异常：姓名与员工主数据不一致",IF(S71&lt;0,"异常：原始所得为负，已按0计税",IF(OR(AND(F71="股票期权",K71=""),AND(F71="限制性股票",OR(K71="",L71=""))),"异常：计划参数缺失",IF(COUNTIF(计划参数!$I$2:$I$501,C71)=0,"提示：员工编号未在主数据",IF(Q71&lt;&gt;"已备案","提示：未确认备案","正常"))))))))))))</f>
        <v/>
      </c>
      <c r="AE71" s="9"/>
      <c r="AF71" s="4" t="str">
        <f>IF(C71="","",IF(COUNTIF($C$2:C71,C71)=1,MAX($AF$1:AF70)+1,""))</f>
        <v/>
      </c>
      <c r="AG71" s="4" t="str">
        <f>IF(C71="","",COUNTIF($C$2:C71,C71))</f>
        <v/>
      </c>
      <c r="AH71" s="4" t="str">
        <f t="shared" si="25"/>
        <v/>
      </c>
      <c r="AI71" s="4" t="str">
        <f t="shared" si="26"/>
        <v/>
      </c>
      <c r="AJ71" s="4" t="str">
        <f t="shared" si="27"/>
        <v/>
      </c>
      <c r="AK71" s="15" t="str">
        <f>IF(A71="","",SUMIFS(分期缴税台账!$K$2:$K$501,分期缴税台账!$T$2:$T$501,A71,分期缴税台账!$Q$2:$Q$501,"有效"))</f>
        <v/>
      </c>
      <c r="AL71" s="15" t="str">
        <f t="shared" si="28"/>
        <v/>
      </c>
      <c r="AM71" s="4" t="str">
        <f t="shared" si="29"/>
        <v/>
      </c>
    </row>
    <row r="72" spans="1:39" x14ac:dyDescent="0.3">
      <c r="A72" s="9"/>
      <c r="B72" s="4" t="str">
        <f t="shared" si="15"/>
        <v/>
      </c>
      <c r="C72" s="9"/>
      <c r="D72" s="9"/>
      <c r="E72" s="9"/>
      <c r="F72" s="9"/>
      <c r="G72" s="13"/>
      <c r="H72" s="4" t="str">
        <f t="shared" si="16"/>
        <v/>
      </c>
      <c r="I72" s="9"/>
      <c r="J72" s="14"/>
      <c r="K72" s="15" t="str">
        <f>IF(OR(E72="",F72="",G72=""),"",IF(E72&lt;&gt;计划参数!$C$2,"",IF(F72="股票期权",IFERROR(LOOKUP(G72,计划参数!$D$12:$D$15,计划参数!$C$12:$C$15),""),IF(F72="限制性股票",计划参数!$C$10,""))))</f>
        <v/>
      </c>
      <c r="L72" s="15" t="str">
        <f>IF(AND(E72=计划参数!$C$2,F72="限制性股票",G72&gt;=计划参数!$D$9),计划参数!$C$9,"")</f>
        <v/>
      </c>
      <c r="M72" s="9"/>
      <c r="N72" s="14"/>
      <c r="O72" s="14"/>
      <c r="P72" s="13"/>
      <c r="Q72" s="9"/>
      <c r="R72" s="13"/>
      <c r="S72" s="15" t="str">
        <f t="shared" si="17"/>
        <v/>
      </c>
      <c r="T72" s="15" t="str">
        <f t="shared" si="18"/>
        <v/>
      </c>
      <c r="U72" s="15" t="str">
        <f t="shared" si="19"/>
        <v/>
      </c>
      <c r="V72" s="15" t="str">
        <f t="shared" si="20"/>
        <v/>
      </c>
      <c r="W72" s="16" t="str">
        <f>IF(V72="","",VLOOKUP(V72,税率及规则!$A$2:$C$8,2,TRUE))</f>
        <v/>
      </c>
      <c r="X72" s="15" t="str">
        <f>IF(V72="","",VLOOKUP(V72,税率及规则!$A$2:$C$8,3,TRUE))</f>
        <v/>
      </c>
      <c r="Y72" s="15" t="str">
        <f t="shared" si="21"/>
        <v/>
      </c>
      <c r="Z72" s="15" t="str">
        <f>IF(U72="","",MAX(0,U72*VLOOKUP(U72,税率及规则!$A$2:$C$8,2,TRUE)-VLOOKUP(U72,税率及规则!$A$2:$C$8,3,TRUE)))</f>
        <v/>
      </c>
      <c r="AA72" s="15" t="str">
        <f t="shared" si="22"/>
        <v/>
      </c>
      <c r="AB72" s="17" t="str">
        <f t="shared" si="23"/>
        <v/>
      </c>
      <c r="AC72" s="17" t="str">
        <f t="shared" si="24"/>
        <v/>
      </c>
      <c r="AD72" s="4" t="str">
        <f>IF(A72="","",IF(COUNTIF($A$2:$A$501,A72)&gt;1,"异常：事件编号重复",IF(OR(C72="",D72="",E72="",F72="",G72=""),"异常：必填项缺失",IF(AND(F72="其他股权激励",O72=""),"异常：其他股权激励所得缺失",IF(AND(F72&lt;&gt;"其他股权激励",OR(I72="",J72="")),"异常：数量或市场价缺失",IF(AND(F72&lt;&gt;"其他股权激励",OR(I72&lt;=0,J72&lt;0)),"异常：数量或价格无效",IF(AND(F72="限制性股票",OR(M72&lt;=0,N72&lt;0,I72&gt;M72)),"异常：个人获授或出资数据无效",IF(AND(IFERROR(INDEX(计划参数!$J$2:$J$501,MATCH(C72,计划参数!$I$2:$I$501,0)),"")&lt;&gt;"",D72&lt;&gt;IFERROR(INDEX(计划参数!$J$2:$J$501,MATCH(C72,计划参数!$I$2:$I$501,0)),"")),"异常：姓名与员工主数据不一致",IF(S72&lt;0,"异常：原始所得为负，已按0计税",IF(OR(AND(F72="股票期权",K72=""),AND(F72="限制性股票",OR(K72="",L72=""))),"异常：计划参数缺失",IF(COUNTIF(计划参数!$I$2:$I$501,C72)=0,"提示：员工编号未在主数据",IF(Q72&lt;&gt;"已备案","提示：未确认备案","正常"))))))))))))</f>
        <v/>
      </c>
      <c r="AE72" s="9"/>
      <c r="AF72" s="4" t="str">
        <f>IF(C72="","",IF(COUNTIF($C$2:C72,C72)=1,MAX($AF$1:AF71)+1,""))</f>
        <v/>
      </c>
      <c r="AG72" s="4" t="str">
        <f>IF(C72="","",COUNTIF($C$2:C72,C72))</f>
        <v/>
      </c>
      <c r="AH72" s="4" t="str">
        <f t="shared" si="25"/>
        <v/>
      </c>
      <c r="AI72" s="4" t="str">
        <f t="shared" si="26"/>
        <v/>
      </c>
      <c r="AJ72" s="4" t="str">
        <f t="shared" si="27"/>
        <v/>
      </c>
      <c r="AK72" s="15" t="str">
        <f>IF(A72="","",SUMIFS(分期缴税台账!$K$2:$K$501,分期缴税台账!$T$2:$T$501,A72,分期缴税台账!$Q$2:$Q$501,"有效"))</f>
        <v/>
      </c>
      <c r="AL72" s="15" t="str">
        <f t="shared" si="28"/>
        <v/>
      </c>
      <c r="AM72" s="4" t="str">
        <f t="shared" si="29"/>
        <v/>
      </c>
    </row>
    <row r="73" spans="1:39" x14ac:dyDescent="0.3">
      <c r="A73" s="9"/>
      <c r="B73" s="4" t="str">
        <f t="shared" si="15"/>
        <v/>
      </c>
      <c r="C73" s="9"/>
      <c r="D73" s="9"/>
      <c r="E73" s="9"/>
      <c r="F73" s="9"/>
      <c r="G73" s="13"/>
      <c r="H73" s="4" t="str">
        <f t="shared" si="16"/>
        <v/>
      </c>
      <c r="I73" s="9"/>
      <c r="J73" s="14"/>
      <c r="K73" s="15" t="str">
        <f>IF(OR(E73="",F73="",G73=""),"",IF(E73&lt;&gt;计划参数!$C$2,"",IF(F73="股票期权",IFERROR(LOOKUP(G73,计划参数!$D$12:$D$15,计划参数!$C$12:$C$15),""),IF(F73="限制性股票",计划参数!$C$10,""))))</f>
        <v/>
      </c>
      <c r="L73" s="15" t="str">
        <f>IF(AND(E73=计划参数!$C$2,F73="限制性股票",G73&gt;=计划参数!$D$9),计划参数!$C$9,"")</f>
        <v/>
      </c>
      <c r="M73" s="9"/>
      <c r="N73" s="14"/>
      <c r="O73" s="14"/>
      <c r="P73" s="13"/>
      <c r="Q73" s="9"/>
      <c r="R73" s="13"/>
      <c r="S73" s="15" t="str">
        <f t="shared" si="17"/>
        <v/>
      </c>
      <c r="T73" s="15" t="str">
        <f t="shared" si="18"/>
        <v/>
      </c>
      <c r="U73" s="15" t="str">
        <f t="shared" si="19"/>
        <v/>
      </c>
      <c r="V73" s="15" t="str">
        <f t="shared" si="20"/>
        <v/>
      </c>
      <c r="W73" s="16" t="str">
        <f>IF(V73="","",VLOOKUP(V73,税率及规则!$A$2:$C$8,2,TRUE))</f>
        <v/>
      </c>
      <c r="X73" s="15" t="str">
        <f>IF(V73="","",VLOOKUP(V73,税率及规则!$A$2:$C$8,3,TRUE))</f>
        <v/>
      </c>
      <c r="Y73" s="15" t="str">
        <f t="shared" si="21"/>
        <v/>
      </c>
      <c r="Z73" s="15" t="str">
        <f>IF(U73="","",MAX(0,U73*VLOOKUP(U73,税率及规则!$A$2:$C$8,2,TRUE)-VLOOKUP(U73,税率及规则!$A$2:$C$8,3,TRUE)))</f>
        <v/>
      </c>
      <c r="AA73" s="15" t="str">
        <f t="shared" si="22"/>
        <v/>
      </c>
      <c r="AB73" s="17" t="str">
        <f t="shared" si="23"/>
        <v/>
      </c>
      <c r="AC73" s="17" t="str">
        <f t="shared" si="24"/>
        <v/>
      </c>
      <c r="AD73" s="4" t="str">
        <f>IF(A73="","",IF(COUNTIF($A$2:$A$501,A73)&gt;1,"异常：事件编号重复",IF(OR(C73="",D73="",E73="",F73="",G73=""),"异常：必填项缺失",IF(AND(F73="其他股权激励",O73=""),"异常：其他股权激励所得缺失",IF(AND(F73&lt;&gt;"其他股权激励",OR(I73="",J73="")),"异常：数量或市场价缺失",IF(AND(F73&lt;&gt;"其他股权激励",OR(I73&lt;=0,J73&lt;0)),"异常：数量或价格无效",IF(AND(F73="限制性股票",OR(M73&lt;=0,N73&lt;0,I73&gt;M73)),"异常：个人获授或出资数据无效",IF(AND(IFERROR(INDEX(计划参数!$J$2:$J$501,MATCH(C73,计划参数!$I$2:$I$501,0)),"")&lt;&gt;"",D73&lt;&gt;IFERROR(INDEX(计划参数!$J$2:$J$501,MATCH(C73,计划参数!$I$2:$I$501,0)),"")),"异常：姓名与员工主数据不一致",IF(S73&lt;0,"异常：原始所得为负，已按0计税",IF(OR(AND(F73="股票期权",K73=""),AND(F73="限制性股票",OR(K73="",L73=""))),"异常：计划参数缺失",IF(COUNTIF(计划参数!$I$2:$I$501,C73)=0,"提示：员工编号未在主数据",IF(Q73&lt;&gt;"已备案","提示：未确认备案","正常"))))))))))))</f>
        <v/>
      </c>
      <c r="AE73" s="9"/>
      <c r="AF73" s="4" t="str">
        <f>IF(C73="","",IF(COUNTIF($C$2:C73,C73)=1,MAX($AF$1:AF72)+1,""))</f>
        <v/>
      </c>
      <c r="AG73" s="4" t="str">
        <f>IF(C73="","",COUNTIF($C$2:C73,C73))</f>
        <v/>
      </c>
      <c r="AH73" s="4" t="str">
        <f t="shared" si="25"/>
        <v/>
      </c>
      <c r="AI73" s="4" t="str">
        <f t="shared" si="26"/>
        <v/>
      </c>
      <c r="AJ73" s="4" t="str">
        <f t="shared" si="27"/>
        <v/>
      </c>
      <c r="AK73" s="15" t="str">
        <f>IF(A73="","",SUMIFS(分期缴税台账!$K$2:$K$501,分期缴税台账!$T$2:$T$501,A73,分期缴税台账!$Q$2:$Q$501,"有效"))</f>
        <v/>
      </c>
      <c r="AL73" s="15" t="str">
        <f t="shared" si="28"/>
        <v/>
      </c>
      <c r="AM73" s="4" t="str">
        <f t="shared" si="29"/>
        <v/>
      </c>
    </row>
    <row r="74" spans="1:39" x14ac:dyDescent="0.3">
      <c r="A74" s="9"/>
      <c r="B74" s="4" t="str">
        <f t="shared" si="15"/>
        <v/>
      </c>
      <c r="C74" s="9"/>
      <c r="D74" s="9"/>
      <c r="E74" s="9"/>
      <c r="F74" s="9"/>
      <c r="G74" s="13"/>
      <c r="H74" s="4" t="str">
        <f t="shared" si="16"/>
        <v/>
      </c>
      <c r="I74" s="9"/>
      <c r="J74" s="14"/>
      <c r="K74" s="15" t="str">
        <f>IF(OR(E74="",F74="",G74=""),"",IF(E74&lt;&gt;计划参数!$C$2,"",IF(F74="股票期权",IFERROR(LOOKUP(G74,计划参数!$D$12:$D$15,计划参数!$C$12:$C$15),""),IF(F74="限制性股票",计划参数!$C$10,""))))</f>
        <v/>
      </c>
      <c r="L74" s="15" t="str">
        <f>IF(AND(E74=计划参数!$C$2,F74="限制性股票",G74&gt;=计划参数!$D$9),计划参数!$C$9,"")</f>
        <v/>
      </c>
      <c r="M74" s="9"/>
      <c r="N74" s="14"/>
      <c r="O74" s="14"/>
      <c r="P74" s="13"/>
      <c r="Q74" s="9"/>
      <c r="R74" s="13"/>
      <c r="S74" s="15" t="str">
        <f t="shared" si="17"/>
        <v/>
      </c>
      <c r="T74" s="15" t="str">
        <f t="shared" si="18"/>
        <v/>
      </c>
      <c r="U74" s="15" t="str">
        <f t="shared" si="19"/>
        <v/>
      </c>
      <c r="V74" s="15" t="str">
        <f t="shared" si="20"/>
        <v/>
      </c>
      <c r="W74" s="16" t="str">
        <f>IF(V74="","",VLOOKUP(V74,税率及规则!$A$2:$C$8,2,TRUE))</f>
        <v/>
      </c>
      <c r="X74" s="15" t="str">
        <f>IF(V74="","",VLOOKUP(V74,税率及规则!$A$2:$C$8,3,TRUE))</f>
        <v/>
      </c>
      <c r="Y74" s="15" t="str">
        <f t="shared" si="21"/>
        <v/>
      </c>
      <c r="Z74" s="15" t="str">
        <f>IF(U74="","",MAX(0,U74*VLOOKUP(U74,税率及规则!$A$2:$C$8,2,TRUE)-VLOOKUP(U74,税率及规则!$A$2:$C$8,3,TRUE)))</f>
        <v/>
      </c>
      <c r="AA74" s="15" t="str">
        <f t="shared" si="22"/>
        <v/>
      </c>
      <c r="AB74" s="17" t="str">
        <f t="shared" si="23"/>
        <v/>
      </c>
      <c r="AC74" s="17" t="str">
        <f t="shared" si="24"/>
        <v/>
      </c>
      <c r="AD74" s="4" t="str">
        <f>IF(A74="","",IF(COUNTIF($A$2:$A$501,A74)&gt;1,"异常：事件编号重复",IF(OR(C74="",D74="",E74="",F74="",G74=""),"异常：必填项缺失",IF(AND(F74="其他股权激励",O74=""),"异常：其他股权激励所得缺失",IF(AND(F74&lt;&gt;"其他股权激励",OR(I74="",J74="")),"异常：数量或市场价缺失",IF(AND(F74&lt;&gt;"其他股权激励",OR(I74&lt;=0,J74&lt;0)),"异常：数量或价格无效",IF(AND(F74="限制性股票",OR(M74&lt;=0,N74&lt;0,I74&gt;M74)),"异常：个人获授或出资数据无效",IF(AND(IFERROR(INDEX(计划参数!$J$2:$J$501,MATCH(C74,计划参数!$I$2:$I$501,0)),"")&lt;&gt;"",D74&lt;&gt;IFERROR(INDEX(计划参数!$J$2:$J$501,MATCH(C74,计划参数!$I$2:$I$501,0)),"")),"异常：姓名与员工主数据不一致",IF(S74&lt;0,"异常：原始所得为负，已按0计税",IF(OR(AND(F74="股票期权",K74=""),AND(F74="限制性股票",OR(K74="",L74=""))),"异常：计划参数缺失",IF(COUNTIF(计划参数!$I$2:$I$501,C74)=0,"提示：员工编号未在主数据",IF(Q74&lt;&gt;"已备案","提示：未确认备案","正常"))))))))))))</f>
        <v/>
      </c>
      <c r="AE74" s="9"/>
      <c r="AF74" s="4" t="str">
        <f>IF(C74="","",IF(COUNTIF($C$2:C74,C74)=1,MAX($AF$1:AF73)+1,""))</f>
        <v/>
      </c>
      <c r="AG74" s="4" t="str">
        <f>IF(C74="","",COUNTIF($C$2:C74,C74))</f>
        <v/>
      </c>
      <c r="AH74" s="4" t="str">
        <f t="shared" si="25"/>
        <v/>
      </c>
      <c r="AI74" s="4" t="str">
        <f t="shared" si="26"/>
        <v/>
      </c>
      <c r="AJ74" s="4" t="str">
        <f t="shared" si="27"/>
        <v/>
      </c>
      <c r="AK74" s="15" t="str">
        <f>IF(A74="","",SUMIFS(分期缴税台账!$K$2:$K$501,分期缴税台账!$T$2:$T$501,A74,分期缴税台账!$Q$2:$Q$501,"有效"))</f>
        <v/>
      </c>
      <c r="AL74" s="15" t="str">
        <f t="shared" si="28"/>
        <v/>
      </c>
      <c r="AM74" s="4" t="str">
        <f t="shared" si="29"/>
        <v/>
      </c>
    </row>
    <row r="75" spans="1:39" x14ac:dyDescent="0.3">
      <c r="A75" s="9"/>
      <c r="B75" s="4" t="str">
        <f t="shared" si="15"/>
        <v/>
      </c>
      <c r="C75" s="9"/>
      <c r="D75" s="9"/>
      <c r="E75" s="9"/>
      <c r="F75" s="9"/>
      <c r="G75" s="13"/>
      <c r="H75" s="4" t="str">
        <f t="shared" si="16"/>
        <v/>
      </c>
      <c r="I75" s="9"/>
      <c r="J75" s="14"/>
      <c r="K75" s="15" t="str">
        <f>IF(OR(E75="",F75="",G75=""),"",IF(E75&lt;&gt;计划参数!$C$2,"",IF(F75="股票期权",IFERROR(LOOKUP(G75,计划参数!$D$12:$D$15,计划参数!$C$12:$C$15),""),IF(F75="限制性股票",计划参数!$C$10,""))))</f>
        <v/>
      </c>
      <c r="L75" s="15" t="str">
        <f>IF(AND(E75=计划参数!$C$2,F75="限制性股票",G75&gt;=计划参数!$D$9),计划参数!$C$9,"")</f>
        <v/>
      </c>
      <c r="M75" s="9"/>
      <c r="N75" s="14"/>
      <c r="O75" s="14"/>
      <c r="P75" s="13"/>
      <c r="Q75" s="9"/>
      <c r="R75" s="13"/>
      <c r="S75" s="15" t="str">
        <f t="shared" si="17"/>
        <v/>
      </c>
      <c r="T75" s="15" t="str">
        <f t="shared" si="18"/>
        <v/>
      </c>
      <c r="U75" s="15" t="str">
        <f t="shared" si="19"/>
        <v/>
      </c>
      <c r="V75" s="15" t="str">
        <f t="shared" si="20"/>
        <v/>
      </c>
      <c r="W75" s="16" t="str">
        <f>IF(V75="","",VLOOKUP(V75,税率及规则!$A$2:$C$8,2,TRUE))</f>
        <v/>
      </c>
      <c r="X75" s="15" t="str">
        <f>IF(V75="","",VLOOKUP(V75,税率及规则!$A$2:$C$8,3,TRUE))</f>
        <v/>
      </c>
      <c r="Y75" s="15" t="str">
        <f t="shared" si="21"/>
        <v/>
      </c>
      <c r="Z75" s="15" t="str">
        <f>IF(U75="","",MAX(0,U75*VLOOKUP(U75,税率及规则!$A$2:$C$8,2,TRUE)-VLOOKUP(U75,税率及规则!$A$2:$C$8,3,TRUE)))</f>
        <v/>
      </c>
      <c r="AA75" s="15" t="str">
        <f t="shared" si="22"/>
        <v/>
      </c>
      <c r="AB75" s="17" t="str">
        <f t="shared" si="23"/>
        <v/>
      </c>
      <c r="AC75" s="17" t="str">
        <f t="shared" si="24"/>
        <v/>
      </c>
      <c r="AD75" s="4" t="str">
        <f>IF(A75="","",IF(COUNTIF($A$2:$A$501,A75)&gt;1,"异常：事件编号重复",IF(OR(C75="",D75="",E75="",F75="",G75=""),"异常：必填项缺失",IF(AND(F75="其他股权激励",O75=""),"异常：其他股权激励所得缺失",IF(AND(F75&lt;&gt;"其他股权激励",OR(I75="",J75="")),"异常：数量或市场价缺失",IF(AND(F75&lt;&gt;"其他股权激励",OR(I75&lt;=0,J75&lt;0)),"异常：数量或价格无效",IF(AND(F75="限制性股票",OR(M75&lt;=0,N75&lt;0,I75&gt;M75)),"异常：个人获授或出资数据无效",IF(AND(IFERROR(INDEX(计划参数!$J$2:$J$501,MATCH(C75,计划参数!$I$2:$I$501,0)),"")&lt;&gt;"",D75&lt;&gt;IFERROR(INDEX(计划参数!$J$2:$J$501,MATCH(C75,计划参数!$I$2:$I$501,0)),"")),"异常：姓名与员工主数据不一致",IF(S75&lt;0,"异常：原始所得为负，已按0计税",IF(OR(AND(F75="股票期权",K75=""),AND(F75="限制性股票",OR(K75="",L75=""))),"异常：计划参数缺失",IF(COUNTIF(计划参数!$I$2:$I$501,C75)=0,"提示：员工编号未在主数据",IF(Q75&lt;&gt;"已备案","提示：未确认备案","正常"))))))))))))</f>
        <v/>
      </c>
      <c r="AE75" s="9"/>
      <c r="AF75" s="4" t="str">
        <f>IF(C75="","",IF(COUNTIF($C$2:C75,C75)=1,MAX($AF$1:AF74)+1,""))</f>
        <v/>
      </c>
      <c r="AG75" s="4" t="str">
        <f>IF(C75="","",COUNTIF($C$2:C75,C75))</f>
        <v/>
      </c>
      <c r="AH75" s="4" t="str">
        <f t="shared" si="25"/>
        <v/>
      </c>
      <c r="AI75" s="4" t="str">
        <f t="shared" si="26"/>
        <v/>
      </c>
      <c r="AJ75" s="4" t="str">
        <f t="shared" si="27"/>
        <v/>
      </c>
      <c r="AK75" s="15" t="str">
        <f>IF(A75="","",SUMIFS(分期缴税台账!$K$2:$K$501,分期缴税台账!$T$2:$T$501,A75,分期缴税台账!$Q$2:$Q$501,"有效"))</f>
        <v/>
      </c>
      <c r="AL75" s="15" t="str">
        <f t="shared" si="28"/>
        <v/>
      </c>
      <c r="AM75" s="4" t="str">
        <f t="shared" si="29"/>
        <v/>
      </c>
    </row>
    <row r="76" spans="1:39" x14ac:dyDescent="0.3">
      <c r="A76" s="9"/>
      <c r="B76" s="4" t="str">
        <f t="shared" si="15"/>
        <v/>
      </c>
      <c r="C76" s="9"/>
      <c r="D76" s="9"/>
      <c r="E76" s="9"/>
      <c r="F76" s="9"/>
      <c r="G76" s="13"/>
      <c r="H76" s="4" t="str">
        <f t="shared" si="16"/>
        <v/>
      </c>
      <c r="I76" s="9"/>
      <c r="J76" s="14"/>
      <c r="K76" s="15" t="str">
        <f>IF(OR(E76="",F76="",G76=""),"",IF(E76&lt;&gt;计划参数!$C$2,"",IF(F76="股票期权",IFERROR(LOOKUP(G76,计划参数!$D$12:$D$15,计划参数!$C$12:$C$15),""),IF(F76="限制性股票",计划参数!$C$10,""))))</f>
        <v/>
      </c>
      <c r="L76" s="15" t="str">
        <f>IF(AND(E76=计划参数!$C$2,F76="限制性股票",G76&gt;=计划参数!$D$9),计划参数!$C$9,"")</f>
        <v/>
      </c>
      <c r="M76" s="9"/>
      <c r="N76" s="14"/>
      <c r="O76" s="14"/>
      <c r="P76" s="13"/>
      <c r="Q76" s="9"/>
      <c r="R76" s="13"/>
      <c r="S76" s="15" t="str">
        <f t="shared" si="17"/>
        <v/>
      </c>
      <c r="T76" s="15" t="str">
        <f t="shared" si="18"/>
        <v/>
      </c>
      <c r="U76" s="15" t="str">
        <f t="shared" si="19"/>
        <v/>
      </c>
      <c r="V76" s="15" t="str">
        <f t="shared" si="20"/>
        <v/>
      </c>
      <c r="W76" s="16" t="str">
        <f>IF(V76="","",VLOOKUP(V76,税率及规则!$A$2:$C$8,2,TRUE))</f>
        <v/>
      </c>
      <c r="X76" s="15" t="str">
        <f>IF(V76="","",VLOOKUP(V76,税率及规则!$A$2:$C$8,3,TRUE))</f>
        <v/>
      </c>
      <c r="Y76" s="15" t="str">
        <f t="shared" si="21"/>
        <v/>
      </c>
      <c r="Z76" s="15" t="str">
        <f>IF(U76="","",MAX(0,U76*VLOOKUP(U76,税率及规则!$A$2:$C$8,2,TRUE)-VLOOKUP(U76,税率及规则!$A$2:$C$8,3,TRUE)))</f>
        <v/>
      </c>
      <c r="AA76" s="15" t="str">
        <f t="shared" si="22"/>
        <v/>
      </c>
      <c r="AB76" s="17" t="str">
        <f t="shared" si="23"/>
        <v/>
      </c>
      <c r="AC76" s="17" t="str">
        <f t="shared" si="24"/>
        <v/>
      </c>
      <c r="AD76" s="4" t="str">
        <f>IF(A76="","",IF(COUNTIF($A$2:$A$501,A76)&gt;1,"异常：事件编号重复",IF(OR(C76="",D76="",E76="",F76="",G76=""),"异常：必填项缺失",IF(AND(F76="其他股权激励",O76=""),"异常：其他股权激励所得缺失",IF(AND(F76&lt;&gt;"其他股权激励",OR(I76="",J76="")),"异常：数量或市场价缺失",IF(AND(F76&lt;&gt;"其他股权激励",OR(I76&lt;=0,J76&lt;0)),"异常：数量或价格无效",IF(AND(F76="限制性股票",OR(M76&lt;=0,N76&lt;0,I76&gt;M76)),"异常：个人获授或出资数据无效",IF(AND(IFERROR(INDEX(计划参数!$J$2:$J$501,MATCH(C76,计划参数!$I$2:$I$501,0)),"")&lt;&gt;"",D76&lt;&gt;IFERROR(INDEX(计划参数!$J$2:$J$501,MATCH(C76,计划参数!$I$2:$I$501,0)),"")),"异常：姓名与员工主数据不一致",IF(S76&lt;0,"异常：原始所得为负，已按0计税",IF(OR(AND(F76="股票期权",K76=""),AND(F76="限制性股票",OR(K76="",L76=""))),"异常：计划参数缺失",IF(COUNTIF(计划参数!$I$2:$I$501,C76)=0,"提示：员工编号未在主数据",IF(Q76&lt;&gt;"已备案","提示：未确认备案","正常"))))))))))))</f>
        <v/>
      </c>
      <c r="AE76" s="9"/>
      <c r="AF76" s="4" t="str">
        <f>IF(C76="","",IF(COUNTIF($C$2:C76,C76)=1,MAX($AF$1:AF75)+1,""))</f>
        <v/>
      </c>
      <c r="AG76" s="4" t="str">
        <f>IF(C76="","",COUNTIF($C$2:C76,C76))</f>
        <v/>
      </c>
      <c r="AH76" s="4" t="str">
        <f t="shared" si="25"/>
        <v/>
      </c>
      <c r="AI76" s="4" t="str">
        <f t="shared" si="26"/>
        <v/>
      </c>
      <c r="AJ76" s="4" t="str">
        <f t="shared" si="27"/>
        <v/>
      </c>
      <c r="AK76" s="15" t="str">
        <f>IF(A76="","",SUMIFS(分期缴税台账!$K$2:$K$501,分期缴税台账!$T$2:$T$501,A76,分期缴税台账!$Q$2:$Q$501,"有效"))</f>
        <v/>
      </c>
      <c r="AL76" s="15" t="str">
        <f t="shared" si="28"/>
        <v/>
      </c>
      <c r="AM76" s="4" t="str">
        <f t="shared" si="29"/>
        <v/>
      </c>
    </row>
    <row r="77" spans="1:39" x14ac:dyDescent="0.3">
      <c r="A77" s="9"/>
      <c r="B77" s="4" t="str">
        <f t="shared" si="15"/>
        <v/>
      </c>
      <c r="C77" s="9"/>
      <c r="D77" s="9"/>
      <c r="E77" s="9"/>
      <c r="F77" s="9"/>
      <c r="G77" s="13"/>
      <c r="H77" s="4" t="str">
        <f t="shared" si="16"/>
        <v/>
      </c>
      <c r="I77" s="9"/>
      <c r="J77" s="14"/>
      <c r="K77" s="15" t="str">
        <f>IF(OR(E77="",F77="",G77=""),"",IF(E77&lt;&gt;计划参数!$C$2,"",IF(F77="股票期权",IFERROR(LOOKUP(G77,计划参数!$D$12:$D$15,计划参数!$C$12:$C$15),""),IF(F77="限制性股票",计划参数!$C$10,""))))</f>
        <v/>
      </c>
      <c r="L77" s="15" t="str">
        <f>IF(AND(E77=计划参数!$C$2,F77="限制性股票",G77&gt;=计划参数!$D$9),计划参数!$C$9,"")</f>
        <v/>
      </c>
      <c r="M77" s="9"/>
      <c r="N77" s="14"/>
      <c r="O77" s="14"/>
      <c r="P77" s="13"/>
      <c r="Q77" s="9"/>
      <c r="R77" s="13"/>
      <c r="S77" s="15" t="str">
        <f t="shared" si="17"/>
        <v/>
      </c>
      <c r="T77" s="15" t="str">
        <f t="shared" si="18"/>
        <v/>
      </c>
      <c r="U77" s="15" t="str">
        <f t="shared" si="19"/>
        <v/>
      </c>
      <c r="V77" s="15" t="str">
        <f t="shared" si="20"/>
        <v/>
      </c>
      <c r="W77" s="16" t="str">
        <f>IF(V77="","",VLOOKUP(V77,税率及规则!$A$2:$C$8,2,TRUE))</f>
        <v/>
      </c>
      <c r="X77" s="15" t="str">
        <f>IF(V77="","",VLOOKUP(V77,税率及规则!$A$2:$C$8,3,TRUE))</f>
        <v/>
      </c>
      <c r="Y77" s="15" t="str">
        <f t="shared" si="21"/>
        <v/>
      </c>
      <c r="Z77" s="15" t="str">
        <f>IF(U77="","",MAX(0,U77*VLOOKUP(U77,税率及规则!$A$2:$C$8,2,TRUE)-VLOOKUP(U77,税率及规则!$A$2:$C$8,3,TRUE)))</f>
        <v/>
      </c>
      <c r="AA77" s="15" t="str">
        <f t="shared" si="22"/>
        <v/>
      </c>
      <c r="AB77" s="17" t="str">
        <f t="shared" si="23"/>
        <v/>
      </c>
      <c r="AC77" s="17" t="str">
        <f t="shared" si="24"/>
        <v/>
      </c>
      <c r="AD77" s="4" t="str">
        <f>IF(A77="","",IF(COUNTIF($A$2:$A$501,A77)&gt;1,"异常：事件编号重复",IF(OR(C77="",D77="",E77="",F77="",G77=""),"异常：必填项缺失",IF(AND(F77="其他股权激励",O77=""),"异常：其他股权激励所得缺失",IF(AND(F77&lt;&gt;"其他股权激励",OR(I77="",J77="")),"异常：数量或市场价缺失",IF(AND(F77&lt;&gt;"其他股权激励",OR(I77&lt;=0,J77&lt;0)),"异常：数量或价格无效",IF(AND(F77="限制性股票",OR(M77&lt;=0,N77&lt;0,I77&gt;M77)),"异常：个人获授或出资数据无效",IF(AND(IFERROR(INDEX(计划参数!$J$2:$J$501,MATCH(C77,计划参数!$I$2:$I$501,0)),"")&lt;&gt;"",D77&lt;&gt;IFERROR(INDEX(计划参数!$J$2:$J$501,MATCH(C77,计划参数!$I$2:$I$501,0)),"")),"异常：姓名与员工主数据不一致",IF(S77&lt;0,"异常：原始所得为负，已按0计税",IF(OR(AND(F77="股票期权",K77=""),AND(F77="限制性股票",OR(K77="",L77=""))),"异常：计划参数缺失",IF(COUNTIF(计划参数!$I$2:$I$501,C77)=0,"提示：员工编号未在主数据",IF(Q77&lt;&gt;"已备案","提示：未确认备案","正常"))))))))))))</f>
        <v/>
      </c>
      <c r="AE77" s="9"/>
      <c r="AF77" s="4" t="str">
        <f>IF(C77="","",IF(COUNTIF($C$2:C77,C77)=1,MAX($AF$1:AF76)+1,""))</f>
        <v/>
      </c>
      <c r="AG77" s="4" t="str">
        <f>IF(C77="","",COUNTIF($C$2:C77,C77))</f>
        <v/>
      </c>
      <c r="AH77" s="4" t="str">
        <f t="shared" si="25"/>
        <v/>
      </c>
      <c r="AI77" s="4" t="str">
        <f t="shared" si="26"/>
        <v/>
      </c>
      <c r="AJ77" s="4" t="str">
        <f t="shared" si="27"/>
        <v/>
      </c>
      <c r="AK77" s="15" t="str">
        <f>IF(A77="","",SUMIFS(分期缴税台账!$K$2:$K$501,分期缴税台账!$T$2:$T$501,A77,分期缴税台账!$Q$2:$Q$501,"有效"))</f>
        <v/>
      </c>
      <c r="AL77" s="15" t="str">
        <f t="shared" si="28"/>
        <v/>
      </c>
      <c r="AM77" s="4" t="str">
        <f t="shared" si="29"/>
        <v/>
      </c>
    </row>
    <row r="78" spans="1:39" x14ac:dyDescent="0.3">
      <c r="A78" s="9"/>
      <c r="B78" s="4" t="str">
        <f t="shared" si="15"/>
        <v/>
      </c>
      <c r="C78" s="9"/>
      <c r="D78" s="9"/>
      <c r="E78" s="9"/>
      <c r="F78" s="9"/>
      <c r="G78" s="13"/>
      <c r="H78" s="4" t="str">
        <f t="shared" si="16"/>
        <v/>
      </c>
      <c r="I78" s="9"/>
      <c r="J78" s="14"/>
      <c r="K78" s="15" t="str">
        <f>IF(OR(E78="",F78="",G78=""),"",IF(E78&lt;&gt;计划参数!$C$2,"",IF(F78="股票期权",IFERROR(LOOKUP(G78,计划参数!$D$12:$D$15,计划参数!$C$12:$C$15),""),IF(F78="限制性股票",计划参数!$C$10,""))))</f>
        <v/>
      </c>
      <c r="L78" s="15" t="str">
        <f>IF(AND(E78=计划参数!$C$2,F78="限制性股票",G78&gt;=计划参数!$D$9),计划参数!$C$9,"")</f>
        <v/>
      </c>
      <c r="M78" s="9"/>
      <c r="N78" s="14"/>
      <c r="O78" s="14"/>
      <c r="P78" s="13"/>
      <c r="Q78" s="9"/>
      <c r="R78" s="13"/>
      <c r="S78" s="15" t="str">
        <f t="shared" si="17"/>
        <v/>
      </c>
      <c r="T78" s="15" t="str">
        <f t="shared" si="18"/>
        <v/>
      </c>
      <c r="U78" s="15" t="str">
        <f t="shared" si="19"/>
        <v/>
      </c>
      <c r="V78" s="15" t="str">
        <f t="shared" si="20"/>
        <v/>
      </c>
      <c r="W78" s="16" t="str">
        <f>IF(V78="","",VLOOKUP(V78,税率及规则!$A$2:$C$8,2,TRUE))</f>
        <v/>
      </c>
      <c r="X78" s="15" t="str">
        <f>IF(V78="","",VLOOKUP(V78,税率及规则!$A$2:$C$8,3,TRUE))</f>
        <v/>
      </c>
      <c r="Y78" s="15" t="str">
        <f t="shared" si="21"/>
        <v/>
      </c>
      <c r="Z78" s="15" t="str">
        <f>IF(U78="","",MAX(0,U78*VLOOKUP(U78,税率及规则!$A$2:$C$8,2,TRUE)-VLOOKUP(U78,税率及规则!$A$2:$C$8,3,TRUE)))</f>
        <v/>
      </c>
      <c r="AA78" s="15" t="str">
        <f t="shared" si="22"/>
        <v/>
      </c>
      <c r="AB78" s="17" t="str">
        <f t="shared" si="23"/>
        <v/>
      </c>
      <c r="AC78" s="17" t="str">
        <f t="shared" si="24"/>
        <v/>
      </c>
      <c r="AD78" s="4" t="str">
        <f>IF(A78="","",IF(COUNTIF($A$2:$A$501,A78)&gt;1,"异常：事件编号重复",IF(OR(C78="",D78="",E78="",F78="",G78=""),"异常：必填项缺失",IF(AND(F78="其他股权激励",O78=""),"异常：其他股权激励所得缺失",IF(AND(F78&lt;&gt;"其他股权激励",OR(I78="",J78="")),"异常：数量或市场价缺失",IF(AND(F78&lt;&gt;"其他股权激励",OR(I78&lt;=0,J78&lt;0)),"异常：数量或价格无效",IF(AND(F78="限制性股票",OR(M78&lt;=0,N78&lt;0,I78&gt;M78)),"异常：个人获授或出资数据无效",IF(AND(IFERROR(INDEX(计划参数!$J$2:$J$501,MATCH(C78,计划参数!$I$2:$I$501,0)),"")&lt;&gt;"",D78&lt;&gt;IFERROR(INDEX(计划参数!$J$2:$J$501,MATCH(C78,计划参数!$I$2:$I$501,0)),"")),"异常：姓名与员工主数据不一致",IF(S78&lt;0,"异常：原始所得为负，已按0计税",IF(OR(AND(F78="股票期权",K78=""),AND(F78="限制性股票",OR(K78="",L78=""))),"异常：计划参数缺失",IF(COUNTIF(计划参数!$I$2:$I$501,C78)=0,"提示：员工编号未在主数据",IF(Q78&lt;&gt;"已备案","提示：未确认备案","正常"))))))))))))</f>
        <v/>
      </c>
      <c r="AE78" s="9"/>
      <c r="AF78" s="4" t="str">
        <f>IF(C78="","",IF(COUNTIF($C$2:C78,C78)=1,MAX($AF$1:AF77)+1,""))</f>
        <v/>
      </c>
      <c r="AG78" s="4" t="str">
        <f>IF(C78="","",COUNTIF($C$2:C78,C78))</f>
        <v/>
      </c>
      <c r="AH78" s="4" t="str">
        <f t="shared" si="25"/>
        <v/>
      </c>
      <c r="AI78" s="4" t="str">
        <f t="shared" si="26"/>
        <v/>
      </c>
      <c r="AJ78" s="4" t="str">
        <f t="shared" si="27"/>
        <v/>
      </c>
      <c r="AK78" s="15" t="str">
        <f>IF(A78="","",SUMIFS(分期缴税台账!$K$2:$K$501,分期缴税台账!$T$2:$T$501,A78,分期缴税台账!$Q$2:$Q$501,"有效"))</f>
        <v/>
      </c>
      <c r="AL78" s="15" t="str">
        <f t="shared" si="28"/>
        <v/>
      </c>
      <c r="AM78" s="4" t="str">
        <f t="shared" si="29"/>
        <v/>
      </c>
    </row>
    <row r="79" spans="1:39" x14ac:dyDescent="0.3">
      <c r="A79" s="9"/>
      <c r="B79" s="4" t="str">
        <f t="shared" si="15"/>
        <v/>
      </c>
      <c r="C79" s="9"/>
      <c r="D79" s="9"/>
      <c r="E79" s="9"/>
      <c r="F79" s="9"/>
      <c r="G79" s="13"/>
      <c r="H79" s="4" t="str">
        <f t="shared" si="16"/>
        <v/>
      </c>
      <c r="I79" s="9"/>
      <c r="J79" s="14"/>
      <c r="K79" s="15" t="str">
        <f>IF(OR(E79="",F79="",G79=""),"",IF(E79&lt;&gt;计划参数!$C$2,"",IF(F79="股票期权",IFERROR(LOOKUP(G79,计划参数!$D$12:$D$15,计划参数!$C$12:$C$15),""),IF(F79="限制性股票",计划参数!$C$10,""))))</f>
        <v/>
      </c>
      <c r="L79" s="15" t="str">
        <f>IF(AND(E79=计划参数!$C$2,F79="限制性股票",G79&gt;=计划参数!$D$9),计划参数!$C$9,"")</f>
        <v/>
      </c>
      <c r="M79" s="9"/>
      <c r="N79" s="14"/>
      <c r="O79" s="14"/>
      <c r="P79" s="13"/>
      <c r="Q79" s="9"/>
      <c r="R79" s="13"/>
      <c r="S79" s="15" t="str">
        <f t="shared" si="17"/>
        <v/>
      </c>
      <c r="T79" s="15" t="str">
        <f t="shared" si="18"/>
        <v/>
      </c>
      <c r="U79" s="15" t="str">
        <f t="shared" si="19"/>
        <v/>
      </c>
      <c r="V79" s="15" t="str">
        <f t="shared" si="20"/>
        <v/>
      </c>
      <c r="W79" s="16" t="str">
        <f>IF(V79="","",VLOOKUP(V79,税率及规则!$A$2:$C$8,2,TRUE))</f>
        <v/>
      </c>
      <c r="X79" s="15" t="str">
        <f>IF(V79="","",VLOOKUP(V79,税率及规则!$A$2:$C$8,3,TRUE))</f>
        <v/>
      </c>
      <c r="Y79" s="15" t="str">
        <f t="shared" si="21"/>
        <v/>
      </c>
      <c r="Z79" s="15" t="str">
        <f>IF(U79="","",MAX(0,U79*VLOOKUP(U79,税率及规则!$A$2:$C$8,2,TRUE)-VLOOKUP(U79,税率及规则!$A$2:$C$8,3,TRUE)))</f>
        <v/>
      </c>
      <c r="AA79" s="15" t="str">
        <f t="shared" si="22"/>
        <v/>
      </c>
      <c r="AB79" s="17" t="str">
        <f t="shared" si="23"/>
        <v/>
      </c>
      <c r="AC79" s="17" t="str">
        <f t="shared" si="24"/>
        <v/>
      </c>
      <c r="AD79" s="4" t="str">
        <f>IF(A79="","",IF(COUNTIF($A$2:$A$501,A79)&gt;1,"异常：事件编号重复",IF(OR(C79="",D79="",E79="",F79="",G79=""),"异常：必填项缺失",IF(AND(F79="其他股权激励",O79=""),"异常：其他股权激励所得缺失",IF(AND(F79&lt;&gt;"其他股权激励",OR(I79="",J79="")),"异常：数量或市场价缺失",IF(AND(F79&lt;&gt;"其他股权激励",OR(I79&lt;=0,J79&lt;0)),"异常：数量或价格无效",IF(AND(F79="限制性股票",OR(M79&lt;=0,N79&lt;0,I79&gt;M79)),"异常：个人获授或出资数据无效",IF(AND(IFERROR(INDEX(计划参数!$J$2:$J$501,MATCH(C79,计划参数!$I$2:$I$501,0)),"")&lt;&gt;"",D79&lt;&gt;IFERROR(INDEX(计划参数!$J$2:$J$501,MATCH(C79,计划参数!$I$2:$I$501,0)),"")),"异常：姓名与员工主数据不一致",IF(S79&lt;0,"异常：原始所得为负，已按0计税",IF(OR(AND(F79="股票期权",K79=""),AND(F79="限制性股票",OR(K79="",L79=""))),"异常：计划参数缺失",IF(COUNTIF(计划参数!$I$2:$I$501,C79)=0,"提示：员工编号未在主数据",IF(Q79&lt;&gt;"已备案","提示：未确认备案","正常"))))))))))))</f>
        <v/>
      </c>
      <c r="AE79" s="9"/>
      <c r="AF79" s="4" t="str">
        <f>IF(C79="","",IF(COUNTIF($C$2:C79,C79)=1,MAX($AF$1:AF78)+1,""))</f>
        <v/>
      </c>
      <c r="AG79" s="4" t="str">
        <f>IF(C79="","",COUNTIF($C$2:C79,C79))</f>
        <v/>
      </c>
      <c r="AH79" s="4" t="str">
        <f t="shared" si="25"/>
        <v/>
      </c>
      <c r="AI79" s="4" t="str">
        <f t="shared" si="26"/>
        <v/>
      </c>
      <c r="AJ79" s="4" t="str">
        <f t="shared" si="27"/>
        <v/>
      </c>
      <c r="AK79" s="15" t="str">
        <f>IF(A79="","",SUMIFS(分期缴税台账!$K$2:$K$501,分期缴税台账!$T$2:$T$501,A79,分期缴税台账!$Q$2:$Q$501,"有效"))</f>
        <v/>
      </c>
      <c r="AL79" s="15" t="str">
        <f t="shared" si="28"/>
        <v/>
      </c>
      <c r="AM79" s="4" t="str">
        <f t="shared" si="29"/>
        <v/>
      </c>
    </row>
    <row r="80" spans="1:39" x14ac:dyDescent="0.3">
      <c r="A80" s="9"/>
      <c r="B80" s="4" t="str">
        <f t="shared" si="15"/>
        <v/>
      </c>
      <c r="C80" s="9"/>
      <c r="D80" s="9"/>
      <c r="E80" s="9"/>
      <c r="F80" s="9"/>
      <c r="G80" s="13"/>
      <c r="H80" s="4" t="str">
        <f t="shared" si="16"/>
        <v/>
      </c>
      <c r="I80" s="9"/>
      <c r="J80" s="14"/>
      <c r="K80" s="15" t="str">
        <f>IF(OR(E80="",F80="",G80=""),"",IF(E80&lt;&gt;计划参数!$C$2,"",IF(F80="股票期权",IFERROR(LOOKUP(G80,计划参数!$D$12:$D$15,计划参数!$C$12:$C$15),""),IF(F80="限制性股票",计划参数!$C$10,""))))</f>
        <v/>
      </c>
      <c r="L80" s="15" t="str">
        <f>IF(AND(E80=计划参数!$C$2,F80="限制性股票",G80&gt;=计划参数!$D$9),计划参数!$C$9,"")</f>
        <v/>
      </c>
      <c r="M80" s="9"/>
      <c r="N80" s="14"/>
      <c r="O80" s="14"/>
      <c r="P80" s="13"/>
      <c r="Q80" s="9"/>
      <c r="R80" s="13"/>
      <c r="S80" s="15" t="str">
        <f t="shared" si="17"/>
        <v/>
      </c>
      <c r="T80" s="15" t="str">
        <f t="shared" si="18"/>
        <v/>
      </c>
      <c r="U80" s="15" t="str">
        <f t="shared" si="19"/>
        <v/>
      </c>
      <c r="V80" s="15" t="str">
        <f t="shared" si="20"/>
        <v/>
      </c>
      <c r="W80" s="16" t="str">
        <f>IF(V80="","",VLOOKUP(V80,税率及规则!$A$2:$C$8,2,TRUE))</f>
        <v/>
      </c>
      <c r="X80" s="15" t="str">
        <f>IF(V80="","",VLOOKUP(V80,税率及规则!$A$2:$C$8,3,TRUE))</f>
        <v/>
      </c>
      <c r="Y80" s="15" t="str">
        <f t="shared" si="21"/>
        <v/>
      </c>
      <c r="Z80" s="15" t="str">
        <f>IF(U80="","",MAX(0,U80*VLOOKUP(U80,税率及规则!$A$2:$C$8,2,TRUE)-VLOOKUP(U80,税率及规则!$A$2:$C$8,3,TRUE)))</f>
        <v/>
      </c>
      <c r="AA80" s="15" t="str">
        <f t="shared" si="22"/>
        <v/>
      </c>
      <c r="AB80" s="17" t="str">
        <f t="shared" si="23"/>
        <v/>
      </c>
      <c r="AC80" s="17" t="str">
        <f t="shared" si="24"/>
        <v/>
      </c>
      <c r="AD80" s="4" t="str">
        <f>IF(A80="","",IF(COUNTIF($A$2:$A$501,A80)&gt;1,"异常：事件编号重复",IF(OR(C80="",D80="",E80="",F80="",G80=""),"异常：必填项缺失",IF(AND(F80="其他股权激励",O80=""),"异常：其他股权激励所得缺失",IF(AND(F80&lt;&gt;"其他股权激励",OR(I80="",J80="")),"异常：数量或市场价缺失",IF(AND(F80&lt;&gt;"其他股权激励",OR(I80&lt;=0,J80&lt;0)),"异常：数量或价格无效",IF(AND(F80="限制性股票",OR(M80&lt;=0,N80&lt;0,I80&gt;M80)),"异常：个人获授或出资数据无效",IF(AND(IFERROR(INDEX(计划参数!$J$2:$J$501,MATCH(C80,计划参数!$I$2:$I$501,0)),"")&lt;&gt;"",D80&lt;&gt;IFERROR(INDEX(计划参数!$J$2:$J$501,MATCH(C80,计划参数!$I$2:$I$501,0)),"")),"异常：姓名与员工主数据不一致",IF(S80&lt;0,"异常：原始所得为负，已按0计税",IF(OR(AND(F80="股票期权",K80=""),AND(F80="限制性股票",OR(K80="",L80=""))),"异常：计划参数缺失",IF(COUNTIF(计划参数!$I$2:$I$501,C80)=0,"提示：员工编号未在主数据",IF(Q80&lt;&gt;"已备案","提示：未确认备案","正常"))))))))))))</f>
        <v/>
      </c>
      <c r="AE80" s="9"/>
      <c r="AF80" s="4" t="str">
        <f>IF(C80="","",IF(COUNTIF($C$2:C80,C80)=1,MAX($AF$1:AF79)+1,""))</f>
        <v/>
      </c>
      <c r="AG80" s="4" t="str">
        <f>IF(C80="","",COUNTIF($C$2:C80,C80))</f>
        <v/>
      </c>
      <c r="AH80" s="4" t="str">
        <f t="shared" si="25"/>
        <v/>
      </c>
      <c r="AI80" s="4" t="str">
        <f t="shared" si="26"/>
        <v/>
      </c>
      <c r="AJ80" s="4" t="str">
        <f t="shared" si="27"/>
        <v/>
      </c>
      <c r="AK80" s="15" t="str">
        <f>IF(A80="","",SUMIFS(分期缴税台账!$K$2:$K$501,分期缴税台账!$T$2:$T$501,A80,分期缴税台账!$Q$2:$Q$501,"有效"))</f>
        <v/>
      </c>
      <c r="AL80" s="15" t="str">
        <f t="shared" si="28"/>
        <v/>
      </c>
      <c r="AM80" s="4" t="str">
        <f t="shared" si="29"/>
        <v/>
      </c>
    </row>
    <row r="81" spans="1:39" x14ac:dyDescent="0.3">
      <c r="A81" s="9"/>
      <c r="B81" s="4" t="str">
        <f t="shared" si="15"/>
        <v/>
      </c>
      <c r="C81" s="9"/>
      <c r="D81" s="9"/>
      <c r="E81" s="9"/>
      <c r="F81" s="9"/>
      <c r="G81" s="13"/>
      <c r="H81" s="4" t="str">
        <f t="shared" si="16"/>
        <v/>
      </c>
      <c r="I81" s="9"/>
      <c r="J81" s="14"/>
      <c r="K81" s="15" t="str">
        <f>IF(OR(E81="",F81="",G81=""),"",IF(E81&lt;&gt;计划参数!$C$2,"",IF(F81="股票期权",IFERROR(LOOKUP(G81,计划参数!$D$12:$D$15,计划参数!$C$12:$C$15),""),IF(F81="限制性股票",计划参数!$C$10,""))))</f>
        <v/>
      </c>
      <c r="L81" s="15" t="str">
        <f>IF(AND(E81=计划参数!$C$2,F81="限制性股票",G81&gt;=计划参数!$D$9),计划参数!$C$9,"")</f>
        <v/>
      </c>
      <c r="M81" s="9"/>
      <c r="N81" s="14"/>
      <c r="O81" s="14"/>
      <c r="P81" s="13"/>
      <c r="Q81" s="9"/>
      <c r="R81" s="13"/>
      <c r="S81" s="15" t="str">
        <f t="shared" si="17"/>
        <v/>
      </c>
      <c r="T81" s="15" t="str">
        <f t="shared" si="18"/>
        <v/>
      </c>
      <c r="U81" s="15" t="str">
        <f t="shared" si="19"/>
        <v/>
      </c>
      <c r="V81" s="15" t="str">
        <f t="shared" si="20"/>
        <v/>
      </c>
      <c r="W81" s="16" t="str">
        <f>IF(V81="","",VLOOKUP(V81,税率及规则!$A$2:$C$8,2,TRUE))</f>
        <v/>
      </c>
      <c r="X81" s="15" t="str">
        <f>IF(V81="","",VLOOKUP(V81,税率及规则!$A$2:$C$8,3,TRUE))</f>
        <v/>
      </c>
      <c r="Y81" s="15" t="str">
        <f t="shared" si="21"/>
        <v/>
      </c>
      <c r="Z81" s="15" t="str">
        <f>IF(U81="","",MAX(0,U81*VLOOKUP(U81,税率及规则!$A$2:$C$8,2,TRUE)-VLOOKUP(U81,税率及规则!$A$2:$C$8,3,TRUE)))</f>
        <v/>
      </c>
      <c r="AA81" s="15" t="str">
        <f t="shared" si="22"/>
        <v/>
      </c>
      <c r="AB81" s="17" t="str">
        <f t="shared" si="23"/>
        <v/>
      </c>
      <c r="AC81" s="17" t="str">
        <f t="shared" si="24"/>
        <v/>
      </c>
      <c r="AD81" s="4" t="str">
        <f>IF(A81="","",IF(COUNTIF($A$2:$A$501,A81)&gt;1,"异常：事件编号重复",IF(OR(C81="",D81="",E81="",F81="",G81=""),"异常：必填项缺失",IF(AND(F81="其他股权激励",O81=""),"异常：其他股权激励所得缺失",IF(AND(F81&lt;&gt;"其他股权激励",OR(I81="",J81="")),"异常：数量或市场价缺失",IF(AND(F81&lt;&gt;"其他股权激励",OR(I81&lt;=0,J81&lt;0)),"异常：数量或价格无效",IF(AND(F81="限制性股票",OR(M81&lt;=0,N81&lt;0,I81&gt;M81)),"异常：个人获授或出资数据无效",IF(AND(IFERROR(INDEX(计划参数!$J$2:$J$501,MATCH(C81,计划参数!$I$2:$I$501,0)),"")&lt;&gt;"",D81&lt;&gt;IFERROR(INDEX(计划参数!$J$2:$J$501,MATCH(C81,计划参数!$I$2:$I$501,0)),"")),"异常：姓名与员工主数据不一致",IF(S81&lt;0,"异常：原始所得为负，已按0计税",IF(OR(AND(F81="股票期权",K81=""),AND(F81="限制性股票",OR(K81="",L81=""))),"异常：计划参数缺失",IF(COUNTIF(计划参数!$I$2:$I$501,C81)=0,"提示：员工编号未在主数据",IF(Q81&lt;&gt;"已备案","提示：未确认备案","正常"))))))))))))</f>
        <v/>
      </c>
      <c r="AE81" s="9"/>
      <c r="AF81" s="4" t="str">
        <f>IF(C81="","",IF(COUNTIF($C$2:C81,C81)=1,MAX($AF$1:AF80)+1,""))</f>
        <v/>
      </c>
      <c r="AG81" s="4" t="str">
        <f>IF(C81="","",COUNTIF($C$2:C81,C81))</f>
        <v/>
      </c>
      <c r="AH81" s="4" t="str">
        <f t="shared" si="25"/>
        <v/>
      </c>
      <c r="AI81" s="4" t="str">
        <f t="shared" si="26"/>
        <v/>
      </c>
      <c r="AJ81" s="4" t="str">
        <f t="shared" si="27"/>
        <v/>
      </c>
      <c r="AK81" s="15" t="str">
        <f>IF(A81="","",SUMIFS(分期缴税台账!$K$2:$K$501,分期缴税台账!$T$2:$T$501,A81,分期缴税台账!$Q$2:$Q$501,"有效"))</f>
        <v/>
      </c>
      <c r="AL81" s="15" t="str">
        <f t="shared" si="28"/>
        <v/>
      </c>
      <c r="AM81" s="4" t="str">
        <f t="shared" si="29"/>
        <v/>
      </c>
    </row>
    <row r="82" spans="1:39" x14ac:dyDescent="0.3">
      <c r="A82" s="9"/>
      <c r="B82" s="4" t="str">
        <f t="shared" si="15"/>
        <v/>
      </c>
      <c r="C82" s="9"/>
      <c r="D82" s="9"/>
      <c r="E82" s="9"/>
      <c r="F82" s="9"/>
      <c r="G82" s="13"/>
      <c r="H82" s="4" t="str">
        <f t="shared" si="16"/>
        <v/>
      </c>
      <c r="I82" s="9"/>
      <c r="J82" s="14"/>
      <c r="K82" s="15" t="str">
        <f>IF(OR(E82="",F82="",G82=""),"",IF(E82&lt;&gt;计划参数!$C$2,"",IF(F82="股票期权",IFERROR(LOOKUP(G82,计划参数!$D$12:$D$15,计划参数!$C$12:$C$15),""),IF(F82="限制性股票",计划参数!$C$10,""))))</f>
        <v/>
      </c>
      <c r="L82" s="15" t="str">
        <f>IF(AND(E82=计划参数!$C$2,F82="限制性股票",G82&gt;=计划参数!$D$9),计划参数!$C$9,"")</f>
        <v/>
      </c>
      <c r="M82" s="9"/>
      <c r="N82" s="14"/>
      <c r="O82" s="14"/>
      <c r="P82" s="13"/>
      <c r="Q82" s="9"/>
      <c r="R82" s="13"/>
      <c r="S82" s="15" t="str">
        <f t="shared" si="17"/>
        <v/>
      </c>
      <c r="T82" s="15" t="str">
        <f t="shared" si="18"/>
        <v/>
      </c>
      <c r="U82" s="15" t="str">
        <f t="shared" si="19"/>
        <v/>
      </c>
      <c r="V82" s="15" t="str">
        <f t="shared" si="20"/>
        <v/>
      </c>
      <c r="W82" s="16" t="str">
        <f>IF(V82="","",VLOOKUP(V82,税率及规则!$A$2:$C$8,2,TRUE))</f>
        <v/>
      </c>
      <c r="X82" s="15" t="str">
        <f>IF(V82="","",VLOOKUP(V82,税率及规则!$A$2:$C$8,3,TRUE))</f>
        <v/>
      </c>
      <c r="Y82" s="15" t="str">
        <f t="shared" si="21"/>
        <v/>
      </c>
      <c r="Z82" s="15" t="str">
        <f>IF(U82="","",MAX(0,U82*VLOOKUP(U82,税率及规则!$A$2:$C$8,2,TRUE)-VLOOKUP(U82,税率及规则!$A$2:$C$8,3,TRUE)))</f>
        <v/>
      </c>
      <c r="AA82" s="15" t="str">
        <f t="shared" si="22"/>
        <v/>
      </c>
      <c r="AB82" s="17" t="str">
        <f t="shared" si="23"/>
        <v/>
      </c>
      <c r="AC82" s="17" t="str">
        <f t="shared" si="24"/>
        <v/>
      </c>
      <c r="AD82" s="4" t="str">
        <f>IF(A82="","",IF(COUNTIF($A$2:$A$501,A82)&gt;1,"异常：事件编号重复",IF(OR(C82="",D82="",E82="",F82="",G82=""),"异常：必填项缺失",IF(AND(F82="其他股权激励",O82=""),"异常：其他股权激励所得缺失",IF(AND(F82&lt;&gt;"其他股权激励",OR(I82="",J82="")),"异常：数量或市场价缺失",IF(AND(F82&lt;&gt;"其他股权激励",OR(I82&lt;=0,J82&lt;0)),"异常：数量或价格无效",IF(AND(F82="限制性股票",OR(M82&lt;=0,N82&lt;0,I82&gt;M82)),"异常：个人获授或出资数据无效",IF(AND(IFERROR(INDEX(计划参数!$J$2:$J$501,MATCH(C82,计划参数!$I$2:$I$501,0)),"")&lt;&gt;"",D82&lt;&gt;IFERROR(INDEX(计划参数!$J$2:$J$501,MATCH(C82,计划参数!$I$2:$I$501,0)),"")),"异常：姓名与员工主数据不一致",IF(S82&lt;0,"异常：原始所得为负，已按0计税",IF(OR(AND(F82="股票期权",K82=""),AND(F82="限制性股票",OR(K82="",L82=""))),"异常：计划参数缺失",IF(COUNTIF(计划参数!$I$2:$I$501,C82)=0,"提示：员工编号未在主数据",IF(Q82&lt;&gt;"已备案","提示：未确认备案","正常"))))))))))))</f>
        <v/>
      </c>
      <c r="AE82" s="9"/>
      <c r="AF82" s="4" t="str">
        <f>IF(C82="","",IF(COUNTIF($C$2:C82,C82)=1,MAX($AF$1:AF81)+1,""))</f>
        <v/>
      </c>
      <c r="AG82" s="4" t="str">
        <f>IF(C82="","",COUNTIF($C$2:C82,C82))</f>
        <v/>
      </c>
      <c r="AH82" s="4" t="str">
        <f t="shared" si="25"/>
        <v/>
      </c>
      <c r="AI82" s="4" t="str">
        <f t="shared" si="26"/>
        <v/>
      </c>
      <c r="AJ82" s="4" t="str">
        <f t="shared" si="27"/>
        <v/>
      </c>
      <c r="AK82" s="15" t="str">
        <f>IF(A82="","",SUMIFS(分期缴税台账!$K$2:$K$501,分期缴税台账!$T$2:$T$501,A82,分期缴税台账!$Q$2:$Q$501,"有效"))</f>
        <v/>
      </c>
      <c r="AL82" s="15" t="str">
        <f t="shared" si="28"/>
        <v/>
      </c>
      <c r="AM82" s="4" t="str">
        <f t="shared" si="29"/>
        <v/>
      </c>
    </row>
    <row r="83" spans="1:39" x14ac:dyDescent="0.3">
      <c r="A83" s="9"/>
      <c r="B83" s="4" t="str">
        <f t="shared" si="15"/>
        <v/>
      </c>
      <c r="C83" s="9"/>
      <c r="D83" s="9"/>
      <c r="E83" s="9"/>
      <c r="F83" s="9"/>
      <c r="G83" s="13"/>
      <c r="H83" s="4" t="str">
        <f t="shared" si="16"/>
        <v/>
      </c>
      <c r="I83" s="9"/>
      <c r="J83" s="14"/>
      <c r="K83" s="15" t="str">
        <f>IF(OR(E83="",F83="",G83=""),"",IF(E83&lt;&gt;计划参数!$C$2,"",IF(F83="股票期权",IFERROR(LOOKUP(G83,计划参数!$D$12:$D$15,计划参数!$C$12:$C$15),""),IF(F83="限制性股票",计划参数!$C$10,""))))</f>
        <v/>
      </c>
      <c r="L83" s="15" t="str">
        <f>IF(AND(E83=计划参数!$C$2,F83="限制性股票",G83&gt;=计划参数!$D$9),计划参数!$C$9,"")</f>
        <v/>
      </c>
      <c r="M83" s="9"/>
      <c r="N83" s="14"/>
      <c r="O83" s="14"/>
      <c r="P83" s="13"/>
      <c r="Q83" s="9"/>
      <c r="R83" s="13"/>
      <c r="S83" s="15" t="str">
        <f t="shared" si="17"/>
        <v/>
      </c>
      <c r="T83" s="15" t="str">
        <f t="shared" si="18"/>
        <v/>
      </c>
      <c r="U83" s="15" t="str">
        <f t="shared" si="19"/>
        <v/>
      </c>
      <c r="V83" s="15" t="str">
        <f t="shared" si="20"/>
        <v/>
      </c>
      <c r="W83" s="16" t="str">
        <f>IF(V83="","",VLOOKUP(V83,税率及规则!$A$2:$C$8,2,TRUE))</f>
        <v/>
      </c>
      <c r="X83" s="15" t="str">
        <f>IF(V83="","",VLOOKUP(V83,税率及规则!$A$2:$C$8,3,TRUE))</f>
        <v/>
      </c>
      <c r="Y83" s="15" t="str">
        <f t="shared" si="21"/>
        <v/>
      </c>
      <c r="Z83" s="15" t="str">
        <f>IF(U83="","",MAX(0,U83*VLOOKUP(U83,税率及规则!$A$2:$C$8,2,TRUE)-VLOOKUP(U83,税率及规则!$A$2:$C$8,3,TRUE)))</f>
        <v/>
      </c>
      <c r="AA83" s="15" t="str">
        <f t="shared" si="22"/>
        <v/>
      </c>
      <c r="AB83" s="17" t="str">
        <f t="shared" si="23"/>
        <v/>
      </c>
      <c r="AC83" s="17" t="str">
        <f t="shared" si="24"/>
        <v/>
      </c>
      <c r="AD83" s="4" t="str">
        <f>IF(A83="","",IF(COUNTIF($A$2:$A$501,A83)&gt;1,"异常：事件编号重复",IF(OR(C83="",D83="",E83="",F83="",G83=""),"异常：必填项缺失",IF(AND(F83="其他股权激励",O83=""),"异常：其他股权激励所得缺失",IF(AND(F83&lt;&gt;"其他股权激励",OR(I83="",J83="")),"异常：数量或市场价缺失",IF(AND(F83&lt;&gt;"其他股权激励",OR(I83&lt;=0,J83&lt;0)),"异常：数量或价格无效",IF(AND(F83="限制性股票",OR(M83&lt;=0,N83&lt;0,I83&gt;M83)),"异常：个人获授或出资数据无效",IF(AND(IFERROR(INDEX(计划参数!$J$2:$J$501,MATCH(C83,计划参数!$I$2:$I$501,0)),"")&lt;&gt;"",D83&lt;&gt;IFERROR(INDEX(计划参数!$J$2:$J$501,MATCH(C83,计划参数!$I$2:$I$501,0)),"")),"异常：姓名与员工主数据不一致",IF(S83&lt;0,"异常：原始所得为负，已按0计税",IF(OR(AND(F83="股票期权",K83=""),AND(F83="限制性股票",OR(K83="",L83=""))),"异常：计划参数缺失",IF(COUNTIF(计划参数!$I$2:$I$501,C83)=0,"提示：员工编号未在主数据",IF(Q83&lt;&gt;"已备案","提示：未确认备案","正常"))))))))))))</f>
        <v/>
      </c>
      <c r="AE83" s="9"/>
      <c r="AF83" s="4" t="str">
        <f>IF(C83="","",IF(COUNTIF($C$2:C83,C83)=1,MAX($AF$1:AF82)+1,""))</f>
        <v/>
      </c>
      <c r="AG83" s="4" t="str">
        <f>IF(C83="","",COUNTIF($C$2:C83,C83))</f>
        <v/>
      </c>
      <c r="AH83" s="4" t="str">
        <f t="shared" si="25"/>
        <v/>
      </c>
      <c r="AI83" s="4" t="str">
        <f t="shared" si="26"/>
        <v/>
      </c>
      <c r="AJ83" s="4" t="str">
        <f t="shared" si="27"/>
        <v/>
      </c>
      <c r="AK83" s="15" t="str">
        <f>IF(A83="","",SUMIFS(分期缴税台账!$K$2:$K$501,分期缴税台账!$T$2:$T$501,A83,分期缴税台账!$Q$2:$Q$501,"有效"))</f>
        <v/>
      </c>
      <c r="AL83" s="15" t="str">
        <f t="shared" si="28"/>
        <v/>
      </c>
      <c r="AM83" s="4" t="str">
        <f t="shared" si="29"/>
        <v/>
      </c>
    </row>
    <row r="84" spans="1:39" x14ac:dyDescent="0.3">
      <c r="A84" s="9"/>
      <c r="B84" s="4" t="str">
        <f t="shared" si="15"/>
        <v/>
      </c>
      <c r="C84" s="9"/>
      <c r="D84" s="9"/>
      <c r="E84" s="9"/>
      <c r="F84" s="9"/>
      <c r="G84" s="13"/>
      <c r="H84" s="4" t="str">
        <f t="shared" si="16"/>
        <v/>
      </c>
      <c r="I84" s="9"/>
      <c r="J84" s="14"/>
      <c r="K84" s="15" t="str">
        <f>IF(OR(E84="",F84="",G84=""),"",IF(E84&lt;&gt;计划参数!$C$2,"",IF(F84="股票期权",IFERROR(LOOKUP(G84,计划参数!$D$12:$D$15,计划参数!$C$12:$C$15),""),IF(F84="限制性股票",计划参数!$C$10,""))))</f>
        <v/>
      </c>
      <c r="L84" s="15" t="str">
        <f>IF(AND(E84=计划参数!$C$2,F84="限制性股票",G84&gt;=计划参数!$D$9),计划参数!$C$9,"")</f>
        <v/>
      </c>
      <c r="M84" s="9"/>
      <c r="N84" s="14"/>
      <c r="O84" s="14"/>
      <c r="P84" s="13"/>
      <c r="Q84" s="9"/>
      <c r="R84" s="13"/>
      <c r="S84" s="15" t="str">
        <f t="shared" si="17"/>
        <v/>
      </c>
      <c r="T84" s="15" t="str">
        <f t="shared" si="18"/>
        <v/>
      </c>
      <c r="U84" s="15" t="str">
        <f t="shared" si="19"/>
        <v/>
      </c>
      <c r="V84" s="15" t="str">
        <f t="shared" si="20"/>
        <v/>
      </c>
      <c r="W84" s="16" t="str">
        <f>IF(V84="","",VLOOKUP(V84,税率及规则!$A$2:$C$8,2,TRUE))</f>
        <v/>
      </c>
      <c r="X84" s="15" t="str">
        <f>IF(V84="","",VLOOKUP(V84,税率及规则!$A$2:$C$8,3,TRUE))</f>
        <v/>
      </c>
      <c r="Y84" s="15" t="str">
        <f t="shared" si="21"/>
        <v/>
      </c>
      <c r="Z84" s="15" t="str">
        <f>IF(U84="","",MAX(0,U84*VLOOKUP(U84,税率及规则!$A$2:$C$8,2,TRUE)-VLOOKUP(U84,税率及规则!$A$2:$C$8,3,TRUE)))</f>
        <v/>
      </c>
      <c r="AA84" s="15" t="str">
        <f t="shared" si="22"/>
        <v/>
      </c>
      <c r="AB84" s="17" t="str">
        <f t="shared" si="23"/>
        <v/>
      </c>
      <c r="AC84" s="17" t="str">
        <f t="shared" si="24"/>
        <v/>
      </c>
      <c r="AD84" s="4" t="str">
        <f>IF(A84="","",IF(COUNTIF($A$2:$A$501,A84)&gt;1,"异常：事件编号重复",IF(OR(C84="",D84="",E84="",F84="",G84=""),"异常：必填项缺失",IF(AND(F84="其他股权激励",O84=""),"异常：其他股权激励所得缺失",IF(AND(F84&lt;&gt;"其他股权激励",OR(I84="",J84="")),"异常：数量或市场价缺失",IF(AND(F84&lt;&gt;"其他股权激励",OR(I84&lt;=0,J84&lt;0)),"异常：数量或价格无效",IF(AND(F84="限制性股票",OR(M84&lt;=0,N84&lt;0,I84&gt;M84)),"异常：个人获授或出资数据无效",IF(AND(IFERROR(INDEX(计划参数!$J$2:$J$501,MATCH(C84,计划参数!$I$2:$I$501,0)),"")&lt;&gt;"",D84&lt;&gt;IFERROR(INDEX(计划参数!$J$2:$J$501,MATCH(C84,计划参数!$I$2:$I$501,0)),"")),"异常：姓名与员工主数据不一致",IF(S84&lt;0,"异常：原始所得为负，已按0计税",IF(OR(AND(F84="股票期权",K84=""),AND(F84="限制性股票",OR(K84="",L84=""))),"异常：计划参数缺失",IF(COUNTIF(计划参数!$I$2:$I$501,C84)=0,"提示：员工编号未在主数据",IF(Q84&lt;&gt;"已备案","提示：未确认备案","正常"))))))))))))</f>
        <v/>
      </c>
      <c r="AE84" s="9"/>
      <c r="AF84" s="4" t="str">
        <f>IF(C84="","",IF(COUNTIF($C$2:C84,C84)=1,MAX($AF$1:AF83)+1,""))</f>
        <v/>
      </c>
      <c r="AG84" s="4" t="str">
        <f>IF(C84="","",COUNTIF($C$2:C84,C84))</f>
        <v/>
      </c>
      <c r="AH84" s="4" t="str">
        <f t="shared" si="25"/>
        <v/>
      </c>
      <c r="AI84" s="4" t="str">
        <f t="shared" si="26"/>
        <v/>
      </c>
      <c r="AJ84" s="4" t="str">
        <f t="shared" si="27"/>
        <v/>
      </c>
      <c r="AK84" s="15" t="str">
        <f>IF(A84="","",SUMIFS(分期缴税台账!$K$2:$K$501,分期缴税台账!$T$2:$T$501,A84,分期缴税台账!$Q$2:$Q$501,"有效"))</f>
        <v/>
      </c>
      <c r="AL84" s="15" t="str">
        <f t="shared" si="28"/>
        <v/>
      </c>
      <c r="AM84" s="4" t="str">
        <f t="shared" si="29"/>
        <v/>
      </c>
    </row>
    <row r="85" spans="1:39" x14ac:dyDescent="0.3">
      <c r="A85" s="9"/>
      <c r="B85" s="4" t="str">
        <f t="shared" si="15"/>
        <v/>
      </c>
      <c r="C85" s="9"/>
      <c r="D85" s="9"/>
      <c r="E85" s="9"/>
      <c r="F85" s="9"/>
      <c r="G85" s="13"/>
      <c r="H85" s="4" t="str">
        <f t="shared" si="16"/>
        <v/>
      </c>
      <c r="I85" s="9"/>
      <c r="J85" s="14"/>
      <c r="K85" s="15" t="str">
        <f>IF(OR(E85="",F85="",G85=""),"",IF(E85&lt;&gt;计划参数!$C$2,"",IF(F85="股票期权",IFERROR(LOOKUP(G85,计划参数!$D$12:$D$15,计划参数!$C$12:$C$15),""),IF(F85="限制性股票",计划参数!$C$10,""))))</f>
        <v/>
      </c>
      <c r="L85" s="15" t="str">
        <f>IF(AND(E85=计划参数!$C$2,F85="限制性股票",G85&gt;=计划参数!$D$9),计划参数!$C$9,"")</f>
        <v/>
      </c>
      <c r="M85" s="9"/>
      <c r="N85" s="14"/>
      <c r="O85" s="14"/>
      <c r="P85" s="13"/>
      <c r="Q85" s="9"/>
      <c r="R85" s="13"/>
      <c r="S85" s="15" t="str">
        <f t="shared" si="17"/>
        <v/>
      </c>
      <c r="T85" s="15" t="str">
        <f t="shared" si="18"/>
        <v/>
      </c>
      <c r="U85" s="15" t="str">
        <f t="shared" si="19"/>
        <v/>
      </c>
      <c r="V85" s="15" t="str">
        <f t="shared" si="20"/>
        <v/>
      </c>
      <c r="W85" s="16" t="str">
        <f>IF(V85="","",VLOOKUP(V85,税率及规则!$A$2:$C$8,2,TRUE))</f>
        <v/>
      </c>
      <c r="X85" s="15" t="str">
        <f>IF(V85="","",VLOOKUP(V85,税率及规则!$A$2:$C$8,3,TRUE))</f>
        <v/>
      </c>
      <c r="Y85" s="15" t="str">
        <f t="shared" si="21"/>
        <v/>
      </c>
      <c r="Z85" s="15" t="str">
        <f>IF(U85="","",MAX(0,U85*VLOOKUP(U85,税率及规则!$A$2:$C$8,2,TRUE)-VLOOKUP(U85,税率及规则!$A$2:$C$8,3,TRUE)))</f>
        <v/>
      </c>
      <c r="AA85" s="15" t="str">
        <f t="shared" si="22"/>
        <v/>
      </c>
      <c r="AB85" s="17" t="str">
        <f t="shared" si="23"/>
        <v/>
      </c>
      <c r="AC85" s="17" t="str">
        <f t="shared" si="24"/>
        <v/>
      </c>
      <c r="AD85" s="4" t="str">
        <f>IF(A85="","",IF(COUNTIF($A$2:$A$501,A85)&gt;1,"异常：事件编号重复",IF(OR(C85="",D85="",E85="",F85="",G85=""),"异常：必填项缺失",IF(AND(F85="其他股权激励",O85=""),"异常：其他股权激励所得缺失",IF(AND(F85&lt;&gt;"其他股权激励",OR(I85="",J85="")),"异常：数量或市场价缺失",IF(AND(F85&lt;&gt;"其他股权激励",OR(I85&lt;=0,J85&lt;0)),"异常：数量或价格无效",IF(AND(F85="限制性股票",OR(M85&lt;=0,N85&lt;0,I85&gt;M85)),"异常：个人获授或出资数据无效",IF(AND(IFERROR(INDEX(计划参数!$J$2:$J$501,MATCH(C85,计划参数!$I$2:$I$501,0)),"")&lt;&gt;"",D85&lt;&gt;IFERROR(INDEX(计划参数!$J$2:$J$501,MATCH(C85,计划参数!$I$2:$I$501,0)),"")),"异常：姓名与员工主数据不一致",IF(S85&lt;0,"异常：原始所得为负，已按0计税",IF(OR(AND(F85="股票期权",K85=""),AND(F85="限制性股票",OR(K85="",L85=""))),"异常：计划参数缺失",IF(COUNTIF(计划参数!$I$2:$I$501,C85)=0,"提示：员工编号未在主数据",IF(Q85&lt;&gt;"已备案","提示：未确认备案","正常"))))))))))))</f>
        <v/>
      </c>
      <c r="AE85" s="9"/>
      <c r="AF85" s="4" t="str">
        <f>IF(C85="","",IF(COUNTIF($C$2:C85,C85)=1,MAX($AF$1:AF84)+1,""))</f>
        <v/>
      </c>
      <c r="AG85" s="4" t="str">
        <f>IF(C85="","",COUNTIF($C$2:C85,C85))</f>
        <v/>
      </c>
      <c r="AH85" s="4" t="str">
        <f t="shared" si="25"/>
        <v/>
      </c>
      <c r="AI85" s="4" t="str">
        <f t="shared" si="26"/>
        <v/>
      </c>
      <c r="AJ85" s="4" t="str">
        <f t="shared" si="27"/>
        <v/>
      </c>
      <c r="AK85" s="15" t="str">
        <f>IF(A85="","",SUMIFS(分期缴税台账!$K$2:$K$501,分期缴税台账!$T$2:$T$501,A85,分期缴税台账!$Q$2:$Q$501,"有效"))</f>
        <v/>
      </c>
      <c r="AL85" s="15" t="str">
        <f t="shared" si="28"/>
        <v/>
      </c>
      <c r="AM85" s="4" t="str">
        <f t="shared" si="29"/>
        <v/>
      </c>
    </row>
    <row r="86" spans="1:39" x14ac:dyDescent="0.3">
      <c r="A86" s="9"/>
      <c r="B86" s="4" t="str">
        <f t="shared" si="15"/>
        <v/>
      </c>
      <c r="C86" s="9"/>
      <c r="D86" s="9"/>
      <c r="E86" s="9"/>
      <c r="F86" s="9"/>
      <c r="G86" s="13"/>
      <c r="H86" s="4" t="str">
        <f t="shared" si="16"/>
        <v/>
      </c>
      <c r="I86" s="9"/>
      <c r="J86" s="14"/>
      <c r="K86" s="15" t="str">
        <f>IF(OR(E86="",F86="",G86=""),"",IF(E86&lt;&gt;计划参数!$C$2,"",IF(F86="股票期权",IFERROR(LOOKUP(G86,计划参数!$D$12:$D$15,计划参数!$C$12:$C$15),""),IF(F86="限制性股票",计划参数!$C$10,""))))</f>
        <v/>
      </c>
      <c r="L86" s="15" t="str">
        <f>IF(AND(E86=计划参数!$C$2,F86="限制性股票",G86&gt;=计划参数!$D$9),计划参数!$C$9,"")</f>
        <v/>
      </c>
      <c r="M86" s="9"/>
      <c r="N86" s="14"/>
      <c r="O86" s="14"/>
      <c r="P86" s="13"/>
      <c r="Q86" s="9"/>
      <c r="R86" s="13"/>
      <c r="S86" s="15" t="str">
        <f t="shared" si="17"/>
        <v/>
      </c>
      <c r="T86" s="15" t="str">
        <f t="shared" si="18"/>
        <v/>
      </c>
      <c r="U86" s="15" t="str">
        <f t="shared" si="19"/>
        <v/>
      </c>
      <c r="V86" s="15" t="str">
        <f t="shared" si="20"/>
        <v/>
      </c>
      <c r="W86" s="16" t="str">
        <f>IF(V86="","",VLOOKUP(V86,税率及规则!$A$2:$C$8,2,TRUE))</f>
        <v/>
      </c>
      <c r="X86" s="15" t="str">
        <f>IF(V86="","",VLOOKUP(V86,税率及规则!$A$2:$C$8,3,TRUE))</f>
        <v/>
      </c>
      <c r="Y86" s="15" t="str">
        <f t="shared" si="21"/>
        <v/>
      </c>
      <c r="Z86" s="15" t="str">
        <f>IF(U86="","",MAX(0,U86*VLOOKUP(U86,税率及规则!$A$2:$C$8,2,TRUE)-VLOOKUP(U86,税率及规则!$A$2:$C$8,3,TRUE)))</f>
        <v/>
      </c>
      <c r="AA86" s="15" t="str">
        <f t="shared" si="22"/>
        <v/>
      </c>
      <c r="AB86" s="17" t="str">
        <f t="shared" si="23"/>
        <v/>
      </c>
      <c r="AC86" s="17" t="str">
        <f t="shared" si="24"/>
        <v/>
      </c>
      <c r="AD86" s="4" t="str">
        <f>IF(A86="","",IF(COUNTIF($A$2:$A$501,A86)&gt;1,"异常：事件编号重复",IF(OR(C86="",D86="",E86="",F86="",G86=""),"异常：必填项缺失",IF(AND(F86="其他股权激励",O86=""),"异常：其他股权激励所得缺失",IF(AND(F86&lt;&gt;"其他股权激励",OR(I86="",J86="")),"异常：数量或市场价缺失",IF(AND(F86&lt;&gt;"其他股权激励",OR(I86&lt;=0,J86&lt;0)),"异常：数量或价格无效",IF(AND(F86="限制性股票",OR(M86&lt;=0,N86&lt;0,I86&gt;M86)),"异常：个人获授或出资数据无效",IF(AND(IFERROR(INDEX(计划参数!$J$2:$J$501,MATCH(C86,计划参数!$I$2:$I$501,0)),"")&lt;&gt;"",D86&lt;&gt;IFERROR(INDEX(计划参数!$J$2:$J$501,MATCH(C86,计划参数!$I$2:$I$501,0)),"")),"异常：姓名与员工主数据不一致",IF(S86&lt;0,"异常：原始所得为负，已按0计税",IF(OR(AND(F86="股票期权",K86=""),AND(F86="限制性股票",OR(K86="",L86=""))),"异常：计划参数缺失",IF(COUNTIF(计划参数!$I$2:$I$501,C86)=0,"提示：员工编号未在主数据",IF(Q86&lt;&gt;"已备案","提示：未确认备案","正常"))))))))))))</f>
        <v/>
      </c>
      <c r="AE86" s="9"/>
      <c r="AF86" s="4" t="str">
        <f>IF(C86="","",IF(COUNTIF($C$2:C86,C86)=1,MAX($AF$1:AF85)+1,""))</f>
        <v/>
      </c>
      <c r="AG86" s="4" t="str">
        <f>IF(C86="","",COUNTIF($C$2:C86,C86))</f>
        <v/>
      </c>
      <c r="AH86" s="4" t="str">
        <f t="shared" si="25"/>
        <v/>
      </c>
      <c r="AI86" s="4" t="str">
        <f t="shared" si="26"/>
        <v/>
      </c>
      <c r="AJ86" s="4" t="str">
        <f t="shared" si="27"/>
        <v/>
      </c>
      <c r="AK86" s="15" t="str">
        <f>IF(A86="","",SUMIFS(分期缴税台账!$K$2:$K$501,分期缴税台账!$T$2:$T$501,A86,分期缴税台账!$Q$2:$Q$501,"有效"))</f>
        <v/>
      </c>
      <c r="AL86" s="15" t="str">
        <f t="shared" si="28"/>
        <v/>
      </c>
      <c r="AM86" s="4" t="str">
        <f t="shared" si="29"/>
        <v/>
      </c>
    </row>
    <row r="87" spans="1:39" x14ac:dyDescent="0.3">
      <c r="A87" s="9"/>
      <c r="B87" s="4" t="str">
        <f t="shared" si="15"/>
        <v/>
      </c>
      <c r="C87" s="9"/>
      <c r="D87" s="9"/>
      <c r="E87" s="9"/>
      <c r="F87" s="9"/>
      <c r="G87" s="13"/>
      <c r="H87" s="4" t="str">
        <f t="shared" si="16"/>
        <v/>
      </c>
      <c r="I87" s="9"/>
      <c r="J87" s="14"/>
      <c r="K87" s="15" t="str">
        <f>IF(OR(E87="",F87="",G87=""),"",IF(E87&lt;&gt;计划参数!$C$2,"",IF(F87="股票期权",IFERROR(LOOKUP(G87,计划参数!$D$12:$D$15,计划参数!$C$12:$C$15),""),IF(F87="限制性股票",计划参数!$C$10,""))))</f>
        <v/>
      </c>
      <c r="L87" s="15" t="str">
        <f>IF(AND(E87=计划参数!$C$2,F87="限制性股票",G87&gt;=计划参数!$D$9),计划参数!$C$9,"")</f>
        <v/>
      </c>
      <c r="M87" s="9"/>
      <c r="N87" s="14"/>
      <c r="O87" s="14"/>
      <c r="P87" s="13"/>
      <c r="Q87" s="9"/>
      <c r="R87" s="13"/>
      <c r="S87" s="15" t="str">
        <f t="shared" si="17"/>
        <v/>
      </c>
      <c r="T87" s="15" t="str">
        <f t="shared" si="18"/>
        <v/>
      </c>
      <c r="U87" s="15" t="str">
        <f t="shared" si="19"/>
        <v/>
      </c>
      <c r="V87" s="15" t="str">
        <f t="shared" si="20"/>
        <v/>
      </c>
      <c r="W87" s="16" t="str">
        <f>IF(V87="","",VLOOKUP(V87,税率及规则!$A$2:$C$8,2,TRUE))</f>
        <v/>
      </c>
      <c r="X87" s="15" t="str">
        <f>IF(V87="","",VLOOKUP(V87,税率及规则!$A$2:$C$8,3,TRUE))</f>
        <v/>
      </c>
      <c r="Y87" s="15" t="str">
        <f t="shared" si="21"/>
        <v/>
      </c>
      <c r="Z87" s="15" t="str">
        <f>IF(U87="","",MAX(0,U87*VLOOKUP(U87,税率及规则!$A$2:$C$8,2,TRUE)-VLOOKUP(U87,税率及规则!$A$2:$C$8,3,TRUE)))</f>
        <v/>
      </c>
      <c r="AA87" s="15" t="str">
        <f t="shared" si="22"/>
        <v/>
      </c>
      <c r="AB87" s="17" t="str">
        <f t="shared" si="23"/>
        <v/>
      </c>
      <c r="AC87" s="17" t="str">
        <f t="shared" si="24"/>
        <v/>
      </c>
      <c r="AD87" s="4" t="str">
        <f>IF(A87="","",IF(COUNTIF($A$2:$A$501,A87)&gt;1,"异常：事件编号重复",IF(OR(C87="",D87="",E87="",F87="",G87=""),"异常：必填项缺失",IF(AND(F87="其他股权激励",O87=""),"异常：其他股权激励所得缺失",IF(AND(F87&lt;&gt;"其他股权激励",OR(I87="",J87="")),"异常：数量或市场价缺失",IF(AND(F87&lt;&gt;"其他股权激励",OR(I87&lt;=0,J87&lt;0)),"异常：数量或价格无效",IF(AND(F87="限制性股票",OR(M87&lt;=0,N87&lt;0,I87&gt;M87)),"异常：个人获授或出资数据无效",IF(AND(IFERROR(INDEX(计划参数!$J$2:$J$501,MATCH(C87,计划参数!$I$2:$I$501,0)),"")&lt;&gt;"",D87&lt;&gt;IFERROR(INDEX(计划参数!$J$2:$J$501,MATCH(C87,计划参数!$I$2:$I$501,0)),"")),"异常：姓名与员工主数据不一致",IF(S87&lt;0,"异常：原始所得为负，已按0计税",IF(OR(AND(F87="股票期权",K87=""),AND(F87="限制性股票",OR(K87="",L87=""))),"异常：计划参数缺失",IF(COUNTIF(计划参数!$I$2:$I$501,C87)=0,"提示：员工编号未在主数据",IF(Q87&lt;&gt;"已备案","提示：未确认备案","正常"))))))))))))</f>
        <v/>
      </c>
      <c r="AE87" s="9"/>
      <c r="AF87" s="4" t="str">
        <f>IF(C87="","",IF(COUNTIF($C$2:C87,C87)=1,MAX($AF$1:AF86)+1,""))</f>
        <v/>
      </c>
      <c r="AG87" s="4" t="str">
        <f>IF(C87="","",COUNTIF($C$2:C87,C87))</f>
        <v/>
      </c>
      <c r="AH87" s="4" t="str">
        <f t="shared" si="25"/>
        <v/>
      </c>
      <c r="AI87" s="4" t="str">
        <f t="shared" si="26"/>
        <v/>
      </c>
      <c r="AJ87" s="4" t="str">
        <f t="shared" si="27"/>
        <v/>
      </c>
      <c r="AK87" s="15" t="str">
        <f>IF(A87="","",SUMIFS(分期缴税台账!$K$2:$K$501,分期缴税台账!$T$2:$T$501,A87,分期缴税台账!$Q$2:$Q$501,"有效"))</f>
        <v/>
      </c>
      <c r="AL87" s="15" t="str">
        <f t="shared" si="28"/>
        <v/>
      </c>
      <c r="AM87" s="4" t="str">
        <f t="shared" si="29"/>
        <v/>
      </c>
    </row>
    <row r="88" spans="1:39" x14ac:dyDescent="0.3">
      <c r="A88" s="9"/>
      <c r="B88" s="4" t="str">
        <f t="shared" si="15"/>
        <v/>
      </c>
      <c r="C88" s="9"/>
      <c r="D88" s="9"/>
      <c r="E88" s="9"/>
      <c r="F88" s="9"/>
      <c r="G88" s="13"/>
      <c r="H88" s="4" t="str">
        <f t="shared" si="16"/>
        <v/>
      </c>
      <c r="I88" s="9"/>
      <c r="J88" s="14"/>
      <c r="K88" s="15" t="str">
        <f>IF(OR(E88="",F88="",G88=""),"",IF(E88&lt;&gt;计划参数!$C$2,"",IF(F88="股票期权",IFERROR(LOOKUP(G88,计划参数!$D$12:$D$15,计划参数!$C$12:$C$15),""),IF(F88="限制性股票",计划参数!$C$10,""))))</f>
        <v/>
      </c>
      <c r="L88" s="15" t="str">
        <f>IF(AND(E88=计划参数!$C$2,F88="限制性股票",G88&gt;=计划参数!$D$9),计划参数!$C$9,"")</f>
        <v/>
      </c>
      <c r="M88" s="9"/>
      <c r="N88" s="14"/>
      <c r="O88" s="14"/>
      <c r="P88" s="13"/>
      <c r="Q88" s="9"/>
      <c r="R88" s="13"/>
      <c r="S88" s="15" t="str">
        <f t="shared" si="17"/>
        <v/>
      </c>
      <c r="T88" s="15" t="str">
        <f t="shared" si="18"/>
        <v/>
      </c>
      <c r="U88" s="15" t="str">
        <f t="shared" si="19"/>
        <v/>
      </c>
      <c r="V88" s="15" t="str">
        <f t="shared" si="20"/>
        <v/>
      </c>
      <c r="W88" s="16" t="str">
        <f>IF(V88="","",VLOOKUP(V88,税率及规则!$A$2:$C$8,2,TRUE))</f>
        <v/>
      </c>
      <c r="X88" s="15" t="str">
        <f>IF(V88="","",VLOOKUP(V88,税率及规则!$A$2:$C$8,3,TRUE))</f>
        <v/>
      </c>
      <c r="Y88" s="15" t="str">
        <f t="shared" si="21"/>
        <v/>
      </c>
      <c r="Z88" s="15" t="str">
        <f>IF(U88="","",MAX(0,U88*VLOOKUP(U88,税率及规则!$A$2:$C$8,2,TRUE)-VLOOKUP(U88,税率及规则!$A$2:$C$8,3,TRUE)))</f>
        <v/>
      </c>
      <c r="AA88" s="15" t="str">
        <f t="shared" si="22"/>
        <v/>
      </c>
      <c r="AB88" s="17" t="str">
        <f t="shared" si="23"/>
        <v/>
      </c>
      <c r="AC88" s="17" t="str">
        <f t="shared" si="24"/>
        <v/>
      </c>
      <c r="AD88" s="4" t="str">
        <f>IF(A88="","",IF(COUNTIF($A$2:$A$501,A88)&gt;1,"异常：事件编号重复",IF(OR(C88="",D88="",E88="",F88="",G88=""),"异常：必填项缺失",IF(AND(F88="其他股权激励",O88=""),"异常：其他股权激励所得缺失",IF(AND(F88&lt;&gt;"其他股权激励",OR(I88="",J88="")),"异常：数量或市场价缺失",IF(AND(F88&lt;&gt;"其他股权激励",OR(I88&lt;=0,J88&lt;0)),"异常：数量或价格无效",IF(AND(F88="限制性股票",OR(M88&lt;=0,N88&lt;0,I88&gt;M88)),"异常：个人获授或出资数据无效",IF(AND(IFERROR(INDEX(计划参数!$J$2:$J$501,MATCH(C88,计划参数!$I$2:$I$501,0)),"")&lt;&gt;"",D88&lt;&gt;IFERROR(INDEX(计划参数!$J$2:$J$501,MATCH(C88,计划参数!$I$2:$I$501,0)),"")),"异常：姓名与员工主数据不一致",IF(S88&lt;0,"异常：原始所得为负，已按0计税",IF(OR(AND(F88="股票期权",K88=""),AND(F88="限制性股票",OR(K88="",L88=""))),"异常：计划参数缺失",IF(COUNTIF(计划参数!$I$2:$I$501,C88)=0,"提示：员工编号未在主数据",IF(Q88&lt;&gt;"已备案","提示：未确认备案","正常"))))))))))))</f>
        <v/>
      </c>
      <c r="AE88" s="9"/>
      <c r="AF88" s="4" t="str">
        <f>IF(C88="","",IF(COUNTIF($C$2:C88,C88)=1,MAX($AF$1:AF87)+1,""))</f>
        <v/>
      </c>
      <c r="AG88" s="4" t="str">
        <f>IF(C88="","",COUNTIF($C$2:C88,C88))</f>
        <v/>
      </c>
      <c r="AH88" s="4" t="str">
        <f t="shared" si="25"/>
        <v/>
      </c>
      <c r="AI88" s="4" t="str">
        <f t="shared" si="26"/>
        <v/>
      </c>
      <c r="AJ88" s="4" t="str">
        <f t="shared" si="27"/>
        <v/>
      </c>
      <c r="AK88" s="15" t="str">
        <f>IF(A88="","",SUMIFS(分期缴税台账!$K$2:$K$501,分期缴税台账!$T$2:$T$501,A88,分期缴税台账!$Q$2:$Q$501,"有效"))</f>
        <v/>
      </c>
      <c r="AL88" s="15" t="str">
        <f t="shared" si="28"/>
        <v/>
      </c>
      <c r="AM88" s="4" t="str">
        <f t="shared" si="29"/>
        <v/>
      </c>
    </row>
    <row r="89" spans="1:39" x14ac:dyDescent="0.3">
      <c r="A89" s="9"/>
      <c r="B89" s="4" t="str">
        <f t="shared" si="15"/>
        <v/>
      </c>
      <c r="C89" s="9"/>
      <c r="D89" s="9"/>
      <c r="E89" s="9"/>
      <c r="F89" s="9"/>
      <c r="G89" s="13"/>
      <c r="H89" s="4" t="str">
        <f t="shared" si="16"/>
        <v/>
      </c>
      <c r="I89" s="9"/>
      <c r="J89" s="14"/>
      <c r="K89" s="15" t="str">
        <f>IF(OR(E89="",F89="",G89=""),"",IF(E89&lt;&gt;计划参数!$C$2,"",IF(F89="股票期权",IFERROR(LOOKUP(G89,计划参数!$D$12:$D$15,计划参数!$C$12:$C$15),""),IF(F89="限制性股票",计划参数!$C$10,""))))</f>
        <v/>
      </c>
      <c r="L89" s="15" t="str">
        <f>IF(AND(E89=计划参数!$C$2,F89="限制性股票",G89&gt;=计划参数!$D$9),计划参数!$C$9,"")</f>
        <v/>
      </c>
      <c r="M89" s="9"/>
      <c r="N89" s="14"/>
      <c r="O89" s="14"/>
      <c r="P89" s="13"/>
      <c r="Q89" s="9"/>
      <c r="R89" s="13"/>
      <c r="S89" s="15" t="str">
        <f t="shared" si="17"/>
        <v/>
      </c>
      <c r="T89" s="15" t="str">
        <f t="shared" si="18"/>
        <v/>
      </c>
      <c r="U89" s="15" t="str">
        <f t="shared" si="19"/>
        <v/>
      </c>
      <c r="V89" s="15" t="str">
        <f t="shared" si="20"/>
        <v/>
      </c>
      <c r="W89" s="16" t="str">
        <f>IF(V89="","",VLOOKUP(V89,税率及规则!$A$2:$C$8,2,TRUE))</f>
        <v/>
      </c>
      <c r="X89" s="15" t="str">
        <f>IF(V89="","",VLOOKUP(V89,税率及规则!$A$2:$C$8,3,TRUE))</f>
        <v/>
      </c>
      <c r="Y89" s="15" t="str">
        <f t="shared" si="21"/>
        <v/>
      </c>
      <c r="Z89" s="15" t="str">
        <f>IF(U89="","",MAX(0,U89*VLOOKUP(U89,税率及规则!$A$2:$C$8,2,TRUE)-VLOOKUP(U89,税率及规则!$A$2:$C$8,3,TRUE)))</f>
        <v/>
      </c>
      <c r="AA89" s="15" t="str">
        <f t="shared" si="22"/>
        <v/>
      </c>
      <c r="AB89" s="17" t="str">
        <f t="shared" si="23"/>
        <v/>
      </c>
      <c r="AC89" s="17" t="str">
        <f t="shared" si="24"/>
        <v/>
      </c>
      <c r="AD89" s="4" t="str">
        <f>IF(A89="","",IF(COUNTIF($A$2:$A$501,A89)&gt;1,"异常：事件编号重复",IF(OR(C89="",D89="",E89="",F89="",G89=""),"异常：必填项缺失",IF(AND(F89="其他股权激励",O89=""),"异常：其他股权激励所得缺失",IF(AND(F89&lt;&gt;"其他股权激励",OR(I89="",J89="")),"异常：数量或市场价缺失",IF(AND(F89&lt;&gt;"其他股权激励",OR(I89&lt;=0,J89&lt;0)),"异常：数量或价格无效",IF(AND(F89="限制性股票",OR(M89&lt;=0,N89&lt;0,I89&gt;M89)),"异常：个人获授或出资数据无效",IF(AND(IFERROR(INDEX(计划参数!$J$2:$J$501,MATCH(C89,计划参数!$I$2:$I$501,0)),"")&lt;&gt;"",D89&lt;&gt;IFERROR(INDEX(计划参数!$J$2:$J$501,MATCH(C89,计划参数!$I$2:$I$501,0)),"")),"异常：姓名与员工主数据不一致",IF(S89&lt;0,"异常：原始所得为负，已按0计税",IF(OR(AND(F89="股票期权",K89=""),AND(F89="限制性股票",OR(K89="",L89=""))),"异常：计划参数缺失",IF(COUNTIF(计划参数!$I$2:$I$501,C89)=0,"提示：员工编号未在主数据",IF(Q89&lt;&gt;"已备案","提示：未确认备案","正常"))))))))))))</f>
        <v/>
      </c>
      <c r="AE89" s="9"/>
      <c r="AF89" s="4" t="str">
        <f>IF(C89="","",IF(COUNTIF($C$2:C89,C89)=1,MAX($AF$1:AF88)+1,""))</f>
        <v/>
      </c>
      <c r="AG89" s="4" t="str">
        <f>IF(C89="","",COUNTIF($C$2:C89,C89))</f>
        <v/>
      </c>
      <c r="AH89" s="4" t="str">
        <f t="shared" si="25"/>
        <v/>
      </c>
      <c r="AI89" s="4" t="str">
        <f t="shared" si="26"/>
        <v/>
      </c>
      <c r="AJ89" s="4" t="str">
        <f t="shared" si="27"/>
        <v/>
      </c>
      <c r="AK89" s="15" t="str">
        <f>IF(A89="","",SUMIFS(分期缴税台账!$K$2:$K$501,分期缴税台账!$T$2:$T$501,A89,分期缴税台账!$Q$2:$Q$501,"有效"))</f>
        <v/>
      </c>
      <c r="AL89" s="15" t="str">
        <f t="shared" si="28"/>
        <v/>
      </c>
      <c r="AM89" s="4" t="str">
        <f t="shared" si="29"/>
        <v/>
      </c>
    </row>
    <row r="90" spans="1:39" x14ac:dyDescent="0.3">
      <c r="A90" s="9"/>
      <c r="B90" s="4" t="str">
        <f t="shared" si="15"/>
        <v/>
      </c>
      <c r="C90" s="9"/>
      <c r="D90" s="9"/>
      <c r="E90" s="9"/>
      <c r="F90" s="9"/>
      <c r="G90" s="13"/>
      <c r="H90" s="4" t="str">
        <f t="shared" si="16"/>
        <v/>
      </c>
      <c r="I90" s="9"/>
      <c r="J90" s="14"/>
      <c r="K90" s="15" t="str">
        <f>IF(OR(E90="",F90="",G90=""),"",IF(E90&lt;&gt;计划参数!$C$2,"",IF(F90="股票期权",IFERROR(LOOKUP(G90,计划参数!$D$12:$D$15,计划参数!$C$12:$C$15),""),IF(F90="限制性股票",计划参数!$C$10,""))))</f>
        <v/>
      </c>
      <c r="L90" s="15" t="str">
        <f>IF(AND(E90=计划参数!$C$2,F90="限制性股票",G90&gt;=计划参数!$D$9),计划参数!$C$9,"")</f>
        <v/>
      </c>
      <c r="M90" s="9"/>
      <c r="N90" s="14"/>
      <c r="O90" s="14"/>
      <c r="P90" s="13"/>
      <c r="Q90" s="9"/>
      <c r="R90" s="13"/>
      <c r="S90" s="15" t="str">
        <f t="shared" si="17"/>
        <v/>
      </c>
      <c r="T90" s="15" t="str">
        <f t="shared" si="18"/>
        <v/>
      </c>
      <c r="U90" s="15" t="str">
        <f t="shared" si="19"/>
        <v/>
      </c>
      <c r="V90" s="15" t="str">
        <f t="shared" si="20"/>
        <v/>
      </c>
      <c r="W90" s="16" t="str">
        <f>IF(V90="","",VLOOKUP(V90,税率及规则!$A$2:$C$8,2,TRUE))</f>
        <v/>
      </c>
      <c r="X90" s="15" t="str">
        <f>IF(V90="","",VLOOKUP(V90,税率及规则!$A$2:$C$8,3,TRUE))</f>
        <v/>
      </c>
      <c r="Y90" s="15" t="str">
        <f t="shared" si="21"/>
        <v/>
      </c>
      <c r="Z90" s="15" t="str">
        <f>IF(U90="","",MAX(0,U90*VLOOKUP(U90,税率及规则!$A$2:$C$8,2,TRUE)-VLOOKUP(U90,税率及规则!$A$2:$C$8,3,TRUE)))</f>
        <v/>
      </c>
      <c r="AA90" s="15" t="str">
        <f t="shared" si="22"/>
        <v/>
      </c>
      <c r="AB90" s="17" t="str">
        <f t="shared" si="23"/>
        <v/>
      </c>
      <c r="AC90" s="17" t="str">
        <f t="shared" si="24"/>
        <v/>
      </c>
      <c r="AD90" s="4" t="str">
        <f>IF(A90="","",IF(COUNTIF($A$2:$A$501,A90)&gt;1,"异常：事件编号重复",IF(OR(C90="",D90="",E90="",F90="",G90=""),"异常：必填项缺失",IF(AND(F90="其他股权激励",O90=""),"异常：其他股权激励所得缺失",IF(AND(F90&lt;&gt;"其他股权激励",OR(I90="",J90="")),"异常：数量或市场价缺失",IF(AND(F90&lt;&gt;"其他股权激励",OR(I90&lt;=0,J90&lt;0)),"异常：数量或价格无效",IF(AND(F90="限制性股票",OR(M90&lt;=0,N90&lt;0,I90&gt;M90)),"异常：个人获授或出资数据无效",IF(AND(IFERROR(INDEX(计划参数!$J$2:$J$501,MATCH(C90,计划参数!$I$2:$I$501,0)),"")&lt;&gt;"",D90&lt;&gt;IFERROR(INDEX(计划参数!$J$2:$J$501,MATCH(C90,计划参数!$I$2:$I$501,0)),"")),"异常：姓名与员工主数据不一致",IF(S90&lt;0,"异常：原始所得为负，已按0计税",IF(OR(AND(F90="股票期权",K90=""),AND(F90="限制性股票",OR(K90="",L90=""))),"异常：计划参数缺失",IF(COUNTIF(计划参数!$I$2:$I$501,C90)=0,"提示：员工编号未在主数据",IF(Q90&lt;&gt;"已备案","提示：未确认备案","正常"))))))))))))</f>
        <v/>
      </c>
      <c r="AE90" s="9"/>
      <c r="AF90" s="4" t="str">
        <f>IF(C90="","",IF(COUNTIF($C$2:C90,C90)=1,MAX($AF$1:AF89)+1,""))</f>
        <v/>
      </c>
      <c r="AG90" s="4" t="str">
        <f>IF(C90="","",COUNTIF($C$2:C90,C90))</f>
        <v/>
      </c>
      <c r="AH90" s="4" t="str">
        <f t="shared" si="25"/>
        <v/>
      </c>
      <c r="AI90" s="4" t="str">
        <f t="shared" si="26"/>
        <v/>
      </c>
      <c r="AJ90" s="4" t="str">
        <f t="shared" si="27"/>
        <v/>
      </c>
      <c r="AK90" s="15" t="str">
        <f>IF(A90="","",SUMIFS(分期缴税台账!$K$2:$K$501,分期缴税台账!$T$2:$T$501,A90,分期缴税台账!$Q$2:$Q$501,"有效"))</f>
        <v/>
      </c>
      <c r="AL90" s="15" t="str">
        <f t="shared" si="28"/>
        <v/>
      </c>
      <c r="AM90" s="4" t="str">
        <f t="shared" si="29"/>
        <v/>
      </c>
    </row>
    <row r="91" spans="1:39" x14ac:dyDescent="0.3">
      <c r="A91" s="9"/>
      <c r="B91" s="4" t="str">
        <f t="shared" si="15"/>
        <v/>
      </c>
      <c r="C91" s="9"/>
      <c r="D91" s="9"/>
      <c r="E91" s="9"/>
      <c r="F91" s="9"/>
      <c r="G91" s="13"/>
      <c r="H91" s="4" t="str">
        <f t="shared" si="16"/>
        <v/>
      </c>
      <c r="I91" s="9"/>
      <c r="J91" s="14"/>
      <c r="K91" s="15" t="str">
        <f>IF(OR(E91="",F91="",G91=""),"",IF(E91&lt;&gt;计划参数!$C$2,"",IF(F91="股票期权",IFERROR(LOOKUP(G91,计划参数!$D$12:$D$15,计划参数!$C$12:$C$15),""),IF(F91="限制性股票",计划参数!$C$10,""))))</f>
        <v/>
      </c>
      <c r="L91" s="15" t="str">
        <f>IF(AND(E91=计划参数!$C$2,F91="限制性股票",G91&gt;=计划参数!$D$9),计划参数!$C$9,"")</f>
        <v/>
      </c>
      <c r="M91" s="9"/>
      <c r="N91" s="14"/>
      <c r="O91" s="14"/>
      <c r="P91" s="13"/>
      <c r="Q91" s="9"/>
      <c r="R91" s="13"/>
      <c r="S91" s="15" t="str">
        <f t="shared" si="17"/>
        <v/>
      </c>
      <c r="T91" s="15" t="str">
        <f t="shared" si="18"/>
        <v/>
      </c>
      <c r="U91" s="15" t="str">
        <f t="shared" si="19"/>
        <v/>
      </c>
      <c r="V91" s="15" t="str">
        <f t="shared" si="20"/>
        <v/>
      </c>
      <c r="W91" s="16" t="str">
        <f>IF(V91="","",VLOOKUP(V91,税率及规则!$A$2:$C$8,2,TRUE))</f>
        <v/>
      </c>
      <c r="X91" s="15" t="str">
        <f>IF(V91="","",VLOOKUP(V91,税率及规则!$A$2:$C$8,3,TRUE))</f>
        <v/>
      </c>
      <c r="Y91" s="15" t="str">
        <f t="shared" si="21"/>
        <v/>
      </c>
      <c r="Z91" s="15" t="str">
        <f>IF(U91="","",MAX(0,U91*VLOOKUP(U91,税率及规则!$A$2:$C$8,2,TRUE)-VLOOKUP(U91,税率及规则!$A$2:$C$8,3,TRUE)))</f>
        <v/>
      </c>
      <c r="AA91" s="15" t="str">
        <f t="shared" si="22"/>
        <v/>
      </c>
      <c r="AB91" s="17" t="str">
        <f t="shared" si="23"/>
        <v/>
      </c>
      <c r="AC91" s="17" t="str">
        <f t="shared" si="24"/>
        <v/>
      </c>
      <c r="AD91" s="4" t="str">
        <f>IF(A91="","",IF(COUNTIF($A$2:$A$501,A91)&gt;1,"异常：事件编号重复",IF(OR(C91="",D91="",E91="",F91="",G91=""),"异常：必填项缺失",IF(AND(F91="其他股权激励",O91=""),"异常：其他股权激励所得缺失",IF(AND(F91&lt;&gt;"其他股权激励",OR(I91="",J91="")),"异常：数量或市场价缺失",IF(AND(F91&lt;&gt;"其他股权激励",OR(I91&lt;=0,J91&lt;0)),"异常：数量或价格无效",IF(AND(F91="限制性股票",OR(M91&lt;=0,N91&lt;0,I91&gt;M91)),"异常：个人获授或出资数据无效",IF(AND(IFERROR(INDEX(计划参数!$J$2:$J$501,MATCH(C91,计划参数!$I$2:$I$501,0)),"")&lt;&gt;"",D91&lt;&gt;IFERROR(INDEX(计划参数!$J$2:$J$501,MATCH(C91,计划参数!$I$2:$I$501,0)),"")),"异常：姓名与员工主数据不一致",IF(S91&lt;0,"异常：原始所得为负，已按0计税",IF(OR(AND(F91="股票期权",K91=""),AND(F91="限制性股票",OR(K91="",L91=""))),"异常：计划参数缺失",IF(COUNTIF(计划参数!$I$2:$I$501,C91)=0,"提示：员工编号未在主数据",IF(Q91&lt;&gt;"已备案","提示：未确认备案","正常"))))))))))))</f>
        <v/>
      </c>
      <c r="AE91" s="9"/>
      <c r="AF91" s="4" t="str">
        <f>IF(C91="","",IF(COUNTIF($C$2:C91,C91)=1,MAX($AF$1:AF90)+1,""))</f>
        <v/>
      </c>
      <c r="AG91" s="4" t="str">
        <f>IF(C91="","",COUNTIF($C$2:C91,C91))</f>
        <v/>
      </c>
      <c r="AH91" s="4" t="str">
        <f t="shared" si="25"/>
        <v/>
      </c>
      <c r="AI91" s="4" t="str">
        <f t="shared" si="26"/>
        <v/>
      </c>
      <c r="AJ91" s="4" t="str">
        <f t="shared" si="27"/>
        <v/>
      </c>
      <c r="AK91" s="15" t="str">
        <f>IF(A91="","",SUMIFS(分期缴税台账!$K$2:$K$501,分期缴税台账!$T$2:$T$501,A91,分期缴税台账!$Q$2:$Q$501,"有效"))</f>
        <v/>
      </c>
      <c r="AL91" s="15" t="str">
        <f t="shared" si="28"/>
        <v/>
      </c>
      <c r="AM91" s="4" t="str">
        <f t="shared" si="29"/>
        <v/>
      </c>
    </row>
    <row r="92" spans="1:39" x14ac:dyDescent="0.3">
      <c r="A92" s="9"/>
      <c r="B92" s="4" t="str">
        <f t="shared" si="15"/>
        <v/>
      </c>
      <c r="C92" s="9"/>
      <c r="D92" s="9"/>
      <c r="E92" s="9"/>
      <c r="F92" s="9"/>
      <c r="G92" s="13"/>
      <c r="H92" s="4" t="str">
        <f t="shared" si="16"/>
        <v/>
      </c>
      <c r="I92" s="9"/>
      <c r="J92" s="14"/>
      <c r="K92" s="15" t="str">
        <f>IF(OR(E92="",F92="",G92=""),"",IF(E92&lt;&gt;计划参数!$C$2,"",IF(F92="股票期权",IFERROR(LOOKUP(G92,计划参数!$D$12:$D$15,计划参数!$C$12:$C$15),""),IF(F92="限制性股票",计划参数!$C$10,""))))</f>
        <v/>
      </c>
      <c r="L92" s="15" t="str">
        <f>IF(AND(E92=计划参数!$C$2,F92="限制性股票",G92&gt;=计划参数!$D$9),计划参数!$C$9,"")</f>
        <v/>
      </c>
      <c r="M92" s="9"/>
      <c r="N92" s="14"/>
      <c r="O92" s="14"/>
      <c r="P92" s="13"/>
      <c r="Q92" s="9"/>
      <c r="R92" s="13"/>
      <c r="S92" s="15" t="str">
        <f t="shared" si="17"/>
        <v/>
      </c>
      <c r="T92" s="15" t="str">
        <f t="shared" si="18"/>
        <v/>
      </c>
      <c r="U92" s="15" t="str">
        <f t="shared" si="19"/>
        <v/>
      </c>
      <c r="V92" s="15" t="str">
        <f t="shared" si="20"/>
        <v/>
      </c>
      <c r="W92" s="16" t="str">
        <f>IF(V92="","",VLOOKUP(V92,税率及规则!$A$2:$C$8,2,TRUE))</f>
        <v/>
      </c>
      <c r="X92" s="15" t="str">
        <f>IF(V92="","",VLOOKUP(V92,税率及规则!$A$2:$C$8,3,TRUE))</f>
        <v/>
      </c>
      <c r="Y92" s="15" t="str">
        <f t="shared" si="21"/>
        <v/>
      </c>
      <c r="Z92" s="15" t="str">
        <f>IF(U92="","",MAX(0,U92*VLOOKUP(U92,税率及规则!$A$2:$C$8,2,TRUE)-VLOOKUP(U92,税率及规则!$A$2:$C$8,3,TRUE)))</f>
        <v/>
      </c>
      <c r="AA92" s="15" t="str">
        <f t="shared" si="22"/>
        <v/>
      </c>
      <c r="AB92" s="17" t="str">
        <f t="shared" si="23"/>
        <v/>
      </c>
      <c r="AC92" s="17" t="str">
        <f t="shared" si="24"/>
        <v/>
      </c>
      <c r="AD92" s="4" t="str">
        <f>IF(A92="","",IF(COUNTIF($A$2:$A$501,A92)&gt;1,"异常：事件编号重复",IF(OR(C92="",D92="",E92="",F92="",G92=""),"异常：必填项缺失",IF(AND(F92="其他股权激励",O92=""),"异常：其他股权激励所得缺失",IF(AND(F92&lt;&gt;"其他股权激励",OR(I92="",J92="")),"异常：数量或市场价缺失",IF(AND(F92&lt;&gt;"其他股权激励",OR(I92&lt;=0,J92&lt;0)),"异常：数量或价格无效",IF(AND(F92="限制性股票",OR(M92&lt;=0,N92&lt;0,I92&gt;M92)),"异常：个人获授或出资数据无效",IF(AND(IFERROR(INDEX(计划参数!$J$2:$J$501,MATCH(C92,计划参数!$I$2:$I$501,0)),"")&lt;&gt;"",D92&lt;&gt;IFERROR(INDEX(计划参数!$J$2:$J$501,MATCH(C92,计划参数!$I$2:$I$501,0)),"")),"异常：姓名与员工主数据不一致",IF(S92&lt;0,"异常：原始所得为负，已按0计税",IF(OR(AND(F92="股票期权",K92=""),AND(F92="限制性股票",OR(K92="",L92=""))),"异常：计划参数缺失",IF(COUNTIF(计划参数!$I$2:$I$501,C92)=0,"提示：员工编号未在主数据",IF(Q92&lt;&gt;"已备案","提示：未确认备案","正常"))))))))))))</f>
        <v/>
      </c>
      <c r="AE92" s="9"/>
      <c r="AF92" s="4" t="str">
        <f>IF(C92="","",IF(COUNTIF($C$2:C92,C92)=1,MAX($AF$1:AF91)+1,""))</f>
        <v/>
      </c>
      <c r="AG92" s="4" t="str">
        <f>IF(C92="","",COUNTIF($C$2:C92,C92))</f>
        <v/>
      </c>
      <c r="AH92" s="4" t="str">
        <f t="shared" si="25"/>
        <v/>
      </c>
      <c r="AI92" s="4" t="str">
        <f t="shared" si="26"/>
        <v/>
      </c>
      <c r="AJ92" s="4" t="str">
        <f t="shared" si="27"/>
        <v/>
      </c>
      <c r="AK92" s="15" t="str">
        <f>IF(A92="","",SUMIFS(分期缴税台账!$K$2:$K$501,分期缴税台账!$T$2:$T$501,A92,分期缴税台账!$Q$2:$Q$501,"有效"))</f>
        <v/>
      </c>
      <c r="AL92" s="15" t="str">
        <f t="shared" si="28"/>
        <v/>
      </c>
      <c r="AM92" s="4" t="str">
        <f t="shared" si="29"/>
        <v/>
      </c>
    </row>
    <row r="93" spans="1:39" x14ac:dyDescent="0.3">
      <c r="A93" s="9"/>
      <c r="B93" s="4" t="str">
        <f t="shared" si="15"/>
        <v/>
      </c>
      <c r="C93" s="9"/>
      <c r="D93" s="9"/>
      <c r="E93" s="9"/>
      <c r="F93" s="9"/>
      <c r="G93" s="13"/>
      <c r="H93" s="4" t="str">
        <f t="shared" si="16"/>
        <v/>
      </c>
      <c r="I93" s="9"/>
      <c r="J93" s="14"/>
      <c r="K93" s="15" t="str">
        <f>IF(OR(E93="",F93="",G93=""),"",IF(E93&lt;&gt;计划参数!$C$2,"",IF(F93="股票期权",IFERROR(LOOKUP(G93,计划参数!$D$12:$D$15,计划参数!$C$12:$C$15),""),IF(F93="限制性股票",计划参数!$C$10,""))))</f>
        <v/>
      </c>
      <c r="L93" s="15" t="str">
        <f>IF(AND(E93=计划参数!$C$2,F93="限制性股票",G93&gt;=计划参数!$D$9),计划参数!$C$9,"")</f>
        <v/>
      </c>
      <c r="M93" s="9"/>
      <c r="N93" s="14"/>
      <c r="O93" s="14"/>
      <c r="P93" s="13"/>
      <c r="Q93" s="9"/>
      <c r="R93" s="13"/>
      <c r="S93" s="15" t="str">
        <f t="shared" si="17"/>
        <v/>
      </c>
      <c r="T93" s="15" t="str">
        <f t="shared" si="18"/>
        <v/>
      </c>
      <c r="U93" s="15" t="str">
        <f t="shared" si="19"/>
        <v/>
      </c>
      <c r="V93" s="15" t="str">
        <f t="shared" si="20"/>
        <v/>
      </c>
      <c r="W93" s="16" t="str">
        <f>IF(V93="","",VLOOKUP(V93,税率及规则!$A$2:$C$8,2,TRUE))</f>
        <v/>
      </c>
      <c r="X93" s="15" t="str">
        <f>IF(V93="","",VLOOKUP(V93,税率及规则!$A$2:$C$8,3,TRUE))</f>
        <v/>
      </c>
      <c r="Y93" s="15" t="str">
        <f t="shared" si="21"/>
        <v/>
      </c>
      <c r="Z93" s="15" t="str">
        <f>IF(U93="","",MAX(0,U93*VLOOKUP(U93,税率及规则!$A$2:$C$8,2,TRUE)-VLOOKUP(U93,税率及规则!$A$2:$C$8,3,TRUE)))</f>
        <v/>
      </c>
      <c r="AA93" s="15" t="str">
        <f t="shared" si="22"/>
        <v/>
      </c>
      <c r="AB93" s="17" t="str">
        <f t="shared" si="23"/>
        <v/>
      </c>
      <c r="AC93" s="17" t="str">
        <f t="shared" si="24"/>
        <v/>
      </c>
      <c r="AD93" s="4" t="str">
        <f>IF(A93="","",IF(COUNTIF($A$2:$A$501,A93)&gt;1,"异常：事件编号重复",IF(OR(C93="",D93="",E93="",F93="",G93=""),"异常：必填项缺失",IF(AND(F93="其他股权激励",O93=""),"异常：其他股权激励所得缺失",IF(AND(F93&lt;&gt;"其他股权激励",OR(I93="",J93="")),"异常：数量或市场价缺失",IF(AND(F93&lt;&gt;"其他股权激励",OR(I93&lt;=0,J93&lt;0)),"异常：数量或价格无效",IF(AND(F93="限制性股票",OR(M93&lt;=0,N93&lt;0,I93&gt;M93)),"异常：个人获授或出资数据无效",IF(AND(IFERROR(INDEX(计划参数!$J$2:$J$501,MATCH(C93,计划参数!$I$2:$I$501,0)),"")&lt;&gt;"",D93&lt;&gt;IFERROR(INDEX(计划参数!$J$2:$J$501,MATCH(C93,计划参数!$I$2:$I$501,0)),"")),"异常：姓名与员工主数据不一致",IF(S93&lt;0,"异常：原始所得为负，已按0计税",IF(OR(AND(F93="股票期权",K93=""),AND(F93="限制性股票",OR(K93="",L93=""))),"异常：计划参数缺失",IF(COUNTIF(计划参数!$I$2:$I$501,C93)=0,"提示：员工编号未在主数据",IF(Q93&lt;&gt;"已备案","提示：未确认备案","正常"))))))))))))</f>
        <v/>
      </c>
      <c r="AE93" s="9"/>
      <c r="AF93" s="4" t="str">
        <f>IF(C93="","",IF(COUNTIF($C$2:C93,C93)=1,MAX($AF$1:AF92)+1,""))</f>
        <v/>
      </c>
      <c r="AG93" s="4" t="str">
        <f>IF(C93="","",COUNTIF($C$2:C93,C93))</f>
        <v/>
      </c>
      <c r="AH93" s="4" t="str">
        <f t="shared" si="25"/>
        <v/>
      </c>
      <c r="AI93" s="4" t="str">
        <f t="shared" si="26"/>
        <v/>
      </c>
      <c r="AJ93" s="4" t="str">
        <f t="shared" si="27"/>
        <v/>
      </c>
      <c r="AK93" s="15" t="str">
        <f>IF(A93="","",SUMIFS(分期缴税台账!$K$2:$K$501,分期缴税台账!$T$2:$T$501,A93,分期缴税台账!$Q$2:$Q$501,"有效"))</f>
        <v/>
      </c>
      <c r="AL93" s="15" t="str">
        <f t="shared" si="28"/>
        <v/>
      </c>
      <c r="AM93" s="4" t="str">
        <f t="shared" si="29"/>
        <v/>
      </c>
    </row>
    <row r="94" spans="1:39" x14ac:dyDescent="0.3">
      <c r="A94" s="9"/>
      <c r="B94" s="4" t="str">
        <f t="shared" si="15"/>
        <v/>
      </c>
      <c r="C94" s="9"/>
      <c r="D94" s="9"/>
      <c r="E94" s="9"/>
      <c r="F94" s="9"/>
      <c r="G94" s="13"/>
      <c r="H94" s="4" t="str">
        <f t="shared" si="16"/>
        <v/>
      </c>
      <c r="I94" s="9"/>
      <c r="J94" s="14"/>
      <c r="K94" s="15" t="str">
        <f>IF(OR(E94="",F94="",G94=""),"",IF(E94&lt;&gt;计划参数!$C$2,"",IF(F94="股票期权",IFERROR(LOOKUP(G94,计划参数!$D$12:$D$15,计划参数!$C$12:$C$15),""),IF(F94="限制性股票",计划参数!$C$10,""))))</f>
        <v/>
      </c>
      <c r="L94" s="15" t="str">
        <f>IF(AND(E94=计划参数!$C$2,F94="限制性股票",G94&gt;=计划参数!$D$9),计划参数!$C$9,"")</f>
        <v/>
      </c>
      <c r="M94" s="9"/>
      <c r="N94" s="14"/>
      <c r="O94" s="14"/>
      <c r="P94" s="13"/>
      <c r="Q94" s="9"/>
      <c r="R94" s="13"/>
      <c r="S94" s="15" t="str">
        <f t="shared" si="17"/>
        <v/>
      </c>
      <c r="T94" s="15" t="str">
        <f t="shared" si="18"/>
        <v/>
      </c>
      <c r="U94" s="15" t="str">
        <f t="shared" si="19"/>
        <v/>
      </c>
      <c r="V94" s="15" t="str">
        <f t="shared" si="20"/>
        <v/>
      </c>
      <c r="W94" s="16" t="str">
        <f>IF(V94="","",VLOOKUP(V94,税率及规则!$A$2:$C$8,2,TRUE))</f>
        <v/>
      </c>
      <c r="X94" s="15" t="str">
        <f>IF(V94="","",VLOOKUP(V94,税率及规则!$A$2:$C$8,3,TRUE))</f>
        <v/>
      </c>
      <c r="Y94" s="15" t="str">
        <f t="shared" si="21"/>
        <v/>
      </c>
      <c r="Z94" s="15" t="str">
        <f>IF(U94="","",MAX(0,U94*VLOOKUP(U94,税率及规则!$A$2:$C$8,2,TRUE)-VLOOKUP(U94,税率及规则!$A$2:$C$8,3,TRUE)))</f>
        <v/>
      </c>
      <c r="AA94" s="15" t="str">
        <f t="shared" si="22"/>
        <v/>
      </c>
      <c r="AB94" s="17" t="str">
        <f t="shared" si="23"/>
        <v/>
      </c>
      <c r="AC94" s="17" t="str">
        <f t="shared" si="24"/>
        <v/>
      </c>
      <c r="AD94" s="4" t="str">
        <f>IF(A94="","",IF(COUNTIF($A$2:$A$501,A94)&gt;1,"异常：事件编号重复",IF(OR(C94="",D94="",E94="",F94="",G94=""),"异常：必填项缺失",IF(AND(F94="其他股权激励",O94=""),"异常：其他股权激励所得缺失",IF(AND(F94&lt;&gt;"其他股权激励",OR(I94="",J94="")),"异常：数量或市场价缺失",IF(AND(F94&lt;&gt;"其他股权激励",OR(I94&lt;=0,J94&lt;0)),"异常：数量或价格无效",IF(AND(F94="限制性股票",OR(M94&lt;=0,N94&lt;0,I94&gt;M94)),"异常：个人获授或出资数据无效",IF(AND(IFERROR(INDEX(计划参数!$J$2:$J$501,MATCH(C94,计划参数!$I$2:$I$501,0)),"")&lt;&gt;"",D94&lt;&gt;IFERROR(INDEX(计划参数!$J$2:$J$501,MATCH(C94,计划参数!$I$2:$I$501,0)),"")),"异常：姓名与员工主数据不一致",IF(S94&lt;0,"异常：原始所得为负，已按0计税",IF(OR(AND(F94="股票期权",K94=""),AND(F94="限制性股票",OR(K94="",L94=""))),"异常：计划参数缺失",IF(COUNTIF(计划参数!$I$2:$I$501,C94)=0,"提示：员工编号未在主数据",IF(Q94&lt;&gt;"已备案","提示：未确认备案","正常"))))))))))))</f>
        <v/>
      </c>
      <c r="AE94" s="9"/>
      <c r="AF94" s="4" t="str">
        <f>IF(C94="","",IF(COUNTIF($C$2:C94,C94)=1,MAX($AF$1:AF93)+1,""))</f>
        <v/>
      </c>
      <c r="AG94" s="4" t="str">
        <f>IF(C94="","",COUNTIF($C$2:C94,C94))</f>
        <v/>
      </c>
      <c r="AH94" s="4" t="str">
        <f t="shared" si="25"/>
        <v/>
      </c>
      <c r="AI94" s="4" t="str">
        <f t="shared" si="26"/>
        <v/>
      </c>
      <c r="AJ94" s="4" t="str">
        <f t="shared" si="27"/>
        <v/>
      </c>
      <c r="AK94" s="15" t="str">
        <f>IF(A94="","",SUMIFS(分期缴税台账!$K$2:$K$501,分期缴税台账!$T$2:$T$501,A94,分期缴税台账!$Q$2:$Q$501,"有效"))</f>
        <v/>
      </c>
      <c r="AL94" s="15" t="str">
        <f t="shared" si="28"/>
        <v/>
      </c>
      <c r="AM94" s="4" t="str">
        <f t="shared" si="29"/>
        <v/>
      </c>
    </row>
    <row r="95" spans="1:39" x14ac:dyDescent="0.3">
      <c r="A95" s="9"/>
      <c r="B95" s="4" t="str">
        <f t="shared" si="15"/>
        <v/>
      </c>
      <c r="C95" s="9"/>
      <c r="D95" s="9"/>
      <c r="E95" s="9"/>
      <c r="F95" s="9"/>
      <c r="G95" s="13"/>
      <c r="H95" s="4" t="str">
        <f t="shared" si="16"/>
        <v/>
      </c>
      <c r="I95" s="9"/>
      <c r="J95" s="14"/>
      <c r="K95" s="15" t="str">
        <f>IF(OR(E95="",F95="",G95=""),"",IF(E95&lt;&gt;计划参数!$C$2,"",IF(F95="股票期权",IFERROR(LOOKUP(G95,计划参数!$D$12:$D$15,计划参数!$C$12:$C$15),""),IF(F95="限制性股票",计划参数!$C$10,""))))</f>
        <v/>
      </c>
      <c r="L95" s="15" t="str">
        <f>IF(AND(E95=计划参数!$C$2,F95="限制性股票",G95&gt;=计划参数!$D$9),计划参数!$C$9,"")</f>
        <v/>
      </c>
      <c r="M95" s="9"/>
      <c r="N95" s="14"/>
      <c r="O95" s="14"/>
      <c r="P95" s="13"/>
      <c r="Q95" s="9"/>
      <c r="R95" s="13"/>
      <c r="S95" s="15" t="str">
        <f t="shared" si="17"/>
        <v/>
      </c>
      <c r="T95" s="15" t="str">
        <f t="shared" si="18"/>
        <v/>
      </c>
      <c r="U95" s="15" t="str">
        <f t="shared" si="19"/>
        <v/>
      </c>
      <c r="V95" s="15" t="str">
        <f t="shared" si="20"/>
        <v/>
      </c>
      <c r="W95" s="16" t="str">
        <f>IF(V95="","",VLOOKUP(V95,税率及规则!$A$2:$C$8,2,TRUE))</f>
        <v/>
      </c>
      <c r="X95" s="15" t="str">
        <f>IF(V95="","",VLOOKUP(V95,税率及规则!$A$2:$C$8,3,TRUE))</f>
        <v/>
      </c>
      <c r="Y95" s="15" t="str">
        <f t="shared" si="21"/>
        <v/>
      </c>
      <c r="Z95" s="15" t="str">
        <f>IF(U95="","",MAX(0,U95*VLOOKUP(U95,税率及规则!$A$2:$C$8,2,TRUE)-VLOOKUP(U95,税率及规则!$A$2:$C$8,3,TRUE)))</f>
        <v/>
      </c>
      <c r="AA95" s="15" t="str">
        <f t="shared" si="22"/>
        <v/>
      </c>
      <c r="AB95" s="17" t="str">
        <f t="shared" si="23"/>
        <v/>
      </c>
      <c r="AC95" s="17" t="str">
        <f t="shared" si="24"/>
        <v/>
      </c>
      <c r="AD95" s="4" t="str">
        <f>IF(A95="","",IF(COUNTIF($A$2:$A$501,A95)&gt;1,"异常：事件编号重复",IF(OR(C95="",D95="",E95="",F95="",G95=""),"异常：必填项缺失",IF(AND(F95="其他股权激励",O95=""),"异常：其他股权激励所得缺失",IF(AND(F95&lt;&gt;"其他股权激励",OR(I95="",J95="")),"异常：数量或市场价缺失",IF(AND(F95&lt;&gt;"其他股权激励",OR(I95&lt;=0,J95&lt;0)),"异常：数量或价格无效",IF(AND(F95="限制性股票",OR(M95&lt;=0,N95&lt;0,I95&gt;M95)),"异常：个人获授或出资数据无效",IF(AND(IFERROR(INDEX(计划参数!$J$2:$J$501,MATCH(C95,计划参数!$I$2:$I$501,0)),"")&lt;&gt;"",D95&lt;&gt;IFERROR(INDEX(计划参数!$J$2:$J$501,MATCH(C95,计划参数!$I$2:$I$501,0)),"")),"异常：姓名与员工主数据不一致",IF(S95&lt;0,"异常：原始所得为负，已按0计税",IF(OR(AND(F95="股票期权",K95=""),AND(F95="限制性股票",OR(K95="",L95=""))),"异常：计划参数缺失",IF(COUNTIF(计划参数!$I$2:$I$501,C95)=0,"提示：员工编号未在主数据",IF(Q95&lt;&gt;"已备案","提示：未确认备案","正常"))))))))))))</f>
        <v/>
      </c>
      <c r="AE95" s="9"/>
      <c r="AF95" s="4" t="str">
        <f>IF(C95="","",IF(COUNTIF($C$2:C95,C95)=1,MAX($AF$1:AF94)+1,""))</f>
        <v/>
      </c>
      <c r="AG95" s="4" t="str">
        <f>IF(C95="","",COUNTIF($C$2:C95,C95))</f>
        <v/>
      </c>
      <c r="AH95" s="4" t="str">
        <f t="shared" si="25"/>
        <v/>
      </c>
      <c r="AI95" s="4" t="str">
        <f t="shared" si="26"/>
        <v/>
      </c>
      <c r="AJ95" s="4" t="str">
        <f t="shared" si="27"/>
        <v/>
      </c>
      <c r="AK95" s="15" t="str">
        <f>IF(A95="","",SUMIFS(分期缴税台账!$K$2:$K$501,分期缴税台账!$T$2:$T$501,A95,分期缴税台账!$Q$2:$Q$501,"有效"))</f>
        <v/>
      </c>
      <c r="AL95" s="15" t="str">
        <f t="shared" si="28"/>
        <v/>
      </c>
      <c r="AM95" s="4" t="str">
        <f t="shared" si="29"/>
        <v/>
      </c>
    </row>
    <row r="96" spans="1:39" x14ac:dyDescent="0.3">
      <c r="A96" s="9"/>
      <c r="B96" s="4" t="str">
        <f t="shared" si="15"/>
        <v/>
      </c>
      <c r="C96" s="9"/>
      <c r="D96" s="9"/>
      <c r="E96" s="9"/>
      <c r="F96" s="9"/>
      <c r="G96" s="13"/>
      <c r="H96" s="4" t="str">
        <f t="shared" si="16"/>
        <v/>
      </c>
      <c r="I96" s="9"/>
      <c r="J96" s="14"/>
      <c r="K96" s="15" t="str">
        <f>IF(OR(E96="",F96="",G96=""),"",IF(E96&lt;&gt;计划参数!$C$2,"",IF(F96="股票期权",IFERROR(LOOKUP(G96,计划参数!$D$12:$D$15,计划参数!$C$12:$C$15),""),IF(F96="限制性股票",计划参数!$C$10,""))))</f>
        <v/>
      </c>
      <c r="L96" s="15" t="str">
        <f>IF(AND(E96=计划参数!$C$2,F96="限制性股票",G96&gt;=计划参数!$D$9),计划参数!$C$9,"")</f>
        <v/>
      </c>
      <c r="M96" s="9"/>
      <c r="N96" s="14"/>
      <c r="O96" s="14"/>
      <c r="P96" s="13"/>
      <c r="Q96" s="9"/>
      <c r="R96" s="13"/>
      <c r="S96" s="15" t="str">
        <f t="shared" si="17"/>
        <v/>
      </c>
      <c r="T96" s="15" t="str">
        <f t="shared" si="18"/>
        <v/>
      </c>
      <c r="U96" s="15" t="str">
        <f t="shared" si="19"/>
        <v/>
      </c>
      <c r="V96" s="15" t="str">
        <f t="shared" si="20"/>
        <v/>
      </c>
      <c r="W96" s="16" t="str">
        <f>IF(V96="","",VLOOKUP(V96,税率及规则!$A$2:$C$8,2,TRUE))</f>
        <v/>
      </c>
      <c r="X96" s="15" t="str">
        <f>IF(V96="","",VLOOKUP(V96,税率及规则!$A$2:$C$8,3,TRUE))</f>
        <v/>
      </c>
      <c r="Y96" s="15" t="str">
        <f t="shared" si="21"/>
        <v/>
      </c>
      <c r="Z96" s="15" t="str">
        <f>IF(U96="","",MAX(0,U96*VLOOKUP(U96,税率及规则!$A$2:$C$8,2,TRUE)-VLOOKUP(U96,税率及规则!$A$2:$C$8,3,TRUE)))</f>
        <v/>
      </c>
      <c r="AA96" s="15" t="str">
        <f t="shared" si="22"/>
        <v/>
      </c>
      <c r="AB96" s="17" t="str">
        <f t="shared" si="23"/>
        <v/>
      </c>
      <c r="AC96" s="17" t="str">
        <f t="shared" si="24"/>
        <v/>
      </c>
      <c r="AD96" s="4" t="str">
        <f>IF(A96="","",IF(COUNTIF($A$2:$A$501,A96)&gt;1,"异常：事件编号重复",IF(OR(C96="",D96="",E96="",F96="",G96=""),"异常：必填项缺失",IF(AND(F96="其他股权激励",O96=""),"异常：其他股权激励所得缺失",IF(AND(F96&lt;&gt;"其他股权激励",OR(I96="",J96="")),"异常：数量或市场价缺失",IF(AND(F96&lt;&gt;"其他股权激励",OR(I96&lt;=0,J96&lt;0)),"异常：数量或价格无效",IF(AND(F96="限制性股票",OR(M96&lt;=0,N96&lt;0,I96&gt;M96)),"异常：个人获授或出资数据无效",IF(AND(IFERROR(INDEX(计划参数!$J$2:$J$501,MATCH(C96,计划参数!$I$2:$I$501,0)),"")&lt;&gt;"",D96&lt;&gt;IFERROR(INDEX(计划参数!$J$2:$J$501,MATCH(C96,计划参数!$I$2:$I$501,0)),"")),"异常：姓名与员工主数据不一致",IF(S96&lt;0,"异常：原始所得为负，已按0计税",IF(OR(AND(F96="股票期权",K96=""),AND(F96="限制性股票",OR(K96="",L96=""))),"异常：计划参数缺失",IF(COUNTIF(计划参数!$I$2:$I$501,C96)=0,"提示：员工编号未在主数据",IF(Q96&lt;&gt;"已备案","提示：未确认备案","正常"))))))))))))</f>
        <v/>
      </c>
      <c r="AE96" s="9"/>
      <c r="AF96" s="4" t="str">
        <f>IF(C96="","",IF(COUNTIF($C$2:C96,C96)=1,MAX($AF$1:AF95)+1,""))</f>
        <v/>
      </c>
      <c r="AG96" s="4" t="str">
        <f>IF(C96="","",COUNTIF($C$2:C96,C96))</f>
        <v/>
      </c>
      <c r="AH96" s="4" t="str">
        <f t="shared" si="25"/>
        <v/>
      </c>
      <c r="AI96" s="4" t="str">
        <f t="shared" si="26"/>
        <v/>
      </c>
      <c r="AJ96" s="4" t="str">
        <f t="shared" si="27"/>
        <v/>
      </c>
      <c r="AK96" s="15" t="str">
        <f>IF(A96="","",SUMIFS(分期缴税台账!$K$2:$K$501,分期缴税台账!$T$2:$T$501,A96,分期缴税台账!$Q$2:$Q$501,"有效"))</f>
        <v/>
      </c>
      <c r="AL96" s="15" t="str">
        <f t="shared" si="28"/>
        <v/>
      </c>
      <c r="AM96" s="4" t="str">
        <f t="shared" si="29"/>
        <v/>
      </c>
    </row>
    <row r="97" spans="1:39" x14ac:dyDescent="0.3">
      <c r="A97" s="9"/>
      <c r="B97" s="4" t="str">
        <f t="shared" si="15"/>
        <v/>
      </c>
      <c r="C97" s="9"/>
      <c r="D97" s="9"/>
      <c r="E97" s="9"/>
      <c r="F97" s="9"/>
      <c r="G97" s="13"/>
      <c r="H97" s="4" t="str">
        <f t="shared" si="16"/>
        <v/>
      </c>
      <c r="I97" s="9"/>
      <c r="J97" s="14"/>
      <c r="K97" s="15" t="str">
        <f>IF(OR(E97="",F97="",G97=""),"",IF(E97&lt;&gt;计划参数!$C$2,"",IF(F97="股票期权",IFERROR(LOOKUP(G97,计划参数!$D$12:$D$15,计划参数!$C$12:$C$15),""),IF(F97="限制性股票",计划参数!$C$10,""))))</f>
        <v/>
      </c>
      <c r="L97" s="15" t="str">
        <f>IF(AND(E97=计划参数!$C$2,F97="限制性股票",G97&gt;=计划参数!$D$9),计划参数!$C$9,"")</f>
        <v/>
      </c>
      <c r="M97" s="9"/>
      <c r="N97" s="14"/>
      <c r="O97" s="14"/>
      <c r="P97" s="13"/>
      <c r="Q97" s="9"/>
      <c r="R97" s="13"/>
      <c r="S97" s="15" t="str">
        <f t="shared" si="17"/>
        <v/>
      </c>
      <c r="T97" s="15" t="str">
        <f t="shared" si="18"/>
        <v/>
      </c>
      <c r="U97" s="15" t="str">
        <f t="shared" si="19"/>
        <v/>
      </c>
      <c r="V97" s="15" t="str">
        <f t="shared" si="20"/>
        <v/>
      </c>
      <c r="W97" s="16" t="str">
        <f>IF(V97="","",VLOOKUP(V97,税率及规则!$A$2:$C$8,2,TRUE))</f>
        <v/>
      </c>
      <c r="X97" s="15" t="str">
        <f>IF(V97="","",VLOOKUP(V97,税率及规则!$A$2:$C$8,3,TRUE))</f>
        <v/>
      </c>
      <c r="Y97" s="15" t="str">
        <f t="shared" si="21"/>
        <v/>
      </c>
      <c r="Z97" s="15" t="str">
        <f>IF(U97="","",MAX(0,U97*VLOOKUP(U97,税率及规则!$A$2:$C$8,2,TRUE)-VLOOKUP(U97,税率及规则!$A$2:$C$8,3,TRUE)))</f>
        <v/>
      </c>
      <c r="AA97" s="15" t="str">
        <f t="shared" si="22"/>
        <v/>
      </c>
      <c r="AB97" s="17" t="str">
        <f t="shared" si="23"/>
        <v/>
      </c>
      <c r="AC97" s="17" t="str">
        <f t="shared" si="24"/>
        <v/>
      </c>
      <c r="AD97" s="4" t="str">
        <f>IF(A97="","",IF(COUNTIF($A$2:$A$501,A97)&gt;1,"异常：事件编号重复",IF(OR(C97="",D97="",E97="",F97="",G97=""),"异常：必填项缺失",IF(AND(F97="其他股权激励",O97=""),"异常：其他股权激励所得缺失",IF(AND(F97&lt;&gt;"其他股权激励",OR(I97="",J97="")),"异常：数量或市场价缺失",IF(AND(F97&lt;&gt;"其他股权激励",OR(I97&lt;=0,J97&lt;0)),"异常：数量或价格无效",IF(AND(F97="限制性股票",OR(M97&lt;=0,N97&lt;0,I97&gt;M97)),"异常：个人获授或出资数据无效",IF(AND(IFERROR(INDEX(计划参数!$J$2:$J$501,MATCH(C97,计划参数!$I$2:$I$501,0)),"")&lt;&gt;"",D97&lt;&gt;IFERROR(INDEX(计划参数!$J$2:$J$501,MATCH(C97,计划参数!$I$2:$I$501,0)),"")),"异常：姓名与员工主数据不一致",IF(S97&lt;0,"异常：原始所得为负，已按0计税",IF(OR(AND(F97="股票期权",K97=""),AND(F97="限制性股票",OR(K97="",L97=""))),"异常：计划参数缺失",IF(COUNTIF(计划参数!$I$2:$I$501,C97)=0,"提示：员工编号未在主数据",IF(Q97&lt;&gt;"已备案","提示：未确认备案","正常"))))))))))))</f>
        <v/>
      </c>
      <c r="AE97" s="9"/>
      <c r="AF97" s="4" t="str">
        <f>IF(C97="","",IF(COUNTIF($C$2:C97,C97)=1,MAX($AF$1:AF96)+1,""))</f>
        <v/>
      </c>
      <c r="AG97" s="4" t="str">
        <f>IF(C97="","",COUNTIF($C$2:C97,C97))</f>
        <v/>
      </c>
      <c r="AH97" s="4" t="str">
        <f t="shared" si="25"/>
        <v/>
      </c>
      <c r="AI97" s="4" t="str">
        <f t="shared" si="26"/>
        <v/>
      </c>
      <c r="AJ97" s="4" t="str">
        <f t="shared" si="27"/>
        <v/>
      </c>
      <c r="AK97" s="15" t="str">
        <f>IF(A97="","",SUMIFS(分期缴税台账!$K$2:$K$501,分期缴税台账!$T$2:$T$501,A97,分期缴税台账!$Q$2:$Q$501,"有效"))</f>
        <v/>
      </c>
      <c r="AL97" s="15" t="str">
        <f t="shared" si="28"/>
        <v/>
      </c>
      <c r="AM97" s="4" t="str">
        <f t="shared" si="29"/>
        <v/>
      </c>
    </row>
    <row r="98" spans="1:39" x14ac:dyDescent="0.3">
      <c r="A98" s="9"/>
      <c r="B98" s="4" t="str">
        <f t="shared" si="15"/>
        <v/>
      </c>
      <c r="C98" s="9"/>
      <c r="D98" s="9"/>
      <c r="E98" s="9"/>
      <c r="F98" s="9"/>
      <c r="G98" s="13"/>
      <c r="H98" s="4" t="str">
        <f t="shared" si="16"/>
        <v/>
      </c>
      <c r="I98" s="9"/>
      <c r="J98" s="14"/>
      <c r="K98" s="15" t="str">
        <f>IF(OR(E98="",F98="",G98=""),"",IF(E98&lt;&gt;计划参数!$C$2,"",IF(F98="股票期权",IFERROR(LOOKUP(G98,计划参数!$D$12:$D$15,计划参数!$C$12:$C$15),""),IF(F98="限制性股票",计划参数!$C$10,""))))</f>
        <v/>
      </c>
      <c r="L98" s="15" t="str">
        <f>IF(AND(E98=计划参数!$C$2,F98="限制性股票",G98&gt;=计划参数!$D$9),计划参数!$C$9,"")</f>
        <v/>
      </c>
      <c r="M98" s="9"/>
      <c r="N98" s="14"/>
      <c r="O98" s="14"/>
      <c r="P98" s="13"/>
      <c r="Q98" s="9"/>
      <c r="R98" s="13"/>
      <c r="S98" s="15" t="str">
        <f t="shared" si="17"/>
        <v/>
      </c>
      <c r="T98" s="15" t="str">
        <f t="shared" si="18"/>
        <v/>
      </c>
      <c r="U98" s="15" t="str">
        <f t="shared" si="19"/>
        <v/>
      </c>
      <c r="V98" s="15" t="str">
        <f t="shared" si="20"/>
        <v/>
      </c>
      <c r="W98" s="16" t="str">
        <f>IF(V98="","",VLOOKUP(V98,税率及规则!$A$2:$C$8,2,TRUE))</f>
        <v/>
      </c>
      <c r="X98" s="15" t="str">
        <f>IF(V98="","",VLOOKUP(V98,税率及规则!$A$2:$C$8,3,TRUE))</f>
        <v/>
      </c>
      <c r="Y98" s="15" t="str">
        <f t="shared" si="21"/>
        <v/>
      </c>
      <c r="Z98" s="15" t="str">
        <f>IF(U98="","",MAX(0,U98*VLOOKUP(U98,税率及规则!$A$2:$C$8,2,TRUE)-VLOOKUP(U98,税率及规则!$A$2:$C$8,3,TRUE)))</f>
        <v/>
      </c>
      <c r="AA98" s="15" t="str">
        <f t="shared" si="22"/>
        <v/>
      </c>
      <c r="AB98" s="17" t="str">
        <f t="shared" si="23"/>
        <v/>
      </c>
      <c r="AC98" s="17" t="str">
        <f t="shared" si="24"/>
        <v/>
      </c>
      <c r="AD98" s="4" t="str">
        <f>IF(A98="","",IF(COUNTIF($A$2:$A$501,A98)&gt;1,"异常：事件编号重复",IF(OR(C98="",D98="",E98="",F98="",G98=""),"异常：必填项缺失",IF(AND(F98="其他股权激励",O98=""),"异常：其他股权激励所得缺失",IF(AND(F98&lt;&gt;"其他股权激励",OR(I98="",J98="")),"异常：数量或市场价缺失",IF(AND(F98&lt;&gt;"其他股权激励",OR(I98&lt;=0,J98&lt;0)),"异常：数量或价格无效",IF(AND(F98="限制性股票",OR(M98&lt;=0,N98&lt;0,I98&gt;M98)),"异常：个人获授或出资数据无效",IF(AND(IFERROR(INDEX(计划参数!$J$2:$J$501,MATCH(C98,计划参数!$I$2:$I$501,0)),"")&lt;&gt;"",D98&lt;&gt;IFERROR(INDEX(计划参数!$J$2:$J$501,MATCH(C98,计划参数!$I$2:$I$501,0)),"")),"异常：姓名与员工主数据不一致",IF(S98&lt;0,"异常：原始所得为负，已按0计税",IF(OR(AND(F98="股票期权",K98=""),AND(F98="限制性股票",OR(K98="",L98=""))),"异常：计划参数缺失",IF(COUNTIF(计划参数!$I$2:$I$501,C98)=0,"提示：员工编号未在主数据",IF(Q98&lt;&gt;"已备案","提示：未确认备案","正常"))))))))))))</f>
        <v/>
      </c>
      <c r="AE98" s="9"/>
      <c r="AF98" s="4" t="str">
        <f>IF(C98="","",IF(COUNTIF($C$2:C98,C98)=1,MAX($AF$1:AF97)+1,""))</f>
        <v/>
      </c>
      <c r="AG98" s="4" t="str">
        <f>IF(C98="","",COUNTIF($C$2:C98,C98))</f>
        <v/>
      </c>
      <c r="AH98" s="4" t="str">
        <f t="shared" si="25"/>
        <v/>
      </c>
      <c r="AI98" s="4" t="str">
        <f t="shared" si="26"/>
        <v/>
      </c>
      <c r="AJ98" s="4" t="str">
        <f t="shared" si="27"/>
        <v/>
      </c>
      <c r="AK98" s="15" t="str">
        <f>IF(A98="","",SUMIFS(分期缴税台账!$K$2:$K$501,分期缴税台账!$T$2:$T$501,A98,分期缴税台账!$Q$2:$Q$501,"有效"))</f>
        <v/>
      </c>
      <c r="AL98" s="15" t="str">
        <f t="shared" si="28"/>
        <v/>
      </c>
      <c r="AM98" s="4" t="str">
        <f t="shared" si="29"/>
        <v/>
      </c>
    </row>
    <row r="99" spans="1:39" x14ac:dyDescent="0.3">
      <c r="A99" s="9"/>
      <c r="B99" s="4" t="str">
        <f t="shared" si="15"/>
        <v/>
      </c>
      <c r="C99" s="9"/>
      <c r="D99" s="9"/>
      <c r="E99" s="9"/>
      <c r="F99" s="9"/>
      <c r="G99" s="13"/>
      <c r="H99" s="4" t="str">
        <f t="shared" si="16"/>
        <v/>
      </c>
      <c r="I99" s="9"/>
      <c r="J99" s="14"/>
      <c r="K99" s="15" t="str">
        <f>IF(OR(E99="",F99="",G99=""),"",IF(E99&lt;&gt;计划参数!$C$2,"",IF(F99="股票期权",IFERROR(LOOKUP(G99,计划参数!$D$12:$D$15,计划参数!$C$12:$C$15),""),IF(F99="限制性股票",计划参数!$C$10,""))))</f>
        <v/>
      </c>
      <c r="L99" s="15" t="str">
        <f>IF(AND(E99=计划参数!$C$2,F99="限制性股票",G99&gt;=计划参数!$D$9),计划参数!$C$9,"")</f>
        <v/>
      </c>
      <c r="M99" s="9"/>
      <c r="N99" s="14"/>
      <c r="O99" s="14"/>
      <c r="P99" s="13"/>
      <c r="Q99" s="9"/>
      <c r="R99" s="13"/>
      <c r="S99" s="15" t="str">
        <f t="shared" si="17"/>
        <v/>
      </c>
      <c r="T99" s="15" t="str">
        <f t="shared" si="18"/>
        <v/>
      </c>
      <c r="U99" s="15" t="str">
        <f t="shared" si="19"/>
        <v/>
      </c>
      <c r="V99" s="15" t="str">
        <f t="shared" si="20"/>
        <v/>
      </c>
      <c r="W99" s="16" t="str">
        <f>IF(V99="","",VLOOKUP(V99,税率及规则!$A$2:$C$8,2,TRUE))</f>
        <v/>
      </c>
      <c r="X99" s="15" t="str">
        <f>IF(V99="","",VLOOKUP(V99,税率及规则!$A$2:$C$8,3,TRUE))</f>
        <v/>
      </c>
      <c r="Y99" s="15" t="str">
        <f t="shared" si="21"/>
        <v/>
      </c>
      <c r="Z99" s="15" t="str">
        <f>IF(U99="","",MAX(0,U99*VLOOKUP(U99,税率及规则!$A$2:$C$8,2,TRUE)-VLOOKUP(U99,税率及规则!$A$2:$C$8,3,TRUE)))</f>
        <v/>
      </c>
      <c r="AA99" s="15" t="str">
        <f t="shared" si="22"/>
        <v/>
      </c>
      <c r="AB99" s="17" t="str">
        <f t="shared" si="23"/>
        <v/>
      </c>
      <c r="AC99" s="17" t="str">
        <f t="shared" si="24"/>
        <v/>
      </c>
      <c r="AD99" s="4" t="str">
        <f>IF(A99="","",IF(COUNTIF($A$2:$A$501,A99)&gt;1,"异常：事件编号重复",IF(OR(C99="",D99="",E99="",F99="",G99=""),"异常：必填项缺失",IF(AND(F99="其他股权激励",O99=""),"异常：其他股权激励所得缺失",IF(AND(F99&lt;&gt;"其他股权激励",OR(I99="",J99="")),"异常：数量或市场价缺失",IF(AND(F99&lt;&gt;"其他股权激励",OR(I99&lt;=0,J99&lt;0)),"异常：数量或价格无效",IF(AND(F99="限制性股票",OR(M99&lt;=0,N99&lt;0,I99&gt;M99)),"异常：个人获授或出资数据无效",IF(AND(IFERROR(INDEX(计划参数!$J$2:$J$501,MATCH(C99,计划参数!$I$2:$I$501,0)),"")&lt;&gt;"",D99&lt;&gt;IFERROR(INDEX(计划参数!$J$2:$J$501,MATCH(C99,计划参数!$I$2:$I$501,0)),"")),"异常：姓名与员工主数据不一致",IF(S99&lt;0,"异常：原始所得为负，已按0计税",IF(OR(AND(F99="股票期权",K99=""),AND(F99="限制性股票",OR(K99="",L99=""))),"异常：计划参数缺失",IF(COUNTIF(计划参数!$I$2:$I$501,C99)=0,"提示：员工编号未在主数据",IF(Q99&lt;&gt;"已备案","提示：未确认备案","正常"))))))))))))</f>
        <v/>
      </c>
      <c r="AE99" s="9"/>
      <c r="AF99" s="4" t="str">
        <f>IF(C99="","",IF(COUNTIF($C$2:C99,C99)=1,MAX($AF$1:AF98)+1,""))</f>
        <v/>
      </c>
      <c r="AG99" s="4" t="str">
        <f>IF(C99="","",COUNTIF($C$2:C99,C99))</f>
        <v/>
      </c>
      <c r="AH99" s="4" t="str">
        <f t="shared" si="25"/>
        <v/>
      </c>
      <c r="AI99" s="4" t="str">
        <f t="shared" si="26"/>
        <v/>
      </c>
      <c r="AJ99" s="4" t="str">
        <f t="shared" si="27"/>
        <v/>
      </c>
      <c r="AK99" s="15" t="str">
        <f>IF(A99="","",SUMIFS(分期缴税台账!$K$2:$K$501,分期缴税台账!$T$2:$T$501,A99,分期缴税台账!$Q$2:$Q$501,"有效"))</f>
        <v/>
      </c>
      <c r="AL99" s="15" t="str">
        <f t="shared" si="28"/>
        <v/>
      </c>
      <c r="AM99" s="4" t="str">
        <f t="shared" si="29"/>
        <v/>
      </c>
    </row>
    <row r="100" spans="1:39" x14ac:dyDescent="0.3">
      <c r="A100" s="9"/>
      <c r="B100" s="4" t="str">
        <f t="shared" si="15"/>
        <v/>
      </c>
      <c r="C100" s="9"/>
      <c r="D100" s="9"/>
      <c r="E100" s="9"/>
      <c r="F100" s="9"/>
      <c r="G100" s="13"/>
      <c r="H100" s="4" t="str">
        <f t="shared" si="16"/>
        <v/>
      </c>
      <c r="I100" s="9"/>
      <c r="J100" s="14"/>
      <c r="K100" s="15" t="str">
        <f>IF(OR(E100="",F100="",G100=""),"",IF(E100&lt;&gt;计划参数!$C$2,"",IF(F100="股票期权",IFERROR(LOOKUP(G100,计划参数!$D$12:$D$15,计划参数!$C$12:$C$15),""),IF(F100="限制性股票",计划参数!$C$10,""))))</f>
        <v/>
      </c>
      <c r="L100" s="15" t="str">
        <f>IF(AND(E100=计划参数!$C$2,F100="限制性股票",G100&gt;=计划参数!$D$9),计划参数!$C$9,"")</f>
        <v/>
      </c>
      <c r="M100" s="9"/>
      <c r="N100" s="14"/>
      <c r="O100" s="14"/>
      <c r="P100" s="13"/>
      <c r="Q100" s="9"/>
      <c r="R100" s="13"/>
      <c r="S100" s="15" t="str">
        <f t="shared" si="17"/>
        <v/>
      </c>
      <c r="T100" s="15" t="str">
        <f t="shared" si="18"/>
        <v/>
      </c>
      <c r="U100" s="15" t="str">
        <f t="shared" si="19"/>
        <v/>
      </c>
      <c r="V100" s="15" t="str">
        <f t="shared" si="20"/>
        <v/>
      </c>
      <c r="W100" s="16" t="str">
        <f>IF(V100="","",VLOOKUP(V100,税率及规则!$A$2:$C$8,2,TRUE))</f>
        <v/>
      </c>
      <c r="X100" s="15" t="str">
        <f>IF(V100="","",VLOOKUP(V100,税率及规则!$A$2:$C$8,3,TRUE))</f>
        <v/>
      </c>
      <c r="Y100" s="15" t="str">
        <f t="shared" si="21"/>
        <v/>
      </c>
      <c r="Z100" s="15" t="str">
        <f>IF(U100="","",MAX(0,U100*VLOOKUP(U100,税率及规则!$A$2:$C$8,2,TRUE)-VLOOKUP(U100,税率及规则!$A$2:$C$8,3,TRUE)))</f>
        <v/>
      </c>
      <c r="AA100" s="15" t="str">
        <f t="shared" si="22"/>
        <v/>
      </c>
      <c r="AB100" s="17" t="str">
        <f t="shared" si="23"/>
        <v/>
      </c>
      <c r="AC100" s="17" t="str">
        <f t="shared" si="24"/>
        <v/>
      </c>
      <c r="AD100" s="4" t="str">
        <f>IF(A100="","",IF(COUNTIF($A$2:$A$501,A100)&gt;1,"异常：事件编号重复",IF(OR(C100="",D100="",E100="",F100="",G100=""),"异常：必填项缺失",IF(AND(F100="其他股权激励",O100=""),"异常：其他股权激励所得缺失",IF(AND(F100&lt;&gt;"其他股权激励",OR(I100="",J100="")),"异常：数量或市场价缺失",IF(AND(F100&lt;&gt;"其他股权激励",OR(I100&lt;=0,J100&lt;0)),"异常：数量或价格无效",IF(AND(F100="限制性股票",OR(M100&lt;=0,N100&lt;0,I100&gt;M100)),"异常：个人获授或出资数据无效",IF(AND(IFERROR(INDEX(计划参数!$J$2:$J$501,MATCH(C100,计划参数!$I$2:$I$501,0)),"")&lt;&gt;"",D100&lt;&gt;IFERROR(INDEX(计划参数!$J$2:$J$501,MATCH(C100,计划参数!$I$2:$I$501,0)),"")),"异常：姓名与员工主数据不一致",IF(S100&lt;0,"异常：原始所得为负，已按0计税",IF(OR(AND(F100="股票期权",K100=""),AND(F100="限制性股票",OR(K100="",L100=""))),"异常：计划参数缺失",IF(COUNTIF(计划参数!$I$2:$I$501,C100)=0,"提示：员工编号未在主数据",IF(Q100&lt;&gt;"已备案","提示：未确认备案","正常"))))))))))))</f>
        <v/>
      </c>
      <c r="AE100" s="9"/>
      <c r="AF100" s="4" t="str">
        <f>IF(C100="","",IF(COUNTIF($C$2:C100,C100)=1,MAX($AF$1:AF99)+1,""))</f>
        <v/>
      </c>
      <c r="AG100" s="4" t="str">
        <f>IF(C100="","",COUNTIF($C$2:C100,C100))</f>
        <v/>
      </c>
      <c r="AH100" s="4" t="str">
        <f t="shared" si="25"/>
        <v/>
      </c>
      <c r="AI100" s="4" t="str">
        <f t="shared" si="26"/>
        <v/>
      </c>
      <c r="AJ100" s="4" t="str">
        <f t="shared" si="27"/>
        <v/>
      </c>
      <c r="AK100" s="15" t="str">
        <f>IF(A100="","",SUMIFS(分期缴税台账!$K$2:$K$501,分期缴税台账!$T$2:$T$501,A100,分期缴税台账!$Q$2:$Q$501,"有效"))</f>
        <v/>
      </c>
      <c r="AL100" s="15" t="str">
        <f t="shared" si="28"/>
        <v/>
      </c>
      <c r="AM100" s="4" t="str">
        <f t="shared" si="29"/>
        <v/>
      </c>
    </row>
    <row r="101" spans="1:39" x14ac:dyDescent="0.3">
      <c r="A101" s="9"/>
      <c r="B101" s="4" t="str">
        <f t="shared" si="15"/>
        <v/>
      </c>
      <c r="C101" s="9"/>
      <c r="D101" s="9"/>
      <c r="E101" s="9"/>
      <c r="F101" s="9"/>
      <c r="G101" s="13"/>
      <c r="H101" s="4" t="str">
        <f t="shared" si="16"/>
        <v/>
      </c>
      <c r="I101" s="9"/>
      <c r="J101" s="14"/>
      <c r="K101" s="15" t="str">
        <f>IF(OR(E101="",F101="",G101=""),"",IF(E101&lt;&gt;计划参数!$C$2,"",IF(F101="股票期权",IFERROR(LOOKUP(G101,计划参数!$D$12:$D$15,计划参数!$C$12:$C$15),""),IF(F101="限制性股票",计划参数!$C$10,""))))</f>
        <v/>
      </c>
      <c r="L101" s="15" t="str">
        <f>IF(AND(E101=计划参数!$C$2,F101="限制性股票",G101&gt;=计划参数!$D$9),计划参数!$C$9,"")</f>
        <v/>
      </c>
      <c r="M101" s="9"/>
      <c r="N101" s="14"/>
      <c r="O101" s="14"/>
      <c r="P101" s="13"/>
      <c r="Q101" s="9"/>
      <c r="R101" s="13"/>
      <c r="S101" s="15" t="str">
        <f t="shared" si="17"/>
        <v/>
      </c>
      <c r="T101" s="15" t="str">
        <f t="shared" si="18"/>
        <v/>
      </c>
      <c r="U101" s="15" t="str">
        <f t="shared" si="19"/>
        <v/>
      </c>
      <c r="V101" s="15" t="str">
        <f t="shared" si="20"/>
        <v/>
      </c>
      <c r="W101" s="16" t="str">
        <f>IF(V101="","",VLOOKUP(V101,税率及规则!$A$2:$C$8,2,TRUE))</f>
        <v/>
      </c>
      <c r="X101" s="15" t="str">
        <f>IF(V101="","",VLOOKUP(V101,税率及规则!$A$2:$C$8,3,TRUE))</f>
        <v/>
      </c>
      <c r="Y101" s="15" t="str">
        <f t="shared" si="21"/>
        <v/>
      </c>
      <c r="Z101" s="15" t="str">
        <f>IF(U101="","",MAX(0,U101*VLOOKUP(U101,税率及规则!$A$2:$C$8,2,TRUE)-VLOOKUP(U101,税率及规则!$A$2:$C$8,3,TRUE)))</f>
        <v/>
      </c>
      <c r="AA101" s="15" t="str">
        <f t="shared" si="22"/>
        <v/>
      </c>
      <c r="AB101" s="17" t="str">
        <f t="shared" si="23"/>
        <v/>
      </c>
      <c r="AC101" s="17" t="str">
        <f t="shared" si="24"/>
        <v/>
      </c>
      <c r="AD101" s="4" t="str">
        <f>IF(A101="","",IF(COUNTIF($A$2:$A$501,A101)&gt;1,"异常：事件编号重复",IF(OR(C101="",D101="",E101="",F101="",G101=""),"异常：必填项缺失",IF(AND(F101="其他股权激励",O101=""),"异常：其他股权激励所得缺失",IF(AND(F101&lt;&gt;"其他股权激励",OR(I101="",J101="")),"异常：数量或市场价缺失",IF(AND(F101&lt;&gt;"其他股权激励",OR(I101&lt;=0,J101&lt;0)),"异常：数量或价格无效",IF(AND(F101="限制性股票",OR(M101&lt;=0,N101&lt;0,I101&gt;M101)),"异常：个人获授或出资数据无效",IF(AND(IFERROR(INDEX(计划参数!$J$2:$J$501,MATCH(C101,计划参数!$I$2:$I$501,0)),"")&lt;&gt;"",D101&lt;&gt;IFERROR(INDEX(计划参数!$J$2:$J$501,MATCH(C101,计划参数!$I$2:$I$501,0)),"")),"异常：姓名与员工主数据不一致",IF(S101&lt;0,"异常：原始所得为负，已按0计税",IF(OR(AND(F101="股票期权",K101=""),AND(F101="限制性股票",OR(K101="",L101=""))),"异常：计划参数缺失",IF(COUNTIF(计划参数!$I$2:$I$501,C101)=0,"提示：员工编号未在主数据",IF(Q101&lt;&gt;"已备案","提示：未确认备案","正常"))))))))))))</f>
        <v/>
      </c>
      <c r="AE101" s="9"/>
      <c r="AF101" s="4" t="str">
        <f>IF(C101="","",IF(COUNTIF($C$2:C101,C101)=1,MAX($AF$1:AF100)+1,""))</f>
        <v/>
      </c>
      <c r="AG101" s="4" t="str">
        <f>IF(C101="","",COUNTIF($C$2:C101,C101))</f>
        <v/>
      </c>
      <c r="AH101" s="4" t="str">
        <f t="shared" si="25"/>
        <v/>
      </c>
      <c r="AI101" s="4" t="str">
        <f t="shared" si="26"/>
        <v/>
      </c>
      <c r="AJ101" s="4" t="str">
        <f t="shared" si="27"/>
        <v/>
      </c>
      <c r="AK101" s="15" t="str">
        <f>IF(A101="","",SUMIFS(分期缴税台账!$K$2:$K$501,分期缴税台账!$T$2:$T$501,A101,分期缴税台账!$Q$2:$Q$501,"有效"))</f>
        <v/>
      </c>
      <c r="AL101" s="15" t="str">
        <f t="shared" si="28"/>
        <v/>
      </c>
      <c r="AM101" s="4" t="str">
        <f t="shared" si="29"/>
        <v/>
      </c>
    </row>
    <row r="102" spans="1:39" x14ac:dyDescent="0.3">
      <c r="A102" s="9"/>
      <c r="B102" s="4" t="str">
        <f t="shared" si="15"/>
        <v/>
      </c>
      <c r="C102" s="9"/>
      <c r="D102" s="9"/>
      <c r="E102" s="9"/>
      <c r="F102" s="9"/>
      <c r="G102" s="13"/>
      <c r="H102" s="4" t="str">
        <f t="shared" si="16"/>
        <v/>
      </c>
      <c r="I102" s="9"/>
      <c r="J102" s="14"/>
      <c r="K102" s="15" t="str">
        <f>IF(OR(E102="",F102="",G102=""),"",IF(E102&lt;&gt;计划参数!$C$2,"",IF(F102="股票期权",IFERROR(LOOKUP(G102,计划参数!$D$12:$D$15,计划参数!$C$12:$C$15),""),IF(F102="限制性股票",计划参数!$C$10,""))))</f>
        <v/>
      </c>
      <c r="L102" s="15" t="str">
        <f>IF(AND(E102=计划参数!$C$2,F102="限制性股票",G102&gt;=计划参数!$D$9),计划参数!$C$9,"")</f>
        <v/>
      </c>
      <c r="M102" s="9"/>
      <c r="N102" s="14"/>
      <c r="O102" s="14"/>
      <c r="P102" s="13"/>
      <c r="Q102" s="9"/>
      <c r="R102" s="13"/>
      <c r="S102" s="15" t="str">
        <f t="shared" si="17"/>
        <v/>
      </c>
      <c r="T102" s="15" t="str">
        <f t="shared" si="18"/>
        <v/>
      </c>
      <c r="U102" s="15" t="str">
        <f t="shared" si="19"/>
        <v/>
      </c>
      <c r="V102" s="15" t="str">
        <f t="shared" si="20"/>
        <v/>
      </c>
      <c r="W102" s="16" t="str">
        <f>IF(V102="","",VLOOKUP(V102,税率及规则!$A$2:$C$8,2,TRUE))</f>
        <v/>
      </c>
      <c r="X102" s="15" t="str">
        <f>IF(V102="","",VLOOKUP(V102,税率及规则!$A$2:$C$8,3,TRUE))</f>
        <v/>
      </c>
      <c r="Y102" s="15" t="str">
        <f t="shared" si="21"/>
        <v/>
      </c>
      <c r="Z102" s="15" t="str">
        <f>IF(U102="","",MAX(0,U102*VLOOKUP(U102,税率及规则!$A$2:$C$8,2,TRUE)-VLOOKUP(U102,税率及规则!$A$2:$C$8,3,TRUE)))</f>
        <v/>
      </c>
      <c r="AA102" s="15" t="str">
        <f t="shared" si="22"/>
        <v/>
      </c>
      <c r="AB102" s="17" t="str">
        <f t="shared" si="23"/>
        <v/>
      </c>
      <c r="AC102" s="17" t="str">
        <f t="shared" si="24"/>
        <v/>
      </c>
      <c r="AD102" s="4" t="str">
        <f>IF(A102="","",IF(COUNTIF($A$2:$A$501,A102)&gt;1,"异常：事件编号重复",IF(OR(C102="",D102="",E102="",F102="",G102=""),"异常：必填项缺失",IF(AND(F102="其他股权激励",O102=""),"异常：其他股权激励所得缺失",IF(AND(F102&lt;&gt;"其他股权激励",OR(I102="",J102="")),"异常：数量或市场价缺失",IF(AND(F102&lt;&gt;"其他股权激励",OR(I102&lt;=0,J102&lt;0)),"异常：数量或价格无效",IF(AND(F102="限制性股票",OR(M102&lt;=0,N102&lt;0,I102&gt;M102)),"异常：个人获授或出资数据无效",IF(AND(IFERROR(INDEX(计划参数!$J$2:$J$501,MATCH(C102,计划参数!$I$2:$I$501,0)),"")&lt;&gt;"",D102&lt;&gt;IFERROR(INDEX(计划参数!$J$2:$J$501,MATCH(C102,计划参数!$I$2:$I$501,0)),"")),"异常：姓名与员工主数据不一致",IF(S102&lt;0,"异常：原始所得为负，已按0计税",IF(OR(AND(F102="股票期权",K102=""),AND(F102="限制性股票",OR(K102="",L102=""))),"异常：计划参数缺失",IF(COUNTIF(计划参数!$I$2:$I$501,C102)=0,"提示：员工编号未在主数据",IF(Q102&lt;&gt;"已备案","提示：未确认备案","正常"))))))))))))</f>
        <v/>
      </c>
      <c r="AE102" s="9"/>
      <c r="AF102" s="4" t="str">
        <f>IF(C102="","",IF(COUNTIF($C$2:C102,C102)=1,MAX($AF$1:AF101)+1,""))</f>
        <v/>
      </c>
      <c r="AG102" s="4" t="str">
        <f>IF(C102="","",COUNTIF($C$2:C102,C102))</f>
        <v/>
      </c>
      <c r="AH102" s="4" t="str">
        <f t="shared" si="25"/>
        <v/>
      </c>
      <c r="AI102" s="4" t="str">
        <f t="shared" si="26"/>
        <v/>
      </c>
      <c r="AJ102" s="4" t="str">
        <f t="shared" si="27"/>
        <v/>
      </c>
      <c r="AK102" s="15" t="str">
        <f>IF(A102="","",SUMIFS(分期缴税台账!$K$2:$K$501,分期缴税台账!$T$2:$T$501,A102,分期缴税台账!$Q$2:$Q$501,"有效"))</f>
        <v/>
      </c>
      <c r="AL102" s="15" t="str">
        <f t="shared" si="28"/>
        <v/>
      </c>
      <c r="AM102" s="4" t="str">
        <f t="shared" si="29"/>
        <v/>
      </c>
    </row>
    <row r="103" spans="1:39" x14ac:dyDescent="0.3">
      <c r="A103" s="9"/>
      <c r="B103" s="4" t="str">
        <f t="shared" si="15"/>
        <v/>
      </c>
      <c r="C103" s="9"/>
      <c r="D103" s="9"/>
      <c r="E103" s="9"/>
      <c r="F103" s="9"/>
      <c r="G103" s="13"/>
      <c r="H103" s="4" t="str">
        <f t="shared" si="16"/>
        <v/>
      </c>
      <c r="I103" s="9"/>
      <c r="J103" s="14"/>
      <c r="K103" s="15" t="str">
        <f>IF(OR(E103="",F103="",G103=""),"",IF(E103&lt;&gt;计划参数!$C$2,"",IF(F103="股票期权",IFERROR(LOOKUP(G103,计划参数!$D$12:$D$15,计划参数!$C$12:$C$15),""),IF(F103="限制性股票",计划参数!$C$10,""))))</f>
        <v/>
      </c>
      <c r="L103" s="15" t="str">
        <f>IF(AND(E103=计划参数!$C$2,F103="限制性股票",G103&gt;=计划参数!$D$9),计划参数!$C$9,"")</f>
        <v/>
      </c>
      <c r="M103" s="9"/>
      <c r="N103" s="14"/>
      <c r="O103" s="14"/>
      <c r="P103" s="13"/>
      <c r="Q103" s="9"/>
      <c r="R103" s="13"/>
      <c r="S103" s="15" t="str">
        <f t="shared" si="17"/>
        <v/>
      </c>
      <c r="T103" s="15" t="str">
        <f t="shared" si="18"/>
        <v/>
      </c>
      <c r="U103" s="15" t="str">
        <f t="shared" si="19"/>
        <v/>
      </c>
      <c r="V103" s="15" t="str">
        <f t="shared" si="20"/>
        <v/>
      </c>
      <c r="W103" s="16" t="str">
        <f>IF(V103="","",VLOOKUP(V103,税率及规则!$A$2:$C$8,2,TRUE))</f>
        <v/>
      </c>
      <c r="X103" s="15" t="str">
        <f>IF(V103="","",VLOOKUP(V103,税率及规则!$A$2:$C$8,3,TRUE))</f>
        <v/>
      </c>
      <c r="Y103" s="15" t="str">
        <f t="shared" si="21"/>
        <v/>
      </c>
      <c r="Z103" s="15" t="str">
        <f>IF(U103="","",MAX(0,U103*VLOOKUP(U103,税率及规则!$A$2:$C$8,2,TRUE)-VLOOKUP(U103,税率及规则!$A$2:$C$8,3,TRUE)))</f>
        <v/>
      </c>
      <c r="AA103" s="15" t="str">
        <f t="shared" si="22"/>
        <v/>
      </c>
      <c r="AB103" s="17" t="str">
        <f t="shared" si="23"/>
        <v/>
      </c>
      <c r="AC103" s="17" t="str">
        <f t="shared" si="24"/>
        <v/>
      </c>
      <c r="AD103" s="4" t="str">
        <f>IF(A103="","",IF(COUNTIF($A$2:$A$501,A103)&gt;1,"异常：事件编号重复",IF(OR(C103="",D103="",E103="",F103="",G103=""),"异常：必填项缺失",IF(AND(F103="其他股权激励",O103=""),"异常：其他股权激励所得缺失",IF(AND(F103&lt;&gt;"其他股权激励",OR(I103="",J103="")),"异常：数量或市场价缺失",IF(AND(F103&lt;&gt;"其他股权激励",OR(I103&lt;=0,J103&lt;0)),"异常：数量或价格无效",IF(AND(F103="限制性股票",OR(M103&lt;=0,N103&lt;0,I103&gt;M103)),"异常：个人获授或出资数据无效",IF(AND(IFERROR(INDEX(计划参数!$J$2:$J$501,MATCH(C103,计划参数!$I$2:$I$501,0)),"")&lt;&gt;"",D103&lt;&gt;IFERROR(INDEX(计划参数!$J$2:$J$501,MATCH(C103,计划参数!$I$2:$I$501,0)),"")),"异常：姓名与员工主数据不一致",IF(S103&lt;0,"异常：原始所得为负，已按0计税",IF(OR(AND(F103="股票期权",K103=""),AND(F103="限制性股票",OR(K103="",L103=""))),"异常：计划参数缺失",IF(COUNTIF(计划参数!$I$2:$I$501,C103)=0,"提示：员工编号未在主数据",IF(Q103&lt;&gt;"已备案","提示：未确认备案","正常"))))))))))))</f>
        <v/>
      </c>
      <c r="AE103" s="9"/>
      <c r="AF103" s="4" t="str">
        <f>IF(C103="","",IF(COUNTIF($C$2:C103,C103)=1,MAX($AF$1:AF102)+1,""))</f>
        <v/>
      </c>
      <c r="AG103" s="4" t="str">
        <f>IF(C103="","",COUNTIF($C$2:C103,C103))</f>
        <v/>
      </c>
      <c r="AH103" s="4" t="str">
        <f t="shared" si="25"/>
        <v/>
      </c>
      <c r="AI103" s="4" t="str">
        <f t="shared" si="26"/>
        <v/>
      </c>
      <c r="AJ103" s="4" t="str">
        <f t="shared" si="27"/>
        <v/>
      </c>
      <c r="AK103" s="15" t="str">
        <f>IF(A103="","",SUMIFS(分期缴税台账!$K$2:$K$501,分期缴税台账!$T$2:$T$501,A103,分期缴税台账!$Q$2:$Q$501,"有效"))</f>
        <v/>
      </c>
      <c r="AL103" s="15" t="str">
        <f t="shared" si="28"/>
        <v/>
      </c>
      <c r="AM103" s="4" t="str">
        <f t="shared" si="29"/>
        <v/>
      </c>
    </row>
    <row r="104" spans="1:39" x14ac:dyDescent="0.3">
      <c r="A104" s="9"/>
      <c r="B104" s="4" t="str">
        <f t="shared" si="15"/>
        <v/>
      </c>
      <c r="C104" s="9"/>
      <c r="D104" s="9"/>
      <c r="E104" s="9"/>
      <c r="F104" s="9"/>
      <c r="G104" s="13"/>
      <c r="H104" s="4" t="str">
        <f t="shared" si="16"/>
        <v/>
      </c>
      <c r="I104" s="9"/>
      <c r="J104" s="14"/>
      <c r="K104" s="15" t="str">
        <f>IF(OR(E104="",F104="",G104=""),"",IF(E104&lt;&gt;计划参数!$C$2,"",IF(F104="股票期权",IFERROR(LOOKUP(G104,计划参数!$D$12:$D$15,计划参数!$C$12:$C$15),""),IF(F104="限制性股票",计划参数!$C$10,""))))</f>
        <v/>
      </c>
      <c r="L104" s="15" t="str">
        <f>IF(AND(E104=计划参数!$C$2,F104="限制性股票",G104&gt;=计划参数!$D$9),计划参数!$C$9,"")</f>
        <v/>
      </c>
      <c r="M104" s="9"/>
      <c r="N104" s="14"/>
      <c r="O104" s="14"/>
      <c r="P104" s="13"/>
      <c r="Q104" s="9"/>
      <c r="R104" s="13"/>
      <c r="S104" s="15" t="str">
        <f t="shared" si="17"/>
        <v/>
      </c>
      <c r="T104" s="15" t="str">
        <f t="shared" si="18"/>
        <v/>
      </c>
      <c r="U104" s="15" t="str">
        <f t="shared" si="19"/>
        <v/>
      </c>
      <c r="V104" s="15" t="str">
        <f t="shared" si="20"/>
        <v/>
      </c>
      <c r="W104" s="16" t="str">
        <f>IF(V104="","",VLOOKUP(V104,税率及规则!$A$2:$C$8,2,TRUE))</f>
        <v/>
      </c>
      <c r="X104" s="15" t="str">
        <f>IF(V104="","",VLOOKUP(V104,税率及规则!$A$2:$C$8,3,TRUE))</f>
        <v/>
      </c>
      <c r="Y104" s="15" t="str">
        <f t="shared" si="21"/>
        <v/>
      </c>
      <c r="Z104" s="15" t="str">
        <f>IF(U104="","",MAX(0,U104*VLOOKUP(U104,税率及规则!$A$2:$C$8,2,TRUE)-VLOOKUP(U104,税率及规则!$A$2:$C$8,3,TRUE)))</f>
        <v/>
      </c>
      <c r="AA104" s="15" t="str">
        <f t="shared" si="22"/>
        <v/>
      </c>
      <c r="AB104" s="17" t="str">
        <f t="shared" si="23"/>
        <v/>
      </c>
      <c r="AC104" s="17" t="str">
        <f t="shared" si="24"/>
        <v/>
      </c>
      <c r="AD104" s="4" t="str">
        <f>IF(A104="","",IF(COUNTIF($A$2:$A$501,A104)&gt;1,"异常：事件编号重复",IF(OR(C104="",D104="",E104="",F104="",G104=""),"异常：必填项缺失",IF(AND(F104="其他股权激励",O104=""),"异常：其他股权激励所得缺失",IF(AND(F104&lt;&gt;"其他股权激励",OR(I104="",J104="")),"异常：数量或市场价缺失",IF(AND(F104&lt;&gt;"其他股权激励",OR(I104&lt;=0,J104&lt;0)),"异常：数量或价格无效",IF(AND(F104="限制性股票",OR(M104&lt;=0,N104&lt;0,I104&gt;M104)),"异常：个人获授或出资数据无效",IF(AND(IFERROR(INDEX(计划参数!$J$2:$J$501,MATCH(C104,计划参数!$I$2:$I$501,0)),"")&lt;&gt;"",D104&lt;&gt;IFERROR(INDEX(计划参数!$J$2:$J$501,MATCH(C104,计划参数!$I$2:$I$501,0)),"")),"异常：姓名与员工主数据不一致",IF(S104&lt;0,"异常：原始所得为负，已按0计税",IF(OR(AND(F104="股票期权",K104=""),AND(F104="限制性股票",OR(K104="",L104=""))),"异常：计划参数缺失",IF(COUNTIF(计划参数!$I$2:$I$501,C104)=0,"提示：员工编号未在主数据",IF(Q104&lt;&gt;"已备案","提示：未确认备案","正常"))))))))))))</f>
        <v/>
      </c>
      <c r="AE104" s="9"/>
      <c r="AF104" s="4" t="str">
        <f>IF(C104="","",IF(COUNTIF($C$2:C104,C104)=1,MAX($AF$1:AF103)+1,""))</f>
        <v/>
      </c>
      <c r="AG104" s="4" t="str">
        <f>IF(C104="","",COUNTIF($C$2:C104,C104))</f>
        <v/>
      </c>
      <c r="AH104" s="4" t="str">
        <f t="shared" si="25"/>
        <v/>
      </c>
      <c r="AI104" s="4" t="str">
        <f t="shared" si="26"/>
        <v/>
      </c>
      <c r="AJ104" s="4" t="str">
        <f t="shared" si="27"/>
        <v/>
      </c>
      <c r="AK104" s="15" t="str">
        <f>IF(A104="","",SUMIFS(分期缴税台账!$K$2:$K$501,分期缴税台账!$T$2:$T$501,A104,分期缴税台账!$Q$2:$Q$501,"有效"))</f>
        <v/>
      </c>
      <c r="AL104" s="15" t="str">
        <f t="shared" si="28"/>
        <v/>
      </c>
      <c r="AM104" s="4" t="str">
        <f t="shared" si="29"/>
        <v/>
      </c>
    </row>
    <row r="105" spans="1:39" x14ac:dyDescent="0.3">
      <c r="A105" s="9"/>
      <c r="B105" s="4" t="str">
        <f t="shared" si="15"/>
        <v/>
      </c>
      <c r="C105" s="9"/>
      <c r="D105" s="9"/>
      <c r="E105" s="9"/>
      <c r="F105" s="9"/>
      <c r="G105" s="13"/>
      <c r="H105" s="4" t="str">
        <f t="shared" si="16"/>
        <v/>
      </c>
      <c r="I105" s="9"/>
      <c r="J105" s="14"/>
      <c r="K105" s="15" t="str">
        <f>IF(OR(E105="",F105="",G105=""),"",IF(E105&lt;&gt;计划参数!$C$2,"",IF(F105="股票期权",IFERROR(LOOKUP(G105,计划参数!$D$12:$D$15,计划参数!$C$12:$C$15),""),IF(F105="限制性股票",计划参数!$C$10,""))))</f>
        <v/>
      </c>
      <c r="L105" s="15" t="str">
        <f>IF(AND(E105=计划参数!$C$2,F105="限制性股票",G105&gt;=计划参数!$D$9),计划参数!$C$9,"")</f>
        <v/>
      </c>
      <c r="M105" s="9"/>
      <c r="N105" s="14"/>
      <c r="O105" s="14"/>
      <c r="P105" s="13"/>
      <c r="Q105" s="9"/>
      <c r="R105" s="13"/>
      <c r="S105" s="15" t="str">
        <f t="shared" si="17"/>
        <v/>
      </c>
      <c r="T105" s="15" t="str">
        <f t="shared" si="18"/>
        <v/>
      </c>
      <c r="U105" s="15" t="str">
        <f t="shared" si="19"/>
        <v/>
      </c>
      <c r="V105" s="15" t="str">
        <f t="shared" si="20"/>
        <v/>
      </c>
      <c r="W105" s="16" t="str">
        <f>IF(V105="","",VLOOKUP(V105,税率及规则!$A$2:$C$8,2,TRUE))</f>
        <v/>
      </c>
      <c r="X105" s="15" t="str">
        <f>IF(V105="","",VLOOKUP(V105,税率及规则!$A$2:$C$8,3,TRUE))</f>
        <v/>
      </c>
      <c r="Y105" s="15" t="str">
        <f t="shared" si="21"/>
        <v/>
      </c>
      <c r="Z105" s="15" t="str">
        <f>IF(U105="","",MAX(0,U105*VLOOKUP(U105,税率及规则!$A$2:$C$8,2,TRUE)-VLOOKUP(U105,税率及规则!$A$2:$C$8,3,TRUE)))</f>
        <v/>
      </c>
      <c r="AA105" s="15" t="str">
        <f t="shared" si="22"/>
        <v/>
      </c>
      <c r="AB105" s="17" t="str">
        <f t="shared" si="23"/>
        <v/>
      </c>
      <c r="AC105" s="17" t="str">
        <f t="shared" si="24"/>
        <v/>
      </c>
      <c r="AD105" s="4" t="str">
        <f>IF(A105="","",IF(COUNTIF($A$2:$A$501,A105)&gt;1,"异常：事件编号重复",IF(OR(C105="",D105="",E105="",F105="",G105=""),"异常：必填项缺失",IF(AND(F105="其他股权激励",O105=""),"异常：其他股权激励所得缺失",IF(AND(F105&lt;&gt;"其他股权激励",OR(I105="",J105="")),"异常：数量或市场价缺失",IF(AND(F105&lt;&gt;"其他股权激励",OR(I105&lt;=0,J105&lt;0)),"异常：数量或价格无效",IF(AND(F105="限制性股票",OR(M105&lt;=0,N105&lt;0,I105&gt;M105)),"异常：个人获授或出资数据无效",IF(AND(IFERROR(INDEX(计划参数!$J$2:$J$501,MATCH(C105,计划参数!$I$2:$I$501,0)),"")&lt;&gt;"",D105&lt;&gt;IFERROR(INDEX(计划参数!$J$2:$J$501,MATCH(C105,计划参数!$I$2:$I$501,0)),"")),"异常：姓名与员工主数据不一致",IF(S105&lt;0,"异常：原始所得为负，已按0计税",IF(OR(AND(F105="股票期权",K105=""),AND(F105="限制性股票",OR(K105="",L105=""))),"异常：计划参数缺失",IF(COUNTIF(计划参数!$I$2:$I$501,C105)=0,"提示：员工编号未在主数据",IF(Q105&lt;&gt;"已备案","提示：未确认备案","正常"))))))))))))</f>
        <v/>
      </c>
      <c r="AE105" s="9"/>
      <c r="AF105" s="4" t="str">
        <f>IF(C105="","",IF(COUNTIF($C$2:C105,C105)=1,MAX($AF$1:AF104)+1,""))</f>
        <v/>
      </c>
      <c r="AG105" s="4" t="str">
        <f>IF(C105="","",COUNTIF($C$2:C105,C105))</f>
        <v/>
      </c>
      <c r="AH105" s="4" t="str">
        <f t="shared" si="25"/>
        <v/>
      </c>
      <c r="AI105" s="4" t="str">
        <f t="shared" si="26"/>
        <v/>
      </c>
      <c r="AJ105" s="4" t="str">
        <f t="shared" si="27"/>
        <v/>
      </c>
      <c r="AK105" s="15" t="str">
        <f>IF(A105="","",SUMIFS(分期缴税台账!$K$2:$K$501,分期缴税台账!$T$2:$T$501,A105,分期缴税台账!$Q$2:$Q$501,"有效"))</f>
        <v/>
      </c>
      <c r="AL105" s="15" t="str">
        <f t="shared" si="28"/>
        <v/>
      </c>
      <c r="AM105" s="4" t="str">
        <f t="shared" si="29"/>
        <v/>
      </c>
    </row>
    <row r="106" spans="1:39" x14ac:dyDescent="0.3">
      <c r="A106" s="9"/>
      <c r="B106" s="4" t="str">
        <f t="shared" si="15"/>
        <v/>
      </c>
      <c r="C106" s="9"/>
      <c r="D106" s="9"/>
      <c r="E106" s="9"/>
      <c r="F106" s="9"/>
      <c r="G106" s="13"/>
      <c r="H106" s="4" t="str">
        <f t="shared" si="16"/>
        <v/>
      </c>
      <c r="I106" s="9"/>
      <c r="J106" s="14"/>
      <c r="K106" s="15" t="str">
        <f>IF(OR(E106="",F106="",G106=""),"",IF(E106&lt;&gt;计划参数!$C$2,"",IF(F106="股票期权",IFERROR(LOOKUP(G106,计划参数!$D$12:$D$15,计划参数!$C$12:$C$15),""),IF(F106="限制性股票",计划参数!$C$10,""))))</f>
        <v/>
      </c>
      <c r="L106" s="15" t="str">
        <f>IF(AND(E106=计划参数!$C$2,F106="限制性股票",G106&gt;=计划参数!$D$9),计划参数!$C$9,"")</f>
        <v/>
      </c>
      <c r="M106" s="9"/>
      <c r="N106" s="14"/>
      <c r="O106" s="14"/>
      <c r="P106" s="13"/>
      <c r="Q106" s="9"/>
      <c r="R106" s="13"/>
      <c r="S106" s="15" t="str">
        <f t="shared" si="17"/>
        <v/>
      </c>
      <c r="T106" s="15" t="str">
        <f t="shared" si="18"/>
        <v/>
      </c>
      <c r="U106" s="15" t="str">
        <f t="shared" si="19"/>
        <v/>
      </c>
      <c r="V106" s="15" t="str">
        <f t="shared" si="20"/>
        <v/>
      </c>
      <c r="W106" s="16" t="str">
        <f>IF(V106="","",VLOOKUP(V106,税率及规则!$A$2:$C$8,2,TRUE))</f>
        <v/>
      </c>
      <c r="X106" s="15" t="str">
        <f>IF(V106="","",VLOOKUP(V106,税率及规则!$A$2:$C$8,3,TRUE))</f>
        <v/>
      </c>
      <c r="Y106" s="15" t="str">
        <f t="shared" si="21"/>
        <v/>
      </c>
      <c r="Z106" s="15" t="str">
        <f>IF(U106="","",MAX(0,U106*VLOOKUP(U106,税率及规则!$A$2:$C$8,2,TRUE)-VLOOKUP(U106,税率及规则!$A$2:$C$8,3,TRUE)))</f>
        <v/>
      </c>
      <c r="AA106" s="15" t="str">
        <f t="shared" si="22"/>
        <v/>
      </c>
      <c r="AB106" s="17" t="str">
        <f t="shared" si="23"/>
        <v/>
      </c>
      <c r="AC106" s="17" t="str">
        <f t="shared" si="24"/>
        <v/>
      </c>
      <c r="AD106" s="4" t="str">
        <f>IF(A106="","",IF(COUNTIF($A$2:$A$501,A106)&gt;1,"异常：事件编号重复",IF(OR(C106="",D106="",E106="",F106="",G106=""),"异常：必填项缺失",IF(AND(F106="其他股权激励",O106=""),"异常：其他股权激励所得缺失",IF(AND(F106&lt;&gt;"其他股权激励",OR(I106="",J106="")),"异常：数量或市场价缺失",IF(AND(F106&lt;&gt;"其他股权激励",OR(I106&lt;=0,J106&lt;0)),"异常：数量或价格无效",IF(AND(F106="限制性股票",OR(M106&lt;=0,N106&lt;0,I106&gt;M106)),"异常：个人获授或出资数据无效",IF(AND(IFERROR(INDEX(计划参数!$J$2:$J$501,MATCH(C106,计划参数!$I$2:$I$501,0)),"")&lt;&gt;"",D106&lt;&gt;IFERROR(INDEX(计划参数!$J$2:$J$501,MATCH(C106,计划参数!$I$2:$I$501,0)),"")),"异常：姓名与员工主数据不一致",IF(S106&lt;0,"异常：原始所得为负，已按0计税",IF(OR(AND(F106="股票期权",K106=""),AND(F106="限制性股票",OR(K106="",L106=""))),"异常：计划参数缺失",IF(COUNTIF(计划参数!$I$2:$I$501,C106)=0,"提示：员工编号未在主数据",IF(Q106&lt;&gt;"已备案","提示：未确认备案","正常"))))))))))))</f>
        <v/>
      </c>
      <c r="AE106" s="9"/>
      <c r="AF106" s="4" t="str">
        <f>IF(C106="","",IF(COUNTIF($C$2:C106,C106)=1,MAX($AF$1:AF105)+1,""))</f>
        <v/>
      </c>
      <c r="AG106" s="4" t="str">
        <f>IF(C106="","",COUNTIF($C$2:C106,C106))</f>
        <v/>
      </c>
      <c r="AH106" s="4" t="str">
        <f t="shared" si="25"/>
        <v/>
      </c>
      <c r="AI106" s="4" t="str">
        <f t="shared" si="26"/>
        <v/>
      </c>
      <c r="AJ106" s="4" t="str">
        <f t="shared" si="27"/>
        <v/>
      </c>
      <c r="AK106" s="15" t="str">
        <f>IF(A106="","",SUMIFS(分期缴税台账!$K$2:$K$501,分期缴税台账!$T$2:$T$501,A106,分期缴税台账!$Q$2:$Q$501,"有效"))</f>
        <v/>
      </c>
      <c r="AL106" s="15" t="str">
        <f t="shared" si="28"/>
        <v/>
      </c>
      <c r="AM106" s="4" t="str">
        <f t="shared" si="29"/>
        <v/>
      </c>
    </row>
    <row r="107" spans="1:39" x14ac:dyDescent="0.3">
      <c r="A107" s="9"/>
      <c r="B107" s="4" t="str">
        <f t="shared" si="15"/>
        <v/>
      </c>
      <c r="C107" s="9"/>
      <c r="D107" s="9"/>
      <c r="E107" s="9"/>
      <c r="F107" s="9"/>
      <c r="G107" s="13"/>
      <c r="H107" s="4" t="str">
        <f t="shared" si="16"/>
        <v/>
      </c>
      <c r="I107" s="9"/>
      <c r="J107" s="14"/>
      <c r="K107" s="15" t="str">
        <f>IF(OR(E107="",F107="",G107=""),"",IF(E107&lt;&gt;计划参数!$C$2,"",IF(F107="股票期权",IFERROR(LOOKUP(G107,计划参数!$D$12:$D$15,计划参数!$C$12:$C$15),""),IF(F107="限制性股票",计划参数!$C$10,""))))</f>
        <v/>
      </c>
      <c r="L107" s="15" t="str">
        <f>IF(AND(E107=计划参数!$C$2,F107="限制性股票",G107&gt;=计划参数!$D$9),计划参数!$C$9,"")</f>
        <v/>
      </c>
      <c r="M107" s="9"/>
      <c r="N107" s="14"/>
      <c r="O107" s="14"/>
      <c r="P107" s="13"/>
      <c r="Q107" s="9"/>
      <c r="R107" s="13"/>
      <c r="S107" s="15" t="str">
        <f t="shared" si="17"/>
        <v/>
      </c>
      <c r="T107" s="15" t="str">
        <f t="shared" si="18"/>
        <v/>
      </c>
      <c r="U107" s="15" t="str">
        <f t="shared" si="19"/>
        <v/>
      </c>
      <c r="V107" s="15" t="str">
        <f t="shared" si="20"/>
        <v/>
      </c>
      <c r="W107" s="16" t="str">
        <f>IF(V107="","",VLOOKUP(V107,税率及规则!$A$2:$C$8,2,TRUE))</f>
        <v/>
      </c>
      <c r="X107" s="15" t="str">
        <f>IF(V107="","",VLOOKUP(V107,税率及规则!$A$2:$C$8,3,TRUE))</f>
        <v/>
      </c>
      <c r="Y107" s="15" t="str">
        <f t="shared" si="21"/>
        <v/>
      </c>
      <c r="Z107" s="15" t="str">
        <f>IF(U107="","",MAX(0,U107*VLOOKUP(U107,税率及规则!$A$2:$C$8,2,TRUE)-VLOOKUP(U107,税率及规则!$A$2:$C$8,3,TRUE)))</f>
        <v/>
      </c>
      <c r="AA107" s="15" t="str">
        <f t="shared" si="22"/>
        <v/>
      </c>
      <c r="AB107" s="17" t="str">
        <f t="shared" si="23"/>
        <v/>
      </c>
      <c r="AC107" s="17" t="str">
        <f t="shared" si="24"/>
        <v/>
      </c>
      <c r="AD107" s="4" t="str">
        <f>IF(A107="","",IF(COUNTIF($A$2:$A$501,A107)&gt;1,"异常：事件编号重复",IF(OR(C107="",D107="",E107="",F107="",G107=""),"异常：必填项缺失",IF(AND(F107="其他股权激励",O107=""),"异常：其他股权激励所得缺失",IF(AND(F107&lt;&gt;"其他股权激励",OR(I107="",J107="")),"异常：数量或市场价缺失",IF(AND(F107&lt;&gt;"其他股权激励",OR(I107&lt;=0,J107&lt;0)),"异常：数量或价格无效",IF(AND(F107="限制性股票",OR(M107&lt;=0,N107&lt;0,I107&gt;M107)),"异常：个人获授或出资数据无效",IF(AND(IFERROR(INDEX(计划参数!$J$2:$J$501,MATCH(C107,计划参数!$I$2:$I$501,0)),"")&lt;&gt;"",D107&lt;&gt;IFERROR(INDEX(计划参数!$J$2:$J$501,MATCH(C107,计划参数!$I$2:$I$501,0)),"")),"异常：姓名与员工主数据不一致",IF(S107&lt;0,"异常：原始所得为负，已按0计税",IF(OR(AND(F107="股票期权",K107=""),AND(F107="限制性股票",OR(K107="",L107=""))),"异常：计划参数缺失",IF(COUNTIF(计划参数!$I$2:$I$501,C107)=0,"提示：员工编号未在主数据",IF(Q107&lt;&gt;"已备案","提示：未确认备案","正常"))))))))))))</f>
        <v/>
      </c>
      <c r="AE107" s="9"/>
      <c r="AF107" s="4" t="str">
        <f>IF(C107="","",IF(COUNTIF($C$2:C107,C107)=1,MAX($AF$1:AF106)+1,""))</f>
        <v/>
      </c>
      <c r="AG107" s="4" t="str">
        <f>IF(C107="","",COUNTIF($C$2:C107,C107))</f>
        <v/>
      </c>
      <c r="AH107" s="4" t="str">
        <f t="shared" si="25"/>
        <v/>
      </c>
      <c r="AI107" s="4" t="str">
        <f t="shared" si="26"/>
        <v/>
      </c>
      <c r="AJ107" s="4" t="str">
        <f t="shared" si="27"/>
        <v/>
      </c>
      <c r="AK107" s="15" t="str">
        <f>IF(A107="","",SUMIFS(分期缴税台账!$K$2:$K$501,分期缴税台账!$T$2:$T$501,A107,分期缴税台账!$Q$2:$Q$501,"有效"))</f>
        <v/>
      </c>
      <c r="AL107" s="15" t="str">
        <f t="shared" si="28"/>
        <v/>
      </c>
      <c r="AM107" s="4" t="str">
        <f t="shared" si="29"/>
        <v/>
      </c>
    </row>
    <row r="108" spans="1:39" x14ac:dyDescent="0.3">
      <c r="A108" s="9"/>
      <c r="B108" s="4" t="str">
        <f t="shared" si="15"/>
        <v/>
      </c>
      <c r="C108" s="9"/>
      <c r="D108" s="9"/>
      <c r="E108" s="9"/>
      <c r="F108" s="9"/>
      <c r="G108" s="13"/>
      <c r="H108" s="4" t="str">
        <f t="shared" si="16"/>
        <v/>
      </c>
      <c r="I108" s="9"/>
      <c r="J108" s="14"/>
      <c r="K108" s="15" t="str">
        <f>IF(OR(E108="",F108="",G108=""),"",IF(E108&lt;&gt;计划参数!$C$2,"",IF(F108="股票期权",IFERROR(LOOKUP(G108,计划参数!$D$12:$D$15,计划参数!$C$12:$C$15),""),IF(F108="限制性股票",计划参数!$C$10,""))))</f>
        <v/>
      </c>
      <c r="L108" s="15" t="str">
        <f>IF(AND(E108=计划参数!$C$2,F108="限制性股票",G108&gt;=计划参数!$D$9),计划参数!$C$9,"")</f>
        <v/>
      </c>
      <c r="M108" s="9"/>
      <c r="N108" s="14"/>
      <c r="O108" s="14"/>
      <c r="P108" s="13"/>
      <c r="Q108" s="9"/>
      <c r="R108" s="13"/>
      <c r="S108" s="15" t="str">
        <f t="shared" si="17"/>
        <v/>
      </c>
      <c r="T108" s="15" t="str">
        <f t="shared" si="18"/>
        <v/>
      </c>
      <c r="U108" s="15" t="str">
        <f t="shared" si="19"/>
        <v/>
      </c>
      <c r="V108" s="15" t="str">
        <f t="shared" si="20"/>
        <v/>
      </c>
      <c r="W108" s="16" t="str">
        <f>IF(V108="","",VLOOKUP(V108,税率及规则!$A$2:$C$8,2,TRUE))</f>
        <v/>
      </c>
      <c r="X108" s="15" t="str">
        <f>IF(V108="","",VLOOKUP(V108,税率及规则!$A$2:$C$8,3,TRUE))</f>
        <v/>
      </c>
      <c r="Y108" s="15" t="str">
        <f t="shared" si="21"/>
        <v/>
      </c>
      <c r="Z108" s="15" t="str">
        <f>IF(U108="","",MAX(0,U108*VLOOKUP(U108,税率及规则!$A$2:$C$8,2,TRUE)-VLOOKUP(U108,税率及规则!$A$2:$C$8,3,TRUE)))</f>
        <v/>
      </c>
      <c r="AA108" s="15" t="str">
        <f t="shared" si="22"/>
        <v/>
      </c>
      <c r="AB108" s="17" t="str">
        <f t="shared" si="23"/>
        <v/>
      </c>
      <c r="AC108" s="17" t="str">
        <f t="shared" si="24"/>
        <v/>
      </c>
      <c r="AD108" s="4" t="str">
        <f>IF(A108="","",IF(COUNTIF($A$2:$A$501,A108)&gt;1,"异常：事件编号重复",IF(OR(C108="",D108="",E108="",F108="",G108=""),"异常：必填项缺失",IF(AND(F108="其他股权激励",O108=""),"异常：其他股权激励所得缺失",IF(AND(F108&lt;&gt;"其他股权激励",OR(I108="",J108="")),"异常：数量或市场价缺失",IF(AND(F108&lt;&gt;"其他股权激励",OR(I108&lt;=0,J108&lt;0)),"异常：数量或价格无效",IF(AND(F108="限制性股票",OR(M108&lt;=0,N108&lt;0,I108&gt;M108)),"异常：个人获授或出资数据无效",IF(AND(IFERROR(INDEX(计划参数!$J$2:$J$501,MATCH(C108,计划参数!$I$2:$I$501,0)),"")&lt;&gt;"",D108&lt;&gt;IFERROR(INDEX(计划参数!$J$2:$J$501,MATCH(C108,计划参数!$I$2:$I$501,0)),"")),"异常：姓名与员工主数据不一致",IF(S108&lt;0,"异常：原始所得为负，已按0计税",IF(OR(AND(F108="股票期权",K108=""),AND(F108="限制性股票",OR(K108="",L108=""))),"异常：计划参数缺失",IF(COUNTIF(计划参数!$I$2:$I$501,C108)=0,"提示：员工编号未在主数据",IF(Q108&lt;&gt;"已备案","提示：未确认备案","正常"))))))))))))</f>
        <v/>
      </c>
      <c r="AE108" s="9"/>
      <c r="AF108" s="4" t="str">
        <f>IF(C108="","",IF(COUNTIF($C$2:C108,C108)=1,MAX($AF$1:AF107)+1,""))</f>
        <v/>
      </c>
      <c r="AG108" s="4" t="str">
        <f>IF(C108="","",COUNTIF($C$2:C108,C108))</f>
        <v/>
      </c>
      <c r="AH108" s="4" t="str">
        <f t="shared" si="25"/>
        <v/>
      </c>
      <c r="AI108" s="4" t="str">
        <f t="shared" si="26"/>
        <v/>
      </c>
      <c r="AJ108" s="4" t="str">
        <f t="shared" si="27"/>
        <v/>
      </c>
      <c r="AK108" s="15" t="str">
        <f>IF(A108="","",SUMIFS(分期缴税台账!$K$2:$K$501,分期缴税台账!$T$2:$T$501,A108,分期缴税台账!$Q$2:$Q$501,"有效"))</f>
        <v/>
      </c>
      <c r="AL108" s="15" t="str">
        <f t="shared" si="28"/>
        <v/>
      </c>
      <c r="AM108" s="4" t="str">
        <f t="shared" si="29"/>
        <v/>
      </c>
    </row>
    <row r="109" spans="1:39" x14ac:dyDescent="0.3">
      <c r="A109" s="9"/>
      <c r="B109" s="4" t="str">
        <f t="shared" si="15"/>
        <v/>
      </c>
      <c r="C109" s="9"/>
      <c r="D109" s="9"/>
      <c r="E109" s="9"/>
      <c r="F109" s="9"/>
      <c r="G109" s="13"/>
      <c r="H109" s="4" t="str">
        <f t="shared" si="16"/>
        <v/>
      </c>
      <c r="I109" s="9"/>
      <c r="J109" s="14"/>
      <c r="K109" s="15" t="str">
        <f>IF(OR(E109="",F109="",G109=""),"",IF(E109&lt;&gt;计划参数!$C$2,"",IF(F109="股票期权",IFERROR(LOOKUP(G109,计划参数!$D$12:$D$15,计划参数!$C$12:$C$15),""),IF(F109="限制性股票",计划参数!$C$10,""))))</f>
        <v/>
      </c>
      <c r="L109" s="15" t="str">
        <f>IF(AND(E109=计划参数!$C$2,F109="限制性股票",G109&gt;=计划参数!$D$9),计划参数!$C$9,"")</f>
        <v/>
      </c>
      <c r="M109" s="9"/>
      <c r="N109" s="14"/>
      <c r="O109" s="14"/>
      <c r="P109" s="13"/>
      <c r="Q109" s="9"/>
      <c r="R109" s="13"/>
      <c r="S109" s="15" t="str">
        <f t="shared" si="17"/>
        <v/>
      </c>
      <c r="T109" s="15" t="str">
        <f t="shared" si="18"/>
        <v/>
      </c>
      <c r="U109" s="15" t="str">
        <f t="shared" si="19"/>
        <v/>
      </c>
      <c r="V109" s="15" t="str">
        <f t="shared" si="20"/>
        <v/>
      </c>
      <c r="W109" s="16" t="str">
        <f>IF(V109="","",VLOOKUP(V109,税率及规则!$A$2:$C$8,2,TRUE))</f>
        <v/>
      </c>
      <c r="X109" s="15" t="str">
        <f>IF(V109="","",VLOOKUP(V109,税率及规则!$A$2:$C$8,3,TRUE))</f>
        <v/>
      </c>
      <c r="Y109" s="15" t="str">
        <f t="shared" si="21"/>
        <v/>
      </c>
      <c r="Z109" s="15" t="str">
        <f>IF(U109="","",MAX(0,U109*VLOOKUP(U109,税率及规则!$A$2:$C$8,2,TRUE)-VLOOKUP(U109,税率及规则!$A$2:$C$8,3,TRUE)))</f>
        <v/>
      </c>
      <c r="AA109" s="15" t="str">
        <f t="shared" si="22"/>
        <v/>
      </c>
      <c r="AB109" s="17" t="str">
        <f t="shared" si="23"/>
        <v/>
      </c>
      <c r="AC109" s="17" t="str">
        <f t="shared" si="24"/>
        <v/>
      </c>
      <c r="AD109" s="4" t="str">
        <f>IF(A109="","",IF(COUNTIF($A$2:$A$501,A109)&gt;1,"异常：事件编号重复",IF(OR(C109="",D109="",E109="",F109="",G109=""),"异常：必填项缺失",IF(AND(F109="其他股权激励",O109=""),"异常：其他股权激励所得缺失",IF(AND(F109&lt;&gt;"其他股权激励",OR(I109="",J109="")),"异常：数量或市场价缺失",IF(AND(F109&lt;&gt;"其他股权激励",OR(I109&lt;=0,J109&lt;0)),"异常：数量或价格无效",IF(AND(F109="限制性股票",OR(M109&lt;=0,N109&lt;0,I109&gt;M109)),"异常：个人获授或出资数据无效",IF(AND(IFERROR(INDEX(计划参数!$J$2:$J$501,MATCH(C109,计划参数!$I$2:$I$501,0)),"")&lt;&gt;"",D109&lt;&gt;IFERROR(INDEX(计划参数!$J$2:$J$501,MATCH(C109,计划参数!$I$2:$I$501,0)),"")),"异常：姓名与员工主数据不一致",IF(S109&lt;0,"异常：原始所得为负，已按0计税",IF(OR(AND(F109="股票期权",K109=""),AND(F109="限制性股票",OR(K109="",L109=""))),"异常：计划参数缺失",IF(COUNTIF(计划参数!$I$2:$I$501,C109)=0,"提示：员工编号未在主数据",IF(Q109&lt;&gt;"已备案","提示：未确认备案","正常"))))))))))))</f>
        <v/>
      </c>
      <c r="AE109" s="9"/>
      <c r="AF109" s="4" t="str">
        <f>IF(C109="","",IF(COUNTIF($C$2:C109,C109)=1,MAX($AF$1:AF108)+1,""))</f>
        <v/>
      </c>
      <c r="AG109" s="4" t="str">
        <f>IF(C109="","",COUNTIF($C$2:C109,C109))</f>
        <v/>
      </c>
      <c r="AH109" s="4" t="str">
        <f t="shared" si="25"/>
        <v/>
      </c>
      <c r="AI109" s="4" t="str">
        <f t="shared" si="26"/>
        <v/>
      </c>
      <c r="AJ109" s="4" t="str">
        <f t="shared" si="27"/>
        <v/>
      </c>
      <c r="AK109" s="15" t="str">
        <f>IF(A109="","",SUMIFS(分期缴税台账!$K$2:$K$501,分期缴税台账!$T$2:$T$501,A109,分期缴税台账!$Q$2:$Q$501,"有效"))</f>
        <v/>
      </c>
      <c r="AL109" s="15" t="str">
        <f t="shared" si="28"/>
        <v/>
      </c>
      <c r="AM109" s="4" t="str">
        <f t="shared" si="29"/>
        <v/>
      </c>
    </row>
    <row r="110" spans="1:39" x14ac:dyDescent="0.3">
      <c r="A110" s="9"/>
      <c r="B110" s="4" t="str">
        <f t="shared" si="15"/>
        <v/>
      </c>
      <c r="C110" s="9"/>
      <c r="D110" s="9"/>
      <c r="E110" s="9"/>
      <c r="F110" s="9"/>
      <c r="G110" s="13"/>
      <c r="H110" s="4" t="str">
        <f t="shared" si="16"/>
        <v/>
      </c>
      <c r="I110" s="9"/>
      <c r="J110" s="14"/>
      <c r="K110" s="15" t="str">
        <f>IF(OR(E110="",F110="",G110=""),"",IF(E110&lt;&gt;计划参数!$C$2,"",IF(F110="股票期权",IFERROR(LOOKUP(G110,计划参数!$D$12:$D$15,计划参数!$C$12:$C$15),""),IF(F110="限制性股票",计划参数!$C$10,""))))</f>
        <v/>
      </c>
      <c r="L110" s="15" t="str">
        <f>IF(AND(E110=计划参数!$C$2,F110="限制性股票",G110&gt;=计划参数!$D$9),计划参数!$C$9,"")</f>
        <v/>
      </c>
      <c r="M110" s="9"/>
      <c r="N110" s="14"/>
      <c r="O110" s="14"/>
      <c r="P110" s="13"/>
      <c r="Q110" s="9"/>
      <c r="R110" s="13"/>
      <c r="S110" s="15" t="str">
        <f t="shared" si="17"/>
        <v/>
      </c>
      <c r="T110" s="15" t="str">
        <f t="shared" si="18"/>
        <v/>
      </c>
      <c r="U110" s="15" t="str">
        <f t="shared" si="19"/>
        <v/>
      </c>
      <c r="V110" s="15" t="str">
        <f t="shared" si="20"/>
        <v/>
      </c>
      <c r="W110" s="16" t="str">
        <f>IF(V110="","",VLOOKUP(V110,税率及规则!$A$2:$C$8,2,TRUE))</f>
        <v/>
      </c>
      <c r="X110" s="15" t="str">
        <f>IF(V110="","",VLOOKUP(V110,税率及规则!$A$2:$C$8,3,TRUE))</f>
        <v/>
      </c>
      <c r="Y110" s="15" t="str">
        <f t="shared" si="21"/>
        <v/>
      </c>
      <c r="Z110" s="15" t="str">
        <f>IF(U110="","",MAX(0,U110*VLOOKUP(U110,税率及规则!$A$2:$C$8,2,TRUE)-VLOOKUP(U110,税率及规则!$A$2:$C$8,3,TRUE)))</f>
        <v/>
      </c>
      <c r="AA110" s="15" t="str">
        <f t="shared" si="22"/>
        <v/>
      </c>
      <c r="AB110" s="17" t="str">
        <f t="shared" si="23"/>
        <v/>
      </c>
      <c r="AC110" s="17" t="str">
        <f t="shared" si="24"/>
        <v/>
      </c>
      <c r="AD110" s="4" t="str">
        <f>IF(A110="","",IF(COUNTIF($A$2:$A$501,A110)&gt;1,"异常：事件编号重复",IF(OR(C110="",D110="",E110="",F110="",G110=""),"异常：必填项缺失",IF(AND(F110="其他股权激励",O110=""),"异常：其他股权激励所得缺失",IF(AND(F110&lt;&gt;"其他股权激励",OR(I110="",J110="")),"异常：数量或市场价缺失",IF(AND(F110&lt;&gt;"其他股权激励",OR(I110&lt;=0,J110&lt;0)),"异常：数量或价格无效",IF(AND(F110="限制性股票",OR(M110&lt;=0,N110&lt;0,I110&gt;M110)),"异常：个人获授或出资数据无效",IF(AND(IFERROR(INDEX(计划参数!$J$2:$J$501,MATCH(C110,计划参数!$I$2:$I$501,0)),"")&lt;&gt;"",D110&lt;&gt;IFERROR(INDEX(计划参数!$J$2:$J$501,MATCH(C110,计划参数!$I$2:$I$501,0)),"")),"异常：姓名与员工主数据不一致",IF(S110&lt;0,"异常：原始所得为负，已按0计税",IF(OR(AND(F110="股票期权",K110=""),AND(F110="限制性股票",OR(K110="",L110=""))),"异常：计划参数缺失",IF(COUNTIF(计划参数!$I$2:$I$501,C110)=0,"提示：员工编号未在主数据",IF(Q110&lt;&gt;"已备案","提示：未确认备案","正常"))))))))))))</f>
        <v/>
      </c>
      <c r="AE110" s="9"/>
      <c r="AF110" s="4" t="str">
        <f>IF(C110="","",IF(COUNTIF($C$2:C110,C110)=1,MAX($AF$1:AF109)+1,""))</f>
        <v/>
      </c>
      <c r="AG110" s="4" t="str">
        <f>IF(C110="","",COUNTIF($C$2:C110,C110))</f>
        <v/>
      </c>
      <c r="AH110" s="4" t="str">
        <f t="shared" si="25"/>
        <v/>
      </c>
      <c r="AI110" s="4" t="str">
        <f t="shared" si="26"/>
        <v/>
      </c>
      <c r="AJ110" s="4" t="str">
        <f t="shared" si="27"/>
        <v/>
      </c>
      <c r="AK110" s="15" t="str">
        <f>IF(A110="","",SUMIFS(分期缴税台账!$K$2:$K$501,分期缴税台账!$T$2:$T$501,A110,分期缴税台账!$Q$2:$Q$501,"有效"))</f>
        <v/>
      </c>
      <c r="AL110" s="15" t="str">
        <f t="shared" si="28"/>
        <v/>
      </c>
      <c r="AM110" s="4" t="str">
        <f t="shared" si="29"/>
        <v/>
      </c>
    </row>
    <row r="111" spans="1:39" x14ac:dyDescent="0.3">
      <c r="A111" s="9"/>
      <c r="B111" s="4" t="str">
        <f t="shared" si="15"/>
        <v/>
      </c>
      <c r="C111" s="9"/>
      <c r="D111" s="9"/>
      <c r="E111" s="9"/>
      <c r="F111" s="9"/>
      <c r="G111" s="13"/>
      <c r="H111" s="4" t="str">
        <f t="shared" si="16"/>
        <v/>
      </c>
      <c r="I111" s="9"/>
      <c r="J111" s="14"/>
      <c r="K111" s="15" t="str">
        <f>IF(OR(E111="",F111="",G111=""),"",IF(E111&lt;&gt;计划参数!$C$2,"",IF(F111="股票期权",IFERROR(LOOKUP(G111,计划参数!$D$12:$D$15,计划参数!$C$12:$C$15),""),IF(F111="限制性股票",计划参数!$C$10,""))))</f>
        <v/>
      </c>
      <c r="L111" s="15" t="str">
        <f>IF(AND(E111=计划参数!$C$2,F111="限制性股票",G111&gt;=计划参数!$D$9),计划参数!$C$9,"")</f>
        <v/>
      </c>
      <c r="M111" s="9"/>
      <c r="N111" s="14"/>
      <c r="O111" s="14"/>
      <c r="P111" s="13"/>
      <c r="Q111" s="9"/>
      <c r="R111" s="13"/>
      <c r="S111" s="15" t="str">
        <f t="shared" si="17"/>
        <v/>
      </c>
      <c r="T111" s="15" t="str">
        <f t="shared" si="18"/>
        <v/>
      </c>
      <c r="U111" s="15" t="str">
        <f t="shared" si="19"/>
        <v/>
      </c>
      <c r="V111" s="15" t="str">
        <f t="shared" si="20"/>
        <v/>
      </c>
      <c r="W111" s="16" t="str">
        <f>IF(V111="","",VLOOKUP(V111,税率及规则!$A$2:$C$8,2,TRUE))</f>
        <v/>
      </c>
      <c r="X111" s="15" t="str">
        <f>IF(V111="","",VLOOKUP(V111,税率及规则!$A$2:$C$8,3,TRUE))</f>
        <v/>
      </c>
      <c r="Y111" s="15" t="str">
        <f t="shared" si="21"/>
        <v/>
      </c>
      <c r="Z111" s="15" t="str">
        <f>IF(U111="","",MAX(0,U111*VLOOKUP(U111,税率及规则!$A$2:$C$8,2,TRUE)-VLOOKUP(U111,税率及规则!$A$2:$C$8,3,TRUE)))</f>
        <v/>
      </c>
      <c r="AA111" s="15" t="str">
        <f t="shared" si="22"/>
        <v/>
      </c>
      <c r="AB111" s="17" t="str">
        <f t="shared" si="23"/>
        <v/>
      </c>
      <c r="AC111" s="17" t="str">
        <f t="shared" si="24"/>
        <v/>
      </c>
      <c r="AD111" s="4" t="str">
        <f>IF(A111="","",IF(COUNTIF($A$2:$A$501,A111)&gt;1,"异常：事件编号重复",IF(OR(C111="",D111="",E111="",F111="",G111=""),"异常：必填项缺失",IF(AND(F111="其他股权激励",O111=""),"异常：其他股权激励所得缺失",IF(AND(F111&lt;&gt;"其他股权激励",OR(I111="",J111="")),"异常：数量或市场价缺失",IF(AND(F111&lt;&gt;"其他股权激励",OR(I111&lt;=0,J111&lt;0)),"异常：数量或价格无效",IF(AND(F111="限制性股票",OR(M111&lt;=0,N111&lt;0,I111&gt;M111)),"异常：个人获授或出资数据无效",IF(AND(IFERROR(INDEX(计划参数!$J$2:$J$501,MATCH(C111,计划参数!$I$2:$I$501,0)),"")&lt;&gt;"",D111&lt;&gt;IFERROR(INDEX(计划参数!$J$2:$J$501,MATCH(C111,计划参数!$I$2:$I$501,0)),"")),"异常：姓名与员工主数据不一致",IF(S111&lt;0,"异常：原始所得为负，已按0计税",IF(OR(AND(F111="股票期权",K111=""),AND(F111="限制性股票",OR(K111="",L111=""))),"异常：计划参数缺失",IF(COUNTIF(计划参数!$I$2:$I$501,C111)=0,"提示：员工编号未在主数据",IF(Q111&lt;&gt;"已备案","提示：未确认备案","正常"))))))))))))</f>
        <v/>
      </c>
      <c r="AE111" s="9"/>
      <c r="AF111" s="4" t="str">
        <f>IF(C111="","",IF(COUNTIF($C$2:C111,C111)=1,MAX($AF$1:AF110)+1,""))</f>
        <v/>
      </c>
      <c r="AG111" s="4" t="str">
        <f>IF(C111="","",COUNTIF($C$2:C111,C111))</f>
        <v/>
      </c>
      <c r="AH111" s="4" t="str">
        <f t="shared" si="25"/>
        <v/>
      </c>
      <c r="AI111" s="4" t="str">
        <f t="shared" si="26"/>
        <v/>
      </c>
      <c r="AJ111" s="4" t="str">
        <f t="shared" si="27"/>
        <v/>
      </c>
      <c r="AK111" s="15" t="str">
        <f>IF(A111="","",SUMIFS(分期缴税台账!$K$2:$K$501,分期缴税台账!$T$2:$T$501,A111,分期缴税台账!$Q$2:$Q$501,"有效"))</f>
        <v/>
      </c>
      <c r="AL111" s="15" t="str">
        <f t="shared" si="28"/>
        <v/>
      </c>
      <c r="AM111" s="4" t="str">
        <f t="shared" si="29"/>
        <v/>
      </c>
    </row>
    <row r="112" spans="1:39" x14ac:dyDescent="0.3">
      <c r="A112" s="9"/>
      <c r="B112" s="4" t="str">
        <f t="shared" si="15"/>
        <v/>
      </c>
      <c r="C112" s="9"/>
      <c r="D112" s="9"/>
      <c r="E112" s="9"/>
      <c r="F112" s="9"/>
      <c r="G112" s="13"/>
      <c r="H112" s="4" t="str">
        <f t="shared" si="16"/>
        <v/>
      </c>
      <c r="I112" s="9"/>
      <c r="J112" s="14"/>
      <c r="K112" s="15" t="str">
        <f>IF(OR(E112="",F112="",G112=""),"",IF(E112&lt;&gt;计划参数!$C$2,"",IF(F112="股票期权",IFERROR(LOOKUP(G112,计划参数!$D$12:$D$15,计划参数!$C$12:$C$15),""),IF(F112="限制性股票",计划参数!$C$10,""))))</f>
        <v/>
      </c>
      <c r="L112" s="15" t="str">
        <f>IF(AND(E112=计划参数!$C$2,F112="限制性股票",G112&gt;=计划参数!$D$9),计划参数!$C$9,"")</f>
        <v/>
      </c>
      <c r="M112" s="9"/>
      <c r="N112" s="14"/>
      <c r="O112" s="14"/>
      <c r="P112" s="13"/>
      <c r="Q112" s="9"/>
      <c r="R112" s="13"/>
      <c r="S112" s="15" t="str">
        <f t="shared" si="17"/>
        <v/>
      </c>
      <c r="T112" s="15" t="str">
        <f t="shared" si="18"/>
        <v/>
      </c>
      <c r="U112" s="15" t="str">
        <f t="shared" si="19"/>
        <v/>
      </c>
      <c r="V112" s="15" t="str">
        <f t="shared" si="20"/>
        <v/>
      </c>
      <c r="W112" s="16" t="str">
        <f>IF(V112="","",VLOOKUP(V112,税率及规则!$A$2:$C$8,2,TRUE))</f>
        <v/>
      </c>
      <c r="X112" s="15" t="str">
        <f>IF(V112="","",VLOOKUP(V112,税率及规则!$A$2:$C$8,3,TRUE))</f>
        <v/>
      </c>
      <c r="Y112" s="15" t="str">
        <f t="shared" si="21"/>
        <v/>
      </c>
      <c r="Z112" s="15" t="str">
        <f>IF(U112="","",MAX(0,U112*VLOOKUP(U112,税率及规则!$A$2:$C$8,2,TRUE)-VLOOKUP(U112,税率及规则!$A$2:$C$8,3,TRUE)))</f>
        <v/>
      </c>
      <c r="AA112" s="15" t="str">
        <f t="shared" si="22"/>
        <v/>
      </c>
      <c r="AB112" s="17" t="str">
        <f t="shared" si="23"/>
        <v/>
      </c>
      <c r="AC112" s="17" t="str">
        <f t="shared" si="24"/>
        <v/>
      </c>
      <c r="AD112" s="4" t="str">
        <f>IF(A112="","",IF(COUNTIF($A$2:$A$501,A112)&gt;1,"异常：事件编号重复",IF(OR(C112="",D112="",E112="",F112="",G112=""),"异常：必填项缺失",IF(AND(F112="其他股权激励",O112=""),"异常：其他股权激励所得缺失",IF(AND(F112&lt;&gt;"其他股权激励",OR(I112="",J112="")),"异常：数量或市场价缺失",IF(AND(F112&lt;&gt;"其他股权激励",OR(I112&lt;=0,J112&lt;0)),"异常：数量或价格无效",IF(AND(F112="限制性股票",OR(M112&lt;=0,N112&lt;0,I112&gt;M112)),"异常：个人获授或出资数据无效",IF(AND(IFERROR(INDEX(计划参数!$J$2:$J$501,MATCH(C112,计划参数!$I$2:$I$501,0)),"")&lt;&gt;"",D112&lt;&gt;IFERROR(INDEX(计划参数!$J$2:$J$501,MATCH(C112,计划参数!$I$2:$I$501,0)),"")),"异常：姓名与员工主数据不一致",IF(S112&lt;0,"异常：原始所得为负，已按0计税",IF(OR(AND(F112="股票期权",K112=""),AND(F112="限制性股票",OR(K112="",L112=""))),"异常：计划参数缺失",IF(COUNTIF(计划参数!$I$2:$I$501,C112)=0,"提示：员工编号未在主数据",IF(Q112&lt;&gt;"已备案","提示：未确认备案","正常"))))))))))))</f>
        <v/>
      </c>
      <c r="AE112" s="9"/>
      <c r="AF112" s="4" t="str">
        <f>IF(C112="","",IF(COUNTIF($C$2:C112,C112)=1,MAX($AF$1:AF111)+1,""))</f>
        <v/>
      </c>
      <c r="AG112" s="4" t="str">
        <f>IF(C112="","",COUNTIF($C$2:C112,C112))</f>
        <v/>
      </c>
      <c r="AH112" s="4" t="str">
        <f t="shared" si="25"/>
        <v/>
      </c>
      <c r="AI112" s="4" t="str">
        <f t="shared" si="26"/>
        <v/>
      </c>
      <c r="AJ112" s="4" t="str">
        <f t="shared" si="27"/>
        <v/>
      </c>
      <c r="AK112" s="15" t="str">
        <f>IF(A112="","",SUMIFS(分期缴税台账!$K$2:$K$501,分期缴税台账!$T$2:$T$501,A112,分期缴税台账!$Q$2:$Q$501,"有效"))</f>
        <v/>
      </c>
      <c r="AL112" s="15" t="str">
        <f t="shared" si="28"/>
        <v/>
      </c>
      <c r="AM112" s="4" t="str">
        <f t="shared" si="29"/>
        <v/>
      </c>
    </row>
    <row r="113" spans="1:39" x14ac:dyDescent="0.3">
      <c r="A113" s="9"/>
      <c r="B113" s="4" t="str">
        <f t="shared" si="15"/>
        <v/>
      </c>
      <c r="C113" s="9"/>
      <c r="D113" s="9"/>
      <c r="E113" s="9"/>
      <c r="F113" s="9"/>
      <c r="G113" s="13"/>
      <c r="H113" s="4" t="str">
        <f t="shared" si="16"/>
        <v/>
      </c>
      <c r="I113" s="9"/>
      <c r="J113" s="14"/>
      <c r="K113" s="15" t="str">
        <f>IF(OR(E113="",F113="",G113=""),"",IF(E113&lt;&gt;计划参数!$C$2,"",IF(F113="股票期权",IFERROR(LOOKUP(G113,计划参数!$D$12:$D$15,计划参数!$C$12:$C$15),""),IF(F113="限制性股票",计划参数!$C$10,""))))</f>
        <v/>
      </c>
      <c r="L113" s="15" t="str">
        <f>IF(AND(E113=计划参数!$C$2,F113="限制性股票",G113&gt;=计划参数!$D$9),计划参数!$C$9,"")</f>
        <v/>
      </c>
      <c r="M113" s="9"/>
      <c r="N113" s="14"/>
      <c r="O113" s="14"/>
      <c r="P113" s="13"/>
      <c r="Q113" s="9"/>
      <c r="R113" s="13"/>
      <c r="S113" s="15" t="str">
        <f t="shared" si="17"/>
        <v/>
      </c>
      <c r="T113" s="15" t="str">
        <f t="shared" si="18"/>
        <v/>
      </c>
      <c r="U113" s="15" t="str">
        <f t="shared" si="19"/>
        <v/>
      </c>
      <c r="V113" s="15" t="str">
        <f t="shared" si="20"/>
        <v/>
      </c>
      <c r="W113" s="16" t="str">
        <f>IF(V113="","",VLOOKUP(V113,税率及规则!$A$2:$C$8,2,TRUE))</f>
        <v/>
      </c>
      <c r="X113" s="15" t="str">
        <f>IF(V113="","",VLOOKUP(V113,税率及规则!$A$2:$C$8,3,TRUE))</f>
        <v/>
      </c>
      <c r="Y113" s="15" t="str">
        <f t="shared" si="21"/>
        <v/>
      </c>
      <c r="Z113" s="15" t="str">
        <f>IF(U113="","",MAX(0,U113*VLOOKUP(U113,税率及规则!$A$2:$C$8,2,TRUE)-VLOOKUP(U113,税率及规则!$A$2:$C$8,3,TRUE)))</f>
        <v/>
      </c>
      <c r="AA113" s="15" t="str">
        <f t="shared" si="22"/>
        <v/>
      </c>
      <c r="AB113" s="17" t="str">
        <f t="shared" si="23"/>
        <v/>
      </c>
      <c r="AC113" s="17" t="str">
        <f t="shared" si="24"/>
        <v/>
      </c>
      <c r="AD113" s="4" t="str">
        <f>IF(A113="","",IF(COUNTIF($A$2:$A$501,A113)&gt;1,"异常：事件编号重复",IF(OR(C113="",D113="",E113="",F113="",G113=""),"异常：必填项缺失",IF(AND(F113="其他股权激励",O113=""),"异常：其他股权激励所得缺失",IF(AND(F113&lt;&gt;"其他股权激励",OR(I113="",J113="")),"异常：数量或市场价缺失",IF(AND(F113&lt;&gt;"其他股权激励",OR(I113&lt;=0,J113&lt;0)),"异常：数量或价格无效",IF(AND(F113="限制性股票",OR(M113&lt;=0,N113&lt;0,I113&gt;M113)),"异常：个人获授或出资数据无效",IF(AND(IFERROR(INDEX(计划参数!$J$2:$J$501,MATCH(C113,计划参数!$I$2:$I$501,0)),"")&lt;&gt;"",D113&lt;&gt;IFERROR(INDEX(计划参数!$J$2:$J$501,MATCH(C113,计划参数!$I$2:$I$501,0)),"")),"异常：姓名与员工主数据不一致",IF(S113&lt;0,"异常：原始所得为负，已按0计税",IF(OR(AND(F113="股票期权",K113=""),AND(F113="限制性股票",OR(K113="",L113=""))),"异常：计划参数缺失",IF(COUNTIF(计划参数!$I$2:$I$501,C113)=0,"提示：员工编号未在主数据",IF(Q113&lt;&gt;"已备案","提示：未确认备案","正常"))))))))))))</f>
        <v/>
      </c>
      <c r="AE113" s="9"/>
      <c r="AF113" s="4" t="str">
        <f>IF(C113="","",IF(COUNTIF($C$2:C113,C113)=1,MAX($AF$1:AF112)+1,""))</f>
        <v/>
      </c>
      <c r="AG113" s="4" t="str">
        <f>IF(C113="","",COUNTIF($C$2:C113,C113))</f>
        <v/>
      </c>
      <c r="AH113" s="4" t="str">
        <f t="shared" si="25"/>
        <v/>
      </c>
      <c r="AI113" s="4" t="str">
        <f t="shared" si="26"/>
        <v/>
      </c>
      <c r="AJ113" s="4" t="str">
        <f t="shared" si="27"/>
        <v/>
      </c>
      <c r="AK113" s="15" t="str">
        <f>IF(A113="","",SUMIFS(分期缴税台账!$K$2:$K$501,分期缴税台账!$T$2:$T$501,A113,分期缴税台账!$Q$2:$Q$501,"有效"))</f>
        <v/>
      </c>
      <c r="AL113" s="15" t="str">
        <f t="shared" si="28"/>
        <v/>
      </c>
      <c r="AM113" s="4" t="str">
        <f t="shared" si="29"/>
        <v/>
      </c>
    </row>
    <row r="114" spans="1:39" x14ac:dyDescent="0.3">
      <c r="A114" s="9"/>
      <c r="B114" s="4" t="str">
        <f t="shared" si="15"/>
        <v/>
      </c>
      <c r="C114" s="9"/>
      <c r="D114" s="9"/>
      <c r="E114" s="9"/>
      <c r="F114" s="9"/>
      <c r="G114" s="13"/>
      <c r="H114" s="4" t="str">
        <f t="shared" si="16"/>
        <v/>
      </c>
      <c r="I114" s="9"/>
      <c r="J114" s="14"/>
      <c r="K114" s="15" t="str">
        <f>IF(OR(E114="",F114="",G114=""),"",IF(E114&lt;&gt;计划参数!$C$2,"",IF(F114="股票期权",IFERROR(LOOKUP(G114,计划参数!$D$12:$D$15,计划参数!$C$12:$C$15),""),IF(F114="限制性股票",计划参数!$C$10,""))))</f>
        <v/>
      </c>
      <c r="L114" s="15" t="str">
        <f>IF(AND(E114=计划参数!$C$2,F114="限制性股票",G114&gt;=计划参数!$D$9),计划参数!$C$9,"")</f>
        <v/>
      </c>
      <c r="M114" s="9"/>
      <c r="N114" s="14"/>
      <c r="O114" s="14"/>
      <c r="P114" s="13"/>
      <c r="Q114" s="9"/>
      <c r="R114" s="13"/>
      <c r="S114" s="15" t="str">
        <f t="shared" si="17"/>
        <v/>
      </c>
      <c r="T114" s="15" t="str">
        <f t="shared" si="18"/>
        <v/>
      </c>
      <c r="U114" s="15" t="str">
        <f t="shared" si="19"/>
        <v/>
      </c>
      <c r="V114" s="15" t="str">
        <f t="shared" si="20"/>
        <v/>
      </c>
      <c r="W114" s="16" t="str">
        <f>IF(V114="","",VLOOKUP(V114,税率及规则!$A$2:$C$8,2,TRUE))</f>
        <v/>
      </c>
      <c r="X114" s="15" t="str">
        <f>IF(V114="","",VLOOKUP(V114,税率及规则!$A$2:$C$8,3,TRUE))</f>
        <v/>
      </c>
      <c r="Y114" s="15" t="str">
        <f t="shared" si="21"/>
        <v/>
      </c>
      <c r="Z114" s="15" t="str">
        <f>IF(U114="","",MAX(0,U114*VLOOKUP(U114,税率及规则!$A$2:$C$8,2,TRUE)-VLOOKUP(U114,税率及规则!$A$2:$C$8,3,TRUE)))</f>
        <v/>
      </c>
      <c r="AA114" s="15" t="str">
        <f t="shared" si="22"/>
        <v/>
      </c>
      <c r="AB114" s="17" t="str">
        <f t="shared" si="23"/>
        <v/>
      </c>
      <c r="AC114" s="17" t="str">
        <f t="shared" si="24"/>
        <v/>
      </c>
      <c r="AD114" s="4" t="str">
        <f>IF(A114="","",IF(COUNTIF($A$2:$A$501,A114)&gt;1,"异常：事件编号重复",IF(OR(C114="",D114="",E114="",F114="",G114=""),"异常：必填项缺失",IF(AND(F114="其他股权激励",O114=""),"异常：其他股权激励所得缺失",IF(AND(F114&lt;&gt;"其他股权激励",OR(I114="",J114="")),"异常：数量或市场价缺失",IF(AND(F114&lt;&gt;"其他股权激励",OR(I114&lt;=0,J114&lt;0)),"异常：数量或价格无效",IF(AND(F114="限制性股票",OR(M114&lt;=0,N114&lt;0,I114&gt;M114)),"异常：个人获授或出资数据无效",IF(AND(IFERROR(INDEX(计划参数!$J$2:$J$501,MATCH(C114,计划参数!$I$2:$I$501,0)),"")&lt;&gt;"",D114&lt;&gt;IFERROR(INDEX(计划参数!$J$2:$J$501,MATCH(C114,计划参数!$I$2:$I$501,0)),"")),"异常：姓名与员工主数据不一致",IF(S114&lt;0,"异常：原始所得为负，已按0计税",IF(OR(AND(F114="股票期权",K114=""),AND(F114="限制性股票",OR(K114="",L114=""))),"异常：计划参数缺失",IF(COUNTIF(计划参数!$I$2:$I$501,C114)=0,"提示：员工编号未在主数据",IF(Q114&lt;&gt;"已备案","提示：未确认备案","正常"))))))))))))</f>
        <v/>
      </c>
      <c r="AE114" s="9"/>
      <c r="AF114" s="4" t="str">
        <f>IF(C114="","",IF(COUNTIF($C$2:C114,C114)=1,MAX($AF$1:AF113)+1,""))</f>
        <v/>
      </c>
      <c r="AG114" s="4" t="str">
        <f>IF(C114="","",COUNTIF($C$2:C114,C114))</f>
        <v/>
      </c>
      <c r="AH114" s="4" t="str">
        <f t="shared" si="25"/>
        <v/>
      </c>
      <c r="AI114" s="4" t="str">
        <f t="shared" si="26"/>
        <v/>
      </c>
      <c r="AJ114" s="4" t="str">
        <f t="shared" si="27"/>
        <v/>
      </c>
      <c r="AK114" s="15" t="str">
        <f>IF(A114="","",SUMIFS(分期缴税台账!$K$2:$K$501,分期缴税台账!$T$2:$T$501,A114,分期缴税台账!$Q$2:$Q$501,"有效"))</f>
        <v/>
      </c>
      <c r="AL114" s="15" t="str">
        <f t="shared" si="28"/>
        <v/>
      </c>
      <c r="AM114" s="4" t="str">
        <f t="shared" si="29"/>
        <v/>
      </c>
    </row>
    <row r="115" spans="1:39" x14ac:dyDescent="0.3">
      <c r="A115" s="9"/>
      <c r="B115" s="4" t="str">
        <f t="shared" si="15"/>
        <v/>
      </c>
      <c r="C115" s="9"/>
      <c r="D115" s="9"/>
      <c r="E115" s="9"/>
      <c r="F115" s="9"/>
      <c r="G115" s="13"/>
      <c r="H115" s="4" t="str">
        <f t="shared" si="16"/>
        <v/>
      </c>
      <c r="I115" s="9"/>
      <c r="J115" s="14"/>
      <c r="K115" s="15" t="str">
        <f>IF(OR(E115="",F115="",G115=""),"",IF(E115&lt;&gt;计划参数!$C$2,"",IF(F115="股票期权",IFERROR(LOOKUP(G115,计划参数!$D$12:$D$15,计划参数!$C$12:$C$15),""),IF(F115="限制性股票",计划参数!$C$10,""))))</f>
        <v/>
      </c>
      <c r="L115" s="15" t="str">
        <f>IF(AND(E115=计划参数!$C$2,F115="限制性股票",G115&gt;=计划参数!$D$9),计划参数!$C$9,"")</f>
        <v/>
      </c>
      <c r="M115" s="9"/>
      <c r="N115" s="14"/>
      <c r="O115" s="14"/>
      <c r="P115" s="13"/>
      <c r="Q115" s="9"/>
      <c r="R115" s="13"/>
      <c r="S115" s="15" t="str">
        <f t="shared" si="17"/>
        <v/>
      </c>
      <c r="T115" s="15" t="str">
        <f t="shared" si="18"/>
        <v/>
      </c>
      <c r="U115" s="15" t="str">
        <f t="shared" si="19"/>
        <v/>
      </c>
      <c r="V115" s="15" t="str">
        <f t="shared" si="20"/>
        <v/>
      </c>
      <c r="W115" s="16" t="str">
        <f>IF(V115="","",VLOOKUP(V115,税率及规则!$A$2:$C$8,2,TRUE))</f>
        <v/>
      </c>
      <c r="X115" s="15" t="str">
        <f>IF(V115="","",VLOOKUP(V115,税率及规则!$A$2:$C$8,3,TRUE))</f>
        <v/>
      </c>
      <c r="Y115" s="15" t="str">
        <f t="shared" si="21"/>
        <v/>
      </c>
      <c r="Z115" s="15" t="str">
        <f>IF(U115="","",MAX(0,U115*VLOOKUP(U115,税率及规则!$A$2:$C$8,2,TRUE)-VLOOKUP(U115,税率及规则!$A$2:$C$8,3,TRUE)))</f>
        <v/>
      </c>
      <c r="AA115" s="15" t="str">
        <f t="shared" si="22"/>
        <v/>
      </c>
      <c r="AB115" s="17" t="str">
        <f t="shared" si="23"/>
        <v/>
      </c>
      <c r="AC115" s="17" t="str">
        <f t="shared" si="24"/>
        <v/>
      </c>
      <c r="AD115" s="4" t="str">
        <f>IF(A115="","",IF(COUNTIF($A$2:$A$501,A115)&gt;1,"异常：事件编号重复",IF(OR(C115="",D115="",E115="",F115="",G115=""),"异常：必填项缺失",IF(AND(F115="其他股权激励",O115=""),"异常：其他股权激励所得缺失",IF(AND(F115&lt;&gt;"其他股权激励",OR(I115="",J115="")),"异常：数量或市场价缺失",IF(AND(F115&lt;&gt;"其他股权激励",OR(I115&lt;=0,J115&lt;0)),"异常：数量或价格无效",IF(AND(F115="限制性股票",OR(M115&lt;=0,N115&lt;0,I115&gt;M115)),"异常：个人获授或出资数据无效",IF(AND(IFERROR(INDEX(计划参数!$J$2:$J$501,MATCH(C115,计划参数!$I$2:$I$501,0)),"")&lt;&gt;"",D115&lt;&gt;IFERROR(INDEX(计划参数!$J$2:$J$501,MATCH(C115,计划参数!$I$2:$I$501,0)),"")),"异常：姓名与员工主数据不一致",IF(S115&lt;0,"异常：原始所得为负，已按0计税",IF(OR(AND(F115="股票期权",K115=""),AND(F115="限制性股票",OR(K115="",L115=""))),"异常：计划参数缺失",IF(COUNTIF(计划参数!$I$2:$I$501,C115)=0,"提示：员工编号未在主数据",IF(Q115&lt;&gt;"已备案","提示：未确认备案","正常"))))))))))))</f>
        <v/>
      </c>
      <c r="AE115" s="9"/>
      <c r="AF115" s="4" t="str">
        <f>IF(C115="","",IF(COUNTIF($C$2:C115,C115)=1,MAX($AF$1:AF114)+1,""))</f>
        <v/>
      </c>
      <c r="AG115" s="4" t="str">
        <f>IF(C115="","",COUNTIF($C$2:C115,C115))</f>
        <v/>
      </c>
      <c r="AH115" s="4" t="str">
        <f t="shared" si="25"/>
        <v/>
      </c>
      <c r="AI115" s="4" t="str">
        <f t="shared" si="26"/>
        <v/>
      </c>
      <c r="AJ115" s="4" t="str">
        <f t="shared" si="27"/>
        <v/>
      </c>
      <c r="AK115" s="15" t="str">
        <f>IF(A115="","",SUMIFS(分期缴税台账!$K$2:$K$501,分期缴税台账!$T$2:$T$501,A115,分期缴税台账!$Q$2:$Q$501,"有效"))</f>
        <v/>
      </c>
      <c r="AL115" s="15" t="str">
        <f t="shared" si="28"/>
        <v/>
      </c>
      <c r="AM115" s="4" t="str">
        <f t="shared" si="29"/>
        <v/>
      </c>
    </row>
    <row r="116" spans="1:39" x14ac:dyDescent="0.3">
      <c r="A116" s="9"/>
      <c r="B116" s="4" t="str">
        <f t="shared" si="15"/>
        <v/>
      </c>
      <c r="C116" s="9"/>
      <c r="D116" s="9"/>
      <c r="E116" s="9"/>
      <c r="F116" s="9"/>
      <c r="G116" s="13"/>
      <c r="H116" s="4" t="str">
        <f t="shared" si="16"/>
        <v/>
      </c>
      <c r="I116" s="9"/>
      <c r="J116" s="14"/>
      <c r="K116" s="15" t="str">
        <f>IF(OR(E116="",F116="",G116=""),"",IF(E116&lt;&gt;计划参数!$C$2,"",IF(F116="股票期权",IFERROR(LOOKUP(G116,计划参数!$D$12:$D$15,计划参数!$C$12:$C$15),""),IF(F116="限制性股票",计划参数!$C$10,""))))</f>
        <v/>
      </c>
      <c r="L116" s="15" t="str">
        <f>IF(AND(E116=计划参数!$C$2,F116="限制性股票",G116&gt;=计划参数!$D$9),计划参数!$C$9,"")</f>
        <v/>
      </c>
      <c r="M116" s="9"/>
      <c r="N116" s="14"/>
      <c r="O116" s="14"/>
      <c r="P116" s="13"/>
      <c r="Q116" s="9"/>
      <c r="R116" s="13"/>
      <c r="S116" s="15" t="str">
        <f t="shared" si="17"/>
        <v/>
      </c>
      <c r="T116" s="15" t="str">
        <f t="shared" si="18"/>
        <v/>
      </c>
      <c r="U116" s="15" t="str">
        <f t="shared" si="19"/>
        <v/>
      </c>
      <c r="V116" s="15" t="str">
        <f t="shared" si="20"/>
        <v/>
      </c>
      <c r="W116" s="16" t="str">
        <f>IF(V116="","",VLOOKUP(V116,税率及规则!$A$2:$C$8,2,TRUE))</f>
        <v/>
      </c>
      <c r="X116" s="15" t="str">
        <f>IF(V116="","",VLOOKUP(V116,税率及规则!$A$2:$C$8,3,TRUE))</f>
        <v/>
      </c>
      <c r="Y116" s="15" t="str">
        <f t="shared" si="21"/>
        <v/>
      </c>
      <c r="Z116" s="15" t="str">
        <f>IF(U116="","",MAX(0,U116*VLOOKUP(U116,税率及规则!$A$2:$C$8,2,TRUE)-VLOOKUP(U116,税率及规则!$A$2:$C$8,3,TRUE)))</f>
        <v/>
      </c>
      <c r="AA116" s="15" t="str">
        <f t="shared" si="22"/>
        <v/>
      </c>
      <c r="AB116" s="17" t="str">
        <f t="shared" si="23"/>
        <v/>
      </c>
      <c r="AC116" s="17" t="str">
        <f t="shared" si="24"/>
        <v/>
      </c>
      <c r="AD116" s="4" t="str">
        <f>IF(A116="","",IF(COUNTIF($A$2:$A$501,A116)&gt;1,"异常：事件编号重复",IF(OR(C116="",D116="",E116="",F116="",G116=""),"异常：必填项缺失",IF(AND(F116="其他股权激励",O116=""),"异常：其他股权激励所得缺失",IF(AND(F116&lt;&gt;"其他股权激励",OR(I116="",J116="")),"异常：数量或市场价缺失",IF(AND(F116&lt;&gt;"其他股权激励",OR(I116&lt;=0,J116&lt;0)),"异常：数量或价格无效",IF(AND(F116="限制性股票",OR(M116&lt;=0,N116&lt;0,I116&gt;M116)),"异常：个人获授或出资数据无效",IF(AND(IFERROR(INDEX(计划参数!$J$2:$J$501,MATCH(C116,计划参数!$I$2:$I$501,0)),"")&lt;&gt;"",D116&lt;&gt;IFERROR(INDEX(计划参数!$J$2:$J$501,MATCH(C116,计划参数!$I$2:$I$501,0)),"")),"异常：姓名与员工主数据不一致",IF(S116&lt;0,"异常：原始所得为负，已按0计税",IF(OR(AND(F116="股票期权",K116=""),AND(F116="限制性股票",OR(K116="",L116=""))),"异常：计划参数缺失",IF(COUNTIF(计划参数!$I$2:$I$501,C116)=0,"提示：员工编号未在主数据",IF(Q116&lt;&gt;"已备案","提示：未确认备案","正常"))))))))))))</f>
        <v/>
      </c>
      <c r="AE116" s="9"/>
      <c r="AF116" s="4" t="str">
        <f>IF(C116="","",IF(COUNTIF($C$2:C116,C116)=1,MAX($AF$1:AF115)+1,""))</f>
        <v/>
      </c>
      <c r="AG116" s="4" t="str">
        <f>IF(C116="","",COUNTIF($C$2:C116,C116))</f>
        <v/>
      </c>
      <c r="AH116" s="4" t="str">
        <f t="shared" si="25"/>
        <v/>
      </c>
      <c r="AI116" s="4" t="str">
        <f t="shared" si="26"/>
        <v/>
      </c>
      <c r="AJ116" s="4" t="str">
        <f t="shared" si="27"/>
        <v/>
      </c>
      <c r="AK116" s="15" t="str">
        <f>IF(A116="","",SUMIFS(分期缴税台账!$K$2:$K$501,分期缴税台账!$T$2:$T$501,A116,分期缴税台账!$Q$2:$Q$501,"有效"))</f>
        <v/>
      </c>
      <c r="AL116" s="15" t="str">
        <f t="shared" si="28"/>
        <v/>
      </c>
      <c r="AM116" s="4" t="str">
        <f t="shared" si="29"/>
        <v/>
      </c>
    </row>
    <row r="117" spans="1:39" x14ac:dyDescent="0.3">
      <c r="A117" s="9"/>
      <c r="B117" s="4" t="str">
        <f t="shared" si="15"/>
        <v/>
      </c>
      <c r="C117" s="9"/>
      <c r="D117" s="9"/>
      <c r="E117" s="9"/>
      <c r="F117" s="9"/>
      <c r="G117" s="13"/>
      <c r="H117" s="4" t="str">
        <f t="shared" si="16"/>
        <v/>
      </c>
      <c r="I117" s="9"/>
      <c r="J117" s="14"/>
      <c r="K117" s="15" t="str">
        <f>IF(OR(E117="",F117="",G117=""),"",IF(E117&lt;&gt;计划参数!$C$2,"",IF(F117="股票期权",IFERROR(LOOKUP(G117,计划参数!$D$12:$D$15,计划参数!$C$12:$C$15),""),IF(F117="限制性股票",计划参数!$C$10,""))))</f>
        <v/>
      </c>
      <c r="L117" s="15" t="str">
        <f>IF(AND(E117=计划参数!$C$2,F117="限制性股票",G117&gt;=计划参数!$D$9),计划参数!$C$9,"")</f>
        <v/>
      </c>
      <c r="M117" s="9"/>
      <c r="N117" s="14"/>
      <c r="O117" s="14"/>
      <c r="P117" s="13"/>
      <c r="Q117" s="9"/>
      <c r="R117" s="13"/>
      <c r="S117" s="15" t="str">
        <f t="shared" si="17"/>
        <v/>
      </c>
      <c r="T117" s="15" t="str">
        <f t="shared" si="18"/>
        <v/>
      </c>
      <c r="U117" s="15" t="str">
        <f t="shared" si="19"/>
        <v/>
      </c>
      <c r="V117" s="15" t="str">
        <f t="shared" si="20"/>
        <v/>
      </c>
      <c r="W117" s="16" t="str">
        <f>IF(V117="","",VLOOKUP(V117,税率及规则!$A$2:$C$8,2,TRUE))</f>
        <v/>
      </c>
      <c r="X117" s="15" t="str">
        <f>IF(V117="","",VLOOKUP(V117,税率及规则!$A$2:$C$8,3,TRUE))</f>
        <v/>
      </c>
      <c r="Y117" s="15" t="str">
        <f t="shared" si="21"/>
        <v/>
      </c>
      <c r="Z117" s="15" t="str">
        <f>IF(U117="","",MAX(0,U117*VLOOKUP(U117,税率及规则!$A$2:$C$8,2,TRUE)-VLOOKUP(U117,税率及规则!$A$2:$C$8,3,TRUE)))</f>
        <v/>
      </c>
      <c r="AA117" s="15" t="str">
        <f t="shared" si="22"/>
        <v/>
      </c>
      <c r="AB117" s="17" t="str">
        <f t="shared" si="23"/>
        <v/>
      </c>
      <c r="AC117" s="17" t="str">
        <f t="shared" si="24"/>
        <v/>
      </c>
      <c r="AD117" s="4" t="str">
        <f>IF(A117="","",IF(COUNTIF($A$2:$A$501,A117)&gt;1,"异常：事件编号重复",IF(OR(C117="",D117="",E117="",F117="",G117=""),"异常：必填项缺失",IF(AND(F117="其他股权激励",O117=""),"异常：其他股权激励所得缺失",IF(AND(F117&lt;&gt;"其他股权激励",OR(I117="",J117="")),"异常：数量或市场价缺失",IF(AND(F117&lt;&gt;"其他股权激励",OR(I117&lt;=0,J117&lt;0)),"异常：数量或价格无效",IF(AND(F117="限制性股票",OR(M117&lt;=0,N117&lt;0,I117&gt;M117)),"异常：个人获授或出资数据无效",IF(AND(IFERROR(INDEX(计划参数!$J$2:$J$501,MATCH(C117,计划参数!$I$2:$I$501,0)),"")&lt;&gt;"",D117&lt;&gt;IFERROR(INDEX(计划参数!$J$2:$J$501,MATCH(C117,计划参数!$I$2:$I$501,0)),"")),"异常：姓名与员工主数据不一致",IF(S117&lt;0,"异常：原始所得为负，已按0计税",IF(OR(AND(F117="股票期权",K117=""),AND(F117="限制性股票",OR(K117="",L117=""))),"异常：计划参数缺失",IF(COUNTIF(计划参数!$I$2:$I$501,C117)=0,"提示：员工编号未在主数据",IF(Q117&lt;&gt;"已备案","提示：未确认备案","正常"))))))))))))</f>
        <v/>
      </c>
      <c r="AE117" s="9"/>
      <c r="AF117" s="4" t="str">
        <f>IF(C117="","",IF(COUNTIF($C$2:C117,C117)=1,MAX($AF$1:AF116)+1,""))</f>
        <v/>
      </c>
      <c r="AG117" s="4" t="str">
        <f>IF(C117="","",COUNTIF($C$2:C117,C117))</f>
        <v/>
      </c>
      <c r="AH117" s="4" t="str">
        <f t="shared" si="25"/>
        <v/>
      </c>
      <c r="AI117" s="4" t="str">
        <f t="shared" si="26"/>
        <v/>
      </c>
      <c r="AJ117" s="4" t="str">
        <f t="shared" si="27"/>
        <v/>
      </c>
      <c r="AK117" s="15" t="str">
        <f>IF(A117="","",SUMIFS(分期缴税台账!$K$2:$K$501,分期缴税台账!$T$2:$T$501,A117,分期缴税台账!$Q$2:$Q$501,"有效"))</f>
        <v/>
      </c>
      <c r="AL117" s="15" t="str">
        <f t="shared" si="28"/>
        <v/>
      </c>
      <c r="AM117" s="4" t="str">
        <f t="shared" si="29"/>
        <v/>
      </c>
    </row>
    <row r="118" spans="1:39" x14ac:dyDescent="0.3">
      <c r="A118" s="9"/>
      <c r="B118" s="4" t="str">
        <f t="shared" si="15"/>
        <v/>
      </c>
      <c r="C118" s="9"/>
      <c r="D118" s="9"/>
      <c r="E118" s="9"/>
      <c r="F118" s="9"/>
      <c r="G118" s="13"/>
      <c r="H118" s="4" t="str">
        <f t="shared" si="16"/>
        <v/>
      </c>
      <c r="I118" s="9"/>
      <c r="J118" s="14"/>
      <c r="K118" s="15" t="str">
        <f>IF(OR(E118="",F118="",G118=""),"",IF(E118&lt;&gt;计划参数!$C$2,"",IF(F118="股票期权",IFERROR(LOOKUP(G118,计划参数!$D$12:$D$15,计划参数!$C$12:$C$15),""),IF(F118="限制性股票",计划参数!$C$10,""))))</f>
        <v/>
      </c>
      <c r="L118" s="15" t="str">
        <f>IF(AND(E118=计划参数!$C$2,F118="限制性股票",G118&gt;=计划参数!$D$9),计划参数!$C$9,"")</f>
        <v/>
      </c>
      <c r="M118" s="9"/>
      <c r="N118" s="14"/>
      <c r="O118" s="14"/>
      <c r="P118" s="13"/>
      <c r="Q118" s="9"/>
      <c r="R118" s="13"/>
      <c r="S118" s="15" t="str">
        <f t="shared" si="17"/>
        <v/>
      </c>
      <c r="T118" s="15" t="str">
        <f t="shared" si="18"/>
        <v/>
      </c>
      <c r="U118" s="15" t="str">
        <f t="shared" si="19"/>
        <v/>
      </c>
      <c r="V118" s="15" t="str">
        <f t="shared" si="20"/>
        <v/>
      </c>
      <c r="W118" s="16" t="str">
        <f>IF(V118="","",VLOOKUP(V118,税率及规则!$A$2:$C$8,2,TRUE))</f>
        <v/>
      </c>
      <c r="X118" s="15" t="str">
        <f>IF(V118="","",VLOOKUP(V118,税率及规则!$A$2:$C$8,3,TRUE))</f>
        <v/>
      </c>
      <c r="Y118" s="15" t="str">
        <f t="shared" si="21"/>
        <v/>
      </c>
      <c r="Z118" s="15" t="str">
        <f>IF(U118="","",MAX(0,U118*VLOOKUP(U118,税率及规则!$A$2:$C$8,2,TRUE)-VLOOKUP(U118,税率及规则!$A$2:$C$8,3,TRUE)))</f>
        <v/>
      </c>
      <c r="AA118" s="15" t="str">
        <f t="shared" si="22"/>
        <v/>
      </c>
      <c r="AB118" s="17" t="str">
        <f t="shared" si="23"/>
        <v/>
      </c>
      <c r="AC118" s="17" t="str">
        <f t="shared" si="24"/>
        <v/>
      </c>
      <c r="AD118" s="4" t="str">
        <f>IF(A118="","",IF(COUNTIF($A$2:$A$501,A118)&gt;1,"异常：事件编号重复",IF(OR(C118="",D118="",E118="",F118="",G118=""),"异常：必填项缺失",IF(AND(F118="其他股权激励",O118=""),"异常：其他股权激励所得缺失",IF(AND(F118&lt;&gt;"其他股权激励",OR(I118="",J118="")),"异常：数量或市场价缺失",IF(AND(F118&lt;&gt;"其他股权激励",OR(I118&lt;=0,J118&lt;0)),"异常：数量或价格无效",IF(AND(F118="限制性股票",OR(M118&lt;=0,N118&lt;0,I118&gt;M118)),"异常：个人获授或出资数据无效",IF(AND(IFERROR(INDEX(计划参数!$J$2:$J$501,MATCH(C118,计划参数!$I$2:$I$501,0)),"")&lt;&gt;"",D118&lt;&gt;IFERROR(INDEX(计划参数!$J$2:$J$501,MATCH(C118,计划参数!$I$2:$I$501,0)),"")),"异常：姓名与员工主数据不一致",IF(S118&lt;0,"异常：原始所得为负，已按0计税",IF(OR(AND(F118="股票期权",K118=""),AND(F118="限制性股票",OR(K118="",L118=""))),"异常：计划参数缺失",IF(COUNTIF(计划参数!$I$2:$I$501,C118)=0,"提示：员工编号未在主数据",IF(Q118&lt;&gt;"已备案","提示：未确认备案","正常"))))))))))))</f>
        <v/>
      </c>
      <c r="AE118" s="9"/>
      <c r="AF118" s="4" t="str">
        <f>IF(C118="","",IF(COUNTIF($C$2:C118,C118)=1,MAX($AF$1:AF117)+1,""))</f>
        <v/>
      </c>
      <c r="AG118" s="4" t="str">
        <f>IF(C118="","",COUNTIF($C$2:C118,C118))</f>
        <v/>
      </c>
      <c r="AH118" s="4" t="str">
        <f t="shared" si="25"/>
        <v/>
      </c>
      <c r="AI118" s="4" t="str">
        <f t="shared" si="26"/>
        <v/>
      </c>
      <c r="AJ118" s="4" t="str">
        <f t="shared" si="27"/>
        <v/>
      </c>
      <c r="AK118" s="15" t="str">
        <f>IF(A118="","",SUMIFS(分期缴税台账!$K$2:$K$501,分期缴税台账!$T$2:$T$501,A118,分期缴税台账!$Q$2:$Q$501,"有效"))</f>
        <v/>
      </c>
      <c r="AL118" s="15" t="str">
        <f t="shared" si="28"/>
        <v/>
      </c>
      <c r="AM118" s="4" t="str">
        <f t="shared" si="29"/>
        <v/>
      </c>
    </row>
    <row r="119" spans="1:39" x14ac:dyDescent="0.3">
      <c r="A119" s="9"/>
      <c r="B119" s="4" t="str">
        <f t="shared" si="15"/>
        <v/>
      </c>
      <c r="C119" s="9"/>
      <c r="D119" s="9"/>
      <c r="E119" s="9"/>
      <c r="F119" s="9"/>
      <c r="G119" s="13"/>
      <c r="H119" s="4" t="str">
        <f t="shared" si="16"/>
        <v/>
      </c>
      <c r="I119" s="9"/>
      <c r="J119" s="14"/>
      <c r="K119" s="15" t="str">
        <f>IF(OR(E119="",F119="",G119=""),"",IF(E119&lt;&gt;计划参数!$C$2,"",IF(F119="股票期权",IFERROR(LOOKUP(G119,计划参数!$D$12:$D$15,计划参数!$C$12:$C$15),""),IF(F119="限制性股票",计划参数!$C$10,""))))</f>
        <v/>
      </c>
      <c r="L119" s="15" t="str">
        <f>IF(AND(E119=计划参数!$C$2,F119="限制性股票",G119&gt;=计划参数!$D$9),计划参数!$C$9,"")</f>
        <v/>
      </c>
      <c r="M119" s="9"/>
      <c r="N119" s="14"/>
      <c r="O119" s="14"/>
      <c r="P119" s="13"/>
      <c r="Q119" s="9"/>
      <c r="R119" s="13"/>
      <c r="S119" s="15" t="str">
        <f t="shared" si="17"/>
        <v/>
      </c>
      <c r="T119" s="15" t="str">
        <f t="shared" si="18"/>
        <v/>
      </c>
      <c r="U119" s="15" t="str">
        <f t="shared" si="19"/>
        <v/>
      </c>
      <c r="V119" s="15" t="str">
        <f t="shared" si="20"/>
        <v/>
      </c>
      <c r="W119" s="16" t="str">
        <f>IF(V119="","",VLOOKUP(V119,税率及规则!$A$2:$C$8,2,TRUE))</f>
        <v/>
      </c>
      <c r="X119" s="15" t="str">
        <f>IF(V119="","",VLOOKUP(V119,税率及规则!$A$2:$C$8,3,TRUE))</f>
        <v/>
      </c>
      <c r="Y119" s="15" t="str">
        <f t="shared" si="21"/>
        <v/>
      </c>
      <c r="Z119" s="15" t="str">
        <f>IF(U119="","",MAX(0,U119*VLOOKUP(U119,税率及规则!$A$2:$C$8,2,TRUE)-VLOOKUP(U119,税率及规则!$A$2:$C$8,3,TRUE)))</f>
        <v/>
      </c>
      <c r="AA119" s="15" t="str">
        <f t="shared" si="22"/>
        <v/>
      </c>
      <c r="AB119" s="17" t="str">
        <f t="shared" si="23"/>
        <v/>
      </c>
      <c r="AC119" s="17" t="str">
        <f t="shared" si="24"/>
        <v/>
      </c>
      <c r="AD119" s="4" t="str">
        <f>IF(A119="","",IF(COUNTIF($A$2:$A$501,A119)&gt;1,"异常：事件编号重复",IF(OR(C119="",D119="",E119="",F119="",G119=""),"异常：必填项缺失",IF(AND(F119="其他股权激励",O119=""),"异常：其他股权激励所得缺失",IF(AND(F119&lt;&gt;"其他股权激励",OR(I119="",J119="")),"异常：数量或市场价缺失",IF(AND(F119&lt;&gt;"其他股权激励",OR(I119&lt;=0,J119&lt;0)),"异常：数量或价格无效",IF(AND(F119="限制性股票",OR(M119&lt;=0,N119&lt;0,I119&gt;M119)),"异常：个人获授或出资数据无效",IF(AND(IFERROR(INDEX(计划参数!$J$2:$J$501,MATCH(C119,计划参数!$I$2:$I$501,0)),"")&lt;&gt;"",D119&lt;&gt;IFERROR(INDEX(计划参数!$J$2:$J$501,MATCH(C119,计划参数!$I$2:$I$501,0)),"")),"异常：姓名与员工主数据不一致",IF(S119&lt;0,"异常：原始所得为负，已按0计税",IF(OR(AND(F119="股票期权",K119=""),AND(F119="限制性股票",OR(K119="",L119=""))),"异常：计划参数缺失",IF(COUNTIF(计划参数!$I$2:$I$501,C119)=0,"提示：员工编号未在主数据",IF(Q119&lt;&gt;"已备案","提示：未确认备案","正常"))))))))))))</f>
        <v/>
      </c>
      <c r="AE119" s="9"/>
      <c r="AF119" s="4" t="str">
        <f>IF(C119="","",IF(COUNTIF($C$2:C119,C119)=1,MAX($AF$1:AF118)+1,""))</f>
        <v/>
      </c>
      <c r="AG119" s="4" t="str">
        <f>IF(C119="","",COUNTIF($C$2:C119,C119))</f>
        <v/>
      </c>
      <c r="AH119" s="4" t="str">
        <f t="shared" si="25"/>
        <v/>
      </c>
      <c r="AI119" s="4" t="str">
        <f t="shared" si="26"/>
        <v/>
      </c>
      <c r="AJ119" s="4" t="str">
        <f t="shared" si="27"/>
        <v/>
      </c>
      <c r="AK119" s="15" t="str">
        <f>IF(A119="","",SUMIFS(分期缴税台账!$K$2:$K$501,分期缴税台账!$T$2:$T$501,A119,分期缴税台账!$Q$2:$Q$501,"有效"))</f>
        <v/>
      </c>
      <c r="AL119" s="15" t="str">
        <f t="shared" si="28"/>
        <v/>
      </c>
      <c r="AM119" s="4" t="str">
        <f t="shared" si="29"/>
        <v/>
      </c>
    </row>
    <row r="120" spans="1:39" x14ac:dyDescent="0.3">
      <c r="A120" s="9"/>
      <c r="B120" s="4" t="str">
        <f t="shared" si="15"/>
        <v/>
      </c>
      <c r="C120" s="9"/>
      <c r="D120" s="9"/>
      <c r="E120" s="9"/>
      <c r="F120" s="9"/>
      <c r="G120" s="13"/>
      <c r="H120" s="4" t="str">
        <f t="shared" si="16"/>
        <v/>
      </c>
      <c r="I120" s="9"/>
      <c r="J120" s="14"/>
      <c r="K120" s="15" t="str">
        <f>IF(OR(E120="",F120="",G120=""),"",IF(E120&lt;&gt;计划参数!$C$2,"",IF(F120="股票期权",IFERROR(LOOKUP(G120,计划参数!$D$12:$D$15,计划参数!$C$12:$C$15),""),IF(F120="限制性股票",计划参数!$C$10,""))))</f>
        <v/>
      </c>
      <c r="L120" s="15" t="str">
        <f>IF(AND(E120=计划参数!$C$2,F120="限制性股票",G120&gt;=计划参数!$D$9),计划参数!$C$9,"")</f>
        <v/>
      </c>
      <c r="M120" s="9"/>
      <c r="N120" s="14"/>
      <c r="O120" s="14"/>
      <c r="P120" s="13"/>
      <c r="Q120" s="9"/>
      <c r="R120" s="13"/>
      <c r="S120" s="15" t="str">
        <f t="shared" si="17"/>
        <v/>
      </c>
      <c r="T120" s="15" t="str">
        <f t="shared" si="18"/>
        <v/>
      </c>
      <c r="U120" s="15" t="str">
        <f t="shared" si="19"/>
        <v/>
      </c>
      <c r="V120" s="15" t="str">
        <f t="shared" si="20"/>
        <v/>
      </c>
      <c r="W120" s="16" t="str">
        <f>IF(V120="","",VLOOKUP(V120,税率及规则!$A$2:$C$8,2,TRUE))</f>
        <v/>
      </c>
      <c r="X120" s="15" t="str">
        <f>IF(V120="","",VLOOKUP(V120,税率及规则!$A$2:$C$8,3,TRUE))</f>
        <v/>
      </c>
      <c r="Y120" s="15" t="str">
        <f t="shared" si="21"/>
        <v/>
      </c>
      <c r="Z120" s="15" t="str">
        <f>IF(U120="","",MAX(0,U120*VLOOKUP(U120,税率及规则!$A$2:$C$8,2,TRUE)-VLOOKUP(U120,税率及规则!$A$2:$C$8,3,TRUE)))</f>
        <v/>
      </c>
      <c r="AA120" s="15" t="str">
        <f t="shared" si="22"/>
        <v/>
      </c>
      <c r="AB120" s="17" t="str">
        <f t="shared" si="23"/>
        <v/>
      </c>
      <c r="AC120" s="17" t="str">
        <f t="shared" si="24"/>
        <v/>
      </c>
      <c r="AD120" s="4" t="str">
        <f>IF(A120="","",IF(COUNTIF($A$2:$A$501,A120)&gt;1,"异常：事件编号重复",IF(OR(C120="",D120="",E120="",F120="",G120=""),"异常：必填项缺失",IF(AND(F120="其他股权激励",O120=""),"异常：其他股权激励所得缺失",IF(AND(F120&lt;&gt;"其他股权激励",OR(I120="",J120="")),"异常：数量或市场价缺失",IF(AND(F120&lt;&gt;"其他股权激励",OR(I120&lt;=0,J120&lt;0)),"异常：数量或价格无效",IF(AND(F120="限制性股票",OR(M120&lt;=0,N120&lt;0,I120&gt;M120)),"异常：个人获授或出资数据无效",IF(AND(IFERROR(INDEX(计划参数!$J$2:$J$501,MATCH(C120,计划参数!$I$2:$I$501,0)),"")&lt;&gt;"",D120&lt;&gt;IFERROR(INDEX(计划参数!$J$2:$J$501,MATCH(C120,计划参数!$I$2:$I$501,0)),"")),"异常：姓名与员工主数据不一致",IF(S120&lt;0,"异常：原始所得为负，已按0计税",IF(OR(AND(F120="股票期权",K120=""),AND(F120="限制性股票",OR(K120="",L120=""))),"异常：计划参数缺失",IF(COUNTIF(计划参数!$I$2:$I$501,C120)=0,"提示：员工编号未在主数据",IF(Q120&lt;&gt;"已备案","提示：未确认备案","正常"))))))))))))</f>
        <v/>
      </c>
      <c r="AE120" s="9"/>
      <c r="AF120" s="4" t="str">
        <f>IF(C120="","",IF(COUNTIF($C$2:C120,C120)=1,MAX($AF$1:AF119)+1,""))</f>
        <v/>
      </c>
      <c r="AG120" s="4" t="str">
        <f>IF(C120="","",COUNTIF($C$2:C120,C120))</f>
        <v/>
      </c>
      <c r="AH120" s="4" t="str">
        <f t="shared" si="25"/>
        <v/>
      </c>
      <c r="AI120" s="4" t="str">
        <f t="shared" si="26"/>
        <v/>
      </c>
      <c r="AJ120" s="4" t="str">
        <f t="shared" si="27"/>
        <v/>
      </c>
      <c r="AK120" s="15" t="str">
        <f>IF(A120="","",SUMIFS(分期缴税台账!$K$2:$K$501,分期缴税台账!$T$2:$T$501,A120,分期缴税台账!$Q$2:$Q$501,"有效"))</f>
        <v/>
      </c>
      <c r="AL120" s="15" t="str">
        <f t="shared" si="28"/>
        <v/>
      </c>
      <c r="AM120" s="4" t="str">
        <f t="shared" si="29"/>
        <v/>
      </c>
    </row>
    <row r="121" spans="1:39" x14ac:dyDescent="0.3">
      <c r="A121" s="9"/>
      <c r="B121" s="4" t="str">
        <f t="shared" si="15"/>
        <v/>
      </c>
      <c r="C121" s="9"/>
      <c r="D121" s="9"/>
      <c r="E121" s="9"/>
      <c r="F121" s="9"/>
      <c r="G121" s="13"/>
      <c r="H121" s="4" t="str">
        <f t="shared" si="16"/>
        <v/>
      </c>
      <c r="I121" s="9"/>
      <c r="J121" s="14"/>
      <c r="K121" s="15" t="str">
        <f>IF(OR(E121="",F121="",G121=""),"",IF(E121&lt;&gt;计划参数!$C$2,"",IF(F121="股票期权",IFERROR(LOOKUP(G121,计划参数!$D$12:$D$15,计划参数!$C$12:$C$15),""),IF(F121="限制性股票",计划参数!$C$10,""))))</f>
        <v/>
      </c>
      <c r="L121" s="15" t="str">
        <f>IF(AND(E121=计划参数!$C$2,F121="限制性股票",G121&gt;=计划参数!$D$9),计划参数!$C$9,"")</f>
        <v/>
      </c>
      <c r="M121" s="9"/>
      <c r="N121" s="14"/>
      <c r="O121" s="14"/>
      <c r="P121" s="13"/>
      <c r="Q121" s="9"/>
      <c r="R121" s="13"/>
      <c r="S121" s="15" t="str">
        <f t="shared" si="17"/>
        <v/>
      </c>
      <c r="T121" s="15" t="str">
        <f t="shared" si="18"/>
        <v/>
      </c>
      <c r="U121" s="15" t="str">
        <f t="shared" si="19"/>
        <v/>
      </c>
      <c r="V121" s="15" t="str">
        <f t="shared" si="20"/>
        <v/>
      </c>
      <c r="W121" s="16" t="str">
        <f>IF(V121="","",VLOOKUP(V121,税率及规则!$A$2:$C$8,2,TRUE))</f>
        <v/>
      </c>
      <c r="X121" s="15" t="str">
        <f>IF(V121="","",VLOOKUP(V121,税率及规则!$A$2:$C$8,3,TRUE))</f>
        <v/>
      </c>
      <c r="Y121" s="15" t="str">
        <f t="shared" si="21"/>
        <v/>
      </c>
      <c r="Z121" s="15" t="str">
        <f>IF(U121="","",MAX(0,U121*VLOOKUP(U121,税率及规则!$A$2:$C$8,2,TRUE)-VLOOKUP(U121,税率及规则!$A$2:$C$8,3,TRUE)))</f>
        <v/>
      </c>
      <c r="AA121" s="15" t="str">
        <f t="shared" si="22"/>
        <v/>
      </c>
      <c r="AB121" s="17" t="str">
        <f t="shared" si="23"/>
        <v/>
      </c>
      <c r="AC121" s="17" t="str">
        <f t="shared" si="24"/>
        <v/>
      </c>
      <c r="AD121" s="4" t="str">
        <f>IF(A121="","",IF(COUNTIF($A$2:$A$501,A121)&gt;1,"异常：事件编号重复",IF(OR(C121="",D121="",E121="",F121="",G121=""),"异常：必填项缺失",IF(AND(F121="其他股权激励",O121=""),"异常：其他股权激励所得缺失",IF(AND(F121&lt;&gt;"其他股权激励",OR(I121="",J121="")),"异常：数量或市场价缺失",IF(AND(F121&lt;&gt;"其他股权激励",OR(I121&lt;=0,J121&lt;0)),"异常：数量或价格无效",IF(AND(F121="限制性股票",OR(M121&lt;=0,N121&lt;0,I121&gt;M121)),"异常：个人获授或出资数据无效",IF(AND(IFERROR(INDEX(计划参数!$J$2:$J$501,MATCH(C121,计划参数!$I$2:$I$501,0)),"")&lt;&gt;"",D121&lt;&gt;IFERROR(INDEX(计划参数!$J$2:$J$501,MATCH(C121,计划参数!$I$2:$I$501,0)),"")),"异常：姓名与员工主数据不一致",IF(S121&lt;0,"异常：原始所得为负，已按0计税",IF(OR(AND(F121="股票期权",K121=""),AND(F121="限制性股票",OR(K121="",L121=""))),"异常：计划参数缺失",IF(COUNTIF(计划参数!$I$2:$I$501,C121)=0,"提示：员工编号未在主数据",IF(Q121&lt;&gt;"已备案","提示：未确认备案","正常"))))))))))))</f>
        <v/>
      </c>
      <c r="AE121" s="9"/>
      <c r="AF121" s="4" t="str">
        <f>IF(C121="","",IF(COUNTIF($C$2:C121,C121)=1,MAX($AF$1:AF120)+1,""))</f>
        <v/>
      </c>
      <c r="AG121" s="4" t="str">
        <f>IF(C121="","",COUNTIF($C$2:C121,C121))</f>
        <v/>
      </c>
      <c r="AH121" s="4" t="str">
        <f t="shared" si="25"/>
        <v/>
      </c>
      <c r="AI121" s="4" t="str">
        <f t="shared" si="26"/>
        <v/>
      </c>
      <c r="AJ121" s="4" t="str">
        <f t="shared" si="27"/>
        <v/>
      </c>
      <c r="AK121" s="15" t="str">
        <f>IF(A121="","",SUMIFS(分期缴税台账!$K$2:$K$501,分期缴税台账!$T$2:$T$501,A121,分期缴税台账!$Q$2:$Q$501,"有效"))</f>
        <v/>
      </c>
      <c r="AL121" s="15" t="str">
        <f t="shared" si="28"/>
        <v/>
      </c>
      <c r="AM121" s="4" t="str">
        <f t="shared" si="29"/>
        <v/>
      </c>
    </row>
    <row r="122" spans="1:39" x14ac:dyDescent="0.3">
      <c r="A122" s="9"/>
      <c r="B122" s="4" t="str">
        <f t="shared" si="15"/>
        <v/>
      </c>
      <c r="C122" s="9"/>
      <c r="D122" s="9"/>
      <c r="E122" s="9"/>
      <c r="F122" s="9"/>
      <c r="G122" s="13"/>
      <c r="H122" s="4" t="str">
        <f t="shared" si="16"/>
        <v/>
      </c>
      <c r="I122" s="9"/>
      <c r="J122" s="14"/>
      <c r="K122" s="15" t="str">
        <f>IF(OR(E122="",F122="",G122=""),"",IF(E122&lt;&gt;计划参数!$C$2,"",IF(F122="股票期权",IFERROR(LOOKUP(G122,计划参数!$D$12:$D$15,计划参数!$C$12:$C$15),""),IF(F122="限制性股票",计划参数!$C$10,""))))</f>
        <v/>
      </c>
      <c r="L122" s="15" t="str">
        <f>IF(AND(E122=计划参数!$C$2,F122="限制性股票",G122&gt;=计划参数!$D$9),计划参数!$C$9,"")</f>
        <v/>
      </c>
      <c r="M122" s="9"/>
      <c r="N122" s="14"/>
      <c r="O122" s="14"/>
      <c r="P122" s="13"/>
      <c r="Q122" s="9"/>
      <c r="R122" s="13"/>
      <c r="S122" s="15" t="str">
        <f t="shared" si="17"/>
        <v/>
      </c>
      <c r="T122" s="15" t="str">
        <f t="shared" si="18"/>
        <v/>
      </c>
      <c r="U122" s="15" t="str">
        <f t="shared" si="19"/>
        <v/>
      </c>
      <c r="V122" s="15" t="str">
        <f t="shared" si="20"/>
        <v/>
      </c>
      <c r="W122" s="16" t="str">
        <f>IF(V122="","",VLOOKUP(V122,税率及规则!$A$2:$C$8,2,TRUE))</f>
        <v/>
      </c>
      <c r="X122" s="15" t="str">
        <f>IF(V122="","",VLOOKUP(V122,税率及规则!$A$2:$C$8,3,TRUE))</f>
        <v/>
      </c>
      <c r="Y122" s="15" t="str">
        <f t="shared" si="21"/>
        <v/>
      </c>
      <c r="Z122" s="15" t="str">
        <f>IF(U122="","",MAX(0,U122*VLOOKUP(U122,税率及规则!$A$2:$C$8,2,TRUE)-VLOOKUP(U122,税率及规则!$A$2:$C$8,3,TRUE)))</f>
        <v/>
      </c>
      <c r="AA122" s="15" t="str">
        <f t="shared" si="22"/>
        <v/>
      </c>
      <c r="AB122" s="17" t="str">
        <f t="shared" si="23"/>
        <v/>
      </c>
      <c r="AC122" s="17" t="str">
        <f t="shared" si="24"/>
        <v/>
      </c>
      <c r="AD122" s="4" t="str">
        <f>IF(A122="","",IF(COUNTIF($A$2:$A$501,A122)&gt;1,"异常：事件编号重复",IF(OR(C122="",D122="",E122="",F122="",G122=""),"异常：必填项缺失",IF(AND(F122="其他股权激励",O122=""),"异常：其他股权激励所得缺失",IF(AND(F122&lt;&gt;"其他股权激励",OR(I122="",J122="")),"异常：数量或市场价缺失",IF(AND(F122&lt;&gt;"其他股权激励",OR(I122&lt;=0,J122&lt;0)),"异常：数量或价格无效",IF(AND(F122="限制性股票",OR(M122&lt;=0,N122&lt;0,I122&gt;M122)),"异常：个人获授或出资数据无效",IF(AND(IFERROR(INDEX(计划参数!$J$2:$J$501,MATCH(C122,计划参数!$I$2:$I$501,0)),"")&lt;&gt;"",D122&lt;&gt;IFERROR(INDEX(计划参数!$J$2:$J$501,MATCH(C122,计划参数!$I$2:$I$501,0)),"")),"异常：姓名与员工主数据不一致",IF(S122&lt;0,"异常：原始所得为负，已按0计税",IF(OR(AND(F122="股票期权",K122=""),AND(F122="限制性股票",OR(K122="",L122=""))),"异常：计划参数缺失",IF(COUNTIF(计划参数!$I$2:$I$501,C122)=0,"提示：员工编号未在主数据",IF(Q122&lt;&gt;"已备案","提示：未确认备案","正常"))))))))))))</f>
        <v/>
      </c>
      <c r="AE122" s="9"/>
      <c r="AF122" s="4" t="str">
        <f>IF(C122="","",IF(COUNTIF($C$2:C122,C122)=1,MAX($AF$1:AF121)+1,""))</f>
        <v/>
      </c>
      <c r="AG122" s="4" t="str">
        <f>IF(C122="","",COUNTIF($C$2:C122,C122))</f>
        <v/>
      </c>
      <c r="AH122" s="4" t="str">
        <f t="shared" si="25"/>
        <v/>
      </c>
      <c r="AI122" s="4" t="str">
        <f t="shared" si="26"/>
        <v/>
      </c>
      <c r="AJ122" s="4" t="str">
        <f t="shared" si="27"/>
        <v/>
      </c>
      <c r="AK122" s="15" t="str">
        <f>IF(A122="","",SUMIFS(分期缴税台账!$K$2:$K$501,分期缴税台账!$T$2:$T$501,A122,分期缴税台账!$Q$2:$Q$501,"有效"))</f>
        <v/>
      </c>
      <c r="AL122" s="15" t="str">
        <f t="shared" si="28"/>
        <v/>
      </c>
      <c r="AM122" s="4" t="str">
        <f t="shared" si="29"/>
        <v/>
      </c>
    </row>
    <row r="123" spans="1:39" x14ac:dyDescent="0.3">
      <c r="A123" s="9"/>
      <c r="B123" s="4" t="str">
        <f t="shared" si="15"/>
        <v/>
      </c>
      <c r="C123" s="9"/>
      <c r="D123" s="9"/>
      <c r="E123" s="9"/>
      <c r="F123" s="9"/>
      <c r="G123" s="13"/>
      <c r="H123" s="4" t="str">
        <f t="shared" si="16"/>
        <v/>
      </c>
      <c r="I123" s="9"/>
      <c r="J123" s="14"/>
      <c r="K123" s="15" t="str">
        <f>IF(OR(E123="",F123="",G123=""),"",IF(E123&lt;&gt;计划参数!$C$2,"",IF(F123="股票期权",IFERROR(LOOKUP(G123,计划参数!$D$12:$D$15,计划参数!$C$12:$C$15),""),IF(F123="限制性股票",计划参数!$C$10,""))))</f>
        <v/>
      </c>
      <c r="L123" s="15" t="str">
        <f>IF(AND(E123=计划参数!$C$2,F123="限制性股票",G123&gt;=计划参数!$D$9),计划参数!$C$9,"")</f>
        <v/>
      </c>
      <c r="M123" s="9"/>
      <c r="N123" s="14"/>
      <c r="O123" s="14"/>
      <c r="P123" s="13"/>
      <c r="Q123" s="9"/>
      <c r="R123" s="13"/>
      <c r="S123" s="15" t="str">
        <f t="shared" si="17"/>
        <v/>
      </c>
      <c r="T123" s="15" t="str">
        <f t="shared" si="18"/>
        <v/>
      </c>
      <c r="U123" s="15" t="str">
        <f t="shared" si="19"/>
        <v/>
      </c>
      <c r="V123" s="15" t="str">
        <f t="shared" si="20"/>
        <v/>
      </c>
      <c r="W123" s="16" t="str">
        <f>IF(V123="","",VLOOKUP(V123,税率及规则!$A$2:$C$8,2,TRUE))</f>
        <v/>
      </c>
      <c r="X123" s="15" t="str">
        <f>IF(V123="","",VLOOKUP(V123,税率及规则!$A$2:$C$8,3,TRUE))</f>
        <v/>
      </c>
      <c r="Y123" s="15" t="str">
        <f t="shared" si="21"/>
        <v/>
      </c>
      <c r="Z123" s="15" t="str">
        <f>IF(U123="","",MAX(0,U123*VLOOKUP(U123,税率及规则!$A$2:$C$8,2,TRUE)-VLOOKUP(U123,税率及规则!$A$2:$C$8,3,TRUE)))</f>
        <v/>
      </c>
      <c r="AA123" s="15" t="str">
        <f t="shared" si="22"/>
        <v/>
      </c>
      <c r="AB123" s="17" t="str">
        <f t="shared" si="23"/>
        <v/>
      </c>
      <c r="AC123" s="17" t="str">
        <f t="shared" si="24"/>
        <v/>
      </c>
      <c r="AD123" s="4" t="str">
        <f>IF(A123="","",IF(COUNTIF($A$2:$A$501,A123)&gt;1,"异常：事件编号重复",IF(OR(C123="",D123="",E123="",F123="",G123=""),"异常：必填项缺失",IF(AND(F123="其他股权激励",O123=""),"异常：其他股权激励所得缺失",IF(AND(F123&lt;&gt;"其他股权激励",OR(I123="",J123="")),"异常：数量或市场价缺失",IF(AND(F123&lt;&gt;"其他股权激励",OR(I123&lt;=0,J123&lt;0)),"异常：数量或价格无效",IF(AND(F123="限制性股票",OR(M123&lt;=0,N123&lt;0,I123&gt;M123)),"异常：个人获授或出资数据无效",IF(AND(IFERROR(INDEX(计划参数!$J$2:$J$501,MATCH(C123,计划参数!$I$2:$I$501,0)),"")&lt;&gt;"",D123&lt;&gt;IFERROR(INDEX(计划参数!$J$2:$J$501,MATCH(C123,计划参数!$I$2:$I$501,0)),"")),"异常：姓名与员工主数据不一致",IF(S123&lt;0,"异常：原始所得为负，已按0计税",IF(OR(AND(F123="股票期权",K123=""),AND(F123="限制性股票",OR(K123="",L123=""))),"异常：计划参数缺失",IF(COUNTIF(计划参数!$I$2:$I$501,C123)=0,"提示：员工编号未在主数据",IF(Q123&lt;&gt;"已备案","提示：未确认备案","正常"))))))))))))</f>
        <v/>
      </c>
      <c r="AE123" s="9"/>
      <c r="AF123" s="4" t="str">
        <f>IF(C123="","",IF(COUNTIF($C$2:C123,C123)=1,MAX($AF$1:AF122)+1,""))</f>
        <v/>
      </c>
      <c r="AG123" s="4" t="str">
        <f>IF(C123="","",COUNTIF($C$2:C123,C123))</f>
        <v/>
      </c>
      <c r="AH123" s="4" t="str">
        <f t="shared" si="25"/>
        <v/>
      </c>
      <c r="AI123" s="4" t="str">
        <f t="shared" si="26"/>
        <v/>
      </c>
      <c r="AJ123" s="4" t="str">
        <f t="shared" si="27"/>
        <v/>
      </c>
      <c r="AK123" s="15" t="str">
        <f>IF(A123="","",SUMIFS(分期缴税台账!$K$2:$K$501,分期缴税台账!$T$2:$T$501,A123,分期缴税台账!$Q$2:$Q$501,"有效"))</f>
        <v/>
      </c>
      <c r="AL123" s="15" t="str">
        <f t="shared" si="28"/>
        <v/>
      </c>
      <c r="AM123" s="4" t="str">
        <f t="shared" si="29"/>
        <v/>
      </c>
    </row>
    <row r="124" spans="1:39" x14ac:dyDescent="0.3">
      <c r="A124" s="9"/>
      <c r="B124" s="4" t="str">
        <f t="shared" si="15"/>
        <v/>
      </c>
      <c r="C124" s="9"/>
      <c r="D124" s="9"/>
      <c r="E124" s="9"/>
      <c r="F124" s="9"/>
      <c r="G124" s="13"/>
      <c r="H124" s="4" t="str">
        <f t="shared" si="16"/>
        <v/>
      </c>
      <c r="I124" s="9"/>
      <c r="J124" s="14"/>
      <c r="K124" s="15" t="str">
        <f>IF(OR(E124="",F124="",G124=""),"",IF(E124&lt;&gt;计划参数!$C$2,"",IF(F124="股票期权",IFERROR(LOOKUP(G124,计划参数!$D$12:$D$15,计划参数!$C$12:$C$15),""),IF(F124="限制性股票",计划参数!$C$10,""))))</f>
        <v/>
      </c>
      <c r="L124" s="15" t="str">
        <f>IF(AND(E124=计划参数!$C$2,F124="限制性股票",G124&gt;=计划参数!$D$9),计划参数!$C$9,"")</f>
        <v/>
      </c>
      <c r="M124" s="9"/>
      <c r="N124" s="14"/>
      <c r="O124" s="14"/>
      <c r="P124" s="13"/>
      <c r="Q124" s="9"/>
      <c r="R124" s="13"/>
      <c r="S124" s="15" t="str">
        <f t="shared" si="17"/>
        <v/>
      </c>
      <c r="T124" s="15" t="str">
        <f t="shared" si="18"/>
        <v/>
      </c>
      <c r="U124" s="15" t="str">
        <f t="shared" si="19"/>
        <v/>
      </c>
      <c r="V124" s="15" t="str">
        <f t="shared" si="20"/>
        <v/>
      </c>
      <c r="W124" s="16" t="str">
        <f>IF(V124="","",VLOOKUP(V124,税率及规则!$A$2:$C$8,2,TRUE))</f>
        <v/>
      </c>
      <c r="X124" s="15" t="str">
        <f>IF(V124="","",VLOOKUP(V124,税率及规则!$A$2:$C$8,3,TRUE))</f>
        <v/>
      </c>
      <c r="Y124" s="15" t="str">
        <f t="shared" si="21"/>
        <v/>
      </c>
      <c r="Z124" s="15" t="str">
        <f>IF(U124="","",MAX(0,U124*VLOOKUP(U124,税率及规则!$A$2:$C$8,2,TRUE)-VLOOKUP(U124,税率及规则!$A$2:$C$8,3,TRUE)))</f>
        <v/>
      </c>
      <c r="AA124" s="15" t="str">
        <f t="shared" si="22"/>
        <v/>
      </c>
      <c r="AB124" s="17" t="str">
        <f t="shared" si="23"/>
        <v/>
      </c>
      <c r="AC124" s="17" t="str">
        <f t="shared" si="24"/>
        <v/>
      </c>
      <c r="AD124" s="4" t="str">
        <f>IF(A124="","",IF(COUNTIF($A$2:$A$501,A124)&gt;1,"异常：事件编号重复",IF(OR(C124="",D124="",E124="",F124="",G124=""),"异常：必填项缺失",IF(AND(F124="其他股权激励",O124=""),"异常：其他股权激励所得缺失",IF(AND(F124&lt;&gt;"其他股权激励",OR(I124="",J124="")),"异常：数量或市场价缺失",IF(AND(F124&lt;&gt;"其他股权激励",OR(I124&lt;=0,J124&lt;0)),"异常：数量或价格无效",IF(AND(F124="限制性股票",OR(M124&lt;=0,N124&lt;0,I124&gt;M124)),"异常：个人获授或出资数据无效",IF(AND(IFERROR(INDEX(计划参数!$J$2:$J$501,MATCH(C124,计划参数!$I$2:$I$501,0)),"")&lt;&gt;"",D124&lt;&gt;IFERROR(INDEX(计划参数!$J$2:$J$501,MATCH(C124,计划参数!$I$2:$I$501,0)),"")),"异常：姓名与员工主数据不一致",IF(S124&lt;0,"异常：原始所得为负，已按0计税",IF(OR(AND(F124="股票期权",K124=""),AND(F124="限制性股票",OR(K124="",L124=""))),"异常：计划参数缺失",IF(COUNTIF(计划参数!$I$2:$I$501,C124)=0,"提示：员工编号未在主数据",IF(Q124&lt;&gt;"已备案","提示：未确认备案","正常"))))))))))))</f>
        <v/>
      </c>
      <c r="AE124" s="9"/>
      <c r="AF124" s="4" t="str">
        <f>IF(C124="","",IF(COUNTIF($C$2:C124,C124)=1,MAX($AF$1:AF123)+1,""))</f>
        <v/>
      </c>
      <c r="AG124" s="4" t="str">
        <f>IF(C124="","",COUNTIF($C$2:C124,C124))</f>
        <v/>
      </c>
      <c r="AH124" s="4" t="str">
        <f t="shared" si="25"/>
        <v/>
      </c>
      <c r="AI124" s="4" t="str">
        <f t="shared" si="26"/>
        <v/>
      </c>
      <c r="AJ124" s="4" t="str">
        <f t="shared" si="27"/>
        <v/>
      </c>
      <c r="AK124" s="15" t="str">
        <f>IF(A124="","",SUMIFS(分期缴税台账!$K$2:$K$501,分期缴税台账!$T$2:$T$501,A124,分期缴税台账!$Q$2:$Q$501,"有效"))</f>
        <v/>
      </c>
      <c r="AL124" s="15" t="str">
        <f t="shared" si="28"/>
        <v/>
      </c>
      <c r="AM124" s="4" t="str">
        <f t="shared" si="29"/>
        <v/>
      </c>
    </row>
    <row r="125" spans="1:39" x14ac:dyDescent="0.3">
      <c r="A125" s="9"/>
      <c r="B125" s="4" t="str">
        <f t="shared" si="15"/>
        <v/>
      </c>
      <c r="C125" s="9"/>
      <c r="D125" s="9"/>
      <c r="E125" s="9"/>
      <c r="F125" s="9"/>
      <c r="G125" s="13"/>
      <c r="H125" s="4" t="str">
        <f t="shared" si="16"/>
        <v/>
      </c>
      <c r="I125" s="9"/>
      <c r="J125" s="14"/>
      <c r="K125" s="15" t="str">
        <f>IF(OR(E125="",F125="",G125=""),"",IF(E125&lt;&gt;计划参数!$C$2,"",IF(F125="股票期权",IFERROR(LOOKUP(G125,计划参数!$D$12:$D$15,计划参数!$C$12:$C$15),""),IF(F125="限制性股票",计划参数!$C$10,""))))</f>
        <v/>
      </c>
      <c r="L125" s="15" t="str">
        <f>IF(AND(E125=计划参数!$C$2,F125="限制性股票",G125&gt;=计划参数!$D$9),计划参数!$C$9,"")</f>
        <v/>
      </c>
      <c r="M125" s="9"/>
      <c r="N125" s="14"/>
      <c r="O125" s="14"/>
      <c r="P125" s="13"/>
      <c r="Q125" s="9"/>
      <c r="R125" s="13"/>
      <c r="S125" s="15" t="str">
        <f t="shared" si="17"/>
        <v/>
      </c>
      <c r="T125" s="15" t="str">
        <f t="shared" si="18"/>
        <v/>
      </c>
      <c r="U125" s="15" t="str">
        <f t="shared" si="19"/>
        <v/>
      </c>
      <c r="V125" s="15" t="str">
        <f t="shared" si="20"/>
        <v/>
      </c>
      <c r="W125" s="16" t="str">
        <f>IF(V125="","",VLOOKUP(V125,税率及规则!$A$2:$C$8,2,TRUE))</f>
        <v/>
      </c>
      <c r="X125" s="15" t="str">
        <f>IF(V125="","",VLOOKUP(V125,税率及规则!$A$2:$C$8,3,TRUE))</f>
        <v/>
      </c>
      <c r="Y125" s="15" t="str">
        <f t="shared" si="21"/>
        <v/>
      </c>
      <c r="Z125" s="15" t="str">
        <f>IF(U125="","",MAX(0,U125*VLOOKUP(U125,税率及规则!$A$2:$C$8,2,TRUE)-VLOOKUP(U125,税率及规则!$A$2:$C$8,3,TRUE)))</f>
        <v/>
      </c>
      <c r="AA125" s="15" t="str">
        <f t="shared" si="22"/>
        <v/>
      </c>
      <c r="AB125" s="17" t="str">
        <f t="shared" si="23"/>
        <v/>
      </c>
      <c r="AC125" s="17" t="str">
        <f t="shared" si="24"/>
        <v/>
      </c>
      <c r="AD125" s="4" t="str">
        <f>IF(A125="","",IF(COUNTIF($A$2:$A$501,A125)&gt;1,"异常：事件编号重复",IF(OR(C125="",D125="",E125="",F125="",G125=""),"异常：必填项缺失",IF(AND(F125="其他股权激励",O125=""),"异常：其他股权激励所得缺失",IF(AND(F125&lt;&gt;"其他股权激励",OR(I125="",J125="")),"异常：数量或市场价缺失",IF(AND(F125&lt;&gt;"其他股权激励",OR(I125&lt;=0,J125&lt;0)),"异常：数量或价格无效",IF(AND(F125="限制性股票",OR(M125&lt;=0,N125&lt;0,I125&gt;M125)),"异常：个人获授或出资数据无效",IF(AND(IFERROR(INDEX(计划参数!$J$2:$J$501,MATCH(C125,计划参数!$I$2:$I$501,0)),"")&lt;&gt;"",D125&lt;&gt;IFERROR(INDEX(计划参数!$J$2:$J$501,MATCH(C125,计划参数!$I$2:$I$501,0)),"")),"异常：姓名与员工主数据不一致",IF(S125&lt;0,"异常：原始所得为负，已按0计税",IF(OR(AND(F125="股票期权",K125=""),AND(F125="限制性股票",OR(K125="",L125=""))),"异常：计划参数缺失",IF(COUNTIF(计划参数!$I$2:$I$501,C125)=0,"提示：员工编号未在主数据",IF(Q125&lt;&gt;"已备案","提示：未确认备案","正常"))))))))))))</f>
        <v/>
      </c>
      <c r="AE125" s="9"/>
      <c r="AF125" s="4" t="str">
        <f>IF(C125="","",IF(COUNTIF($C$2:C125,C125)=1,MAX($AF$1:AF124)+1,""))</f>
        <v/>
      </c>
      <c r="AG125" s="4" t="str">
        <f>IF(C125="","",COUNTIF($C$2:C125,C125))</f>
        <v/>
      </c>
      <c r="AH125" s="4" t="str">
        <f t="shared" si="25"/>
        <v/>
      </c>
      <c r="AI125" s="4" t="str">
        <f t="shared" si="26"/>
        <v/>
      </c>
      <c r="AJ125" s="4" t="str">
        <f t="shared" si="27"/>
        <v/>
      </c>
      <c r="AK125" s="15" t="str">
        <f>IF(A125="","",SUMIFS(分期缴税台账!$K$2:$K$501,分期缴税台账!$T$2:$T$501,A125,分期缴税台账!$Q$2:$Q$501,"有效"))</f>
        <v/>
      </c>
      <c r="AL125" s="15" t="str">
        <f t="shared" si="28"/>
        <v/>
      </c>
      <c r="AM125" s="4" t="str">
        <f t="shared" si="29"/>
        <v/>
      </c>
    </row>
    <row r="126" spans="1:39" x14ac:dyDescent="0.3">
      <c r="A126" s="9"/>
      <c r="B126" s="4" t="str">
        <f t="shared" si="15"/>
        <v/>
      </c>
      <c r="C126" s="9"/>
      <c r="D126" s="9"/>
      <c r="E126" s="9"/>
      <c r="F126" s="9"/>
      <c r="G126" s="13"/>
      <c r="H126" s="4" t="str">
        <f t="shared" si="16"/>
        <v/>
      </c>
      <c r="I126" s="9"/>
      <c r="J126" s="14"/>
      <c r="K126" s="15" t="str">
        <f>IF(OR(E126="",F126="",G126=""),"",IF(E126&lt;&gt;计划参数!$C$2,"",IF(F126="股票期权",IFERROR(LOOKUP(G126,计划参数!$D$12:$D$15,计划参数!$C$12:$C$15),""),IF(F126="限制性股票",计划参数!$C$10,""))))</f>
        <v/>
      </c>
      <c r="L126" s="15" t="str">
        <f>IF(AND(E126=计划参数!$C$2,F126="限制性股票",G126&gt;=计划参数!$D$9),计划参数!$C$9,"")</f>
        <v/>
      </c>
      <c r="M126" s="9"/>
      <c r="N126" s="14"/>
      <c r="O126" s="14"/>
      <c r="P126" s="13"/>
      <c r="Q126" s="9"/>
      <c r="R126" s="13"/>
      <c r="S126" s="15" t="str">
        <f t="shared" si="17"/>
        <v/>
      </c>
      <c r="T126" s="15" t="str">
        <f t="shared" si="18"/>
        <v/>
      </c>
      <c r="U126" s="15" t="str">
        <f t="shared" si="19"/>
        <v/>
      </c>
      <c r="V126" s="15" t="str">
        <f t="shared" si="20"/>
        <v/>
      </c>
      <c r="W126" s="16" t="str">
        <f>IF(V126="","",VLOOKUP(V126,税率及规则!$A$2:$C$8,2,TRUE))</f>
        <v/>
      </c>
      <c r="X126" s="15" t="str">
        <f>IF(V126="","",VLOOKUP(V126,税率及规则!$A$2:$C$8,3,TRUE))</f>
        <v/>
      </c>
      <c r="Y126" s="15" t="str">
        <f t="shared" si="21"/>
        <v/>
      </c>
      <c r="Z126" s="15" t="str">
        <f>IF(U126="","",MAX(0,U126*VLOOKUP(U126,税率及规则!$A$2:$C$8,2,TRUE)-VLOOKUP(U126,税率及规则!$A$2:$C$8,3,TRUE)))</f>
        <v/>
      </c>
      <c r="AA126" s="15" t="str">
        <f t="shared" si="22"/>
        <v/>
      </c>
      <c r="AB126" s="17" t="str">
        <f t="shared" si="23"/>
        <v/>
      </c>
      <c r="AC126" s="17" t="str">
        <f t="shared" si="24"/>
        <v/>
      </c>
      <c r="AD126" s="4" t="str">
        <f>IF(A126="","",IF(COUNTIF($A$2:$A$501,A126)&gt;1,"异常：事件编号重复",IF(OR(C126="",D126="",E126="",F126="",G126=""),"异常：必填项缺失",IF(AND(F126="其他股权激励",O126=""),"异常：其他股权激励所得缺失",IF(AND(F126&lt;&gt;"其他股权激励",OR(I126="",J126="")),"异常：数量或市场价缺失",IF(AND(F126&lt;&gt;"其他股权激励",OR(I126&lt;=0,J126&lt;0)),"异常：数量或价格无效",IF(AND(F126="限制性股票",OR(M126&lt;=0,N126&lt;0,I126&gt;M126)),"异常：个人获授或出资数据无效",IF(AND(IFERROR(INDEX(计划参数!$J$2:$J$501,MATCH(C126,计划参数!$I$2:$I$501,0)),"")&lt;&gt;"",D126&lt;&gt;IFERROR(INDEX(计划参数!$J$2:$J$501,MATCH(C126,计划参数!$I$2:$I$501,0)),"")),"异常：姓名与员工主数据不一致",IF(S126&lt;0,"异常：原始所得为负，已按0计税",IF(OR(AND(F126="股票期权",K126=""),AND(F126="限制性股票",OR(K126="",L126=""))),"异常：计划参数缺失",IF(COUNTIF(计划参数!$I$2:$I$501,C126)=0,"提示：员工编号未在主数据",IF(Q126&lt;&gt;"已备案","提示：未确认备案","正常"))))))))))))</f>
        <v/>
      </c>
      <c r="AE126" s="9"/>
      <c r="AF126" s="4" t="str">
        <f>IF(C126="","",IF(COUNTIF($C$2:C126,C126)=1,MAX($AF$1:AF125)+1,""))</f>
        <v/>
      </c>
      <c r="AG126" s="4" t="str">
        <f>IF(C126="","",COUNTIF($C$2:C126,C126))</f>
        <v/>
      </c>
      <c r="AH126" s="4" t="str">
        <f t="shared" si="25"/>
        <v/>
      </c>
      <c r="AI126" s="4" t="str">
        <f t="shared" si="26"/>
        <v/>
      </c>
      <c r="AJ126" s="4" t="str">
        <f t="shared" si="27"/>
        <v/>
      </c>
      <c r="AK126" s="15" t="str">
        <f>IF(A126="","",SUMIFS(分期缴税台账!$K$2:$K$501,分期缴税台账!$T$2:$T$501,A126,分期缴税台账!$Q$2:$Q$501,"有效"))</f>
        <v/>
      </c>
      <c r="AL126" s="15" t="str">
        <f t="shared" si="28"/>
        <v/>
      </c>
      <c r="AM126" s="4" t="str">
        <f t="shared" si="29"/>
        <v/>
      </c>
    </row>
    <row r="127" spans="1:39" x14ac:dyDescent="0.3">
      <c r="A127" s="9"/>
      <c r="B127" s="4" t="str">
        <f t="shared" si="15"/>
        <v/>
      </c>
      <c r="C127" s="9"/>
      <c r="D127" s="9"/>
      <c r="E127" s="9"/>
      <c r="F127" s="9"/>
      <c r="G127" s="13"/>
      <c r="H127" s="4" t="str">
        <f t="shared" si="16"/>
        <v/>
      </c>
      <c r="I127" s="9"/>
      <c r="J127" s="14"/>
      <c r="K127" s="15" t="str">
        <f>IF(OR(E127="",F127="",G127=""),"",IF(E127&lt;&gt;计划参数!$C$2,"",IF(F127="股票期权",IFERROR(LOOKUP(G127,计划参数!$D$12:$D$15,计划参数!$C$12:$C$15),""),IF(F127="限制性股票",计划参数!$C$10,""))))</f>
        <v/>
      </c>
      <c r="L127" s="15" t="str">
        <f>IF(AND(E127=计划参数!$C$2,F127="限制性股票",G127&gt;=计划参数!$D$9),计划参数!$C$9,"")</f>
        <v/>
      </c>
      <c r="M127" s="9"/>
      <c r="N127" s="14"/>
      <c r="O127" s="14"/>
      <c r="P127" s="13"/>
      <c r="Q127" s="9"/>
      <c r="R127" s="13"/>
      <c r="S127" s="15" t="str">
        <f t="shared" si="17"/>
        <v/>
      </c>
      <c r="T127" s="15" t="str">
        <f t="shared" si="18"/>
        <v/>
      </c>
      <c r="U127" s="15" t="str">
        <f t="shared" si="19"/>
        <v/>
      </c>
      <c r="V127" s="15" t="str">
        <f t="shared" si="20"/>
        <v/>
      </c>
      <c r="W127" s="16" t="str">
        <f>IF(V127="","",VLOOKUP(V127,税率及规则!$A$2:$C$8,2,TRUE))</f>
        <v/>
      </c>
      <c r="X127" s="15" t="str">
        <f>IF(V127="","",VLOOKUP(V127,税率及规则!$A$2:$C$8,3,TRUE))</f>
        <v/>
      </c>
      <c r="Y127" s="15" t="str">
        <f t="shared" si="21"/>
        <v/>
      </c>
      <c r="Z127" s="15" t="str">
        <f>IF(U127="","",MAX(0,U127*VLOOKUP(U127,税率及规则!$A$2:$C$8,2,TRUE)-VLOOKUP(U127,税率及规则!$A$2:$C$8,3,TRUE)))</f>
        <v/>
      </c>
      <c r="AA127" s="15" t="str">
        <f t="shared" si="22"/>
        <v/>
      </c>
      <c r="AB127" s="17" t="str">
        <f t="shared" si="23"/>
        <v/>
      </c>
      <c r="AC127" s="17" t="str">
        <f t="shared" si="24"/>
        <v/>
      </c>
      <c r="AD127" s="4" t="str">
        <f>IF(A127="","",IF(COUNTIF($A$2:$A$501,A127)&gt;1,"异常：事件编号重复",IF(OR(C127="",D127="",E127="",F127="",G127=""),"异常：必填项缺失",IF(AND(F127="其他股权激励",O127=""),"异常：其他股权激励所得缺失",IF(AND(F127&lt;&gt;"其他股权激励",OR(I127="",J127="")),"异常：数量或市场价缺失",IF(AND(F127&lt;&gt;"其他股权激励",OR(I127&lt;=0,J127&lt;0)),"异常：数量或价格无效",IF(AND(F127="限制性股票",OR(M127&lt;=0,N127&lt;0,I127&gt;M127)),"异常：个人获授或出资数据无效",IF(AND(IFERROR(INDEX(计划参数!$J$2:$J$501,MATCH(C127,计划参数!$I$2:$I$501,0)),"")&lt;&gt;"",D127&lt;&gt;IFERROR(INDEX(计划参数!$J$2:$J$501,MATCH(C127,计划参数!$I$2:$I$501,0)),"")),"异常：姓名与员工主数据不一致",IF(S127&lt;0,"异常：原始所得为负，已按0计税",IF(OR(AND(F127="股票期权",K127=""),AND(F127="限制性股票",OR(K127="",L127=""))),"异常：计划参数缺失",IF(COUNTIF(计划参数!$I$2:$I$501,C127)=0,"提示：员工编号未在主数据",IF(Q127&lt;&gt;"已备案","提示：未确认备案","正常"))))))))))))</f>
        <v/>
      </c>
      <c r="AE127" s="9"/>
      <c r="AF127" s="4" t="str">
        <f>IF(C127="","",IF(COUNTIF($C$2:C127,C127)=1,MAX($AF$1:AF126)+1,""))</f>
        <v/>
      </c>
      <c r="AG127" s="4" t="str">
        <f>IF(C127="","",COUNTIF($C$2:C127,C127))</f>
        <v/>
      </c>
      <c r="AH127" s="4" t="str">
        <f t="shared" si="25"/>
        <v/>
      </c>
      <c r="AI127" s="4" t="str">
        <f t="shared" si="26"/>
        <v/>
      </c>
      <c r="AJ127" s="4" t="str">
        <f t="shared" si="27"/>
        <v/>
      </c>
      <c r="AK127" s="15" t="str">
        <f>IF(A127="","",SUMIFS(分期缴税台账!$K$2:$K$501,分期缴税台账!$T$2:$T$501,A127,分期缴税台账!$Q$2:$Q$501,"有效"))</f>
        <v/>
      </c>
      <c r="AL127" s="15" t="str">
        <f t="shared" si="28"/>
        <v/>
      </c>
      <c r="AM127" s="4" t="str">
        <f t="shared" si="29"/>
        <v/>
      </c>
    </row>
    <row r="128" spans="1:39" x14ac:dyDescent="0.3">
      <c r="A128" s="9"/>
      <c r="B128" s="4" t="str">
        <f t="shared" si="15"/>
        <v/>
      </c>
      <c r="C128" s="9"/>
      <c r="D128" s="9"/>
      <c r="E128" s="9"/>
      <c r="F128" s="9"/>
      <c r="G128" s="13"/>
      <c r="H128" s="4" t="str">
        <f t="shared" si="16"/>
        <v/>
      </c>
      <c r="I128" s="9"/>
      <c r="J128" s="14"/>
      <c r="K128" s="15" t="str">
        <f>IF(OR(E128="",F128="",G128=""),"",IF(E128&lt;&gt;计划参数!$C$2,"",IF(F128="股票期权",IFERROR(LOOKUP(G128,计划参数!$D$12:$D$15,计划参数!$C$12:$C$15),""),IF(F128="限制性股票",计划参数!$C$10,""))))</f>
        <v/>
      </c>
      <c r="L128" s="15" t="str">
        <f>IF(AND(E128=计划参数!$C$2,F128="限制性股票",G128&gt;=计划参数!$D$9),计划参数!$C$9,"")</f>
        <v/>
      </c>
      <c r="M128" s="9"/>
      <c r="N128" s="14"/>
      <c r="O128" s="14"/>
      <c r="P128" s="13"/>
      <c r="Q128" s="9"/>
      <c r="R128" s="13"/>
      <c r="S128" s="15" t="str">
        <f t="shared" si="17"/>
        <v/>
      </c>
      <c r="T128" s="15" t="str">
        <f t="shared" si="18"/>
        <v/>
      </c>
      <c r="U128" s="15" t="str">
        <f t="shared" si="19"/>
        <v/>
      </c>
      <c r="V128" s="15" t="str">
        <f t="shared" si="20"/>
        <v/>
      </c>
      <c r="W128" s="16" t="str">
        <f>IF(V128="","",VLOOKUP(V128,税率及规则!$A$2:$C$8,2,TRUE))</f>
        <v/>
      </c>
      <c r="X128" s="15" t="str">
        <f>IF(V128="","",VLOOKUP(V128,税率及规则!$A$2:$C$8,3,TRUE))</f>
        <v/>
      </c>
      <c r="Y128" s="15" t="str">
        <f t="shared" si="21"/>
        <v/>
      </c>
      <c r="Z128" s="15" t="str">
        <f>IF(U128="","",MAX(0,U128*VLOOKUP(U128,税率及规则!$A$2:$C$8,2,TRUE)-VLOOKUP(U128,税率及规则!$A$2:$C$8,3,TRUE)))</f>
        <v/>
      </c>
      <c r="AA128" s="15" t="str">
        <f t="shared" si="22"/>
        <v/>
      </c>
      <c r="AB128" s="17" t="str">
        <f t="shared" si="23"/>
        <v/>
      </c>
      <c r="AC128" s="17" t="str">
        <f t="shared" si="24"/>
        <v/>
      </c>
      <c r="AD128" s="4" t="str">
        <f>IF(A128="","",IF(COUNTIF($A$2:$A$501,A128)&gt;1,"异常：事件编号重复",IF(OR(C128="",D128="",E128="",F128="",G128=""),"异常：必填项缺失",IF(AND(F128="其他股权激励",O128=""),"异常：其他股权激励所得缺失",IF(AND(F128&lt;&gt;"其他股权激励",OR(I128="",J128="")),"异常：数量或市场价缺失",IF(AND(F128&lt;&gt;"其他股权激励",OR(I128&lt;=0,J128&lt;0)),"异常：数量或价格无效",IF(AND(F128="限制性股票",OR(M128&lt;=0,N128&lt;0,I128&gt;M128)),"异常：个人获授或出资数据无效",IF(AND(IFERROR(INDEX(计划参数!$J$2:$J$501,MATCH(C128,计划参数!$I$2:$I$501,0)),"")&lt;&gt;"",D128&lt;&gt;IFERROR(INDEX(计划参数!$J$2:$J$501,MATCH(C128,计划参数!$I$2:$I$501,0)),"")),"异常：姓名与员工主数据不一致",IF(S128&lt;0,"异常：原始所得为负，已按0计税",IF(OR(AND(F128="股票期权",K128=""),AND(F128="限制性股票",OR(K128="",L128=""))),"异常：计划参数缺失",IF(COUNTIF(计划参数!$I$2:$I$501,C128)=0,"提示：员工编号未在主数据",IF(Q128&lt;&gt;"已备案","提示：未确认备案","正常"))))))))))))</f>
        <v/>
      </c>
      <c r="AE128" s="9"/>
      <c r="AF128" s="4" t="str">
        <f>IF(C128="","",IF(COUNTIF($C$2:C128,C128)=1,MAX($AF$1:AF127)+1,""))</f>
        <v/>
      </c>
      <c r="AG128" s="4" t="str">
        <f>IF(C128="","",COUNTIF($C$2:C128,C128))</f>
        <v/>
      </c>
      <c r="AH128" s="4" t="str">
        <f t="shared" si="25"/>
        <v/>
      </c>
      <c r="AI128" s="4" t="str">
        <f t="shared" si="26"/>
        <v/>
      </c>
      <c r="AJ128" s="4" t="str">
        <f t="shared" si="27"/>
        <v/>
      </c>
      <c r="AK128" s="15" t="str">
        <f>IF(A128="","",SUMIFS(分期缴税台账!$K$2:$K$501,分期缴税台账!$T$2:$T$501,A128,分期缴税台账!$Q$2:$Q$501,"有效"))</f>
        <v/>
      </c>
      <c r="AL128" s="15" t="str">
        <f t="shared" si="28"/>
        <v/>
      </c>
      <c r="AM128" s="4" t="str">
        <f t="shared" si="29"/>
        <v/>
      </c>
    </row>
    <row r="129" spans="1:39" x14ac:dyDescent="0.3">
      <c r="A129" s="9"/>
      <c r="B129" s="4" t="str">
        <f t="shared" si="15"/>
        <v/>
      </c>
      <c r="C129" s="9"/>
      <c r="D129" s="9"/>
      <c r="E129" s="9"/>
      <c r="F129" s="9"/>
      <c r="G129" s="13"/>
      <c r="H129" s="4" t="str">
        <f t="shared" si="16"/>
        <v/>
      </c>
      <c r="I129" s="9"/>
      <c r="J129" s="14"/>
      <c r="K129" s="15" t="str">
        <f>IF(OR(E129="",F129="",G129=""),"",IF(E129&lt;&gt;计划参数!$C$2,"",IF(F129="股票期权",IFERROR(LOOKUP(G129,计划参数!$D$12:$D$15,计划参数!$C$12:$C$15),""),IF(F129="限制性股票",计划参数!$C$10,""))))</f>
        <v/>
      </c>
      <c r="L129" s="15" t="str">
        <f>IF(AND(E129=计划参数!$C$2,F129="限制性股票",G129&gt;=计划参数!$D$9),计划参数!$C$9,"")</f>
        <v/>
      </c>
      <c r="M129" s="9"/>
      <c r="N129" s="14"/>
      <c r="O129" s="14"/>
      <c r="P129" s="13"/>
      <c r="Q129" s="9"/>
      <c r="R129" s="13"/>
      <c r="S129" s="15" t="str">
        <f t="shared" si="17"/>
        <v/>
      </c>
      <c r="T129" s="15" t="str">
        <f t="shared" si="18"/>
        <v/>
      </c>
      <c r="U129" s="15" t="str">
        <f t="shared" si="19"/>
        <v/>
      </c>
      <c r="V129" s="15" t="str">
        <f t="shared" si="20"/>
        <v/>
      </c>
      <c r="W129" s="16" t="str">
        <f>IF(V129="","",VLOOKUP(V129,税率及规则!$A$2:$C$8,2,TRUE))</f>
        <v/>
      </c>
      <c r="X129" s="15" t="str">
        <f>IF(V129="","",VLOOKUP(V129,税率及规则!$A$2:$C$8,3,TRUE))</f>
        <v/>
      </c>
      <c r="Y129" s="15" t="str">
        <f t="shared" si="21"/>
        <v/>
      </c>
      <c r="Z129" s="15" t="str">
        <f>IF(U129="","",MAX(0,U129*VLOOKUP(U129,税率及规则!$A$2:$C$8,2,TRUE)-VLOOKUP(U129,税率及规则!$A$2:$C$8,3,TRUE)))</f>
        <v/>
      </c>
      <c r="AA129" s="15" t="str">
        <f t="shared" si="22"/>
        <v/>
      </c>
      <c r="AB129" s="17" t="str">
        <f t="shared" si="23"/>
        <v/>
      </c>
      <c r="AC129" s="17" t="str">
        <f t="shared" si="24"/>
        <v/>
      </c>
      <c r="AD129" s="4" t="str">
        <f>IF(A129="","",IF(COUNTIF($A$2:$A$501,A129)&gt;1,"异常：事件编号重复",IF(OR(C129="",D129="",E129="",F129="",G129=""),"异常：必填项缺失",IF(AND(F129="其他股权激励",O129=""),"异常：其他股权激励所得缺失",IF(AND(F129&lt;&gt;"其他股权激励",OR(I129="",J129="")),"异常：数量或市场价缺失",IF(AND(F129&lt;&gt;"其他股权激励",OR(I129&lt;=0,J129&lt;0)),"异常：数量或价格无效",IF(AND(F129="限制性股票",OR(M129&lt;=0,N129&lt;0,I129&gt;M129)),"异常：个人获授或出资数据无效",IF(AND(IFERROR(INDEX(计划参数!$J$2:$J$501,MATCH(C129,计划参数!$I$2:$I$501,0)),"")&lt;&gt;"",D129&lt;&gt;IFERROR(INDEX(计划参数!$J$2:$J$501,MATCH(C129,计划参数!$I$2:$I$501,0)),"")),"异常：姓名与员工主数据不一致",IF(S129&lt;0,"异常：原始所得为负，已按0计税",IF(OR(AND(F129="股票期权",K129=""),AND(F129="限制性股票",OR(K129="",L129=""))),"异常：计划参数缺失",IF(COUNTIF(计划参数!$I$2:$I$501,C129)=0,"提示：员工编号未在主数据",IF(Q129&lt;&gt;"已备案","提示：未确认备案","正常"))))))))))))</f>
        <v/>
      </c>
      <c r="AE129" s="9"/>
      <c r="AF129" s="4" t="str">
        <f>IF(C129="","",IF(COUNTIF($C$2:C129,C129)=1,MAX($AF$1:AF128)+1,""))</f>
        <v/>
      </c>
      <c r="AG129" s="4" t="str">
        <f>IF(C129="","",COUNTIF($C$2:C129,C129))</f>
        <v/>
      </c>
      <c r="AH129" s="4" t="str">
        <f t="shared" si="25"/>
        <v/>
      </c>
      <c r="AI129" s="4" t="str">
        <f t="shared" si="26"/>
        <v/>
      </c>
      <c r="AJ129" s="4" t="str">
        <f t="shared" si="27"/>
        <v/>
      </c>
      <c r="AK129" s="15" t="str">
        <f>IF(A129="","",SUMIFS(分期缴税台账!$K$2:$K$501,分期缴税台账!$T$2:$T$501,A129,分期缴税台账!$Q$2:$Q$501,"有效"))</f>
        <v/>
      </c>
      <c r="AL129" s="15" t="str">
        <f t="shared" si="28"/>
        <v/>
      </c>
      <c r="AM129" s="4" t="str">
        <f t="shared" si="29"/>
        <v/>
      </c>
    </row>
    <row r="130" spans="1:39" x14ac:dyDescent="0.3">
      <c r="A130" s="9"/>
      <c r="B130" s="4" t="str">
        <f t="shared" ref="B130:B193" si="30">IF(A130="","",A130&amp;"-TAX")</f>
        <v/>
      </c>
      <c r="C130" s="9"/>
      <c r="D130" s="9"/>
      <c r="E130" s="9"/>
      <c r="F130" s="9"/>
      <c r="G130" s="13"/>
      <c r="H130" s="4" t="str">
        <f t="shared" ref="H130:H193" si="31">IF(G130="","",YEAR(G130))</f>
        <v/>
      </c>
      <c r="I130" s="9"/>
      <c r="J130" s="14"/>
      <c r="K130" s="15" t="str">
        <f>IF(OR(E130="",F130="",G130=""),"",IF(E130&lt;&gt;计划参数!$C$2,"",IF(F130="股票期权",IFERROR(LOOKUP(G130,计划参数!$D$12:$D$15,计划参数!$C$12:$C$15),""),IF(F130="限制性股票",计划参数!$C$10,""))))</f>
        <v/>
      </c>
      <c r="L130" s="15" t="str">
        <f>IF(AND(E130=计划参数!$C$2,F130="限制性股票",G130&gt;=计划参数!$D$9),计划参数!$C$9,"")</f>
        <v/>
      </c>
      <c r="M130" s="9"/>
      <c r="N130" s="14"/>
      <c r="O130" s="14"/>
      <c r="P130" s="13"/>
      <c r="Q130" s="9"/>
      <c r="R130" s="13"/>
      <c r="S130" s="15" t="str">
        <f t="shared" ref="S130:S193" si="32">IF(OR(A130="",C130="",F130="",G130=""),"",IF(F130="股票期权",IF(OR(I130="",J130="",K130=""),"",(J130-K130)*I130),IF(F130="限制性股票",IF(OR(L130="",M130="",M130&lt;=0,N130=""),"",((L130+J130)/2)*I130-N130*I130/M130),IF(F130="其他股权激励",IF(O130="","",O130),""))))</f>
        <v/>
      </c>
      <c r="T130" s="15" t="str">
        <f t="shared" ref="T130:T193" si="33">IF(S130="","",MAX(0,S130))</f>
        <v/>
      </c>
      <c r="U130" s="15" t="str">
        <f t="shared" ref="U130:U193" si="34">IF(T130="","",SUMIFS($T$2:$T$501,$C$2:$C$501,C130,$H$2:$H$501,H130,$G$2:$G$501,"&lt;"&amp;G130)+SUMIFS($T$2:$T$501,$C$2:$C$501,C130,$H$2:$H$501,H130,$G$2:$G$501,G130,$A$2:$A$501,"&lt;"&amp;A130))</f>
        <v/>
      </c>
      <c r="V130" s="15" t="str">
        <f t="shared" ref="V130:V193" si="35">IF(T130="","",U130+T130)</f>
        <v/>
      </c>
      <c r="W130" s="16" t="str">
        <f>IF(V130="","",VLOOKUP(V130,税率及规则!$A$2:$C$8,2,TRUE))</f>
        <v/>
      </c>
      <c r="X130" s="15" t="str">
        <f>IF(V130="","",VLOOKUP(V130,税率及规则!$A$2:$C$8,3,TRUE))</f>
        <v/>
      </c>
      <c r="Y130" s="15" t="str">
        <f t="shared" ref="Y130:Y193" si="36">IF(V130="","",MAX(0,V130*W130-X130))</f>
        <v/>
      </c>
      <c r="Z130" s="15" t="str">
        <f>IF(U130="","",MAX(0,U130*VLOOKUP(U130,税率及规则!$A$2:$C$8,2,TRUE)-VLOOKUP(U130,税率及规则!$A$2:$C$8,3,TRUE)))</f>
        <v/>
      </c>
      <c r="AA130" s="15" t="str">
        <f t="shared" ref="AA130:AA193" si="37">IF(Y130="","",MAX(0,Y130-Z130))</f>
        <v/>
      </c>
      <c r="AB130" s="17" t="str">
        <f t="shared" ref="AB130:AB193" si="38">IF(G130="","",G130)</f>
        <v/>
      </c>
      <c r="AC130" s="17" t="str">
        <f t="shared" ref="AC130:AC193" si="39">IF(AB130="","",IF(DAY(AB130)=DAY(EOMONTH(AB130,0)),EOMONTH(EDATE(AB130,36),0),EDATE(AB130,36)))</f>
        <v/>
      </c>
      <c r="AD130" s="4" t="str">
        <f>IF(A130="","",IF(COUNTIF($A$2:$A$501,A130)&gt;1,"异常：事件编号重复",IF(OR(C130="",D130="",E130="",F130="",G130=""),"异常：必填项缺失",IF(AND(F130="其他股权激励",O130=""),"异常：其他股权激励所得缺失",IF(AND(F130&lt;&gt;"其他股权激励",OR(I130="",J130="")),"异常：数量或市场价缺失",IF(AND(F130&lt;&gt;"其他股权激励",OR(I130&lt;=0,J130&lt;0)),"异常：数量或价格无效",IF(AND(F130="限制性股票",OR(M130&lt;=0,N130&lt;0,I130&gt;M130)),"异常：个人获授或出资数据无效",IF(AND(IFERROR(INDEX(计划参数!$J$2:$J$501,MATCH(C130,计划参数!$I$2:$I$501,0)),"")&lt;&gt;"",D130&lt;&gt;IFERROR(INDEX(计划参数!$J$2:$J$501,MATCH(C130,计划参数!$I$2:$I$501,0)),"")),"异常：姓名与员工主数据不一致",IF(S130&lt;0,"异常：原始所得为负，已按0计税",IF(OR(AND(F130="股票期权",K130=""),AND(F130="限制性股票",OR(K130="",L130=""))),"异常：计划参数缺失",IF(COUNTIF(计划参数!$I$2:$I$501,C130)=0,"提示：员工编号未在主数据",IF(Q130&lt;&gt;"已备案","提示：未确认备案","正常"))))))))))))</f>
        <v/>
      </c>
      <c r="AE130" s="9"/>
      <c r="AF130" s="4" t="str">
        <f>IF(C130="","",IF(COUNTIF($C$2:C130,C130)=1,MAX($AF$1:AF129)+1,""))</f>
        <v/>
      </c>
      <c r="AG130" s="4" t="str">
        <f>IF(C130="","",COUNTIF($C$2:C130,C130))</f>
        <v/>
      </c>
      <c r="AH130" s="4" t="str">
        <f t="shared" ref="AH130:AH193" si="40">IF(C130="","",C130&amp;"|"&amp;AG130)</f>
        <v/>
      </c>
      <c r="AI130" s="4" t="str">
        <f t="shared" ref="AI130:AI193" si="41">IF(OR(A130="",AA130&lt;=0),"",C130&amp;"|"&amp;H130&amp;"|"&amp;(COUNTIFS($C$2:$C$501,C130,$H$2:$H$501,H130,$AA$2:$AA$501,"&gt;0",$AC$2:$AC$501,"&lt;"&amp;AC130)+COUNTIFS($C$2:$C$501,C130,$H$2:$H$501,H130,$AA$2:$AA$501,"&gt;0",$AC$2:$AC$501,AC130,$A$2:$A$501,"&lt;="&amp;A130)))</f>
        <v/>
      </c>
      <c r="AJ130" s="4" t="str">
        <f t="shared" ref="AJ130:AJ193" si="42">IF(OR(A130="",AA130&lt;=0),"",C130&amp;"|"&amp;(COUNTIFS($C$2:$C$501,C130,$AA$2:$AA$501,"&gt;0",$AC$2:$AC$501,"&lt;"&amp;AC130)+COUNTIFS($C$2:$C$501,C130,$AA$2:$AA$501,"&gt;0",$AC$2:$AC$501,AC130,$A$2:$A$501,"&lt;="&amp;A130)))</f>
        <v/>
      </c>
      <c r="AK130" s="15" t="str">
        <f>IF(A130="","",SUMIFS(分期缴税台账!$K$2:$K$501,分期缴税台账!$T$2:$T$501,A130,分期缴税台账!$Q$2:$Q$501,"有效"))</f>
        <v/>
      </c>
      <c r="AL130" s="15" t="str">
        <f t="shared" ref="AL130:AL193" si="43">IF(AA130="","",MAX(0,AA130-AK130))</f>
        <v/>
      </c>
      <c r="AM130" s="4" t="str">
        <f t="shared" ref="AM130:AM193" si="44">IF(OR(A130="",AL130&lt;=0),"",C130&amp;"|"&amp;H130&amp;"|"&amp;(COUNTIFS($C$2:$C$501,C130,$H$2:$H$501,H130,$AL$2:$AL$501,"&gt;0",$AC$2:$AC$501,"&lt;"&amp;AC130)+COUNTIFS($C$2:$C$501,C130,$H$2:$H$501,H130,$AL$2:$AL$501,"&gt;0",$AC$2:$AC$501,AC130,$A$2:$A$501,"&lt;="&amp;A130)))</f>
        <v/>
      </c>
    </row>
    <row r="131" spans="1:39" x14ac:dyDescent="0.3">
      <c r="A131" s="9"/>
      <c r="B131" s="4" t="str">
        <f t="shared" si="30"/>
        <v/>
      </c>
      <c r="C131" s="9"/>
      <c r="D131" s="9"/>
      <c r="E131" s="9"/>
      <c r="F131" s="9"/>
      <c r="G131" s="13"/>
      <c r="H131" s="4" t="str">
        <f t="shared" si="31"/>
        <v/>
      </c>
      <c r="I131" s="9"/>
      <c r="J131" s="14"/>
      <c r="K131" s="15" t="str">
        <f>IF(OR(E131="",F131="",G131=""),"",IF(E131&lt;&gt;计划参数!$C$2,"",IF(F131="股票期权",IFERROR(LOOKUP(G131,计划参数!$D$12:$D$15,计划参数!$C$12:$C$15),""),IF(F131="限制性股票",计划参数!$C$10,""))))</f>
        <v/>
      </c>
      <c r="L131" s="15" t="str">
        <f>IF(AND(E131=计划参数!$C$2,F131="限制性股票",G131&gt;=计划参数!$D$9),计划参数!$C$9,"")</f>
        <v/>
      </c>
      <c r="M131" s="9"/>
      <c r="N131" s="14"/>
      <c r="O131" s="14"/>
      <c r="P131" s="13"/>
      <c r="Q131" s="9"/>
      <c r="R131" s="13"/>
      <c r="S131" s="15" t="str">
        <f t="shared" si="32"/>
        <v/>
      </c>
      <c r="T131" s="15" t="str">
        <f t="shared" si="33"/>
        <v/>
      </c>
      <c r="U131" s="15" t="str">
        <f t="shared" si="34"/>
        <v/>
      </c>
      <c r="V131" s="15" t="str">
        <f t="shared" si="35"/>
        <v/>
      </c>
      <c r="W131" s="16" t="str">
        <f>IF(V131="","",VLOOKUP(V131,税率及规则!$A$2:$C$8,2,TRUE))</f>
        <v/>
      </c>
      <c r="X131" s="15" t="str">
        <f>IF(V131="","",VLOOKUP(V131,税率及规则!$A$2:$C$8,3,TRUE))</f>
        <v/>
      </c>
      <c r="Y131" s="15" t="str">
        <f t="shared" si="36"/>
        <v/>
      </c>
      <c r="Z131" s="15" t="str">
        <f>IF(U131="","",MAX(0,U131*VLOOKUP(U131,税率及规则!$A$2:$C$8,2,TRUE)-VLOOKUP(U131,税率及规则!$A$2:$C$8,3,TRUE)))</f>
        <v/>
      </c>
      <c r="AA131" s="15" t="str">
        <f t="shared" si="37"/>
        <v/>
      </c>
      <c r="AB131" s="17" t="str">
        <f t="shared" si="38"/>
        <v/>
      </c>
      <c r="AC131" s="17" t="str">
        <f t="shared" si="39"/>
        <v/>
      </c>
      <c r="AD131" s="4" t="str">
        <f>IF(A131="","",IF(COUNTIF($A$2:$A$501,A131)&gt;1,"异常：事件编号重复",IF(OR(C131="",D131="",E131="",F131="",G131=""),"异常：必填项缺失",IF(AND(F131="其他股权激励",O131=""),"异常：其他股权激励所得缺失",IF(AND(F131&lt;&gt;"其他股权激励",OR(I131="",J131="")),"异常：数量或市场价缺失",IF(AND(F131&lt;&gt;"其他股权激励",OR(I131&lt;=0,J131&lt;0)),"异常：数量或价格无效",IF(AND(F131="限制性股票",OR(M131&lt;=0,N131&lt;0,I131&gt;M131)),"异常：个人获授或出资数据无效",IF(AND(IFERROR(INDEX(计划参数!$J$2:$J$501,MATCH(C131,计划参数!$I$2:$I$501,0)),"")&lt;&gt;"",D131&lt;&gt;IFERROR(INDEX(计划参数!$J$2:$J$501,MATCH(C131,计划参数!$I$2:$I$501,0)),"")),"异常：姓名与员工主数据不一致",IF(S131&lt;0,"异常：原始所得为负，已按0计税",IF(OR(AND(F131="股票期权",K131=""),AND(F131="限制性股票",OR(K131="",L131=""))),"异常：计划参数缺失",IF(COUNTIF(计划参数!$I$2:$I$501,C131)=0,"提示：员工编号未在主数据",IF(Q131&lt;&gt;"已备案","提示：未确认备案","正常"))))))))))))</f>
        <v/>
      </c>
      <c r="AE131" s="9"/>
      <c r="AF131" s="4" t="str">
        <f>IF(C131="","",IF(COUNTIF($C$2:C131,C131)=1,MAX($AF$1:AF130)+1,""))</f>
        <v/>
      </c>
      <c r="AG131" s="4" t="str">
        <f>IF(C131="","",COUNTIF($C$2:C131,C131))</f>
        <v/>
      </c>
      <c r="AH131" s="4" t="str">
        <f t="shared" si="40"/>
        <v/>
      </c>
      <c r="AI131" s="4" t="str">
        <f t="shared" si="41"/>
        <v/>
      </c>
      <c r="AJ131" s="4" t="str">
        <f t="shared" si="42"/>
        <v/>
      </c>
      <c r="AK131" s="15" t="str">
        <f>IF(A131="","",SUMIFS(分期缴税台账!$K$2:$K$501,分期缴税台账!$T$2:$T$501,A131,分期缴税台账!$Q$2:$Q$501,"有效"))</f>
        <v/>
      </c>
      <c r="AL131" s="15" t="str">
        <f t="shared" si="43"/>
        <v/>
      </c>
      <c r="AM131" s="4" t="str">
        <f t="shared" si="44"/>
        <v/>
      </c>
    </row>
    <row r="132" spans="1:39" x14ac:dyDescent="0.3">
      <c r="A132" s="9"/>
      <c r="B132" s="4" t="str">
        <f t="shared" si="30"/>
        <v/>
      </c>
      <c r="C132" s="9"/>
      <c r="D132" s="9"/>
      <c r="E132" s="9"/>
      <c r="F132" s="9"/>
      <c r="G132" s="13"/>
      <c r="H132" s="4" t="str">
        <f t="shared" si="31"/>
        <v/>
      </c>
      <c r="I132" s="9"/>
      <c r="J132" s="14"/>
      <c r="K132" s="15" t="str">
        <f>IF(OR(E132="",F132="",G132=""),"",IF(E132&lt;&gt;计划参数!$C$2,"",IF(F132="股票期权",IFERROR(LOOKUP(G132,计划参数!$D$12:$D$15,计划参数!$C$12:$C$15),""),IF(F132="限制性股票",计划参数!$C$10,""))))</f>
        <v/>
      </c>
      <c r="L132" s="15" t="str">
        <f>IF(AND(E132=计划参数!$C$2,F132="限制性股票",G132&gt;=计划参数!$D$9),计划参数!$C$9,"")</f>
        <v/>
      </c>
      <c r="M132" s="9"/>
      <c r="N132" s="14"/>
      <c r="O132" s="14"/>
      <c r="P132" s="13"/>
      <c r="Q132" s="9"/>
      <c r="R132" s="13"/>
      <c r="S132" s="15" t="str">
        <f t="shared" si="32"/>
        <v/>
      </c>
      <c r="T132" s="15" t="str">
        <f t="shared" si="33"/>
        <v/>
      </c>
      <c r="U132" s="15" t="str">
        <f t="shared" si="34"/>
        <v/>
      </c>
      <c r="V132" s="15" t="str">
        <f t="shared" si="35"/>
        <v/>
      </c>
      <c r="W132" s="16" t="str">
        <f>IF(V132="","",VLOOKUP(V132,税率及规则!$A$2:$C$8,2,TRUE))</f>
        <v/>
      </c>
      <c r="X132" s="15" t="str">
        <f>IF(V132="","",VLOOKUP(V132,税率及规则!$A$2:$C$8,3,TRUE))</f>
        <v/>
      </c>
      <c r="Y132" s="15" t="str">
        <f t="shared" si="36"/>
        <v/>
      </c>
      <c r="Z132" s="15" t="str">
        <f>IF(U132="","",MAX(0,U132*VLOOKUP(U132,税率及规则!$A$2:$C$8,2,TRUE)-VLOOKUP(U132,税率及规则!$A$2:$C$8,3,TRUE)))</f>
        <v/>
      </c>
      <c r="AA132" s="15" t="str">
        <f t="shared" si="37"/>
        <v/>
      </c>
      <c r="AB132" s="17" t="str">
        <f t="shared" si="38"/>
        <v/>
      </c>
      <c r="AC132" s="17" t="str">
        <f t="shared" si="39"/>
        <v/>
      </c>
      <c r="AD132" s="4" t="str">
        <f>IF(A132="","",IF(COUNTIF($A$2:$A$501,A132)&gt;1,"异常：事件编号重复",IF(OR(C132="",D132="",E132="",F132="",G132=""),"异常：必填项缺失",IF(AND(F132="其他股权激励",O132=""),"异常：其他股权激励所得缺失",IF(AND(F132&lt;&gt;"其他股权激励",OR(I132="",J132="")),"异常：数量或市场价缺失",IF(AND(F132&lt;&gt;"其他股权激励",OR(I132&lt;=0,J132&lt;0)),"异常：数量或价格无效",IF(AND(F132="限制性股票",OR(M132&lt;=0,N132&lt;0,I132&gt;M132)),"异常：个人获授或出资数据无效",IF(AND(IFERROR(INDEX(计划参数!$J$2:$J$501,MATCH(C132,计划参数!$I$2:$I$501,0)),"")&lt;&gt;"",D132&lt;&gt;IFERROR(INDEX(计划参数!$J$2:$J$501,MATCH(C132,计划参数!$I$2:$I$501,0)),"")),"异常：姓名与员工主数据不一致",IF(S132&lt;0,"异常：原始所得为负，已按0计税",IF(OR(AND(F132="股票期权",K132=""),AND(F132="限制性股票",OR(K132="",L132=""))),"异常：计划参数缺失",IF(COUNTIF(计划参数!$I$2:$I$501,C132)=0,"提示：员工编号未在主数据",IF(Q132&lt;&gt;"已备案","提示：未确认备案","正常"))))))))))))</f>
        <v/>
      </c>
      <c r="AE132" s="9"/>
      <c r="AF132" s="4" t="str">
        <f>IF(C132="","",IF(COUNTIF($C$2:C132,C132)=1,MAX($AF$1:AF131)+1,""))</f>
        <v/>
      </c>
      <c r="AG132" s="4" t="str">
        <f>IF(C132="","",COUNTIF($C$2:C132,C132))</f>
        <v/>
      </c>
      <c r="AH132" s="4" t="str">
        <f t="shared" si="40"/>
        <v/>
      </c>
      <c r="AI132" s="4" t="str">
        <f t="shared" si="41"/>
        <v/>
      </c>
      <c r="AJ132" s="4" t="str">
        <f t="shared" si="42"/>
        <v/>
      </c>
      <c r="AK132" s="15" t="str">
        <f>IF(A132="","",SUMIFS(分期缴税台账!$K$2:$K$501,分期缴税台账!$T$2:$T$501,A132,分期缴税台账!$Q$2:$Q$501,"有效"))</f>
        <v/>
      </c>
      <c r="AL132" s="15" t="str">
        <f t="shared" si="43"/>
        <v/>
      </c>
      <c r="AM132" s="4" t="str">
        <f t="shared" si="44"/>
        <v/>
      </c>
    </row>
    <row r="133" spans="1:39" x14ac:dyDescent="0.3">
      <c r="A133" s="9"/>
      <c r="B133" s="4" t="str">
        <f t="shared" si="30"/>
        <v/>
      </c>
      <c r="C133" s="9"/>
      <c r="D133" s="9"/>
      <c r="E133" s="9"/>
      <c r="F133" s="9"/>
      <c r="G133" s="13"/>
      <c r="H133" s="4" t="str">
        <f t="shared" si="31"/>
        <v/>
      </c>
      <c r="I133" s="9"/>
      <c r="J133" s="14"/>
      <c r="K133" s="15" t="str">
        <f>IF(OR(E133="",F133="",G133=""),"",IF(E133&lt;&gt;计划参数!$C$2,"",IF(F133="股票期权",IFERROR(LOOKUP(G133,计划参数!$D$12:$D$15,计划参数!$C$12:$C$15),""),IF(F133="限制性股票",计划参数!$C$10,""))))</f>
        <v/>
      </c>
      <c r="L133" s="15" t="str">
        <f>IF(AND(E133=计划参数!$C$2,F133="限制性股票",G133&gt;=计划参数!$D$9),计划参数!$C$9,"")</f>
        <v/>
      </c>
      <c r="M133" s="9"/>
      <c r="N133" s="14"/>
      <c r="O133" s="14"/>
      <c r="P133" s="13"/>
      <c r="Q133" s="9"/>
      <c r="R133" s="13"/>
      <c r="S133" s="15" t="str">
        <f t="shared" si="32"/>
        <v/>
      </c>
      <c r="T133" s="15" t="str">
        <f t="shared" si="33"/>
        <v/>
      </c>
      <c r="U133" s="15" t="str">
        <f t="shared" si="34"/>
        <v/>
      </c>
      <c r="V133" s="15" t="str">
        <f t="shared" si="35"/>
        <v/>
      </c>
      <c r="W133" s="16" t="str">
        <f>IF(V133="","",VLOOKUP(V133,税率及规则!$A$2:$C$8,2,TRUE))</f>
        <v/>
      </c>
      <c r="X133" s="15" t="str">
        <f>IF(V133="","",VLOOKUP(V133,税率及规则!$A$2:$C$8,3,TRUE))</f>
        <v/>
      </c>
      <c r="Y133" s="15" t="str">
        <f t="shared" si="36"/>
        <v/>
      </c>
      <c r="Z133" s="15" t="str">
        <f>IF(U133="","",MAX(0,U133*VLOOKUP(U133,税率及规则!$A$2:$C$8,2,TRUE)-VLOOKUP(U133,税率及规则!$A$2:$C$8,3,TRUE)))</f>
        <v/>
      </c>
      <c r="AA133" s="15" t="str">
        <f t="shared" si="37"/>
        <v/>
      </c>
      <c r="AB133" s="17" t="str">
        <f t="shared" si="38"/>
        <v/>
      </c>
      <c r="AC133" s="17" t="str">
        <f t="shared" si="39"/>
        <v/>
      </c>
      <c r="AD133" s="4" t="str">
        <f>IF(A133="","",IF(COUNTIF($A$2:$A$501,A133)&gt;1,"异常：事件编号重复",IF(OR(C133="",D133="",E133="",F133="",G133=""),"异常：必填项缺失",IF(AND(F133="其他股权激励",O133=""),"异常：其他股权激励所得缺失",IF(AND(F133&lt;&gt;"其他股权激励",OR(I133="",J133="")),"异常：数量或市场价缺失",IF(AND(F133&lt;&gt;"其他股权激励",OR(I133&lt;=0,J133&lt;0)),"异常：数量或价格无效",IF(AND(F133="限制性股票",OR(M133&lt;=0,N133&lt;0,I133&gt;M133)),"异常：个人获授或出资数据无效",IF(AND(IFERROR(INDEX(计划参数!$J$2:$J$501,MATCH(C133,计划参数!$I$2:$I$501,0)),"")&lt;&gt;"",D133&lt;&gt;IFERROR(INDEX(计划参数!$J$2:$J$501,MATCH(C133,计划参数!$I$2:$I$501,0)),"")),"异常：姓名与员工主数据不一致",IF(S133&lt;0,"异常：原始所得为负，已按0计税",IF(OR(AND(F133="股票期权",K133=""),AND(F133="限制性股票",OR(K133="",L133=""))),"异常：计划参数缺失",IF(COUNTIF(计划参数!$I$2:$I$501,C133)=0,"提示：员工编号未在主数据",IF(Q133&lt;&gt;"已备案","提示：未确认备案","正常"))))))))))))</f>
        <v/>
      </c>
      <c r="AE133" s="9"/>
      <c r="AF133" s="4" t="str">
        <f>IF(C133="","",IF(COUNTIF($C$2:C133,C133)=1,MAX($AF$1:AF132)+1,""))</f>
        <v/>
      </c>
      <c r="AG133" s="4" t="str">
        <f>IF(C133="","",COUNTIF($C$2:C133,C133))</f>
        <v/>
      </c>
      <c r="AH133" s="4" t="str">
        <f t="shared" si="40"/>
        <v/>
      </c>
      <c r="AI133" s="4" t="str">
        <f t="shared" si="41"/>
        <v/>
      </c>
      <c r="AJ133" s="4" t="str">
        <f t="shared" si="42"/>
        <v/>
      </c>
      <c r="AK133" s="15" t="str">
        <f>IF(A133="","",SUMIFS(分期缴税台账!$K$2:$K$501,分期缴税台账!$T$2:$T$501,A133,分期缴税台账!$Q$2:$Q$501,"有效"))</f>
        <v/>
      </c>
      <c r="AL133" s="15" t="str">
        <f t="shared" si="43"/>
        <v/>
      </c>
      <c r="AM133" s="4" t="str">
        <f t="shared" si="44"/>
        <v/>
      </c>
    </row>
    <row r="134" spans="1:39" x14ac:dyDescent="0.3">
      <c r="A134" s="9"/>
      <c r="B134" s="4" t="str">
        <f t="shared" si="30"/>
        <v/>
      </c>
      <c r="C134" s="9"/>
      <c r="D134" s="9"/>
      <c r="E134" s="9"/>
      <c r="F134" s="9"/>
      <c r="G134" s="13"/>
      <c r="H134" s="4" t="str">
        <f t="shared" si="31"/>
        <v/>
      </c>
      <c r="I134" s="9"/>
      <c r="J134" s="14"/>
      <c r="K134" s="15" t="str">
        <f>IF(OR(E134="",F134="",G134=""),"",IF(E134&lt;&gt;计划参数!$C$2,"",IF(F134="股票期权",IFERROR(LOOKUP(G134,计划参数!$D$12:$D$15,计划参数!$C$12:$C$15),""),IF(F134="限制性股票",计划参数!$C$10,""))))</f>
        <v/>
      </c>
      <c r="L134" s="15" t="str">
        <f>IF(AND(E134=计划参数!$C$2,F134="限制性股票",G134&gt;=计划参数!$D$9),计划参数!$C$9,"")</f>
        <v/>
      </c>
      <c r="M134" s="9"/>
      <c r="N134" s="14"/>
      <c r="O134" s="14"/>
      <c r="P134" s="13"/>
      <c r="Q134" s="9"/>
      <c r="R134" s="13"/>
      <c r="S134" s="15" t="str">
        <f t="shared" si="32"/>
        <v/>
      </c>
      <c r="T134" s="15" t="str">
        <f t="shared" si="33"/>
        <v/>
      </c>
      <c r="U134" s="15" t="str">
        <f t="shared" si="34"/>
        <v/>
      </c>
      <c r="V134" s="15" t="str">
        <f t="shared" si="35"/>
        <v/>
      </c>
      <c r="W134" s="16" t="str">
        <f>IF(V134="","",VLOOKUP(V134,税率及规则!$A$2:$C$8,2,TRUE))</f>
        <v/>
      </c>
      <c r="X134" s="15" t="str">
        <f>IF(V134="","",VLOOKUP(V134,税率及规则!$A$2:$C$8,3,TRUE))</f>
        <v/>
      </c>
      <c r="Y134" s="15" t="str">
        <f t="shared" si="36"/>
        <v/>
      </c>
      <c r="Z134" s="15" t="str">
        <f>IF(U134="","",MAX(0,U134*VLOOKUP(U134,税率及规则!$A$2:$C$8,2,TRUE)-VLOOKUP(U134,税率及规则!$A$2:$C$8,3,TRUE)))</f>
        <v/>
      </c>
      <c r="AA134" s="15" t="str">
        <f t="shared" si="37"/>
        <v/>
      </c>
      <c r="AB134" s="17" t="str">
        <f t="shared" si="38"/>
        <v/>
      </c>
      <c r="AC134" s="17" t="str">
        <f t="shared" si="39"/>
        <v/>
      </c>
      <c r="AD134" s="4" t="str">
        <f>IF(A134="","",IF(COUNTIF($A$2:$A$501,A134)&gt;1,"异常：事件编号重复",IF(OR(C134="",D134="",E134="",F134="",G134=""),"异常：必填项缺失",IF(AND(F134="其他股权激励",O134=""),"异常：其他股权激励所得缺失",IF(AND(F134&lt;&gt;"其他股权激励",OR(I134="",J134="")),"异常：数量或市场价缺失",IF(AND(F134&lt;&gt;"其他股权激励",OR(I134&lt;=0,J134&lt;0)),"异常：数量或价格无效",IF(AND(F134="限制性股票",OR(M134&lt;=0,N134&lt;0,I134&gt;M134)),"异常：个人获授或出资数据无效",IF(AND(IFERROR(INDEX(计划参数!$J$2:$J$501,MATCH(C134,计划参数!$I$2:$I$501,0)),"")&lt;&gt;"",D134&lt;&gt;IFERROR(INDEX(计划参数!$J$2:$J$501,MATCH(C134,计划参数!$I$2:$I$501,0)),"")),"异常：姓名与员工主数据不一致",IF(S134&lt;0,"异常：原始所得为负，已按0计税",IF(OR(AND(F134="股票期权",K134=""),AND(F134="限制性股票",OR(K134="",L134=""))),"异常：计划参数缺失",IF(COUNTIF(计划参数!$I$2:$I$501,C134)=0,"提示：员工编号未在主数据",IF(Q134&lt;&gt;"已备案","提示：未确认备案","正常"))))))))))))</f>
        <v/>
      </c>
      <c r="AE134" s="9"/>
      <c r="AF134" s="4" t="str">
        <f>IF(C134="","",IF(COUNTIF($C$2:C134,C134)=1,MAX($AF$1:AF133)+1,""))</f>
        <v/>
      </c>
      <c r="AG134" s="4" t="str">
        <f>IF(C134="","",COUNTIF($C$2:C134,C134))</f>
        <v/>
      </c>
      <c r="AH134" s="4" t="str">
        <f t="shared" si="40"/>
        <v/>
      </c>
      <c r="AI134" s="4" t="str">
        <f t="shared" si="41"/>
        <v/>
      </c>
      <c r="AJ134" s="4" t="str">
        <f t="shared" si="42"/>
        <v/>
      </c>
      <c r="AK134" s="15" t="str">
        <f>IF(A134="","",SUMIFS(分期缴税台账!$K$2:$K$501,分期缴税台账!$T$2:$T$501,A134,分期缴税台账!$Q$2:$Q$501,"有效"))</f>
        <v/>
      </c>
      <c r="AL134" s="15" t="str">
        <f t="shared" si="43"/>
        <v/>
      </c>
      <c r="AM134" s="4" t="str">
        <f t="shared" si="44"/>
        <v/>
      </c>
    </row>
    <row r="135" spans="1:39" x14ac:dyDescent="0.3">
      <c r="A135" s="9"/>
      <c r="B135" s="4" t="str">
        <f t="shared" si="30"/>
        <v/>
      </c>
      <c r="C135" s="9"/>
      <c r="D135" s="9"/>
      <c r="E135" s="9"/>
      <c r="F135" s="9"/>
      <c r="G135" s="13"/>
      <c r="H135" s="4" t="str">
        <f t="shared" si="31"/>
        <v/>
      </c>
      <c r="I135" s="9"/>
      <c r="J135" s="14"/>
      <c r="K135" s="15" t="str">
        <f>IF(OR(E135="",F135="",G135=""),"",IF(E135&lt;&gt;计划参数!$C$2,"",IF(F135="股票期权",IFERROR(LOOKUP(G135,计划参数!$D$12:$D$15,计划参数!$C$12:$C$15),""),IF(F135="限制性股票",计划参数!$C$10,""))))</f>
        <v/>
      </c>
      <c r="L135" s="15" t="str">
        <f>IF(AND(E135=计划参数!$C$2,F135="限制性股票",G135&gt;=计划参数!$D$9),计划参数!$C$9,"")</f>
        <v/>
      </c>
      <c r="M135" s="9"/>
      <c r="N135" s="14"/>
      <c r="O135" s="14"/>
      <c r="P135" s="13"/>
      <c r="Q135" s="9"/>
      <c r="R135" s="13"/>
      <c r="S135" s="15" t="str">
        <f t="shared" si="32"/>
        <v/>
      </c>
      <c r="T135" s="15" t="str">
        <f t="shared" si="33"/>
        <v/>
      </c>
      <c r="U135" s="15" t="str">
        <f t="shared" si="34"/>
        <v/>
      </c>
      <c r="V135" s="15" t="str">
        <f t="shared" si="35"/>
        <v/>
      </c>
      <c r="W135" s="16" t="str">
        <f>IF(V135="","",VLOOKUP(V135,税率及规则!$A$2:$C$8,2,TRUE))</f>
        <v/>
      </c>
      <c r="X135" s="15" t="str">
        <f>IF(V135="","",VLOOKUP(V135,税率及规则!$A$2:$C$8,3,TRUE))</f>
        <v/>
      </c>
      <c r="Y135" s="15" t="str">
        <f t="shared" si="36"/>
        <v/>
      </c>
      <c r="Z135" s="15" t="str">
        <f>IF(U135="","",MAX(0,U135*VLOOKUP(U135,税率及规则!$A$2:$C$8,2,TRUE)-VLOOKUP(U135,税率及规则!$A$2:$C$8,3,TRUE)))</f>
        <v/>
      </c>
      <c r="AA135" s="15" t="str">
        <f t="shared" si="37"/>
        <v/>
      </c>
      <c r="AB135" s="17" t="str">
        <f t="shared" si="38"/>
        <v/>
      </c>
      <c r="AC135" s="17" t="str">
        <f t="shared" si="39"/>
        <v/>
      </c>
      <c r="AD135" s="4" t="str">
        <f>IF(A135="","",IF(COUNTIF($A$2:$A$501,A135)&gt;1,"异常：事件编号重复",IF(OR(C135="",D135="",E135="",F135="",G135=""),"异常：必填项缺失",IF(AND(F135="其他股权激励",O135=""),"异常：其他股权激励所得缺失",IF(AND(F135&lt;&gt;"其他股权激励",OR(I135="",J135="")),"异常：数量或市场价缺失",IF(AND(F135&lt;&gt;"其他股权激励",OR(I135&lt;=0,J135&lt;0)),"异常：数量或价格无效",IF(AND(F135="限制性股票",OR(M135&lt;=0,N135&lt;0,I135&gt;M135)),"异常：个人获授或出资数据无效",IF(AND(IFERROR(INDEX(计划参数!$J$2:$J$501,MATCH(C135,计划参数!$I$2:$I$501,0)),"")&lt;&gt;"",D135&lt;&gt;IFERROR(INDEX(计划参数!$J$2:$J$501,MATCH(C135,计划参数!$I$2:$I$501,0)),"")),"异常：姓名与员工主数据不一致",IF(S135&lt;0,"异常：原始所得为负，已按0计税",IF(OR(AND(F135="股票期权",K135=""),AND(F135="限制性股票",OR(K135="",L135=""))),"异常：计划参数缺失",IF(COUNTIF(计划参数!$I$2:$I$501,C135)=0,"提示：员工编号未在主数据",IF(Q135&lt;&gt;"已备案","提示：未确认备案","正常"))))))))))))</f>
        <v/>
      </c>
      <c r="AE135" s="9"/>
      <c r="AF135" s="4" t="str">
        <f>IF(C135="","",IF(COUNTIF($C$2:C135,C135)=1,MAX($AF$1:AF134)+1,""))</f>
        <v/>
      </c>
      <c r="AG135" s="4" t="str">
        <f>IF(C135="","",COUNTIF($C$2:C135,C135))</f>
        <v/>
      </c>
      <c r="AH135" s="4" t="str">
        <f t="shared" si="40"/>
        <v/>
      </c>
      <c r="AI135" s="4" t="str">
        <f t="shared" si="41"/>
        <v/>
      </c>
      <c r="AJ135" s="4" t="str">
        <f t="shared" si="42"/>
        <v/>
      </c>
      <c r="AK135" s="15" t="str">
        <f>IF(A135="","",SUMIFS(分期缴税台账!$K$2:$K$501,分期缴税台账!$T$2:$T$501,A135,分期缴税台账!$Q$2:$Q$501,"有效"))</f>
        <v/>
      </c>
      <c r="AL135" s="15" t="str">
        <f t="shared" si="43"/>
        <v/>
      </c>
      <c r="AM135" s="4" t="str">
        <f t="shared" si="44"/>
        <v/>
      </c>
    </row>
    <row r="136" spans="1:39" x14ac:dyDescent="0.3">
      <c r="A136" s="9"/>
      <c r="B136" s="4" t="str">
        <f t="shared" si="30"/>
        <v/>
      </c>
      <c r="C136" s="9"/>
      <c r="D136" s="9"/>
      <c r="E136" s="9"/>
      <c r="F136" s="9"/>
      <c r="G136" s="13"/>
      <c r="H136" s="4" t="str">
        <f t="shared" si="31"/>
        <v/>
      </c>
      <c r="I136" s="9"/>
      <c r="J136" s="14"/>
      <c r="K136" s="15" t="str">
        <f>IF(OR(E136="",F136="",G136=""),"",IF(E136&lt;&gt;计划参数!$C$2,"",IF(F136="股票期权",IFERROR(LOOKUP(G136,计划参数!$D$12:$D$15,计划参数!$C$12:$C$15),""),IF(F136="限制性股票",计划参数!$C$10,""))))</f>
        <v/>
      </c>
      <c r="L136" s="15" t="str">
        <f>IF(AND(E136=计划参数!$C$2,F136="限制性股票",G136&gt;=计划参数!$D$9),计划参数!$C$9,"")</f>
        <v/>
      </c>
      <c r="M136" s="9"/>
      <c r="N136" s="14"/>
      <c r="O136" s="14"/>
      <c r="P136" s="13"/>
      <c r="Q136" s="9"/>
      <c r="R136" s="13"/>
      <c r="S136" s="15" t="str">
        <f t="shared" si="32"/>
        <v/>
      </c>
      <c r="T136" s="15" t="str">
        <f t="shared" si="33"/>
        <v/>
      </c>
      <c r="U136" s="15" t="str">
        <f t="shared" si="34"/>
        <v/>
      </c>
      <c r="V136" s="15" t="str">
        <f t="shared" si="35"/>
        <v/>
      </c>
      <c r="W136" s="16" t="str">
        <f>IF(V136="","",VLOOKUP(V136,税率及规则!$A$2:$C$8,2,TRUE))</f>
        <v/>
      </c>
      <c r="X136" s="15" t="str">
        <f>IF(V136="","",VLOOKUP(V136,税率及规则!$A$2:$C$8,3,TRUE))</f>
        <v/>
      </c>
      <c r="Y136" s="15" t="str">
        <f t="shared" si="36"/>
        <v/>
      </c>
      <c r="Z136" s="15" t="str">
        <f>IF(U136="","",MAX(0,U136*VLOOKUP(U136,税率及规则!$A$2:$C$8,2,TRUE)-VLOOKUP(U136,税率及规则!$A$2:$C$8,3,TRUE)))</f>
        <v/>
      </c>
      <c r="AA136" s="15" t="str">
        <f t="shared" si="37"/>
        <v/>
      </c>
      <c r="AB136" s="17" t="str">
        <f t="shared" si="38"/>
        <v/>
      </c>
      <c r="AC136" s="17" t="str">
        <f t="shared" si="39"/>
        <v/>
      </c>
      <c r="AD136" s="4" t="str">
        <f>IF(A136="","",IF(COUNTIF($A$2:$A$501,A136)&gt;1,"异常：事件编号重复",IF(OR(C136="",D136="",E136="",F136="",G136=""),"异常：必填项缺失",IF(AND(F136="其他股权激励",O136=""),"异常：其他股权激励所得缺失",IF(AND(F136&lt;&gt;"其他股权激励",OR(I136="",J136="")),"异常：数量或市场价缺失",IF(AND(F136&lt;&gt;"其他股权激励",OR(I136&lt;=0,J136&lt;0)),"异常：数量或价格无效",IF(AND(F136="限制性股票",OR(M136&lt;=0,N136&lt;0,I136&gt;M136)),"异常：个人获授或出资数据无效",IF(AND(IFERROR(INDEX(计划参数!$J$2:$J$501,MATCH(C136,计划参数!$I$2:$I$501,0)),"")&lt;&gt;"",D136&lt;&gt;IFERROR(INDEX(计划参数!$J$2:$J$501,MATCH(C136,计划参数!$I$2:$I$501,0)),"")),"异常：姓名与员工主数据不一致",IF(S136&lt;0,"异常：原始所得为负，已按0计税",IF(OR(AND(F136="股票期权",K136=""),AND(F136="限制性股票",OR(K136="",L136=""))),"异常：计划参数缺失",IF(COUNTIF(计划参数!$I$2:$I$501,C136)=0,"提示：员工编号未在主数据",IF(Q136&lt;&gt;"已备案","提示：未确认备案","正常"))))))))))))</f>
        <v/>
      </c>
      <c r="AE136" s="9"/>
      <c r="AF136" s="4" t="str">
        <f>IF(C136="","",IF(COUNTIF($C$2:C136,C136)=1,MAX($AF$1:AF135)+1,""))</f>
        <v/>
      </c>
      <c r="AG136" s="4" t="str">
        <f>IF(C136="","",COUNTIF($C$2:C136,C136))</f>
        <v/>
      </c>
      <c r="AH136" s="4" t="str">
        <f t="shared" si="40"/>
        <v/>
      </c>
      <c r="AI136" s="4" t="str">
        <f t="shared" si="41"/>
        <v/>
      </c>
      <c r="AJ136" s="4" t="str">
        <f t="shared" si="42"/>
        <v/>
      </c>
      <c r="AK136" s="15" t="str">
        <f>IF(A136="","",SUMIFS(分期缴税台账!$K$2:$K$501,分期缴税台账!$T$2:$T$501,A136,分期缴税台账!$Q$2:$Q$501,"有效"))</f>
        <v/>
      </c>
      <c r="AL136" s="15" t="str">
        <f t="shared" si="43"/>
        <v/>
      </c>
      <c r="AM136" s="4" t="str">
        <f t="shared" si="44"/>
        <v/>
      </c>
    </row>
    <row r="137" spans="1:39" x14ac:dyDescent="0.3">
      <c r="A137" s="9"/>
      <c r="B137" s="4" t="str">
        <f t="shared" si="30"/>
        <v/>
      </c>
      <c r="C137" s="9"/>
      <c r="D137" s="9"/>
      <c r="E137" s="9"/>
      <c r="F137" s="9"/>
      <c r="G137" s="13"/>
      <c r="H137" s="4" t="str">
        <f t="shared" si="31"/>
        <v/>
      </c>
      <c r="I137" s="9"/>
      <c r="J137" s="14"/>
      <c r="K137" s="15" t="str">
        <f>IF(OR(E137="",F137="",G137=""),"",IF(E137&lt;&gt;计划参数!$C$2,"",IF(F137="股票期权",IFERROR(LOOKUP(G137,计划参数!$D$12:$D$15,计划参数!$C$12:$C$15),""),IF(F137="限制性股票",计划参数!$C$10,""))))</f>
        <v/>
      </c>
      <c r="L137" s="15" t="str">
        <f>IF(AND(E137=计划参数!$C$2,F137="限制性股票",G137&gt;=计划参数!$D$9),计划参数!$C$9,"")</f>
        <v/>
      </c>
      <c r="M137" s="9"/>
      <c r="N137" s="14"/>
      <c r="O137" s="14"/>
      <c r="P137" s="13"/>
      <c r="Q137" s="9"/>
      <c r="R137" s="13"/>
      <c r="S137" s="15" t="str">
        <f t="shared" si="32"/>
        <v/>
      </c>
      <c r="T137" s="15" t="str">
        <f t="shared" si="33"/>
        <v/>
      </c>
      <c r="U137" s="15" t="str">
        <f t="shared" si="34"/>
        <v/>
      </c>
      <c r="V137" s="15" t="str">
        <f t="shared" si="35"/>
        <v/>
      </c>
      <c r="W137" s="16" t="str">
        <f>IF(V137="","",VLOOKUP(V137,税率及规则!$A$2:$C$8,2,TRUE))</f>
        <v/>
      </c>
      <c r="X137" s="15" t="str">
        <f>IF(V137="","",VLOOKUP(V137,税率及规则!$A$2:$C$8,3,TRUE))</f>
        <v/>
      </c>
      <c r="Y137" s="15" t="str">
        <f t="shared" si="36"/>
        <v/>
      </c>
      <c r="Z137" s="15" t="str">
        <f>IF(U137="","",MAX(0,U137*VLOOKUP(U137,税率及规则!$A$2:$C$8,2,TRUE)-VLOOKUP(U137,税率及规则!$A$2:$C$8,3,TRUE)))</f>
        <v/>
      </c>
      <c r="AA137" s="15" t="str">
        <f t="shared" si="37"/>
        <v/>
      </c>
      <c r="AB137" s="17" t="str">
        <f t="shared" si="38"/>
        <v/>
      </c>
      <c r="AC137" s="17" t="str">
        <f t="shared" si="39"/>
        <v/>
      </c>
      <c r="AD137" s="4" t="str">
        <f>IF(A137="","",IF(COUNTIF($A$2:$A$501,A137)&gt;1,"异常：事件编号重复",IF(OR(C137="",D137="",E137="",F137="",G137=""),"异常：必填项缺失",IF(AND(F137="其他股权激励",O137=""),"异常：其他股权激励所得缺失",IF(AND(F137&lt;&gt;"其他股权激励",OR(I137="",J137="")),"异常：数量或市场价缺失",IF(AND(F137&lt;&gt;"其他股权激励",OR(I137&lt;=0,J137&lt;0)),"异常：数量或价格无效",IF(AND(F137="限制性股票",OR(M137&lt;=0,N137&lt;0,I137&gt;M137)),"异常：个人获授或出资数据无效",IF(AND(IFERROR(INDEX(计划参数!$J$2:$J$501,MATCH(C137,计划参数!$I$2:$I$501,0)),"")&lt;&gt;"",D137&lt;&gt;IFERROR(INDEX(计划参数!$J$2:$J$501,MATCH(C137,计划参数!$I$2:$I$501,0)),"")),"异常：姓名与员工主数据不一致",IF(S137&lt;0,"异常：原始所得为负，已按0计税",IF(OR(AND(F137="股票期权",K137=""),AND(F137="限制性股票",OR(K137="",L137=""))),"异常：计划参数缺失",IF(COUNTIF(计划参数!$I$2:$I$501,C137)=0,"提示：员工编号未在主数据",IF(Q137&lt;&gt;"已备案","提示：未确认备案","正常"))))))))))))</f>
        <v/>
      </c>
      <c r="AE137" s="9"/>
      <c r="AF137" s="4" t="str">
        <f>IF(C137="","",IF(COUNTIF($C$2:C137,C137)=1,MAX($AF$1:AF136)+1,""))</f>
        <v/>
      </c>
      <c r="AG137" s="4" t="str">
        <f>IF(C137="","",COUNTIF($C$2:C137,C137))</f>
        <v/>
      </c>
      <c r="AH137" s="4" t="str">
        <f t="shared" si="40"/>
        <v/>
      </c>
      <c r="AI137" s="4" t="str">
        <f t="shared" si="41"/>
        <v/>
      </c>
      <c r="AJ137" s="4" t="str">
        <f t="shared" si="42"/>
        <v/>
      </c>
      <c r="AK137" s="15" t="str">
        <f>IF(A137="","",SUMIFS(分期缴税台账!$K$2:$K$501,分期缴税台账!$T$2:$T$501,A137,分期缴税台账!$Q$2:$Q$501,"有效"))</f>
        <v/>
      </c>
      <c r="AL137" s="15" t="str">
        <f t="shared" si="43"/>
        <v/>
      </c>
      <c r="AM137" s="4" t="str">
        <f t="shared" si="44"/>
        <v/>
      </c>
    </row>
    <row r="138" spans="1:39" x14ac:dyDescent="0.3">
      <c r="A138" s="9"/>
      <c r="B138" s="4" t="str">
        <f t="shared" si="30"/>
        <v/>
      </c>
      <c r="C138" s="9"/>
      <c r="D138" s="9"/>
      <c r="E138" s="9"/>
      <c r="F138" s="9"/>
      <c r="G138" s="13"/>
      <c r="H138" s="4" t="str">
        <f t="shared" si="31"/>
        <v/>
      </c>
      <c r="I138" s="9"/>
      <c r="J138" s="14"/>
      <c r="K138" s="15" t="str">
        <f>IF(OR(E138="",F138="",G138=""),"",IF(E138&lt;&gt;计划参数!$C$2,"",IF(F138="股票期权",IFERROR(LOOKUP(G138,计划参数!$D$12:$D$15,计划参数!$C$12:$C$15),""),IF(F138="限制性股票",计划参数!$C$10,""))))</f>
        <v/>
      </c>
      <c r="L138" s="15" t="str">
        <f>IF(AND(E138=计划参数!$C$2,F138="限制性股票",G138&gt;=计划参数!$D$9),计划参数!$C$9,"")</f>
        <v/>
      </c>
      <c r="M138" s="9"/>
      <c r="N138" s="14"/>
      <c r="O138" s="14"/>
      <c r="P138" s="13"/>
      <c r="Q138" s="9"/>
      <c r="R138" s="13"/>
      <c r="S138" s="15" t="str">
        <f t="shared" si="32"/>
        <v/>
      </c>
      <c r="T138" s="15" t="str">
        <f t="shared" si="33"/>
        <v/>
      </c>
      <c r="U138" s="15" t="str">
        <f t="shared" si="34"/>
        <v/>
      </c>
      <c r="V138" s="15" t="str">
        <f t="shared" si="35"/>
        <v/>
      </c>
      <c r="W138" s="16" t="str">
        <f>IF(V138="","",VLOOKUP(V138,税率及规则!$A$2:$C$8,2,TRUE))</f>
        <v/>
      </c>
      <c r="X138" s="15" t="str">
        <f>IF(V138="","",VLOOKUP(V138,税率及规则!$A$2:$C$8,3,TRUE))</f>
        <v/>
      </c>
      <c r="Y138" s="15" t="str">
        <f t="shared" si="36"/>
        <v/>
      </c>
      <c r="Z138" s="15" t="str">
        <f>IF(U138="","",MAX(0,U138*VLOOKUP(U138,税率及规则!$A$2:$C$8,2,TRUE)-VLOOKUP(U138,税率及规则!$A$2:$C$8,3,TRUE)))</f>
        <v/>
      </c>
      <c r="AA138" s="15" t="str">
        <f t="shared" si="37"/>
        <v/>
      </c>
      <c r="AB138" s="17" t="str">
        <f t="shared" si="38"/>
        <v/>
      </c>
      <c r="AC138" s="17" t="str">
        <f t="shared" si="39"/>
        <v/>
      </c>
      <c r="AD138" s="4" t="str">
        <f>IF(A138="","",IF(COUNTIF($A$2:$A$501,A138)&gt;1,"异常：事件编号重复",IF(OR(C138="",D138="",E138="",F138="",G138=""),"异常：必填项缺失",IF(AND(F138="其他股权激励",O138=""),"异常：其他股权激励所得缺失",IF(AND(F138&lt;&gt;"其他股权激励",OR(I138="",J138="")),"异常：数量或市场价缺失",IF(AND(F138&lt;&gt;"其他股权激励",OR(I138&lt;=0,J138&lt;0)),"异常：数量或价格无效",IF(AND(F138="限制性股票",OR(M138&lt;=0,N138&lt;0,I138&gt;M138)),"异常：个人获授或出资数据无效",IF(AND(IFERROR(INDEX(计划参数!$J$2:$J$501,MATCH(C138,计划参数!$I$2:$I$501,0)),"")&lt;&gt;"",D138&lt;&gt;IFERROR(INDEX(计划参数!$J$2:$J$501,MATCH(C138,计划参数!$I$2:$I$501,0)),"")),"异常：姓名与员工主数据不一致",IF(S138&lt;0,"异常：原始所得为负，已按0计税",IF(OR(AND(F138="股票期权",K138=""),AND(F138="限制性股票",OR(K138="",L138=""))),"异常：计划参数缺失",IF(COUNTIF(计划参数!$I$2:$I$501,C138)=0,"提示：员工编号未在主数据",IF(Q138&lt;&gt;"已备案","提示：未确认备案","正常"))))))))))))</f>
        <v/>
      </c>
      <c r="AE138" s="9"/>
      <c r="AF138" s="4" t="str">
        <f>IF(C138="","",IF(COUNTIF($C$2:C138,C138)=1,MAX($AF$1:AF137)+1,""))</f>
        <v/>
      </c>
      <c r="AG138" s="4" t="str">
        <f>IF(C138="","",COUNTIF($C$2:C138,C138))</f>
        <v/>
      </c>
      <c r="AH138" s="4" t="str">
        <f t="shared" si="40"/>
        <v/>
      </c>
      <c r="AI138" s="4" t="str">
        <f t="shared" si="41"/>
        <v/>
      </c>
      <c r="AJ138" s="4" t="str">
        <f t="shared" si="42"/>
        <v/>
      </c>
      <c r="AK138" s="15" t="str">
        <f>IF(A138="","",SUMIFS(分期缴税台账!$K$2:$K$501,分期缴税台账!$T$2:$T$501,A138,分期缴税台账!$Q$2:$Q$501,"有效"))</f>
        <v/>
      </c>
      <c r="AL138" s="15" t="str">
        <f t="shared" si="43"/>
        <v/>
      </c>
      <c r="AM138" s="4" t="str">
        <f t="shared" si="44"/>
        <v/>
      </c>
    </row>
    <row r="139" spans="1:39" x14ac:dyDescent="0.3">
      <c r="A139" s="9"/>
      <c r="B139" s="4" t="str">
        <f t="shared" si="30"/>
        <v/>
      </c>
      <c r="C139" s="9"/>
      <c r="D139" s="9"/>
      <c r="E139" s="9"/>
      <c r="F139" s="9"/>
      <c r="G139" s="13"/>
      <c r="H139" s="4" t="str">
        <f t="shared" si="31"/>
        <v/>
      </c>
      <c r="I139" s="9"/>
      <c r="J139" s="14"/>
      <c r="K139" s="15" t="str">
        <f>IF(OR(E139="",F139="",G139=""),"",IF(E139&lt;&gt;计划参数!$C$2,"",IF(F139="股票期权",IFERROR(LOOKUP(G139,计划参数!$D$12:$D$15,计划参数!$C$12:$C$15),""),IF(F139="限制性股票",计划参数!$C$10,""))))</f>
        <v/>
      </c>
      <c r="L139" s="15" t="str">
        <f>IF(AND(E139=计划参数!$C$2,F139="限制性股票",G139&gt;=计划参数!$D$9),计划参数!$C$9,"")</f>
        <v/>
      </c>
      <c r="M139" s="9"/>
      <c r="N139" s="14"/>
      <c r="O139" s="14"/>
      <c r="P139" s="13"/>
      <c r="Q139" s="9"/>
      <c r="R139" s="13"/>
      <c r="S139" s="15" t="str">
        <f t="shared" si="32"/>
        <v/>
      </c>
      <c r="T139" s="15" t="str">
        <f t="shared" si="33"/>
        <v/>
      </c>
      <c r="U139" s="15" t="str">
        <f t="shared" si="34"/>
        <v/>
      </c>
      <c r="V139" s="15" t="str">
        <f t="shared" si="35"/>
        <v/>
      </c>
      <c r="W139" s="16" t="str">
        <f>IF(V139="","",VLOOKUP(V139,税率及规则!$A$2:$C$8,2,TRUE))</f>
        <v/>
      </c>
      <c r="X139" s="15" t="str">
        <f>IF(V139="","",VLOOKUP(V139,税率及规则!$A$2:$C$8,3,TRUE))</f>
        <v/>
      </c>
      <c r="Y139" s="15" t="str">
        <f t="shared" si="36"/>
        <v/>
      </c>
      <c r="Z139" s="15" t="str">
        <f>IF(U139="","",MAX(0,U139*VLOOKUP(U139,税率及规则!$A$2:$C$8,2,TRUE)-VLOOKUP(U139,税率及规则!$A$2:$C$8,3,TRUE)))</f>
        <v/>
      </c>
      <c r="AA139" s="15" t="str">
        <f t="shared" si="37"/>
        <v/>
      </c>
      <c r="AB139" s="17" t="str">
        <f t="shared" si="38"/>
        <v/>
      </c>
      <c r="AC139" s="17" t="str">
        <f t="shared" si="39"/>
        <v/>
      </c>
      <c r="AD139" s="4" t="str">
        <f>IF(A139="","",IF(COUNTIF($A$2:$A$501,A139)&gt;1,"异常：事件编号重复",IF(OR(C139="",D139="",E139="",F139="",G139=""),"异常：必填项缺失",IF(AND(F139="其他股权激励",O139=""),"异常：其他股权激励所得缺失",IF(AND(F139&lt;&gt;"其他股权激励",OR(I139="",J139="")),"异常：数量或市场价缺失",IF(AND(F139&lt;&gt;"其他股权激励",OR(I139&lt;=0,J139&lt;0)),"异常：数量或价格无效",IF(AND(F139="限制性股票",OR(M139&lt;=0,N139&lt;0,I139&gt;M139)),"异常：个人获授或出资数据无效",IF(AND(IFERROR(INDEX(计划参数!$J$2:$J$501,MATCH(C139,计划参数!$I$2:$I$501,0)),"")&lt;&gt;"",D139&lt;&gt;IFERROR(INDEX(计划参数!$J$2:$J$501,MATCH(C139,计划参数!$I$2:$I$501,0)),"")),"异常：姓名与员工主数据不一致",IF(S139&lt;0,"异常：原始所得为负，已按0计税",IF(OR(AND(F139="股票期权",K139=""),AND(F139="限制性股票",OR(K139="",L139=""))),"异常：计划参数缺失",IF(COUNTIF(计划参数!$I$2:$I$501,C139)=0,"提示：员工编号未在主数据",IF(Q139&lt;&gt;"已备案","提示：未确认备案","正常"))))))))))))</f>
        <v/>
      </c>
      <c r="AE139" s="9"/>
      <c r="AF139" s="4" t="str">
        <f>IF(C139="","",IF(COUNTIF($C$2:C139,C139)=1,MAX($AF$1:AF138)+1,""))</f>
        <v/>
      </c>
      <c r="AG139" s="4" t="str">
        <f>IF(C139="","",COUNTIF($C$2:C139,C139))</f>
        <v/>
      </c>
      <c r="AH139" s="4" t="str">
        <f t="shared" si="40"/>
        <v/>
      </c>
      <c r="AI139" s="4" t="str">
        <f t="shared" si="41"/>
        <v/>
      </c>
      <c r="AJ139" s="4" t="str">
        <f t="shared" si="42"/>
        <v/>
      </c>
      <c r="AK139" s="15" t="str">
        <f>IF(A139="","",SUMIFS(分期缴税台账!$K$2:$K$501,分期缴税台账!$T$2:$T$501,A139,分期缴税台账!$Q$2:$Q$501,"有效"))</f>
        <v/>
      </c>
      <c r="AL139" s="15" t="str">
        <f t="shared" si="43"/>
        <v/>
      </c>
      <c r="AM139" s="4" t="str">
        <f t="shared" si="44"/>
        <v/>
      </c>
    </row>
    <row r="140" spans="1:39" x14ac:dyDescent="0.3">
      <c r="A140" s="9"/>
      <c r="B140" s="4" t="str">
        <f t="shared" si="30"/>
        <v/>
      </c>
      <c r="C140" s="9"/>
      <c r="D140" s="9"/>
      <c r="E140" s="9"/>
      <c r="F140" s="9"/>
      <c r="G140" s="13"/>
      <c r="H140" s="4" t="str">
        <f t="shared" si="31"/>
        <v/>
      </c>
      <c r="I140" s="9"/>
      <c r="J140" s="14"/>
      <c r="K140" s="15" t="str">
        <f>IF(OR(E140="",F140="",G140=""),"",IF(E140&lt;&gt;计划参数!$C$2,"",IF(F140="股票期权",IFERROR(LOOKUP(G140,计划参数!$D$12:$D$15,计划参数!$C$12:$C$15),""),IF(F140="限制性股票",计划参数!$C$10,""))))</f>
        <v/>
      </c>
      <c r="L140" s="15" t="str">
        <f>IF(AND(E140=计划参数!$C$2,F140="限制性股票",G140&gt;=计划参数!$D$9),计划参数!$C$9,"")</f>
        <v/>
      </c>
      <c r="M140" s="9"/>
      <c r="N140" s="14"/>
      <c r="O140" s="14"/>
      <c r="P140" s="13"/>
      <c r="Q140" s="9"/>
      <c r="R140" s="13"/>
      <c r="S140" s="15" t="str">
        <f t="shared" si="32"/>
        <v/>
      </c>
      <c r="T140" s="15" t="str">
        <f t="shared" si="33"/>
        <v/>
      </c>
      <c r="U140" s="15" t="str">
        <f t="shared" si="34"/>
        <v/>
      </c>
      <c r="V140" s="15" t="str">
        <f t="shared" si="35"/>
        <v/>
      </c>
      <c r="W140" s="16" t="str">
        <f>IF(V140="","",VLOOKUP(V140,税率及规则!$A$2:$C$8,2,TRUE))</f>
        <v/>
      </c>
      <c r="X140" s="15" t="str">
        <f>IF(V140="","",VLOOKUP(V140,税率及规则!$A$2:$C$8,3,TRUE))</f>
        <v/>
      </c>
      <c r="Y140" s="15" t="str">
        <f t="shared" si="36"/>
        <v/>
      </c>
      <c r="Z140" s="15" t="str">
        <f>IF(U140="","",MAX(0,U140*VLOOKUP(U140,税率及规则!$A$2:$C$8,2,TRUE)-VLOOKUP(U140,税率及规则!$A$2:$C$8,3,TRUE)))</f>
        <v/>
      </c>
      <c r="AA140" s="15" t="str">
        <f t="shared" si="37"/>
        <v/>
      </c>
      <c r="AB140" s="17" t="str">
        <f t="shared" si="38"/>
        <v/>
      </c>
      <c r="AC140" s="17" t="str">
        <f t="shared" si="39"/>
        <v/>
      </c>
      <c r="AD140" s="4" t="str">
        <f>IF(A140="","",IF(COUNTIF($A$2:$A$501,A140)&gt;1,"异常：事件编号重复",IF(OR(C140="",D140="",E140="",F140="",G140=""),"异常：必填项缺失",IF(AND(F140="其他股权激励",O140=""),"异常：其他股权激励所得缺失",IF(AND(F140&lt;&gt;"其他股权激励",OR(I140="",J140="")),"异常：数量或市场价缺失",IF(AND(F140&lt;&gt;"其他股权激励",OR(I140&lt;=0,J140&lt;0)),"异常：数量或价格无效",IF(AND(F140="限制性股票",OR(M140&lt;=0,N140&lt;0,I140&gt;M140)),"异常：个人获授或出资数据无效",IF(AND(IFERROR(INDEX(计划参数!$J$2:$J$501,MATCH(C140,计划参数!$I$2:$I$501,0)),"")&lt;&gt;"",D140&lt;&gt;IFERROR(INDEX(计划参数!$J$2:$J$501,MATCH(C140,计划参数!$I$2:$I$501,0)),"")),"异常：姓名与员工主数据不一致",IF(S140&lt;0,"异常：原始所得为负，已按0计税",IF(OR(AND(F140="股票期权",K140=""),AND(F140="限制性股票",OR(K140="",L140=""))),"异常：计划参数缺失",IF(COUNTIF(计划参数!$I$2:$I$501,C140)=0,"提示：员工编号未在主数据",IF(Q140&lt;&gt;"已备案","提示：未确认备案","正常"))))))))))))</f>
        <v/>
      </c>
      <c r="AE140" s="9"/>
      <c r="AF140" s="4" t="str">
        <f>IF(C140="","",IF(COUNTIF($C$2:C140,C140)=1,MAX($AF$1:AF139)+1,""))</f>
        <v/>
      </c>
      <c r="AG140" s="4" t="str">
        <f>IF(C140="","",COUNTIF($C$2:C140,C140))</f>
        <v/>
      </c>
      <c r="AH140" s="4" t="str">
        <f t="shared" si="40"/>
        <v/>
      </c>
      <c r="AI140" s="4" t="str">
        <f t="shared" si="41"/>
        <v/>
      </c>
      <c r="AJ140" s="4" t="str">
        <f t="shared" si="42"/>
        <v/>
      </c>
      <c r="AK140" s="15" t="str">
        <f>IF(A140="","",SUMIFS(分期缴税台账!$K$2:$K$501,分期缴税台账!$T$2:$T$501,A140,分期缴税台账!$Q$2:$Q$501,"有效"))</f>
        <v/>
      </c>
      <c r="AL140" s="15" t="str">
        <f t="shared" si="43"/>
        <v/>
      </c>
      <c r="AM140" s="4" t="str">
        <f t="shared" si="44"/>
        <v/>
      </c>
    </row>
    <row r="141" spans="1:39" x14ac:dyDescent="0.3">
      <c r="A141" s="9"/>
      <c r="B141" s="4" t="str">
        <f t="shared" si="30"/>
        <v/>
      </c>
      <c r="C141" s="9"/>
      <c r="D141" s="9"/>
      <c r="E141" s="9"/>
      <c r="F141" s="9"/>
      <c r="G141" s="13"/>
      <c r="H141" s="4" t="str">
        <f t="shared" si="31"/>
        <v/>
      </c>
      <c r="I141" s="9"/>
      <c r="J141" s="14"/>
      <c r="K141" s="15" t="str">
        <f>IF(OR(E141="",F141="",G141=""),"",IF(E141&lt;&gt;计划参数!$C$2,"",IF(F141="股票期权",IFERROR(LOOKUP(G141,计划参数!$D$12:$D$15,计划参数!$C$12:$C$15),""),IF(F141="限制性股票",计划参数!$C$10,""))))</f>
        <v/>
      </c>
      <c r="L141" s="15" t="str">
        <f>IF(AND(E141=计划参数!$C$2,F141="限制性股票",G141&gt;=计划参数!$D$9),计划参数!$C$9,"")</f>
        <v/>
      </c>
      <c r="M141" s="9"/>
      <c r="N141" s="14"/>
      <c r="O141" s="14"/>
      <c r="P141" s="13"/>
      <c r="Q141" s="9"/>
      <c r="R141" s="13"/>
      <c r="S141" s="15" t="str">
        <f t="shared" si="32"/>
        <v/>
      </c>
      <c r="T141" s="15" t="str">
        <f t="shared" si="33"/>
        <v/>
      </c>
      <c r="U141" s="15" t="str">
        <f t="shared" si="34"/>
        <v/>
      </c>
      <c r="V141" s="15" t="str">
        <f t="shared" si="35"/>
        <v/>
      </c>
      <c r="W141" s="16" t="str">
        <f>IF(V141="","",VLOOKUP(V141,税率及规则!$A$2:$C$8,2,TRUE))</f>
        <v/>
      </c>
      <c r="X141" s="15" t="str">
        <f>IF(V141="","",VLOOKUP(V141,税率及规则!$A$2:$C$8,3,TRUE))</f>
        <v/>
      </c>
      <c r="Y141" s="15" t="str">
        <f t="shared" si="36"/>
        <v/>
      </c>
      <c r="Z141" s="15" t="str">
        <f>IF(U141="","",MAX(0,U141*VLOOKUP(U141,税率及规则!$A$2:$C$8,2,TRUE)-VLOOKUP(U141,税率及规则!$A$2:$C$8,3,TRUE)))</f>
        <v/>
      </c>
      <c r="AA141" s="15" t="str">
        <f t="shared" si="37"/>
        <v/>
      </c>
      <c r="AB141" s="17" t="str">
        <f t="shared" si="38"/>
        <v/>
      </c>
      <c r="AC141" s="17" t="str">
        <f t="shared" si="39"/>
        <v/>
      </c>
      <c r="AD141" s="4" t="str">
        <f>IF(A141="","",IF(COUNTIF($A$2:$A$501,A141)&gt;1,"异常：事件编号重复",IF(OR(C141="",D141="",E141="",F141="",G141=""),"异常：必填项缺失",IF(AND(F141="其他股权激励",O141=""),"异常：其他股权激励所得缺失",IF(AND(F141&lt;&gt;"其他股权激励",OR(I141="",J141="")),"异常：数量或市场价缺失",IF(AND(F141&lt;&gt;"其他股权激励",OR(I141&lt;=0,J141&lt;0)),"异常：数量或价格无效",IF(AND(F141="限制性股票",OR(M141&lt;=0,N141&lt;0,I141&gt;M141)),"异常：个人获授或出资数据无效",IF(AND(IFERROR(INDEX(计划参数!$J$2:$J$501,MATCH(C141,计划参数!$I$2:$I$501,0)),"")&lt;&gt;"",D141&lt;&gt;IFERROR(INDEX(计划参数!$J$2:$J$501,MATCH(C141,计划参数!$I$2:$I$501,0)),"")),"异常：姓名与员工主数据不一致",IF(S141&lt;0,"异常：原始所得为负，已按0计税",IF(OR(AND(F141="股票期权",K141=""),AND(F141="限制性股票",OR(K141="",L141=""))),"异常：计划参数缺失",IF(COUNTIF(计划参数!$I$2:$I$501,C141)=0,"提示：员工编号未在主数据",IF(Q141&lt;&gt;"已备案","提示：未确认备案","正常"))))))))))))</f>
        <v/>
      </c>
      <c r="AE141" s="9"/>
      <c r="AF141" s="4" t="str">
        <f>IF(C141="","",IF(COUNTIF($C$2:C141,C141)=1,MAX($AF$1:AF140)+1,""))</f>
        <v/>
      </c>
      <c r="AG141" s="4" t="str">
        <f>IF(C141="","",COUNTIF($C$2:C141,C141))</f>
        <v/>
      </c>
      <c r="AH141" s="4" t="str">
        <f t="shared" si="40"/>
        <v/>
      </c>
      <c r="AI141" s="4" t="str">
        <f t="shared" si="41"/>
        <v/>
      </c>
      <c r="AJ141" s="4" t="str">
        <f t="shared" si="42"/>
        <v/>
      </c>
      <c r="AK141" s="15" t="str">
        <f>IF(A141="","",SUMIFS(分期缴税台账!$K$2:$K$501,分期缴税台账!$T$2:$T$501,A141,分期缴税台账!$Q$2:$Q$501,"有效"))</f>
        <v/>
      </c>
      <c r="AL141" s="15" t="str">
        <f t="shared" si="43"/>
        <v/>
      </c>
      <c r="AM141" s="4" t="str">
        <f t="shared" si="44"/>
        <v/>
      </c>
    </row>
    <row r="142" spans="1:39" x14ac:dyDescent="0.3">
      <c r="A142" s="9"/>
      <c r="B142" s="4" t="str">
        <f t="shared" si="30"/>
        <v/>
      </c>
      <c r="C142" s="9"/>
      <c r="D142" s="9"/>
      <c r="E142" s="9"/>
      <c r="F142" s="9"/>
      <c r="G142" s="13"/>
      <c r="H142" s="4" t="str">
        <f t="shared" si="31"/>
        <v/>
      </c>
      <c r="I142" s="9"/>
      <c r="J142" s="14"/>
      <c r="K142" s="15" t="str">
        <f>IF(OR(E142="",F142="",G142=""),"",IF(E142&lt;&gt;计划参数!$C$2,"",IF(F142="股票期权",IFERROR(LOOKUP(G142,计划参数!$D$12:$D$15,计划参数!$C$12:$C$15),""),IF(F142="限制性股票",计划参数!$C$10,""))))</f>
        <v/>
      </c>
      <c r="L142" s="15" t="str">
        <f>IF(AND(E142=计划参数!$C$2,F142="限制性股票",G142&gt;=计划参数!$D$9),计划参数!$C$9,"")</f>
        <v/>
      </c>
      <c r="M142" s="9"/>
      <c r="N142" s="14"/>
      <c r="O142" s="14"/>
      <c r="P142" s="13"/>
      <c r="Q142" s="9"/>
      <c r="R142" s="13"/>
      <c r="S142" s="15" t="str">
        <f t="shared" si="32"/>
        <v/>
      </c>
      <c r="T142" s="15" t="str">
        <f t="shared" si="33"/>
        <v/>
      </c>
      <c r="U142" s="15" t="str">
        <f t="shared" si="34"/>
        <v/>
      </c>
      <c r="V142" s="15" t="str">
        <f t="shared" si="35"/>
        <v/>
      </c>
      <c r="W142" s="16" t="str">
        <f>IF(V142="","",VLOOKUP(V142,税率及规则!$A$2:$C$8,2,TRUE))</f>
        <v/>
      </c>
      <c r="X142" s="15" t="str">
        <f>IF(V142="","",VLOOKUP(V142,税率及规则!$A$2:$C$8,3,TRUE))</f>
        <v/>
      </c>
      <c r="Y142" s="15" t="str">
        <f t="shared" si="36"/>
        <v/>
      </c>
      <c r="Z142" s="15" t="str">
        <f>IF(U142="","",MAX(0,U142*VLOOKUP(U142,税率及规则!$A$2:$C$8,2,TRUE)-VLOOKUP(U142,税率及规则!$A$2:$C$8,3,TRUE)))</f>
        <v/>
      </c>
      <c r="AA142" s="15" t="str">
        <f t="shared" si="37"/>
        <v/>
      </c>
      <c r="AB142" s="17" t="str">
        <f t="shared" si="38"/>
        <v/>
      </c>
      <c r="AC142" s="17" t="str">
        <f t="shared" si="39"/>
        <v/>
      </c>
      <c r="AD142" s="4" t="str">
        <f>IF(A142="","",IF(COUNTIF($A$2:$A$501,A142)&gt;1,"异常：事件编号重复",IF(OR(C142="",D142="",E142="",F142="",G142=""),"异常：必填项缺失",IF(AND(F142="其他股权激励",O142=""),"异常：其他股权激励所得缺失",IF(AND(F142&lt;&gt;"其他股权激励",OR(I142="",J142="")),"异常：数量或市场价缺失",IF(AND(F142&lt;&gt;"其他股权激励",OR(I142&lt;=0,J142&lt;0)),"异常：数量或价格无效",IF(AND(F142="限制性股票",OR(M142&lt;=0,N142&lt;0,I142&gt;M142)),"异常：个人获授或出资数据无效",IF(AND(IFERROR(INDEX(计划参数!$J$2:$J$501,MATCH(C142,计划参数!$I$2:$I$501,0)),"")&lt;&gt;"",D142&lt;&gt;IFERROR(INDEX(计划参数!$J$2:$J$501,MATCH(C142,计划参数!$I$2:$I$501,0)),"")),"异常：姓名与员工主数据不一致",IF(S142&lt;0,"异常：原始所得为负，已按0计税",IF(OR(AND(F142="股票期权",K142=""),AND(F142="限制性股票",OR(K142="",L142=""))),"异常：计划参数缺失",IF(COUNTIF(计划参数!$I$2:$I$501,C142)=0,"提示：员工编号未在主数据",IF(Q142&lt;&gt;"已备案","提示：未确认备案","正常"))))))))))))</f>
        <v/>
      </c>
      <c r="AE142" s="9"/>
      <c r="AF142" s="4" t="str">
        <f>IF(C142="","",IF(COUNTIF($C$2:C142,C142)=1,MAX($AF$1:AF141)+1,""))</f>
        <v/>
      </c>
      <c r="AG142" s="4" t="str">
        <f>IF(C142="","",COUNTIF($C$2:C142,C142))</f>
        <v/>
      </c>
      <c r="AH142" s="4" t="str">
        <f t="shared" si="40"/>
        <v/>
      </c>
      <c r="AI142" s="4" t="str">
        <f t="shared" si="41"/>
        <v/>
      </c>
      <c r="AJ142" s="4" t="str">
        <f t="shared" si="42"/>
        <v/>
      </c>
      <c r="AK142" s="15" t="str">
        <f>IF(A142="","",SUMIFS(分期缴税台账!$K$2:$K$501,分期缴税台账!$T$2:$T$501,A142,分期缴税台账!$Q$2:$Q$501,"有效"))</f>
        <v/>
      </c>
      <c r="AL142" s="15" t="str">
        <f t="shared" si="43"/>
        <v/>
      </c>
      <c r="AM142" s="4" t="str">
        <f t="shared" si="44"/>
        <v/>
      </c>
    </row>
    <row r="143" spans="1:39" x14ac:dyDescent="0.3">
      <c r="A143" s="9"/>
      <c r="B143" s="4" t="str">
        <f t="shared" si="30"/>
        <v/>
      </c>
      <c r="C143" s="9"/>
      <c r="D143" s="9"/>
      <c r="E143" s="9"/>
      <c r="F143" s="9"/>
      <c r="G143" s="13"/>
      <c r="H143" s="4" t="str">
        <f t="shared" si="31"/>
        <v/>
      </c>
      <c r="I143" s="9"/>
      <c r="J143" s="14"/>
      <c r="K143" s="15" t="str">
        <f>IF(OR(E143="",F143="",G143=""),"",IF(E143&lt;&gt;计划参数!$C$2,"",IF(F143="股票期权",IFERROR(LOOKUP(G143,计划参数!$D$12:$D$15,计划参数!$C$12:$C$15),""),IF(F143="限制性股票",计划参数!$C$10,""))))</f>
        <v/>
      </c>
      <c r="L143" s="15" t="str">
        <f>IF(AND(E143=计划参数!$C$2,F143="限制性股票",G143&gt;=计划参数!$D$9),计划参数!$C$9,"")</f>
        <v/>
      </c>
      <c r="M143" s="9"/>
      <c r="N143" s="14"/>
      <c r="O143" s="14"/>
      <c r="P143" s="13"/>
      <c r="Q143" s="9"/>
      <c r="R143" s="13"/>
      <c r="S143" s="15" t="str">
        <f t="shared" si="32"/>
        <v/>
      </c>
      <c r="T143" s="15" t="str">
        <f t="shared" si="33"/>
        <v/>
      </c>
      <c r="U143" s="15" t="str">
        <f t="shared" si="34"/>
        <v/>
      </c>
      <c r="V143" s="15" t="str">
        <f t="shared" si="35"/>
        <v/>
      </c>
      <c r="W143" s="16" t="str">
        <f>IF(V143="","",VLOOKUP(V143,税率及规则!$A$2:$C$8,2,TRUE))</f>
        <v/>
      </c>
      <c r="X143" s="15" t="str">
        <f>IF(V143="","",VLOOKUP(V143,税率及规则!$A$2:$C$8,3,TRUE))</f>
        <v/>
      </c>
      <c r="Y143" s="15" t="str">
        <f t="shared" si="36"/>
        <v/>
      </c>
      <c r="Z143" s="15" t="str">
        <f>IF(U143="","",MAX(0,U143*VLOOKUP(U143,税率及规则!$A$2:$C$8,2,TRUE)-VLOOKUP(U143,税率及规则!$A$2:$C$8,3,TRUE)))</f>
        <v/>
      </c>
      <c r="AA143" s="15" t="str">
        <f t="shared" si="37"/>
        <v/>
      </c>
      <c r="AB143" s="17" t="str">
        <f t="shared" si="38"/>
        <v/>
      </c>
      <c r="AC143" s="17" t="str">
        <f t="shared" si="39"/>
        <v/>
      </c>
      <c r="AD143" s="4" t="str">
        <f>IF(A143="","",IF(COUNTIF($A$2:$A$501,A143)&gt;1,"异常：事件编号重复",IF(OR(C143="",D143="",E143="",F143="",G143=""),"异常：必填项缺失",IF(AND(F143="其他股权激励",O143=""),"异常：其他股权激励所得缺失",IF(AND(F143&lt;&gt;"其他股权激励",OR(I143="",J143="")),"异常：数量或市场价缺失",IF(AND(F143&lt;&gt;"其他股权激励",OR(I143&lt;=0,J143&lt;0)),"异常：数量或价格无效",IF(AND(F143="限制性股票",OR(M143&lt;=0,N143&lt;0,I143&gt;M143)),"异常：个人获授或出资数据无效",IF(AND(IFERROR(INDEX(计划参数!$J$2:$J$501,MATCH(C143,计划参数!$I$2:$I$501,0)),"")&lt;&gt;"",D143&lt;&gt;IFERROR(INDEX(计划参数!$J$2:$J$501,MATCH(C143,计划参数!$I$2:$I$501,0)),"")),"异常：姓名与员工主数据不一致",IF(S143&lt;0,"异常：原始所得为负，已按0计税",IF(OR(AND(F143="股票期权",K143=""),AND(F143="限制性股票",OR(K143="",L143=""))),"异常：计划参数缺失",IF(COUNTIF(计划参数!$I$2:$I$501,C143)=0,"提示：员工编号未在主数据",IF(Q143&lt;&gt;"已备案","提示：未确认备案","正常"))))))))))))</f>
        <v/>
      </c>
      <c r="AE143" s="9"/>
      <c r="AF143" s="4" t="str">
        <f>IF(C143="","",IF(COUNTIF($C$2:C143,C143)=1,MAX($AF$1:AF142)+1,""))</f>
        <v/>
      </c>
      <c r="AG143" s="4" t="str">
        <f>IF(C143="","",COUNTIF($C$2:C143,C143))</f>
        <v/>
      </c>
      <c r="AH143" s="4" t="str">
        <f t="shared" si="40"/>
        <v/>
      </c>
      <c r="AI143" s="4" t="str">
        <f t="shared" si="41"/>
        <v/>
      </c>
      <c r="AJ143" s="4" t="str">
        <f t="shared" si="42"/>
        <v/>
      </c>
      <c r="AK143" s="15" t="str">
        <f>IF(A143="","",SUMIFS(分期缴税台账!$K$2:$K$501,分期缴税台账!$T$2:$T$501,A143,分期缴税台账!$Q$2:$Q$501,"有效"))</f>
        <v/>
      </c>
      <c r="AL143" s="15" t="str">
        <f t="shared" si="43"/>
        <v/>
      </c>
      <c r="AM143" s="4" t="str">
        <f t="shared" si="44"/>
        <v/>
      </c>
    </row>
    <row r="144" spans="1:39" x14ac:dyDescent="0.3">
      <c r="A144" s="9"/>
      <c r="B144" s="4" t="str">
        <f t="shared" si="30"/>
        <v/>
      </c>
      <c r="C144" s="9"/>
      <c r="D144" s="9"/>
      <c r="E144" s="9"/>
      <c r="F144" s="9"/>
      <c r="G144" s="13"/>
      <c r="H144" s="4" t="str">
        <f t="shared" si="31"/>
        <v/>
      </c>
      <c r="I144" s="9"/>
      <c r="J144" s="14"/>
      <c r="K144" s="15" t="str">
        <f>IF(OR(E144="",F144="",G144=""),"",IF(E144&lt;&gt;计划参数!$C$2,"",IF(F144="股票期权",IFERROR(LOOKUP(G144,计划参数!$D$12:$D$15,计划参数!$C$12:$C$15),""),IF(F144="限制性股票",计划参数!$C$10,""))))</f>
        <v/>
      </c>
      <c r="L144" s="15" t="str">
        <f>IF(AND(E144=计划参数!$C$2,F144="限制性股票",G144&gt;=计划参数!$D$9),计划参数!$C$9,"")</f>
        <v/>
      </c>
      <c r="M144" s="9"/>
      <c r="N144" s="14"/>
      <c r="O144" s="14"/>
      <c r="P144" s="13"/>
      <c r="Q144" s="9"/>
      <c r="R144" s="13"/>
      <c r="S144" s="15" t="str">
        <f t="shared" si="32"/>
        <v/>
      </c>
      <c r="T144" s="15" t="str">
        <f t="shared" si="33"/>
        <v/>
      </c>
      <c r="U144" s="15" t="str">
        <f t="shared" si="34"/>
        <v/>
      </c>
      <c r="V144" s="15" t="str">
        <f t="shared" si="35"/>
        <v/>
      </c>
      <c r="W144" s="16" t="str">
        <f>IF(V144="","",VLOOKUP(V144,税率及规则!$A$2:$C$8,2,TRUE))</f>
        <v/>
      </c>
      <c r="X144" s="15" t="str">
        <f>IF(V144="","",VLOOKUP(V144,税率及规则!$A$2:$C$8,3,TRUE))</f>
        <v/>
      </c>
      <c r="Y144" s="15" t="str">
        <f t="shared" si="36"/>
        <v/>
      </c>
      <c r="Z144" s="15" t="str">
        <f>IF(U144="","",MAX(0,U144*VLOOKUP(U144,税率及规则!$A$2:$C$8,2,TRUE)-VLOOKUP(U144,税率及规则!$A$2:$C$8,3,TRUE)))</f>
        <v/>
      </c>
      <c r="AA144" s="15" t="str">
        <f t="shared" si="37"/>
        <v/>
      </c>
      <c r="AB144" s="17" t="str">
        <f t="shared" si="38"/>
        <v/>
      </c>
      <c r="AC144" s="17" t="str">
        <f t="shared" si="39"/>
        <v/>
      </c>
      <c r="AD144" s="4" t="str">
        <f>IF(A144="","",IF(COUNTIF($A$2:$A$501,A144)&gt;1,"异常：事件编号重复",IF(OR(C144="",D144="",E144="",F144="",G144=""),"异常：必填项缺失",IF(AND(F144="其他股权激励",O144=""),"异常：其他股权激励所得缺失",IF(AND(F144&lt;&gt;"其他股权激励",OR(I144="",J144="")),"异常：数量或市场价缺失",IF(AND(F144&lt;&gt;"其他股权激励",OR(I144&lt;=0,J144&lt;0)),"异常：数量或价格无效",IF(AND(F144="限制性股票",OR(M144&lt;=0,N144&lt;0,I144&gt;M144)),"异常：个人获授或出资数据无效",IF(AND(IFERROR(INDEX(计划参数!$J$2:$J$501,MATCH(C144,计划参数!$I$2:$I$501,0)),"")&lt;&gt;"",D144&lt;&gt;IFERROR(INDEX(计划参数!$J$2:$J$501,MATCH(C144,计划参数!$I$2:$I$501,0)),"")),"异常：姓名与员工主数据不一致",IF(S144&lt;0,"异常：原始所得为负，已按0计税",IF(OR(AND(F144="股票期权",K144=""),AND(F144="限制性股票",OR(K144="",L144=""))),"异常：计划参数缺失",IF(COUNTIF(计划参数!$I$2:$I$501,C144)=0,"提示：员工编号未在主数据",IF(Q144&lt;&gt;"已备案","提示：未确认备案","正常"))))))))))))</f>
        <v/>
      </c>
      <c r="AE144" s="9"/>
      <c r="AF144" s="4" t="str">
        <f>IF(C144="","",IF(COUNTIF($C$2:C144,C144)=1,MAX($AF$1:AF143)+1,""))</f>
        <v/>
      </c>
      <c r="AG144" s="4" t="str">
        <f>IF(C144="","",COUNTIF($C$2:C144,C144))</f>
        <v/>
      </c>
      <c r="AH144" s="4" t="str">
        <f t="shared" si="40"/>
        <v/>
      </c>
      <c r="AI144" s="4" t="str">
        <f t="shared" si="41"/>
        <v/>
      </c>
      <c r="AJ144" s="4" t="str">
        <f t="shared" si="42"/>
        <v/>
      </c>
      <c r="AK144" s="15" t="str">
        <f>IF(A144="","",SUMIFS(分期缴税台账!$K$2:$K$501,分期缴税台账!$T$2:$T$501,A144,分期缴税台账!$Q$2:$Q$501,"有效"))</f>
        <v/>
      </c>
      <c r="AL144" s="15" t="str">
        <f t="shared" si="43"/>
        <v/>
      </c>
      <c r="AM144" s="4" t="str">
        <f t="shared" si="44"/>
        <v/>
      </c>
    </row>
    <row r="145" spans="1:39" x14ac:dyDescent="0.3">
      <c r="A145" s="9"/>
      <c r="B145" s="4" t="str">
        <f t="shared" si="30"/>
        <v/>
      </c>
      <c r="C145" s="9"/>
      <c r="D145" s="9"/>
      <c r="E145" s="9"/>
      <c r="F145" s="9"/>
      <c r="G145" s="13"/>
      <c r="H145" s="4" t="str">
        <f t="shared" si="31"/>
        <v/>
      </c>
      <c r="I145" s="9"/>
      <c r="J145" s="14"/>
      <c r="K145" s="15" t="str">
        <f>IF(OR(E145="",F145="",G145=""),"",IF(E145&lt;&gt;计划参数!$C$2,"",IF(F145="股票期权",IFERROR(LOOKUP(G145,计划参数!$D$12:$D$15,计划参数!$C$12:$C$15),""),IF(F145="限制性股票",计划参数!$C$10,""))))</f>
        <v/>
      </c>
      <c r="L145" s="15" t="str">
        <f>IF(AND(E145=计划参数!$C$2,F145="限制性股票",G145&gt;=计划参数!$D$9),计划参数!$C$9,"")</f>
        <v/>
      </c>
      <c r="M145" s="9"/>
      <c r="N145" s="14"/>
      <c r="O145" s="14"/>
      <c r="P145" s="13"/>
      <c r="Q145" s="9"/>
      <c r="R145" s="13"/>
      <c r="S145" s="15" t="str">
        <f t="shared" si="32"/>
        <v/>
      </c>
      <c r="T145" s="15" t="str">
        <f t="shared" si="33"/>
        <v/>
      </c>
      <c r="U145" s="15" t="str">
        <f t="shared" si="34"/>
        <v/>
      </c>
      <c r="V145" s="15" t="str">
        <f t="shared" si="35"/>
        <v/>
      </c>
      <c r="W145" s="16" t="str">
        <f>IF(V145="","",VLOOKUP(V145,税率及规则!$A$2:$C$8,2,TRUE))</f>
        <v/>
      </c>
      <c r="X145" s="15" t="str">
        <f>IF(V145="","",VLOOKUP(V145,税率及规则!$A$2:$C$8,3,TRUE))</f>
        <v/>
      </c>
      <c r="Y145" s="15" t="str">
        <f t="shared" si="36"/>
        <v/>
      </c>
      <c r="Z145" s="15" t="str">
        <f>IF(U145="","",MAX(0,U145*VLOOKUP(U145,税率及规则!$A$2:$C$8,2,TRUE)-VLOOKUP(U145,税率及规则!$A$2:$C$8,3,TRUE)))</f>
        <v/>
      </c>
      <c r="AA145" s="15" t="str">
        <f t="shared" si="37"/>
        <v/>
      </c>
      <c r="AB145" s="17" t="str">
        <f t="shared" si="38"/>
        <v/>
      </c>
      <c r="AC145" s="17" t="str">
        <f t="shared" si="39"/>
        <v/>
      </c>
      <c r="AD145" s="4" t="str">
        <f>IF(A145="","",IF(COUNTIF($A$2:$A$501,A145)&gt;1,"异常：事件编号重复",IF(OR(C145="",D145="",E145="",F145="",G145=""),"异常：必填项缺失",IF(AND(F145="其他股权激励",O145=""),"异常：其他股权激励所得缺失",IF(AND(F145&lt;&gt;"其他股权激励",OR(I145="",J145="")),"异常：数量或市场价缺失",IF(AND(F145&lt;&gt;"其他股权激励",OR(I145&lt;=0,J145&lt;0)),"异常：数量或价格无效",IF(AND(F145="限制性股票",OR(M145&lt;=0,N145&lt;0,I145&gt;M145)),"异常：个人获授或出资数据无效",IF(AND(IFERROR(INDEX(计划参数!$J$2:$J$501,MATCH(C145,计划参数!$I$2:$I$501,0)),"")&lt;&gt;"",D145&lt;&gt;IFERROR(INDEX(计划参数!$J$2:$J$501,MATCH(C145,计划参数!$I$2:$I$501,0)),"")),"异常：姓名与员工主数据不一致",IF(S145&lt;0,"异常：原始所得为负，已按0计税",IF(OR(AND(F145="股票期权",K145=""),AND(F145="限制性股票",OR(K145="",L145=""))),"异常：计划参数缺失",IF(COUNTIF(计划参数!$I$2:$I$501,C145)=0,"提示：员工编号未在主数据",IF(Q145&lt;&gt;"已备案","提示：未确认备案","正常"))))))))))))</f>
        <v/>
      </c>
      <c r="AE145" s="9"/>
      <c r="AF145" s="4" t="str">
        <f>IF(C145="","",IF(COUNTIF($C$2:C145,C145)=1,MAX($AF$1:AF144)+1,""))</f>
        <v/>
      </c>
      <c r="AG145" s="4" t="str">
        <f>IF(C145="","",COUNTIF($C$2:C145,C145))</f>
        <v/>
      </c>
      <c r="AH145" s="4" t="str">
        <f t="shared" si="40"/>
        <v/>
      </c>
      <c r="AI145" s="4" t="str">
        <f t="shared" si="41"/>
        <v/>
      </c>
      <c r="AJ145" s="4" t="str">
        <f t="shared" si="42"/>
        <v/>
      </c>
      <c r="AK145" s="15" t="str">
        <f>IF(A145="","",SUMIFS(分期缴税台账!$K$2:$K$501,分期缴税台账!$T$2:$T$501,A145,分期缴税台账!$Q$2:$Q$501,"有效"))</f>
        <v/>
      </c>
      <c r="AL145" s="15" t="str">
        <f t="shared" si="43"/>
        <v/>
      </c>
      <c r="AM145" s="4" t="str">
        <f t="shared" si="44"/>
        <v/>
      </c>
    </row>
    <row r="146" spans="1:39" x14ac:dyDescent="0.3">
      <c r="A146" s="9"/>
      <c r="B146" s="4" t="str">
        <f t="shared" si="30"/>
        <v/>
      </c>
      <c r="C146" s="9"/>
      <c r="D146" s="9"/>
      <c r="E146" s="9"/>
      <c r="F146" s="9"/>
      <c r="G146" s="13"/>
      <c r="H146" s="4" t="str">
        <f t="shared" si="31"/>
        <v/>
      </c>
      <c r="I146" s="9"/>
      <c r="J146" s="14"/>
      <c r="K146" s="15" t="str">
        <f>IF(OR(E146="",F146="",G146=""),"",IF(E146&lt;&gt;计划参数!$C$2,"",IF(F146="股票期权",IFERROR(LOOKUP(G146,计划参数!$D$12:$D$15,计划参数!$C$12:$C$15),""),IF(F146="限制性股票",计划参数!$C$10,""))))</f>
        <v/>
      </c>
      <c r="L146" s="15" t="str">
        <f>IF(AND(E146=计划参数!$C$2,F146="限制性股票",G146&gt;=计划参数!$D$9),计划参数!$C$9,"")</f>
        <v/>
      </c>
      <c r="M146" s="9"/>
      <c r="N146" s="14"/>
      <c r="O146" s="14"/>
      <c r="P146" s="13"/>
      <c r="Q146" s="9"/>
      <c r="R146" s="13"/>
      <c r="S146" s="15" t="str">
        <f t="shared" si="32"/>
        <v/>
      </c>
      <c r="T146" s="15" t="str">
        <f t="shared" si="33"/>
        <v/>
      </c>
      <c r="U146" s="15" t="str">
        <f t="shared" si="34"/>
        <v/>
      </c>
      <c r="V146" s="15" t="str">
        <f t="shared" si="35"/>
        <v/>
      </c>
      <c r="W146" s="16" t="str">
        <f>IF(V146="","",VLOOKUP(V146,税率及规则!$A$2:$C$8,2,TRUE))</f>
        <v/>
      </c>
      <c r="X146" s="15" t="str">
        <f>IF(V146="","",VLOOKUP(V146,税率及规则!$A$2:$C$8,3,TRUE))</f>
        <v/>
      </c>
      <c r="Y146" s="15" t="str">
        <f t="shared" si="36"/>
        <v/>
      </c>
      <c r="Z146" s="15" t="str">
        <f>IF(U146="","",MAX(0,U146*VLOOKUP(U146,税率及规则!$A$2:$C$8,2,TRUE)-VLOOKUP(U146,税率及规则!$A$2:$C$8,3,TRUE)))</f>
        <v/>
      </c>
      <c r="AA146" s="15" t="str">
        <f t="shared" si="37"/>
        <v/>
      </c>
      <c r="AB146" s="17" t="str">
        <f t="shared" si="38"/>
        <v/>
      </c>
      <c r="AC146" s="17" t="str">
        <f t="shared" si="39"/>
        <v/>
      </c>
      <c r="AD146" s="4" t="str">
        <f>IF(A146="","",IF(COUNTIF($A$2:$A$501,A146)&gt;1,"异常：事件编号重复",IF(OR(C146="",D146="",E146="",F146="",G146=""),"异常：必填项缺失",IF(AND(F146="其他股权激励",O146=""),"异常：其他股权激励所得缺失",IF(AND(F146&lt;&gt;"其他股权激励",OR(I146="",J146="")),"异常：数量或市场价缺失",IF(AND(F146&lt;&gt;"其他股权激励",OR(I146&lt;=0,J146&lt;0)),"异常：数量或价格无效",IF(AND(F146="限制性股票",OR(M146&lt;=0,N146&lt;0,I146&gt;M146)),"异常：个人获授或出资数据无效",IF(AND(IFERROR(INDEX(计划参数!$J$2:$J$501,MATCH(C146,计划参数!$I$2:$I$501,0)),"")&lt;&gt;"",D146&lt;&gt;IFERROR(INDEX(计划参数!$J$2:$J$501,MATCH(C146,计划参数!$I$2:$I$501,0)),"")),"异常：姓名与员工主数据不一致",IF(S146&lt;0,"异常：原始所得为负，已按0计税",IF(OR(AND(F146="股票期权",K146=""),AND(F146="限制性股票",OR(K146="",L146=""))),"异常：计划参数缺失",IF(COUNTIF(计划参数!$I$2:$I$501,C146)=0,"提示：员工编号未在主数据",IF(Q146&lt;&gt;"已备案","提示：未确认备案","正常"))))))))))))</f>
        <v/>
      </c>
      <c r="AE146" s="9"/>
      <c r="AF146" s="4" t="str">
        <f>IF(C146="","",IF(COUNTIF($C$2:C146,C146)=1,MAX($AF$1:AF145)+1,""))</f>
        <v/>
      </c>
      <c r="AG146" s="4" t="str">
        <f>IF(C146="","",COUNTIF($C$2:C146,C146))</f>
        <v/>
      </c>
      <c r="AH146" s="4" t="str">
        <f t="shared" si="40"/>
        <v/>
      </c>
      <c r="AI146" s="4" t="str">
        <f t="shared" si="41"/>
        <v/>
      </c>
      <c r="AJ146" s="4" t="str">
        <f t="shared" si="42"/>
        <v/>
      </c>
      <c r="AK146" s="15" t="str">
        <f>IF(A146="","",SUMIFS(分期缴税台账!$K$2:$K$501,分期缴税台账!$T$2:$T$501,A146,分期缴税台账!$Q$2:$Q$501,"有效"))</f>
        <v/>
      </c>
      <c r="AL146" s="15" t="str">
        <f t="shared" si="43"/>
        <v/>
      </c>
      <c r="AM146" s="4" t="str">
        <f t="shared" si="44"/>
        <v/>
      </c>
    </row>
    <row r="147" spans="1:39" x14ac:dyDescent="0.3">
      <c r="A147" s="9"/>
      <c r="B147" s="4" t="str">
        <f t="shared" si="30"/>
        <v/>
      </c>
      <c r="C147" s="9"/>
      <c r="D147" s="9"/>
      <c r="E147" s="9"/>
      <c r="F147" s="9"/>
      <c r="G147" s="13"/>
      <c r="H147" s="4" t="str">
        <f t="shared" si="31"/>
        <v/>
      </c>
      <c r="I147" s="9"/>
      <c r="J147" s="14"/>
      <c r="K147" s="15" t="str">
        <f>IF(OR(E147="",F147="",G147=""),"",IF(E147&lt;&gt;计划参数!$C$2,"",IF(F147="股票期权",IFERROR(LOOKUP(G147,计划参数!$D$12:$D$15,计划参数!$C$12:$C$15),""),IF(F147="限制性股票",计划参数!$C$10,""))))</f>
        <v/>
      </c>
      <c r="L147" s="15" t="str">
        <f>IF(AND(E147=计划参数!$C$2,F147="限制性股票",G147&gt;=计划参数!$D$9),计划参数!$C$9,"")</f>
        <v/>
      </c>
      <c r="M147" s="9"/>
      <c r="N147" s="14"/>
      <c r="O147" s="14"/>
      <c r="P147" s="13"/>
      <c r="Q147" s="9"/>
      <c r="R147" s="13"/>
      <c r="S147" s="15" t="str">
        <f t="shared" si="32"/>
        <v/>
      </c>
      <c r="T147" s="15" t="str">
        <f t="shared" si="33"/>
        <v/>
      </c>
      <c r="U147" s="15" t="str">
        <f t="shared" si="34"/>
        <v/>
      </c>
      <c r="V147" s="15" t="str">
        <f t="shared" si="35"/>
        <v/>
      </c>
      <c r="W147" s="16" t="str">
        <f>IF(V147="","",VLOOKUP(V147,税率及规则!$A$2:$C$8,2,TRUE))</f>
        <v/>
      </c>
      <c r="X147" s="15" t="str">
        <f>IF(V147="","",VLOOKUP(V147,税率及规则!$A$2:$C$8,3,TRUE))</f>
        <v/>
      </c>
      <c r="Y147" s="15" t="str">
        <f t="shared" si="36"/>
        <v/>
      </c>
      <c r="Z147" s="15" t="str">
        <f>IF(U147="","",MAX(0,U147*VLOOKUP(U147,税率及规则!$A$2:$C$8,2,TRUE)-VLOOKUP(U147,税率及规则!$A$2:$C$8,3,TRUE)))</f>
        <v/>
      </c>
      <c r="AA147" s="15" t="str">
        <f t="shared" si="37"/>
        <v/>
      </c>
      <c r="AB147" s="17" t="str">
        <f t="shared" si="38"/>
        <v/>
      </c>
      <c r="AC147" s="17" t="str">
        <f t="shared" si="39"/>
        <v/>
      </c>
      <c r="AD147" s="4" t="str">
        <f>IF(A147="","",IF(COUNTIF($A$2:$A$501,A147)&gt;1,"异常：事件编号重复",IF(OR(C147="",D147="",E147="",F147="",G147=""),"异常：必填项缺失",IF(AND(F147="其他股权激励",O147=""),"异常：其他股权激励所得缺失",IF(AND(F147&lt;&gt;"其他股权激励",OR(I147="",J147="")),"异常：数量或市场价缺失",IF(AND(F147&lt;&gt;"其他股权激励",OR(I147&lt;=0,J147&lt;0)),"异常：数量或价格无效",IF(AND(F147="限制性股票",OR(M147&lt;=0,N147&lt;0,I147&gt;M147)),"异常：个人获授或出资数据无效",IF(AND(IFERROR(INDEX(计划参数!$J$2:$J$501,MATCH(C147,计划参数!$I$2:$I$501,0)),"")&lt;&gt;"",D147&lt;&gt;IFERROR(INDEX(计划参数!$J$2:$J$501,MATCH(C147,计划参数!$I$2:$I$501,0)),"")),"异常：姓名与员工主数据不一致",IF(S147&lt;0,"异常：原始所得为负，已按0计税",IF(OR(AND(F147="股票期权",K147=""),AND(F147="限制性股票",OR(K147="",L147=""))),"异常：计划参数缺失",IF(COUNTIF(计划参数!$I$2:$I$501,C147)=0,"提示：员工编号未在主数据",IF(Q147&lt;&gt;"已备案","提示：未确认备案","正常"))))))))))))</f>
        <v/>
      </c>
      <c r="AE147" s="9"/>
      <c r="AF147" s="4" t="str">
        <f>IF(C147="","",IF(COUNTIF($C$2:C147,C147)=1,MAX($AF$1:AF146)+1,""))</f>
        <v/>
      </c>
      <c r="AG147" s="4" t="str">
        <f>IF(C147="","",COUNTIF($C$2:C147,C147))</f>
        <v/>
      </c>
      <c r="AH147" s="4" t="str">
        <f t="shared" si="40"/>
        <v/>
      </c>
      <c r="AI147" s="4" t="str">
        <f t="shared" si="41"/>
        <v/>
      </c>
      <c r="AJ147" s="4" t="str">
        <f t="shared" si="42"/>
        <v/>
      </c>
      <c r="AK147" s="15" t="str">
        <f>IF(A147="","",SUMIFS(分期缴税台账!$K$2:$K$501,分期缴税台账!$T$2:$T$501,A147,分期缴税台账!$Q$2:$Q$501,"有效"))</f>
        <v/>
      </c>
      <c r="AL147" s="15" t="str">
        <f t="shared" si="43"/>
        <v/>
      </c>
      <c r="AM147" s="4" t="str">
        <f t="shared" si="44"/>
        <v/>
      </c>
    </row>
    <row r="148" spans="1:39" x14ac:dyDescent="0.3">
      <c r="A148" s="9"/>
      <c r="B148" s="4" t="str">
        <f t="shared" si="30"/>
        <v/>
      </c>
      <c r="C148" s="9"/>
      <c r="D148" s="9"/>
      <c r="E148" s="9"/>
      <c r="F148" s="9"/>
      <c r="G148" s="13"/>
      <c r="H148" s="4" t="str">
        <f t="shared" si="31"/>
        <v/>
      </c>
      <c r="I148" s="9"/>
      <c r="J148" s="14"/>
      <c r="K148" s="15" t="str">
        <f>IF(OR(E148="",F148="",G148=""),"",IF(E148&lt;&gt;计划参数!$C$2,"",IF(F148="股票期权",IFERROR(LOOKUP(G148,计划参数!$D$12:$D$15,计划参数!$C$12:$C$15),""),IF(F148="限制性股票",计划参数!$C$10,""))))</f>
        <v/>
      </c>
      <c r="L148" s="15" t="str">
        <f>IF(AND(E148=计划参数!$C$2,F148="限制性股票",G148&gt;=计划参数!$D$9),计划参数!$C$9,"")</f>
        <v/>
      </c>
      <c r="M148" s="9"/>
      <c r="N148" s="14"/>
      <c r="O148" s="14"/>
      <c r="P148" s="13"/>
      <c r="Q148" s="9"/>
      <c r="R148" s="13"/>
      <c r="S148" s="15" t="str">
        <f t="shared" si="32"/>
        <v/>
      </c>
      <c r="T148" s="15" t="str">
        <f t="shared" si="33"/>
        <v/>
      </c>
      <c r="U148" s="15" t="str">
        <f t="shared" si="34"/>
        <v/>
      </c>
      <c r="V148" s="15" t="str">
        <f t="shared" si="35"/>
        <v/>
      </c>
      <c r="W148" s="16" t="str">
        <f>IF(V148="","",VLOOKUP(V148,税率及规则!$A$2:$C$8,2,TRUE))</f>
        <v/>
      </c>
      <c r="X148" s="15" t="str">
        <f>IF(V148="","",VLOOKUP(V148,税率及规则!$A$2:$C$8,3,TRUE))</f>
        <v/>
      </c>
      <c r="Y148" s="15" t="str">
        <f t="shared" si="36"/>
        <v/>
      </c>
      <c r="Z148" s="15" t="str">
        <f>IF(U148="","",MAX(0,U148*VLOOKUP(U148,税率及规则!$A$2:$C$8,2,TRUE)-VLOOKUP(U148,税率及规则!$A$2:$C$8,3,TRUE)))</f>
        <v/>
      </c>
      <c r="AA148" s="15" t="str">
        <f t="shared" si="37"/>
        <v/>
      </c>
      <c r="AB148" s="17" t="str">
        <f t="shared" si="38"/>
        <v/>
      </c>
      <c r="AC148" s="17" t="str">
        <f t="shared" si="39"/>
        <v/>
      </c>
      <c r="AD148" s="4" t="str">
        <f>IF(A148="","",IF(COUNTIF($A$2:$A$501,A148)&gt;1,"异常：事件编号重复",IF(OR(C148="",D148="",E148="",F148="",G148=""),"异常：必填项缺失",IF(AND(F148="其他股权激励",O148=""),"异常：其他股权激励所得缺失",IF(AND(F148&lt;&gt;"其他股权激励",OR(I148="",J148="")),"异常：数量或市场价缺失",IF(AND(F148&lt;&gt;"其他股权激励",OR(I148&lt;=0,J148&lt;0)),"异常：数量或价格无效",IF(AND(F148="限制性股票",OR(M148&lt;=0,N148&lt;0,I148&gt;M148)),"异常：个人获授或出资数据无效",IF(AND(IFERROR(INDEX(计划参数!$J$2:$J$501,MATCH(C148,计划参数!$I$2:$I$501,0)),"")&lt;&gt;"",D148&lt;&gt;IFERROR(INDEX(计划参数!$J$2:$J$501,MATCH(C148,计划参数!$I$2:$I$501,0)),"")),"异常：姓名与员工主数据不一致",IF(S148&lt;0,"异常：原始所得为负，已按0计税",IF(OR(AND(F148="股票期权",K148=""),AND(F148="限制性股票",OR(K148="",L148=""))),"异常：计划参数缺失",IF(COUNTIF(计划参数!$I$2:$I$501,C148)=0,"提示：员工编号未在主数据",IF(Q148&lt;&gt;"已备案","提示：未确认备案","正常"))))))))))))</f>
        <v/>
      </c>
      <c r="AE148" s="9"/>
      <c r="AF148" s="4" t="str">
        <f>IF(C148="","",IF(COUNTIF($C$2:C148,C148)=1,MAX($AF$1:AF147)+1,""))</f>
        <v/>
      </c>
      <c r="AG148" s="4" t="str">
        <f>IF(C148="","",COUNTIF($C$2:C148,C148))</f>
        <v/>
      </c>
      <c r="AH148" s="4" t="str">
        <f t="shared" si="40"/>
        <v/>
      </c>
      <c r="AI148" s="4" t="str">
        <f t="shared" si="41"/>
        <v/>
      </c>
      <c r="AJ148" s="4" t="str">
        <f t="shared" si="42"/>
        <v/>
      </c>
      <c r="AK148" s="15" t="str">
        <f>IF(A148="","",SUMIFS(分期缴税台账!$K$2:$K$501,分期缴税台账!$T$2:$T$501,A148,分期缴税台账!$Q$2:$Q$501,"有效"))</f>
        <v/>
      </c>
      <c r="AL148" s="15" t="str">
        <f t="shared" si="43"/>
        <v/>
      </c>
      <c r="AM148" s="4" t="str">
        <f t="shared" si="44"/>
        <v/>
      </c>
    </row>
    <row r="149" spans="1:39" x14ac:dyDescent="0.3">
      <c r="A149" s="9"/>
      <c r="B149" s="4" t="str">
        <f t="shared" si="30"/>
        <v/>
      </c>
      <c r="C149" s="9"/>
      <c r="D149" s="9"/>
      <c r="E149" s="9"/>
      <c r="F149" s="9"/>
      <c r="G149" s="13"/>
      <c r="H149" s="4" t="str">
        <f t="shared" si="31"/>
        <v/>
      </c>
      <c r="I149" s="9"/>
      <c r="J149" s="14"/>
      <c r="K149" s="15" t="str">
        <f>IF(OR(E149="",F149="",G149=""),"",IF(E149&lt;&gt;计划参数!$C$2,"",IF(F149="股票期权",IFERROR(LOOKUP(G149,计划参数!$D$12:$D$15,计划参数!$C$12:$C$15),""),IF(F149="限制性股票",计划参数!$C$10,""))))</f>
        <v/>
      </c>
      <c r="L149" s="15" t="str">
        <f>IF(AND(E149=计划参数!$C$2,F149="限制性股票",G149&gt;=计划参数!$D$9),计划参数!$C$9,"")</f>
        <v/>
      </c>
      <c r="M149" s="9"/>
      <c r="N149" s="14"/>
      <c r="O149" s="14"/>
      <c r="P149" s="13"/>
      <c r="Q149" s="9"/>
      <c r="R149" s="13"/>
      <c r="S149" s="15" t="str">
        <f t="shared" si="32"/>
        <v/>
      </c>
      <c r="T149" s="15" t="str">
        <f t="shared" si="33"/>
        <v/>
      </c>
      <c r="U149" s="15" t="str">
        <f t="shared" si="34"/>
        <v/>
      </c>
      <c r="V149" s="15" t="str">
        <f t="shared" si="35"/>
        <v/>
      </c>
      <c r="W149" s="16" t="str">
        <f>IF(V149="","",VLOOKUP(V149,税率及规则!$A$2:$C$8,2,TRUE))</f>
        <v/>
      </c>
      <c r="X149" s="15" t="str">
        <f>IF(V149="","",VLOOKUP(V149,税率及规则!$A$2:$C$8,3,TRUE))</f>
        <v/>
      </c>
      <c r="Y149" s="15" t="str">
        <f t="shared" si="36"/>
        <v/>
      </c>
      <c r="Z149" s="15" t="str">
        <f>IF(U149="","",MAX(0,U149*VLOOKUP(U149,税率及规则!$A$2:$C$8,2,TRUE)-VLOOKUP(U149,税率及规则!$A$2:$C$8,3,TRUE)))</f>
        <v/>
      </c>
      <c r="AA149" s="15" t="str">
        <f t="shared" si="37"/>
        <v/>
      </c>
      <c r="AB149" s="17" t="str">
        <f t="shared" si="38"/>
        <v/>
      </c>
      <c r="AC149" s="17" t="str">
        <f t="shared" si="39"/>
        <v/>
      </c>
      <c r="AD149" s="4" t="str">
        <f>IF(A149="","",IF(COUNTIF($A$2:$A$501,A149)&gt;1,"异常：事件编号重复",IF(OR(C149="",D149="",E149="",F149="",G149=""),"异常：必填项缺失",IF(AND(F149="其他股权激励",O149=""),"异常：其他股权激励所得缺失",IF(AND(F149&lt;&gt;"其他股权激励",OR(I149="",J149="")),"异常：数量或市场价缺失",IF(AND(F149&lt;&gt;"其他股权激励",OR(I149&lt;=0,J149&lt;0)),"异常：数量或价格无效",IF(AND(F149="限制性股票",OR(M149&lt;=0,N149&lt;0,I149&gt;M149)),"异常：个人获授或出资数据无效",IF(AND(IFERROR(INDEX(计划参数!$J$2:$J$501,MATCH(C149,计划参数!$I$2:$I$501,0)),"")&lt;&gt;"",D149&lt;&gt;IFERROR(INDEX(计划参数!$J$2:$J$501,MATCH(C149,计划参数!$I$2:$I$501,0)),"")),"异常：姓名与员工主数据不一致",IF(S149&lt;0,"异常：原始所得为负，已按0计税",IF(OR(AND(F149="股票期权",K149=""),AND(F149="限制性股票",OR(K149="",L149=""))),"异常：计划参数缺失",IF(COUNTIF(计划参数!$I$2:$I$501,C149)=0,"提示：员工编号未在主数据",IF(Q149&lt;&gt;"已备案","提示：未确认备案","正常"))))))))))))</f>
        <v/>
      </c>
      <c r="AE149" s="9"/>
      <c r="AF149" s="4" t="str">
        <f>IF(C149="","",IF(COUNTIF($C$2:C149,C149)=1,MAX($AF$1:AF148)+1,""))</f>
        <v/>
      </c>
      <c r="AG149" s="4" t="str">
        <f>IF(C149="","",COUNTIF($C$2:C149,C149))</f>
        <v/>
      </c>
      <c r="AH149" s="4" t="str">
        <f t="shared" si="40"/>
        <v/>
      </c>
      <c r="AI149" s="4" t="str">
        <f t="shared" si="41"/>
        <v/>
      </c>
      <c r="AJ149" s="4" t="str">
        <f t="shared" si="42"/>
        <v/>
      </c>
      <c r="AK149" s="15" t="str">
        <f>IF(A149="","",SUMIFS(分期缴税台账!$K$2:$K$501,分期缴税台账!$T$2:$T$501,A149,分期缴税台账!$Q$2:$Q$501,"有效"))</f>
        <v/>
      </c>
      <c r="AL149" s="15" t="str">
        <f t="shared" si="43"/>
        <v/>
      </c>
      <c r="AM149" s="4" t="str">
        <f t="shared" si="44"/>
        <v/>
      </c>
    </row>
    <row r="150" spans="1:39" x14ac:dyDescent="0.3">
      <c r="A150" s="9"/>
      <c r="B150" s="4" t="str">
        <f t="shared" si="30"/>
        <v/>
      </c>
      <c r="C150" s="9"/>
      <c r="D150" s="9"/>
      <c r="E150" s="9"/>
      <c r="F150" s="9"/>
      <c r="G150" s="13"/>
      <c r="H150" s="4" t="str">
        <f t="shared" si="31"/>
        <v/>
      </c>
      <c r="I150" s="9"/>
      <c r="J150" s="14"/>
      <c r="K150" s="15" t="str">
        <f>IF(OR(E150="",F150="",G150=""),"",IF(E150&lt;&gt;计划参数!$C$2,"",IF(F150="股票期权",IFERROR(LOOKUP(G150,计划参数!$D$12:$D$15,计划参数!$C$12:$C$15),""),IF(F150="限制性股票",计划参数!$C$10,""))))</f>
        <v/>
      </c>
      <c r="L150" s="15" t="str">
        <f>IF(AND(E150=计划参数!$C$2,F150="限制性股票",G150&gt;=计划参数!$D$9),计划参数!$C$9,"")</f>
        <v/>
      </c>
      <c r="M150" s="9"/>
      <c r="N150" s="14"/>
      <c r="O150" s="14"/>
      <c r="P150" s="13"/>
      <c r="Q150" s="9"/>
      <c r="R150" s="13"/>
      <c r="S150" s="15" t="str">
        <f t="shared" si="32"/>
        <v/>
      </c>
      <c r="T150" s="15" t="str">
        <f t="shared" si="33"/>
        <v/>
      </c>
      <c r="U150" s="15" t="str">
        <f t="shared" si="34"/>
        <v/>
      </c>
      <c r="V150" s="15" t="str">
        <f t="shared" si="35"/>
        <v/>
      </c>
      <c r="W150" s="16" t="str">
        <f>IF(V150="","",VLOOKUP(V150,税率及规则!$A$2:$C$8,2,TRUE))</f>
        <v/>
      </c>
      <c r="X150" s="15" t="str">
        <f>IF(V150="","",VLOOKUP(V150,税率及规则!$A$2:$C$8,3,TRUE))</f>
        <v/>
      </c>
      <c r="Y150" s="15" t="str">
        <f t="shared" si="36"/>
        <v/>
      </c>
      <c r="Z150" s="15" t="str">
        <f>IF(U150="","",MAX(0,U150*VLOOKUP(U150,税率及规则!$A$2:$C$8,2,TRUE)-VLOOKUP(U150,税率及规则!$A$2:$C$8,3,TRUE)))</f>
        <v/>
      </c>
      <c r="AA150" s="15" t="str">
        <f t="shared" si="37"/>
        <v/>
      </c>
      <c r="AB150" s="17" t="str">
        <f t="shared" si="38"/>
        <v/>
      </c>
      <c r="AC150" s="17" t="str">
        <f t="shared" si="39"/>
        <v/>
      </c>
      <c r="AD150" s="4" t="str">
        <f>IF(A150="","",IF(COUNTIF($A$2:$A$501,A150)&gt;1,"异常：事件编号重复",IF(OR(C150="",D150="",E150="",F150="",G150=""),"异常：必填项缺失",IF(AND(F150="其他股权激励",O150=""),"异常：其他股权激励所得缺失",IF(AND(F150&lt;&gt;"其他股权激励",OR(I150="",J150="")),"异常：数量或市场价缺失",IF(AND(F150&lt;&gt;"其他股权激励",OR(I150&lt;=0,J150&lt;0)),"异常：数量或价格无效",IF(AND(F150="限制性股票",OR(M150&lt;=0,N150&lt;0,I150&gt;M150)),"异常：个人获授或出资数据无效",IF(AND(IFERROR(INDEX(计划参数!$J$2:$J$501,MATCH(C150,计划参数!$I$2:$I$501,0)),"")&lt;&gt;"",D150&lt;&gt;IFERROR(INDEX(计划参数!$J$2:$J$501,MATCH(C150,计划参数!$I$2:$I$501,0)),"")),"异常：姓名与员工主数据不一致",IF(S150&lt;0,"异常：原始所得为负，已按0计税",IF(OR(AND(F150="股票期权",K150=""),AND(F150="限制性股票",OR(K150="",L150=""))),"异常：计划参数缺失",IF(COUNTIF(计划参数!$I$2:$I$501,C150)=0,"提示：员工编号未在主数据",IF(Q150&lt;&gt;"已备案","提示：未确认备案","正常"))))))))))))</f>
        <v/>
      </c>
      <c r="AE150" s="9"/>
      <c r="AF150" s="4" t="str">
        <f>IF(C150="","",IF(COUNTIF($C$2:C150,C150)=1,MAX($AF$1:AF149)+1,""))</f>
        <v/>
      </c>
      <c r="AG150" s="4" t="str">
        <f>IF(C150="","",COUNTIF($C$2:C150,C150))</f>
        <v/>
      </c>
      <c r="AH150" s="4" t="str">
        <f t="shared" si="40"/>
        <v/>
      </c>
      <c r="AI150" s="4" t="str">
        <f t="shared" si="41"/>
        <v/>
      </c>
      <c r="AJ150" s="4" t="str">
        <f t="shared" si="42"/>
        <v/>
      </c>
      <c r="AK150" s="15" t="str">
        <f>IF(A150="","",SUMIFS(分期缴税台账!$K$2:$K$501,分期缴税台账!$T$2:$T$501,A150,分期缴税台账!$Q$2:$Q$501,"有效"))</f>
        <v/>
      </c>
      <c r="AL150" s="15" t="str">
        <f t="shared" si="43"/>
        <v/>
      </c>
      <c r="AM150" s="4" t="str">
        <f t="shared" si="44"/>
        <v/>
      </c>
    </row>
    <row r="151" spans="1:39" x14ac:dyDescent="0.3">
      <c r="A151" s="9"/>
      <c r="B151" s="4" t="str">
        <f t="shared" si="30"/>
        <v/>
      </c>
      <c r="C151" s="9"/>
      <c r="D151" s="9"/>
      <c r="E151" s="9"/>
      <c r="F151" s="9"/>
      <c r="G151" s="13"/>
      <c r="H151" s="4" t="str">
        <f t="shared" si="31"/>
        <v/>
      </c>
      <c r="I151" s="9"/>
      <c r="J151" s="14"/>
      <c r="K151" s="15" t="str">
        <f>IF(OR(E151="",F151="",G151=""),"",IF(E151&lt;&gt;计划参数!$C$2,"",IF(F151="股票期权",IFERROR(LOOKUP(G151,计划参数!$D$12:$D$15,计划参数!$C$12:$C$15),""),IF(F151="限制性股票",计划参数!$C$10,""))))</f>
        <v/>
      </c>
      <c r="L151" s="15" t="str">
        <f>IF(AND(E151=计划参数!$C$2,F151="限制性股票",G151&gt;=计划参数!$D$9),计划参数!$C$9,"")</f>
        <v/>
      </c>
      <c r="M151" s="9"/>
      <c r="N151" s="14"/>
      <c r="O151" s="14"/>
      <c r="P151" s="13"/>
      <c r="Q151" s="9"/>
      <c r="R151" s="13"/>
      <c r="S151" s="15" t="str">
        <f t="shared" si="32"/>
        <v/>
      </c>
      <c r="T151" s="15" t="str">
        <f t="shared" si="33"/>
        <v/>
      </c>
      <c r="U151" s="15" t="str">
        <f t="shared" si="34"/>
        <v/>
      </c>
      <c r="V151" s="15" t="str">
        <f t="shared" si="35"/>
        <v/>
      </c>
      <c r="W151" s="16" t="str">
        <f>IF(V151="","",VLOOKUP(V151,税率及规则!$A$2:$C$8,2,TRUE))</f>
        <v/>
      </c>
      <c r="X151" s="15" t="str">
        <f>IF(V151="","",VLOOKUP(V151,税率及规则!$A$2:$C$8,3,TRUE))</f>
        <v/>
      </c>
      <c r="Y151" s="15" t="str">
        <f t="shared" si="36"/>
        <v/>
      </c>
      <c r="Z151" s="15" t="str">
        <f>IF(U151="","",MAX(0,U151*VLOOKUP(U151,税率及规则!$A$2:$C$8,2,TRUE)-VLOOKUP(U151,税率及规则!$A$2:$C$8,3,TRUE)))</f>
        <v/>
      </c>
      <c r="AA151" s="15" t="str">
        <f t="shared" si="37"/>
        <v/>
      </c>
      <c r="AB151" s="17" t="str">
        <f t="shared" si="38"/>
        <v/>
      </c>
      <c r="AC151" s="17" t="str">
        <f t="shared" si="39"/>
        <v/>
      </c>
      <c r="AD151" s="4" t="str">
        <f>IF(A151="","",IF(COUNTIF($A$2:$A$501,A151)&gt;1,"异常：事件编号重复",IF(OR(C151="",D151="",E151="",F151="",G151=""),"异常：必填项缺失",IF(AND(F151="其他股权激励",O151=""),"异常：其他股权激励所得缺失",IF(AND(F151&lt;&gt;"其他股权激励",OR(I151="",J151="")),"异常：数量或市场价缺失",IF(AND(F151&lt;&gt;"其他股权激励",OR(I151&lt;=0,J151&lt;0)),"异常：数量或价格无效",IF(AND(F151="限制性股票",OR(M151&lt;=0,N151&lt;0,I151&gt;M151)),"异常：个人获授或出资数据无效",IF(AND(IFERROR(INDEX(计划参数!$J$2:$J$501,MATCH(C151,计划参数!$I$2:$I$501,0)),"")&lt;&gt;"",D151&lt;&gt;IFERROR(INDEX(计划参数!$J$2:$J$501,MATCH(C151,计划参数!$I$2:$I$501,0)),"")),"异常：姓名与员工主数据不一致",IF(S151&lt;0,"异常：原始所得为负，已按0计税",IF(OR(AND(F151="股票期权",K151=""),AND(F151="限制性股票",OR(K151="",L151=""))),"异常：计划参数缺失",IF(COUNTIF(计划参数!$I$2:$I$501,C151)=0,"提示：员工编号未在主数据",IF(Q151&lt;&gt;"已备案","提示：未确认备案","正常"))))))))))))</f>
        <v/>
      </c>
      <c r="AE151" s="9"/>
      <c r="AF151" s="4" t="str">
        <f>IF(C151="","",IF(COUNTIF($C$2:C151,C151)=1,MAX($AF$1:AF150)+1,""))</f>
        <v/>
      </c>
      <c r="AG151" s="4" t="str">
        <f>IF(C151="","",COUNTIF($C$2:C151,C151))</f>
        <v/>
      </c>
      <c r="AH151" s="4" t="str">
        <f t="shared" si="40"/>
        <v/>
      </c>
      <c r="AI151" s="4" t="str">
        <f t="shared" si="41"/>
        <v/>
      </c>
      <c r="AJ151" s="4" t="str">
        <f t="shared" si="42"/>
        <v/>
      </c>
      <c r="AK151" s="15" t="str">
        <f>IF(A151="","",SUMIFS(分期缴税台账!$K$2:$K$501,分期缴税台账!$T$2:$T$501,A151,分期缴税台账!$Q$2:$Q$501,"有效"))</f>
        <v/>
      </c>
      <c r="AL151" s="15" t="str">
        <f t="shared" si="43"/>
        <v/>
      </c>
      <c r="AM151" s="4" t="str">
        <f t="shared" si="44"/>
        <v/>
      </c>
    </row>
    <row r="152" spans="1:39" x14ac:dyDescent="0.3">
      <c r="A152" s="9"/>
      <c r="B152" s="4" t="str">
        <f t="shared" si="30"/>
        <v/>
      </c>
      <c r="C152" s="9"/>
      <c r="D152" s="9"/>
      <c r="E152" s="9"/>
      <c r="F152" s="9"/>
      <c r="G152" s="13"/>
      <c r="H152" s="4" t="str">
        <f t="shared" si="31"/>
        <v/>
      </c>
      <c r="I152" s="9"/>
      <c r="J152" s="14"/>
      <c r="K152" s="15" t="str">
        <f>IF(OR(E152="",F152="",G152=""),"",IF(E152&lt;&gt;计划参数!$C$2,"",IF(F152="股票期权",IFERROR(LOOKUP(G152,计划参数!$D$12:$D$15,计划参数!$C$12:$C$15),""),IF(F152="限制性股票",计划参数!$C$10,""))))</f>
        <v/>
      </c>
      <c r="L152" s="15" t="str">
        <f>IF(AND(E152=计划参数!$C$2,F152="限制性股票",G152&gt;=计划参数!$D$9),计划参数!$C$9,"")</f>
        <v/>
      </c>
      <c r="M152" s="9"/>
      <c r="N152" s="14"/>
      <c r="O152" s="14"/>
      <c r="P152" s="13"/>
      <c r="Q152" s="9"/>
      <c r="R152" s="13"/>
      <c r="S152" s="15" t="str">
        <f t="shared" si="32"/>
        <v/>
      </c>
      <c r="T152" s="15" t="str">
        <f t="shared" si="33"/>
        <v/>
      </c>
      <c r="U152" s="15" t="str">
        <f t="shared" si="34"/>
        <v/>
      </c>
      <c r="V152" s="15" t="str">
        <f t="shared" si="35"/>
        <v/>
      </c>
      <c r="W152" s="16" t="str">
        <f>IF(V152="","",VLOOKUP(V152,税率及规则!$A$2:$C$8,2,TRUE))</f>
        <v/>
      </c>
      <c r="X152" s="15" t="str">
        <f>IF(V152="","",VLOOKUP(V152,税率及规则!$A$2:$C$8,3,TRUE))</f>
        <v/>
      </c>
      <c r="Y152" s="15" t="str">
        <f t="shared" si="36"/>
        <v/>
      </c>
      <c r="Z152" s="15" t="str">
        <f>IF(U152="","",MAX(0,U152*VLOOKUP(U152,税率及规则!$A$2:$C$8,2,TRUE)-VLOOKUP(U152,税率及规则!$A$2:$C$8,3,TRUE)))</f>
        <v/>
      </c>
      <c r="AA152" s="15" t="str">
        <f t="shared" si="37"/>
        <v/>
      </c>
      <c r="AB152" s="17" t="str">
        <f t="shared" si="38"/>
        <v/>
      </c>
      <c r="AC152" s="17" t="str">
        <f t="shared" si="39"/>
        <v/>
      </c>
      <c r="AD152" s="4" t="str">
        <f>IF(A152="","",IF(COUNTIF($A$2:$A$501,A152)&gt;1,"异常：事件编号重复",IF(OR(C152="",D152="",E152="",F152="",G152=""),"异常：必填项缺失",IF(AND(F152="其他股权激励",O152=""),"异常：其他股权激励所得缺失",IF(AND(F152&lt;&gt;"其他股权激励",OR(I152="",J152="")),"异常：数量或市场价缺失",IF(AND(F152&lt;&gt;"其他股权激励",OR(I152&lt;=0,J152&lt;0)),"异常：数量或价格无效",IF(AND(F152="限制性股票",OR(M152&lt;=0,N152&lt;0,I152&gt;M152)),"异常：个人获授或出资数据无效",IF(AND(IFERROR(INDEX(计划参数!$J$2:$J$501,MATCH(C152,计划参数!$I$2:$I$501,0)),"")&lt;&gt;"",D152&lt;&gt;IFERROR(INDEX(计划参数!$J$2:$J$501,MATCH(C152,计划参数!$I$2:$I$501,0)),"")),"异常：姓名与员工主数据不一致",IF(S152&lt;0,"异常：原始所得为负，已按0计税",IF(OR(AND(F152="股票期权",K152=""),AND(F152="限制性股票",OR(K152="",L152=""))),"异常：计划参数缺失",IF(COUNTIF(计划参数!$I$2:$I$501,C152)=0,"提示：员工编号未在主数据",IF(Q152&lt;&gt;"已备案","提示：未确认备案","正常"))))))))))))</f>
        <v/>
      </c>
      <c r="AE152" s="9"/>
      <c r="AF152" s="4" t="str">
        <f>IF(C152="","",IF(COUNTIF($C$2:C152,C152)=1,MAX($AF$1:AF151)+1,""))</f>
        <v/>
      </c>
      <c r="AG152" s="4" t="str">
        <f>IF(C152="","",COUNTIF($C$2:C152,C152))</f>
        <v/>
      </c>
      <c r="AH152" s="4" t="str">
        <f t="shared" si="40"/>
        <v/>
      </c>
      <c r="AI152" s="4" t="str">
        <f t="shared" si="41"/>
        <v/>
      </c>
      <c r="AJ152" s="4" t="str">
        <f t="shared" si="42"/>
        <v/>
      </c>
      <c r="AK152" s="15" t="str">
        <f>IF(A152="","",SUMIFS(分期缴税台账!$K$2:$K$501,分期缴税台账!$T$2:$T$501,A152,分期缴税台账!$Q$2:$Q$501,"有效"))</f>
        <v/>
      </c>
      <c r="AL152" s="15" t="str">
        <f t="shared" si="43"/>
        <v/>
      </c>
      <c r="AM152" s="4" t="str">
        <f t="shared" si="44"/>
        <v/>
      </c>
    </row>
    <row r="153" spans="1:39" x14ac:dyDescent="0.3">
      <c r="A153" s="9"/>
      <c r="B153" s="4" t="str">
        <f t="shared" si="30"/>
        <v/>
      </c>
      <c r="C153" s="9"/>
      <c r="D153" s="9"/>
      <c r="E153" s="9"/>
      <c r="F153" s="9"/>
      <c r="G153" s="13"/>
      <c r="H153" s="4" t="str">
        <f t="shared" si="31"/>
        <v/>
      </c>
      <c r="I153" s="9"/>
      <c r="J153" s="14"/>
      <c r="K153" s="15" t="str">
        <f>IF(OR(E153="",F153="",G153=""),"",IF(E153&lt;&gt;计划参数!$C$2,"",IF(F153="股票期权",IFERROR(LOOKUP(G153,计划参数!$D$12:$D$15,计划参数!$C$12:$C$15),""),IF(F153="限制性股票",计划参数!$C$10,""))))</f>
        <v/>
      </c>
      <c r="L153" s="15" t="str">
        <f>IF(AND(E153=计划参数!$C$2,F153="限制性股票",G153&gt;=计划参数!$D$9),计划参数!$C$9,"")</f>
        <v/>
      </c>
      <c r="M153" s="9"/>
      <c r="N153" s="14"/>
      <c r="O153" s="14"/>
      <c r="P153" s="13"/>
      <c r="Q153" s="9"/>
      <c r="R153" s="13"/>
      <c r="S153" s="15" t="str">
        <f t="shared" si="32"/>
        <v/>
      </c>
      <c r="T153" s="15" t="str">
        <f t="shared" si="33"/>
        <v/>
      </c>
      <c r="U153" s="15" t="str">
        <f t="shared" si="34"/>
        <v/>
      </c>
      <c r="V153" s="15" t="str">
        <f t="shared" si="35"/>
        <v/>
      </c>
      <c r="W153" s="16" t="str">
        <f>IF(V153="","",VLOOKUP(V153,税率及规则!$A$2:$C$8,2,TRUE))</f>
        <v/>
      </c>
      <c r="X153" s="15" t="str">
        <f>IF(V153="","",VLOOKUP(V153,税率及规则!$A$2:$C$8,3,TRUE))</f>
        <v/>
      </c>
      <c r="Y153" s="15" t="str">
        <f t="shared" si="36"/>
        <v/>
      </c>
      <c r="Z153" s="15" t="str">
        <f>IF(U153="","",MAX(0,U153*VLOOKUP(U153,税率及规则!$A$2:$C$8,2,TRUE)-VLOOKUP(U153,税率及规则!$A$2:$C$8,3,TRUE)))</f>
        <v/>
      </c>
      <c r="AA153" s="15" t="str">
        <f t="shared" si="37"/>
        <v/>
      </c>
      <c r="AB153" s="17" t="str">
        <f t="shared" si="38"/>
        <v/>
      </c>
      <c r="AC153" s="17" t="str">
        <f t="shared" si="39"/>
        <v/>
      </c>
      <c r="AD153" s="4" t="str">
        <f>IF(A153="","",IF(COUNTIF($A$2:$A$501,A153)&gt;1,"异常：事件编号重复",IF(OR(C153="",D153="",E153="",F153="",G153=""),"异常：必填项缺失",IF(AND(F153="其他股权激励",O153=""),"异常：其他股权激励所得缺失",IF(AND(F153&lt;&gt;"其他股权激励",OR(I153="",J153="")),"异常：数量或市场价缺失",IF(AND(F153&lt;&gt;"其他股权激励",OR(I153&lt;=0,J153&lt;0)),"异常：数量或价格无效",IF(AND(F153="限制性股票",OR(M153&lt;=0,N153&lt;0,I153&gt;M153)),"异常：个人获授或出资数据无效",IF(AND(IFERROR(INDEX(计划参数!$J$2:$J$501,MATCH(C153,计划参数!$I$2:$I$501,0)),"")&lt;&gt;"",D153&lt;&gt;IFERROR(INDEX(计划参数!$J$2:$J$501,MATCH(C153,计划参数!$I$2:$I$501,0)),"")),"异常：姓名与员工主数据不一致",IF(S153&lt;0,"异常：原始所得为负，已按0计税",IF(OR(AND(F153="股票期权",K153=""),AND(F153="限制性股票",OR(K153="",L153=""))),"异常：计划参数缺失",IF(COUNTIF(计划参数!$I$2:$I$501,C153)=0,"提示：员工编号未在主数据",IF(Q153&lt;&gt;"已备案","提示：未确认备案","正常"))))))))))))</f>
        <v/>
      </c>
      <c r="AE153" s="9"/>
      <c r="AF153" s="4" t="str">
        <f>IF(C153="","",IF(COUNTIF($C$2:C153,C153)=1,MAX($AF$1:AF152)+1,""))</f>
        <v/>
      </c>
      <c r="AG153" s="4" t="str">
        <f>IF(C153="","",COUNTIF($C$2:C153,C153))</f>
        <v/>
      </c>
      <c r="AH153" s="4" t="str">
        <f t="shared" si="40"/>
        <v/>
      </c>
      <c r="AI153" s="4" t="str">
        <f t="shared" si="41"/>
        <v/>
      </c>
      <c r="AJ153" s="4" t="str">
        <f t="shared" si="42"/>
        <v/>
      </c>
      <c r="AK153" s="15" t="str">
        <f>IF(A153="","",SUMIFS(分期缴税台账!$K$2:$K$501,分期缴税台账!$T$2:$T$501,A153,分期缴税台账!$Q$2:$Q$501,"有效"))</f>
        <v/>
      </c>
      <c r="AL153" s="15" t="str">
        <f t="shared" si="43"/>
        <v/>
      </c>
      <c r="AM153" s="4" t="str">
        <f t="shared" si="44"/>
        <v/>
      </c>
    </row>
    <row r="154" spans="1:39" x14ac:dyDescent="0.3">
      <c r="A154" s="9"/>
      <c r="B154" s="4" t="str">
        <f t="shared" si="30"/>
        <v/>
      </c>
      <c r="C154" s="9"/>
      <c r="D154" s="9"/>
      <c r="E154" s="9"/>
      <c r="F154" s="9"/>
      <c r="G154" s="13"/>
      <c r="H154" s="4" t="str">
        <f t="shared" si="31"/>
        <v/>
      </c>
      <c r="I154" s="9"/>
      <c r="J154" s="14"/>
      <c r="K154" s="15" t="str">
        <f>IF(OR(E154="",F154="",G154=""),"",IF(E154&lt;&gt;计划参数!$C$2,"",IF(F154="股票期权",IFERROR(LOOKUP(G154,计划参数!$D$12:$D$15,计划参数!$C$12:$C$15),""),IF(F154="限制性股票",计划参数!$C$10,""))))</f>
        <v/>
      </c>
      <c r="L154" s="15" t="str">
        <f>IF(AND(E154=计划参数!$C$2,F154="限制性股票",G154&gt;=计划参数!$D$9),计划参数!$C$9,"")</f>
        <v/>
      </c>
      <c r="M154" s="9"/>
      <c r="N154" s="14"/>
      <c r="O154" s="14"/>
      <c r="P154" s="13"/>
      <c r="Q154" s="9"/>
      <c r="R154" s="13"/>
      <c r="S154" s="15" t="str">
        <f t="shared" si="32"/>
        <v/>
      </c>
      <c r="T154" s="15" t="str">
        <f t="shared" si="33"/>
        <v/>
      </c>
      <c r="U154" s="15" t="str">
        <f t="shared" si="34"/>
        <v/>
      </c>
      <c r="V154" s="15" t="str">
        <f t="shared" si="35"/>
        <v/>
      </c>
      <c r="W154" s="16" t="str">
        <f>IF(V154="","",VLOOKUP(V154,税率及规则!$A$2:$C$8,2,TRUE))</f>
        <v/>
      </c>
      <c r="X154" s="15" t="str">
        <f>IF(V154="","",VLOOKUP(V154,税率及规则!$A$2:$C$8,3,TRUE))</f>
        <v/>
      </c>
      <c r="Y154" s="15" t="str">
        <f t="shared" si="36"/>
        <v/>
      </c>
      <c r="Z154" s="15" t="str">
        <f>IF(U154="","",MAX(0,U154*VLOOKUP(U154,税率及规则!$A$2:$C$8,2,TRUE)-VLOOKUP(U154,税率及规则!$A$2:$C$8,3,TRUE)))</f>
        <v/>
      </c>
      <c r="AA154" s="15" t="str">
        <f t="shared" si="37"/>
        <v/>
      </c>
      <c r="AB154" s="17" t="str">
        <f t="shared" si="38"/>
        <v/>
      </c>
      <c r="AC154" s="17" t="str">
        <f t="shared" si="39"/>
        <v/>
      </c>
      <c r="AD154" s="4" t="str">
        <f>IF(A154="","",IF(COUNTIF($A$2:$A$501,A154)&gt;1,"异常：事件编号重复",IF(OR(C154="",D154="",E154="",F154="",G154=""),"异常：必填项缺失",IF(AND(F154="其他股权激励",O154=""),"异常：其他股权激励所得缺失",IF(AND(F154&lt;&gt;"其他股权激励",OR(I154="",J154="")),"异常：数量或市场价缺失",IF(AND(F154&lt;&gt;"其他股权激励",OR(I154&lt;=0,J154&lt;0)),"异常：数量或价格无效",IF(AND(F154="限制性股票",OR(M154&lt;=0,N154&lt;0,I154&gt;M154)),"异常：个人获授或出资数据无效",IF(AND(IFERROR(INDEX(计划参数!$J$2:$J$501,MATCH(C154,计划参数!$I$2:$I$501,0)),"")&lt;&gt;"",D154&lt;&gt;IFERROR(INDEX(计划参数!$J$2:$J$501,MATCH(C154,计划参数!$I$2:$I$501,0)),"")),"异常：姓名与员工主数据不一致",IF(S154&lt;0,"异常：原始所得为负，已按0计税",IF(OR(AND(F154="股票期权",K154=""),AND(F154="限制性股票",OR(K154="",L154=""))),"异常：计划参数缺失",IF(COUNTIF(计划参数!$I$2:$I$501,C154)=0,"提示：员工编号未在主数据",IF(Q154&lt;&gt;"已备案","提示：未确认备案","正常"))))))))))))</f>
        <v/>
      </c>
      <c r="AE154" s="9"/>
      <c r="AF154" s="4" t="str">
        <f>IF(C154="","",IF(COUNTIF($C$2:C154,C154)=1,MAX($AF$1:AF153)+1,""))</f>
        <v/>
      </c>
      <c r="AG154" s="4" t="str">
        <f>IF(C154="","",COUNTIF($C$2:C154,C154))</f>
        <v/>
      </c>
      <c r="AH154" s="4" t="str">
        <f t="shared" si="40"/>
        <v/>
      </c>
      <c r="AI154" s="4" t="str">
        <f t="shared" si="41"/>
        <v/>
      </c>
      <c r="AJ154" s="4" t="str">
        <f t="shared" si="42"/>
        <v/>
      </c>
      <c r="AK154" s="15" t="str">
        <f>IF(A154="","",SUMIFS(分期缴税台账!$K$2:$K$501,分期缴税台账!$T$2:$T$501,A154,分期缴税台账!$Q$2:$Q$501,"有效"))</f>
        <v/>
      </c>
      <c r="AL154" s="15" t="str">
        <f t="shared" si="43"/>
        <v/>
      </c>
      <c r="AM154" s="4" t="str">
        <f t="shared" si="44"/>
        <v/>
      </c>
    </row>
    <row r="155" spans="1:39" x14ac:dyDescent="0.3">
      <c r="A155" s="9"/>
      <c r="B155" s="4" t="str">
        <f t="shared" si="30"/>
        <v/>
      </c>
      <c r="C155" s="9"/>
      <c r="D155" s="9"/>
      <c r="E155" s="9"/>
      <c r="F155" s="9"/>
      <c r="G155" s="13"/>
      <c r="H155" s="4" t="str">
        <f t="shared" si="31"/>
        <v/>
      </c>
      <c r="I155" s="9"/>
      <c r="J155" s="14"/>
      <c r="K155" s="15" t="str">
        <f>IF(OR(E155="",F155="",G155=""),"",IF(E155&lt;&gt;计划参数!$C$2,"",IF(F155="股票期权",IFERROR(LOOKUP(G155,计划参数!$D$12:$D$15,计划参数!$C$12:$C$15),""),IF(F155="限制性股票",计划参数!$C$10,""))))</f>
        <v/>
      </c>
      <c r="L155" s="15" t="str">
        <f>IF(AND(E155=计划参数!$C$2,F155="限制性股票",G155&gt;=计划参数!$D$9),计划参数!$C$9,"")</f>
        <v/>
      </c>
      <c r="M155" s="9"/>
      <c r="N155" s="14"/>
      <c r="O155" s="14"/>
      <c r="P155" s="13"/>
      <c r="Q155" s="9"/>
      <c r="R155" s="13"/>
      <c r="S155" s="15" t="str">
        <f t="shared" si="32"/>
        <v/>
      </c>
      <c r="T155" s="15" t="str">
        <f t="shared" si="33"/>
        <v/>
      </c>
      <c r="U155" s="15" t="str">
        <f t="shared" si="34"/>
        <v/>
      </c>
      <c r="V155" s="15" t="str">
        <f t="shared" si="35"/>
        <v/>
      </c>
      <c r="W155" s="16" t="str">
        <f>IF(V155="","",VLOOKUP(V155,税率及规则!$A$2:$C$8,2,TRUE))</f>
        <v/>
      </c>
      <c r="X155" s="15" t="str">
        <f>IF(V155="","",VLOOKUP(V155,税率及规则!$A$2:$C$8,3,TRUE))</f>
        <v/>
      </c>
      <c r="Y155" s="15" t="str">
        <f t="shared" si="36"/>
        <v/>
      </c>
      <c r="Z155" s="15" t="str">
        <f>IF(U155="","",MAX(0,U155*VLOOKUP(U155,税率及规则!$A$2:$C$8,2,TRUE)-VLOOKUP(U155,税率及规则!$A$2:$C$8,3,TRUE)))</f>
        <v/>
      </c>
      <c r="AA155" s="15" t="str">
        <f t="shared" si="37"/>
        <v/>
      </c>
      <c r="AB155" s="17" t="str">
        <f t="shared" si="38"/>
        <v/>
      </c>
      <c r="AC155" s="17" t="str">
        <f t="shared" si="39"/>
        <v/>
      </c>
      <c r="AD155" s="4" t="str">
        <f>IF(A155="","",IF(COUNTIF($A$2:$A$501,A155)&gt;1,"异常：事件编号重复",IF(OR(C155="",D155="",E155="",F155="",G155=""),"异常：必填项缺失",IF(AND(F155="其他股权激励",O155=""),"异常：其他股权激励所得缺失",IF(AND(F155&lt;&gt;"其他股权激励",OR(I155="",J155="")),"异常：数量或市场价缺失",IF(AND(F155&lt;&gt;"其他股权激励",OR(I155&lt;=0,J155&lt;0)),"异常：数量或价格无效",IF(AND(F155="限制性股票",OR(M155&lt;=0,N155&lt;0,I155&gt;M155)),"异常：个人获授或出资数据无效",IF(AND(IFERROR(INDEX(计划参数!$J$2:$J$501,MATCH(C155,计划参数!$I$2:$I$501,0)),"")&lt;&gt;"",D155&lt;&gt;IFERROR(INDEX(计划参数!$J$2:$J$501,MATCH(C155,计划参数!$I$2:$I$501,0)),"")),"异常：姓名与员工主数据不一致",IF(S155&lt;0,"异常：原始所得为负，已按0计税",IF(OR(AND(F155="股票期权",K155=""),AND(F155="限制性股票",OR(K155="",L155=""))),"异常：计划参数缺失",IF(COUNTIF(计划参数!$I$2:$I$501,C155)=0,"提示：员工编号未在主数据",IF(Q155&lt;&gt;"已备案","提示：未确认备案","正常"))))))))))))</f>
        <v/>
      </c>
      <c r="AE155" s="9"/>
      <c r="AF155" s="4" t="str">
        <f>IF(C155="","",IF(COUNTIF($C$2:C155,C155)=1,MAX($AF$1:AF154)+1,""))</f>
        <v/>
      </c>
      <c r="AG155" s="4" t="str">
        <f>IF(C155="","",COUNTIF($C$2:C155,C155))</f>
        <v/>
      </c>
      <c r="AH155" s="4" t="str">
        <f t="shared" si="40"/>
        <v/>
      </c>
      <c r="AI155" s="4" t="str">
        <f t="shared" si="41"/>
        <v/>
      </c>
      <c r="AJ155" s="4" t="str">
        <f t="shared" si="42"/>
        <v/>
      </c>
      <c r="AK155" s="15" t="str">
        <f>IF(A155="","",SUMIFS(分期缴税台账!$K$2:$K$501,分期缴税台账!$T$2:$T$501,A155,分期缴税台账!$Q$2:$Q$501,"有效"))</f>
        <v/>
      </c>
      <c r="AL155" s="15" t="str">
        <f t="shared" si="43"/>
        <v/>
      </c>
      <c r="AM155" s="4" t="str">
        <f t="shared" si="44"/>
        <v/>
      </c>
    </row>
    <row r="156" spans="1:39" x14ac:dyDescent="0.3">
      <c r="A156" s="9"/>
      <c r="B156" s="4" t="str">
        <f t="shared" si="30"/>
        <v/>
      </c>
      <c r="C156" s="9"/>
      <c r="D156" s="9"/>
      <c r="E156" s="9"/>
      <c r="F156" s="9"/>
      <c r="G156" s="13"/>
      <c r="H156" s="4" t="str">
        <f t="shared" si="31"/>
        <v/>
      </c>
      <c r="I156" s="9"/>
      <c r="J156" s="14"/>
      <c r="K156" s="15" t="str">
        <f>IF(OR(E156="",F156="",G156=""),"",IF(E156&lt;&gt;计划参数!$C$2,"",IF(F156="股票期权",IFERROR(LOOKUP(G156,计划参数!$D$12:$D$15,计划参数!$C$12:$C$15),""),IF(F156="限制性股票",计划参数!$C$10,""))))</f>
        <v/>
      </c>
      <c r="L156" s="15" t="str">
        <f>IF(AND(E156=计划参数!$C$2,F156="限制性股票",G156&gt;=计划参数!$D$9),计划参数!$C$9,"")</f>
        <v/>
      </c>
      <c r="M156" s="9"/>
      <c r="N156" s="14"/>
      <c r="O156" s="14"/>
      <c r="P156" s="13"/>
      <c r="Q156" s="9"/>
      <c r="R156" s="13"/>
      <c r="S156" s="15" t="str">
        <f t="shared" si="32"/>
        <v/>
      </c>
      <c r="T156" s="15" t="str">
        <f t="shared" si="33"/>
        <v/>
      </c>
      <c r="U156" s="15" t="str">
        <f t="shared" si="34"/>
        <v/>
      </c>
      <c r="V156" s="15" t="str">
        <f t="shared" si="35"/>
        <v/>
      </c>
      <c r="W156" s="16" t="str">
        <f>IF(V156="","",VLOOKUP(V156,税率及规则!$A$2:$C$8,2,TRUE))</f>
        <v/>
      </c>
      <c r="X156" s="15" t="str">
        <f>IF(V156="","",VLOOKUP(V156,税率及规则!$A$2:$C$8,3,TRUE))</f>
        <v/>
      </c>
      <c r="Y156" s="15" t="str">
        <f t="shared" si="36"/>
        <v/>
      </c>
      <c r="Z156" s="15" t="str">
        <f>IF(U156="","",MAX(0,U156*VLOOKUP(U156,税率及规则!$A$2:$C$8,2,TRUE)-VLOOKUP(U156,税率及规则!$A$2:$C$8,3,TRUE)))</f>
        <v/>
      </c>
      <c r="AA156" s="15" t="str">
        <f t="shared" si="37"/>
        <v/>
      </c>
      <c r="AB156" s="17" t="str">
        <f t="shared" si="38"/>
        <v/>
      </c>
      <c r="AC156" s="17" t="str">
        <f t="shared" si="39"/>
        <v/>
      </c>
      <c r="AD156" s="4" t="str">
        <f>IF(A156="","",IF(COUNTIF($A$2:$A$501,A156)&gt;1,"异常：事件编号重复",IF(OR(C156="",D156="",E156="",F156="",G156=""),"异常：必填项缺失",IF(AND(F156="其他股权激励",O156=""),"异常：其他股权激励所得缺失",IF(AND(F156&lt;&gt;"其他股权激励",OR(I156="",J156="")),"异常：数量或市场价缺失",IF(AND(F156&lt;&gt;"其他股权激励",OR(I156&lt;=0,J156&lt;0)),"异常：数量或价格无效",IF(AND(F156="限制性股票",OR(M156&lt;=0,N156&lt;0,I156&gt;M156)),"异常：个人获授或出资数据无效",IF(AND(IFERROR(INDEX(计划参数!$J$2:$J$501,MATCH(C156,计划参数!$I$2:$I$501,0)),"")&lt;&gt;"",D156&lt;&gt;IFERROR(INDEX(计划参数!$J$2:$J$501,MATCH(C156,计划参数!$I$2:$I$501,0)),"")),"异常：姓名与员工主数据不一致",IF(S156&lt;0,"异常：原始所得为负，已按0计税",IF(OR(AND(F156="股票期权",K156=""),AND(F156="限制性股票",OR(K156="",L156=""))),"异常：计划参数缺失",IF(COUNTIF(计划参数!$I$2:$I$501,C156)=0,"提示：员工编号未在主数据",IF(Q156&lt;&gt;"已备案","提示：未确认备案","正常"))))))))))))</f>
        <v/>
      </c>
      <c r="AE156" s="9"/>
      <c r="AF156" s="4" t="str">
        <f>IF(C156="","",IF(COUNTIF($C$2:C156,C156)=1,MAX($AF$1:AF155)+1,""))</f>
        <v/>
      </c>
      <c r="AG156" s="4" t="str">
        <f>IF(C156="","",COUNTIF($C$2:C156,C156))</f>
        <v/>
      </c>
      <c r="AH156" s="4" t="str">
        <f t="shared" si="40"/>
        <v/>
      </c>
      <c r="AI156" s="4" t="str">
        <f t="shared" si="41"/>
        <v/>
      </c>
      <c r="AJ156" s="4" t="str">
        <f t="shared" si="42"/>
        <v/>
      </c>
      <c r="AK156" s="15" t="str">
        <f>IF(A156="","",SUMIFS(分期缴税台账!$K$2:$K$501,分期缴税台账!$T$2:$T$501,A156,分期缴税台账!$Q$2:$Q$501,"有效"))</f>
        <v/>
      </c>
      <c r="AL156" s="15" t="str">
        <f t="shared" si="43"/>
        <v/>
      </c>
      <c r="AM156" s="4" t="str">
        <f t="shared" si="44"/>
        <v/>
      </c>
    </row>
    <row r="157" spans="1:39" x14ac:dyDescent="0.3">
      <c r="A157" s="9"/>
      <c r="B157" s="4" t="str">
        <f t="shared" si="30"/>
        <v/>
      </c>
      <c r="C157" s="9"/>
      <c r="D157" s="9"/>
      <c r="E157" s="9"/>
      <c r="F157" s="9"/>
      <c r="G157" s="13"/>
      <c r="H157" s="4" t="str">
        <f t="shared" si="31"/>
        <v/>
      </c>
      <c r="I157" s="9"/>
      <c r="J157" s="14"/>
      <c r="K157" s="15" t="str">
        <f>IF(OR(E157="",F157="",G157=""),"",IF(E157&lt;&gt;计划参数!$C$2,"",IF(F157="股票期权",IFERROR(LOOKUP(G157,计划参数!$D$12:$D$15,计划参数!$C$12:$C$15),""),IF(F157="限制性股票",计划参数!$C$10,""))))</f>
        <v/>
      </c>
      <c r="L157" s="15" t="str">
        <f>IF(AND(E157=计划参数!$C$2,F157="限制性股票",G157&gt;=计划参数!$D$9),计划参数!$C$9,"")</f>
        <v/>
      </c>
      <c r="M157" s="9"/>
      <c r="N157" s="14"/>
      <c r="O157" s="14"/>
      <c r="P157" s="13"/>
      <c r="Q157" s="9"/>
      <c r="R157" s="13"/>
      <c r="S157" s="15" t="str">
        <f t="shared" si="32"/>
        <v/>
      </c>
      <c r="T157" s="15" t="str">
        <f t="shared" si="33"/>
        <v/>
      </c>
      <c r="U157" s="15" t="str">
        <f t="shared" si="34"/>
        <v/>
      </c>
      <c r="V157" s="15" t="str">
        <f t="shared" si="35"/>
        <v/>
      </c>
      <c r="W157" s="16" t="str">
        <f>IF(V157="","",VLOOKUP(V157,税率及规则!$A$2:$C$8,2,TRUE))</f>
        <v/>
      </c>
      <c r="X157" s="15" t="str">
        <f>IF(V157="","",VLOOKUP(V157,税率及规则!$A$2:$C$8,3,TRUE))</f>
        <v/>
      </c>
      <c r="Y157" s="15" t="str">
        <f t="shared" si="36"/>
        <v/>
      </c>
      <c r="Z157" s="15" t="str">
        <f>IF(U157="","",MAX(0,U157*VLOOKUP(U157,税率及规则!$A$2:$C$8,2,TRUE)-VLOOKUP(U157,税率及规则!$A$2:$C$8,3,TRUE)))</f>
        <v/>
      </c>
      <c r="AA157" s="15" t="str">
        <f t="shared" si="37"/>
        <v/>
      </c>
      <c r="AB157" s="17" t="str">
        <f t="shared" si="38"/>
        <v/>
      </c>
      <c r="AC157" s="17" t="str">
        <f t="shared" si="39"/>
        <v/>
      </c>
      <c r="AD157" s="4" t="str">
        <f>IF(A157="","",IF(COUNTIF($A$2:$A$501,A157)&gt;1,"异常：事件编号重复",IF(OR(C157="",D157="",E157="",F157="",G157=""),"异常：必填项缺失",IF(AND(F157="其他股权激励",O157=""),"异常：其他股权激励所得缺失",IF(AND(F157&lt;&gt;"其他股权激励",OR(I157="",J157="")),"异常：数量或市场价缺失",IF(AND(F157&lt;&gt;"其他股权激励",OR(I157&lt;=0,J157&lt;0)),"异常：数量或价格无效",IF(AND(F157="限制性股票",OR(M157&lt;=0,N157&lt;0,I157&gt;M157)),"异常：个人获授或出资数据无效",IF(AND(IFERROR(INDEX(计划参数!$J$2:$J$501,MATCH(C157,计划参数!$I$2:$I$501,0)),"")&lt;&gt;"",D157&lt;&gt;IFERROR(INDEX(计划参数!$J$2:$J$501,MATCH(C157,计划参数!$I$2:$I$501,0)),"")),"异常：姓名与员工主数据不一致",IF(S157&lt;0,"异常：原始所得为负，已按0计税",IF(OR(AND(F157="股票期权",K157=""),AND(F157="限制性股票",OR(K157="",L157=""))),"异常：计划参数缺失",IF(COUNTIF(计划参数!$I$2:$I$501,C157)=0,"提示：员工编号未在主数据",IF(Q157&lt;&gt;"已备案","提示：未确认备案","正常"))))))))))))</f>
        <v/>
      </c>
      <c r="AE157" s="9"/>
      <c r="AF157" s="4" t="str">
        <f>IF(C157="","",IF(COUNTIF($C$2:C157,C157)=1,MAX($AF$1:AF156)+1,""))</f>
        <v/>
      </c>
      <c r="AG157" s="4" t="str">
        <f>IF(C157="","",COUNTIF($C$2:C157,C157))</f>
        <v/>
      </c>
      <c r="AH157" s="4" t="str">
        <f t="shared" si="40"/>
        <v/>
      </c>
      <c r="AI157" s="4" t="str">
        <f t="shared" si="41"/>
        <v/>
      </c>
      <c r="AJ157" s="4" t="str">
        <f t="shared" si="42"/>
        <v/>
      </c>
      <c r="AK157" s="15" t="str">
        <f>IF(A157="","",SUMIFS(分期缴税台账!$K$2:$K$501,分期缴税台账!$T$2:$T$501,A157,分期缴税台账!$Q$2:$Q$501,"有效"))</f>
        <v/>
      </c>
      <c r="AL157" s="15" t="str">
        <f t="shared" si="43"/>
        <v/>
      </c>
      <c r="AM157" s="4" t="str">
        <f t="shared" si="44"/>
        <v/>
      </c>
    </row>
    <row r="158" spans="1:39" x14ac:dyDescent="0.3">
      <c r="A158" s="9"/>
      <c r="B158" s="4" t="str">
        <f t="shared" si="30"/>
        <v/>
      </c>
      <c r="C158" s="9"/>
      <c r="D158" s="9"/>
      <c r="E158" s="9"/>
      <c r="F158" s="9"/>
      <c r="G158" s="13"/>
      <c r="H158" s="4" t="str">
        <f t="shared" si="31"/>
        <v/>
      </c>
      <c r="I158" s="9"/>
      <c r="J158" s="14"/>
      <c r="K158" s="15" t="str">
        <f>IF(OR(E158="",F158="",G158=""),"",IF(E158&lt;&gt;计划参数!$C$2,"",IF(F158="股票期权",IFERROR(LOOKUP(G158,计划参数!$D$12:$D$15,计划参数!$C$12:$C$15),""),IF(F158="限制性股票",计划参数!$C$10,""))))</f>
        <v/>
      </c>
      <c r="L158" s="15" t="str">
        <f>IF(AND(E158=计划参数!$C$2,F158="限制性股票",G158&gt;=计划参数!$D$9),计划参数!$C$9,"")</f>
        <v/>
      </c>
      <c r="M158" s="9"/>
      <c r="N158" s="14"/>
      <c r="O158" s="14"/>
      <c r="P158" s="13"/>
      <c r="Q158" s="9"/>
      <c r="R158" s="13"/>
      <c r="S158" s="15" t="str">
        <f t="shared" si="32"/>
        <v/>
      </c>
      <c r="T158" s="15" t="str">
        <f t="shared" si="33"/>
        <v/>
      </c>
      <c r="U158" s="15" t="str">
        <f t="shared" si="34"/>
        <v/>
      </c>
      <c r="V158" s="15" t="str">
        <f t="shared" si="35"/>
        <v/>
      </c>
      <c r="W158" s="16" t="str">
        <f>IF(V158="","",VLOOKUP(V158,税率及规则!$A$2:$C$8,2,TRUE))</f>
        <v/>
      </c>
      <c r="X158" s="15" t="str">
        <f>IF(V158="","",VLOOKUP(V158,税率及规则!$A$2:$C$8,3,TRUE))</f>
        <v/>
      </c>
      <c r="Y158" s="15" t="str">
        <f t="shared" si="36"/>
        <v/>
      </c>
      <c r="Z158" s="15" t="str">
        <f>IF(U158="","",MAX(0,U158*VLOOKUP(U158,税率及规则!$A$2:$C$8,2,TRUE)-VLOOKUP(U158,税率及规则!$A$2:$C$8,3,TRUE)))</f>
        <v/>
      </c>
      <c r="AA158" s="15" t="str">
        <f t="shared" si="37"/>
        <v/>
      </c>
      <c r="AB158" s="17" t="str">
        <f t="shared" si="38"/>
        <v/>
      </c>
      <c r="AC158" s="17" t="str">
        <f t="shared" si="39"/>
        <v/>
      </c>
      <c r="AD158" s="4" t="str">
        <f>IF(A158="","",IF(COUNTIF($A$2:$A$501,A158)&gt;1,"异常：事件编号重复",IF(OR(C158="",D158="",E158="",F158="",G158=""),"异常：必填项缺失",IF(AND(F158="其他股权激励",O158=""),"异常：其他股权激励所得缺失",IF(AND(F158&lt;&gt;"其他股权激励",OR(I158="",J158="")),"异常：数量或市场价缺失",IF(AND(F158&lt;&gt;"其他股权激励",OR(I158&lt;=0,J158&lt;0)),"异常：数量或价格无效",IF(AND(F158="限制性股票",OR(M158&lt;=0,N158&lt;0,I158&gt;M158)),"异常：个人获授或出资数据无效",IF(AND(IFERROR(INDEX(计划参数!$J$2:$J$501,MATCH(C158,计划参数!$I$2:$I$501,0)),"")&lt;&gt;"",D158&lt;&gt;IFERROR(INDEX(计划参数!$J$2:$J$501,MATCH(C158,计划参数!$I$2:$I$501,0)),"")),"异常：姓名与员工主数据不一致",IF(S158&lt;0,"异常：原始所得为负，已按0计税",IF(OR(AND(F158="股票期权",K158=""),AND(F158="限制性股票",OR(K158="",L158=""))),"异常：计划参数缺失",IF(COUNTIF(计划参数!$I$2:$I$501,C158)=0,"提示：员工编号未在主数据",IF(Q158&lt;&gt;"已备案","提示：未确认备案","正常"))))))))))))</f>
        <v/>
      </c>
      <c r="AE158" s="9"/>
      <c r="AF158" s="4" t="str">
        <f>IF(C158="","",IF(COUNTIF($C$2:C158,C158)=1,MAX($AF$1:AF157)+1,""))</f>
        <v/>
      </c>
      <c r="AG158" s="4" t="str">
        <f>IF(C158="","",COUNTIF($C$2:C158,C158))</f>
        <v/>
      </c>
      <c r="AH158" s="4" t="str">
        <f t="shared" si="40"/>
        <v/>
      </c>
      <c r="AI158" s="4" t="str">
        <f t="shared" si="41"/>
        <v/>
      </c>
      <c r="AJ158" s="4" t="str">
        <f t="shared" si="42"/>
        <v/>
      </c>
      <c r="AK158" s="15" t="str">
        <f>IF(A158="","",SUMIFS(分期缴税台账!$K$2:$K$501,分期缴税台账!$T$2:$T$501,A158,分期缴税台账!$Q$2:$Q$501,"有效"))</f>
        <v/>
      </c>
      <c r="AL158" s="15" t="str">
        <f t="shared" si="43"/>
        <v/>
      </c>
      <c r="AM158" s="4" t="str">
        <f t="shared" si="44"/>
        <v/>
      </c>
    </row>
    <row r="159" spans="1:39" x14ac:dyDescent="0.3">
      <c r="A159" s="9"/>
      <c r="B159" s="4" t="str">
        <f t="shared" si="30"/>
        <v/>
      </c>
      <c r="C159" s="9"/>
      <c r="D159" s="9"/>
      <c r="E159" s="9"/>
      <c r="F159" s="9"/>
      <c r="G159" s="13"/>
      <c r="H159" s="4" t="str">
        <f t="shared" si="31"/>
        <v/>
      </c>
      <c r="I159" s="9"/>
      <c r="J159" s="14"/>
      <c r="K159" s="15" t="str">
        <f>IF(OR(E159="",F159="",G159=""),"",IF(E159&lt;&gt;计划参数!$C$2,"",IF(F159="股票期权",IFERROR(LOOKUP(G159,计划参数!$D$12:$D$15,计划参数!$C$12:$C$15),""),IF(F159="限制性股票",计划参数!$C$10,""))))</f>
        <v/>
      </c>
      <c r="L159" s="15" t="str">
        <f>IF(AND(E159=计划参数!$C$2,F159="限制性股票",G159&gt;=计划参数!$D$9),计划参数!$C$9,"")</f>
        <v/>
      </c>
      <c r="M159" s="9"/>
      <c r="N159" s="14"/>
      <c r="O159" s="14"/>
      <c r="P159" s="13"/>
      <c r="Q159" s="9"/>
      <c r="R159" s="13"/>
      <c r="S159" s="15" t="str">
        <f t="shared" si="32"/>
        <v/>
      </c>
      <c r="T159" s="15" t="str">
        <f t="shared" si="33"/>
        <v/>
      </c>
      <c r="U159" s="15" t="str">
        <f t="shared" si="34"/>
        <v/>
      </c>
      <c r="V159" s="15" t="str">
        <f t="shared" si="35"/>
        <v/>
      </c>
      <c r="W159" s="16" t="str">
        <f>IF(V159="","",VLOOKUP(V159,税率及规则!$A$2:$C$8,2,TRUE))</f>
        <v/>
      </c>
      <c r="X159" s="15" t="str">
        <f>IF(V159="","",VLOOKUP(V159,税率及规则!$A$2:$C$8,3,TRUE))</f>
        <v/>
      </c>
      <c r="Y159" s="15" t="str">
        <f t="shared" si="36"/>
        <v/>
      </c>
      <c r="Z159" s="15" t="str">
        <f>IF(U159="","",MAX(0,U159*VLOOKUP(U159,税率及规则!$A$2:$C$8,2,TRUE)-VLOOKUP(U159,税率及规则!$A$2:$C$8,3,TRUE)))</f>
        <v/>
      </c>
      <c r="AA159" s="15" t="str">
        <f t="shared" si="37"/>
        <v/>
      </c>
      <c r="AB159" s="17" t="str">
        <f t="shared" si="38"/>
        <v/>
      </c>
      <c r="AC159" s="17" t="str">
        <f t="shared" si="39"/>
        <v/>
      </c>
      <c r="AD159" s="4" t="str">
        <f>IF(A159="","",IF(COUNTIF($A$2:$A$501,A159)&gt;1,"异常：事件编号重复",IF(OR(C159="",D159="",E159="",F159="",G159=""),"异常：必填项缺失",IF(AND(F159="其他股权激励",O159=""),"异常：其他股权激励所得缺失",IF(AND(F159&lt;&gt;"其他股权激励",OR(I159="",J159="")),"异常：数量或市场价缺失",IF(AND(F159&lt;&gt;"其他股权激励",OR(I159&lt;=0,J159&lt;0)),"异常：数量或价格无效",IF(AND(F159="限制性股票",OR(M159&lt;=0,N159&lt;0,I159&gt;M159)),"异常：个人获授或出资数据无效",IF(AND(IFERROR(INDEX(计划参数!$J$2:$J$501,MATCH(C159,计划参数!$I$2:$I$501,0)),"")&lt;&gt;"",D159&lt;&gt;IFERROR(INDEX(计划参数!$J$2:$J$501,MATCH(C159,计划参数!$I$2:$I$501,0)),"")),"异常：姓名与员工主数据不一致",IF(S159&lt;0,"异常：原始所得为负，已按0计税",IF(OR(AND(F159="股票期权",K159=""),AND(F159="限制性股票",OR(K159="",L159=""))),"异常：计划参数缺失",IF(COUNTIF(计划参数!$I$2:$I$501,C159)=0,"提示：员工编号未在主数据",IF(Q159&lt;&gt;"已备案","提示：未确认备案","正常"))))))))))))</f>
        <v/>
      </c>
      <c r="AE159" s="9"/>
      <c r="AF159" s="4" t="str">
        <f>IF(C159="","",IF(COUNTIF($C$2:C159,C159)=1,MAX($AF$1:AF158)+1,""))</f>
        <v/>
      </c>
      <c r="AG159" s="4" t="str">
        <f>IF(C159="","",COUNTIF($C$2:C159,C159))</f>
        <v/>
      </c>
      <c r="AH159" s="4" t="str">
        <f t="shared" si="40"/>
        <v/>
      </c>
      <c r="AI159" s="4" t="str">
        <f t="shared" si="41"/>
        <v/>
      </c>
      <c r="AJ159" s="4" t="str">
        <f t="shared" si="42"/>
        <v/>
      </c>
      <c r="AK159" s="15" t="str">
        <f>IF(A159="","",SUMIFS(分期缴税台账!$K$2:$K$501,分期缴税台账!$T$2:$T$501,A159,分期缴税台账!$Q$2:$Q$501,"有效"))</f>
        <v/>
      </c>
      <c r="AL159" s="15" t="str">
        <f t="shared" si="43"/>
        <v/>
      </c>
      <c r="AM159" s="4" t="str">
        <f t="shared" si="44"/>
        <v/>
      </c>
    </row>
    <row r="160" spans="1:39" x14ac:dyDescent="0.3">
      <c r="A160" s="9"/>
      <c r="B160" s="4" t="str">
        <f t="shared" si="30"/>
        <v/>
      </c>
      <c r="C160" s="9"/>
      <c r="D160" s="9"/>
      <c r="E160" s="9"/>
      <c r="F160" s="9"/>
      <c r="G160" s="13"/>
      <c r="H160" s="4" t="str">
        <f t="shared" si="31"/>
        <v/>
      </c>
      <c r="I160" s="9"/>
      <c r="J160" s="14"/>
      <c r="K160" s="15" t="str">
        <f>IF(OR(E160="",F160="",G160=""),"",IF(E160&lt;&gt;计划参数!$C$2,"",IF(F160="股票期权",IFERROR(LOOKUP(G160,计划参数!$D$12:$D$15,计划参数!$C$12:$C$15),""),IF(F160="限制性股票",计划参数!$C$10,""))))</f>
        <v/>
      </c>
      <c r="L160" s="15" t="str">
        <f>IF(AND(E160=计划参数!$C$2,F160="限制性股票",G160&gt;=计划参数!$D$9),计划参数!$C$9,"")</f>
        <v/>
      </c>
      <c r="M160" s="9"/>
      <c r="N160" s="14"/>
      <c r="O160" s="14"/>
      <c r="P160" s="13"/>
      <c r="Q160" s="9"/>
      <c r="R160" s="13"/>
      <c r="S160" s="15" t="str">
        <f t="shared" si="32"/>
        <v/>
      </c>
      <c r="T160" s="15" t="str">
        <f t="shared" si="33"/>
        <v/>
      </c>
      <c r="U160" s="15" t="str">
        <f t="shared" si="34"/>
        <v/>
      </c>
      <c r="V160" s="15" t="str">
        <f t="shared" si="35"/>
        <v/>
      </c>
      <c r="W160" s="16" t="str">
        <f>IF(V160="","",VLOOKUP(V160,税率及规则!$A$2:$C$8,2,TRUE))</f>
        <v/>
      </c>
      <c r="X160" s="15" t="str">
        <f>IF(V160="","",VLOOKUP(V160,税率及规则!$A$2:$C$8,3,TRUE))</f>
        <v/>
      </c>
      <c r="Y160" s="15" t="str">
        <f t="shared" si="36"/>
        <v/>
      </c>
      <c r="Z160" s="15" t="str">
        <f>IF(U160="","",MAX(0,U160*VLOOKUP(U160,税率及规则!$A$2:$C$8,2,TRUE)-VLOOKUP(U160,税率及规则!$A$2:$C$8,3,TRUE)))</f>
        <v/>
      </c>
      <c r="AA160" s="15" t="str">
        <f t="shared" si="37"/>
        <v/>
      </c>
      <c r="AB160" s="17" t="str">
        <f t="shared" si="38"/>
        <v/>
      </c>
      <c r="AC160" s="17" t="str">
        <f t="shared" si="39"/>
        <v/>
      </c>
      <c r="AD160" s="4" t="str">
        <f>IF(A160="","",IF(COUNTIF($A$2:$A$501,A160)&gt;1,"异常：事件编号重复",IF(OR(C160="",D160="",E160="",F160="",G160=""),"异常：必填项缺失",IF(AND(F160="其他股权激励",O160=""),"异常：其他股权激励所得缺失",IF(AND(F160&lt;&gt;"其他股权激励",OR(I160="",J160="")),"异常：数量或市场价缺失",IF(AND(F160&lt;&gt;"其他股权激励",OR(I160&lt;=0,J160&lt;0)),"异常：数量或价格无效",IF(AND(F160="限制性股票",OR(M160&lt;=0,N160&lt;0,I160&gt;M160)),"异常：个人获授或出资数据无效",IF(AND(IFERROR(INDEX(计划参数!$J$2:$J$501,MATCH(C160,计划参数!$I$2:$I$501,0)),"")&lt;&gt;"",D160&lt;&gt;IFERROR(INDEX(计划参数!$J$2:$J$501,MATCH(C160,计划参数!$I$2:$I$501,0)),"")),"异常：姓名与员工主数据不一致",IF(S160&lt;0,"异常：原始所得为负，已按0计税",IF(OR(AND(F160="股票期权",K160=""),AND(F160="限制性股票",OR(K160="",L160=""))),"异常：计划参数缺失",IF(COUNTIF(计划参数!$I$2:$I$501,C160)=0,"提示：员工编号未在主数据",IF(Q160&lt;&gt;"已备案","提示：未确认备案","正常"))))))))))))</f>
        <v/>
      </c>
      <c r="AE160" s="9"/>
      <c r="AF160" s="4" t="str">
        <f>IF(C160="","",IF(COUNTIF($C$2:C160,C160)=1,MAX($AF$1:AF159)+1,""))</f>
        <v/>
      </c>
      <c r="AG160" s="4" t="str">
        <f>IF(C160="","",COUNTIF($C$2:C160,C160))</f>
        <v/>
      </c>
      <c r="AH160" s="4" t="str">
        <f t="shared" si="40"/>
        <v/>
      </c>
      <c r="AI160" s="4" t="str">
        <f t="shared" si="41"/>
        <v/>
      </c>
      <c r="AJ160" s="4" t="str">
        <f t="shared" si="42"/>
        <v/>
      </c>
      <c r="AK160" s="15" t="str">
        <f>IF(A160="","",SUMIFS(分期缴税台账!$K$2:$K$501,分期缴税台账!$T$2:$T$501,A160,分期缴税台账!$Q$2:$Q$501,"有效"))</f>
        <v/>
      </c>
      <c r="AL160" s="15" t="str">
        <f t="shared" si="43"/>
        <v/>
      </c>
      <c r="AM160" s="4" t="str">
        <f t="shared" si="44"/>
        <v/>
      </c>
    </row>
    <row r="161" spans="1:39" x14ac:dyDescent="0.3">
      <c r="A161" s="9"/>
      <c r="B161" s="4" t="str">
        <f t="shared" si="30"/>
        <v/>
      </c>
      <c r="C161" s="9"/>
      <c r="D161" s="9"/>
      <c r="E161" s="9"/>
      <c r="F161" s="9"/>
      <c r="G161" s="13"/>
      <c r="H161" s="4" t="str">
        <f t="shared" si="31"/>
        <v/>
      </c>
      <c r="I161" s="9"/>
      <c r="J161" s="14"/>
      <c r="K161" s="15" t="str">
        <f>IF(OR(E161="",F161="",G161=""),"",IF(E161&lt;&gt;计划参数!$C$2,"",IF(F161="股票期权",IFERROR(LOOKUP(G161,计划参数!$D$12:$D$15,计划参数!$C$12:$C$15),""),IF(F161="限制性股票",计划参数!$C$10,""))))</f>
        <v/>
      </c>
      <c r="L161" s="15" t="str">
        <f>IF(AND(E161=计划参数!$C$2,F161="限制性股票",G161&gt;=计划参数!$D$9),计划参数!$C$9,"")</f>
        <v/>
      </c>
      <c r="M161" s="9"/>
      <c r="N161" s="14"/>
      <c r="O161" s="14"/>
      <c r="P161" s="13"/>
      <c r="Q161" s="9"/>
      <c r="R161" s="13"/>
      <c r="S161" s="15" t="str">
        <f t="shared" si="32"/>
        <v/>
      </c>
      <c r="T161" s="15" t="str">
        <f t="shared" si="33"/>
        <v/>
      </c>
      <c r="U161" s="15" t="str">
        <f t="shared" si="34"/>
        <v/>
      </c>
      <c r="V161" s="15" t="str">
        <f t="shared" si="35"/>
        <v/>
      </c>
      <c r="W161" s="16" t="str">
        <f>IF(V161="","",VLOOKUP(V161,税率及规则!$A$2:$C$8,2,TRUE))</f>
        <v/>
      </c>
      <c r="X161" s="15" t="str">
        <f>IF(V161="","",VLOOKUP(V161,税率及规则!$A$2:$C$8,3,TRUE))</f>
        <v/>
      </c>
      <c r="Y161" s="15" t="str">
        <f t="shared" si="36"/>
        <v/>
      </c>
      <c r="Z161" s="15" t="str">
        <f>IF(U161="","",MAX(0,U161*VLOOKUP(U161,税率及规则!$A$2:$C$8,2,TRUE)-VLOOKUP(U161,税率及规则!$A$2:$C$8,3,TRUE)))</f>
        <v/>
      </c>
      <c r="AA161" s="15" t="str">
        <f t="shared" si="37"/>
        <v/>
      </c>
      <c r="AB161" s="17" t="str">
        <f t="shared" si="38"/>
        <v/>
      </c>
      <c r="AC161" s="17" t="str">
        <f t="shared" si="39"/>
        <v/>
      </c>
      <c r="AD161" s="4" t="str">
        <f>IF(A161="","",IF(COUNTIF($A$2:$A$501,A161)&gt;1,"异常：事件编号重复",IF(OR(C161="",D161="",E161="",F161="",G161=""),"异常：必填项缺失",IF(AND(F161="其他股权激励",O161=""),"异常：其他股权激励所得缺失",IF(AND(F161&lt;&gt;"其他股权激励",OR(I161="",J161="")),"异常：数量或市场价缺失",IF(AND(F161&lt;&gt;"其他股权激励",OR(I161&lt;=0,J161&lt;0)),"异常：数量或价格无效",IF(AND(F161="限制性股票",OR(M161&lt;=0,N161&lt;0,I161&gt;M161)),"异常：个人获授或出资数据无效",IF(AND(IFERROR(INDEX(计划参数!$J$2:$J$501,MATCH(C161,计划参数!$I$2:$I$501,0)),"")&lt;&gt;"",D161&lt;&gt;IFERROR(INDEX(计划参数!$J$2:$J$501,MATCH(C161,计划参数!$I$2:$I$501,0)),"")),"异常：姓名与员工主数据不一致",IF(S161&lt;0,"异常：原始所得为负，已按0计税",IF(OR(AND(F161="股票期权",K161=""),AND(F161="限制性股票",OR(K161="",L161=""))),"异常：计划参数缺失",IF(COUNTIF(计划参数!$I$2:$I$501,C161)=0,"提示：员工编号未在主数据",IF(Q161&lt;&gt;"已备案","提示：未确认备案","正常"))))))))))))</f>
        <v/>
      </c>
      <c r="AE161" s="9"/>
      <c r="AF161" s="4" t="str">
        <f>IF(C161="","",IF(COUNTIF($C$2:C161,C161)=1,MAX($AF$1:AF160)+1,""))</f>
        <v/>
      </c>
      <c r="AG161" s="4" t="str">
        <f>IF(C161="","",COUNTIF($C$2:C161,C161))</f>
        <v/>
      </c>
      <c r="AH161" s="4" t="str">
        <f t="shared" si="40"/>
        <v/>
      </c>
      <c r="AI161" s="4" t="str">
        <f t="shared" si="41"/>
        <v/>
      </c>
      <c r="AJ161" s="4" t="str">
        <f t="shared" si="42"/>
        <v/>
      </c>
      <c r="AK161" s="15" t="str">
        <f>IF(A161="","",SUMIFS(分期缴税台账!$K$2:$K$501,分期缴税台账!$T$2:$T$501,A161,分期缴税台账!$Q$2:$Q$501,"有效"))</f>
        <v/>
      </c>
      <c r="AL161" s="15" t="str">
        <f t="shared" si="43"/>
        <v/>
      </c>
      <c r="AM161" s="4" t="str">
        <f t="shared" si="44"/>
        <v/>
      </c>
    </row>
    <row r="162" spans="1:39" x14ac:dyDescent="0.3">
      <c r="A162" s="9"/>
      <c r="B162" s="4" t="str">
        <f t="shared" si="30"/>
        <v/>
      </c>
      <c r="C162" s="9"/>
      <c r="D162" s="9"/>
      <c r="E162" s="9"/>
      <c r="F162" s="9"/>
      <c r="G162" s="13"/>
      <c r="H162" s="4" t="str">
        <f t="shared" si="31"/>
        <v/>
      </c>
      <c r="I162" s="9"/>
      <c r="J162" s="14"/>
      <c r="K162" s="15" t="str">
        <f>IF(OR(E162="",F162="",G162=""),"",IF(E162&lt;&gt;计划参数!$C$2,"",IF(F162="股票期权",IFERROR(LOOKUP(G162,计划参数!$D$12:$D$15,计划参数!$C$12:$C$15),""),IF(F162="限制性股票",计划参数!$C$10,""))))</f>
        <v/>
      </c>
      <c r="L162" s="15" t="str">
        <f>IF(AND(E162=计划参数!$C$2,F162="限制性股票",G162&gt;=计划参数!$D$9),计划参数!$C$9,"")</f>
        <v/>
      </c>
      <c r="M162" s="9"/>
      <c r="N162" s="14"/>
      <c r="O162" s="14"/>
      <c r="P162" s="13"/>
      <c r="Q162" s="9"/>
      <c r="R162" s="13"/>
      <c r="S162" s="15" t="str">
        <f t="shared" si="32"/>
        <v/>
      </c>
      <c r="T162" s="15" t="str">
        <f t="shared" si="33"/>
        <v/>
      </c>
      <c r="U162" s="15" t="str">
        <f t="shared" si="34"/>
        <v/>
      </c>
      <c r="V162" s="15" t="str">
        <f t="shared" si="35"/>
        <v/>
      </c>
      <c r="W162" s="16" t="str">
        <f>IF(V162="","",VLOOKUP(V162,税率及规则!$A$2:$C$8,2,TRUE))</f>
        <v/>
      </c>
      <c r="X162" s="15" t="str">
        <f>IF(V162="","",VLOOKUP(V162,税率及规则!$A$2:$C$8,3,TRUE))</f>
        <v/>
      </c>
      <c r="Y162" s="15" t="str">
        <f t="shared" si="36"/>
        <v/>
      </c>
      <c r="Z162" s="15" t="str">
        <f>IF(U162="","",MAX(0,U162*VLOOKUP(U162,税率及规则!$A$2:$C$8,2,TRUE)-VLOOKUP(U162,税率及规则!$A$2:$C$8,3,TRUE)))</f>
        <v/>
      </c>
      <c r="AA162" s="15" t="str">
        <f t="shared" si="37"/>
        <v/>
      </c>
      <c r="AB162" s="17" t="str">
        <f t="shared" si="38"/>
        <v/>
      </c>
      <c r="AC162" s="17" t="str">
        <f t="shared" si="39"/>
        <v/>
      </c>
      <c r="AD162" s="4" t="str">
        <f>IF(A162="","",IF(COUNTIF($A$2:$A$501,A162)&gt;1,"异常：事件编号重复",IF(OR(C162="",D162="",E162="",F162="",G162=""),"异常：必填项缺失",IF(AND(F162="其他股权激励",O162=""),"异常：其他股权激励所得缺失",IF(AND(F162&lt;&gt;"其他股权激励",OR(I162="",J162="")),"异常：数量或市场价缺失",IF(AND(F162&lt;&gt;"其他股权激励",OR(I162&lt;=0,J162&lt;0)),"异常：数量或价格无效",IF(AND(F162="限制性股票",OR(M162&lt;=0,N162&lt;0,I162&gt;M162)),"异常：个人获授或出资数据无效",IF(AND(IFERROR(INDEX(计划参数!$J$2:$J$501,MATCH(C162,计划参数!$I$2:$I$501,0)),"")&lt;&gt;"",D162&lt;&gt;IFERROR(INDEX(计划参数!$J$2:$J$501,MATCH(C162,计划参数!$I$2:$I$501,0)),"")),"异常：姓名与员工主数据不一致",IF(S162&lt;0,"异常：原始所得为负，已按0计税",IF(OR(AND(F162="股票期权",K162=""),AND(F162="限制性股票",OR(K162="",L162=""))),"异常：计划参数缺失",IF(COUNTIF(计划参数!$I$2:$I$501,C162)=0,"提示：员工编号未在主数据",IF(Q162&lt;&gt;"已备案","提示：未确认备案","正常"))))))))))))</f>
        <v/>
      </c>
      <c r="AE162" s="9"/>
      <c r="AF162" s="4" t="str">
        <f>IF(C162="","",IF(COUNTIF($C$2:C162,C162)=1,MAX($AF$1:AF161)+1,""))</f>
        <v/>
      </c>
      <c r="AG162" s="4" t="str">
        <f>IF(C162="","",COUNTIF($C$2:C162,C162))</f>
        <v/>
      </c>
      <c r="AH162" s="4" t="str">
        <f t="shared" si="40"/>
        <v/>
      </c>
      <c r="AI162" s="4" t="str">
        <f t="shared" si="41"/>
        <v/>
      </c>
      <c r="AJ162" s="4" t="str">
        <f t="shared" si="42"/>
        <v/>
      </c>
      <c r="AK162" s="15" t="str">
        <f>IF(A162="","",SUMIFS(分期缴税台账!$K$2:$K$501,分期缴税台账!$T$2:$T$501,A162,分期缴税台账!$Q$2:$Q$501,"有效"))</f>
        <v/>
      </c>
      <c r="AL162" s="15" t="str">
        <f t="shared" si="43"/>
        <v/>
      </c>
      <c r="AM162" s="4" t="str">
        <f t="shared" si="44"/>
        <v/>
      </c>
    </row>
    <row r="163" spans="1:39" x14ac:dyDescent="0.3">
      <c r="A163" s="9"/>
      <c r="B163" s="4" t="str">
        <f t="shared" si="30"/>
        <v/>
      </c>
      <c r="C163" s="9"/>
      <c r="D163" s="9"/>
      <c r="E163" s="9"/>
      <c r="F163" s="9"/>
      <c r="G163" s="13"/>
      <c r="H163" s="4" t="str">
        <f t="shared" si="31"/>
        <v/>
      </c>
      <c r="I163" s="9"/>
      <c r="J163" s="14"/>
      <c r="K163" s="15" t="str">
        <f>IF(OR(E163="",F163="",G163=""),"",IF(E163&lt;&gt;计划参数!$C$2,"",IF(F163="股票期权",IFERROR(LOOKUP(G163,计划参数!$D$12:$D$15,计划参数!$C$12:$C$15),""),IF(F163="限制性股票",计划参数!$C$10,""))))</f>
        <v/>
      </c>
      <c r="L163" s="15" t="str">
        <f>IF(AND(E163=计划参数!$C$2,F163="限制性股票",G163&gt;=计划参数!$D$9),计划参数!$C$9,"")</f>
        <v/>
      </c>
      <c r="M163" s="9"/>
      <c r="N163" s="14"/>
      <c r="O163" s="14"/>
      <c r="P163" s="13"/>
      <c r="Q163" s="9"/>
      <c r="R163" s="13"/>
      <c r="S163" s="15" t="str">
        <f t="shared" si="32"/>
        <v/>
      </c>
      <c r="T163" s="15" t="str">
        <f t="shared" si="33"/>
        <v/>
      </c>
      <c r="U163" s="15" t="str">
        <f t="shared" si="34"/>
        <v/>
      </c>
      <c r="V163" s="15" t="str">
        <f t="shared" si="35"/>
        <v/>
      </c>
      <c r="W163" s="16" t="str">
        <f>IF(V163="","",VLOOKUP(V163,税率及规则!$A$2:$C$8,2,TRUE))</f>
        <v/>
      </c>
      <c r="X163" s="15" t="str">
        <f>IF(V163="","",VLOOKUP(V163,税率及规则!$A$2:$C$8,3,TRUE))</f>
        <v/>
      </c>
      <c r="Y163" s="15" t="str">
        <f t="shared" si="36"/>
        <v/>
      </c>
      <c r="Z163" s="15" t="str">
        <f>IF(U163="","",MAX(0,U163*VLOOKUP(U163,税率及规则!$A$2:$C$8,2,TRUE)-VLOOKUP(U163,税率及规则!$A$2:$C$8,3,TRUE)))</f>
        <v/>
      </c>
      <c r="AA163" s="15" t="str">
        <f t="shared" si="37"/>
        <v/>
      </c>
      <c r="AB163" s="17" t="str">
        <f t="shared" si="38"/>
        <v/>
      </c>
      <c r="AC163" s="17" t="str">
        <f t="shared" si="39"/>
        <v/>
      </c>
      <c r="AD163" s="4" t="str">
        <f>IF(A163="","",IF(COUNTIF($A$2:$A$501,A163)&gt;1,"异常：事件编号重复",IF(OR(C163="",D163="",E163="",F163="",G163=""),"异常：必填项缺失",IF(AND(F163="其他股权激励",O163=""),"异常：其他股权激励所得缺失",IF(AND(F163&lt;&gt;"其他股权激励",OR(I163="",J163="")),"异常：数量或市场价缺失",IF(AND(F163&lt;&gt;"其他股权激励",OR(I163&lt;=0,J163&lt;0)),"异常：数量或价格无效",IF(AND(F163="限制性股票",OR(M163&lt;=0,N163&lt;0,I163&gt;M163)),"异常：个人获授或出资数据无效",IF(AND(IFERROR(INDEX(计划参数!$J$2:$J$501,MATCH(C163,计划参数!$I$2:$I$501,0)),"")&lt;&gt;"",D163&lt;&gt;IFERROR(INDEX(计划参数!$J$2:$J$501,MATCH(C163,计划参数!$I$2:$I$501,0)),"")),"异常：姓名与员工主数据不一致",IF(S163&lt;0,"异常：原始所得为负，已按0计税",IF(OR(AND(F163="股票期权",K163=""),AND(F163="限制性股票",OR(K163="",L163=""))),"异常：计划参数缺失",IF(COUNTIF(计划参数!$I$2:$I$501,C163)=0,"提示：员工编号未在主数据",IF(Q163&lt;&gt;"已备案","提示：未确认备案","正常"))))))))))))</f>
        <v/>
      </c>
      <c r="AE163" s="9"/>
      <c r="AF163" s="4" t="str">
        <f>IF(C163="","",IF(COUNTIF($C$2:C163,C163)=1,MAX($AF$1:AF162)+1,""))</f>
        <v/>
      </c>
      <c r="AG163" s="4" t="str">
        <f>IF(C163="","",COUNTIF($C$2:C163,C163))</f>
        <v/>
      </c>
      <c r="AH163" s="4" t="str">
        <f t="shared" si="40"/>
        <v/>
      </c>
      <c r="AI163" s="4" t="str">
        <f t="shared" si="41"/>
        <v/>
      </c>
      <c r="AJ163" s="4" t="str">
        <f t="shared" si="42"/>
        <v/>
      </c>
      <c r="AK163" s="15" t="str">
        <f>IF(A163="","",SUMIFS(分期缴税台账!$K$2:$K$501,分期缴税台账!$T$2:$T$501,A163,分期缴税台账!$Q$2:$Q$501,"有效"))</f>
        <v/>
      </c>
      <c r="AL163" s="15" t="str">
        <f t="shared" si="43"/>
        <v/>
      </c>
      <c r="AM163" s="4" t="str">
        <f t="shared" si="44"/>
        <v/>
      </c>
    </row>
    <row r="164" spans="1:39" x14ac:dyDescent="0.3">
      <c r="A164" s="9"/>
      <c r="B164" s="4" t="str">
        <f t="shared" si="30"/>
        <v/>
      </c>
      <c r="C164" s="9"/>
      <c r="D164" s="9"/>
      <c r="E164" s="9"/>
      <c r="F164" s="9"/>
      <c r="G164" s="13"/>
      <c r="H164" s="4" t="str">
        <f t="shared" si="31"/>
        <v/>
      </c>
      <c r="I164" s="9"/>
      <c r="J164" s="14"/>
      <c r="K164" s="15" t="str">
        <f>IF(OR(E164="",F164="",G164=""),"",IF(E164&lt;&gt;计划参数!$C$2,"",IF(F164="股票期权",IFERROR(LOOKUP(G164,计划参数!$D$12:$D$15,计划参数!$C$12:$C$15),""),IF(F164="限制性股票",计划参数!$C$10,""))))</f>
        <v/>
      </c>
      <c r="L164" s="15" t="str">
        <f>IF(AND(E164=计划参数!$C$2,F164="限制性股票",G164&gt;=计划参数!$D$9),计划参数!$C$9,"")</f>
        <v/>
      </c>
      <c r="M164" s="9"/>
      <c r="N164" s="14"/>
      <c r="O164" s="14"/>
      <c r="P164" s="13"/>
      <c r="Q164" s="9"/>
      <c r="R164" s="13"/>
      <c r="S164" s="15" t="str">
        <f t="shared" si="32"/>
        <v/>
      </c>
      <c r="T164" s="15" t="str">
        <f t="shared" si="33"/>
        <v/>
      </c>
      <c r="U164" s="15" t="str">
        <f t="shared" si="34"/>
        <v/>
      </c>
      <c r="V164" s="15" t="str">
        <f t="shared" si="35"/>
        <v/>
      </c>
      <c r="W164" s="16" t="str">
        <f>IF(V164="","",VLOOKUP(V164,税率及规则!$A$2:$C$8,2,TRUE))</f>
        <v/>
      </c>
      <c r="X164" s="15" t="str">
        <f>IF(V164="","",VLOOKUP(V164,税率及规则!$A$2:$C$8,3,TRUE))</f>
        <v/>
      </c>
      <c r="Y164" s="15" t="str">
        <f t="shared" si="36"/>
        <v/>
      </c>
      <c r="Z164" s="15" t="str">
        <f>IF(U164="","",MAX(0,U164*VLOOKUP(U164,税率及规则!$A$2:$C$8,2,TRUE)-VLOOKUP(U164,税率及规则!$A$2:$C$8,3,TRUE)))</f>
        <v/>
      </c>
      <c r="AA164" s="15" t="str">
        <f t="shared" si="37"/>
        <v/>
      </c>
      <c r="AB164" s="17" t="str">
        <f t="shared" si="38"/>
        <v/>
      </c>
      <c r="AC164" s="17" t="str">
        <f t="shared" si="39"/>
        <v/>
      </c>
      <c r="AD164" s="4" t="str">
        <f>IF(A164="","",IF(COUNTIF($A$2:$A$501,A164)&gt;1,"异常：事件编号重复",IF(OR(C164="",D164="",E164="",F164="",G164=""),"异常：必填项缺失",IF(AND(F164="其他股权激励",O164=""),"异常：其他股权激励所得缺失",IF(AND(F164&lt;&gt;"其他股权激励",OR(I164="",J164="")),"异常：数量或市场价缺失",IF(AND(F164&lt;&gt;"其他股权激励",OR(I164&lt;=0,J164&lt;0)),"异常：数量或价格无效",IF(AND(F164="限制性股票",OR(M164&lt;=0,N164&lt;0,I164&gt;M164)),"异常：个人获授或出资数据无效",IF(AND(IFERROR(INDEX(计划参数!$J$2:$J$501,MATCH(C164,计划参数!$I$2:$I$501,0)),"")&lt;&gt;"",D164&lt;&gt;IFERROR(INDEX(计划参数!$J$2:$J$501,MATCH(C164,计划参数!$I$2:$I$501,0)),"")),"异常：姓名与员工主数据不一致",IF(S164&lt;0,"异常：原始所得为负，已按0计税",IF(OR(AND(F164="股票期权",K164=""),AND(F164="限制性股票",OR(K164="",L164=""))),"异常：计划参数缺失",IF(COUNTIF(计划参数!$I$2:$I$501,C164)=0,"提示：员工编号未在主数据",IF(Q164&lt;&gt;"已备案","提示：未确认备案","正常"))))))))))))</f>
        <v/>
      </c>
      <c r="AE164" s="9"/>
      <c r="AF164" s="4" t="str">
        <f>IF(C164="","",IF(COUNTIF($C$2:C164,C164)=1,MAX($AF$1:AF163)+1,""))</f>
        <v/>
      </c>
      <c r="AG164" s="4" t="str">
        <f>IF(C164="","",COUNTIF($C$2:C164,C164))</f>
        <v/>
      </c>
      <c r="AH164" s="4" t="str">
        <f t="shared" si="40"/>
        <v/>
      </c>
      <c r="AI164" s="4" t="str">
        <f t="shared" si="41"/>
        <v/>
      </c>
      <c r="AJ164" s="4" t="str">
        <f t="shared" si="42"/>
        <v/>
      </c>
      <c r="AK164" s="15" t="str">
        <f>IF(A164="","",SUMIFS(分期缴税台账!$K$2:$K$501,分期缴税台账!$T$2:$T$501,A164,分期缴税台账!$Q$2:$Q$501,"有效"))</f>
        <v/>
      </c>
      <c r="AL164" s="15" t="str">
        <f t="shared" si="43"/>
        <v/>
      </c>
      <c r="AM164" s="4" t="str">
        <f t="shared" si="44"/>
        <v/>
      </c>
    </row>
    <row r="165" spans="1:39" x14ac:dyDescent="0.3">
      <c r="A165" s="9"/>
      <c r="B165" s="4" t="str">
        <f t="shared" si="30"/>
        <v/>
      </c>
      <c r="C165" s="9"/>
      <c r="D165" s="9"/>
      <c r="E165" s="9"/>
      <c r="F165" s="9"/>
      <c r="G165" s="13"/>
      <c r="H165" s="4" t="str">
        <f t="shared" si="31"/>
        <v/>
      </c>
      <c r="I165" s="9"/>
      <c r="J165" s="14"/>
      <c r="K165" s="15" t="str">
        <f>IF(OR(E165="",F165="",G165=""),"",IF(E165&lt;&gt;计划参数!$C$2,"",IF(F165="股票期权",IFERROR(LOOKUP(G165,计划参数!$D$12:$D$15,计划参数!$C$12:$C$15),""),IF(F165="限制性股票",计划参数!$C$10,""))))</f>
        <v/>
      </c>
      <c r="L165" s="15" t="str">
        <f>IF(AND(E165=计划参数!$C$2,F165="限制性股票",G165&gt;=计划参数!$D$9),计划参数!$C$9,"")</f>
        <v/>
      </c>
      <c r="M165" s="9"/>
      <c r="N165" s="14"/>
      <c r="O165" s="14"/>
      <c r="P165" s="13"/>
      <c r="Q165" s="9"/>
      <c r="R165" s="13"/>
      <c r="S165" s="15" t="str">
        <f t="shared" si="32"/>
        <v/>
      </c>
      <c r="T165" s="15" t="str">
        <f t="shared" si="33"/>
        <v/>
      </c>
      <c r="U165" s="15" t="str">
        <f t="shared" si="34"/>
        <v/>
      </c>
      <c r="V165" s="15" t="str">
        <f t="shared" si="35"/>
        <v/>
      </c>
      <c r="W165" s="16" t="str">
        <f>IF(V165="","",VLOOKUP(V165,税率及规则!$A$2:$C$8,2,TRUE))</f>
        <v/>
      </c>
      <c r="X165" s="15" t="str">
        <f>IF(V165="","",VLOOKUP(V165,税率及规则!$A$2:$C$8,3,TRUE))</f>
        <v/>
      </c>
      <c r="Y165" s="15" t="str">
        <f t="shared" si="36"/>
        <v/>
      </c>
      <c r="Z165" s="15" t="str">
        <f>IF(U165="","",MAX(0,U165*VLOOKUP(U165,税率及规则!$A$2:$C$8,2,TRUE)-VLOOKUP(U165,税率及规则!$A$2:$C$8,3,TRUE)))</f>
        <v/>
      </c>
      <c r="AA165" s="15" t="str">
        <f t="shared" si="37"/>
        <v/>
      </c>
      <c r="AB165" s="17" t="str">
        <f t="shared" si="38"/>
        <v/>
      </c>
      <c r="AC165" s="17" t="str">
        <f t="shared" si="39"/>
        <v/>
      </c>
      <c r="AD165" s="4" t="str">
        <f>IF(A165="","",IF(COUNTIF($A$2:$A$501,A165)&gt;1,"异常：事件编号重复",IF(OR(C165="",D165="",E165="",F165="",G165=""),"异常：必填项缺失",IF(AND(F165="其他股权激励",O165=""),"异常：其他股权激励所得缺失",IF(AND(F165&lt;&gt;"其他股权激励",OR(I165="",J165="")),"异常：数量或市场价缺失",IF(AND(F165&lt;&gt;"其他股权激励",OR(I165&lt;=0,J165&lt;0)),"异常：数量或价格无效",IF(AND(F165="限制性股票",OR(M165&lt;=0,N165&lt;0,I165&gt;M165)),"异常：个人获授或出资数据无效",IF(AND(IFERROR(INDEX(计划参数!$J$2:$J$501,MATCH(C165,计划参数!$I$2:$I$501,0)),"")&lt;&gt;"",D165&lt;&gt;IFERROR(INDEX(计划参数!$J$2:$J$501,MATCH(C165,计划参数!$I$2:$I$501,0)),"")),"异常：姓名与员工主数据不一致",IF(S165&lt;0,"异常：原始所得为负，已按0计税",IF(OR(AND(F165="股票期权",K165=""),AND(F165="限制性股票",OR(K165="",L165=""))),"异常：计划参数缺失",IF(COUNTIF(计划参数!$I$2:$I$501,C165)=0,"提示：员工编号未在主数据",IF(Q165&lt;&gt;"已备案","提示：未确认备案","正常"))))))))))))</f>
        <v/>
      </c>
      <c r="AE165" s="9"/>
      <c r="AF165" s="4" t="str">
        <f>IF(C165="","",IF(COUNTIF($C$2:C165,C165)=1,MAX($AF$1:AF164)+1,""))</f>
        <v/>
      </c>
      <c r="AG165" s="4" t="str">
        <f>IF(C165="","",COUNTIF($C$2:C165,C165))</f>
        <v/>
      </c>
      <c r="AH165" s="4" t="str">
        <f t="shared" si="40"/>
        <v/>
      </c>
      <c r="AI165" s="4" t="str">
        <f t="shared" si="41"/>
        <v/>
      </c>
      <c r="AJ165" s="4" t="str">
        <f t="shared" si="42"/>
        <v/>
      </c>
      <c r="AK165" s="15" t="str">
        <f>IF(A165="","",SUMIFS(分期缴税台账!$K$2:$K$501,分期缴税台账!$T$2:$T$501,A165,分期缴税台账!$Q$2:$Q$501,"有效"))</f>
        <v/>
      </c>
      <c r="AL165" s="15" t="str">
        <f t="shared" si="43"/>
        <v/>
      </c>
      <c r="AM165" s="4" t="str">
        <f t="shared" si="44"/>
        <v/>
      </c>
    </row>
    <row r="166" spans="1:39" x14ac:dyDescent="0.3">
      <c r="A166" s="9"/>
      <c r="B166" s="4" t="str">
        <f t="shared" si="30"/>
        <v/>
      </c>
      <c r="C166" s="9"/>
      <c r="D166" s="9"/>
      <c r="E166" s="9"/>
      <c r="F166" s="9"/>
      <c r="G166" s="13"/>
      <c r="H166" s="4" t="str">
        <f t="shared" si="31"/>
        <v/>
      </c>
      <c r="I166" s="9"/>
      <c r="J166" s="14"/>
      <c r="K166" s="15" t="str">
        <f>IF(OR(E166="",F166="",G166=""),"",IF(E166&lt;&gt;计划参数!$C$2,"",IF(F166="股票期权",IFERROR(LOOKUP(G166,计划参数!$D$12:$D$15,计划参数!$C$12:$C$15),""),IF(F166="限制性股票",计划参数!$C$10,""))))</f>
        <v/>
      </c>
      <c r="L166" s="15" t="str">
        <f>IF(AND(E166=计划参数!$C$2,F166="限制性股票",G166&gt;=计划参数!$D$9),计划参数!$C$9,"")</f>
        <v/>
      </c>
      <c r="M166" s="9"/>
      <c r="N166" s="14"/>
      <c r="O166" s="14"/>
      <c r="P166" s="13"/>
      <c r="Q166" s="9"/>
      <c r="R166" s="13"/>
      <c r="S166" s="15" t="str">
        <f t="shared" si="32"/>
        <v/>
      </c>
      <c r="T166" s="15" t="str">
        <f t="shared" si="33"/>
        <v/>
      </c>
      <c r="U166" s="15" t="str">
        <f t="shared" si="34"/>
        <v/>
      </c>
      <c r="V166" s="15" t="str">
        <f t="shared" si="35"/>
        <v/>
      </c>
      <c r="W166" s="16" t="str">
        <f>IF(V166="","",VLOOKUP(V166,税率及规则!$A$2:$C$8,2,TRUE))</f>
        <v/>
      </c>
      <c r="X166" s="15" t="str">
        <f>IF(V166="","",VLOOKUP(V166,税率及规则!$A$2:$C$8,3,TRUE))</f>
        <v/>
      </c>
      <c r="Y166" s="15" t="str">
        <f t="shared" si="36"/>
        <v/>
      </c>
      <c r="Z166" s="15" t="str">
        <f>IF(U166="","",MAX(0,U166*VLOOKUP(U166,税率及规则!$A$2:$C$8,2,TRUE)-VLOOKUP(U166,税率及规则!$A$2:$C$8,3,TRUE)))</f>
        <v/>
      </c>
      <c r="AA166" s="15" t="str">
        <f t="shared" si="37"/>
        <v/>
      </c>
      <c r="AB166" s="17" t="str">
        <f t="shared" si="38"/>
        <v/>
      </c>
      <c r="AC166" s="17" t="str">
        <f t="shared" si="39"/>
        <v/>
      </c>
      <c r="AD166" s="4" t="str">
        <f>IF(A166="","",IF(COUNTIF($A$2:$A$501,A166)&gt;1,"异常：事件编号重复",IF(OR(C166="",D166="",E166="",F166="",G166=""),"异常：必填项缺失",IF(AND(F166="其他股权激励",O166=""),"异常：其他股权激励所得缺失",IF(AND(F166&lt;&gt;"其他股权激励",OR(I166="",J166="")),"异常：数量或市场价缺失",IF(AND(F166&lt;&gt;"其他股权激励",OR(I166&lt;=0,J166&lt;0)),"异常：数量或价格无效",IF(AND(F166="限制性股票",OR(M166&lt;=0,N166&lt;0,I166&gt;M166)),"异常：个人获授或出资数据无效",IF(AND(IFERROR(INDEX(计划参数!$J$2:$J$501,MATCH(C166,计划参数!$I$2:$I$501,0)),"")&lt;&gt;"",D166&lt;&gt;IFERROR(INDEX(计划参数!$J$2:$J$501,MATCH(C166,计划参数!$I$2:$I$501,0)),"")),"异常：姓名与员工主数据不一致",IF(S166&lt;0,"异常：原始所得为负，已按0计税",IF(OR(AND(F166="股票期权",K166=""),AND(F166="限制性股票",OR(K166="",L166=""))),"异常：计划参数缺失",IF(COUNTIF(计划参数!$I$2:$I$501,C166)=0,"提示：员工编号未在主数据",IF(Q166&lt;&gt;"已备案","提示：未确认备案","正常"))))))))))))</f>
        <v/>
      </c>
      <c r="AE166" s="9"/>
      <c r="AF166" s="4" t="str">
        <f>IF(C166="","",IF(COUNTIF($C$2:C166,C166)=1,MAX($AF$1:AF165)+1,""))</f>
        <v/>
      </c>
      <c r="AG166" s="4" t="str">
        <f>IF(C166="","",COUNTIF($C$2:C166,C166))</f>
        <v/>
      </c>
      <c r="AH166" s="4" t="str">
        <f t="shared" si="40"/>
        <v/>
      </c>
      <c r="AI166" s="4" t="str">
        <f t="shared" si="41"/>
        <v/>
      </c>
      <c r="AJ166" s="4" t="str">
        <f t="shared" si="42"/>
        <v/>
      </c>
      <c r="AK166" s="15" t="str">
        <f>IF(A166="","",SUMIFS(分期缴税台账!$K$2:$K$501,分期缴税台账!$T$2:$T$501,A166,分期缴税台账!$Q$2:$Q$501,"有效"))</f>
        <v/>
      </c>
      <c r="AL166" s="15" t="str">
        <f t="shared" si="43"/>
        <v/>
      </c>
      <c r="AM166" s="4" t="str">
        <f t="shared" si="44"/>
        <v/>
      </c>
    </row>
    <row r="167" spans="1:39" x14ac:dyDescent="0.3">
      <c r="A167" s="9"/>
      <c r="B167" s="4" t="str">
        <f t="shared" si="30"/>
        <v/>
      </c>
      <c r="C167" s="9"/>
      <c r="D167" s="9"/>
      <c r="E167" s="9"/>
      <c r="F167" s="9"/>
      <c r="G167" s="13"/>
      <c r="H167" s="4" t="str">
        <f t="shared" si="31"/>
        <v/>
      </c>
      <c r="I167" s="9"/>
      <c r="J167" s="14"/>
      <c r="K167" s="15" t="str">
        <f>IF(OR(E167="",F167="",G167=""),"",IF(E167&lt;&gt;计划参数!$C$2,"",IF(F167="股票期权",IFERROR(LOOKUP(G167,计划参数!$D$12:$D$15,计划参数!$C$12:$C$15),""),IF(F167="限制性股票",计划参数!$C$10,""))))</f>
        <v/>
      </c>
      <c r="L167" s="15" t="str">
        <f>IF(AND(E167=计划参数!$C$2,F167="限制性股票",G167&gt;=计划参数!$D$9),计划参数!$C$9,"")</f>
        <v/>
      </c>
      <c r="M167" s="9"/>
      <c r="N167" s="14"/>
      <c r="O167" s="14"/>
      <c r="P167" s="13"/>
      <c r="Q167" s="9"/>
      <c r="R167" s="13"/>
      <c r="S167" s="15" t="str">
        <f t="shared" si="32"/>
        <v/>
      </c>
      <c r="T167" s="15" t="str">
        <f t="shared" si="33"/>
        <v/>
      </c>
      <c r="U167" s="15" t="str">
        <f t="shared" si="34"/>
        <v/>
      </c>
      <c r="V167" s="15" t="str">
        <f t="shared" si="35"/>
        <v/>
      </c>
      <c r="W167" s="16" t="str">
        <f>IF(V167="","",VLOOKUP(V167,税率及规则!$A$2:$C$8,2,TRUE))</f>
        <v/>
      </c>
      <c r="X167" s="15" t="str">
        <f>IF(V167="","",VLOOKUP(V167,税率及规则!$A$2:$C$8,3,TRUE))</f>
        <v/>
      </c>
      <c r="Y167" s="15" t="str">
        <f t="shared" si="36"/>
        <v/>
      </c>
      <c r="Z167" s="15" t="str">
        <f>IF(U167="","",MAX(0,U167*VLOOKUP(U167,税率及规则!$A$2:$C$8,2,TRUE)-VLOOKUP(U167,税率及规则!$A$2:$C$8,3,TRUE)))</f>
        <v/>
      </c>
      <c r="AA167" s="15" t="str">
        <f t="shared" si="37"/>
        <v/>
      </c>
      <c r="AB167" s="17" t="str">
        <f t="shared" si="38"/>
        <v/>
      </c>
      <c r="AC167" s="17" t="str">
        <f t="shared" si="39"/>
        <v/>
      </c>
      <c r="AD167" s="4" t="str">
        <f>IF(A167="","",IF(COUNTIF($A$2:$A$501,A167)&gt;1,"异常：事件编号重复",IF(OR(C167="",D167="",E167="",F167="",G167=""),"异常：必填项缺失",IF(AND(F167="其他股权激励",O167=""),"异常：其他股权激励所得缺失",IF(AND(F167&lt;&gt;"其他股权激励",OR(I167="",J167="")),"异常：数量或市场价缺失",IF(AND(F167&lt;&gt;"其他股权激励",OR(I167&lt;=0,J167&lt;0)),"异常：数量或价格无效",IF(AND(F167="限制性股票",OR(M167&lt;=0,N167&lt;0,I167&gt;M167)),"异常：个人获授或出资数据无效",IF(AND(IFERROR(INDEX(计划参数!$J$2:$J$501,MATCH(C167,计划参数!$I$2:$I$501,0)),"")&lt;&gt;"",D167&lt;&gt;IFERROR(INDEX(计划参数!$J$2:$J$501,MATCH(C167,计划参数!$I$2:$I$501,0)),"")),"异常：姓名与员工主数据不一致",IF(S167&lt;0,"异常：原始所得为负，已按0计税",IF(OR(AND(F167="股票期权",K167=""),AND(F167="限制性股票",OR(K167="",L167=""))),"异常：计划参数缺失",IF(COUNTIF(计划参数!$I$2:$I$501,C167)=0,"提示：员工编号未在主数据",IF(Q167&lt;&gt;"已备案","提示：未确认备案","正常"))))))))))))</f>
        <v/>
      </c>
      <c r="AE167" s="9"/>
      <c r="AF167" s="4" t="str">
        <f>IF(C167="","",IF(COUNTIF($C$2:C167,C167)=1,MAX($AF$1:AF166)+1,""))</f>
        <v/>
      </c>
      <c r="AG167" s="4" t="str">
        <f>IF(C167="","",COUNTIF($C$2:C167,C167))</f>
        <v/>
      </c>
      <c r="AH167" s="4" t="str">
        <f t="shared" si="40"/>
        <v/>
      </c>
      <c r="AI167" s="4" t="str">
        <f t="shared" si="41"/>
        <v/>
      </c>
      <c r="AJ167" s="4" t="str">
        <f t="shared" si="42"/>
        <v/>
      </c>
      <c r="AK167" s="15" t="str">
        <f>IF(A167="","",SUMIFS(分期缴税台账!$K$2:$K$501,分期缴税台账!$T$2:$T$501,A167,分期缴税台账!$Q$2:$Q$501,"有效"))</f>
        <v/>
      </c>
      <c r="AL167" s="15" t="str">
        <f t="shared" si="43"/>
        <v/>
      </c>
      <c r="AM167" s="4" t="str">
        <f t="shared" si="44"/>
        <v/>
      </c>
    </row>
    <row r="168" spans="1:39" x14ac:dyDescent="0.3">
      <c r="A168" s="9"/>
      <c r="B168" s="4" t="str">
        <f t="shared" si="30"/>
        <v/>
      </c>
      <c r="C168" s="9"/>
      <c r="D168" s="9"/>
      <c r="E168" s="9"/>
      <c r="F168" s="9"/>
      <c r="G168" s="13"/>
      <c r="H168" s="4" t="str">
        <f t="shared" si="31"/>
        <v/>
      </c>
      <c r="I168" s="9"/>
      <c r="J168" s="14"/>
      <c r="K168" s="15" t="str">
        <f>IF(OR(E168="",F168="",G168=""),"",IF(E168&lt;&gt;计划参数!$C$2,"",IF(F168="股票期权",IFERROR(LOOKUP(G168,计划参数!$D$12:$D$15,计划参数!$C$12:$C$15),""),IF(F168="限制性股票",计划参数!$C$10,""))))</f>
        <v/>
      </c>
      <c r="L168" s="15" t="str">
        <f>IF(AND(E168=计划参数!$C$2,F168="限制性股票",G168&gt;=计划参数!$D$9),计划参数!$C$9,"")</f>
        <v/>
      </c>
      <c r="M168" s="9"/>
      <c r="N168" s="14"/>
      <c r="O168" s="14"/>
      <c r="P168" s="13"/>
      <c r="Q168" s="9"/>
      <c r="R168" s="13"/>
      <c r="S168" s="15" t="str">
        <f t="shared" si="32"/>
        <v/>
      </c>
      <c r="T168" s="15" t="str">
        <f t="shared" si="33"/>
        <v/>
      </c>
      <c r="U168" s="15" t="str">
        <f t="shared" si="34"/>
        <v/>
      </c>
      <c r="V168" s="15" t="str">
        <f t="shared" si="35"/>
        <v/>
      </c>
      <c r="W168" s="16" t="str">
        <f>IF(V168="","",VLOOKUP(V168,税率及规则!$A$2:$C$8,2,TRUE))</f>
        <v/>
      </c>
      <c r="X168" s="15" t="str">
        <f>IF(V168="","",VLOOKUP(V168,税率及规则!$A$2:$C$8,3,TRUE))</f>
        <v/>
      </c>
      <c r="Y168" s="15" t="str">
        <f t="shared" si="36"/>
        <v/>
      </c>
      <c r="Z168" s="15" t="str">
        <f>IF(U168="","",MAX(0,U168*VLOOKUP(U168,税率及规则!$A$2:$C$8,2,TRUE)-VLOOKUP(U168,税率及规则!$A$2:$C$8,3,TRUE)))</f>
        <v/>
      </c>
      <c r="AA168" s="15" t="str">
        <f t="shared" si="37"/>
        <v/>
      </c>
      <c r="AB168" s="17" t="str">
        <f t="shared" si="38"/>
        <v/>
      </c>
      <c r="AC168" s="17" t="str">
        <f t="shared" si="39"/>
        <v/>
      </c>
      <c r="AD168" s="4" t="str">
        <f>IF(A168="","",IF(COUNTIF($A$2:$A$501,A168)&gt;1,"异常：事件编号重复",IF(OR(C168="",D168="",E168="",F168="",G168=""),"异常：必填项缺失",IF(AND(F168="其他股权激励",O168=""),"异常：其他股权激励所得缺失",IF(AND(F168&lt;&gt;"其他股权激励",OR(I168="",J168="")),"异常：数量或市场价缺失",IF(AND(F168&lt;&gt;"其他股权激励",OR(I168&lt;=0,J168&lt;0)),"异常：数量或价格无效",IF(AND(F168="限制性股票",OR(M168&lt;=0,N168&lt;0,I168&gt;M168)),"异常：个人获授或出资数据无效",IF(AND(IFERROR(INDEX(计划参数!$J$2:$J$501,MATCH(C168,计划参数!$I$2:$I$501,0)),"")&lt;&gt;"",D168&lt;&gt;IFERROR(INDEX(计划参数!$J$2:$J$501,MATCH(C168,计划参数!$I$2:$I$501,0)),"")),"异常：姓名与员工主数据不一致",IF(S168&lt;0,"异常：原始所得为负，已按0计税",IF(OR(AND(F168="股票期权",K168=""),AND(F168="限制性股票",OR(K168="",L168=""))),"异常：计划参数缺失",IF(COUNTIF(计划参数!$I$2:$I$501,C168)=0,"提示：员工编号未在主数据",IF(Q168&lt;&gt;"已备案","提示：未确认备案","正常"))))))))))))</f>
        <v/>
      </c>
      <c r="AE168" s="9"/>
      <c r="AF168" s="4" t="str">
        <f>IF(C168="","",IF(COUNTIF($C$2:C168,C168)=1,MAX($AF$1:AF167)+1,""))</f>
        <v/>
      </c>
      <c r="AG168" s="4" t="str">
        <f>IF(C168="","",COUNTIF($C$2:C168,C168))</f>
        <v/>
      </c>
      <c r="AH168" s="4" t="str">
        <f t="shared" si="40"/>
        <v/>
      </c>
      <c r="AI168" s="4" t="str">
        <f t="shared" si="41"/>
        <v/>
      </c>
      <c r="AJ168" s="4" t="str">
        <f t="shared" si="42"/>
        <v/>
      </c>
      <c r="AK168" s="15" t="str">
        <f>IF(A168="","",SUMIFS(分期缴税台账!$K$2:$K$501,分期缴税台账!$T$2:$T$501,A168,分期缴税台账!$Q$2:$Q$501,"有效"))</f>
        <v/>
      </c>
      <c r="AL168" s="15" t="str">
        <f t="shared" si="43"/>
        <v/>
      </c>
      <c r="AM168" s="4" t="str">
        <f t="shared" si="44"/>
        <v/>
      </c>
    </row>
    <row r="169" spans="1:39" x14ac:dyDescent="0.3">
      <c r="A169" s="9"/>
      <c r="B169" s="4" t="str">
        <f t="shared" si="30"/>
        <v/>
      </c>
      <c r="C169" s="9"/>
      <c r="D169" s="9"/>
      <c r="E169" s="9"/>
      <c r="F169" s="9"/>
      <c r="G169" s="13"/>
      <c r="H169" s="4" t="str">
        <f t="shared" si="31"/>
        <v/>
      </c>
      <c r="I169" s="9"/>
      <c r="J169" s="14"/>
      <c r="K169" s="15" t="str">
        <f>IF(OR(E169="",F169="",G169=""),"",IF(E169&lt;&gt;计划参数!$C$2,"",IF(F169="股票期权",IFERROR(LOOKUP(G169,计划参数!$D$12:$D$15,计划参数!$C$12:$C$15),""),IF(F169="限制性股票",计划参数!$C$10,""))))</f>
        <v/>
      </c>
      <c r="L169" s="15" t="str">
        <f>IF(AND(E169=计划参数!$C$2,F169="限制性股票",G169&gt;=计划参数!$D$9),计划参数!$C$9,"")</f>
        <v/>
      </c>
      <c r="M169" s="9"/>
      <c r="N169" s="14"/>
      <c r="O169" s="14"/>
      <c r="P169" s="13"/>
      <c r="Q169" s="9"/>
      <c r="R169" s="13"/>
      <c r="S169" s="15" t="str">
        <f t="shared" si="32"/>
        <v/>
      </c>
      <c r="T169" s="15" t="str">
        <f t="shared" si="33"/>
        <v/>
      </c>
      <c r="U169" s="15" t="str">
        <f t="shared" si="34"/>
        <v/>
      </c>
      <c r="V169" s="15" t="str">
        <f t="shared" si="35"/>
        <v/>
      </c>
      <c r="W169" s="16" t="str">
        <f>IF(V169="","",VLOOKUP(V169,税率及规则!$A$2:$C$8,2,TRUE))</f>
        <v/>
      </c>
      <c r="X169" s="15" t="str">
        <f>IF(V169="","",VLOOKUP(V169,税率及规则!$A$2:$C$8,3,TRUE))</f>
        <v/>
      </c>
      <c r="Y169" s="15" t="str">
        <f t="shared" si="36"/>
        <v/>
      </c>
      <c r="Z169" s="15" t="str">
        <f>IF(U169="","",MAX(0,U169*VLOOKUP(U169,税率及规则!$A$2:$C$8,2,TRUE)-VLOOKUP(U169,税率及规则!$A$2:$C$8,3,TRUE)))</f>
        <v/>
      </c>
      <c r="AA169" s="15" t="str">
        <f t="shared" si="37"/>
        <v/>
      </c>
      <c r="AB169" s="17" t="str">
        <f t="shared" si="38"/>
        <v/>
      </c>
      <c r="AC169" s="17" t="str">
        <f t="shared" si="39"/>
        <v/>
      </c>
      <c r="AD169" s="4" t="str">
        <f>IF(A169="","",IF(COUNTIF($A$2:$A$501,A169)&gt;1,"异常：事件编号重复",IF(OR(C169="",D169="",E169="",F169="",G169=""),"异常：必填项缺失",IF(AND(F169="其他股权激励",O169=""),"异常：其他股权激励所得缺失",IF(AND(F169&lt;&gt;"其他股权激励",OR(I169="",J169="")),"异常：数量或市场价缺失",IF(AND(F169&lt;&gt;"其他股权激励",OR(I169&lt;=0,J169&lt;0)),"异常：数量或价格无效",IF(AND(F169="限制性股票",OR(M169&lt;=0,N169&lt;0,I169&gt;M169)),"异常：个人获授或出资数据无效",IF(AND(IFERROR(INDEX(计划参数!$J$2:$J$501,MATCH(C169,计划参数!$I$2:$I$501,0)),"")&lt;&gt;"",D169&lt;&gt;IFERROR(INDEX(计划参数!$J$2:$J$501,MATCH(C169,计划参数!$I$2:$I$501,0)),"")),"异常：姓名与员工主数据不一致",IF(S169&lt;0,"异常：原始所得为负，已按0计税",IF(OR(AND(F169="股票期权",K169=""),AND(F169="限制性股票",OR(K169="",L169=""))),"异常：计划参数缺失",IF(COUNTIF(计划参数!$I$2:$I$501,C169)=0,"提示：员工编号未在主数据",IF(Q169&lt;&gt;"已备案","提示：未确认备案","正常"))))))))))))</f>
        <v/>
      </c>
      <c r="AE169" s="9"/>
      <c r="AF169" s="4" t="str">
        <f>IF(C169="","",IF(COUNTIF($C$2:C169,C169)=1,MAX($AF$1:AF168)+1,""))</f>
        <v/>
      </c>
      <c r="AG169" s="4" t="str">
        <f>IF(C169="","",COUNTIF($C$2:C169,C169))</f>
        <v/>
      </c>
      <c r="AH169" s="4" t="str">
        <f t="shared" si="40"/>
        <v/>
      </c>
      <c r="AI169" s="4" t="str">
        <f t="shared" si="41"/>
        <v/>
      </c>
      <c r="AJ169" s="4" t="str">
        <f t="shared" si="42"/>
        <v/>
      </c>
      <c r="AK169" s="15" t="str">
        <f>IF(A169="","",SUMIFS(分期缴税台账!$K$2:$K$501,分期缴税台账!$T$2:$T$501,A169,分期缴税台账!$Q$2:$Q$501,"有效"))</f>
        <v/>
      </c>
      <c r="AL169" s="15" t="str">
        <f t="shared" si="43"/>
        <v/>
      </c>
      <c r="AM169" s="4" t="str">
        <f t="shared" si="44"/>
        <v/>
      </c>
    </row>
    <row r="170" spans="1:39" x14ac:dyDescent="0.3">
      <c r="A170" s="9"/>
      <c r="B170" s="4" t="str">
        <f t="shared" si="30"/>
        <v/>
      </c>
      <c r="C170" s="9"/>
      <c r="D170" s="9"/>
      <c r="E170" s="9"/>
      <c r="F170" s="9"/>
      <c r="G170" s="13"/>
      <c r="H170" s="4" t="str">
        <f t="shared" si="31"/>
        <v/>
      </c>
      <c r="I170" s="9"/>
      <c r="J170" s="14"/>
      <c r="K170" s="15" t="str">
        <f>IF(OR(E170="",F170="",G170=""),"",IF(E170&lt;&gt;计划参数!$C$2,"",IF(F170="股票期权",IFERROR(LOOKUP(G170,计划参数!$D$12:$D$15,计划参数!$C$12:$C$15),""),IF(F170="限制性股票",计划参数!$C$10,""))))</f>
        <v/>
      </c>
      <c r="L170" s="15" t="str">
        <f>IF(AND(E170=计划参数!$C$2,F170="限制性股票",G170&gt;=计划参数!$D$9),计划参数!$C$9,"")</f>
        <v/>
      </c>
      <c r="M170" s="9"/>
      <c r="N170" s="14"/>
      <c r="O170" s="14"/>
      <c r="P170" s="13"/>
      <c r="Q170" s="9"/>
      <c r="R170" s="13"/>
      <c r="S170" s="15" t="str">
        <f t="shared" si="32"/>
        <v/>
      </c>
      <c r="T170" s="15" t="str">
        <f t="shared" si="33"/>
        <v/>
      </c>
      <c r="U170" s="15" t="str">
        <f t="shared" si="34"/>
        <v/>
      </c>
      <c r="V170" s="15" t="str">
        <f t="shared" si="35"/>
        <v/>
      </c>
      <c r="W170" s="16" t="str">
        <f>IF(V170="","",VLOOKUP(V170,税率及规则!$A$2:$C$8,2,TRUE))</f>
        <v/>
      </c>
      <c r="X170" s="15" t="str">
        <f>IF(V170="","",VLOOKUP(V170,税率及规则!$A$2:$C$8,3,TRUE))</f>
        <v/>
      </c>
      <c r="Y170" s="15" t="str">
        <f t="shared" si="36"/>
        <v/>
      </c>
      <c r="Z170" s="15" t="str">
        <f>IF(U170="","",MAX(0,U170*VLOOKUP(U170,税率及规则!$A$2:$C$8,2,TRUE)-VLOOKUP(U170,税率及规则!$A$2:$C$8,3,TRUE)))</f>
        <v/>
      </c>
      <c r="AA170" s="15" t="str">
        <f t="shared" si="37"/>
        <v/>
      </c>
      <c r="AB170" s="17" t="str">
        <f t="shared" si="38"/>
        <v/>
      </c>
      <c r="AC170" s="17" t="str">
        <f t="shared" si="39"/>
        <v/>
      </c>
      <c r="AD170" s="4" t="str">
        <f>IF(A170="","",IF(COUNTIF($A$2:$A$501,A170)&gt;1,"异常：事件编号重复",IF(OR(C170="",D170="",E170="",F170="",G170=""),"异常：必填项缺失",IF(AND(F170="其他股权激励",O170=""),"异常：其他股权激励所得缺失",IF(AND(F170&lt;&gt;"其他股权激励",OR(I170="",J170="")),"异常：数量或市场价缺失",IF(AND(F170&lt;&gt;"其他股权激励",OR(I170&lt;=0,J170&lt;0)),"异常：数量或价格无效",IF(AND(F170="限制性股票",OR(M170&lt;=0,N170&lt;0,I170&gt;M170)),"异常：个人获授或出资数据无效",IF(AND(IFERROR(INDEX(计划参数!$J$2:$J$501,MATCH(C170,计划参数!$I$2:$I$501,0)),"")&lt;&gt;"",D170&lt;&gt;IFERROR(INDEX(计划参数!$J$2:$J$501,MATCH(C170,计划参数!$I$2:$I$501,0)),"")),"异常：姓名与员工主数据不一致",IF(S170&lt;0,"异常：原始所得为负，已按0计税",IF(OR(AND(F170="股票期权",K170=""),AND(F170="限制性股票",OR(K170="",L170=""))),"异常：计划参数缺失",IF(COUNTIF(计划参数!$I$2:$I$501,C170)=0,"提示：员工编号未在主数据",IF(Q170&lt;&gt;"已备案","提示：未确认备案","正常"))))))))))))</f>
        <v/>
      </c>
      <c r="AE170" s="9"/>
      <c r="AF170" s="4" t="str">
        <f>IF(C170="","",IF(COUNTIF($C$2:C170,C170)=1,MAX($AF$1:AF169)+1,""))</f>
        <v/>
      </c>
      <c r="AG170" s="4" t="str">
        <f>IF(C170="","",COUNTIF($C$2:C170,C170))</f>
        <v/>
      </c>
      <c r="AH170" s="4" t="str">
        <f t="shared" si="40"/>
        <v/>
      </c>
      <c r="AI170" s="4" t="str">
        <f t="shared" si="41"/>
        <v/>
      </c>
      <c r="AJ170" s="4" t="str">
        <f t="shared" si="42"/>
        <v/>
      </c>
      <c r="AK170" s="15" t="str">
        <f>IF(A170="","",SUMIFS(分期缴税台账!$K$2:$K$501,分期缴税台账!$T$2:$T$501,A170,分期缴税台账!$Q$2:$Q$501,"有效"))</f>
        <v/>
      </c>
      <c r="AL170" s="15" t="str">
        <f t="shared" si="43"/>
        <v/>
      </c>
      <c r="AM170" s="4" t="str">
        <f t="shared" si="44"/>
        <v/>
      </c>
    </row>
    <row r="171" spans="1:39" x14ac:dyDescent="0.3">
      <c r="A171" s="9"/>
      <c r="B171" s="4" t="str">
        <f t="shared" si="30"/>
        <v/>
      </c>
      <c r="C171" s="9"/>
      <c r="D171" s="9"/>
      <c r="E171" s="9"/>
      <c r="F171" s="9"/>
      <c r="G171" s="13"/>
      <c r="H171" s="4" t="str">
        <f t="shared" si="31"/>
        <v/>
      </c>
      <c r="I171" s="9"/>
      <c r="J171" s="14"/>
      <c r="K171" s="15" t="str">
        <f>IF(OR(E171="",F171="",G171=""),"",IF(E171&lt;&gt;计划参数!$C$2,"",IF(F171="股票期权",IFERROR(LOOKUP(G171,计划参数!$D$12:$D$15,计划参数!$C$12:$C$15),""),IF(F171="限制性股票",计划参数!$C$10,""))))</f>
        <v/>
      </c>
      <c r="L171" s="15" t="str">
        <f>IF(AND(E171=计划参数!$C$2,F171="限制性股票",G171&gt;=计划参数!$D$9),计划参数!$C$9,"")</f>
        <v/>
      </c>
      <c r="M171" s="9"/>
      <c r="N171" s="14"/>
      <c r="O171" s="14"/>
      <c r="P171" s="13"/>
      <c r="Q171" s="9"/>
      <c r="R171" s="13"/>
      <c r="S171" s="15" t="str">
        <f t="shared" si="32"/>
        <v/>
      </c>
      <c r="T171" s="15" t="str">
        <f t="shared" si="33"/>
        <v/>
      </c>
      <c r="U171" s="15" t="str">
        <f t="shared" si="34"/>
        <v/>
      </c>
      <c r="V171" s="15" t="str">
        <f t="shared" si="35"/>
        <v/>
      </c>
      <c r="W171" s="16" t="str">
        <f>IF(V171="","",VLOOKUP(V171,税率及规则!$A$2:$C$8,2,TRUE))</f>
        <v/>
      </c>
      <c r="X171" s="15" t="str">
        <f>IF(V171="","",VLOOKUP(V171,税率及规则!$A$2:$C$8,3,TRUE))</f>
        <v/>
      </c>
      <c r="Y171" s="15" t="str">
        <f t="shared" si="36"/>
        <v/>
      </c>
      <c r="Z171" s="15" t="str">
        <f>IF(U171="","",MAX(0,U171*VLOOKUP(U171,税率及规则!$A$2:$C$8,2,TRUE)-VLOOKUP(U171,税率及规则!$A$2:$C$8,3,TRUE)))</f>
        <v/>
      </c>
      <c r="AA171" s="15" t="str">
        <f t="shared" si="37"/>
        <v/>
      </c>
      <c r="AB171" s="17" t="str">
        <f t="shared" si="38"/>
        <v/>
      </c>
      <c r="AC171" s="17" t="str">
        <f t="shared" si="39"/>
        <v/>
      </c>
      <c r="AD171" s="4" t="str">
        <f>IF(A171="","",IF(COUNTIF($A$2:$A$501,A171)&gt;1,"异常：事件编号重复",IF(OR(C171="",D171="",E171="",F171="",G171=""),"异常：必填项缺失",IF(AND(F171="其他股权激励",O171=""),"异常：其他股权激励所得缺失",IF(AND(F171&lt;&gt;"其他股权激励",OR(I171="",J171="")),"异常：数量或市场价缺失",IF(AND(F171&lt;&gt;"其他股权激励",OR(I171&lt;=0,J171&lt;0)),"异常：数量或价格无效",IF(AND(F171="限制性股票",OR(M171&lt;=0,N171&lt;0,I171&gt;M171)),"异常：个人获授或出资数据无效",IF(AND(IFERROR(INDEX(计划参数!$J$2:$J$501,MATCH(C171,计划参数!$I$2:$I$501,0)),"")&lt;&gt;"",D171&lt;&gt;IFERROR(INDEX(计划参数!$J$2:$J$501,MATCH(C171,计划参数!$I$2:$I$501,0)),"")),"异常：姓名与员工主数据不一致",IF(S171&lt;0,"异常：原始所得为负，已按0计税",IF(OR(AND(F171="股票期权",K171=""),AND(F171="限制性股票",OR(K171="",L171=""))),"异常：计划参数缺失",IF(COUNTIF(计划参数!$I$2:$I$501,C171)=0,"提示：员工编号未在主数据",IF(Q171&lt;&gt;"已备案","提示：未确认备案","正常"))))))))))))</f>
        <v/>
      </c>
      <c r="AE171" s="9"/>
      <c r="AF171" s="4" t="str">
        <f>IF(C171="","",IF(COUNTIF($C$2:C171,C171)=1,MAX($AF$1:AF170)+1,""))</f>
        <v/>
      </c>
      <c r="AG171" s="4" t="str">
        <f>IF(C171="","",COUNTIF($C$2:C171,C171))</f>
        <v/>
      </c>
      <c r="AH171" s="4" t="str">
        <f t="shared" si="40"/>
        <v/>
      </c>
      <c r="AI171" s="4" t="str">
        <f t="shared" si="41"/>
        <v/>
      </c>
      <c r="AJ171" s="4" t="str">
        <f t="shared" si="42"/>
        <v/>
      </c>
      <c r="AK171" s="15" t="str">
        <f>IF(A171="","",SUMIFS(分期缴税台账!$K$2:$K$501,分期缴税台账!$T$2:$T$501,A171,分期缴税台账!$Q$2:$Q$501,"有效"))</f>
        <v/>
      </c>
      <c r="AL171" s="15" t="str">
        <f t="shared" si="43"/>
        <v/>
      </c>
      <c r="AM171" s="4" t="str">
        <f t="shared" si="44"/>
        <v/>
      </c>
    </row>
    <row r="172" spans="1:39" x14ac:dyDescent="0.3">
      <c r="A172" s="9"/>
      <c r="B172" s="4" t="str">
        <f t="shared" si="30"/>
        <v/>
      </c>
      <c r="C172" s="9"/>
      <c r="D172" s="9"/>
      <c r="E172" s="9"/>
      <c r="F172" s="9"/>
      <c r="G172" s="13"/>
      <c r="H172" s="4" t="str">
        <f t="shared" si="31"/>
        <v/>
      </c>
      <c r="I172" s="9"/>
      <c r="J172" s="14"/>
      <c r="K172" s="15" t="str">
        <f>IF(OR(E172="",F172="",G172=""),"",IF(E172&lt;&gt;计划参数!$C$2,"",IF(F172="股票期权",IFERROR(LOOKUP(G172,计划参数!$D$12:$D$15,计划参数!$C$12:$C$15),""),IF(F172="限制性股票",计划参数!$C$10,""))))</f>
        <v/>
      </c>
      <c r="L172" s="15" t="str">
        <f>IF(AND(E172=计划参数!$C$2,F172="限制性股票",G172&gt;=计划参数!$D$9),计划参数!$C$9,"")</f>
        <v/>
      </c>
      <c r="M172" s="9"/>
      <c r="N172" s="14"/>
      <c r="O172" s="14"/>
      <c r="P172" s="13"/>
      <c r="Q172" s="9"/>
      <c r="R172" s="13"/>
      <c r="S172" s="15" t="str">
        <f t="shared" si="32"/>
        <v/>
      </c>
      <c r="T172" s="15" t="str">
        <f t="shared" si="33"/>
        <v/>
      </c>
      <c r="U172" s="15" t="str">
        <f t="shared" si="34"/>
        <v/>
      </c>
      <c r="V172" s="15" t="str">
        <f t="shared" si="35"/>
        <v/>
      </c>
      <c r="W172" s="16" t="str">
        <f>IF(V172="","",VLOOKUP(V172,税率及规则!$A$2:$C$8,2,TRUE))</f>
        <v/>
      </c>
      <c r="X172" s="15" t="str">
        <f>IF(V172="","",VLOOKUP(V172,税率及规则!$A$2:$C$8,3,TRUE))</f>
        <v/>
      </c>
      <c r="Y172" s="15" t="str">
        <f t="shared" si="36"/>
        <v/>
      </c>
      <c r="Z172" s="15" t="str">
        <f>IF(U172="","",MAX(0,U172*VLOOKUP(U172,税率及规则!$A$2:$C$8,2,TRUE)-VLOOKUP(U172,税率及规则!$A$2:$C$8,3,TRUE)))</f>
        <v/>
      </c>
      <c r="AA172" s="15" t="str">
        <f t="shared" si="37"/>
        <v/>
      </c>
      <c r="AB172" s="17" t="str">
        <f t="shared" si="38"/>
        <v/>
      </c>
      <c r="AC172" s="17" t="str">
        <f t="shared" si="39"/>
        <v/>
      </c>
      <c r="AD172" s="4" t="str">
        <f>IF(A172="","",IF(COUNTIF($A$2:$A$501,A172)&gt;1,"异常：事件编号重复",IF(OR(C172="",D172="",E172="",F172="",G172=""),"异常：必填项缺失",IF(AND(F172="其他股权激励",O172=""),"异常：其他股权激励所得缺失",IF(AND(F172&lt;&gt;"其他股权激励",OR(I172="",J172="")),"异常：数量或市场价缺失",IF(AND(F172&lt;&gt;"其他股权激励",OR(I172&lt;=0,J172&lt;0)),"异常：数量或价格无效",IF(AND(F172="限制性股票",OR(M172&lt;=0,N172&lt;0,I172&gt;M172)),"异常：个人获授或出资数据无效",IF(AND(IFERROR(INDEX(计划参数!$J$2:$J$501,MATCH(C172,计划参数!$I$2:$I$501,0)),"")&lt;&gt;"",D172&lt;&gt;IFERROR(INDEX(计划参数!$J$2:$J$501,MATCH(C172,计划参数!$I$2:$I$501,0)),"")),"异常：姓名与员工主数据不一致",IF(S172&lt;0,"异常：原始所得为负，已按0计税",IF(OR(AND(F172="股票期权",K172=""),AND(F172="限制性股票",OR(K172="",L172=""))),"异常：计划参数缺失",IF(COUNTIF(计划参数!$I$2:$I$501,C172)=0,"提示：员工编号未在主数据",IF(Q172&lt;&gt;"已备案","提示：未确认备案","正常"))))))))))))</f>
        <v/>
      </c>
      <c r="AE172" s="9"/>
      <c r="AF172" s="4" t="str">
        <f>IF(C172="","",IF(COUNTIF($C$2:C172,C172)=1,MAX($AF$1:AF171)+1,""))</f>
        <v/>
      </c>
      <c r="AG172" s="4" t="str">
        <f>IF(C172="","",COUNTIF($C$2:C172,C172))</f>
        <v/>
      </c>
      <c r="AH172" s="4" t="str">
        <f t="shared" si="40"/>
        <v/>
      </c>
      <c r="AI172" s="4" t="str">
        <f t="shared" si="41"/>
        <v/>
      </c>
      <c r="AJ172" s="4" t="str">
        <f t="shared" si="42"/>
        <v/>
      </c>
      <c r="AK172" s="15" t="str">
        <f>IF(A172="","",SUMIFS(分期缴税台账!$K$2:$K$501,分期缴税台账!$T$2:$T$501,A172,分期缴税台账!$Q$2:$Q$501,"有效"))</f>
        <v/>
      </c>
      <c r="AL172" s="15" t="str">
        <f t="shared" si="43"/>
        <v/>
      </c>
      <c r="AM172" s="4" t="str">
        <f t="shared" si="44"/>
        <v/>
      </c>
    </row>
    <row r="173" spans="1:39" x14ac:dyDescent="0.3">
      <c r="A173" s="9"/>
      <c r="B173" s="4" t="str">
        <f t="shared" si="30"/>
        <v/>
      </c>
      <c r="C173" s="9"/>
      <c r="D173" s="9"/>
      <c r="E173" s="9"/>
      <c r="F173" s="9"/>
      <c r="G173" s="13"/>
      <c r="H173" s="4" t="str">
        <f t="shared" si="31"/>
        <v/>
      </c>
      <c r="I173" s="9"/>
      <c r="J173" s="14"/>
      <c r="K173" s="15" t="str">
        <f>IF(OR(E173="",F173="",G173=""),"",IF(E173&lt;&gt;计划参数!$C$2,"",IF(F173="股票期权",IFERROR(LOOKUP(G173,计划参数!$D$12:$D$15,计划参数!$C$12:$C$15),""),IF(F173="限制性股票",计划参数!$C$10,""))))</f>
        <v/>
      </c>
      <c r="L173" s="15" t="str">
        <f>IF(AND(E173=计划参数!$C$2,F173="限制性股票",G173&gt;=计划参数!$D$9),计划参数!$C$9,"")</f>
        <v/>
      </c>
      <c r="M173" s="9"/>
      <c r="N173" s="14"/>
      <c r="O173" s="14"/>
      <c r="P173" s="13"/>
      <c r="Q173" s="9"/>
      <c r="R173" s="13"/>
      <c r="S173" s="15" t="str">
        <f t="shared" si="32"/>
        <v/>
      </c>
      <c r="T173" s="15" t="str">
        <f t="shared" si="33"/>
        <v/>
      </c>
      <c r="U173" s="15" t="str">
        <f t="shared" si="34"/>
        <v/>
      </c>
      <c r="V173" s="15" t="str">
        <f t="shared" si="35"/>
        <v/>
      </c>
      <c r="W173" s="16" t="str">
        <f>IF(V173="","",VLOOKUP(V173,税率及规则!$A$2:$C$8,2,TRUE))</f>
        <v/>
      </c>
      <c r="X173" s="15" t="str">
        <f>IF(V173="","",VLOOKUP(V173,税率及规则!$A$2:$C$8,3,TRUE))</f>
        <v/>
      </c>
      <c r="Y173" s="15" t="str">
        <f t="shared" si="36"/>
        <v/>
      </c>
      <c r="Z173" s="15" t="str">
        <f>IF(U173="","",MAX(0,U173*VLOOKUP(U173,税率及规则!$A$2:$C$8,2,TRUE)-VLOOKUP(U173,税率及规则!$A$2:$C$8,3,TRUE)))</f>
        <v/>
      </c>
      <c r="AA173" s="15" t="str">
        <f t="shared" si="37"/>
        <v/>
      </c>
      <c r="AB173" s="17" t="str">
        <f t="shared" si="38"/>
        <v/>
      </c>
      <c r="AC173" s="17" t="str">
        <f t="shared" si="39"/>
        <v/>
      </c>
      <c r="AD173" s="4" t="str">
        <f>IF(A173="","",IF(COUNTIF($A$2:$A$501,A173)&gt;1,"异常：事件编号重复",IF(OR(C173="",D173="",E173="",F173="",G173=""),"异常：必填项缺失",IF(AND(F173="其他股权激励",O173=""),"异常：其他股权激励所得缺失",IF(AND(F173&lt;&gt;"其他股权激励",OR(I173="",J173="")),"异常：数量或市场价缺失",IF(AND(F173&lt;&gt;"其他股权激励",OR(I173&lt;=0,J173&lt;0)),"异常：数量或价格无效",IF(AND(F173="限制性股票",OR(M173&lt;=0,N173&lt;0,I173&gt;M173)),"异常：个人获授或出资数据无效",IF(AND(IFERROR(INDEX(计划参数!$J$2:$J$501,MATCH(C173,计划参数!$I$2:$I$501,0)),"")&lt;&gt;"",D173&lt;&gt;IFERROR(INDEX(计划参数!$J$2:$J$501,MATCH(C173,计划参数!$I$2:$I$501,0)),"")),"异常：姓名与员工主数据不一致",IF(S173&lt;0,"异常：原始所得为负，已按0计税",IF(OR(AND(F173="股票期权",K173=""),AND(F173="限制性股票",OR(K173="",L173=""))),"异常：计划参数缺失",IF(COUNTIF(计划参数!$I$2:$I$501,C173)=0,"提示：员工编号未在主数据",IF(Q173&lt;&gt;"已备案","提示：未确认备案","正常"))))))))))))</f>
        <v/>
      </c>
      <c r="AE173" s="9"/>
      <c r="AF173" s="4" t="str">
        <f>IF(C173="","",IF(COUNTIF($C$2:C173,C173)=1,MAX($AF$1:AF172)+1,""))</f>
        <v/>
      </c>
      <c r="AG173" s="4" t="str">
        <f>IF(C173="","",COUNTIF($C$2:C173,C173))</f>
        <v/>
      </c>
      <c r="AH173" s="4" t="str">
        <f t="shared" si="40"/>
        <v/>
      </c>
      <c r="AI173" s="4" t="str">
        <f t="shared" si="41"/>
        <v/>
      </c>
      <c r="AJ173" s="4" t="str">
        <f t="shared" si="42"/>
        <v/>
      </c>
      <c r="AK173" s="15" t="str">
        <f>IF(A173="","",SUMIFS(分期缴税台账!$K$2:$K$501,分期缴税台账!$T$2:$T$501,A173,分期缴税台账!$Q$2:$Q$501,"有效"))</f>
        <v/>
      </c>
      <c r="AL173" s="15" t="str">
        <f t="shared" si="43"/>
        <v/>
      </c>
      <c r="AM173" s="4" t="str">
        <f t="shared" si="44"/>
        <v/>
      </c>
    </row>
    <row r="174" spans="1:39" x14ac:dyDescent="0.3">
      <c r="A174" s="9"/>
      <c r="B174" s="4" t="str">
        <f t="shared" si="30"/>
        <v/>
      </c>
      <c r="C174" s="9"/>
      <c r="D174" s="9"/>
      <c r="E174" s="9"/>
      <c r="F174" s="9"/>
      <c r="G174" s="13"/>
      <c r="H174" s="4" t="str">
        <f t="shared" si="31"/>
        <v/>
      </c>
      <c r="I174" s="9"/>
      <c r="J174" s="14"/>
      <c r="K174" s="15" t="str">
        <f>IF(OR(E174="",F174="",G174=""),"",IF(E174&lt;&gt;计划参数!$C$2,"",IF(F174="股票期权",IFERROR(LOOKUP(G174,计划参数!$D$12:$D$15,计划参数!$C$12:$C$15),""),IF(F174="限制性股票",计划参数!$C$10,""))))</f>
        <v/>
      </c>
      <c r="L174" s="15" t="str">
        <f>IF(AND(E174=计划参数!$C$2,F174="限制性股票",G174&gt;=计划参数!$D$9),计划参数!$C$9,"")</f>
        <v/>
      </c>
      <c r="M174" s="9"/>
      <c r="N174" s="14"/>
      <c r="O174" s="14"/>
      <c r="P174" s="13"/>
      <c r="Q174" s="9"/>
      <c r="R174" s="13"/>
      <c r="S174" s="15" t="str">
        <f t="shared" si="32"/>
        <v/>
      </c>
      <c r="T174" s="15" t="str">
        <f t="shared" si="33"/>
        <v/>
      </c>
      <c r="U174" s="15" t="str">
        <f t="shared" si="34"/>
        <v/>
      </c>
      <c r="V174" s="15" t="str">
        <f t="shared" si="35"/>
        <v/>
      </c>
      <c r="W174" s="16" t="str">
        <f>IF(V174="","",VLOOKUP(V174,税率及规则!$A$2:$C$8,2,TRUE))</f>
        <v/>
      </c>
      <c r="X174" s="15" t="str">
        <f>IF(V174="","",VLOOKUP(V174,税率及规则!$A$2:$C$8,3,TRUE))</f>
        <v/>
      </c>
      <c r="Y174" s="15" t="str">
        <f t="shared" si="36"/>
        <v/>
      </c>
      <c r="Z174" s="15" t="str">
        <f>IF(U174="","",MAX(0,U174*VLOOKUP(U174,税率及规则!$A$2:$C$8,2,TRUE)-VLOOKUP(U174,税率及规则!$A$2:$C$8,3,TRUE)))</f>
        <v/>
      </c>
      <c r="AA174" s="15" t="str">
        <f t="shared" si="37"/>
        <v/>
      </c>
      <c r="AB174" s="17" t="str">
        <f t="shared" si="38"/>
        <v/>
      </c>
      <c r="AC174" s="17" t="str">
        <f t="shared" si="39"/>
        <v/>
      </c>
      <c r="AD174" s="4" t="str">
        <f>IF(A174="","",IF(COUNTIF($A$2:$A$501,A174)&gt;1,"异常：事件编号重复",IF(OR(C174="",D174="",E174="",F174="",G174=""),"异常：必填项缺失",IF(AND(F174="其他股权激励",O174=""),"异常：其他股权激励所得缺失",IF(AND(F174&lt;&gt;"其他股权激励",OR(I174="",J174="")),"异常：数量或市场价缺失",IF(AND(F174&lt;&gt;"其他股权激励",OR(I174&lt;=0,J174&lt;0)),"异常：数量或价格无效",IF(AND(F174="限制性股票",OR(M174&lt;=0,N174&lt;0,I174&gt;M174)),"异常：个人获授或出资数据无效",IF(AND(IFERROR(INDEX(计划参数!$J$2:$J$501,MATCH(C174,计划参数!$I$2:$I$501,0)),"")&lt;&gt;"",D174&lt;&gt;IFERROR(INDEX(计划参数!$J$2:$J$501,MATCH(C174,计划参数!$I$2:$I$501,0)),"")),"异常：姓名与员工主数据不一致",IF(S174&lt;0,"异常：原始所得为负，已按0计税",IF(OR(AND(F174="股票期权",K174=""),AND(F174="限制性股票",OR(K174="",L174=""))),"异常：计划参数缺失",IF(COUNTIF(计划参数!$I$2:$I$501,C174)=0,"提示：员工编号未在主数据",IF(Q174&lt;&gt;"已备案","提示：未确认备案","正常"))))))))))))</f>
        <v/>
      </c>
      <c r="AE174" s="9"/>
      <c r="AF174" s="4" t="str">
        <f>IF(C174="","",IF(COUNTIF($C$2:C174,C174)=1,MAX($AF$1:AF173)+1,""))</f>
        <v/>
      </c>
      <c r="AG174" s="4" t="str">
        <f>IF(C174="","",COUNTIF($C$2:C174,C174))</f>
        <v/>
      </c>
      <c r="AH174" s="4" t="str">
        <f t="shared" si="40"/>
        <v/>
      </c>
      <c r="AI174" s="4" t="str">
        <f t="shared" si="41"/>
        <v/>
      </c>
      <c r="AJ174" s="4" t="str">
        <f t="shared" si="42"/>
        <v/>
      </c>
      <c r="AK174" s="15" t="str">
        <f>IF(A174="","",SUMIFS(分期缴税台账!$K$2:$K$501,分期缴税台账!$T$2:$T$501,A174,分期缴税台账!$Q$2:$Q$501,"有效"))</f>
        <v/>
      </c>
      <c r="AL174" s="15" t="str">
        <f t="shared" si="43"/>
        <v/>
      </c>
      <c r="AM174" s="4" t="str">
        <f t="shared" si="44"/>
        <v/>
      </c>
    </row>
    <row r="175" spans="1:39" x14ac:dyDescent="0.3">
      <c r="A175" s="9"/>
      <c r="B175" s="4" t="str">
        <f t="shared" si="30"/>
        <v/>
      </c>
      <c r="C175" s="9"/>
      <c r="D175" s="9"/>
      <c r="E175" s="9"/>
      <c r="F175" s="9"/>
      <c r="G175" s="13"/>
      <c r="H175" s="4" t="str">
        <f t="shared" si="31"/>
        <v/>
      </c>
      <c r="I175" s="9"/>
      <c r="J175" s="14"/>
      <c r="K175" s="15" t="str">
        <f>IF(OR(E175="",F175="",G175=""),"",IF(E175&lt;&gt;计划参数!$C$2,"",IF(F175="股票期权",IFERROR(LOOKUP(G175,计划参数!$D$12:$D$15,计划参数!$C$12:$C$15),""),IF(F175="限制性股票",计划参数!$C$10,""))))</f>
        <v/>
      </c>
      <c r="L175" s="15" t="str">
        <f>IF(AND(E175=计划参数!$C$2,F175="限制性股票",G175&gt;=计划参数!$D$9),计划参数!$C$9,"")</f>
        <v/>
      </c>
      <c r="M175" s="9"/>
      <c r="N175" s="14"/>
      <c r="O175" s="14"/>
      <c r="P175" s="13"/>
      <c r="Q175" s="9"/>
      <c r="R175" s="13"/>
      <c r="S175" s="15" t="str">
        <f t="shared" si="32"/>
        <v/>
      </c>
      <c r="T175" s="15" t="str">
        <f t="shared" si="33"/>
        <v/>
      </c>
      <c r="U175" s="15" t="str">
        <f t="shared" si="34"/>
        <v/>
      </c>
      <c r="V175" s="15" t="str">
        <f t="shared" si="35"/>
        <v/>
      </c>
      <c r="W175" s="16" t="str">
        <f>IF(V175="","",VLOOKUP(V175,税率及规则!$A$2:$C$8,2,TRUE))</f>
        <v/>
      </c>
      <c r="X175" s="15" t="str">
        <f>IF(V175="","",VLOOKUP(V175,税率及规则!$A$2:$C$8,3,TRUE))</f>
        <v/>
      </c>
      <c r="Y175" s="15" t="str">
        <f t="shared" si="36"/>
        <v/>
      </c>
      <c r="Z175" s="15" t="str">
        <f>IF(U175="","",MAX(0,U175*VLOOKUP(U175,税率及规则!$A$2:$C$8,2,TRUE)-VLOOKUP(U175,税率及规则!$A$2:$C$8,3,TRUE)))</f>
        <v/>
      </c>
      <c r="AA175" s="15" t="str">
        <f t="shared" si="37"/>
        <v/>
      </c>
      <c r="AB175" s="17" t="str">
        <f t="shared" si="38"/>
        <v/>
      </c>
      <c r="AC175" s="17" t="str">
        <f t="shared" si="39"/>
        <v/>
      </c>
      <c r="AD175" s="4" t="str">
        <f>IF(A175="","",IF(COUNTIF($A$2:$A$501,A175)&gt;1,"异常：事件编号重复",IF(OR(C175="",D175="",E175="",F175="",G175=""),"异常：必填项缺失",IF(AND(F175="其他股权激励",O175=""),"异常：其他股权激励所得缺失",IF(AND(F175&lt;&gt;"其他股权激励",OR(I175="",J175="")),"异常：数量或市场价缺失",IF(AND(F175&lt;&gt;"其他股权激励",OR(I175&lt;=0,J175&lt;0)),"异常：数量或价格无效",IF(AND(F175="限制性股票",OR(M175&lt;=0,N175&lt;0,I175&gt;M175)),"异常：个人获授或出资数据无效",IF(AND(IFERROR(INDEX(计划参数!$J$2:$J$501,MATCH(C175,计划参数!$I$2:$I$501,0)),"")&lt;&gt;"",D175&lt;&gt;IFERROR(INDEX(计划参数!$J$2:$J$501,MATCH(C175,计划参数!$I$2:$I$501,0)),"")),"异常：姓名与员工主数据不一致",IF(S175&lt;0,"异常：原始所得为负，已按0计税",IF(OR(AND(F175="股票期权",K175=""),AND(F175="限制性股票",OR(K175="",L175=""))),"异常：计划参数缺失",IF(COUNTIF(计划参数!$I$2:$I$501,C175)=0,"提示：员工编号未在主数据",IF(Q175&lt;&gt;"已备案","提示：未确认备案","正常"))))))))))))</f>
        <v/>
      </c>
      <c r="AE175" s="9"/>
      <c r="AF175" s="4" t="str">
        <f>IF(C175="","",IF(COUNTIF($C$2:C175,C175)=1,MAX($AF$1:AF174)+1,""))</f>
        <v/>
      </c>
      <c r="AG175" s="4" t="str">
        <f>IF(C175="","",COUNTIF($C$2:C175,C175))</f>
        <v/>
      </c>
      <c r="AH175" s="4" t="str">
        <f t="shared" si="40"/>
        <v/>
      </c>
      <c r="AI175" s="4" t="str">
        <f t="shared" si="41"/>
        <v/>
      </c>
      <c r="AJ175" s="4" t="str">
        <f t="shared" si="42"/>
        <v/>
      </c>
      <c r="AK175" s="15" t="str">
        <f>IF(A175="","",SUMIFS(分期缴税台账!$K$2:$K$501,分期缴税台账!$T$2:$T$501,A175,分期缴税台账!$Q$2:$Q$501,"有效"))</f>
        <v/>
      </c>
      <c r="AL175" s="15" t="str">
        <f t="shared" si="43"/>
        <v/>
      </c>
      <c r="AM175" s="4" t="str">
        <f t="shared" si="44"/>
        <v/>
      </c>
    </row>
    <row r="176" spans="1:39" x14ac:dyDescent="0.3">
      <c r="A176" s="9"/>
      <c r="B176" s="4" t="str">
        <f t="shared" si="30"/>
        <v/>
      </c>
      <c r="C176" s="9"/>
      <c r="D176" s="9"/>
      <c r="E176" s="9"/>
      <c r="F176" s="9"/>
      <c r="G176" s="13"/>
      <c r="H176" s="4" t="str">
        <f t="shared" si="31"/>
        <v/>
      </c>
      <c r="I176" s="9"/>
      <c r="J176" s="14"/>
      <c r="K176" s="15" t="str">
        <f>IF(OR(E176="",F176="",G176=""),"",IF(E176&lt;&gt;计划参数!$C$2,"",IF(F176="股票期权",IFERROR(LOOKUP(G176,计划参数!$D$12:$D$15,计划参数!$C$12:$C$15),""),IF(F176="限制性股票",计划参数!$C$10,""))))</f>
        <v/>
      </c>
      <c r="L176" s="15" t="str">
        <f>IF(AND(E176=计划参数!$C$2,F176="限制性股票",G176&gt;=计划参数!$D$9),计划参数!$C$9,"")</f>
        <v/>
      </c>
      <c r="M176" s="9"/>
      <c r="N176" s="14"/>
      <c r="O176" s="14"/>
      <c r="P176" s="13"/>
      <c r="Q176" s="9"/>
      <c r="R176" s="13"/>
      <c r="S176" s="15" t="str">
        <f t="shared" si="32"/>
        <v/>
      </c>
      <c r="T176" s="15" t="str">
        <f t="shared" si="33"/>
        <v/>
      </c>
      <c r="U176" s="15" t="str">
        <f t="shared" si="34"/>
        <v/>
      </c>
      <c r="V176" s="15" t="str">
        <f t="shared" si="35"/>
        <v/>
      </c>
      <c r="W176" s="16" t="str">
        <f>IF(V176="","",VLOOKUP(V176,税率及规则!$A$2:$C$8,2,TRUE))</f>
        <v/>
      </c>
      <c r="X176" s="15" t="str">
        <f>IF(V176="","",VLOOKUP(V176,税率及规则!$A$2:$C$8,3,TRUE))</f>
        <v/>
      </c>
      <c r="Y176" s="15" t="str">
        <f t="shared" si="36"/>
        <v/>
      </c>
      <c r="Z176" s="15" t="str">
        <f>IF(U176="","",MAX(0,U176*VLOOKUP(U176,税率及规则!$A$2:$C$8,2,TRUE)-VLOOKUP(U176,税率及规则!$A$2:$C$8,3,TRUE)))</f>
        <v/>
      </c>
      <c r="AA176" s="15" t="str">
        <f t="shared" si="37"/>
        <v/>
      </c>
      <c r="AB176" s="17" t="str">
        <f t="shared" si="38"/>
        <v/>
      </c>
      <c r="AC176" s="17" t="str">
        <f t="shared" si="39"/>
        <v/>
      </c>
      <c r="AD176" s="4" t="str">
        <f>IF(A176="","",IF(COUNTIF($A$2:$A$501,A176)&gt;1,"异常：事件编号重复",IF(OR(C176="",D176="",E176="",F176="",G176=""),"异常：必填项缺失",IF(AND(F176="其他股权激励",O176=""),"异常：其他股权激励所得缺失",IF(AND(F176&lt;&gt;"其他股权激励",OR(I176="",J176="")),"异常：数量或市场价缺失",IF(AND(F176&lt;&gt;"其他股权激励",OR(I176&lt;=0,J176&lt;0)),"异常：数量或价格无效",IF(AND(F176="限制性股票",OR(M176&lt;=0,N176&lt;0,I176&gt;M176)),"异常：个人获授或出资数据无效",IF(AND(IFERROR(INDEX(计划参数!$J$2:$J$501,MATCH(C176,计划参数!$I$2:$I$501,0)),"")&lt;&gt;"",D176&lt;&gt;IFERROR(INDEX(计划参数!$J$2:$J$501,MATCH(C176,计划参数!$I$2:$I$501,0)),"")),"异常：姓名与员工主数据不一致",IF(S176&lt;0,"异常：原始所得为负，已按0计税",IF(OR(AND(F176="股票期权",K176=""),AND(F176="限制性股票",OR(K176="",L176=""))),"异常：计划参数缺失",IF(COUNTIF(计划参数!$I$2:$I$501,C176)=0,"提示：员工编号未在主数据",IF(Q176&lt;&gt;"已备案","提示：未确认备案","正常"))))))))))))</f>
        <v/>
      </c>
      <c r="AE176" s="9"/>
      <c r="AF176" s="4" t="str">
        <f>IF(C176="","",IF(COUNTIF($C$2:C176,C176)=1,MAX($AF$1:AF175)+1,""))</f>
        <v/>
      </c>
      <c r="AG176" s="4" t="str">
        <f>IF(C176="","",COUNTIF($C$2:C176,C176))</f>
        <v/>
      </c>
      <c r="AH176" s="4" t="str">
        <f t="shared" si="40"/>
        <v/>
      </c>
      <c r="AI176" s="4" t="str">
        <f t="shared" si="41"/>
        <v/>
      </c>
      <c r="AJ176" s="4" t="str">
        <f t="shared" si="42"/>
        <v/>
      </c>
      <c r="AK176" s="15" t="str">
        <f>IF(A176="","",SUMIFS(分期缴税台账!$K$2:$K$501,分期缴税台账!$T$2:$T$501,A176,分期缴税台账!$Q$2:$Q$501,"有效"))</f>
        <v/>
      </c>
      <c r="AL176" s="15" t="str">
        <f t="shared" si="43"/>
        <v/>
      </c>
      <c r="AM176" s="4" t="str">
        <f t="shared" si="44"/>
        <v/>
      </c>
    </row>
    <row r="177" spans="1:39" x14ac:dyDescent="0.3">
      <c r="A177" s="9"/>
      <c r="B177" s="4" t="str">
        <f t="shared" si="30"/>
        <v/>
      </c>
      <c r="C177" s="9"/>
      <c r="D177" s="9"/>
      <c r="E177" s="9"/>
      <c r="F177" s="9"/>
      <c r="G177" s="13"/>
      <c r="H177" s="4" t="str">
        <f t="shared" si="31"/>
        <v/>
      </c>
      <c r="I177" s="9"/>
      <c r="J177" s="14"/>
      <c r="K177" s="15" t="str">
        <f>IF(OR(E177="",F177="",G177=""),"",IF(E177&lt;&gt;计划参数!$C$2,"",IF(F177="股票期权",IFERROR(LOOKUP(G177,计划参数!$D$12:$D$15,计划参数!$C$12:$C$15),""),IF(F177="限制性股票",计划参数!$C$10,""))))</f>
        <v/>
      </c>
      <c r="L177" s="15" t="str">
        <f>IF(AND(E177=计划参数!$C$2,F177="限制性股票",G177&gt;=计划参数!$D$9),计划参数!$C$9,"")</f>
        <v/>
      </c>
      <c r="M177" s="9"/>
      <c r="N177" s="14"/>
      <c r="O177" s="14"/>
      <c r="P177" s="13"/>
      <c r="Q177" s="9"/>
      <c r="R177" s="13"/>
      <c r="S177" s="15" t="str">
        <f t="shared" si="32"/>
        <v/>
      </c>
      <c r="T177" s="15" t="str">
        <f t="shared" si="33"/>
        <v/>
      </c>
      <c r="U177" s="15" t="str">
        <f t="shared" si="34"/>
        <v/>
      </c>
      <c r="V177" s="15" t="str">
        <f t="shared" si="35"/>
        <v/>
      </c>
      <c r="W177" s="16" t="str">
        <f>IF(V177="","",VLOOKUP(V177,税率及规则!$A$2:$C$8,2,TRUE))</f>
        <v/>
      </c>
      <c r="X177" s="15" t="str">
        <f>IF(V177="","",VLOOKUP(V177,税率及规则!$A$2:$C$8,3,TRUE))</f>
        <v/>
      </c>
      <c r="Y177" s="15" t="str">
        <f t="shared" si="36"/>
        <v/>
      </c>
      <c r="Z177" s="15" t="str">
        <f>IF(U177="","",MAX(0,U177*VLOOKUP(U177,税率及规则!$A$2:$C$8,2,TRUE)-VLOOKUP(U177,税率及规则!$A$2:$C$8,3,TRUE)))</f>
        <v/>
      </c>
      <c r="AA177" s="15" t="str">
        <f t="shared" si="37"/>
        <v/>
      </c>
      <c r="AB177" s="17" t="str">
        <f t="shared" si="38"/>
        <v/>
      </c>
      <c r="AC177" s="17" t="str">
        <f t="shared" si="39"/>
        <v/>
      </c>
      <c r="AD177" s="4" t="str">
        <f>IF(A177="","",IF(COUNTIF($A$2:$A$501,A177)&gt;1,"异常：事件编号重复",IF(OR(C177="",D177="",E177="",F177="",G177=""),"异常：必填项缺失",IF(AND(F177="其他股权激励",O177=""),"异常：其他股权激励所得缺失",IF(AND(F177&lt;&gt;"其他股权激励",OR(I177="",J177="")),"异常：数量或市场价缺失",IF(AND(F177&lt;&gt;"其他股权激励",OR(I177&lt;=0,J177&lt;0)),"异常：数量或价格无效",IF(AND(F177="限制性股票",OR(M177&lt;=0,N177&lt;0,I177&gt;M177)),"异常：个人获授或出资数据无效",IF(AND(IFERROR(INDEX(计划参数!$J$2:$J$501,MATCH(C177,计划参数!$I$2:$I$501,0)),"")&lt;&gt;"",D177&lt;&gt;IFERROR(INDEX(计划参数!$J$2:$J$501,MATCH(C177,计划参数!$I$2:$I$501,0)),"")),"异常：姓名与员工主数据不一致",IF(S177&lt;0,"异常：原始所得为负，已按0计税",IF(OR(AND(F177="股票期权",K177=""),AND(F177="限制性股票",OR(K177="",L177=""))),"异常：计划参数缺失",IF(COUNTIF(计划参数!$I$2:$I$501,C177)=0,"提示：员工编号未在主数据",IF(Q177&lt;&gt;"已备案","提示：未确认备案","正常"))))))))))))</f>
        <v/>
      </c>
      <c r="AE177" s="9"/>
      <c r="AF177" s="4" t="str">
        <f>IF(C177="","",IF(COUNTIF($C$2:C177,C177)=1,MAX($AF$1:AF176)+1,""))</f>
        <v/>
      </c>
      <c r="AG177" s="4" t="str">
        <f>IF(C177="","",COUNTIF($C$2:C177,C177))</f>
        <v/>
      </c>
      <c r="AH177" s="4" t="str">
        <f t="shared" si="40"/>
        <v/>
      </c>
      <c r="AI177" s="4" t="str">
        <f t="shared" si="41"/>
        <v/>
      </c>
      <c r="AJ177" s="4" t="str">
        <f t="shared" si="42"/>
        <v/>
      </c>
      <c r="AK177" s="15" t="str">
        <f>IF(A177="","",SUMIFS(分期缴税台账!$K$2:$K$501,分期缴税台账!$T$2:$T$501,A177,分期缴税台账!$Q$2:$Q$501,"有效"))</f>
        <v/>
      </c>
      <c r="AL177" s="15" t="str">
        <f t="shared" si="43"/>
        <v/>
      </c>
      <c r="AM177" s="4" t="str">
        <f t="shared" si="44"/>
        <v/>
      </c>
    </row>
    <row r="178" spans="1:39" x14ac:dyDescent="0.3">
      <c r="A178" s="9"/>
      <c r="B178" s="4" t="str">
        <f t="shared" si="30"/>
        <v/>
      </c>
      <c r="C178" s="9"/>
      <c r="D178" s="9"/>
      <c r="E178" s="9"/>
      <c r="F178" s="9"/>
      <c r="G178" s="13"/>
      <c r="H178" s="4" t="str">
        <f t="shared" si="31"/>
        <v/>
      </c>
      <c r="I178" s="9"/>
      <c r="J178" s="14"/>
      <c r="K178" s="15" t="str">
        <f>IF(OR(E178="",F178="",G178=""),"",IF(E178&lt;&gt;计划参数!$C$2,"",IF(F178="股票期权",IFERROR(LOOKUP(G178,计划参数!$D$12:$D$15,计划参数!$C$12:$C$15),""),IF(F178="限制性股票",计划参数!$C$10,""))))</f>
        <v/>
      </c>
      <c r="L178" s="15" t="str">
        <f>IF(AND(E178=计划参数!$C$2,F178="限制性股票",G178&gt;=计划参数!$D$9),计划参数!$C$9,"")</f>
        <v/>
      </c>
      <c r="M178" s="9"/>
      <c r="N178" s="14"/>
      <c r="O178" s="14"/>
      <c r="P178" s="13"/>
      <c r="Q178" s="9"/>
      <c r="R178" s="13"/>
      <c r="S178" s="15" t="str">
        <f t="shared" si="32"/>
        <v/>
      </c>
      <c r="T178" s="15" t="str">
        <f t="shared" si="33"/>
        <v/>
      </c>
      <c r="U178" s="15" t="str">
        <f t="shared" si="34"/>
        <v/>
      </c>
      <c r="V178" s="15" t="str">
        <f t="shared" si="35"/>
        <v/>
      </c>
      <c r="W178" s="16" t="str">
        <f>IF(V178="","",VLOOKUP(V178,税率及规则!$A$2:$C$8,2,TRUE))</f>
        <v/>
      </c>
      <c r="X178" s="15" t="str">
        <f>IF(V178="","",VLOOKUP(V178,税率及规则!$A$2:$C$8,3,TRUE))</f>
        <v/>
      </c>
      <c r="Y178" s="15" t="str">
        <f t="shared" si="36"/>
        <v/>
      </c>
      <c r="Z178" s="15" t="str">
        <f>IF(U178="","",MAX(0,U178*VLOOKUP(U178,税率及规则!$A$2:$C$8,2,TRUE)-VLOOKUP(U178,税率及规则!$A$2:$C$8,3,TRUE)))</f>
        <v/>
      </c>
      <c r="AA178" s="15" t="str">
        <f t="shared" si="37"/>
        <v/>
      </c>
      <c r="AB178" s="17" t="str">
        <f t="shared" si="38"/>
        <v/>
      </c>
      <c r="AC178" s="17" t="str">
        <f t="shared" si="39"/>
        <v/>
      </c>
      <c r="AD178" s="4" t="str">
        <f>IF(A178="","",IF(COUNTIF($A$2:$A$501,A178)&gt;1,"异常：事件编号重复",IF(OR(C178="",D178="",E178="",F178="",G178=""),"异常：必填项缺失",IF(AND(F178="其他股权激励",O178=""),"异常：其他股权激励所得缺失",IF(AND(F178&lt;&gt;"其他股权激励",OR(I178="",J178="")),"异常：数量或市场价缺失",IF(AND(F178&lt;&gt;"其他股权激励",OR(I178&lt;=0,J178&lt;0)),"异常：数量或价格无效",IF(AND(F178="限制性股票",OR(M178&lt;=0,N178&lt;0,I178&gt;M178)),"异常：个人获授或出资数据无效",IF(AND(IFERROR(INDEX(计划参数!$J$2:$J$501,MATCH(C178,计划参数!$I$2:$I$501,0)),"")&lt;&gt;"",D178&lt;&gt;IFERROR(INDEX(计划参数!$J$2:$J$501,MATCH(C178,计划参数!$I$2:$I$501,0)),"")),"异常：姓名与员工主数据不一致",IF(S178&lt;0,"异常：原始所得为负，已按0计税",IF(OR(AND(F178="股票期权",K178=""),AND(F178="限制性股票",OR(K178="",L178=""))),"异常：计划参数缺失",IF(COUNTIF(计划参数!$I$2:$I$501,C178)=0,"提示：员工编号未在主数据",IF(Q178&lt;&gt;"已备案","提示：未确认备案","正常"))))))))))))</f>
        <v/>
      </c>
      <c r="AE178" s="9"/>
      <c r="AF178" s="4" t="str">
        <f>IF(C178="","",IF(COUNTIF($C$2:C178,C178)=1,MAX($AF$1:AF177)+1,""))</f>
        <v/>
      </c>
      <c r="AG178" s="4" t="str">
        <f>IF(C178="","",COUNTIF($C$2:C178,C178))</f>
        <v/>
      </c>
      <c r="AH178" s="4" t="str">
        <f t="shared" si="40"/>
        <v/>
      </c>
      <c r="AI178" s="4" t="str">
        <f t="shared" si="41"/>
        <v/>
      </c>
      <c r="AJ178" s="4" t="str">
        <f t="shared" si="42"/>
        <v/>
      </c>
      <c r="AK178" s="15" t="str">
        <f>IF(A178="","",SUMIFS(分期缴税台账!$K$2:$K$501,分期缴税台账!$T$2:$T$501,A178,分期缴税台账!$Q$2:$Q$501,"有效"))</f>
        <v/>
      </c>
      <c r="AL178" s="15" t="str">
        <f t="shared" si="43"/>
        <v/>
      </c>
      <c r="AM178" s="4" t="str">
        <f t="shared" si="44"/>
        <v/>
      </c>
    </row>
    <row r="179" spans="1:39" x14ac:dyDescent="0.3">
      <c r="A179" s="9"/>
      <c r="B179" s="4" t="str">
        <f t="shared" si="30"/>
        <v/>
      </c>
      <c r="C179" s="9"/>
      <c r="D179" s="9"/>
      <c r="E179" s="9"/>
      <c r="F179" s="9"/>
      <c r="G179" s="13"/>
      <c r="H179" s="4" t="str">
        <f t="shared" si="31"/>
        <v/>
      </c>
      <c r="I179" s="9"/>
      <c r="J179" s="14"/>
      <c r="K179" s="15" t="str">
        <f>IF(OR(E179="",F179="",G179=""),"",IF(E179&lt;&gt;计划参数!$C$2,"",IF(F179="股票期权",IFERROR(LOOKUP(G179,计划参数!$D$12:$D$15,计划参数!$C$12:$C$15),""),IF(F179="限制性股票",计划参数!$C$10,""))))</f>
        <v/>
      </c>
      <c r="L179" s="15" t="str">
        <f>IF(AND(E179=计划参数!$C$2,F179="限制性股票",G179&gt;=计划参数!$D$9),计划参数!$C$9,"")</f>
        <v/>
      </c>
      <c r="M179" s="9"/>
      <c r="N179" s="14"/>
      <c r="O179" s="14"/>
      <c r="P179" s="13"/>
      <c r="Q179" s="9"/>
      <c r="R179" s="13"/>
      <c r="S179" s="15" t="str">
        <f t="shared" si="32"/>
        <v/>
      </c>
      <c r="T179" s="15" t="str">
        <f t="shared" si="33"/>
        <v/>
      </c>
      <c r="U179" s="15" t="str">
        <f t="shared" si="34"/>
        <v/>
      </c>
      <c r="V179" s="15" t="str">
        <f t="shared" si="35"/>
        <v/>
      </c>
      <c r="W179" s="16" t="str">
        <f>IF(V179="","",VLOOKUP(V179,税率及规则!$A$2:$C$8,2,TRUE))</f>
        <v/>
      </c>
      <c r="X179" s="15" t="str">
        <f>IF(V179="","",VLOOKUP(V179,税率及规则!$A$2:$C$8,3,TRUE))</f>
        <v/>
      </c>
      <c r="Y179" s="15" t="str">
        <f t="shared" si="36"/>
        <v/>
      </c>
      <c r="Z179" s="15" t="str">
        <f>IF(U179="","",MAX(0,U179*VLOOKUP(U179,税率及规则!$A$2:$C$8,2,TRUE)-VLOOKUP(U179,税率及规则!$A$2:$C$8,3,TRUE)))</f>
        <v/>
      </c>
      <c r="AA179" s="15" t="str">
        <f t="shared" si="37"/>
        <v/>
      </c>
      <c r="AB179" s="17" t="str">
        <f t="shared" si="38"/>
        <v/>
      </c>
      <c r="AC179" s="17" t="str">
        <f t="shared" si="39"/>
        <v/>
      </c>
      <c r="AD179" s="4" t="str">
        <f>IF(A179="","",IF(COUNTIF($A$2:$A$501,A179)&gt;1,"异常：事件编号重复",IF(OR(C179="",D179="",E179="",F179="",G179=""),"异常：必填项缺失",IF(AND(F179="其他股权激励",O179=""),"异常：其他股权激励所得缺失",IF(AND(F179&lt;&gt;"其他股权激励",OR(I179="",J179="")),"异常：数量或市场价缺失",IF(AND(F179&lt;&gt;"其他股权激励",OR(I179&lt;=0,J179&lt;0)),"异常：数量或价格无效",IF(AND(F179="限制性股票",OR(M179&lt;=0,N179&lt;0,I179&gt;M179)),"异常：个人获授或出资数据无效",IF(AND(IFERROR(INDEX(计划参数!$J$2:$J$501,MATCH(C179,计划参数!$I$2:$I$501,0)),"")&lt;&gt;"",D179&lt;&gt;IFERROR(INDEX(计划参数!$J$2:$J$501,MATCH(C179,计划参数!$I$2:$I$501,0)),"")),"异常：姓名与员工主数据不一致",IF(S179&lt;0,"异常：原始所得为负，已按0计税",IF(OR(AND(F179="股票期权",K179=""),AND(F179="限制性股票",OR(K179="",L179=""))),"异常：计划参数缺失",IF(COUNTIF(计划参数!$I$2:$I$501,C179)=0,"提示：员工编号未在主数据",IF(Q179&lt;&gt;"已备案","提示：未确认备案","正常"))))))))))))</f>
        <v/>
      </c>
      <c r="AE179" s="9"/>
      <c r="AF179" s="4" t="str">
        <f>IF(C179="","",IF(COUNTIF($C$2:C179,C179)=1,MAX($AF$1:AF178)+1,""))</f>
        <v/>
      </c>
      <c r="AG179" s="4" t="str">
        <f>IF(C179="","",COUNTIF($C$2:C179,C179))</f>
        <v/>
      </c>
      <c r="AH179" s="4" t="str">
        <f t="shared" si="40"/>
        <v/>
      </c>
      <c r="AI179" s="4" t="str">
        <f t="shared" si="41"/>
        <v/>
      </c>
      <c r="AJ179" s="4" t="str">
        <f t="shared" si="42"/>
        <v/>
      </c>
      <c r="AK179" s="15" t="str">
        <f>IF(A179="","",SUMIFS(分期缴税台账!$K$2:$K$501,分期缴税台账!$T$2:$T$501,A179,分期缴税台账!$Q$2:$Q$501,"有效"))</f>
        <v/>
      </c>
      <c r="AL179" s="15" t="str">
        <f t="shared" si="43"/>
        <v/>
      </c>
      <c r="AM179" s="4" t="str">
        <f t="shared" si="44"/>
        <v/>
      </c>
    </row>
    <row r="180" spans="1:39" x14ac:dyDescent="0.3">
      <c r="A180" s="9"/>
      <c r="B180" s="4" t="str">
        <f t="shared" si="30"/>
        <v/>
      </c>
      <c r="C180" s="9"/>
      <c r="D180" s="9"/>
      <c r="E180" s="9"/>
      <c r="F180" s="9"/>
      <c r="G180" s="13"/>
      <c r="H180" s="4" t="str">
        <f t="shared" si="31"/>
        <v/>
      </c>
      <c r="I180" s="9"/>
      <c r="J180" s="14"/>
      <c r="K180" s="15" t="str">
        <f>IF(OR(E180="",F180="",G180=""),"",IF(E180&lt;&gt;计划参数!$C$2,"",IF(F180="股票期权",IFERROR(LOOKUP(G180,计划参数!$D$12:$D$15,计划参数!$C$12:$C$15),""),IF(F180="限制性股票",计划参数!$C$10,""))))</f>
        <v/>
      </c>
      <c r="L180" s="15" t="str">
        <f>IF(AND(E180=计划参数!$C$2,F180="限制性股票",G180&gt;=计划参数!$D$9),计划参数!$C$9,"")</f>
        <v/>
      </c>
      <c r="M180" s="9"/>
      <c r="N180" s="14"/>
      <c r="O180" s="14"/>
      <c r="P180" s="13"/>
      <c r="Q180" s="9"/>
      <c r="R180" s="13"/>
      <c r="S180" s="15" t="str">
        <f t="shared" si="32"/>
        <v/>
      </c>
      <c r="T180" s="15" t="str">
        <f t="shared" si="33"/>
        <v/>
      </c>
      <c r="U180" s="15" t="str">
        <f t="shared" si="34"/>
        <v/>
      </c>
      <c r="V180" s="15" t="str">
        <f t="shared" si="35"/>
        <v/>
      </c>
      <c r="W180" s="16" t="str">
        <f>IF(V180="","",VLOOKUP(V180,税率及规则!$A$2:$C$8,2,TRUE))</f>
        <v/>
      </c>
      <c r="X180" s="15" t="str">
        <f>IF(V180="","",VLOOKUP(V180,税率及规则!$A$2:$C$8,3,TRUE))</f>
        <v/>
      </c>
      <c r="Y180" s="15" t="str">
        <f t="shared" si="36"/>
        <v/>
      </c>
      <c r="Z180" s="15" t="str">
        <f>IF(U180="","",MAX(0,U180*VLOOKUP(U180,税率及规则!$A$2:$C$8,2,TRUE)-VLOOKUP(U180,税率及规则!$A$2:$C$8,3,TRUE)))</f>
        <v/>
      </c>
      <c r="AA180" s="15" t="str">
        <f t="shared" si="37"/>
        <v/>
      </c>
      <c r="AB180" s="17" t="str">
        <f t="shared" si="38"/>
        <v/>
      </c>
      <c r="AC180" s="17" t="str">
        <f t="shared" si="39"/>
        <v/>
      </c>
      <c r="AD180" s="4" t="str">
        <f>IF(A180="","",IF(COUNTIF($A$2:$A$501,A180)&gt;1,"异常：事件编号重复",IF(OR(C180="",D180="",E180="",F180="",G180=""),"异常：必填项缺失",IF(AND(F180="其他股权激励",O180=""),"异常：其他股权激励所得缺失",IF(AND(F180&lt;&gt;"其他股权激励",OR(I180="",J180="")),"异常：数量或市场价缺失",IF(AND(F180&lt;&gt;"其他股权激励",OR(I180&lt;=0,J180&lt;0)),"异常：数量或价格无效",IF(AND(F180="限制性股票",OR(M180&lt;=0,N180&lt;0,I180&gt;M180)),"异常：个人获授或出资数据无效",IF(AND(IFERROR(INDEX(计划参数!$J$2:$J$501,MATCH(C180,计划参数!$I$2:$I$501,0)),"")&lt;&gt;"",D180&lt;&gt;IFERROR(INDEX(计划参数!$J$2:$J$501,MATCH(C180,计划参数!$I$2:$I$501,0)),"")),"异常：姓名与员工主数据不一致",IF(S180&lt;0,"异常：原始所得为负，已按0计税",IF(OR(AND(F180="股票期权",K180=""),AND(F180="限制性股票",OR(K180="",L180=""))),"异常：计划参数缺失",IF(COUNTIF(计划参数!$I$2:$I$501,C180)=0,"提示：员工编号未在主数据",IF(Q180&lt;&gt;"已备案","提示：未确认备案","正常"))))))))))))</f>
        <v/>
      </c>
      <c r="AE180" s="9"/>
      <c r="AF180" s="4" t="str">
        <f>IF(C180="","",IF(COUNTIF($C$2:C180,C180)=1,MAX($AF$1:AF179)+1,""))</f>
        <v/>
      </c>
      <c r="AG180" s="4" t="str">
        <f>IF(C180="","",COUNTIF($C$2:C180,C180))</f>
        <v/>
      </c>
      <c r="AH180" s="4" t="str">
        <f t="shared" si="40"/>
        <v/>
      </c>
      <c r="AI180" s="4" t="str">
        <f t="shared" si="41"/>
        <v/>
      </c>
      <c r="AJ180" s="4" t="str">
        <f t="shared" si="42"/>
        <v/>
      </c>
      <c r="AK180" s="15" t="str">
        <f>IF(A180="","",SUMIFS(分期缴税台账!$K$2:$K$501,分期缴税台账!$T$2:$T$501,A180,分期缴税台账!$Q$2:$Q$501,"有效"))</f>
        <v/>
      </c>
      <c r="AL180" s="15" t="str">
        <f t="shared" si="43"/>
        <v/>
      </c>
      <c r="AM180" s="4" t="str">
        <f t="shared" si="44"/>
        <v/>
      </c>
    </row>
    <row r="181" spans="1:39" x14ac:dyDescent="0.3">
      <c r="A181" s="9"/>
      <c r="B181" s="4" t="str">
        <f t="shared" si="30"/>
        <v/>
      </c>
      <c r="C181" s="9"/>
      <c r="D181" s="9"/>
      <c r="E181" s="9"/>
      <c r="F181" s="9"/>
      <c r="G181" s="13"/>
      <c r="H181" s="4" t="str">
        <f t="shared" si="31"/>
        <v/>
      </c>
      <c r="I181" s="9"/>
      <c r="J181" s="14"/>
      <c r="K181" s="15" t="str">
        <f>IF(OR(E181="",F181="",G181=""),"",IF(E181&lt;&gt;计划参数!$C$2,"",IF(F181="股票期权",IFERROR(LOOKUP(G181,计划参数!$D$12:$D$15,计划参数!$C$12:$C$15),""),IF(F181="限制性股票",计划参数!$C$10,""))))</f>
        <v/>
      </c>
      <c r="L181" s="15" t="str">
        <f>IF(AND(E181=计划参数!$C$2,F181="限制性股票",G181&gt;=计划参数!$D$9),计划参数!$C$9,"")</f>
        <v/>
      </c>
      <c r="M181" s="9"/>
      <c r="N181" s="14"/>
      <c r="O181" s="14"/>
      <c r="P181" s="13"/>
      <c r="Q181" s="9"/>
      <c r="R181" s="13"/>
      <c r="S181" s="15" t="str">
        <f t="shared" si="32"/>
        <v/>
      </c>
      <c r="T181" s="15" t="str">
        <f t="shared" si="33"/>
        <v/>
      </c>
      <c r="U181" s="15" t="str">
        <f t="shared" si="34"/>
        <v/>
      </c>
      <c r="V181" s="15" t="str">
        <f t="shared" si="35"/>
        <v/>
      </c>
      <c r="W181" s="16" t="str">
        <f>IF(V181="","",VLOOKUP(V181,税率及规则!$A$2:$C$8,2,TRUE))</f>
        <v/>
      </c>
      <c r="X181" s="15" t="str">
        <f>IF(V181="","",VLOOKUP(V181,税率及规则!$A$2:$C$8,3,TRUE))</f>
        <v/>
      </c>
      <c r="Y181" s="15" t="str">
        <f t="shared" si="36"/>
        <v/>
      </c>
      <c r="Z181" s="15" t="str">
        <f>IF(U181="","",MAX(0,U181*VLOOKUP(U181,税率及规则!$A$2:$C$8,2,TRUE)-VLOOKUP(U181,税率及规则!$A$2:$C$8,3,TRUE)))</f>
        <v/>
      </c>
      <c r="AA181" s="15" t="str">
        <f t="shared" si="37"/>
        <v/>
      </c>
      <c r="AB181" s="17" t="str">
        <f t="shared" si="38"/>
        <v/>
      </c>
      <c r="AC181" s="17" t="str">
        <f t="shared" si="39"/>
        <v/>
      </c>
      <c r="AD181" s="4" t="str">
        <f>IF(A181="","",IF(COUNTIF($A$2:$A$501,A181)&gt;1,"异常：事件编号重复",IF(OR(C181="",D181="",E181="",F181="",G181=""),"异常：必填项缺失",IF(AND(F181="其他股权激励",O181=""),"异常：其他股权激励所得缺失",IF(AND(F181&lt;&gt;"其他股权激励",OR(I181="",J181="")),"异常：数量或市场价缺失",IF(AND(F181&lt;&gt;"其他股权激励",OR(I181&lt;=0,J181&lt;0)),"异常：数量或价格无效",IF(AND(F181="限制性股票",OR(M181&lt;=0,N181&lt;0,I181&gt;M181)),"异常：个人获授或出资数据无效",IF(AND(IFERROR(INDEX(计划参数!$J$2:$J$501,MATCH(C181,计划参数!$I$2:$I$501,0)),"")&lt;&gt;"",D181&lt;&gt;IFERROR(INDEX(计划参数!$J$2:$J$501,MATCH(C181,计划参数!$I$2:$I$501,0)),"")),"异常：姓名与员工主数据不一致",IF(S181&lt;0,"异常：原始所得为负，已按0计税",IF(OR(AND(F181="股票期权",K181=""),AND(F181="限制性股票",OR(K181="",L181=""))),"异常：计划参数缺失",IF(COUNTIF(计划参数!$I$2:$I$501,C181)=0,"提示：员工编号未在主数据",IF(Q181&lt;&gt;"已备案","提示：未确认备案","正常"))))))))))))</f>
        <v/>
      </c>
      <c r="AE181" s="9"/>
      <c r="AF181" s="4" t="str">
        <f>IF(C181="","",IF(COUNTIF($C$2:C181,C181)=1,MAX($AF$1:AF180)+1,""))</f>
        <v/>
      </c>
      <c r="AG181" s="4" t="str">
        <f>IF(C181="","",COUNTIF($C$2:C181,C181))</f>
        <v/>
      </c>
      <c r="AH181" s="4" t="str">
        <f t="shared" si="40"/>
        <v/>
      </c>
      <c r="AI181" s="4" t="str">
        <f t="shared" si="41"/>
        <v/>
      </c>
      <c r="AJ181" s="4" t="str">
        <f t="shared" si="42"/>
        <v/>
      </c>
      <c r="AK181" s="15" t="str">
        <f>IF(A181="","",SUMIFS(分期缴税台账!$K$2:$K$501,分期缴税台账!$T$2:$T$501,A181,分期缴税台账!$Q$2:$Q$501,"有效"))</f>
        <v/>
      </c>
      <c r="AL181" s="15" t="str">
        <f t="shared" si="43"/>
        <v/>
      </c>
      <c r="AM181" s="4" t="str">
        <f t="shared" si="44"/>
        <v/>
      </c>
    </row>
    <row r="182" spans="1:39" x14ac:dyDescent="0.3">
      <c r="A182" s="9"/>
      <c r="B182" s="4" t="str">
        <f t="shared" si="30"/>
        <v/>
      </c>
      <c r="C182" s="9"/>
      <c r="D182" s="9"/>
      <c r="E182" s="9"/>
      <c r="F182" s="9"/>
      <c r="G182" s="13"/>
      <c r="H182" s="4" t="str">
        <f t="shared" si="31"/>
        <v/>
      </c>
      <c r="I182" s="9"/>
      <c r="J182" s="14"/>
      <c r="K182" s="15" t="str">
        <f>IF(OR(E182="",F182="",G182=""),"",IF(E182&lt;&gt;计划参数!$C$2,"",IF(F182="股票期权",IFERROR(LOOKUP(G182,计划参数!$D$12:$D$15,计划参数!$C$12:$C$15),""),IF(F182="限制性股票",计划参数!$C$10,""))))</f>
        <v/>
      </c>
      <c r="L182" s="15" t="str">
        <f>IF(AND(E182=计划参数!$C$2,F182="限制性股票",G182&gt;=计划参数!$D$9),计划参数!$C$9,"")</f>
        <v/>
      </c>
      <c r="M182" s="9"/>
      <c r="N182" s="14"/>
      <c r="O182" s="14"/>
      <c r="P182" s="13"/>
      <c r="Q182" s="9"/>
      <c r="R182" s="13"/>
      <c r="S182" s="15" t="str">
        <f t="shared" si="32"/>
        <v/>
      </c>
      <c r="T182" s="15" t="str">
        <f t="shared" si="33"/>
        <v/>
      </c>
      <c r="U182" s="15" t="str">
        <f t="shared" si="34"/>
        <v/>
      </c>
      <c r="V182" s="15" t="str">
        <f t="shared" si="35"/>
        <v/>
      </c>
      <c r="W182" s="16" t="str">
        <f>IF(V182="","",VLOOKUP(V182,税率及规则!$A$2:$C$8,2,TRUE))</f>
        <v/>
      </c>
      <c r="X182" s="15" t="str">
        <f>IF(V182="","",VLOOKUP(V182,税率及规则!$A$2:$C$8,3,TRUE))</f>
        <v/>
      </c>
      <c r="Y182" s="15" t="str">
        <f t="shared" si="36"/>
        <v/>
      </c>
      <c r="Z182" s="15" t="str">
        <f>IF(U182="","",MAX(0,U182*VLOOKUP(U182,税率及规则!$A$2:$C$8,2,TRUE)-VLOOKUP(U182,税率及规则!$A$2:$C$8,3,TRUE)))</f>
        <v/>
      </c>
      <c r="AA182" s="15" t="str">
        <f t="shared" si="37"/>
        <v/>
      </c>
      <c r="AB182" s="17" t="str">
        <f t="shared" si="38"/>
        <v/>
      </c>
      <c r="AC182" s="17" t="str">
        <f t="shared" si="39"/>
        <v/>
      </c>
      <c r="AD182" s="4" t="str">
        <f>IF(A182="","",IF(COUNTIF($A$2:$A$501,A182)&gt;1,"异常：事件编号重复",IF(OR(C182="",D182="",E182="",F182="",G182=""),"异常：必填项缺失",IF(AND(F182="其他股权激励",O182=""),"异常：其他股权激励所得缺失",IF(AND(F182&lt;&gt;"其他股权激励",OR(I182="",J182="")),"异常：数量或市场价缺失",IF(AND(F182&lt;&gt;"其他股权激励",OR(I182&lt;=0,J182&lt;0)),"异常：数量或价格无效",IF(AND(F182="限制性股票",OR(M182&lt;=0,N182&lt;0,I182&gt;M182)),"异常：个人获授或出资数据无效",IF(AND(IFERROR(INDEX(计划参数!$J$2:$J$501,MATCH(C182,计划参数!$I$2:$I$501,0)),"")&lt;&gt;"",D182&lt;&gt;IFERROR(INDEX(计划参数!$J$2:$J$501,MATCH(C182,计划参数!$I$2:$I$501,0)),"")),"异常：姓名与员工主数据不一致",IF(S182&lt;0,"异常：原始所得为负，已按0计税",IF(OR(AND(F182="股票期权",K182=""),AND(F182="限制性股票",OR(K182="",L182=""))),"异常：计划参数缺失",IF(COUNTIF(计划参数!$I$2:$I$501,C182)=0,"提示：员工编号未在主数据",IF(Q182&lt;&gt;"已备案","提示：未确认备案","正常"))))))))))))</f>
        <v/>
      </c>
      <c r="AE182" s="9"/>
      <c r="AF182" s="4" t="str">
        <f>IF(C182="","",IF(COUNTIF($C$2:C182,C182)=1,MAX($AF$1:AF181)+1,""))</f>
        <v/>
      </c>
      <c r="AG182" s="4" t="str">
        <f>IF(C182="","",COUNTIF($C$2:C182,C182))</f>
        <v/>
      </c>
      <c r="AH182" s="4" t="str">
        <f t="shared" si="40"/>
        <v/>
      </c>
      <c r="AI182" s="4" t="str">
        <f t="shared" si="41"/>
        <v/>
      </c>
      <c r="AJ182" s="4" t="str">
        <f t="shared" si="42"/>
        <v/>
      </c>
      <c r="AK182" s="15" t="str">
        <f>IF(A182="","",SUMIFS(分期缴税台账!$K$2:$K$501,分期缴税台账!$T$2:$T$501,A182,分期缴税台账!$Q$2:$Q$501,"有效"))</f>
        <v/>
      </c>
      <c r="AL182" s="15" t="str">
        <f t="shared" si="43"/>
        <v/>
      </c>
      <c r="AM182" s="4" t="str">
        <f t="shared" si="44"/>
        <v/>
      </c>
    </row>
    <row r="183" spans="1:39" x14ac:dyDescent="0.3">
      <c r="A183" s="9"/>
      <c r="B183" s="4" t="str">
        <f t="shared" si="30"/>
        <v/>
      </c>
      <c r="C183" s="9"/>
      <c r="D183" s="9"/>
      <c r="E183" s="9"/>
      <c r="F183" s="9"/>
      <c r="G183" s="13"/>
      <c r="H183" s="4" t="str">
        <f t="shared" si="31"/>
        <v/>
      </c>
      <c r="I183" s="9"/>
      <c r="J183" s="14"/>
      <c r="K183" s="15" t="str">
        <f>IF(OR(E183="",F183="",G183=""),"",IF(E183&lt;&gt;计划参数!$C$2,"",IF(F183="股票期权",IFERROR(LOOKUP(G183,计划参数!$D$12:$D$15,计划参数!$C$12:$C$15),""),IF(F183="限制性股票",计划参数!$C$10,""))))</f>
        <v/>
      </c>
      <c r="L183" s="15" t="str">
        <f>IF(AND(E183=计划参数!$C$2,F183="限制性股票",G183&gt;=计划参数!$D$9),计划参数!$C$9,"")</f>
        <v/>
      </c>
      <c r="M183" s="9"/>
      <c r="N183" s="14"/>
      <c r="O183" s="14"/>
      <c r="P183" s="13"/>
      <c r="Q183" s="9"/>
      <c r="R183" s="13"/>
      <c r="S183" s="15" t="str">
        <f t="shared" si="32"/>
        <v/>
      </c>
      <c r="T183" s="15" t="str">
        <f t="shared" si="33"/>
        <v/>
      </c>
      <c r="U183" s="15" t="str">
        <f t="shared" si="34"/>
        <v/>
      </c>
      <c r="V183" s="15" t="str">
        <f t="shared" si="35"/>
        <v/>
      </c>
      <c r="W183" s="16" t="str">
        <f>IF(V183="","",VLOOKUP(V183,税率及规则!$A$2:$C$8,2,TRUE))</f>
        <v/>
      </c>
      <c r="X183" s="15" t="str">
        <f>IF(V183="","",VLOOKUP(V183,税率及规则!$A$2:$C$8,3,TRUE))</f>
        <v/>
      </c>
      <c r="Y183" s="15" t="str">
        <f t="shared" si="36"/>
        <v/>
      </c>
      <c r="Z183" s="15" t="str">
        <f>IF(U183="","",MAX(0,U183*VLOOKUP(U183,税率及规则!$A$2:$C$8,2,TRUE)-VLOOKUP(U183,税率及规则!$A$2:$C$8,3,TRUE)))</f>
        <v/>
      </c>
      <c r="AA183" s="15" t="str">
        <f t="shared" si="37"/>
        <v/>
      </c>
      <c r="AB183" s="17" t="str">
        <f t="shared" si="38"/>
        <v/>
      </c>
      <c r="AC183" s="17" t="str">
        <f t="shared" si="39"/>
        <v/>
      </c>
      <c r="AD183" s="4" t="str">
        <f>IF(A183="","",IF(COUNTIF($A$2:$A$501,A183)&gt;1,"异常：事件编号重复",IF(OR(C183="",D183="",E183="",F183="",G183=""),"异常：必填项缺失",IF(AND(F183="其他股权激励",O183=""),"异常：其他股权激励所得缺失",IF(AND(F183&lt;&gt;"其他股权激励",OR(I183="",J183="")),"异常：数量或市场价缺失",IF(AND(F183&lt;&gt;"其他股权激励",OR(I183&lt;=0,J183&lt;0)),"异常：数量或价格无效",IF(AND(F183="限制性股票",OR(M183&lt;=0,N183&lt;0,I183&gt;M183)),"异常：个人获授或出资数据无效",IF(AND(IFERROR(INDEX(计划参数!$J$2:$J$501,MATCH(C183,计划参数!$I$2:$I$501,0)),"")&lt;&gt;"",D183&lt;&gt;IFERROR(INDEX(计划参数!$J$2:$J$501,MATCH(C183,计划参数!$I$2:$I$501,0)),"")),"异常：姓名与员工主数据不一致",IF(S183&lt;0,"异常：原始所得为负，已按0计税",IF(OR(AND(F183="股票期权",K183=""),AND(F183="限制性股票",OR(K183="",L183=""))),"异常：计划参数缺失",IF(COUNTIF(计划参数!$I$2:$I$501,C183)=0,"提示：员工编号未在主数据",IF(Q183&lt;&gt;"已备案","提示：未确认备案","正常"))))))))))))</f>
        <v/>
      </c>
      <c r="AE183" s="9"/>
      <c r="AF183" s="4" t="str">
        <f>IF(C183="","",IF(COUNTIF($C$2:C183,C183)=1,MAX($AF$1:AF182)+1,""))</f>
        <v/>
      </c>
      <c r="AG183" s="4" t="str">
        <f>IF(C183="","",COUNTIF($C$2:C183,C183))</f>
        <v/>
      </c>
      <c r="AH183" s="4" t="str">
        <f t="shared" si="40"/>
        <v/>
      </c>
      <c r="AI183" s="4" t="str">
        <f t="shared" si="41"/>
        <v/>
      </c>
      <c r="AJ183" s="4" t="str">
        <f t="shared" si="42"/>
        <v/>
      </c>
      <c r="AK183" s="15" t="str">
        <f>IF(A183="","",SUMIFS(分期缴税台账!$K$2:$K$501,分期缴税台账!$T$2:$T$501,A183,分期缴税台账!$Q$2:$Q$501,"有效"))</f>
        <v/>
      </c>
      <c r="AL183" s="15" t="str">
        <f t="shared" si="43"/>
        <v/>
      </c>
      <c r="AM183" s="4" t="str">
        <f t="shared" si="44"/>
        <v/>
      </c>
    </row>
    <row r="184" spans="1:39" x14ac:dyDescent="0.3">
      <c r="A184" s="9"/>
      <c r="B184" s="4" t="str">
        <f t="shared" si="30"/>
        <v/>
      </c>
      <c r="C184" s="9"/>
      <c r="D184" s="9"/>
      <c r="E184" s="9"/>
      <c r="F184" s="9"/>
      <c r="G184" s="13"/>
      <c r="H184" s="4" t="str">
        <f t="shared" si="31"/>
        <v/>
      </c>
      <c r="I184" s="9"/>
      <c r="J184" s="14"/>
      <c r="K184" s="15" t="str">
        <f>IF(OR(E184="",F184="",G184=""),"",IF(E184&lt;&gt;计划参数!$C$2,"",IF(F184="股票期权",IFERROR(LOOKUP(G184,计划参数!$D$12:$D$15,计划参数!$C$12:$C$15),""),IF(F184="限制性股票",计划参数!$C$10,""))))</f>
        <v/>
      </c>
      <c r="L184" s="15" t="str">
        <f>IF(AND(E184=计划参数!$C$2,F184="限制性股票",G184&gt;=计划参数!$D$9),计划参数!$C$9,"")</f>
        <v/>
      </c>
      <c r="M184" s="9"/>
      <c r="N184" s="14"/>
      <c r="O184" s="14"/>
      <c r="P184" s="13"/>
      <c r="Q184" s="9"/>
      <c r="R184" s="13"/>
      <c r="S184" s="15" t="str">
        <f t="shared" si="32"/>
        <v/>
      </c>
      <c r="T184" s="15" t="str">
        <f t="shared" si="33"/>
        <v/>
      </c>
      <c r="U184" s="15" t="str">
        <f t="shared" si="34"/>
        <v/>
      </c>
      <c r="V184" s="15" t="str">
        <f t="shared" si="35"/>
        <v/>
      </c>
      <c r="W184" s="16" t="str">
        <f>IF(V184="","",VLOOKUP(V184,税率及规则!$A$2:$C$8,2,TRUE))</f>
        <v/>
      </c>
      <c r="X184" s="15" t="str">
        <f>IF(V184="","",VLOOKUP(V184,税率及规则!$A$2:$C$8,3,TRUE))</f>
        <v/>
      </c>
      <c r="Y184" s="15" t="str">
        <f t="shared" si="36"/>
        <v/>
      </c>
      <c r="Z184" s="15" t="str">
        <f>IF(U184="","",MAX(0,U184*VLOOKUP(U184,税率及规则!$A$2:$C$8,2,TRUE)-VLOOKUP(U184,税率及规则!$A$2:$C$8,3,TRUE)))</f>
        <v/>
      </c>
      <c r="AA184" s="15" t="str">
        <f t="shared" si="37"/>
        <v/>
      </c>
      <c r="AB184" s="17" t="str">
        <f t="shared" si="38"/>
        <v/>
      </c>
      <c r="AC184" s="17" t="str">
        <f t="shared" si="39"/>
        <v/>
      </c>
      <c r="AD184" s="4" t="str">
        <f>IF(A184="","",IF(COUNTIF($A$2:$A$501,A184)&gt;1,"异常：事件编号重复",IF(OR(C184="",D184="",E184="",F184="",G184=""),"异常：必填项缺失",IF(AND(F184="其他股权激励",O184=""),"异常：其他股权激励所得缺失",IF(AND(F184&lt;&gt;"其他股权激励",OR(I184="",J184="")),"异常：数量或市场价缺失",IF(AND(F184&lt;&gt;"其他股权激励",OR(I184&lt;=0,J184&lt;0)),"异常：数量或价格无效",IF(AND(F184="限制性股票",OR(M184&lt;=0,N184&lt;0,I184&gt;M184)),"异常：个人获授或出资数据无效",IF(AND(IFERROR(INDEX(计划参数!$J$2:$J$501,MATCH(C184,计划参数!$I$2:$I$501,0)),"")&lt;&gt;"",D184&lt;&gt;IFERROR(INDEX(计划参数!$J$2:$J$501,MATCH(C184,计划参数!$I$2:$I$501,0)),"")),"异常：姓名与员工主数据不一致",IF(S184&lt;0,"异常：原始所得为负，已按0计税",IF(OR(AND(F184="股票期权",K184=""),AND(F184="限制性股票",OR(K184="",L184=""))),"异常：计划参数缺失",IF(COUNTIF(计划参数!$I$2:$I$501,C184)=0,"提示：员工编号未在主数据",IF(Q184&lt;&gt;"已备案","提示：未确认备案","正常"))))))))))))</f>
        <v/>
      </c>
      <c r="AE184" s="9"/>
      <c r="AF184" s="4" t="str">
        <f>IF(C184="","",IF(COUNTIF($C$2:C184,C184)=1,MAX($AF$1:AF183)+1,""))</f>
        <v/>
      </c>
      <c r="AG184" s="4" t="str">
        <f>IF(C184="","",COUNTIF($C$2:C184,C184))</f>
        <v/>
      </c>
      <c r="AH184" s="4" t="str">
        <f t="shared" si="40"/>
        <v/>
      </c>
      <c r="AI184" s="4" t="str">
        <f t="shared" si="41"/>
        <v/>
      </c>
      <c r="AJ184" s="4" t="str">
        <f t="shared" si="42"/>
        <v/>
      </c>
      <c r="AK184" s="15" t="str">
        <f>IF(A184="","",SUMIFS(分期缴税台账!$K$2:$K$501,分期缴税台账!$T$2:$T$501,A184,分期缴税台账!$Q$2:$Q$501,"有效"))</f>
        <v/>
      </c>
      <c r="AL184" s="15" t="str">
        <f t="shared" si="43"/>
        <v/>
      </c>
      <c r="AM184" s="4" t="str">
        <f t="shared" si="44"/>
        <v/>
      </c>
    </row>
    <row r="185" spans="1:39" x14ac:dyDescent="0.3">
      <c r="A185" s="9"/>
      <c r="B185" s="4" t="str">
        <f t="shared" si="30"/>
        <v/>
      </c>
      <c r="C185" s="9"/>
      <c r="D185" s="9"/>
      <c r="E185" s="9"/>
      <c r="F185" s="9"/>
      <c r="G185" s="13"/>
      <c r="H185" s="4" t="str">
        <f t="shared" si="31"/>
        <v/>
      </c>
      <c r="I185" s="9"/>
      <c r="J185" s="14"/>
      <c r="K185" s="15" t="str">
        <f>IF(OR(E185="",F185="",G185=""),"",IF(E185&lt;&gt;计划参数!$C$2,"",IF(F185="股票期权",IFERROR(LOOKUP(G185,计划参数!$D$12:$D$15,计划参数!$C$12:$C$15),""),IF(F185="限制性股票",计划参数!$C$10,""))))</f>
        <v/>
      </c>
      <c r="L185" s="15" t="str">
        <f>IF(AND(E185=计划参数!$C$2,F185="限制性股票",G185&gt;=计划参数!$D$9),计划参数!$C$9,"")</f>
        <v/>
      </c>
      <c r="M185" s="9"/>
      <c r="N185" s="14"/>
      <c r="O185" s="14"/>
      <c r="P185" s="13"/>
      <c r="Q185" s="9"/>
      <c r="R185" s="13"/>
      <c r="S185" s="15" t="str">
        <f t="shared" si="32"/>
        <v/>
      </c>
      <c r="T185" s="15" t="str">
        <f t="shared" si="33"/>
        <v/>
      </c>
      <c r="U185" s="15" t="str">
        <f t="shared" si="34"/>
        <v/>
      </c>
      <c r="V185" s="15" t="str">
        <f t="shared" si="35"/>
        <v/>
      </c>
      <c r="W185" s="16" t="str">
        <f>IF(V185="","",VLOOKUP(V185,税率及规则!$A$2:$C$8,2,TRUE))</f>
        <v/>
      </c>
      <c r="X185" s="15" t="str">
        <f>IF(V185="","",VLOOKUP(V185,税率及规则!$A$2:$C$8,3,TRUE))</f>
        <v/>
      </c>
      <c r="Y185" s="15" t="str">
        <f t="shared" si="36"/>
        <v/>
      </c>
      <c r="Z185" s="15" t="str">
        <f>IF(U185="","",MAX(0,U185*VLOOKUP(U185,税率及规则!$A$2:$C$8,2,TRUE)-VLOOKUP(U185,税率及规则!$A$2:$C$8,3,TRUE)))</f>
        <v/>
      </c>
      <c r="AA185" s="15" t="str">
        <f t="shared" si="37"/>
        <v/>
      </c>
      <c r="AB185" s="17" t="str">
        <f t="shared" si="38"/>
        <v/>
      </c>
      <c r="AC185" s="17" t="str">
        <f t="shared" si="39"/>
        <v/>
      </c>
      <c r="AD185" s="4" t="str">
        <f>IF(A185="","",IF(COUNTIF($A$2:$A$501,A185)&gt;1,"异常：事件编号重复",IF(OR(C185="",D185="",E185="",F185="",G185=""),"异常：必填项缺失",IF(AND(F185="其他股权激励",O185=""),"异常：其他股权激励所得缺失",IF(AND(F185&lt;&gt;"其他股权激励",OR(I185="",J185="")),"异常：数量或市场价缺失",IF(AND(F185&lt;&gt;"其他股权激励",OR(I185&lt;=0,J185&lt;0)),"异常：数量或价格无效",IF(AND(F185="限制性股票",OR(M185&lt;=0,N185&lt;0,I185&gt;M185)),"异常：个人获授或出资数据无效",IF(AND(IFERROR(INDEX(计划参数!$J$2:$J$501,MATCH(C185,计划参数!$I$2:$I$501,0)),"")&lt;&gt;"",D185&lt;&gt;IFERROR(INDEX(计划参数!$J$2:$J$501,MATCH(C185,计划参数!$I$2:$I$501,0)),"")),"异常：姓名与员工主数据不一致",IF(S185&lt;0,"异常：原始所得为负，已按0计税",IF(OR(AND(F185="股票期权",K185=""),AND(F185="限制性股票",OR(K185="",L185=""))),"异常：计划参数缺失",IF(COUNTIF(计划参数!$I$2:$I$501,C185)=0,"提示：员工编号未在主数据",IF(Q185&lt;&gt;"已备案","提示：未确认备案","正常"))))))))))))</f>
        <v/>
      </c>
      <c r="AE185" s="9"/>
      <c r="AF185" s="4" t="str">
        <f>IF(C185="","",IF(COUNTIF($C$2:C185,C185)=1,MAX($AF$1:AF184)+1,""))</f>
        <v/>
      </c>
      <c r="AG185" s="4" t="str">
        <f>IF(C185="","",COUNTIF($C$2:C185,C185))</f>
        <v/>
      </c>
      <c r="AH185" s="4" t="str">
        <f t="shared" si="40"/>
        <v/>
      </c>
      <c r="AI185" s="4" t="str">
        <f t="shared" si="41"/>
        <v/>
      </c>
      <c r="AJ185" s="4" t="str">
        <f t="shared" si="42"/>
        <v/>
      </c>
      <c r="AK185" s="15" t="str">
        <f>IF(A185="","",SUMIFS(分期缴税台账!$K$2:$K$501,分期缴税台账!$T$2:$T$501,A185,分期缴税台账!$Q$2:$Q$501,"有效"))</f>
        <v/>
      </c>
      <c r="AL185" s="15" t="str">
        <f t="shared" si="43"/>
        <v/>
      </c>
      <c r="AM185" s="4" t="str">
        <f t="shared" si="44"/>
        <v/>
      </c>
    </row>
    <row r="186" spans="1:39" x14ac:dyDescent="0.3">
      <c r="A186" s="9"/>
      <c r="B186" s="4" t="str">
        <f t="shared" si="30"/>
        <v/>
      </c>
      <c r="C186" s="9"/>
      <c r="D186" s="9"/>
      <c r="E186" s="9"/>
      <c r="F186" s="9"/>
      <c r="G186" s="13"/>
      <c r="H186" s="4" t="str">
        <f t="shared" si="31"/>
        <v/>
      </c>
      <c r="I186" s="9"/>
      <c r="J186" s="14"/>
      <c r="K186" s="15" t="str">
        <f>IF(OR(E186="",F186="",G186=""),"",IF(E186&lt;&gt;计划参数!$C$2,"",IF(F186="股票期权",IFERROR(LOOKUP(G186,计划参数!$D$12:$D$15,计划参数!$C$12:$C$15),""),IF(F186="限制性股票",计划参数!$C$10,""))))</f>
        <v/>
      </c>
      <c r="L186" s="15" t="str">
        <f>IF(AND(E186=计划参数!$C$2,F186="限制性股票",G186&gt;=计划参数!$D$9),计划参数!$C$9,"")</f>
        <v/>
      </c>
      <c r="M186" s="9"/>
      <c r="N186" s="14"/>
      <c r="O186" s="14"/>
      <c r="P186" s="13"/>
      <c r="Q186" s="9"/>
      <c r="R186" s="13"/>
      <c r="S186" s="15" t="str">
        <f t="shared" si="32"/>
        <v/>
      </c>
      <c r="T186" s="15" t="str">
        <f t="shared" si="33"/>
        <v/>
      </c>
      <c r="U186" s="15" t="str">
        <f t="shared" si="34"/>
        <v/>
      </c>
      <c r="V186" s="15" t="str">
        <f t="shared" si="35"/>
        <v/>
      </c>
      <c r="W186" s="16" t="str">
        <f>IF(V186="","",VLOOKUP(V186,税率及规则!$A$2:$C$8,2,TRUE))</f>
        <v/>
      </c>
      <c r="X186" s="15" t="str">
        <f>IF(V186="","",VLOOKUP(V186,税率及规则!$A$2:$C$8,3,TRUE))</f>
        <v/>
      </c>
      <c r="Y186" s="15" t="str">
        <f t="shared" si="36"/>
        <v/>
      </c>
      <c r="Z186" s="15" t="str">
        <f>IF(U186="","",MAX(0,U186*VLOOKUP(U186,税率及规则!$A$2:$C$8,2,TRUE)-VLOOKUP(U186,税率及规则!$A$2:$C$8,3,TRUE)))</f>
        <v/>
      </c>
      <c r="AA186" s="15" t="str">
        <f t="shared" si="37"/>
        <v/>
      </c>
      <c r="AB186" s="17" t="str">
        <f t="shared" si="38"/>
        <v/>
      </c>
      <c r="AC186" s="17" t="str">
        <f t="shared" si="39"/>
        <v/>
      </c>
      <c r="AD186" s="4" t="str">
        <f>IF(A186="","",IF(COUNTIF($A$2:$A$501,A186)&gt;1,"异常：事件编号重复",IF(OR(C186="",D186="",E186="",F186="",G186=""),"异常：必填项缺失",IF(AND(F186="其他股权激励",O186=""),"异常：其他股权激励所得缺失",IF(AND(F186&lt;&gt;"其他股权激励",OR(I186="",J186="")),"异常：数量或市场价缺失",IF(AND(F186&lt;&gt;"其他股权激励",OR(I186&lt;=0,J186&lt;0)),"异常：数量或价格无效",IF(AND(F186="限制性股票",OR(M186&lt;=0,N186&lt;0,I186&gt;M186)),"异常：个人获授或出资数据无效",IF(AND(IFERROR(INDEX(计划参数!$J$2:$J$501,MATCH(C186,计划参数!$I$2:$I$501,0)),"")&lt;&gt;"",D186&lt;&gt;IFERROR(INDEX(计划参数!$J$2:$J$501,MATCH(C186,计划参数!$I$2:$I$501,0)),"")),"异常：姓名与员工主数据不一致",IF(S186&lt;0,"异常：原始所得为负，已按0计税",IF(OR(AND(F186="股票期权",K186=""),AND(F186="限制性股票",OR(K186="",L186=""))),"异常：计划参数缺失",IF(COUNTIF(计划参数!$I$2:$I$501,C186)=0,"提示：员工编号未在主数据",IF(Q186&lt;&gt;"已备案","提示：未确认备案","正常"))))))))))))</f>
        <v/>
      </c>
      <c r="AE186" s="9"/>
      <c r="AF186" s="4" t="str">
        <f>IF(C186="","",IF(COUNTIF($C$2:C186,C186)=1,MAX($AF$1:AF185)+1,""))</f>
        <v/>
      </c>
      <c r="AG186" s="4" t="str">
        <f>IF(C186="","",COUNTIF($C$2:C186,C186))</f>
        <v/>
      </c>
      <c r="AH186" s="4" t="str">
        <f t="shared" si="40"/>
        <v/>
      </c>
      <c r="AI186" s="4" t="str">
        <f t="shared" si="41"/>
        <v/>
      </c>
      <c r="AJ186" s="4" t="str">
        <f t="shared" si="42"/>
        <v/>
      </c>
      <c r="AK186" s="15" t="str">
        <f>IF(A186="","",SUMIFS(分期缴税台账!$K$2:$K$501,分期缴税台账!$T$2:$T$501,A186,分期缴税台账!$Q$2:$Q$501,"有效"))</f>
        <v/>
      </c>
      <c r="AL186" s="15" t="str">
        <f t="shared" si="43"/>
        <v/>
      </c>
      <c r="AM186" s="4" t="str">
        <f t="shared" si="44"/>
        <v/>
      </c>
    </row>
    <row r="187" spans="1:39" x14ac:dyDescent="0.3">
      <c r="A187" s="9"/>
      <c r="B187" s="4" t="str">
        <f t="shared" si="30"/>
        <v/>
      </c>
      <c r="C187" s="9"/>
      <c r="D187" s="9"/>
      <c r="E187" s="9"/>
      <c r="F187" s="9"/>
      <c r="G187" s="13"/>
      <c r="H187" s="4" t="str">
        <f t="shared" si="31"/>
        <v/>
      </c>
      <c r="I187" s="9"/>
      <c r="J187" s="14"/>
      <c r="K187" s="15" t="str">
        <f>IF(OR(E187="",F187="",G187=""),"",IF(E187&lt;&gt;计划参数!$C$2,"",IF(F187="股票期权",IFERROR(LOOKUP(G187,计划参数!$D$12:$D$15,计划参数!$C$12:$C$15),""),IF(F187="限制性股票",计划参数!$C$10,""))))</f>
        <v/>
      </c>
      <c r="L187" s="15" t="str">
        <f>IF(AND(E187=计划参数!$C$2,F187="限制性股票",G187&gt;=计划参数!$D$9),计划参数!$C$9,"")</f>
        <v/>
      </c>
      <c r="M187" s="9"/>
      <c r="N187" s="14"/>
      <c r="O187" s="14"/>
      <c r="P187" s="13"/>
      <c r="Q187" s="9"/>
      <c r="R187" s="13"/>
      <c r="S187" s="15" t="str">
        <f t="shared" si="32"/>
        <v/>
      </c>
      <c r="T187" s="15" t="str">
        <f t="shared" si="33"/>
        <v/>
      </c>
      <c r="U187" s="15" t="str">
        <f t="shared" si="34"/>
        <v/>
      </c>
      <c r="V187" s="15" t="str">
        <f t="shared" si="35"/>
        <v/>
      </c>
      <c r="W187" s="16" t="str">
        <f>IF(V187="","",VLOOKUP(V187,税率及规则!$A$2:$C$8,2,TRUE))</f>
        <v/>
      </c>
      <c r="X187" s="15" t="str">
        <f>IF(V187="","",VLOOKUP(V187,税率及规则!$A$2:$C$8,3,TRUE))</f>
        <v/>
      </c>
      <c r="Y187" s="15" t="str">
        <f t="shared" si="36"/>
        <v/>
      </c>
      <c r="Z187" s="15" t="str">
        <f>IF(U187="","",MAX(0,U187*VLOOKUP(U187,税率及规则!$A$2:$C$8,2,TRUE)-VLOOKUP(U187,税率及规则!$A$2:$C$8,3,TRUE)))</f>
        <v/>
      </c>
      <c r="AA187" s="15" t="str">
        <f t="shared" si="37"/>
        <v/>
      </c>
      <c r="AB187" s="17" t="str">
        <f t="shared" si="38"/>
        <v/>
      </c>
      <c r="AC187" s="17" t="str">
        <f t="shared" si="39"/>
        <v/>
      </c>
      <c r="AD187" s="4" t="str">
        <f>IF(A187="","",IF(COUNTIF($A$2:$A$501,A187)&gt;1,"异常：事件编号重复",IF(OR(C187="",D187="",E187="",F187="",G187=""),"异常：必填项缺失",IF(AND(F187="其他股权激励",O187=""),"异常：其他股权激励所得缺失",IF(AND(F187&lt;&gt;"其他股权激励",OR(I187="",J187="")),"异常：数量或市场价缺失",IF(AND(F187&lt;&gt;"其他股权激励",OR(I187&lt;=0,J187&lt;0)),"异常：数量或价格无效",IF(AND(F187="限制性股票",OR(M187&lt;=0,N187&lt;0,I187&gt;M187)),"异常：个人获授或出资数据无效",IF(AND(IFERROR(INDEX(计划参数!$J$2:$J$501,MATCH(C187,计划参数!$I$2:$I$501,0)),"")&lt;&gt;"",D187&lt;&gt;IFERROR(INDEX(计划参数!$J$2:$J$501,MATCH(C187,计划参数!$I$2:$I$501,0)),"")),"异常：姓名与员工主数据不一致",IF(S187&lt;0,"异常：原始所得为负，已按0计税",IF(OR(AND(F187="股票期权",K187=""),AND(F187="限制性股票",OR(K187="",L187=""))),"异常：计划参数缺失",IF(COUNTIF(计划参数!$I$2:$I$501,C187)=0,"提示：员工编号未在主数据",IF(Q187&lt;&gt;"已备案","提示：未确认备案","正常"))))))))))))</f>
        <v/>
      </c>
      <c r="AE187" s="9"/>
      <c r="AF187" s="4" t="str">
        <f>IF(C187="","",IF(COUNTIF($C$2:C187,C187)=1,MAX($AF$1:AF186)+1,""))</f>
        <v/>
      </c>
      <c r="AG187" s="4" t="str">
        <f>IF(C187="","",COUNTIF($C$2:C187,C187))</f>
        <v/>
      </c>
      <c r="AH187" s="4" t="str">
        <f t="shared" si="40"/>
        <v/>
      </c>
      <c r="AI187" s="4" t="str">
        <f t="shared" si="41"/>
        <v/>
      </c>
      <c r="AJ187" s="4" t="str">
        <f t="shared" si="42"/>
        <v/>
      </c>
      <c r="AK187" s="15" t="str">
        <f>IF(A187="","",SUMIFS(分期缴税台账!$K$2:$K$501,分期缴税台账!$T$2:$T$501,A187,分期缴税台账!$Q$2:$Q$501,"有效"))</f>
        <v/>
      </c>
      <c r="AL187" s="15" t="str">
        <f t="shared" si="43"/>
        <v/>
      </c>
      <c r="AM187" s="4" t="str">
        <f t="shared" si="44"/>
        <v/>
      </c>
    </row>
    <row r="188" spans="1:39" x14ac:dyDescent="0.3">
      <c r="A188" s="9"/>
      <c r="B188" s="4" t="str">
        <f t="shared" si="30"/>
        <v/>
      </c>
      <c r="C188" s="9"/>
      <c r="D188" s="9"/>
      <c r="E188" s="9"/>
      <c r="F188" s="9"/>
      <c r="G188" s="13"/>
      <c r="H188" s="4" t="str">
        <f t="shared" si="31"/>
        <v/>
      </c>
      <c r="I188" s="9"/>
      <c r="J188" s="14"/>
      <c r="K188" s="15" t="str">
        <f>IF(OR(E188="",F188="",G188=""),"",IF(E188&lt;&gt;计划参数!$C$2,"",IF(F188="股票期权",IFERROR(LOOKUP(G188,计划参数!$D$12:$D$15,计划参数!$C$12:$C$15),""),IF(F188="限制性股票",计划参数!$C$10,""))))</f>
        <v/>
      </c>
      <c r="L188" s="15" t="str">
        <f>IF(AND(E188=计划参数!$C$2,F188="限制性股票",G188&gt;=计划参数!$D$9),计划参数!$C$9,"")</f>
        <v/>
      </c>
      <c r="M188" s="9"/>
      <c r="N188" s="14"/>
      <c r="O188" s="14"/>
      <c r="P188" s="13"/>
      <c r="Q188" s="9"/>
      <c r="R188" s="13"/>
      <c r="S188" s="15" t="str">
        <f t="shared" si="32"/>
        <v/>
      </c>
      <c r="T188" s="15" t="str">
        <f t="shared" si="33"/>
        <v/>
      </c>
      <c r="U188" s="15" t="str">
        <f t="shared" si="34"/>
        <v/>
      </c>
      <c r="V188" s="15" t="str">
        <f t="shared" si="35"/>
        <v/>
      </c>
      <c r="W188" s="16" t="str">
        <f>IF(V188="","",VLOOKUP(V188,税率及规则!$A$2:$C$8,2,TRUE))</f>
        <v/>
      </c>
      <c r="X188" s="15" t="str">
        <f>IF(V188="","",VLOOKUP(V188,税率及规则!$A$2:$C$8,3,TRUE))</f>
        <v/>
      </c>
      <c r="Y188" s="15" t="str">
        <f t="shared" si="36"/>
        <v/>
      </c>
      <c r="Z188" s="15" t="str">
        <f>IF(U188="","",MAX(0,U188*VLOOKUP(U188,税率及规则!$A$2:$C$8,2,TRUE)-VLOOKUP(U188,税率及规则!$A$2:$C$8,3,TRUE)))</f>
        <v/>
      </c>
      <c r="AA188" s="15" t="str">
        <f t="shared" si="37"/>
        <v/>
      </c>
      <c r="AB188" s="17" t="str">
        <f t="shared" si="38"/>
        <v/>
      </c>
      <c r="AC188" s="17" t="str">
        <f t="shared" si="39"/>
        <v/>
      </c>
      <c r="AD188" s="4" t="str">
        <f>IF(A188="","",IF(COUNTIF($A$2:$A$501,A188)&gt;1,"异常：事件编号重复",IF(OR(C188="",D188="",E188="",F188="",G188=""),"异常：必填项缺失",IF(AND(F188="其他股权激励",O188=""),"异常：其他股权激励所得缺失",IF(AND(F188&lt;&gt;"其他股权激励",OR(I188="",J188="")),"异常：数量或市场价缺失",IF(AND(F188&lt;&gt;"其他股权激励",OR(I188&lt;=0,J188&lt;0)),"异常：数量或价格无效",IF(AND(F188="限制性股票",OR(M188&lt;=0,N188&lt;0,I188&gt;M188)),"异常：个人获授或出资数据无效",IF(AND(IFERROR(INDEX(计划参数!$J$2:$J$501,MATCH(C188,计划参数!$I$2:$I$501,0)),"")&lt;&gt;"",D188&lt;&gt;IFERROR(INDEX(计划参数!$J$2:$J$501,MATCH(C188,计划参数!$I$2:$I$501,0)),"")),"异常：姓名与员工主数据不一致",IF(S188&lt;0,"异常：原始所得为负，已按0计税",IF(OR(AND(F188="股票期权",K188=""),AND(F188="限制性股票",OR(K188="",L188=""))),"异常：计划参数缺失",IF(COUNTIF(计划参数!$I$2:$I$501,C188)=0,"提示：员工编号未在主数据",IF(Q188&lt;&gt;"已备案","提示：未确认备案","正常"))))))))))))</f>
        <v/>
      </c>
      <c r="AE188" s="9"/>
      <c r="AF188" s="4" t="str">
        <f>IF(C188="","",IF(COUNTIF($C$2:C188,C188)=1,MAX($AF$1:AF187)+1,""))</f>
        <v/>
      </c>
      <c r="AG188" s="4" t="str">
        <f>IF(C188="","",COUNTIF($C$2:C188,C188))</f>
        <v/>
      </c>
      <c r="AH188" s="4" t="str">
        <f t="shared" si="40"/>
        <v/>
      </c>
      <c r="AI188" s="4" t="str">
        <f t="shared" si="41"/>
        <v/>
      </c>
      <c r="AJ188" s="4" t="str">
        <f t="shared" si="42"/>
        <v/>
      </c>
      <c r="AK188" s="15" t="str">
        <f>IF(A188="","",SUMIFS(分期缴税台账!$K$2:$K$501,分期缴税台账!$T$2:$T$501,A188,分期缴税台账!$Q$2:$Q$501,"有效"))</f>
        <v/>
      </c>
      <c r="AL188" s="15" t="str">
        <f t="shared" si="43"/>
        <v/>
      </c>
      <c r="AM188" s="4" t="str">
        <f t="shared" si="44"/>
        <v/>
      </c>
    </row>
    <row r="189" spans="1:39" x14ac:dyDescent="0.3">
      <c r="A189" s="9"/>
      <c r="B189" s="4" t="str">
        <f t="shared" si="30"/>
        <v/>
      </c>
      <c r="C189" s="9"/>
      <c r="D189" s="9"/>
      <c r="E189" s="9"/>
      <c r="F189" s="9"/>
      <c r="G189" s="13"/>
      <c r="H189" s="4" t="str">
        <f t="shared" si="31"/>
        <v/>
      </c>
      <c r="I189" s="9"/>
      <c r="J189" s="14"/>
      <c r="K189" s="15" t="str">
        <f>IF(OR(E189="",F189="",G189=""),"",IF(E189&lt;&gt;计划参数!$C$2,"",IF(F189="股票期权",IFERROR(LOOKUP(G189,计划参数!$D$12:$D$15,计划参数!$C$12:$C$15),""),IF(F189="限制性股票",计划参数!$C$10,""))))</f>
        <v/>
      </c>
      <c r="L189" s="15" t="str">
        <f>IF(AND(E189=计划参数!$C$2,F189="限制性股票",G189&gt;=计划参数!$D$9),计划参数!$C$9,"")</f>
        <v/>
      </c>
      <c r="M189" s="9"/>
      <c r="N189" s="14"/>
      <c r="O189" s="14"/>
      <c r="P189" s="13"/>
      <c r="Q189" s="9"/>
      <c r="R189" s="13"/>
      <c r="S189" s="15" t="str">
        <f t="shared" si="32"/>
        <v/>
      </c>
      <c r="T189" s="15" t="str">
        <f t="shared" si="33"/>
        <v/>
      </c>
      <c r="U189" s="15" t="str">
        <f t="shared" si="34"/>
        <v/>
      </c>
      <c r="V189" s="15" t="str">
        <f t="shared" si="35"/>
        <v/>
      </c>
      <c r="W189" s="16" t="str">
        <f>IF(V189="","",VLOOKUP(V189,税率及规则!$A$2:$C$8,2,TRUE))</f>
        <v/>
      </c>
      <c r="X189" s="15" t="str">
        <f>IF(V189="","",VLOOKUP(V189,税率及规则!$A$2:$C$8,3,TRUE))</f>
        <v/>
      </c>
      <c r="Y189" s="15" t="str">
        <f t="shared" si="36"/>
        <v/>
      </c>
      <c r="Z189" s="15" t="str">
        <f>IF(U189="","",MAX(0,U189*VLOOKUP(U189,税率及规则!$A$2:$C$8,2,TRUE)-VLOOKUP(U189,税率及规则!$A$2:$C$8,3,TRUE)))</f>
        <v/>
      </c>
      <c r="AA189" s="15" t="str">
        <f t="shared" si="37"/>
        <v/>
      </c>
      <c r="AB189" s="17" t="str">
        <f t="shared" si="38"/>
        <v/>
      </c>
      <c r="AC189" s="17" t="str">
        <f t="shared" si="39"/>
        <v/>
      </c>
      <c r="AD189" s="4" t="str">
        <f>IF(A189="","",IF(COUNTIF($A$2:$A$501,A189)&gt;1,"异常：事件编号重复",IF(OR(C189="",D189="",E189="",F189="",G189=""),"异常：必填项缺失",IF(AND(F189="其他股权激励",O189=""),"异常：其他股权激励所得缺失",IF(AND(F189&lt;&gt;"其他股权激励",OR(I189="",J189="")),"异常：数量或市场价缺失",IF(AND(F189&lt;&gt;"其他股权激励",OR(I189&lt;=0,J189&lt;0)),"异常：数量或价格无效",IF(AND(F189="限制性股票",OR(M189&lt;=0,N189&lt;0,I189&gt;M189)),"异常：个人获授或出资数据无效",IF(AND(IFERROR(INDEX(计划参数!$J$2:$J$501,MATCH(C189,计划参数!$I$2:$I$501,0)),"")&lt;&gt;"",D189&lt;&gt;IFERROR(INDEX(计划参数!$J$2:$J$501,MATCH(C189,计划参数!$I$2:$I$501,0)),"")),"异常：姓名与员工主数据不一致",IF(S189&lt;0,"异常：原始所得为负，已按0计税",IF(OR(AND(F189="股票期权",K189=""),AND(F189="限制性股票",OR(K189="",L189=""))),"异常：计划参数缺失",IF(COUNTIF(计划参数!$I$2:$I$501,C189)=0,"提示：员工编号未在主数据",IF(Q189&lt;&gt;"已备案","提示：未确认备案","正常"))))))))))))</f>
        <v/>
      </c>
      <c r="AE189" s="9"/>
      <c r="AF189" s="4" t="str">
        <f>IF(C189="","",IF(COUNTIF($C$2:C189,C189)=1,MAX($AF$1:AF188)+1,""))</f>
        <v/>
      </c>
      <c r="AG189" s="4" t="str">
        <f>IF(C189="","",COUNTIF($C$2:C189,C189))</f>
        <v/>
      </c>
      <c r="AH189" s="4" t="str">
        <f t="shared" si="40"/>
        <v/>
      </c>
      <c r="AI189" s="4" t="str">
        <f t="shared" si="41"/>
        <v/>
      </c>
      <c r="AJ189" s="4" t="str">
        <f t="shared" si="42"/>
        <v/>
      </c>
      <c r="AK189" s="15" t="str">
        <f>IF(A189="","",SUMIFS(分期缴税台账!$K$2:$K$501,分期缴税台账!$T$2:$T$501,A189,分期缴税台账!$Q$2:$Q$501,"有效"))</f>
        <v/>
      </c>
      <c r="AL189" s="15" t="str">
        <f t="shared" si="43"/>
        <v/>
      </c>
      <c r="AM189" s="4" t="str">
        <f t="shared" si="44"/>
        <v/>
      </c>
    </row>
    <row r="190" spans="1:39" x14ac:dyDescent="0.3">
      <c r="A190" s="9"/>
      <c r="B190" s="4" t="str">
        <f t="shared" si="30"/>
        <v/>
      </c>
      <c r="C190" s="9"/>
      <c r="D190" s="9"/>
      <c r="E190" s="9"/>
      <c r="F190" s="9"/>
      <c r="G190" s="13"/>
      <c r="H190" s="4" t="str">
        <f t="shared" si="31"/>
        <v/>
      </c>
      <c r="I190" s="9"/>
      <c r="J190" s="14"/>
      <c r="K190" s="15" t="str">
        <f>IF(OR(E190="",F190="",G190=""),"",IF(E190&lt;&gt;计划参数!$C$2,"",IF(F190="股票期权",IFERROR(LOOKUP(G190,计划参数!$D$12:$D$15,计划参数!$C$12:$C$15),""),IF(F190="限制性股票",计划参数!$C$10,""))))</f>
        <v/>
      </c>
      <c r="L190" s="15" t="str">
        <f>IF(AND(E190=计划参数!$C$2,F190="限制性股票",G190&gt;=计划参数!$D$9),计划参数!$C$9,"")</f>
        <v/>
      </c>
      <c r="M190" s="9"/>
      <c r="N190" s="14"/>
      <c r="O190" s="14"/>
      <c r="P190" s="13"/>
      <c r="Q190" s="9"/>
      <c r="R190" s="13"/>
      <c r="S190" s="15" t="str">
        <f t="shared" si="32"/>
        <v/>
      </c>
      <c r="T190" s="15" t="str">
        <f t="shared" si="33"/>
        <v/>
      </c>
      <c r="U190" s="15" t="str">
        <f t="shared" si="34"/>
        <v/>
      </c>
      <c r="V190" s="15" t="str">
        <f t="shared" si="35"/>
        <v/>
      </c>
      <c r="W190" s="16" t="str">
        <f>IF(V190="","",VLOOKUP(V190,税率及规则!$A$2:$C$8,2,TRUE))</f>
        <v/>
      </c>
      <c r="X190" s="15" t="str">
        <f>IF(V190="","",VLOOKUP(V190,税率及规则!$A$2:$C$8,3,TRUE))</f>
        <v/>
      </c>
      <c r="Y190" s="15" t="str">
        <f t="shared" si="36"/>
        <v/>
      </c>
      <c r="Z190" s="15" t="str">
        <f>IF(U190="","",MAX(0,U190*VLOOKUP(U190,税率及规则!$A$2:$C$8,2,TRUE)-VLOOKUP(U190,税率及规则!$A$2:$C$8,3,TRUE)))</f>
        <v/>
      </c>
      <c r="AA190" s="15" t="str">
        <f t="shared" si="37"/>
        <v/>
      </c>
      <c r="AB190" s="17" t="str">
        <f t="shared" si="38"/>
        <v/>
      </c>
      <c r="AC190" s="17" t="str">
        <f t="shared" si="39"/>
        <v/>
      </c>
      <c r="AD190" s="4" t="str">
        <f>IF(A190="","",IF(COUNTIF($A$2:$A$501,A190)&gt;1,"异常：事件编号重复",IF(OR(C190="",D190="",E190="",F190="",G190=""),"异常：必填项缺失",IF(AND(F190="其他股权激励",O190=""),"异常：其他股权激励所得缺失",IF(AND(F190&lt;&gt;"其他股权激励",OR(I190="",J190="")),"异常：数量或市场价缺失",IF(AND(F190&lt;&gt;"其他股权激励",OR(I190&lt;=0,J190&lt;0)),"异常：数量或价格无效",IF(AND(F190="限制性股票",OR(M190&lt;=0,N190&lt;0,I190&gt;M190)),"异常：个人获授或出资数据无效",IF(AND(IFERROR(INDEX(计划参数!$J$2:$J$501,MATCH(C190,计划参数!$I$2:$I$501,0)),"")&lt;&gt;"",D190&lt;&gt;IFERROR(INDEX(计划参数!$J$2:$J$501,MATCH(C190,计划参数!$I$2:$I$501,0)),"")),"异常：姓名与员工主数据不一致",IF(S190&lt;0,"异常：原始所得为负，已按0计税",IF(OR(AND(F190="股票期权",K190=""),AND(F190="限制性股票",OR(K190="",L190=""))),"异常：计划参数缺失",IF(COUNTIF(计划参数!$I$2:$I$501,C190)=0,"提示：员工编号未在主数据",IF(Q190&lt;&gt;"已备案","提示：未确认备案","正常"))))))))))))</f>
        <v/>
      </c>
      <c r="AE190" s="9"/>
      <c r="AF190" s="4" t="str">
        <f>IF(C190="","",IF(COUNTIF($C$2:C190,C190)=1,MAX($AF$1:AF189)+1,""))</f>
        <v/>
      </c>
      <c r="AG190" s="4" t="str">
        <f>IF(C190="","",COUNTIF($C$2:C190,C190))</f>
        <v/>
      </c>
      <c r="AH190" s="4" t="str">
        <f t="shared" si="40"/>
        <v/>
      </c>
      <c r="AI190" s="4" t="str">
        <f t="shared" si="41"/>
        <v/>
      </c>
      <c r="AJ190" s="4" t="str">
        <f t="shared" si="42"/>
        <v/>
      </c>
      <c r="AK190" s="15" t="str">
        <f>IF(A190="","",SUMIFS(分期缴税台账!$K$2:$K$501,分期缴税台账!$T$2:$T$501,A190,分期缴税台账!$Q$2:$Q$501,"有效"))</f>
        <v/>
      </c>
      <c r="AL190" s="15" t="str">
        <f t="shared" si="43"/>
        <v/>
      </c>
      <c r="AM190" s="4" t="str">
        <f t="shared" si="44"/>
        <v/>
      </c>
    </row>
    <row r="191" spans="1:39" x14ac:dyDescent="0.3">
      <c r="A191" s="9"/>
      <c r="B191" s="4" t="str">
        <f t="shared" si="30"/>
        <v/>
      </c>
      <c r="C191" s="9"/>
      <c r="D191" s="9"/>
      <c r="E191" s="9"/>
      <c r="F191" s="9"/>
      <c r="G191" s="13"/>
      <c r="H191" s="4" t="str">
        <f t="shared" si="31"/>
        <v/>
      </c>
      <c r="I191" s="9"/>
      <c r="J191" s="14"/>
      <c r="K191" s="15" t="str">
        <f>IF(OR(E191="",F191="",G191=""),"",IF(E191&lt;&gt;计划参数!$C$2,"",IF(F191="股票期权",IFERROR(LOOKUP(G191,计划参数!$D$12:$D$15,计划参数!$C$12:$C$15),""),IF(F191="限制性股票",计划参数!$C$10,""))))</f>
        <v/>
      </c>
      <c r="L191" s="15" t="str">
        <f>IF(AND(E191=计划参数!$C$2,F191="限制性股票",G191&gt;=计划参数!$D$9),计划参数!$C$9,"")</f>
        <v/>
      </c>
      <c r="M191" s="9"/>
      <c r="N191" s="14"/>
      <c r="O191" s="14"/>
      <c r="P191" s="13"/>
      <c r="Q191" s="9"/>
      <c r="R191" s="13"/>
      <c r="S191" s="15" t="str">
        <f t="shared" si="32"/>
        <v/>
      </c>
      <c r="T191" s="15" t="str">
        <f t="shared" si="33"/>
        <v/>
      </c>
      <c r="U191" s="15" t="str">
        <f t="shared" si="34"/>
        <v/>
      </c>
      <c r="V191" s="15" t="str">
        <f t="shared" si="35"/>
        <v/>
      </c>
      <c r="W191" s="16" t="str">
        <f>IF(V191="","",VLOOKUP(V191,税率及规则!$A$2:$C$8,2,TRUE))</f>
        <v/>
      </c>
      <c r="X191" s="15" t="str">
        <f>IF(V191="","",VLOOKUP(V191,税率及规则!$A$2:$C$8,3,TRUE))</f>
        <v/>
      </c>
      <c r="Y191" s="15" t="str">
        <f t="shared" si="36"/>
        <v/>
      </c>
      <c r="Z191" s="15" t="str">
        <f>IF(U191="","",MAX(0,U191*VLOOKUP(U191,税率及规则!$A$2:$C$8,2,TRUE)-VLOOKUP(U191,税率及规则!$A$2:$C$8,3,TRUE)))</f>
        <v/>
      </c>
      <c r="AA191" s="15" t="str">
        <f t="shared" si="37"/>
        <v/>
      </c>
      <c r="AB191" s="17" t="str">
        <f t="shared" si="38"/>
        <v/>
      </c>
      <c r="AC191" s="17" t="str">
        <f t="shared" si="39"/>
        <v/>
      </c>
      <c r="AD191" s="4" t="str">
        <f>IF(A191="","",IF(COUNTIF($A$2:$A$501,A191)&gt;1,"异常：事件编号重复",IF(OR(C191="",D191="",E191="",F191="",G191=""),"异常：必填项缺失",IF(AND(F191="其他股权激励",O191=""),"异常：其他股权激励所得缺失",IF(AND(F191&lt;&gt;"其他股权激励",OR(I191="",J191="")),"异常：数量或市场价缺失",IF(AND(F191&lt;&gt;"其他股权激励",OR(I191&lt;=0,J191&lt;0)),"异常：数量或价格无效",IF(AND(F191="限制性股票",OR(M191&lt;=0,N191&lt;0,I191&gt;M191)),"异常：个人获授或出资数据无效",IF(AND(IFERROR(INDEX(计划参数!$J$2:$J$501,MATCH(C191,计划参数!$I$2:$I$501,0)),"")&lt;&gt;"",D191&lt;&gt;IFERROR(INDEX(计划参数!$J$2:$J$501,MATCH(C191,计划参数!$I$2:$I$501,0)),"")),"异常：姓名与员工主数据不一致",IF(S191&lt;0,"异常：原始所得为负，已按0计税",IF(OR(AND(F191="股票期权",K191=""),AND(F191="限制性股票",OR(K191="",L191=""))),"异常：计划参数缺失",IF(COUNTIF(计划参数!$I$2:$I$501,C191)=0,"提示：员工编号未在主数据",IF(Q191&lt;&gt;"已备案","提示：未确认备案","正常"))))))))))))</f>
        <v/>
      </c>
      <c r="AE191" s="9"/>
      <c r="AF191" s="4" t="str">
        <f>IF(C191="","",IF(COUNTIF($C$2:C191,C191)=1,MAX($AF$1:AF190)+1,""))</f>
        <v/>
      </c>
      <c r="AG191" s="4" t="str">
        <f>IF(C191="","",COUNTIF($C$2:C191,C191))</f>
        <v/>
      </c>
      <c r="AH191" s="4" t="str">
        <f t="shared" si="40"/>
        <v/>
      </c>
      <c r="AI191" s="4" t="str">
        <f t="shared" si="41"/>
        <v/>
      </c>
      <c r="AJ191" s="4" t="str">
        <f t="shared" si="42"/>
        <v/>
      </c>
      <c r="AK191" s="15" t="str">
        <f>IF(A191="","",SUMIFS(分期缴税台账!$K$2:$K$501,分期缴税台账!$T$2:$T$501,A191,分期缴税台账!$Q$2:$Q$501,"有效"))</f>
        <v/>
      </c>
      <c r="AL191" s="15" t="str">
        <f t="shared" si="43"/>
        <v/>
      </c>
      <c r="AM191" s="4" t="str">
        <f t="shared" si="44"/>
        <v/>
      </c>
    </row>
    <row r="192" spans="1:39" x14ac:dyDescent="0.3">
      <c r="A192" s="9"/>
      <c r="B192" s="4" t="str">
        <f t="shared" si="30"/>
        <v/>
      </c>
      <c r="C192" s="9"/>
      <c r="D192" s="9"/>
      <c r="E192" s="9"/>
      <c r="F192" s="9"/>
      <c r="G192" s="13"/>
      <c r="H192" s="4" t="str">
        <f t="shared" si="31"/>
        <v/>
      </c>
      <c r="I192" s="9"/>
      <c r="J192" s="14"/>
      <c r="K192" s="15" t="str">
        <f>IF(OR(E192="",F192="",G192=""),"",IF(E192&lt;&gt;计划参数!$C$2,"",IF(F192="股票期权",IFERROR(LOOKUP(G192,计划参数!$D$12:$D$15,计划参数!$C$12:$C$15),""),IF(F192="限制性股票",计划参数!$C$10,""))))</f>
        <v/>
      </c>
      <c r="L192" s="15" t="str">
        <f>IF(AND(E192=计划参数!$C$2,F192="限制性股票",G192&gt;=计划参数!$D$9),计划参数!$C$9,"")</f>
        <v/>
      </c>
      <c r="M192" s="9"/>
      <c r="N192" s="14"/>
      <c r="O192" s="14"/>
      <c r="P192" s="13"/>
      <c r="Q192" s="9"/>
      <c r="R192" s="13"/>
      <c r="S192" s="15" t="str">
        <f t="shared" si="32"/>
        <v/>
      </c>
      <c r="T192" s="15" t="str">
        <f t="shared" si="33"/>
        <v/>
      </c>
      <c r="U192" s="15" t="str">
        <f t="shared" si="34"/>
        <v/>
      </c>
      <c r="V192" s="15" t="str">
        <f t="shared" si="35"/>
        <v/>
      </c>
      <c r="W192" s="16" t="str">
        <f>IF(V192="","",VLOOKUP(V192,税率及规则!$A$2:$C$8,2,TRUE))</f>
        <v/>
      </c>
      <c r="X192" s="15" t="str">
        <f>IF(V192="","",VLOOKUP(V192,税率及规则!$A$2:$C$8,3,TRUE))</f>
        <v/>
      </c>
      <c r="Y192" s="15" t="str">
        <f t="shared" si="36"/>
        <v/>
      </c>
      <c r="Z192" s="15" t="str">
        <f>IF(U192="","",MAX(0,U192*VLOOKUP(U192,税率及规则!$A$2:$C$8,2,TRUE)-VLOOKUP(U192,税率及规则!$A$2:$C$8,3,TRUE)))</f>
        <v/>
      </c>
      <c r="AA192" s="15" t="str">
        <f t="shared" si="37"/>
        <v/>
      </c>
      <c r="AB192" s="17" t="str">
        <f t="shared" si="38"/>
        <v/>
      </c>
      <c r="AC192" s="17" t="str">
        <f t="shared" si="39"/>
        <v/>
      </c>
      <c r="AD192" s="4" t="str">
        <f>IF(A192="","",IF(COUNTIF($A$2:$A$501,A192)&gt;1,"异常：事件编号重复",IF(OR(C192="",D192="",E192="",F192="",G192=""),"异常：必填项缺失",IF(AND(F192="其他股权激励",O192=""),"异常：其他股权激励所得缺失",IF(AND(F192&lt;&gt;"其他股权激励",OR(I192="",J192="")),"异常：数量或市场价缺失",IF(AND(F192&lt;&gt;"其他股权激励",OR(I192&lt;=0,J192&lt;0)),"异常：数量或价格无效",IF(AND(F192="限制性股票",OR(M192&lt;=0,N192&lt;0,I192&gt;M192)),"异常：个人获授或出资数据无效",IF(AND(IFERROR(INDEX(计划参数!$J$2:$J$501,MATCH(C192,计划参数!$I$2:$I$501,0)),"")&lt;&gt;"",D192&lt;&gt;IFERROR(INDEX(计划参数!$J$2:$J$501,MATCH(C192,计划参数!$I$2:$I$501,0)),"")),"异常：姓名与员工主数据不一致",IF(S192&lt;0,"异常：原始所得为负，已按0计税",IF(OR(AND(F192="股票期权",K192=""),AND(F192="限制性股票",OR(K192="",L192=""))),"异常：计划参数缺失",IF(COUNTIF(计划参数!$I$2:$I$501,C192)=0,"提示：员工编号未在主数据",IF(Q192&lt;&gt;"已备案","提示：未确认备案","正常"))))))))))))</f>
        <v/>
      </c>
      <c r="AE192" s="9"/>
      <c r="AF192" s="4" t="str">
        <f>IF(C192="","",IF(COUNTIF($C$2:C192,C192)=1,MAX($AF$1:AF191)+1,""))</f>
        <v/>
      </c>
      <c r="AG192" s="4" t="str">
        <f>IF(C192="","",COUNTIF($C$2:C192,C192))</f>
        <v/>
      </c>
      <c r="AH192" s="4" t="str">
        <f t="shared" si="40"/>
        <v/>
      </c>
      <c r="AI192" s="4" t="str">
        <f t="shared" si="41"/>
        <v/>
      </c>
      <c r="AJ192" s="4" t="str">
        <f t="shared" si="42"/>
        <v/>
      </c>
      <c r="AK192" s="15" t="str">
        <f>IF(A192="","",SUMIFS(分期缴税台账!$K$2:$K$501,分期缴税台账!$T$2:$T$501,A192,分期缴税台账!$Q$2:$Q$501,"有效"))</f>
        <v/>
      </c>
      <c r="AL192" s="15" t="str">
        <f t="shared" si="43"/>
        <v/>
      </c>
      <c r="AM192" s="4" t="str">
        <f t="shared" si="44"/>
        <v/>
      </c>
    </row>
    <row r="193" spans="1:39" x14ac:dyDescent="0.3">
      <c r="A193" s="9"/>
      <c r="B193" s="4" t="str">
        <f t="shared" si="30"/>
        <v/>
      </c>
      <c r="C193" s="9"/>
      <c r="D193" s="9"/>
      <c r="E193" s="9"/>
      <c r="F193" s="9"/>
      <c r="G193" s="13"/>
      <c r="H193" s="4" t="str">
        <f t="shared" si="31"/>
        <v/>
      </c>
      <c r="I193" s="9"/>
      <c r="J193" s="14"/>
      <c r="K193" s="15" t="str">
        <f>IF(OR(E193="",F193="",G193=""),"",IF(E193&lt;&gt;计划参数!$C$2,"",IF(F193="股票期权",IFERROR(LOOKUP(G193,计划参数!$D$12:$D$15,计划参数!$C$12:$C$15),""),IF(F193="限制性股票",计划参数!$C$10,""))))</f>
        <v/>
      </c>
      <c r="L193" s="15" t="str">
        <f>IF(AND(E193=计划参数!$C$2,F193="限制性股票",G193&gt;=计划参数!$D$9),计划参数!$C$9,"")</f>
        <v/>
      </c>
      <c r="M193" s="9"/>
      <c r="N193" s="14"/>
      <c r="O193" s="14"/>
      <c r="P193" s="13"/>
      <c r="Q193" s="9"/>
      <c r="R193" s="13"/>
      <c r="S193" s="15" t="str">
        <f t="shared" si="32"/>
        <v/>
      </c>
      <c r="T193" s="15" t="str">
        <f t="shared" si="33"/>
        <v/>
      </c>
      <c r="U193" s="15" t="str">
        <f t="shared" si="34"/>
        <v/>
      </c>
      <c r="V193" s="15" t="str">
        <f t="shared" si="35"/>
        <v/>
      </c>
      <c r="W193" s="16" t="str">
        <f>IF(V193="","",VLOOKUP(V193,税率及规则!$A$2:$C$8,2,TRUE))</f>
        <v/>
      </c>
      <c r="X193" s="15" t="str">
        <f>IF(V193="","",VLOOKUP(V193,税率及规则!$A$2:$C$8,3,TRUE))</f>
        <v/>
      </c>
      <c r="Y193" s="15" t="str">
        <f t="shared" si="36"/>
        <v/>
      </c>
      <c r="Z193" s="15" t="str">
        <f>IF(U193="","",MAX(0,U193*VLOOKUP(U193,税率及规则!$A$2:$C$8,2,TRUE)-VLOOKUP(U193,税率及规则!$A$2:$C$8,3,TRUE)))</f>
        <v/>
      </c>
      <c r="AA193" s="15" t="str">
        <f t="shared" si="37"/>
        <v/>
      </c>
      <c r="AB193" s="17" t="str">
        <f t="shared" si="38"/>
        <v/>
      </c>
      <c r="AC193" s="17" t="str">
        <f t="shared" si="39"/>
        <v/>
      </c>
      <c r="AD193" s="4" t="str">
        <f>IF(A193="","",IF(COUNTIF($A$2:$A$501,A193)&gt;1,"异常：事件编号重复",IF(OR(C193="",D193="",E193="",F193="",G193=""),"异常：必填项缺失",IF(AND(F193="其他股权激励",O193=""),"异常：其他股权激励所得缺失",IF(AND(F193&lt;&gt;"其他股权激励",OR(I193="",J193="")),"异常：数量或市场价缺失",IF(AND(F193&lt;&gt;"其他股权激励",OR(I193&lt;=0,J193&lt;0)),"异常：数量或价格无效",IF(AND(F193="限制性股票",OR(M193&lt;=0,N193&lt;0,I193&gt;M193)),"异常：个人获授或出资数据无效",IF(AND(IFERROR(INDEX(计划参数!$J$2:$J$501,MATCH(C193,计划参数!$I$2:$I$501,0)),"")&lt;&gt;"",D193&lt;&gt;IFERROR(INDEX(计划参数!$J$2:$J$501,MATCH(C193,计划参数!$I$2:$I$501,0)),"")),"异常：姓名与员工主数据不一致",IF(S193&lt;0,"异常：原始所得为负，已按0计税",IF(OR(AND(F193="股票期权",K193=""),AND(F193="限制性股票",OR(K193="",L193=""))),"异常：计划参数缺失",IF(COUNTIF(计划参数!$I$2:$I$501,C193)=0,"提示：员工编号未在主数据",IF(Q193&lt;&gt;"已备案","提示：未确认备案","正常"))))))))))))</f>
        <v/>
      </c>
      <c r="AE193" s="9"/>
      <c r="AF193" s="4" t="str">
        <f>IF(C193="","",IF(COUNTIF($C$2:C193,C193)=1,MAX($AF$1:AF192)+1,""))</f>
        <v/>
      </c>
      <c r="AG193" s="4" t="str">
        <f>IF(C193="","",COUNTIF($C$2:C193,C193))</f>
        <v/>
      </c>
      <c r="AH193" s="4" t="str">
        <f t="shared" si="40"/>
        <v/>
      </c>
      <c r="AI193" s="4" t="str">
        <f t="shared" si="41"/>
        <v/>
      </c>
      <c r="AJ193" s="4" t="str">
        <f t="shared" si="42"/>
        <v/>
      </c>
      <c r="AK193" s="15" t="str">
        <f>IF(A193="","",SUMIFS(分期缴税台账!$K$2:$K$501,分期缴税台账!$T$2:$T$501,A193,分期缴税台账!$Q$2:$Q$501,"有效"))</f>
        <v/>
      </c>
      <c r="AL193" s="15" t="str">
        <f t="shared" si="43"/>
        <v/>
      </c>
      <c r="AM193" s="4" t="str">
        <f t="shared" si="44"/>
        <v/>
      </c>
    </row>
    <row r="194" spans="1:39" x14ac:dyDescent="0.3">
      <c r="A194" s="9"/>
      <c r="B194" s="4" t="str">
        <f t="shared" ref="B194:B257" si="45">IF(A194="","",A194&amp;"-TAX")</f>
        <v/>
      </c>
      <c r="C194" s="9"/>
      <c r="D194" s="9"/>
      <c r="E194" s="9"/>
      <c r="F194" s="9"/>
      <c r="G194" s="13"/>
      <c r="H194" s="4" t="str">
        <f t="shared" ref="H194:H257" si="46">IF(G194="","",YEAR(G194))</f>
        <v/>
      </c>
      <c r="I194" s="9"/>
      <c r="J194" s="14"/>
      <c r="K194" s="15" t="str">
        <f>IF(OR(E194="",F194="",G194=""),"",IF(E194&lt;&gt;计划参数!$C$2,"",IF(F194="股票期权",IFERROR(LOOKUP(G194,计划参数!$D$12:$D$15,计划参数!$C$12:$C$15),""),IF(F194="限制性股票",计划参数!$C$10,""))))</f>
        <v/>
      </c>
      <c r="L194" s="15" t="str">
        <f>IF(AND(E194=计划参数!$C$2,F194="限制性股票",G194&gt;=计划参数!$D$9),计划参数!$C$9,"")</f>
        <v/>
      </c>
      <c r="M194" s="9"/>
      <c r="N194" s="14"/>
      <c r="O194" s="14"/>
      <c r="P194" s="13"/>
      <c r="Q194" s="9"/>
      <c r="R194" s="13"/>
      <c r="S194" s="15" t="str">
        <f t="shared" ref="S194:S257" si="47">IF(OR(A194="",C194="",F194="",G194=""),"",IF(F194="股票期权",IF(OR(I194="",J194="",K194=""),"",(J194-K194)*I194),IF(F194="限制性股票",IF(OR(L194="",M194="",M194&lt;=0,N194=""),"",((L194+J194)/2)*I194-N194*I194/M194),IF(F194="其他股权激励",IF(O194="","",O194),""))))</f>
        <v/>
      </c>
      <c r="T194" s="15" t="str">
        <f t="shared" ref="T194:T257" si="48">IF(S194="","",MAX(0,S194))</f>
        <v/>
      </c>
      <c r="U194" s="15" t="str">
        <f t="shared" ref="U194:U257" si="49">IF(T194="","",SUMIFS($T$2:$T$501,$C$2:$C$501,C194,$H$2:$H$501,H194,$G$2:$G$501,"&lt;"&amp;G194)+SUMIFS($T$2:$T$501,$C$2:$C$501,C194,$H$2:$H$501,H194,$G$2:$G$501,G194,$A$2:$A$501,"&lt;"&amp;A194))</f>
        <v/>
      </c>
      <c r="V194" s="15" t="str">
        <f t="shared" ref="V194:V257" si="50">IF(T194="","",U194+T194)</f>
        <v/>
      </c>
      <c r="W194" s="16" t="str">
        <f>IF(V194="","",VLOOKUP(V194,税率及规则!$A$2:$C$8,2,TRUE))</f>
        <v/>
      </c>
      <c r="X194" s="15" t="str">
        <f>IF(V194="","",VLOOKUP(V194,税率及规则!$A$2:$C$8,3,TRUE))</f>
        <v/>
      </c>
      <c r="Y194" s="15" t="str">
        <f t="shared" ref="Y194:Y257" si="51">IF(V194="","",MAX(0,V194*W194-X194))</f>
        <v/>
      </c>
      <c r="Z194" s="15" t="str">
        <f>IF(U194="","",MAX(0,U194*VLOOKUP(U194,税率及规则!$A$2:$C$8,2,TRUE)-VLOOKUP(U194,税率及规则!$A$2:$C$8,3,TRUE)))</f>
        <v/>
      </c>
      <c r="AA194" s="15" t="str">
        <f t="shared" ref="AA194:AA257" si="52">IF(Y194="","",MAX(0,Y194-Z194))</f>
        <v/>
      </c>
      <c r="AB194" s="17" t="str">
        <f t="shared" ref="AB194:AB257" si="53">IF(G194="","",G194)</f>
        <v/>
      </c>
      <c r="AC194" s="17" t="str">
        <f t="shared" ref="AC194:AC257" si="54">IF(AB194="","",IF(DAY(AB194)=DAY(EOMONTH(AB194,0)),EOMONTH(EDATE(AB194,36),0),EDATE(AB194,36)))</f>
        <v/>
      </c>
      <c r="AD194" s="4" t="str">
        <f>IF(A194="","",IF(COUNTIF($A$2:$A$501,A194)&gt;1,"异常：事件编号重复",IF(OR(C194="",D194="",E194="",F194="",G194=""),"异常：必填项缺失",IF(AND(F194="其他股权激励",O194=""),"异常：其他股权激励所得缺失",IF(AND(F194&lt;&gt;"其他股权激励",OR(I194="",J194="")),"异常：数量或市场价缺失",IF(AND(F194&lt;&gt;"其他股权激励",OR(I194&lt;=0,J194&lt;0)),"异常：数量或价格无效",IF(AND(F194="限制性股票",OR(M194&lt;=0,N194&lt;0,I194&gt;M194)),"异常：个人获授或出资数据无效",IF(AND(IFERROR(INDEX(计划参数!$J$2:$J$501,MATCH(C194,计划参数!$I$2:$I$501,0)),"")&lt;&gt;"",D194&lt;&gt;IFERROR(INDEX(计划参数!$J$2:$J$501,MATCH(C194,计划参数!$I$2:$I$501,0)),"")),"异常：姓名与员工主数据不一致",IF(S194&lt;0,"异常：原始所得为负，已按0计税",IF(OR(AND(F194="股票期权",K194=""),AND(F194="限制性股票",OR(K194="",L194=""))),"异常：计划参数缺失",IF(COUNTIF(计划参数!$I$2:$I$501,C194)=0,"提示：员工编号未在主数据",IF(Q194&lt;&gt;"已备案","提示：未确认备案","正常"))))))))))))</f>
        <v/>
      </c>
      <c r="AE194" s="9"/>
      <c r="AF194" s="4" t="str">
        <f>IF(C194="","",IF(COUNTIF($C$2:C194,C194)=1,MAX($AF$1:AF193)+1,""))</f>
        <v/>
      </c>
      <c r="AG194" s="4" t="str">
        <f>IF(C194="","",COUNTIF($C$2:C194,C194))</f>
        <v/>
      </c>
      <c r="AH194" s="4" t="str">
        <f t="shared" ref="AH194:AH257" si="55">IF(C194="","",C194&amp;"|"&amp;AG194)</f>
        <v/>
      </c>
      <c r="AI194" s="4" t="str">
        <f t="shared" ref="AI194:AI257" si="56">IF(OR(A194="",AA194&lt;=0),"",C194&amp;"|"&amp;H194&amp;"|"&amp;(COUNTIFS($C$2:$C$501,C194,$H$2:$H$501,H194,$AA$2:$AA$501,"&gt;0",$AC$2:$AC$501,"&lt;"&amp;AC194)+COUNTIFS($C$2:$C$501,C194,$H$2:$H$501,H194,$AA$2:$AA$501,"&gt;0",$AC$2:$AC$501,AC194,$A$2:$A$501,"&lt;="&amp;A194)))</f>
        <v/>
      </c>
      <c r="AJ194" s="4" t="str">
        <f t="shared" ref="AJ194:AJ257" si="57">IF(OR(A194="",AA194&lt;=0),"",C194&amp;"|"&amp;(COUNTIFS($C$2:$C$501,C194,$AA$2:$AA$501,"&gt;0",$AC$2:$AC$501,"&lt;"&amp;AC194)+COUNTIFS($C$2:$C$501,C194,$AA$2:$AA$501,"&gt;0",$AC$2:$AC$501,AC194,$A$2:$A$501,"&lt;="&amp;A194)))</f>
        <v/>
      </c>
      <c r="AK194" s="15" t="str">
        <f>IF(A194="","",SUMIFS(分期缴税台账!$K$2:$K$501,分期缴税台账!$T$2:$T$501,A194,分期缴税台账!$Q$2:$Q$501,"有效"))</f>
        <v/>
      </c>
      <c r="AL194" s="15" t="str">
        <f t="shared" ref="AL194:AL257" si="58">IF(AA194="","",MAX(0,AA194-AK194))</f>
        <v/>
      </c>
      <c r="AM194" s="4" t="str">
        <f t="shared" ref="AM194:AM257" si="59">IF(OR(A194="",AL194&lt;=0),"",C194&amp;"|"&amp;H194&amp;"|"&amp;(COUNTIFS($C$2:$C$501,C194,$H$2:$H$501,H194,$AL$2:$AL$501,"&gt;0",$AC$2:$AC$501,"&lt;"&amp;AC194)+COUNTIFS($C$2:$C$501,C194,$H$2:$H$501,H194,$AL$2:$AL$501,"&gt;0",$AC$2:$AC$501,AC194,$A$2:$A$501,"&lt;="&amp;A194)))</f>
        <v/>
      </c>
    </row>
    <row r="195" spans="1:39" x14ac:dyDescent="0.3">
      <c r="A195" s="9"/>
      <c r="B195" s="4" t="str">
        <f t="shared" si="45"/>
        <v/>
      </c>
      <c r="C195" s="9"/>
      <c r="D195" s="9"/>
      <c r="E195" s="9"/>
      <c r="F195" s="9"/>
      <c r="G195" s="13"/>
      <c r="H195" s="4" t="str">
        <f t="shared" si="46"/>
        <v/>
      </c>
      <c r="I195" s="9"/>
      <c r="J195" s="14"/>
      <c r="K195" s="15" t="str">
        <f>IF(OR(E195="",F195="",G195=""),"",IF(E195&lt;&gt;计划参数!$C$2,"",IF(F195="股票期权",IFERROR(LOOKUP(G195,计划参数!$D$12:$D$15,计划参数!$C$12:$C$15),""),IF(F195="限制性股票",计划参数!$C$10,""))))</f>
        <v/>
      </c>
      <c r="L195" s="15" t="str">
        <f>IF(AND(E195=计划参数!$C$2,F195="限制性股票",G195&gt;=计划参数!$D$9),计划参数!$C$9,"")</f>
        <v/>
      </c>
      <c r="M195" s="9"/>
      <c r="N195" s="14"/>
      <c r="O195" s="14"/>
      <c r="P195" s="13"/>
      <c r="Q195" s="9"/>
      <c r="R195" s="13"/>
      <c r="S195" s="15" t="str">
        <f t="shared" si="47"/>
        <v/>
      </c>
      <c r="T195" s="15" t="str">
        <f t="shared" si="48"/>
        <v/>
      </c>
      <c r="U195" s="15" t="str">
        <f t="shared" si="49"/>
        <v/>
      </c>
      <c r="V195" s="15" t="str">
        <f t="shared" si="50"/>
        <v/>
      </c>
      <c r="W195" s="16" t="str">
        <f>IF(V195="","",VLOOKUP(V195,税率及规则!$A$2:$C$8,2,TRUE))</f>
        <v/>
      </c>
      <c r="X195" s="15" t="str">
        <f>IF(V195="","",VLOOKUP(V195,税率及规则!$A$2:$C$8,3,TRUE))</f>
        <v/>
      </c>
      <c r="Y195" s="15" t="str">
        <f t="shared" si="51"/>
        <v/>
      </c>
      <c r="Z195" s="15" t="str">
        <f>IF(U195="","",MAX(0,U195*VLOOKUP(U195,税率及规则!$A$2:$C$8,2,TRUE)-VLOOKUP(U195,税率及规则!$A$2:$C$8,3,TRUE)))</f>
        <v/>
      </c>
      <c r="AA195" s="15" t="str">
        <f t="shared" si="52"/>
        <v/>
      </c>
      <c r="AB195" s="17" t="str">
        <f t="shared" si="53"/>
        <v/>
      </c>
      <c r="AC195" s="17" t="str">
        <f t="shared" si="54"/>
        <v/>
      </c>
      <c r="AD195" s="4" t="str">
        <f>IF(A195="","",IF(COUNTIF($A$2:$A$501,A195)&gt;1,"异常：事件编号重复",IF(OR(C195="",D195="",E195="",F195="",G195=""),"异常：必填项缺失",IF(AND(F195="其他股权激励",O195=""),"异常：其他股权激励所得缺失",IF(AND(F195&lt;&gt;"其他股权激励",OR(I195="",J195="")),"异常：数量或市场价缺失",IF(AND(F195&lt;&gt;"其他股权激励",OR(I195&lt;=0,J195&lt;0)),"异常：数量或价格无效",IF(AND(F195="限制性股票",OR(M195&lt;=0,N195&lt;0,I195&gt;M195)),"异常：个人获授或出资数据无效",IF(AND(IFERROR(INDEX(计划参数!$J$2:$J$501,MATCH(C195,计划参数!$I$2:$I$501,0)),"")&lt;&gt;"",D195&lt;&gt;IFERROR(INDEX(计划参数!$J$2:$J$501,MATCH(C195,计划参数!$I$2:$I$501,0)),"")),"异常：姓名与员工主数据不一致",IF(S195&lt;0,"异常：原始所得为负，已按0计税",IF(OR(AND(F195="股票期权",K195=""),AND(F195="限制性股票",OR(K195="",L195=""))),"异常：计划参数缺失",IF(COUNTIF(计划参数!$I$2:$I$501,C195)=0,"提示：员工编号未在主数据",IF(Q195&lt;&gt;"已备案","提示：未确认备案","正常"))))))))))))</f>
        <v/>
      </c>
      <c r="AE195" s="9"/>
      <c r="AF195" s="4" t="str">
        <f>IF(C195="","",IF(COUNTIF($C$2:C195,C195)=1,MAX($AF$1:AF194)+1,""))</f>
        <v/>
      </c>
      <c r="AG195" s="4" t="str">
        <f>IF(C195="","",COUNTIF($C$2:C195,C195))</f>
        <v/>
      </c>
      <c r="AH195" s="4" t="str">
        <f t="shared" si="55"/>
        <v/>
      </c>
      <c r="AI195" s="4" t="str">
        <f t="shared" si="56"/>
        <v/>
      </c>
      <c r="AJ195" s="4" t="str">
        <f t="shared" si="57"/>
        <v/>
      </c>
      <c r="AK195" s="15" t="str">
        <f>IF(A195="","",SUMIFS(分期缴税台账!$K$2:$K$501,分期缴税台账!$T$2:$T$501,A195,分期缴税台账!$Q$2:$Q$501,"有效"))</f>
        <v/>
      </c>
      <c r="AL195" s="15" t="str">
        <f t="shared" si="58"/>
        <v/>
      </c>
      <c r="AM195" s="4" t="str">
        <f t="shared" si="59"/>
        <v/>
      </c>
    </row>
    <row r="196" spans="1:39" x14ac:dyDescent="0.3">
      <c r="A196" s="9"/>
      <c r="B196" s="4" t="str">
        <f t="shared" si="45"/>
        <v/>
      </c>
      <c r="C196" s="9"/>
      <c r="D196" s="9"/>
      <c r="E196" s="9"/>
      <c r="F196" s="9"/>
      <c r="G196" s="13"/>
      <c r="H196" s="4" t="str">
        <f t="shared" si="46"/>
        <v/>
      </c>
      <c r="I196" s="9"/>
      <c r="J196" s="14"/>
      <c r="K196" s="15" t="str">
        <f>IF(OR(E196="",F196="",G196=""),"",IF(E196&lt;&gt;计划参数!$C$2,"",IF(F196="股票期权",IFERROR(LOOKUP(G196,计划参数!$D$12:$D$15,计划参数!$C$12:$C$15),""),IF(F196="限制性股票",计划参数!$C$10,""))))</f>
        <v/>
      </c>
      <c r="L196" s="15" t="str">
        <f>IF(AND(E196=计划参数!$C$2,F196="限制性股票",G196&gt;=计划参数!$D$9),计划参数!$C$9,"")</f>
        <v/>
      </c>
      <c r="M196" s="9"/>
      <c r="N196" s="14"/>
      <c r="O196" s="14"/>
      <c r="P196" s="13"/>
      <c r="Q196" s="9"/>
      <c r="R196" s="13"/>
      <c r="S196" s="15" t="str">
        <f t="shared" si="47"/>
        <v/>
      </c>
      <c r="T196" s="15" t="str">
        <f t="shared" si="48"/>
        <v/>
      </c>
      <c r="U196" s="15" t="str">
        <f t="shared" si="49"/>
        <v/>
      </c>
      <c r="V196" s="15" t="str">
        <f t="shared" si="50"/>
        <v/>
      </c>
      <c r="W196" s="16" t="str">
        <f>IF(V196="","",VLOOKUP(V196,税率及规则!$A$2:$C$8,2,TRUE))</f>
        <v/>
      </c>
      <c r="X196" s="15" t="str">
        <f>IF(V196="","",VLOOKUP(V196,税率及规则!$A$2:$C$8,3,TRUE))</f>
        <v/>
      </c>
      <c r="Y196" s="15" t="str">
        <f t="shared" si="51"/>
        <v/>
      </c>
      <c r="Z196" s="15" t="str">
        <f>IF(U196="","",MAX(0,U196*VLOOKUP(U196,税率及规则!$A$2:$C$8,2,TRUE)-VLOOKUP(U196,税率及规则!$A$2:$C$8,3,TRUE)))</f>
        <v/>
      </c>
      <c r="AA196" s="15" t="str">
        <f t="shared" si="52"/>
        <v/>
      </c>
      <c r="AB196" s="17" t="str">
        <f t="shared" si="53"/>
        <v/>
      </c>
      <c r="AC196" s="17" t="str">
        <f t="shared" si="54"/>
        <v/>
      </c>
      <c r="AD196" s="4" t="str">
        <f>IF(A196="","",IF(COUNTIF($A$2:$A$501,A196)&gt;1,"异常：事件编号重复",IF(OR(C196="",D196="",E196="",F196="",G196=""),"异常：必填项缺失",IF(AND(F196="其他股权激励",O196=""),"异常：其他股权激励所得缺失",IF(AND(F196&lt;&gt;"其他股权激励",OR(I196="",J196="")),"异常：数量或市场价缺失",IF(AND(F196&lt;&gt;"其他股权激励",OR(I196&lt;=0,J196&lt;0)),"异常：数量或价格无效",IF(AND(F196="限制性股票",OR(M196&lt;=0,N196&lt;0,I196&gt;M196)),"异常：个人获授或出资数据无效",IF(AND(IFERROR(INDEX(计划参数!$J$2:$J$501,MATCH(C196,计划参数!$I$2:$I$501,0)),"")&lt;&gt;"",D196&lt;&gt;IFERROR(INDEX(计划参数!$J$2:$J$501,MATCH(C196,计划参数!$I$2:$I$501,0)),"")),"异常：姓名与员工主数据不一致",IF(S196&lt;0,"异常：原始所得为负，已按0计税",IF(OR(AND(F196="股票期权",K196=""),AND(F196="限制性股票",OR(K196="",L196=""))),"异常：计划参数缺失",IF(COUNTIF(计划参数!$I$2:$I$501,C196)=0,"提示：员工编号未在主数据",IF(Q196&lt;&gt;"已备案","提示：未确认备案","正常"))))))))))))</f>
        <v/>
      </c>
      <c r="AE196" s="9"/>
      <c r="AF196" s="4" t="str">
        <f>IF(C196="","",IF(COUNTIF($C$2:C196,C196)=1,MAX($AF$1:AF195)+1,""))</f>
        <v/>
      </c>
      <c r="AG196" s="4" t="str">
        <f>IF(C196="","",COUNTIF($C$2:C196,C196))</f>
        <v/>
      </c>
      <c r="AH196" s="4" t="str">
        <f t="shared" si="55"/>
        <v/>
      </c>
      <c r="AI196" s="4" t="str">
        <f t="shared" si="56"/>
        <v/>
      </c>
      <c r="AJ196" s="4" t="str">
        <f t="shared" si="57"/>
        <v/>
      </c>
      <c r="AK196" s="15" t="str">
        <f>IF(A196="","",SUMIFS(分期缴税台账!$K$2:$K$501,分期缴税台账!$T$2:$T$501,A196,分期缴税台账!$Q$2:$Q$501,"有效"))</f>
        <v/>
      </c>
      <c r="AL196" s="15" t="str">
        <f t="shared" si="58"/>
        <v/>
      </c>
      <c r="AM196" s="4" t="str">
        <f t="shared" si="59"/>
        <v/>
      </c>
    </row>
    <row r="197" spans="1:39" x14ac:dyDescent="0.3">
      <c r="A197" s="9"/>
      <c r="B197" s="4" t="str">
        <f t="shared" si="45"/>
        <v/>
      </c>
      <c r="C197" s="9"/>
      <c r="D197" s="9"/>
      <c r="E197" s="9"/>
      <c r="F197" s="9"/>
      <c r="G197" s="13"/>
      <c r="H197" s="4" t="str">
        <f t="shared" si="46"/>
        <v/>
      </c>
      <c r="I197" s="9"/>
      <c r="J197" s="14"/>
      <c r="K197" s="15" t="str">
        <f>IF(OR(E197="",F197="",G197=""),"",IF(E197&lt;&gt;计划参数!$C$2,"",IF(F197="股票期权",IFERROR(LOOKUP(G197,计划参数!$D$12:$D$15,计划参数!$C$12:$C$15),""),IF(F197="限制性股票",计划参数!$C$10,""))))</f>
        <v/>
      </c>
      <c r="L197" s="15" t="str">
        <f>IF(AND(E197=计划参数!$C$2,F197="限制性股票",G197&gt;=计划参数!$D$9),计划参数!$C$9,"")</f>
        <v/>
      </c>
      <c r="M197" s="9"/>
      <c r="N197" s="14"/>
      <c r="O197" s="14"/>
      <c r="P197" s="13"/>
      <c r="Q197" s="9"/>
      <c r="R197" s="13"/>
      <c r="S197" s="15" t="str">
        <f t="shared" si="47"/>
        <v/>
      </c>
      <c r="T197" s="15" t="str">
        <f t="shared" si="48"/>
        <v/>
      </c>
      <c r="U197" s="15" t="str">
        <f t="shared" si="49"/>
        <v/>
      </c>
      <c r="V197" s="15" t="str">
        <f t="shared" si="50"/>
        <v/>
      </c>
      <c r="W197" s="16" t="str">
        <f>IF(V197="","",VLOOKUP(V197,税率及规则!$A$2:$C$8,2,TRUE))</f>
        <v/>
      </c>
      <c r="X197" s="15" t="str">
        <f>IF(V197="","",VLOOKUP(V197,税率及规则!$A$2:$C$8,3,TRUE))</f>
        <v/>
      </c>
      <c r="Y197" s="15" t="str">
        <f t="shared" si="51"/>
        <v/>
      </c>
      <c r="Z197" s="15" t="str">
        <f>IF(U197="","",MAX(0,U197*VLOOKUP(U197,税率及规则!$A$2:$C$8,2,TRUE)-VLOOKUP(U197,税率及规则!$A$2:$C$8,3,TRUE)))</f>
        <v/>
      </c>
      <c r="AA197" s="15" t="str">
        <f t="shared" si="52"/>
        <v/>
      </c>
      <c r="AB197" s="17" t="str">
        <f t="shared" si="53"/>
        <v/>
      </c>
      <c r="AC197" s="17" t="str">
        <f t="shared" si="54"/>
        <v/>
      </c>
      <c r="AD197" s="4" t="str">
        <f>IF(A197="","",IF(COUNTIF($A$2:$A$501,A197)&gt;1,"异常：事件编号重复",IF(OR(C197="",D197="",E197="",F197="",G197=""),"异常：必填项缺失",IF(AND(F197="其他股权激励",O197=""),"异常：其他股权激励所得缺失",IF(AND(F197&lt;&gt;"其他股权激励",OR(I197="",J197="")),"异常：数量或市场价缺失",IF(AND(F197&lt;&gt;"其他股权激励",OR(I197&lt;=0,J197&lt;0)),"异常：数量或价格无效",IF(AND(F197="限制性股票",OR(M197&lt;=0,N197&lt;0,I197&gt;M197)),"异常：个人获授或出资数据无效",IF(AND(IFERROR(INDEX(计划参数!$J$2:$J$501,MATCH(C197,计划参数!$I$2:$I$501,0)),"")&lt;&gt;"",D197&lt;&gt;IFERROR(INDEX(计划参数!$J$2:$J$501,MATCH(C197,计划参数!$I$2:$I$501,0)),"")),"异常：姓名与员工主数据不一致",IF(S197&lt;0,"异常：原始所得为负，已按0计税",IF(OR(AND(F197="股票期权",K197=""),AND(F197="限制性股票",OR(K197="",L197=""))),"异常：计划参数缺失",IF(COUNTIF(计划参数!$I$2:$I$501,C197)=0,"提示：员工编号未在主数据",IF(Q197&lt;&gt;"已备案","提示：未确认备案","正常"))))))))))))</f>
        <v/>
      </c>
      <c r="AE197" s="9"/>
      <c r="AF197" s="4" t="str">
        <f>IF(C197="","",IF(COUNTIF($C$2:C197,C197)=1,MAX($AF$1:AF196)+1,""))</f>
        <v/>
      </c>
      <c r="AG197" s="4" t="str">
        <f>IF(C197="","",COUNTIF($C$2:C197,C197))</f>
        <v/>
      </c>
      <c r="AH197" s="4" t="str">
        <f t="shared" si="55"/>
        <v/>
      </c>
      <c r="AI197" s="4" t="str">
        <f t="shared" si="56"/>
        <v/>
      </c>
      <c r="AJ197" s="4" t="str">
        <f t="shared" si="57"/>
        <v/>
      </c>
      <c r="AK197" s="15" t="str">
        <f>IF(A197="","",SUMIFS(分期缴税台账!$K$2:$K$501,分期缴税台账!$T$2:$T$501,A197,分期缴税台账!$Q$2:$Q$501,"有效"))</f>
        <v/>
      </c>
      <c r="AL197" s="15" t="str">
        <f t="shared" si="58"/>
        <v/>
      </c>
      <c r="AM197" s="4" t="str">
        <f t="shared" si="59"/>
        <v/>
      </c>
    </row>
    <row r="198" spans="1:39" x14ac:dyDescent="0.3">
      <c r="A198" s="9"/>
      <c r="B198" s="4" t="str">
        <f t="shared" si="45"/>
        <v/>
      </c>
      <c r="C198" s="9"/>
      <c r="D198" s="9"/>
      <c r="E198" s="9"/>
      <c r="F198" s="9"/>
      <c r="G198" s="13"/>
      <c r="H198" s="4" t="str">
        <f t="shared" si="46"/>
        <v/>
      </c>
      <c r="I198" s="9"/>
      <c r="J198" s="14"/>
      <c r="K198" s="15" t="str">
        <f>IF(OR(E198="",F198="",G198=""),"",IF(E198&lt;&gt;计划参数!$C$2,"",IF(F198="股票期权",IFERROR(LOOKUP(G198,计划参数!$D$12:$D$15,计划参数!$C$12:$C$15),""),IF(F198="限制性股票",计划参数!$C$10,""))))</f>
        <v/>
      </c>
      <c r="L198" s="15" t="str">
        <f>IF(AND(E198=计划参数!$C$2,F198="限制性股票",G198&gt;=计划参数!$D$9),计划参数!$C$9,"")</f>
        <v/>
      </c>
      <c r="M198" s="9"/>
      <c r="N198" s="14"/>
      <c r="O198" s="14"/>
      <c r="P198" s="13"/>
      <c r="Q198" s="9"/>
      <c r="R198" s="13"/>
      <c r="S198" s="15" t="str">
        <f t="shared" si="47"/>
        <v/>
      </c>
      <c r="T198" s="15" t="str">
        <f t="shared" si="48"/>
        <v/>
      </c>
      <c r="U198" s="15" t="str">
        <f t="shared" si="49"/>
        <v/>
      </c>
      <c r="V198" s="15" t="str">
        <f t="shared" si="50"/>
        <v/>
      </c>
      <c r="W198" s="16" t="str">
        <f>IF(V198="","",VLOOKUP(V198,税率及规则!$A$2:$C$8,2,TRUE))</f>
        <v/>
      </c>
      <c r="X198" s="15" t="str">
        <f>IF(V198="","",VLOOKUP(V198,税率及规则!$A$2:$C$8,3,TRUE))</f>
        <v/>
      </c>
      <c r="Y198" s="15" t="str">
        <f t="shared" si="51"/>
        <v/>
      </c>
      <c r="Z198" s="15" t="str">
        <f>IF(U198="","",MAX(0,U198*VLOOKUP(U198,税率及规则!$A$2:$C$8,2,TRUE)-VLOOKUP(U198,税率及规则!$A$2:$C$8,3,TRUE)))</f>
        <v/>
      </c>
      <c r="AA198" s="15" t="str">
        <f t="shared" si="52"/>
        <v/>
      </c>
      <c r="AB198" s="17" t="str">
        <f t="shared" si="53"/>
        <v/>
      </c>
      <c r="AC198" s="17" t="str">
        <f t="shared" si="54"/>
        <v/>
      </c>
      <c r="AD198" s="4" t="str">
        <f>IF(A198="","",IF(COUNTIF($A$2:$A$501,A198)&gt;1,"异常：事件编号重复",IF(OR(C198="",D198="",E198="",F198="",G198=""),"异常：必填项缺失",IF(AND(F198="其他股权激励",O198=""),"异常：其他股权激励所得缺失",IF(AND(F198&lt;&gt;"其他股权激励",OR(I198="",J198="")),"异常：数量或市场价缺失",IF(AND(F198&lt;&gt;"其他股权激励",OR(I198&lt;=0,J198&lt;0)),"异常：数量或价格无效",IF(AND(F198="限制性股票",OR(M198&lt;=0,N198&lt;0,I198&gt;M198)),"异常：个人获授或出资数据无效",IF(AND(IFERROR(INDEX(计划参数!$J$2:$J$501,MATCH(C198,计划参数!$I$2:$I$501,0)),"")&lt;&gt;"",D198&lt;&gt;IFERROR(INDEX(计划参数!$J$2:$J$501,MATCH(C198,计划参数!$I$2:$I$501,0)),"")),"异常：姓名与员工主数据不一致",IF(S198&lt;0,"异常：原始所得为负，已按0计税",IF(OR(AND(F198="股票期权",K198=""),AND(F198="限制性股票",OR(K198="",L198=""))),"异常：计划参数缺失",IF(COUNTIF(计划参数!$I$2:$I$501,C198)=0,"提示：员工编号未在主数据",IF(Q198&lt;&gt;"已备案","提示：未确认备案","正常"))))))))))))</f>
        <v/>
      </c>
      <c r="AE198" s="9"/>
      <c r="AF198" s="4" t="str">
        <f>IF(C198="","",IF(COUNTIF($C$2:C198,C198)=1,MAX($AF$1:AF197)+1,""))</f>
        <v/>
      </c>
      <c r="AG198" s="4" t="str">
        <f>IF(C198="","",COUNTIF($C$2:C198,C198))</f>
        <v/>
      </c>
      <c r="AH198" s="4" t="str">
        <f t="shared" si="55"/>
        <v/>
      </c>
      <c r="AI198" s="4" t="str">
        <f t="shared" si="56"/>
        <v/>
      </c>
      <c r="AJ198" s="4" t="str">
        <f t="shared" si="57"/>
        <v/>
      </c>
      <c r="AK198" s="15" t="str">
        <f>IF(A198="","",SUMIFS(分期缴税台账!$K$2:$K$501,分期缴税台账!$T$2:$T$501,A198,分期缴税台账!$Q$2:$Q$501,"有效"))</f>
        <v/>
      </c>
      <c r="AL198" s="15" t="str">
        <f t="shared" si="58"/>
        <v/>
      </c>
      <c r="AM198" s="4" t="str">
        <f t="shared" si="59"/>
        <v/>
      </c>
    </row>
    <row r="199" spans="1:39" x14ac:dyDescent="0.3">
      <c r="A199" s="9"/>
      <c r="B199" s="4" t="str">
        <f t="shared" si="45"/>
        <v/>
      </c>
      <c r="C199" s="9"/>
      <c r="D199" s="9"/>
      <c r="E199" s="9"/>
      <c r="F199" s="9"/>
      <c r="G199" s="13"/>
      <c r="H199" s="4" t="str">
        <f t="shared" si="46"/>
        <v/>
      </c>
      <c r="I199" s="9"/>
      <c r="J199" s="14"/>
      <c r="K199" s="15" t="str">
        <f>IF(OR(E199="",F199="",G199=""),"",IF(E199&lt;&gt;计划参数!$C$2,"",IF(F199="股票期权",IFERROR(LOOKUP(G199,计划参数!$D$12:$D$15,计划参数!$C$12:$C$15),""),IF(F199="限制性股票",计划参数!$C$10,""))))</f>
        <v/>
      </c>
      <c r="L199" s="15" t="str">
        <f>IF(AND(E199=计划参数!$C$2,F199="限制性股票",G199&gt;=计划参数!$D$9),计划参数!$C$9,"")</f>
        <v/>
      </c>
      <c r="M199" s="9"/>
      <c r="N199" s="14"/>
      <c r="O199" s="14"/>
      <c r="P199" s="13"/>
      <c r="Q199" s="9"/>
      <c r="R199" s="13"/>
      <c r="S199" s="15" t="str">
        <f t="shared" si="47"/>
        <v/>
      </c>
      <c r="T199" s="15" t="str">
        <f t="shared" si="48"/>
        <v/>
      </c>
      <c r="U199" s="15" t="str">
        <f t="shared" si="49"/>
        <v/>
      </c>
      <c r="V199" s="15" t="str">
        <f t="shared" si="50"/>
        <v/>
      </c>
      <c r="W199" s="16" t="str">
        <f>IF(V199="","",VLOOKUP(V199,税率及规则!$A$2:$C$8,2,TRUE))</f>
        <v/>
      </c>
      <c r="X199" s="15" t="str">
        <f>IF(V199="","",VLOOKUP(V199,税率及规则!$A$2:$C$8,3,TRUE))</f>
        <v/>
      </c>
      <c r="Y199" s="15" t="str">
        <f t="shared" si="51"/>
        <v/>
      </c>
      <c r="Z199" s="15" t="str">
        <f>IF(U199="","",MAX(0,U199*VLOOKUP(U199,税率及规则!$A$2:$C$8,2,TRUE)-VLOOKUP(U199,税率及规则!$A$2:$C$8,3,TRUE)))</f>
        <v/>
      </c>
      <c r="AA199" s="15" t="str">
        <f t="shared" si="52"/>
        <v/>
      </c>
      <c r="AB199" s="17" t="str">
        <f t="shared" si="53"/>
        <v/>
      </c>
      <c r="AC199" s="17" t="str">
        <f t="shared" si="54"/>
        <v/>
      </c>
      <c r="AD199" s="4" t="str">
        <f>IF(A199="","",IF(COUNTIF($A$2:$A$501,A199)&gt;1,"异常：事件编号重复",IF(OR(C199="",D199="",E199="",F199="",G199=""),"异常：必填项缺失",IF(AND(F199="其他股权激励",O199=""),"异常：其他股权激励所得缺失",IF(AND(F199&lt;&gt;"其他股权激励",OR(I199="",J199="")),"异常：数量或市场价缺失",IF(AND(F199&lt;&gt;"其他股权激励",OR(I199&lt;=0,J199&lt;0)),"异常：数量或价格无效",IF(AND(F199="限制性股票",OR(M199&lt;=0,N199&lt;0,I199&gt;M199)),"异常：个人获授或出资数据无效",IF(AND(IFERROR(INDEX(计划参数!$J$2:$J$501,MATCH(C199,计划参数!$I$2:$I$501,0)),"")&lt;&gt;"",D199&lt;&gt;IFERROR(INDEX(计划参数!$J$2:$J$501,MATCH(C199,计划参数!$I$2:$I$501,0)),"")),"异常：姓名与员工主数据不一致",IF(S199&lt;0,"异常：原始所得为负，已按0计税",IF(OR(AND(F199="股票期权",K199=""),AND(F199="限制性股票",OR(K199="",L199=""))),"异常：计划参数缺失",IF(COUNTIF(计划参数!$I$2:$I$501,C199)=0,"提示：员工编号未在主数据",IF(Q199&lt;&gt;"已备案","提示：未确认备案","正常"))))))))))))</f>
        <v/>
      </c>
      <c r="AE199" s="9"/>
      <c r="AF199" s="4" t="str">
        <f>IF(C199="","",IF(COUNTIF($C$2:C199,C199)=1,MAX($AF$1:AF198)+1,""))</f>
        <v/>
      </c>
      <c r="AG199" s="4" t="str">
        <f>IF(C199="","",COUNTIF($C$2:C199,C199))</f>
        <v/>
      </c>
      <c r="AH199" s="4" t="str">
        <f t="shared" si="55"/>
        <v/>
      </c>
      <c r="AI199" s="4" t="str">
        <f t="shared" si="56"/>
        <v/>
      </c>
      <c r="AJ199" s="4" t="str">
        <f t="shared" si="57"/>
        <v/>
      </c>
      <c r="AK199" s="15" t="str">
        <f>IF(A199="","",SUMIFS(分期缴税台账!$K$2:$K$501,分期缴税台账!$T$2:$T$501,A199,分期缴税台账!$Q$2:$Q$501,"有效"))</f>
        <v/>
      </c>
      <c r="AL199" s="15" t="str">
        <f t="shared" si="58"/>
        <v/>
      </c>
      <c r="AM199" s="4" t="str">
        <f t="shared" si="59"/>
        <v/>
      </c>
    </row>
    <row r="200" spans="1:39" x14ac:dyDescent="0.3">
      <c r="A200" s="9"/>
      <c r="B200" s="4" t="str">
        <f t="shared" si="45"/>
        <v/>
      </c>
      <c r="C200" s="9"/>
      <c r="D200" s="9"/>
      <c r="E200" s="9"/>
      <c r="F200" s="9"/>
      <c r="G200" s="13"/>
      <c r="H200" s="4" t="str">
        <f t="shared" si="46"/>
        <v/>
      </c>
      <c r="I200" s="9"/>
      <c r="J200" s="14"/>
      <c r="K200" s="15" t="str">
        <f>IF(OR(E200="",F200="",G200=""),"",IF(E200&lt;&gt;计划参数!$C$2,"",IF(F200="股票期权",IFERROR(LOOKUP(G200,计划参数!$D$12:$D$15,计划参数!$C$12:$C$15),""),IF(F200="限制性股票",计划参数!$C$10,""))))</f>
        <v/>
      </c>
      <c r="L200" s="15" t="str">
        <f>IF(AND(E200=计划参数!$C$2,F200="限制性股票",G200&gt;=计划参数!$D$9),计划参数!$C$9,"")</f>
        <v/>
      </c>
      <c r="M200" s="9"/>
      <c r="N200" s="14"/>
      <c r="O200" s="14"/>
      <c r="P200" s="13"/>
      <c r="Q200" s="9"/>
      <c r="R200" s="13"/>
      <c r="S200" s="15" t="str">
        <f t="shared" si="47"/>
        <v/>
      </c>
      <c r="T200" s="15" t="str">
        <f t="shared" si="48"/>
        <v/>
      </c>
      <c r="U200" s="15" t="str">
        <f t="shared" si="49"/>
        <v/>
      </c>
      <c r="V200" s="15" t="str">
        <f t="shared" si="50"/>
        <v/>
      </c>
      <c r="W200" s="16" t="str">
        <f>IF(V200="","",VLOOKUP(V200,税率及规则!$A$2:$C$8,2,TRUE))</f>
        <v/>
      </c>
      <c r="X200" s="15" t="str">
        <f>IF(V200="","",VLOOKUP(V200,税率及规则!$A$2:$C$8,3,TRUE))</f>
        <v/>
      </c>
      <c r="Y200" s="15" t="str">
        <f t="shared" si="51"/>
        <v/>
      </c>
      <c r="Z200" s="15" t="str">
        <f>IF(U200="","",MAX(0,U200*VLOOKUP(U200,税率及规则!$A$2:$C$8,2,TRUE)-VLOOKUP(U200,税率及规则!$A$2:$C$8,3,TRUE)))</f>
        <v/>
      </c>
      <c r="AA200" s="15" t="str">
        <f t="shared" si="52"/>
        <v/>
      </c>
      <c r="AB200" s="17" t="str">
        <f t="shared" si="53"/>
        <v/>
      </c>
      <c r="AC200" s="17" t="str">
        <f t="shared" si="54"/>
        <v/>
      </c>
      <c r="AD200" s="4" t="str">
        <f>IF(A200="","",IF(COUNTIF($A$2:$A$501,A200)&gt;1,"异常：事件编号重复",IF(OR(C200="",D200="",E200="",F200="",G200=""),"异常：必填项缺失",IF(AND(F200="其他股权激励",O200=""),"异常：其他股权激励所得缺失",IF(AND(F200&lt;&gt;"其他股权激励",OR(I200="",J200="")),"异常：数量或市场价缺失",IF(AND(F200&lt;&gt;"其他股权激励",OR(I200&lt;=0,J200&lt;0)),"异常：数量或价格无效",IF(AND(F200="限制性股票",OR(M200&lt;=0,N200&lt;0,I200&gt;M200)),"异常：个人获授或出资数据无效",IF(AND(IFERROR(INDEX(计划参数!$J$2:$J$501,MATCH(C200,计划参数!$I$2:$I$501,0)),"")&lt;&gt;"",D200&lt;&gt;IFERROR(INDEX(计划参数!$J$2:$J$501,MATCH(C200,计划参数!$I$2:$I$501,0)),"")),"异常：姓名与员工主数据不一致",IF(S200&lt;0,"异常：原始所得为负，已按0计税",IF(OR(AND(F200="股票期权",K200=""),AND(F200="限制性股票",OR(K200="",L200=""))),"异常：计划参数缺失",IF(COUNTIF(计划参数!$I$2:$I$501,C200)=0,"提示：员工编号未在主数据",IF(Q200&lt;&gt;"已备案","提示：未确认备案","正常"))))))))))))</f>
        <v/>
      </c>
      <c r="AE200" s="9"/>
      <c r="AF200" s="4" t="str">
        <f>IF(C200="","",IF(COUNTIF($C$2:C200,C200)=1,MAX($AF$1:AF199)+1,""))</f>
        <v/>
      </c>
      <c r="AG200" s="4" t="str">
        <f>IF(C200="","",COUNTIF($C$2:C200,C200))</f>
        <v/>
      </c>
      <c r="AH200" s="4" t="str">
        <f t="shared" si="55"/>
        <v/>
      </c>
      <c r="AI200" s="4" t="str">
        <f t="shared" si="56"/>
        <v/>
      </c>
      <c r="AJ200" s="4" t="str">
        <f t="shared" si="57"/>
        <v/>
      </c>
      <c r="AK200" s="15" t="str">
        <f>IF(A200="","",SUMIFS(分期缴税台账!$K$2:$K$501,分期缴税台账!$T$2:$T$501,A200,分期缴税台账!$Q$2:$Q$501,"有效"))</f>
        <v/>
      </c>
      <c r="AL200" s="15" t="str">
        <f t="shared" si="58"/>
        <v/>
      </c>
      <c r="AM200" s="4" t="str">
        <f t="shared" si="59"/>
        <v/>
      </c>
    </row>
    <row r="201" spans="1:39" x14ac:dyDescent="0.3">
      <c r="A201" s="9"/>
      <c r="B201" s="4" t="str">
        <f t="shared" si="45"/>
        <v/>
      </c>
      <c r="C201" s="9"/>
      <c r="D201" s="9"/>
      <c r="E201" s="9"/>
      <c r="F201" s="9"/>
      <c r="G201" s="13"/>
      <c r="H201" s="4" t="str">
        <f t="shared" si="46"/>
        <v/>
      </c>
      <c r="I201" s="9"/>
      <c r="J201" s="14"/>
      <c r="K201" s="15" t="str">
        <f>IF(OR(E201="",F201="",G201=""),"",IF(E201&lt;&gt;计划参数!$C$2,"",IF(F201="股票期权",IFERROR(LOOKUP(G201,计划参数!$D$12:$D$15,计划参数!$C$12:$C$15),""),IF(F201="限制性股票",计划参数!$C$10,""))))</f>
        <v/>
      </c>
      <c r="L201" s="15" t="str">
        <f>IF(AND(E201=计划参数!$C$2,F201="限制性股票",G201&gt;=计划参数!$D$9),计划参数!$C$9,"")</f>
        <v/>
      </c>
      <c r="M201" s="9"/>
      <c r="N201" s="14"/>
      <c r="O201" s="14"/>
      <c r="P201" s="13"/>
      <c r="Q201" s="9"/>
      <c r="R201" s="13"/>
      <c r="S201" s="15" t="str">
        <f t="shared" si="47"/>
        <v/>
      </c>
      <c r="T201" s="15" t="str">
        <f t="shared" si="48"/>
        <v/>
      </c>
      <c r="U201" s="15" t="str">
        <f t="shared" si="49"/>
        <v/>
      </c>
      <c r="V201" s="15" t="str">
        <f t="shared" si="50"/>
        <v/>
      </c>
      <c r="W201" s="16" t="str">
        <f>IF(V201="","",VLOOKUP(V201,税率及规则!$A$2:$C$8,2,TRUE))</f>
        <v/>
      </c>
      <c r="X201" s="15" t="str">
        <f>IF(V201="","",VLOOKUP(V201,税率及规则!$A$2:$C$8,3,TRUE))</f>
        <v/>
      </c>
      <c r="Y201" s="15" t="str">
        <f t="shared" si="51"/>
        <v/>
      </c>
      <c r="Z201" s="15" t="str">
        <f>IF(U201="","",MAX(0,U201*VLOOKUP(U201,税率及规则!$A$2:$C$8,2,TRUE)-VLOOKUP(U201,税率及规则!$A$2:$C$8,3,TRUE)))</f>
        <v/>
      </c>
      <c r="AA201" s="15" t="str">
        <f t="shared" si="52"/>
        <v/>
      </c>
      <c r="AB201" s="17" t="str">
        <f t="shared" si="53"/>
        <v/>
      </c>
      <c r="AC201" s="17" t="str">
        <f t="shared" si="54"/>
        <v/>
      </c>
      <c r="AD201" s="4" t="str">
        <f>IF(A201="","",IF(COUNTIF($A$2:$A$501,A201)&gt;1,"异常：事件编号重复",IF(OR(C201="",D201="",E201="",F201="",G201=""),"异常：必填项缺失",IF(AND(F201="其他股权激励",O201=""),"异常：其他股权激励所得缺失",IF(AND(F201&lt;&gt;"其他股权激励",OR(I201="",J201="")),"异常：数量或市场价缺失",IF(AND(F201&lt;&gt;"其他股权激励",OR(I201&lt;=0,J201&lt;0)),"异常：数量或价格无效",IF(AND(F201="限制性股票",OR(M201&lt;=0,N201&lt;0,I201&gt;M201)),"异常：个人获授或出资数据无效",IF(AND(IFERROR(INDEX(计划参数!$J$2:$J$501,MATCH(C201,计划参数!$I$2:$I$501,0)),"")&lt;&gt;"",D201&lt;&gt;IFERROR(INDEX(计划参数!$J$2:$J$501,MATCH(C201,计划参数!$I$2:$I$501,0)),"")),"异常：姓名与员工主数据不一致",IF(S201&lt;0,"异常：原始所得为负，已按0计税",IF(OR(AND(F201="股票期权",K201=""),AND(F201="限制性股票",OR(K201="",L201=""))),"异常：计划参数缺失",IF(COUNTIF(计划参数!$I$2:$I$501,C201)=0,"提示：员工编号未在主数据",IF(Q201&lt;&gt;"已备案","提示：未确认备案","正常"))))))))))))</f>
        <v/>
      </c>
      <c r="AE201" s="9"/>
      <c r="AF201" s="4" t="str">
        <f>IF(C201="","",IF(COUNTIF($C$2:C201,C201)=1,MAX($AF$1:AF200)+1,""))</f>
        <v/>
      </c>
      <c r="AG201" s="4" t="str">
        <f>IF(C201="","",COUNTIF($C$2:C201,C201))</f>
        <v/>
      </c>
      <c r="AH201" s="4" t="str">
        <f t="shared" si="55"/>
        <v/>
      </c>
      <c r="AI201" s="4" t="str">
        <f t="shared" si="56"/>
        <v/>
      </c>
      <c r="AJ201" s="4" t="str">
        <f t="shared" si="57"/>
        <v/>
      </c>
      <c r="AK201" s="15" t="str">
        <f>IF(A201="","",SUMIFS(分期缴税台账!$K$2:$K$501,分期缴税台账!$T$2:$T$501,A201,分期缴税台账!$Q$2:$Q$501,"有效"))</f>
        <v/>
      </c>
      <c r="AL201" s="15" t="str">
        <f t="shared" si="58"/>
        <v/>
      </c>
      <c r="AM201" s="4" t="str">
        <f t="shared" si="59"/>
        <v/>
      </c>
    </row>
    <row r="202" spans="1:39" x14ac:dyDescent="0.3">
      <c r="A202" s="9"/>
      <c r="B202" s="4" t="str">
        <f t="shared" si="45"/>
        <v/>
      </c>
      <c r="C202" s="9"/>
      <c r="D202" s="9"/>
      <c r="E202" s="9"/>
      <c r="F202" s="9"/>
      <c r="G202" s="13"/>
      <c r="H202" s="4" t="str">
        <f t="shared" si="46"/>
        <v/>
      </c>
      <c r="I202" s="9"/>
      <c r="J202" s="14"/>
      <c r="K202" s="15" t="str">
        <f>IF(OR(E202="",F202="",G202=""),"",IF(E202&lt;&gt;计划参数!$C$2,"",IF(F202="股票期权",IFERROR(LOOKUP(G202,计划参数!$D$12:$D$15,计划参数!$C$12:$C$15),""),IF(F202="限制性股票",计划参数!$C$10,""))))</f>
        <v/>
      </c>
      <c r="L202" s="15" t="str">
        <f>IF(AND(E202=计划参数!$C$2,F202="限制性股票",G202&gt;=计划参数!$D$9),计划参数!$C$9,"")</f>
        <v/>
      </c>
      <c r="M202" s="9"/>
      <c r="N202" s="14"/>
      <c r="O202" s="14"/>
      <c r="P202" s="13"/>
      <c r="Q202" s="9"/>
      <c r="R202" s="13"/>
      <c r="S202" s="15" t="str">
        <f t="shared" si="47"/>
        <v/>
      </c>
      <c r="T202" s="15" t="str">
        <f t="shared" si="48"/>
        <v/>
      </c>
      <c r="U202" s="15" t="str">
        <f t="shared" si="49"/>
        <v/>
      </c>
      <c r="V202" s="15" t="str">
        <f t="shared" si="50"/>
        <v/>
      </c>
      <c r="W202" s="16" t="str">
        <f>IF(V202="","",VLOOKUP(V202,税率及规则!$A$2:$C$8,2,TRUE))</f>
        <v/>
      </c>
      <c r="X202" s="15" t="str">
        <f>IF(V202="","",VLOOKUP(V202,税率及规则!$A$2:$C$8,3,TRUE))</f>
        <v/>
      </c>
      <c r="Y202" s="15" t="str">
        <f t="shared" si="51"/>
        <v/>
      </c>
      <c r="Z202" s="15" t="str">
        <f>IF(U202="","",MAX(0,U202*VLOOKUP(U202,税率及规则!$A$2:$C$8,2,TRUE)-VLOOKUP(U202,税率及规则!$A$2:$C$8,3,TRUE)))</f>
        <v/>
      </c>
      <c r="AA202" s="15" t="str">
        <f t="shared" si="52"/>
        <v/>
      </c>
      <c r="AB202" s="17" t="str">
        <f t="shared" si="53"/>
        <v/>
      </c>
      <c r="AC202" s="17" t="str">
        <f t="shared" si="54"/>
        <v/>
      </c>
      <c r="AD202" s="4" t="str">
        <f>IF(A202="","",IF(COUNTIF($A$2:$A$501,A202)&gt;1,"异常：事件编号重复",IF(OR(C202="",D202="",E202="",F202="",G202=""),"异常：必填项缺失",IF(AND(F202="其他股权激励",O202=""),"异常：其他股权激励所得缺失",IF(AND(F202&lt;&gt;"其他股权激励",OR(I202="",J202="")),"异常：数量或市场价缺失",IF(AND(F202&lt;&gt;"其他股权激励",OR(I202&lt;=0,J202&lt;0)),"异常：数量或价格无效",IF(AND(F202="限制性股票",OR(M202&lt;=0,N202&lt;0,I202&gt;M202)),"异常：个人获授或出资数据无效",IF(AND(IFERROR(INDEX(计划参数!$J$2:$J$501,MATCH(C202,计划参数!$I$2:$I$501,0)),"")&lt;&gt;"",D202&lt;&gt;IFERROR(INDEX(计划参数!$J$2:$J$501,MATCH(C202,计划参数!$I$2:$I$501,0)),"")),"异常：姓名与员工主数据不一致",IF(S202&lt;0,"异常：原始所得为负，已按0计税",IF(OR(AND(F202="股票期权",K202=""),AND(F202="限制性股票",OR(K202="",L202=""))),"异常：计划参数缺失",IF(COUNTIF(计划参数!$I$2:$I$501,C202)=0,"提示：员工编号未在主数据",IF(Q202&lt;&gt;"已备案","提示：未确认备案","正常"))))))))))))</f>
        <v/>
      </c>
      <c r="AE202" s="9"/>
      <c r="AF202" s="4" t="str">
        <f>IF(C202="","",IF(COUNTIF($C$2:C202,C202)=1,MAX($AF$1:AF201)+1,""))</f>
        <v/>
      </c>
      <c r="AG202" s="4" t="str">
        <f>IF(C202="","",COUNTIF($C$2:C202,C202))</f>
        <v/>
      </c>
      <c r="AH202" s="4" t="str">
        <f t="shared" si="55"/>
        <v/>
      </c>
      <c r="AI202" s="4" t="str">
        <f t="shared" si="56"/>
        <v/>
      </c>
      <c r="AJ202" s="4" t="str">
        <f t="shared" si="57"/>
        <v/>
      </c>
      <c r="AK202" s="15" t="str">
        <f>IF(A202="","",SUMIFS(分期缴税台账!$K$2:$K$501,分期缴税台账!$T$2:$T$501,A202,分期缴税台账!$Q$2:$Q$501,"有效"))</f>
        <v/>
      </c>
      <c r="AL202" s="15" t="str">
        <f t="shared" si="58"/>
        <v/>
      </c>
      <c r="AM202" s="4" t="str">
        <f t="shared" si="59"/>
        <v/>
      </c>
    </row>
    <row r="203" spans="1:39" x14ac:dyDescent="0.3">
      <c r="A203" s="9"/>
      <c r="B203" s="4" t="str">
        <f t="shared" si="45"/>
        <v/>
      </c>
      <c r="C203" s="9"/>
      <c r="D203" s="9"/>
      <c r="E203" s="9"/>
      <c r="F203" s="9"/>
      <c r="G203" s="13"/>
      <c r="H203" s="4" t="str">
        <f t="shared" si="46"/>
        <v/>
      </c>
      <c r="I203" s="9"/>
      <c r="J203" s="14"/>
      <c r="K203" s="15" t="str">
        <f>IF(OR(E203="",F203="",G203=""),"",IF(E203&lt;&gt;计划参数!$C$2,"",IF(F203="股票期权",IFERROR(LOOKUP(G203,计划参数!$D$12:$D$15,计划参数!$C$12:$C$15),""),IF(F203="限制性股票",计划参数!$C$10,""))))</f>
        <v/>
      </c>
      <c r="L203" s="15" t="str">
        <f>IF(AND(E203=计划参数!$C$2,F203="限制性股票",G203&gt;=计划参数!$D$9),计划参数!$C$9,"")</f>
        <v/>
      </c>
      <c r="M203" s="9"/>
      <c r="N203" s="14"/>
      <c r="O203" s="14"/>
      <c r="P203" s="13"/>
      <c r="Q203" s="9"/>
      <c r="R203" s="13"/>
      <c r="S203" s="15" t="str">
        <f t="shared" si="47"/>
        <v/>
      </c>
      <c r="T203" s="15" t="str">
        <f t="shared" si="48"/>
        <v/>
      </c>
      <c r="U203" s="15" t="str">
        <f t="shared" si="49"/>
        <v/>
      </c>
      <c r="V203" s="15" t="str">
        <f t="shared" si="50"/>
        <v/>
      </c>
      <c r="W203" s="16" t="str">
        <f>IF(V203="","",VLOOKUP(V203,税率及规则!$A$2:$C$8,2,TRUE))</f>
        <v/>
      </c>
      <c r="X203" s="15" t="str">
        <f>IF(V203="","",VLOOKUP(V203,税率及规则!$A$2:$C$8,3,TRUE))</f>
        <v/>
      </c>
      <c r="Y203" s="15" t="str">
        <f t="shared" si="51"/>
        <v/>
      </c>
      <c r="Z203" s="15" t="str">
        <f>IF(U203="","",MAX(0,U203*VLOOKUP(U203,税率及规则!$A$2:$C$8,2,TRUE)-VLOOKUP(U203,税率及规则!$A$2:$C$8,3,TRUE)))</f>
        <v/>
      </c>
      <c r="AA203" s="15" t="str">
        <f t="shared" si="52"/>
        <v/>
      </c>
      <c r="AB203" s="17" t="str">
        <f t="shared" si="53"/>
        <v/>
      </c>
      <c r="AC203" s="17" t="str">
        <f t="shared" si="54"/>
        <v/>
      </c>
      <c r="AD203" s="4" t="str">
        <f>IF(A203="","",IF(COUNTIF($A$2:$A$501,A203)&gt;1,"异常：事件编号重复",IF(OR(C203="",D203="",E203="",F203="",G203=""),"异常：必填项缺失",IF(AND(F203="其他股权激励",O203=""),"异常：其他股权激励所得缺失",IF(AND(F203&lt;&gt;"其他股权激励",OR(I203="",J203="")),"异常：数量或市场价缺失",IF(AND(F203&lt;&gt;"其他股权激励",OR(I203&lt;=0,J203&lt;0)),"异常：数量或价格无效",IF(AND(F203="限制性股票",OR(M203&lt;=0,N203&lt;0,I203&gt;M203)),"异常：个人获授或出资数据无效",IF(AND(IFERROR(INDEX(计划参数!$J$2:$J$501,MATCH(C203,计划参数!$I$2:$I$501,0)),"")&lt;&gt;"",D203&lt;&gt;IFERROR(INDEX(计划参数!$J$2:$J$501,MATCH(C203,计划参数!$I$2:$I$501,0)),"")),"异常：姓名与员工主数据不一致",IF(S203&lt;0,"异常：原始所得为负，已按0计税",IF(OR(AND(F203="股票期权",K203=""),AND(F203="限制性股票",OR(K203="",L203=""))),"异常：计划参数缺失",IF(COUNTIF(计划参数!$I$2:$I$501,C203)=0,"提示：员工编号未在主数据",IF(Q203&lt;&gt;"已备案","提示：未确认备案","正常"))))))))))))</f>
        <v/>
      </c>
      <c r="AE203" s="9"/>
      <c r="AF203" s="4" t="str">
        <f>IF(C203="","",IF(COUNTIF($C$2:C203,C203)=1,MAX($AF$1:AF202)+1,""))</f>
        <v/>
      </c>
      <c r="AG203" s="4" t="str">
        <f>IF(C203="","",COUNTIF($C$2:C203,C203))</f>
        <v/>
      </c>
      <c r="AH203" s="4" t="str">
        <f t="shared" si="55"/>
        <v/>
      </c>
      <c r="AI203" s="4" t="str">
        <f t="shared" si="56"/>
        <v/>
      </c>
      <c r="AJ203" s="4" t="str">
        <f t="shared" si="57"/>
        <v/>
      </c>
      <c r="AK203" s="15" t="str">
        <f>IF(A203="","",SUMIFS(分期缴税台账!$K$2:$K$501,分期缴税台账!$T$2:$T$501,A203,分期缴税台账!$Q$2:$Q$501,"有效"))</f>
        <v/>
      </c>
      <c r="AL203" s="15" t="str">
        <f t="shared" si="58"/>
        <v/>
      </c>
      <c r="AM203" s="4" t="str">
        <f t="shared" si="59"/>
        <v/>
      </c>
    </row>
    <row r="204" spans="1:39" x14ac:dyDescent="0.3">
      <c r="A204" s="9"/>
      <c r="B204" s="4" t="str">
        <f t="shared" si="45"/>
        <v/>
      </c>
      <c r="C204" s="9"/>
      <c r="D204" s="9"/>
      <c r="E204" s="9"/>
      <c r="F204" s="9"/>
      <c r="G204" s="13"/>
      <c r="H204" s="4" t="str">
        <f t="shared" si="46"/>
        <v/>
      </c>
      <c r="I204" s="9"/>
      <c r="J204" s="14"/>
      <c r="K204" s="15" t="str">
        <f>IF(OR(E204="",F204="",G204=""),"",IF(E204&lt;&gt;计划参数!$C$2,"",IF(F204="股票期权",IFERROR(LOOKUP(G204,计划参数!$D$12:$D$15,计划参数!$C$12:$C$15),""),IF(F204="限制性股票",计划参数!$C$10,""))))</f>
        <v/>
      </c>
      <c r="L204" s="15" t="str">
        <f>IF(AND(E204=计划参数!$C$2,F204="限制性股票",G204&gt;=计划参数!$D$9),计划参数!$C$9,"")</f>
        <v/>
      </c>
      <c r="M204" s="9"/>
      <c r="N204" s="14"/>
      <c r="O204" s="14"/>
      <c r="P204" s="13"/>
      <c r="Q204" s="9"/>
      <c r="R204" s="13"/>
      <c r="S204" s="15" t="str">
        <f t="shared" si="47"/>
        <v/>
      </c>
      <c r="T204" s="15" t="str">
        <f t="shared" si="48"/>
        <v/>
      </c>
      <c r="U204" s="15" t="str">
        <f t="shared" si="49"/>
        <v/>
      </c>
      <c r="V204" s="15" t="str">
        <f t="shared" si="50"/>
        <v/>
      </c>
      <c r="W204" s="16" t="str">
        <f>IF(V204="","",VLOOKUP(V204,税率及规则!$A$2:$C$8,2,TRUE))</f>
        <v/>
      </c>
      <c r="X204" s="15" t="str">
        <f>IF(V204="","",VLOOKUP(V204,税率及规则!$A$2:$C$8,3,TRUE))</f>
        <v/>
      </c>
      <c r="Y204" s="15" t="str">
        <f t="shared" si="51"/>
        <v/>
      </c>
      <c r="Z204" s="15" t="str">
        <f>IF(U204="","",MAX(0,U204*VLOOKUP(U204,税率及规则!$A$2:$C$8,2,TRUE)-VLOOKUP(U204,税率及规则!$A$2:$C$8,3,TRUE)))</f>
        <v/>
      </c>
      <c r="AA204" s="15" t="str">
        <f t="shared" si="52"/>
        <v/>
      </c>
      <c r="AB204" s="17" t="str">
        <f t="shared" si="53"/>
        <v/>
      </c>
      <c r="AC204" s="17" t="str">
        <f t="shared" si="54"/>
        <v/>
      </c>
      <c r="AD204" s="4" t="str">
        <f>IF(A204="","",IF(COUNTIF($A$2:$A$501,A204)&gt;1,"异常：事件编号重复",IF(OR(C204="",D204="",E204="",F204="",G204=""),"异常：必填项缺失",IF(AND(F204="其他股权激励",O204=""),"异常：其他股权激励所得缺失",IF(AND(F204&lt;&gt;"其他股权激励",OR(I204="",J204="")),"异常：数量或市场价缺失",IF(AND(F204&lt;&gt;"其他股权激励",OR(I204&lt;=0,J204&lt;0)),"异常：数量或价格无效",IF(AND(F204="限制性股票",OR(M204&lt;=0,N204&lt;0,I204&gt;M204)),"异常：个人获授或出资数据无效",IF(AND(IFERROR(INDEX(计划参数!$J$2:$J$501,MATCH(C204,计划参数!$I$2:$I$501,0)),"")&lt;&gt;"",D204&lt;&gt;IFERROR(INDEX(计划参数!$J$2:$J$501,MATCH(C204,计划参数!$I$2:$I$501,0)),"")),"异常：姓名与员工主数据不一致",IF(S204&lt;0,"异常：原始所得为负，已按0计税",IF(OR(AND(F204="股票期权",K204=""),AND(F204="限制性股票",OR(K204="",L204=""))),"异常：计划参数缺失",IF(COUNTIF(计划参数!$I$2:$I$501,C204)=0,"提示：员工编号未在主数据",IF(Q204&lt;&gt;"已备案","提示：未确认备案","正常"))))))))))))</f>
        <v/>
      </c>
      <c r="AE204" s="9"/>
      <c r="AF204" s="4" t="str">
        <f>IF(C204="","",IF(COUNTIF($C$2:C204,C204)=1,MAX($AF$1:AF203)+1,""))</f>
        <v/>
      </c>
      <c r="AG204" s="4" t="str">
        <f>IF(C204="","",COUNTIF($C$2:C204,C204))</f>
        <v/>
      </c>
      <c r="AH204" s="4" t="str">
        <f t="shared" si="55"/>
        <v/>
      </c>
      <c r="AI204" s="4" t="str">
        <f t="shared" si="56"/>
        <v/>
      </c>
      <c r="AJ204" s="4" t="str">
        <f t="shared" si="57"/>
        <v/>
      </c>
      <c r="AK204" s="15" t="str">
        <f>IF(A204="","",SUMIFS(分期缴税台账!$K$2:$K$501,分期缴税台账!$T$2:$T$501,A204,分期缴税台账!$Q$2:$Q$501,"有效"))</f>
        <v/>
      </c>
      <c r="AL204" s="15" t="str">
        <f t="shared" si="58"/>
        <v/>
      </c>
      <c r="AM204" s="4" t="str">
        <f t="shared" si="59"/>
        <v/>
      </c>
    </row>
    <row r="205" spans="1:39" x14ac:dyDescent="0.3">
      <c r="A205" s="9"/>
      <c r="B205" s="4" t="str">
        <f t="shared" si="45"/>
        <v/>
      </c>
      <c r="C205" s="9"/>
      <c r="D205" s="9"/>
      <c r="E205" s="9"/>
      <c r="F205" s="9"/>
      <c r="G205" s="13"/>
      <c r="H205" s="4" t="str">
        <f t="shared" si="46"/>
        <v/>
      </c>
      <c r="I205" s="9"/>
      <c r="J205" s="14"/>
      <c r="K205" s="15" t="str">
        <f>IF(OR(E205="",F205="",G205=""),"",IF(E205&lt;&gt;计划参数!$C$2,"",IF(F205="股票期权",IFERROR(LOOKUP(G205,计划参数!$D$12:$D$15,计划参数!$C$12:$C$15),""),IF(F205="限制性股票",计划参数!$C$10,""))))</f>
        <v/>
      </c>
      <c r="L205" s="15" t="str">
        <f>IF(AND(E205=计划参数!$C$2,F205="限制性股票",G205&gt;=计划参数!$D$9),计划参数!$C$9,"")</f>
        <v/>
      </c>
      <c r="M205" s="9"/>
      <c r="N205" s="14"/>
      <c r="O205" s="14"/>
      <c r="P205" s="13"/>
      <c r="Q205" s="9"/>
      <c r="R205" s="13"/>
      <c r="S205" s="15" t="str">
        <f t="shared" si="47"/>
        <v/>
      </c>
      <c r="T205" s="15" t="str">
        <f t="shared" si="48"/>
        <v/>
      </c>
      <c r="U205" s="15" t="str">
        <f t="shared" si="49"/>
        <v/>
      </c>
      <c r="V205" s="15" t="str">
        <f t="shared" si="50"/>
        <v/>
      </c>
      <c r="W205" s="16" t="str">
        <f>IF(V205="","",VLOOKUP(V205,税率及规则!$A$2:$C$8,2,TRUE))</f>
        <v/>
      </c>
      <c r="X205" s="15" t="str">
        <f>IF(V205="","",VLOOKUP(V205,税率及规则!$A$2:$C$8,3,TRUE))</f>
        <v/>
      </c>
      <c r="Y205" s="15" t="str">
        <f t="shared" si="51"/>
        <v/>
      </c>
      <c r="Z205" s="15" t="str">
        <f>IF(U205="","",MAX(0,U205*VLOOKUP(U205,税率及规则!$A$2:$C$8,2,TRUE)-VLOOKUP(U205,税率及规则!$A$2:$C$8,3,TRUE)))</f>
        <v/>
      </c>
      <c r="AA205" s="15" t="str">
        <f t="shared" si="52"/>
        <v/>
      </c>
      <c r="AB205" s="17" t="str">
        <f t="shared" si="53"/>
        <v/>
      </c>
      <c r="AC205" s="17" t="str">
        <f t="shared" si="54"/>
        <v/>
      </c>
      <c r="AD205" s="4" t="str">
        <f>IF(A205="","",IF(COUNTIF($A$2:$A$501,A205)&gt;1,"异常：事件编号重复",IF(OR(C205="",D205="",E205="",F205="",G205=""),"异常：必填项缺失",IF(AND(F205="其他股权激励",O205=""),"异常：其他股权激励所得缺失",IF(AND(F205&lt;&gt;"其他股权激励",OR(I205="",J205="")),"异常：数量或市场价缺失",IF(AND(F205&lt;&gt;"其他股权激励",OR(I205&lt;=0,J205&lt;0)),"异常：数量或价格无效",IF(AND(F205="限制性股票",OR(M205&lt;=0,N205&lt;0,I205&gt;M205)),"异常：个人获授或出资数据无效",IF(AND(IFERROR(INDEX(计划参数!$J$2:$J$501,MATCH(C205,计划参数!$I$2:$I$501,0)),"")&lt;&gt;"",D205&lt;&gt;IFERROR(INDEX(计划参数!$J$2:$J$501,MATCH(C205,计划参数!$I$2:$I$501,0)),"")),"异常：姓名与员工主数据不一致",IF(S205&lt;0,"异常：原始所得为负，已按0计税",IF(OR(AND(F205="股票期权",K205=""),AND(F205="限制性股票",OR(K205="",L205=""))),"异常：计划参数缺失",IF(COUNTIF(计划参数!$I$2:$I$501,C205)=0,"提示：员工编号未在主数据",IF(Q205&lt;&gt;"已备案","提示：未确认备案","正常"))))))))))))</f>
        <v/>
      </c>
      <c r="AE205" s="9"/>
      <c r="AF205" s="4" t="str">
        <f>IF(C205="","",IF(COUNTIF($C$2:C205,C205)=1,MAX($AF$1:AF204)+1,""))</f>
        <v/>
      </c>
      <c r="AG205" s="4" t="str">
        <f>IF(C205="","",COUNTIF($C$2:C205,C205))</f>
        <v/>
      </c>
      <c r="AH205" s="4" t="str">
        <f t="shared" si="55"/>
        <v/>
      </c>
      <c r="AI205" s="4" t="str">
        <f t="shared" si="56"/>
        <v/>
      </c>
      <c r="AJ205" s="4" t="str">
        <f t="shared" si="57"/>
        <v/>
      </c>
      <c r="AK205" s="15" t="str">
        <f>IF(A205="","",SUMIFS(分期缴税台账!$K$2:$K$501,分期缴税台账!$T$2:$T$501,A205,分期缴税台账!$Q$2:$Q$501,"有效"))</f>
        <v/>
      </c>
      <c r="AL205" s="15" t="str">
        <f t="shared" si="58"/>
        <v/>
      </c>
      <c r="AM205" s="4" t="str">
        <f t="shared" si="59"/>
        <v/>
      </c>
    </row>
    <row r="206" spans="1:39" x14ac:dyDescent="0.3">
      <c r="A206" s="9"/>
      <c r="B206" s="4" t="str">
        <f t="shared" si="45"/>
        <v/>
      </c>
      <c r="C206" s="9"/>
      <c r="D206" s="9"/>
      <c r="E206" s="9"/>
      <c r="F206" s="9"/>
      <c r="G206" s="13"/>
      <c r="H206" s="4" t="str">
        <f t="shared" si="46"/>
        <v/>
      </c>
      <c r="I206" s="9"/>
      <c r="J206" s="14"/>
      <c r="K206" s="15" t="str">
        <f>IF(OR(E206="",F206="",G206=""),"",IF(E206&lt;&gt;计划参数!$C$2,"",IF(F206="股票期权",IFERROR(LOOKUP(G206,计划参数!$D$12:$D$15,计划参数!$C$12:$C$15),""),IF(F206="限制性股票",计划参数!$C$10,""))))</f>
        <v/>
      </c>
      <c r="L206" s="15" t="str">
        <f>IF(AND(E206=计划参数!$C$2,F206="限制性股票",G206&gt;=计划参数!$D$9),计划参数!$C$9,"")</f>
        <v/>
      </c>
      <c r="M206" s="9"/>
      <c r="N206" s="14"/>
      <c r="O206" s="14"/>
      <c r="P206" s="13"/>
      <c r="Q206" s="9"/>
      <c r="R206" s="13"/>
      <c r="S206" s="15" t="str">
        <f t="shared" si="47"/>
        <v/>
      </c>
      <c r="T206" s="15" t="str">
        <f t="shared" si="48"/>
        <v/>
      </c>
      <c r="U206" s="15" t="str">
        <f t="shared" si="49"/>
        <v/>
      </c>
      <c r="V206" s="15" t="str">
        <f t="shared" si="50"/>
        <v/>
      </c>
      <c r="W206" s="16" t="str">
        <f>IF(V206="","",VLOOKUP(V206,税率及规则!$A$2:$C$8,2,TRUE))</f>
        <v/>
      </c>
      <c r="X206" s="15" t="str">
        <f>IF(V206="","",VLOOKUP(V206,税率及规则!$A$2:$C$8,3,TRUE))</f>
        <v/>
      </c>
      <c r="Y206" s="15" t="str">
        <f t="shared" si="51"/>
        <v/>
      </c>
      <c r="Z206" s="15" t="str">
        <f>IF(U206="","",MAX(0,U206*VLOOKUP(U206,税率及规则!$A$2:$C$8,2,TRUE)-VLOOKUP(U206,税率及规则!$A$2:$C$8,3,TRUE)))</f>
        <v/>
      </c>
      <c r="AA206" s="15" t="str">
        <f t="shared" si="52"/>
        <v/>
      </c>
      <c r="AB206" s="17" t="str">
        <f t="shared" si="53"/>
        <v/>
      </c>
      <c r="AC206" s="17" t="str">
        <f t="shared" si="54"/>
        <v/>
      </c>
      <c r="AD206" s="4" t="str">
        <f>IF(A206="","",IF(COUNTIF($A$2:$A$501,A206)&gt;1,"异常：事件编号重复",IF(OR(C206="",D206="",E206="",F206="",G206=""),"异常：必填项缺失",IF(AND(F206="其他股权激励",O206=""),"异常：其他股权激励所得缺失",IF(AND(F206&lt;&gt;"其他股权激励",OR(I206="",J206="")),"异常：数量或市场价缺失",IF(AND(F206&lt;&gt;"其他股权激励",OR(I206&lt;=0,J206&lt;0)),"异常：数量或价格无效",IF(AND(F206="限制性股票",OR(M206&lt;=0,N206&lt;0,I206&gt;M206)),"异常：个人获授或出资数据无效",IF(AND(IFERROR(INDEX(计划参数!$J$2:$J$501,MATCH(C206,计划参数!$I$2:$I$501,0)),"")&lt;&gt;"",D206&lt;&gt;IFERROR(INDEX(计划参数!$J$2:$J$501,MATCH(C206,计划参数!$I$2:$I$501,0)),"")),"异常：姓名与员工主数据不一致",IF(S206&lt;0,"异常：原始所得为负，已按0计税",IF(OR(AND(F206="股票期权",K206=""),AND(F206="限制性股票",OR(K206="",L206=""))),"异常：计划参数缺失",IF(COUNTIF(计划参数!$I$2:$I$501,C206)=0,"提示：员工编号未在主数据",IF(Q206&lt;&gt;"已备案","提示：未确认备案","正常"))))))))))))</f>
        <v/>
      </c>
      <c r="AE206" s="9"/>
      <c r="AF206" s="4" t="str">
        <f>IF(C206="","",IF(COUNTIF($C$2:C206,C206)=1,MAX($AF$1:AF205)+1,""))</f>
        <v/>
      </c>
      <c r="AG206" s="4" t="str">
        <f>IF(C206="","",COUNTIF($C$2:C206,C206))</f>
        <v/>
      </c>
      <c r="AH206" s="4" t="str">
        <f t="shared" si="55"/>
        <v/>
      </c>
      <c r="AI206" s="4" t="str">
        <f t="shared" si="56"/>
        <v/>
      </c>
      <c r="AJ206" s="4" t="str">
        <f t="shared" si="57"/>
        <v/>
      </c>
      <c r="AK206" s="15" t="str">
        <f>IF(A206="","",SUMIFS(分期缴税台账!$K$2:$K$501,分期缴税台账!$T$2:$T$501,A206,分期缴税台账!$Q$2:$Q$501,"有效"))</f>
        <v/>
      </c>
      <c r="AL206" s="15" t="str">
        <f t="shared" si="58"/>
        <v/>
      </c>
      <c r="AM206" s="4" t="str">
        <f t="shared" si="59"/>
        <v/>
      </c>
    </row>
    <row r="207" spans="1:39" x14ac:dyDescent="0.3">
      <c r="A207" s="9"/>
      <c r="B207" s="4" t="str">
        <f t="shared" si="45"/>
        <v/>
      </c>
      <c r="C207" s="9"/>
      <c r="D207" s="9"/>
      <c r="E207" s="9"/>
      <c r="F207" s="9"/>
      <c r="G207" s="13"/>
      <c r="H207" s="4" t="str">
        <f t="shared" si="46"/>
        <v/>
      </c>
      <c r="I207" s="9"/>
      <c r="J207" s="14"/>
      <c r="K207" s="15" t="str">
        <f>IF(OR(E207="",F207="",G207=""),"",IF(E207&lt;&gt;计划参数!$C$2,"",IF(F207="股票期权",IFERROR(LOOKUP(G207,计划参数!$D$12:$D$15,计划参数!$C$12:$C$15),""),IF(F207="限制性股票",计划参数!$C$10,""))))</f>
        <v/>
      </c>
      <c r="L207" s="15" t="str">
        <f>IF(AND(E207=计划参数!$C$2,F207="限制性股票",G207&gt;=计划参数!$D$9),计划参数!$C$9,"")</f>
        <v/>
      </c>
      <c r="M207" s="9"/>
      <c r="N207" s="14"/>
      <c r="O207" s="14"/>
      <c r="P207" s="13"/>
      <c r="Q207" s="9"/>
      <c r="R207" s="13"/>
      <c r="S207" s="15" t="str">
        <f t="shared" si="47"/>
        <v/>
      </c>
      <c r="T207" s="15" t="str">
        <f t="shared" si="48"/>
        <v/>
      </c>
      <c r="U207" s="15" t="str">
        <f t="shared" si="49"/>
        <v/>
      </c>
      <c r="V207" s="15" t="str">
        <f t="shared" si="50"/>
        <v/>
      </c>
      <c r="W207" s="16" t="str">
        <f>IF(V207="","",VLOOKUP(V207,税率及规则!$A$2:$C$8,2,TRUE))</f>
        <v/>
      </c>
      <c r="X207" s="15" t="str">
        <f>IF(V207="","",VLOOKUP(V207,税率及规则!$A$2:$C$8,3,TRUE))</f>
        <v/>
      </c>
      <c r="Y207" s="15" t="str">
        <f t="shared" si="51"/>
        <v/>
      </c>
      <c r="Z207" s="15" t="str">
        <f>IF(U207="","",MAX(0,U207*VLOOKUP(U207,税率及规则!$A$2:$C$8,2,TRUE)-VLOOKUP(U207,税率及规则!$A$2:$C$8,3,TRUE)))</f>
        <v/>
      </c>
      <c r="AA207" s="15" t="str">
        <f t="shared" si="52"/>
        <v/>
      </c>
      <c r="AB207" s="17" t="str">
        <f t="shared" si="53"/>
        <v/>
      </c>
      <c r="AC207" s="17" t="str">
        <f t="shared" si="54"/>
        <v/>
      </c>
      <c r="AD207" s="4" t="str">
        <f>IF(A207="","",IF(COUNTIF($A$2:$A$501,A207)&gt;1,"异常：事件编号重复",IF(OR(C207="",D207="",E207="",F207="",G207=""),"异常：必填项缺失",IF(AND(F207="其他股权激励",O207=""),"异常：其他股权激励所得缺失",IF(AND(F207&lt;&gt;"其他股权激励",OR(I207="",J207="")),"异常：数量或市场价缺失",IF(AND(F207&lt;&gt;"其他股权激励",OR(I207&lt;=0,J207&lt;0)),"异常：数量或价格无效",IF(AND(F207="限制性股票",OR(M207&lt;=0,N207&lt;0,I207&gt;M207)),"异常：个人获授或出资数据无效",IF(AND(IFERROR(INDEX(计划参数!$J$2:$J$501,MATCH(C207,计划参数!$I$2:$I$501,0)),"")&lt;&gt;"",D207&lt;&gt;IFERROR(INDEX(计划参数!$J$2:$J$501,MATCH(C207,计划参数!$I$2:$I$501,0)),"")),"异常：姓名与员工主数据不一致",IF(S207&lt;0,"异常：原始所得为负，已按0计税",IF(OR(AND(F207="股票期权",K207=""),AND(F207="限制性股票",OR(K207="",L207=""))),"异常：计划参数缺失",IF(COUNTIF(计划参数!$I$2:$I$501,C207)=0,"提示：员工编号未在主数据",IF(Q207&lt;&gt;"已备案","提示：未确认备案","正常"))))))))))))</f>
        <v/>
      </c>
      <c r="AE207" s="9"/>
      <c r="AF207" s="4" t="str">
        <f>IF(C207="","",IF(COUNTIF($C$2:C207,C207)=1,MAX($AF$1:AF206)+1,""))</f>
        <v/>
      </c>
      <c r="AG207" s="4" t="str">
        <f>IF(C207="","",COUNTIF($C$2:C207,C207))</f>
        <v/>
      </c>
      <c r="AH207" s="4" t="str">
        <f t="shared" si="55"/>
        <v/>
      </c>
      <c r="AI207" s="4" t="str">
        <f t="shared" si="56"/>
        <v/>
      </c>
      <c r="AJ207" s="4" t="str">
        <f t="shared" si="57"/>
        <v/>
      </c>
      <c r="AK207" s="15" t="str">
        <f>IF(A207="","",SUMIFS(分期缴税台账!$K$2:$K$501,分期缴税台账!$T$2:$T$501,A207,分期缴税台账!$Q$2:$Q$501,"有效"))</f>
        <v/>
      </c>
      <c r="AL207" s="15" t="str">
        <f t="shared" si="58"/>
        <v/>
      </c>
      <c r="AM207" s="4" t="str">
        <f t="shared" si="59"/>
        <v/>
      </c>
    </row>
    <row r="208" spans="1:39" x14ac:dyDescent="0.3">
      <c r="A208" s="9"/>
      <c r="B208" s="4" t="str">
        <f t="shared" si="45"/>
        <v/>
      </c>
      <c r="C208" s="9"/>
      <c r="D208" s="9"/>
      <c r="E208" s="9"/>
      <c r="F208" s="9"/>
      <c r="G208" s="13"/>
      <c r="H208" s="4" t="str">
        <f t="shared" si="46"/>
        <v/>
      </c>
      <c r="I208" s="9"/>
      <c r="J208" s="14"/>
      <c r="K208" s="15" t="str">
        <f>IF(OR(E208="",F208="",G208=""),"",IF(E208&lt;&gt;计划参数!$C$2,"",IF(F208="股票期权",IFERROR(LOOKUP(G208,计划参数!$D$12:$D$15,计划参数!$C$12:$C$15),""),IF(F208="限制性股票",计划参数!$C$10,""))))</f>
        <v/>
      </c>
      <c r="L208" s="15" t="str">
        <f>IF(AND(E208=计划参数!$C$2,F208="限制性股票",G208&gt;=计划参数!$D$9),计划参数!$C$9,"")</f>
        <v/>
      </c>
      <c r="M208" s="9"/>
      <c r="N208" s="14"/>
      <c r="O208" s="14"/>
      <c r="P208" s="13"/>
      <c r="Q208" s="9"/>
      <c r="R208" s="13"/>
      <c r="S208" s="15" t="str">
        <f t="shared" si="47"/>
        <v/>
      </c>
      <c r="T208" s="15" t="str">
        <f t="shared" si="48"/>
        <v/>
      </c>
      <c r="U208" s="15" t="str">
        <f t="shared" si="49"/>
        <v/>
      </c>
      <c r="V208" s="15" t="str">
        <f t="shared" si="50"/>
        <v/>
      </c>
      <c r="W208" s="16" t="str">
        <f>IF(V208="","",VLOOKUP(V208,税率及规则!$A$2:$C$8,2,TRUE))</f>
        <v/>
      </c>
      <c r="X208" s="15" t="str">
        <f>IF(V208="","",VLOOKUP(V208,税率及规则!$A$2:$C$8,3,TRUE))</f>
        <v/>
      </c>
      <c r="Y208" s="15" t="str">
        <f t="shared" si="51"/>
        <v/>
      </c>
      <c r="Z208" s="15" t="str">
        <f>IF(U208="","",MAX(0,U208*VLOOKUP(U208,税率及规则!$A$2:$C$8,2,TRUE)-VLOOKUP(U208,税率及规则!$A$2:$C$8,3,TRUE)))</f>
        <v/>
      </c>
      <c r="AA208" s="15" t="str">
        <f t="shared" si="52"/>
        <v/>
      </c>
      <c r="AB208" s="17" t="str">
        <f t="shared" si="53"/>
        <v/>
      </c>
      <c r="AC208" s="17" t="str">
        <f t="shared" si="54"/>
        <v/>
      </c>
      <c r="AD208" s="4" t="str">
        <f>IF(A208="","",IF(COUNTIF($A$2:$A$501,A208)&gt;1,"异常：事件编号重复",IF(OR(C208="",D208="",E208="",F208="",G208=""),"异常：必填项缺失",IF(AND(F208="其他股权激励",O208=""),"异常：其他股权激励所得缺失",IF(AND(F208&lt;&gt;"其他股权激励",OR(I208="",J208="")),"异常：数量或市场价缺失",IF(AND(F208&lt;&gt;"其他股权激励",OR(I208&lt;=0,J208&lt;0)),"异常：数量或价格无效",IF(AND(F208="限制性股票",OR(M208&lt;=0,N208&lt;0,I208&gt;M208)),"异常：个人获授或出资数据无效",IF(AND(IFERROR(INDEX(计划参数!$J$2:$J$501,MATCH(C208,计划参数!$I$2:$I$501,0)),"")&lt;&gt;"",D208&lt;&gt;IFERROR(INDEX(计划参数!$J$2:$J$501,MATCH(C208,计划参数!$I$2:$I$501,0)),"")),"异常：姓名与员工主数据不一致",IF(S208&lt;0,"异常：原始所得为负，已按0计税",IF(OR(AND(F208="股票期权",K208=""),AND(F208="限制性股票",OR(K208="",L208=""))),"异常：计划参数缺失",IF(COUNTIF(计划参数!$I$2:$I$501,C208)=0,"提示：员工编号未在主数据",IF(Q208&lt;&gt;"已备案","提示：未确认备案","正常"))))))))))))</f>
        <v/>
      </c>
      <c r="AE208" s="9"/>
      <c r="AF208" s="4" t="str">
        <f>IF(C208="","",IF(COUNTIF($C$2:C208,C208)=1,MAX($AF$1:AF207)+1,""))</f>
        <v/>
      </c>
      <c r="AG208" s="4" t="str">
        <f>IF(C208="","",COUNTIF($C$2:C208,C208))</f>
        <v/>
      </c>
      <c r="AH208" s="4" t="str">
        <f t="shared" si="55"/>
        <v/>
      </c>
      <c r="AI208" s="4" t="str">
        <f t="shared" si="56"/>
        <v/>
      </c>
      <c r="AJ208" s="4" t="str">
        <f t="shared" si="57"/>
        <v/>
      </c>
      <c r="AK208" s="15" t="str">
        <f>IF(A208="","",SUMIFS(分期缴税台账!$K$2:$K$501,分期缴税台账!$T$2:$T$501,A208,分期缴税台账!$Q$2:$Q$501,"有效"))</f>
        <v/>
      </c>
      <c r="AL208" s="15" t="str">
        <f t="shared" si="58"/>
        <v/>
      </c>
      <c r="AM208" s="4" t="str">
        <f t="shared" si="59"/>
        <v/>
      </c>
    </row>
    <row r="209" spans="1:39" x14ac:dyDescent="0.3">
      <c r="A209" s="9"/>
      <c r="B209" s="4" t="str">
        <f t="shared" si="45"/>
        <v/>
      </c>
      <c r="C209" s="9"/>
      <c r="D209" s="9"/>
      <c r="E209" s="9"/>
      <c r="F209" s="9"/>
      <c r="G209" s="13"/>
      <c r="H209" s="4" t="str">
        <f t="shared" si="46"/>
        <v/>
      </c>
      <c r="I209" s="9"/>
      <c r="J209" s="14"/>
      <c r="K209" s="15" t="str">
        <f>IF(OR(E209="",F209="",G209=""),"",IF(E209&lt;&gt;计划参数!$C$2,"",IF(F209="股票期权",IFERROR(LOOKUP(G209,计划参数!$D$12:$D$15,计划参数!$C$12:$C$15),""),IF(F209="限制性股票",计划参数!$C$10,""))))</f>
        <v/>
      </c>
      <c r="L209" s="15" t="str">
        <f>IF(AND(E209=计划参数!$C$2,F209="限制性股票",G209&gt;=计划参数!$D$9),计划参数!$C$9,"")</f>
        <v/>
      </c>
      <c r="M209" s="9"/>
      <c r="N209" s="14"/>
      <c r="O209" s="14"/>
      <c r="P209" s="13"/>
      <c r="Q209" s="9"/>
      <c r="R209" s="13"/>
      <c r="S209" s="15" t="str">
        <f t="shared" si="47"/>
        <v/>
      </c>
      <c r="T209" s="15" t="str">
        <f t="shared" si="48"/>
        <v/>
      </c>
      <c r="U209" s="15" t="str">
        <f t="shared" si="49"/>
        <v/>
      </c>
      <c r="V209" s="15" t="str">
        <f t="shared" si="50"/>
        <v/>
      </c>
      <c r="W209" s="16" t="str">
        <f>IF(V209="","",VLOOKUP(V209,税率及规则!$A$2:$C$8,2,TRUE))</f>
        <v/>
      </c>
      <c r="X209" s="15" t="str">
        <f>IF(V209="","",VLOOKUP(V209,税率及规则!$A$2:$C$8,3,TRUE))</f>
        <v/>
      </c>
      <c r="Y209" s="15" t="str">
        <f t="shared" si="51"/>
        <v/>
      </c>
      <c r="Z209" s="15" t="str">
        <f>IF(U209="","",MAX(0,U209*VLOOKUP(U209,税率及规则!$A$2:$C$8,2,TRUE)-VLOOKUP(U209,税率及规则!$A$2:$C$8,3,TRUE)))</f>
        <v/>
      </c>
      <c r="AA209" s="15" t="str">
        <f t="shared" si="52"/>
        <v/>
      </c>
      <c r="AB209" s="17" t="str">
        <f t="shared" si="53"/>
        <v/>
      </c>
      <c r="AC209" s="17" t="str">
        <f t="shared" si="54"/>
        <v/>
      </c>
      <c r="AD209" s="4" t="str">
        <f>IF(A209="","",IF(COUNTIF($A$2:$A$501,A209)&gt;1,"异常：事件编号重复",IF(OR(C209="",D209="",E209="",F209="",G209=""),"异常：必填项缺失",IF(AND(F209="其他股权激励",O209=""),"异常：其他股权激励所得缺失",IF(AND(F209&lt;&gt;"其他股权激励",OR(I209="",J209="")),"异常：数量或市场价缺失",IF(AND(F209&lt;&gt;"其他股权激励",OR(I209&lt;=0,J209&lt;0)),"异常：数量或价格无效",IF(AND(F209="限制性股票",OR(M209&lt;=0,N209&lt;0,I209&gt;M209)),"异常：个人获授或出资数据无效",IF(AND(IFERROR(INDEX(计划参数!$J$2:$J$501,MATCH(C209,计划参数!$I$2:$I$501,0)),"")&lt;&gt;"",D209&lt;&gt;IFERROR(INDEX(计划参数!$J$2:$J$501,MATCH(C209,计划参数!$I$2:$I$501,0)),"")),"异常：姓名与员工主数据不一致",IF(S209&lt;0,"异常：原始所得为负，已按0计税",IF(OR(AND(F209="股票期权",K209=""),AND(F209="限制性股票",OR(K209="",L209=""))),"异常：计划参数缺失",IF(COUNTIF(计划参数!$I$2:$I$501,C209)=0,"提示：员工编号未在主数据",IF(Q209&lt;&gt;"已备案","提示：未确认备案","正常"))))))))))))</f>
        <v/>
      </c>
      <c r="AE209" s="9"/>
      <c r="AF209" s="4" t="str">
        <f>IF(C209="","",IF(COUNTIF($C$2:C209,C209)=1,MAX($AF$1:AF208)+1,""))</f>
        <v/>
      </c>
      <c r="AG209" s="4" t="str">
        <f>IF(C209="","",COUNTIF($C$2:C209,C209))</f>
        <v/>
      </c>
      <c r="AH209" s="4" t="str">
        <f t="shared" si="55"/>
        <v/>
      </c>
      <c r="AI209" s="4" t="str">
        <f t="shared" si="56"/>
        <v/>
      </c>
      <c r="AJ209" s="4" t="str">
        <f t="shared" si="57"/>
        <v/>
      </c>
      <c r="AK209" s="15" t="str">
        <f>IF(A209="","",SUMIFS(分期缴税台账!$K$2:$K$501,分期缴税台账!$T$2:$T$501,A209,分期缴税台账!$Q$2:$Q$501,"有效"))</f>
        <v/>
      </c>
      <c r="AL209" s="15" t="str">
        <f t="shared" si="58"/>
        <v/>
      </c>
      <c r="AM209" s="4" t="str">
        <f t="shared" si="59"/>
        <v/>
      </c>
    </row>
    <row r="210" spans="1:39" x14ac:dyDescent="0.3">
      <c r="A210" s="9"/>
      <c r="B210" s="4" t="str">
        <f t="shared" si="45"/>
        <v/>
      </c>
      <c r="C210" s="9"/>
      <c r="D210" s="9"/>
      <c r="E210" s="9"/>
      <c r="F210" s="9"/>
      <c r="G210" s="13"/>
      <c r="H210" s="4" t="str">
        <f t="shared" si="46"/>
        <v/>
      </c>
      <c r="I210" s="9"/>
      <c r="J210" s="14"/>
      <c r="K210" s="15" t="str">
        <f>IF(OR(E210="",F210="",G210=""),"",IF(E210&lt;&gt;计划参数!$C$2,"",IF(F210="股票期权",IFERROR(LOOKUP(G210,计划参数!$D$12:$D$15,计划参数!$C$12:$C$15),""),IF(F210="限制性股票",计划参数!$C$10,""))))</f>
        <v/>
      </c>
      <c r="L210" s="15" t="str">
        <f>IF(AND(E210=计划参数!$C$2,F210="限制性股票",G210&gt;=计划参数!$D$9),计划参数!$C$9,"")</f>
        <v/>
      </c>
      <c r="M210" s="9"/>
      <c r="N210" s="14"/>
      <c r="O210" s="14"/>
      <c r="P210" s="13"/>
      <c r="Q210" s="9"/>
      <c r="R210" s="13"/>
      <c r="S210" s="15" t="str">
        <f t="shared" si="47"/>
        <v/>
      </c>
      <c r="T210" s="15" t="str">
        <f t="shared" si="48"/>
        <v/>
      </c>
      <c r="U210" s="15" t="str">
        <f t="shared" si="49"/>
        <v/>
      </c>
      <c r="V210" s="15" t="str">
        <f t="shared" si="50"/>
        <v/>
      </c>
      <c r="W210" s="16" t="str">
        <f>IF(V210="","",VLOOKUP(V210,税率及规则!$A$2:$C$8,2,TRUE))</f>
        <v/>
      </c>
      <c r="X210" s="15" t="str">
        <f>IF(V210="","",VLOOKUP(V210,税率及规则!$A$2:$C$8,3,TRUE))</f>
        <v/>
      </c>
      <c r="Y210" s="15" t="str">
        <f t="shared" si="51"/>
        <v/>
      </c>
      <c r="Z210" s="15" t="str">
        <f>IF(U210="","",MAX(0,U210*VLOOKUP(U210,税率及规则!$A$2:$C$8,2,TRUE)-VLOOKUP(U210,税率及规则!$A$2:$C$8,3,TRUE)))</f>
        <v/>
      </c>
      <c r="AA210" s="15" t="str">
        <f t="shared" si="52"/>
        <v/>
      </c>
      <c r="AB210" s="17" t="str">
        <f t="shared" si="53"/>
        <v/>
      </c>
      <c r="AC210" s="17" t="str">
        <f t="shared" si="54"/>
        <v/>
      </c>
      <c r="AD210" s="4" t="str">
        <f>IF(A210="","",IF(COUNTIF($A$2:$A$501,A210)&gt;1,"异常：事件编号重复",IF(OR(C210="",D210="",E210="",F210="",G210=""),"异常：必填项缺失",IF(AND(F210="其他股权激励",O210=""),"异常：其他股权激励所得缺失",IF(AND(F210&lt;&gt;"其他股权激励",OR(I210="",J210="")),"异常：数量或市场价缺失",IF(AND(F210&lt;&gt;"其他股权激励",OR(I210&lt;=0,J210&lt;0)),"异常：数量或价格无效",IF(AND(F210="限制性股票",OR(M210&lt;=0,N210&lt;0,I210&gt;M210)),"异常：个人获授或出资数据无效",IF(AND(IFERROR(INDEX(计划参数!$J$2:$J$501,MATCH(C210,计划参数!$I$2:$I$501,0)),"")&lt;&gt;"",D210&lt;&gt;IFERROR(INDEX(计划参数!$J$2:$J$501,MATCH(C210,计划参数!$I$2:$I$501,0)),"")),"异常：姓名与员工主数据不一致",IF(S210&lt;0,"异常：原始所得为负，已按0计税",IF(OR(AND(F210="股票期权",K210=""),AND(F210="限制性股票",OR(K210="",L210=""))),"异常：计划参数缺失",IF(COUNTIF(计划参数!$I$2:$I$501,C210)=0,"提示：员工编号未在主数据",IF(Q210&lt;&gt;"已备案","提示：未确认备案","正常"))))))))))))</f>
        <v/>
      </c>
      <c r="AE210" s="9"/>
      <c r="AF210" s="4" t="str">
        <f>IF(C210="","",IF(COUNTIF($C$2:C210,C210)=1,MAX($AF$1:AF209)+1,""))</f>
        <v/>
      </c>
      <c r="AG210" s="4" t="str">
        <f>IF(C210="","",COUNTIF($C$2:C210,C210))</f>
        <v/>
      </c>
      <c r="AH210" s="4" t="str">
        <f t="shared" si="55"/>
        <v/>
      </c>
      <c r="AI210" s="4" t="str">
        <f t="shared" si="56"/>
        <v/>
      </c>
      <c r="AJ210" s="4" t="str">
        <f t="shared" si="57"/>
        <v/>
      </c>
      <c r="AK210" s="15" t="str">
        <f>IF(A210="","",SUMIFS(分期缴税台账!$K$2:$K$501,分期缴税台账!$T$2:$T$501,A210,分期缴税台账!$Q$2:$Q$501,"有效"))</f>
        <v/>
      </c>
      <c r="AL210" s="15" t="str">
        <f t="shared" si="58"/>
        <v/>
      </c>
      <c r="AM210" s="4" t="str">
        <f t="shared" si="59"/>
        <v/>
      </c>
    </row>
    <row r="211" spans="1:39" x14ac:dyDescent="0.3">
      <c r="A211" s="9"/>
      <c r="B211" s="4" t="str">
        <f t="shared" si="45"/>
        <v/>
      </c>
      <c r="C211" s="9"/>
      <c r="D211" s="9"/>
      <c r="E211" s="9"/>
      <c r="F211" s="9"/>
      <c r="G211" s="13"/>
      <c r="H211" s="4" t="str">
        <f t="shared" si="46"/>
        <v/>
      </c>
      <c r="I211" s="9"/>
      <c r="J211" s="14"/>
      <c r="K211" s="15" t="str">
        <f>IF(OR(E211="",F211="",G211=""),"",IF(E211&lt;&gt;计划参数!$C$2,"",IF(F211="股票期权",IFERROR(LOOKUP(G211,计划参数!$D$12:$D$15,计划参数!$C$12:$C$15),""),IF(F211="限制性股票",计划参数!$C$10,""))))</f>
        <v/>
      </c>
      <c r="L211" s="15" t="str">
        <f>IF(AND(E211=计划参数!$C$2,F211="限制性股票",G211&gt;=计划参数!$D$9),计划参数!$C$9,"")</f>
        <v/>
      </c>
      <c r="M211" s="9"/>
      <c r="N211" s="14"/>
      <c r="O211" s="14"/>
      <c r="P211" s="13"/>
      <c r="Q211" s="9"/>
      <c r="R211" s="13"/>
      <c r="S211" s="15" t="str">
        <f t="shared" si="47"/>
        <v/>
      </c>
      <c r="T211" s="15" t="str">
        <f t="shared" si="48"/>
        <v/>
      </c>
      <c r="U211" s="15" t="str">
        <f t="shared" si="49"/>
        <v/>
      </c>
      <c r="V211" s="15" t="str">
        <f t="shared" si="50"/>
        <v/>
      </c>
      <c r="W211" s="16" t="str">
        <f>IF(V211="","",VLOOKUP(V211,税率及规则!$A$2:$C$8,2,TRUE))</f>
        <v/>
      </c>
      <c r="X211" s="15" t="str">
        <f>IF(V211="","",VLOOKUP(V211,税率及规则!$A$2:$C$8,3,TRUE))</f>
        <v/>
      </c>
      <c r="Y211" s="15" t="str">
        <f t="shared" si="51"/>
        <v/>
      </c>
      <c r="Z211" s="15" t="str">
        <f>IF(U211="","",MAX(0,U211*VLOOKUP(U211,税率及规则!$A$2:$C$8,2,TRUE)-VLOOKUP(U211,税率及规则!$A$2:$C$8,3,TRUE)))</f>
        <v/>
      </c>
      <c r="AA211" s="15" t="str">
        <f t="shared" si="52"/>
        <v/>
      </c>
      <c r="AB211" s="17" t="str">
        <f t="shared" si="53"/>
        <v/>
      </c>
      <c r="AC211" s="17" t="str">
        <f t="shared" si="54"/>
        <v/>
      </c>
      <c r="AD211" s="4" t="str">
        <f>IF(A211="","",IF(COUNTIF($A$2:$A$501,A211)&gt;1,"异常：事件编号重复",IF(OR(C211="",D211="",E211="",F211="",G211=""),"异常：必填项缺失",IF(AND(F211="其他股权激励",O211=""),"异常：其他股权激励所得缺失",IF(AND(F211&lt;&gt;"其他股权激励",OR(I211="",J211="")),"异常：数量或市场价缺失",IF(AND(F211&lt;&gt;"其他股权激励",OR(I211&lt;=0,J211&lt;0)),"异常：数量或价格无效",IF(AND(F211="限制性股票",OR(M211&lt;=0,N211&lt;0,I211&gt;M211)),"异常：个人获授或出资数据无效",IF(AND(IFERROR(INDEX(计划参数!$J$2:$J$501,MATCH(C211,计划参数!$I$2:$I$501,0)),"")&lt;&gt;"",D211&lt;&gt;IFERROR(INDEX(计划参数!$J$2:$J$501,MATCH(C211,计划参数!$I$2:$I$501,0)),"")),"异常：姓名与员工主数据不一致",IF(S211&lt;0,"异常：原始所得为负，已按0计税",IF(OR(AND(F211="股票期权",K211=""),AND(F211="限制性股票",OR(K211="",L211=""))),"异常：计划参数缺失",IF(COUNTIF(计划参数!$I$2:$I$501,C211)=0,"提示：员工编号未在主数据",IF(Q211&lt;&gt;"已备案","提示：未确认备案","正常"))))))))))))</f>
        <v/>
      </c>
      <c r="AE211" s="9"/>
      <c r="AF211" s="4" t="str">
        <f>IF(C211="","",IF(COUNTIF($C$2:C211,C211)=1,MAX($AF$1:AF210)+1,""))</f>
        <v/>
      </c>
      <c r="AG211" s="4" t="str">
        <f>IF(C211="","",COUNTIF($C$2:C211,C211))</f>
        <v/>
      </c>
      <c r="AH211" s="4" t="str">
        <f t="shared" si="55"/>
        <v/>
      </c>
      <c r="AI211" s="4" t="str">
        <f t="shared" si="56"/>
        <v/>
      </c>
      <c r="AJ211" s="4" t="str">
        <f t="shared" si="57"/>
        <v/>
      </c>
      <c r="AK211" s="15" t="str">
        <f>IF(A211="","",SUMIFS(分期缴税台账!$K$2:$K$501,分期缴税台账!$T$2:$T$501,A211,分期缴税台账!$Q$2:$Q$501,"有效"))</f>
        <v/>
      </c>
      <c r="AL211" s="15" t="str">
        <f t="shared" si="58"/>
        <v/>
      </c>
      <c r="AM211" s="4" t="str">
        <f t="shared" si="59"/>
        <v/>
      </c>
    </row>
    <row r="212" spans="1:39" x14ac:dyDescent="0.3">
      <c r="A212" s="9"/>
      <c r="B212" s="4" t="str">
        <f t="shared" si="45"/>
        <v/>
      </c>
      <c r="C212" s="9"/>
      <c r="D212" s="9"/>
      <c r="E212" s="9"/>
      <c r="F212" s="9"/>
      <c r="G212" s="13"/>
      <c r="H212" s="4" t="str">
        <f t="shared" si="46"/>
        <v/>
      </c>
      <c r="I212" s="9"/>
      <c r="J212" s="14"/>
      <c r="K212" s="15" t="str">
        <f>IF(OR(E212="",F212="",G212=""),"",IF(E212&lt;&gt;计划参数!$C$2,"",IF(F212="股票期权",IFERROR(LOOKUP(G212,计划参数!$D$12:$D$15,计划参数!$C$12:$C$15),""),IF(F212="限制性股票",计划参数!$C$10,""))))</f>
        <v/>
      </c>
      <c r="L212" s="15" t="str">
        <f>IF(AND(E212=计划参数!$C$2,F212="限制性股票",G212&gt;=计划参数!$D$9),计划参数!$C$9,"")</f>
        <v/>
      </c>
      <c r="M212" s="9"/>
      <c r="N212" s="14"/>
      <c r="O212" s="14"/>
      <c r="P212" s="13"/>
      <c r="Q212" s="9"/>
      <c r="R212" s="13"/>
      <c r="S212" s="15" t="str">
        <f t="shared" si="47"/>
        <v/>
      </c>
      <c r="T212" s="15" t="str">
        <f t="shared" si="48"/>
        <v/>
      </c>
      <c r="U212" s="15" t="str">
        <f t="shared" si="49"/>
        <v/>
      </c>
      <c r="V212" s="15" t="str">
        <f t="shared" si="50"/>
        <v/>
      </c>
      <c r="W212" s="16" t="str">
        <f>IF(V212="","",VLOOKUP(V212,税率及规则!$A$2:$C$8,2,TRUE))</f>
        <v/>
      </c>
      <c r="X212" s="15" t="str">
        <f>IF(V212="","",VLOOKUP(V212,税率及规则!$A$2:$C$8,3,TRUE))</f>
        <v/>
      </c>
      <c r="Y212" s="15" t="str">
        <f t="shared" si="51"/>
        <v/>
      </c>
      <c r="Z212" s="15" t="str">
        <f>IF(U212="","",MAX(0,U212*VLOOKUP(U212,税率及规则!$A$2:$C$8,2,TRUE)-VLOOKUP(U212,税率及规则!$A$2:$C$8,3,TRUE)))</f>
        <v/>
      </c>
      <c r="AA212" s="15" t="str">
        <f t="shared" si="52"/>
        <v/>
      </c>
      <c r="AB212" s="17" t="str">
        <f t="shared" si="53"/>
        <v/>
      </c>
      <c r="AC212" s="17" t="str">
        <f t="shared" si="54"/>
        <v/>
      </c>
      <c r="AD212" s="4" t="str">
        <f>IF(A212="","",IF(COUNTIF($A$2:$A$501,A212)&gt;1,"异常：事件编号重复",IF(OR(C212="",D212="",E212="",F212="",G212=""),"异常：必填项缺失",IF(AND(F212="其他股权激励",O212=""),"异常：其他股权激励所得缺失",IF(AND(F212&lt;&gt;"其他股权激励",OR(I212="",J212="")),"异常：数量或市场价缺失",IF(AND(F212&lt;&gt;"其他股权激励",OR(I212&lt;=0,J212&lt;0)),"异常：数量或价格无效",IF(AND(F212="限制性股票",OR(M212&lt;=0,N212&lt;0,I212&gt;M212)),"异常：个人获授或出资数据无效",IF(AND(IFERROR(INDEX(计划参数!$J$2:$J$501,MATCH(C212,计划参数!$I$2:$I$501,0)),"")&lt;&gt;"",D212&lt;&gt;IFERROR(INDEX(计划参数!$J$2:$J$501,MATCH(C212,计划参数!$I$2:$I$501,0)),"")),"异常：姓名与员工主数据不一致",IF(S212&lt;0,"异常：原始所得为负，已按0计税",IF(OR(AND(F212="股票期权",K212=""),AND(F212="限制性股票",OR(K212="",L212=""))),"异常：计划参数缺失",IF(COUNTIF(计划参数!$I$2:$I$501,C212)=0,"提示：员工编号未在主数据",IF(Q212&lt;&gt;"已备案","提示：未确认备案","正常"))))))))))))</f>
        <v/>
      </c>
      <c r="AE212" s="9"/>
      <c r="AF212" s="4" t="str">
        <f>IF(C212="","",IF(COUNTIF($C$2:C212,C212)=1,MAX($AF$1:AF211)+1,""))</f>
        <v/>
      </c>
      <c r="AG212" s="4" t="str">
        <f>IF(C212="","",COUNTIF($C$2:C212,C212))</f>
        <v/>
      </c>
      <c r="AH212" s="4" t="str">
        <f t="shared" si="55"/>
        <v/>
      </c>
      <c r="AI212" s="4" t="str">
        <f t="shared" si="56"/>
        <v/>
      </c>
      <c r="AJ212" s="4" t="str">
        <f t="shared" si="57"/>
        <v/>
      </c>
      <c r="AK212" s="15" t="str">
        <f>IF(A212="","",SUMIFS(分期缴税台账!$K$2:$K$501,分期缴税台账!$T$2:$T$501,A212,分期缴税台账!$Q$2:$Q$501,"有效"))</f>
        <v/>
      </c>
      <c r="AL212" s="15" t="str">
        <f t="shared" si="58"/>
        <v/>
      </c>
      <c r="AM212" s="4" t="str">
        <f t="shared" si="59"/>
        <v/>
      </c>
    </row>
    <row r="213" spans="1:39" x14ac:dyDescent="0.3">
      <c r="A213" s="9"/>
      <c r="B213" s="4" t="str">
        <f t="shared" si="45"/>
        <v/>
      </c>
      <c r="C213" s="9"/>
      <c r="D213" s="9"/>
      <c r="E213" s="9"/>
      <c r="F213" s="9"/>
      <c r="G213" s="13"/>
      <c r="H213" s="4" t="str">
        <f t="shared" si="46"/>
        <v/>
      </c>
      <c r="I213" s="9"/>
      <c r="J213" s="14"/>
      <c r="K213" s="15" t="str">
        <f>IF(OR(E213="",F213="",G213=""),"",IF(E213&lt;&gt;计划参数!$C$2,"",IF(F213="股票期权",IFERROR(LOOKUP(G213,计划参数!$D$12:$D$15,计划参数!$C$12:$C$15),""),IF(F213="限制性股票",计划参数!$C$10,""))))</f>
        <v/>
      </c>
      <c r="L213" s="15" t="str">
        <f>IF(AND(E213=计划参数!$C$2,F213="限制性股票",G213&gt;=计划参数!$D$9),计划参数!$C$9,"")</f>
        <v/>
      </c>
      <c r="M213" s="9"/>
      <c r="N213" s="14"/>
      <c r="O213" s="14"/>
      <c r="P213" s="13"/>
      <c r="Q213" s="9"/>
      <c r="R213" s="13"/>
      <c r="S213" s="15" t="str">
        <f t="shared" si="47"/>
        <v/>
      </c>
      <c r="T213" s="15" t="str">
        <f t="shared" si="48"/>
        <v/>
      </c>
      <c r="U213" s="15" t="str">
        <f t="shared" si="49"/>
        <v/>
      </c>
      <c r="V213" s="15" t="str">
        <f t="shared" si="50"/>
        <v/>
      </c>
      <c r="W213" s="16" t="str">
        <f>IF(V213="","",VLOOKUP(V213,税率及规则!$A$2:$C$8,2,TRUE))</f>
        <v/>
      </c>
      <c r="X213" s="15" t="str">
        <f>IF(V213="","",VLOOKUP(V213,税率及规则!$A$2:$C$8,3,TRUE))</f>
        <v/>
      </c>
      <c r="Y213" s="15" t="str">
        <f t="shared" si="51"/>
        <v/>
      </c>
      <c r="Z213" s="15" t="str">
        <f>IF(U213="","",MAX(0,U213*VLOOKUP(U213,税率及规则!$A$2:$C$8,2,TRUE)-VLOOKUP(U213,税率及规则!$A$2:$C$8,3,TRUE)))</f>
        <v/>
      </c>
      <c r="AA213" s="15" t="str">
        <f t="shared" si="52"/>
        <v/>
      </c>
      <c r="AB213" s="17" t="str">
        <f t="shared" si="53"/>
        <v/>
      </c>
      <c r="AC213" s="17" t="str">
        <f t="shared" si="54"/>
        <v/>
      </c>
      <c r="AD213" s="4" t="str">
        <f>IF(A213="","",IF(COUNTIF($A$2:$A$501,A213)&gt;1,"异常：事件编号重复",IF(OR(C213="",D213="",E213="",F213="",G213=""),"异常：必填项缺失",IF(AND(F213="其他股权激励",O213=""),"异常：其他股权激励所得缺失",IF(AND(F213&lt;&gt;"其他股权激励",OR(I213="",J213="")),"异常：数量或市场价缺失",IF(AND(F213&lt;&gt;"其他股权激励",OR(I213&lt;=0,J213&lt;0)),"异常：数量或价格无效",IF(AND(F213="限制性股票",OR(M213&lt;=0,N213&lt;0,I213&gt;M213)),"异常：个人获授或出资数据无效",IF(AND(IFERROR(INDEX(计划参数!$J$2:$J$501,MATCH(C213,计划参数!$I$2:$I$501,0)),"")&lt;&gt;"",D213&lt;&gt;IFERROR(INDEX(计划参数!$J$2:$J$501,MATCH(C213,计划参数!$I$2:$I$501,0)),"")),"异常：姓名与员工主数据不一致",IF(S213&lt;0,"异常：原始所得为负，已按0计税",IF(OR(AND(F213="股票期权",K213=""),AND(F213="限制性股票",OR(K213="",L213=""))),"异常：计划参数缺失",IF(COUNTIF(计划参数!$I$2:$I$501,C213)=0,"提示：员工编号未在主数据",IF(Q213&lt;&gt;"已备案","提示：未确认备案","正常"))))))))))))</f>
        <v/>
      </c>
      <c r="AE213" s="9"/>
      <c r="AF213" s="4" t="str">
        <f>IF(C213="","",IF(COUNTIF($C$2:C213,C213)=1,MAX($AF$1:AF212)+1,""))</f>
        <v/>
      </c>
      <c r="AG213" s="4" t="str">
        <f>IF(C213="","",COUNTIF($C$2:C213,C213))</f>
        <v/>
      </c>
      <c r="AH213" s="4" t="str">
        <f t="shared" si="55"/>
        <v/>
      </c>
      <c r="AI213" s="4" t="str">
        <f t="shared" si="56"/>
        <v/>
      </c>
      <c r="AJ213" s="4" t="str">
        <f t="shared" si="57"/>
        <v/>
      </c>
      <c r="AK213" s="15" t="str">
        <f>IF(A213="","",SUMIFS(分期缴税台账!$K$2:$K$501,分期缴税台账!$T$2:$T$501,A213,分期缴税台账!$Q$2:$Q$501,"有效"))</f>
        <v/>
      </c>
      <c r="AL213" s="15" t="str">
        <f t="shared" si="58"/>
        <v/>
      </c>
      <c r="AM213" s="4" t="str">
        <f t="shared" si="59"/>
        <v/>
      </c>
    </row>
    <row r="214" spans="1:39" x14ac:dyDescent="0.3">
      <c r="A214" s="9"/>
      <c r="B214" s="4" t="str">
        <f t="shared" si="45"/>
        <v/>
      </c>
      <c r="C214" s="9"/>
      <c r="D214" s="9"/>
      <c r="E214" s="9"/>
      <c r="F214" s="9"/>
      <c r="G214" s="13"/>
      <c r="H214" s="4" t="str">
        <f t="shared" si="46"/>
        <v/>
      </c>
      <c r="I214" s="9"/>
      <c r="J214" s="14"/>
      <c r="K214" s="15" t="str">
        <f>IF(OR(E214="",F214="",G214=""),"",IF(E214&lt;&gt;计划参数!$C$2,"",IF(F214="股票期权",IFERROR(LOOKUP(G214,计划参数!$D$12:$D$15,计划参数!$C$12:$C$15),""),IF(F214="限制性股票",计划参数!$C$10,""))))</f>
        <v/>
      </c>
      <c r="L214" s="15" t="str">
        <f>IF(AND(E214=计划参数!$C$2,F214="限制性股票",G214&gt;=计划参数!$D$9),计划参数!$C$9,"")</f>
        <v/>
      </c>
      <c r="M214" s="9"/>
      <c r="N214" s="14"/>
      <c r="O214" s="14"/>
      <c r="P214" s="13"/>
      <c r="Q214" s="9"/>
      <c r="R214" s="13"/>
      <c r="S214" s="15" t="str">
        <f t="shared" si="47"/>
        <v/>
      </c>
      <c r="T214" s="15" t="str">
        <f t="shared" si="48"/>
        <v/>
      </c>
      <c r="U214" s="15" t="str">
        <f t="shared" si="49"/>
        <v/>
      </c>
      <c r="V214" s="15" t="str">
        <f t="shared" si="50"/>
        <v/>
      </c>
      <c r="W214" s="16" t="str">
        <f>IF(V214="","",VLOOKUP(V214,税率及规则!$A$2:$C$8,2,TRUE))</f>
        <v/>
      </c>
      <c r="X214" s="15" t="str">
        <f>IF(V214="","",VLOOKUP(V214,税率及规则!$A$2:$C$8,3,TRUE))</f>
        <v/>
      </c>
      <c r="Y214" s="15" t="str">
        <f t="shared" si="51"/>
        <v/>
      </c>
      <c r="Z214" s="15" t="str">
        <f>IF(U214="","",MAX(0,U214*VLOOKUP(U214,税率及规则!$A$2:$C$8,2,TRUE)-VLOOKUP(U214,税率及规则!$A$2:$C$8,3,TRUE)))</f>
        <v/>
      </c>
      <c r="AA214" s="15" t="str">
        <f t="shared" si="52"/>
        <v/>
      </c>
      <c r="AB214" s="17" t="str">
        <f t="shared" si="53"/>
        <v/>
      </c>
      <c r="AC214" s="17" t="str">
        <f t="shared" si="54"/>
        <v/>
      </c>
      <c r="AD214" s="4" t="str">
        <f>IF(A214="","",IF(COUNTIF($A$2:$A$501,A214)&gt;1,"异常：事件编号重复",IF(OR(C214="",D214="",E214="",F214="",G214=""),"异常：必填项缺失",IF(AND(F214="其他股权激励",O214=""),"异常：其他股权激励所得缺失",IF(AND(F214&lt;&gt;"其他股权激励",OR(I214="",J214="")),"异常：数量或市场价缺失",IF(AND(F214&lt;&gt;"其他股权激励",OR(I214&lt;=0,J214&lt;0)),"异常：数量或价格无效",IF(AND(F214="限制性股票",OR(M214&lt;=0,N214&lt;0,I214&gt;M214)),"异常：个人获授或出资数据无效",IF(AND(IFERROR(INDEX(计划参数!$J$2:$J$501,MATCH(C214,计划参数!$I$2:$I$501,0)),"")&lt;&gt;"",D214&lt;&gt;IFERROR(INDEX(计划参数!$J$2:$J$501,MATCH(C214,计划参数!$I$2:$I$501,0)),"")),"异常：姓名与员工主数据不一致",IF(S214&lt;0,"异常：原始所得为负，已按0计税",IF(OR(AND(F214="股票期权",K214=""),AND(F214="限制性股票",OR(K214="",L214=""))),"异常：计划参数缺失",IF(COUNTIF(计划参数!$I$2:$I$501,C214)=0,"提示：员工编号未在主数据",IF(Q214&lt;&gt;"已备案","提示：未确认备案","正常"))))))))))))</f>
        <v/>
      </c>
      <c r="AE214" s="9"/>
      <c r="AF214" s="4" t="str">
        <f>IF(C214="","",IF(COUNTIF($C$2:C214,C214)=1,MAX($AF$1:AF213)+1,""))</f>
        <v/>
      </c>
      <c r="AG214" s="4" t="str">
        <f>IF(C214="","",COUNTIF($C$2:C214,C214))</f>
        <v/>
      </c>
      <c r="AH214" s="4" t="str">
        <f t="shared" si="55"/>
        <v/>
      </c>
      <c r="AI214" s="4" t="str">
        <f t="shared" si="56"/>
        <v/>
      </c>
      <c r="AJ214" s="4" t="str">
        <f t="shared" si="57"/>
        <v/>
      </c>
      <c r="AK214" s="15" t="str">
        <f>IF(A214="","",SUMIFS(分期缴税台账!$K$2:$K$501,分期缴税台账!$T$2:$T$501,A214,分期缴税台账!$Q$2:$Q$501,"有效"))</f>
        <v/>
      </c>
      <c r="AL214" s="15" t="str">
        <f t="shared" si="58"/>
        <v/>
      </c>
      <c r="AM214" s="4" t="str">
        <f t="shared" si="59"/>
        <v/>
      </c>
    </row>
    <row r="215" spans="1:39" x14ac:dyDescent="0.3">
      <c r="A215" s="9"/>
      <c r="B215" s="4" t="str">
        <f t="shared" si="45"/>
        <v/>
      </c>
      <c r="C215" s="9"/>
      <c r="D215" s="9"/>
      <c r="E215" s="9"/>
      <c r="F215" s="9"/>
      <c r="G215" s="13"/>
      <c r="H215" s="4" t="str">
        <f t="shared" si="46"/>
        <v/>
      </c>
      <c r="I215" s="9"/>
      <c r="J215" s="14"/>
      <c r="K215" s="15" t="str">
        <f>IF(OR(E215="",F215="",G215=""),"",IF(E215&lt;&gt;计划参数!$C$2,"",IF(F215="股票期权",IFERROR(LOOKUP(G215,计划参数!$D$12:$D$15,计划参数!$C$12:$C$15),""),IF(F215="限制性股票",计划参数!$C$10,""))))</f>
        <v/>
      </c>
      <c r="L215" s="15" t="str">
        <f>IF(AND(E215=计划参数!$C$2,F215="限制性股票",G215&gt;=计划参数!$D$9),计划参数!$C$9,"")</f>
        <v/>
      </c>
      <c r="M215" s="9"/>
      <c r="N215" s="14"/>
      <c r="O215" s="14"/>
      <c r="P215" s="13"/>
      <c r="Q215" s="9"/>
      <c r="R215" s="13"/>
      <c r="S215" s="15" t="str">
        <f t="shared" si="47"/>
        <v/>
      </c>
      <c r="T215" s="15" t="str">
        <f t="shared" si="48"/>
        <v/>
      </c>
      <c r="U215" s="15" t="str">
        <f t="shared" si="49"/>
        <v/>
      </c>
      <c r="V215" s="15" t="str">
        <f t="shared" si="50"/>
        <v/>
      </c>
      <c r="W215" s="16" t="str">
        <f>IF(V215="","",VLOOKUP(V215,税率及规则!$A$2:$C$8,2,TRUE))</f>
        <v/>
      </c>
      <c r="X215" s="15" t="str">
        <f>IF(V215="","",VLOOKUP(V215,税率及规则!$A$2:$C$8,3,TRUE))</f>
        <v/>
      </c>
      <c r="Y215" s="15" t="str">
        <f t="shared" si="51"/>
        <v/>
      </c>
      <c r="Z215" s="15" t="str">
        <f>IF(U215="","",MAX(0,U215*VLOOKUP(U215,税率及规则!$A$2:$C$8,2,TRUE)-VLOOKUP(U215,税率及规则!$A$2:$C$8,3,TRUE)))</f>
        <v/>
      </c>
      <c r="AA215" s="15" t="str">
        <f t="shared" si="52"/>
        <v/>
      </c>
      <c r="AB215" s="17" t="str">
        <f t="shared" si="53"/>
        <v/>
      </c>
      <c r="AC215" s="17" t="str">
        <f t="shared" si="54"/>
        <v/>
      </c>
      <c r="AD215" s="4" t="str">
        <f>IF(A215="","",IF(COUNTIF($A$2:$A$501,A215)&gt;1,"异常：事件编号重复",IF(OR(C215="",D215="",E215="",F215="",G215=""),"异常：必填项缺失",IF(AND(F215="其他股权激励",O215=""),"异常：其他股权激励所得缺失",IF(AND(F215&lt;&gt;"其他股权激励",OR(I215="",J215="")),"异常：数量或市场价缺失",IF(AND(F215&lt;&gt;"其他股权激励",OR(I215&lt;=0,J215&lt;0)),"异常：数量或价格无效",IF(AND(F215="限制性股票",OR(M215&lt;=0,N215&lt;0,I215&gt;M215)),"异常：个人获授或出资数据无效",IF(AND(IFERROR(INDEX(计划参数!$J$2:$J$501,MATCH(C215,计划参数!$I$2:$I$501,0)),"")&lt;&gt;"",D215&lt;&gt;IFERROR(INDEX(计划参数!$J$2:$J$501,MATCH(C215,计划参数!$I$2:$I$501,0)),"")),"异常：姓名与员工主数据不一致",IF(S215&lt;0,"异常：原始所得为负，已按0计税",IF(OR(AND(F215="股票期权",K215=""),AND(F215="限制性股票",OR(K215="",L215=""))),"异常：计划参数缺失",IF(COUNTIF(计划参数!$I$2:$I$501,C215)=0,"提示：员工编号未在主数据",IF(Q215&lt;&gt;"已备案","提示：未确认备案","正常"))))))))))))</f>
        <v/>
      </c>
      <c r="AE215" s="9"/>
      <c r="AF215" s="4" t="str">
        <f>IF(C215="","",IF(COUNTIF($C$2:C215,C215)=1,MAX($AF$1:AF214)+1,""))</f>
        <v/>
      </c>
      <c r="AG215" s="4" t="str">
        <f>IF(C215="","",COUNTIF($C$2:C215,C215))</f>
        <v/>
      </c>
      <c r="AH215" s="4" t="str">
        <f t="shared" si="55"/>
        <v/>
      </c>
      <c r="AI215" s="4" t="str">
        <f t="shared" si="56"/>
        <v/>
      </c>
      <c r="AJ215" s="4" t="str">
        <f t="shared" si="57"/>
        <v/>
      </c>
      <c r="AK215" s="15" t="str">
        <f>IF(A215="","",SUMIFS(分期缴税台账!$K$2:$K$501,分期缴税台账!$T$2:$T$501,A215,分期缴税台账!$Q$2:$Q$501,"有效"))</f>
        <v/>
      </c>
      <c r="AL215" s="15" t="str">
        <f t="shared" si="58"/>
        <v/>
      </c>
      <c r="AM215" s="4" t="str">
        <f t="shared" si="59"/>
        <v/>
      </c>
    </row>
    <row r="216" spans="1:39" x14ac:dyDescent="0.3">
      <c r="A216" s="9"/>
      <c r="B216" s="4" t="str">
        <f t="shared" si="45"/>
        <v/>
      </c>
      <c r="C216" s="9"/>
      <c r="D216" s="9"/>
      <c r="E216" s="9"/>
      <c r="F216" s="9"/>
      <c r="G216" s="13"/>
      <c r="H216" s="4" t="str">
        <f t="shared" si="46"/>
        <v/>
      </c>
      <c r="I216" s="9"/>
      <c r="J216" s="14"/>
      <c r="K216" s="15" t="str">
        <f>IF(OR(E216="",F216="",G216=""),"",IF(E216&lt;&gt;计划参数!$C$2,"",IF(F216="股票期权",IFERROR(LOOKUP(G216,计划参数!$D$12:$D$15,计划参数!$C$12:$C$15),""),IF(F216="限制性股票",计划参数!$C$10,""))))</f>
        <v/>
      </c>
      <c r="L216" s="15" t="str">
        <f>IF(AND(E216=计划参数!$C$2,F216="限制性股票",G216&gt;=计划参数!$D$9),计划参数!$C$9,"")</f>
        <v/>
      </c>
      <c r="M216" s="9"/>
      <c r="N216" s="14"/>
      <c r="O216" s="14"/>
      <c r="P216" s="13"/>
      <c r="Q216" s="9"/>
      <c r="R216" s="13"/>
      <c r="S216" s="15" t="str">
        <f t="shared" si="47"/>
        <v/>
      </c>
      <c r="T216" s="15" t="str">
        <f t="shared" si="48"/>
        <v/>
      </c>
      <c r="U216" s="15" t="str">
        <f t="shared" si="49"/>
        <v/>
      </c>
      <c r="V216" s="15" t="str">
        <f t="shared" si="50"/>
        <v/>
      </c>
      <c r="W216" s="16" t="str">
        <f>IF(V216="","",VLOOKUP(V216,税率及规则!$A$2:$C$8,2,TRUE))</f>
        <v/>
      </c>
      <c r="X216" s="15" t="str">
        <f>IF(V216="","",VLOOKUP(V216,税率及规则!$A$2:$C$8,3,TRUE))</f>
        <v/>
      </c>
      <c r="Y216" s="15" t="str">
        <f t="shared" si="51"/>
        <v/>
      </c>
      <c r="Z216" s="15" t="str">
        <f>IF(U216="","",MAX(0,U216*VLOOKUP(U216,税率及规则!$A$2:$C$8,2,TRUE)-VLOOKUP(U216,税率及规则!$A$2:$C$8,3,TRUE)))</f>
        <v/>
      </c>
      <c r="AA216" s="15" t="str">
        <f t="shared" si="52"/>
        <v/>
      </c>
      <c r="AB216" s="17" t="str">
        <f t="shared" si="53"/>
        <v/>
      </c>
      <c r="AC216" s="17" t="str">
        <f t="shared" si="54"/>
        <v/>
      </c>
      <c r="AD216" s="4" t="str">
        <f>IF(A216="","",IF(COUNTIF($A$2:$A$501,A216)&gt;1,"异常：事件编号重复",IF(OR(C216="",D216="",E216="",F216="",G216=""),"异常：必填项缺失",IF(AND(F216="其他股权激励",O216=""),"异常：其他股权激励所得缺失",IF(AND(F216&lt;&gt;"其他股权激励",OR(I216="",J216="")),"异常：数量或市场价缺失",IF(AND(F216&lt;&gt;"其他股权激励",OR(I216&lt;=0,J216&lt;0)),"异常：数量或价格无效",IF(AND(F216="限制性股票",OR(M216&lt;=0,N216&lt;0,I216&gt;M216)),"异常：个人获授或出资数据无效",IF(AND(IFERROR(INDEX(计划参数!$J$2:$J$501,MATCH(C216,计划参数!$I$2:$I$501,0)),"")&lt;&gt;"",D216&lt;&gt;IFERROR(INDEX(计划参数!$J$2:$J$501,MATCH(C216,计划参数!$I$2:$I$501,0)),"")),"异常：姓名与员工主数据不一致",IF(S216&lt;0,"异常：原始所得为负，已按0计税",IF(OR(AND(F216="股票期权",K216=""),AND(F216="限制性股票",OR(K216="",L216=""))),"异常：计划参数缺失",IF(COUNTIF(计划参数!$I$2:$I$501,C216)=0,"提示：员工编号未在主数据",IF(Q216&lt;&gt;"已备案","提示：未确认备案","正常"))))))))))))</f>
        <v/>
      </c>
      <c r="AE216" s="9"/>
      <c r="AF216" s="4" t="str">
        <f>IF(C216="","",IF(COUNTIF($C$2:C216,C216)=1,MAX($AF$1:AF215)+1,""))</f>
        <v/>
      </c>
      <c r="AG216" s="4" t="str">
        <f>IF(C216="","",COUNTIF($C$2:C216,C216))</f>
        <v/>
      </c>
      <c r="AH216" s="4" t="str">
        <f t="shared" si="55"/>
        <v/>
      </c>
      <c r="AI216" s="4" t="str">
        <f t="shared" si="56"/>
        <v/>
      </c>
      <c r="AJ216" s="4" t="str">
        <f t="shared" si="57"/>
        <v/>
      </c>
      <c r="AK216" s="15" t="str">
        <f>IF(A216="","",SUMIFS(分期缴税台账!$K$2:$K$501,分期缴税台账!$T$2:$T$501,A216,分期缴税台账!$Q$2:$Q$501,"有效"))</f>
        <v/>
      </c>
      <c r="AL216" s="15" t="str">
        <f t="shared" si="58"/>
        <v/>
      </c>
      <c r="AM216" s="4" t="str">
        <f t="shared" si="59"/>
        <v/>
      </c>
    </row>
    <row r="217" spans="1:39" x14ac:dyDescent="0.3">
      <c r="A217" s="9"/>
      <c r="B217" s="4" t="str">
        <f t="shared" si="45"/>
        <v/>
      </c>
      <c r="C217" s="9"/>
      <c r="D217" s="9"/>
      <c r="E217" s="9"/>
      <c r="F217" s="9"/>
      <c r="G217" s="13"/>
      <c r="H217" s="4" t="str">
        <f t="shared" si="46"/>
        <v/>
      </c>
      <c r="I217" s="9"/>
      <c r="J217" s="14"/>
      <c r="K217" s="15" t="str">
        <f>IF(OR(E217="",F217="",G217=""),"",IF(E217&lt;&gt;计划参数!$C$2,"",IF(F217="股票期权",IFERROR(LOOKUP(G217,计划参数!$D$12:$D$15,计划参数!$C$12:$C$15),""),IF(F217="限制性股票",计划参数!$C$10,""))))</f>
        <v/>
      </c>
      <c r="L217" s="15" t="str">
        <f>IF(AND(E217=计划参数!$C$2,F217="限制性股票",G217&gt;=计划参数!$D$9),计划参数!$C$9,"")</f>
        <v/>
      </c>
      <c r="M217" s="9"/>
      <c r="N217" s="14"/>
      <c r="O217" s="14"/>
      <c r="P217" s="13"/>
      <c r="Q217" s="9"/>
      <c r="R217" s="13"/>
      <c r="S217" s="15" t="str">
        <f t="shared" si="47"/>
        <v/>
      </c>
      <c r="T217" s="15" t="str">
        <f t="shared" si="48"/>
        <v/>
      </c>
      <c r="U217" s="15" t="str">
        <f t="shared" si="49"/>
        <v/>
      </c>
      <c r="V217" s="15" t="str">
        <f t="shared" si="50"/>
        <v/>
      </c>
      <c r="W217" s="16" t="str">
        <f>IF(V217="","",VLOOKUP(V217,税率及规则!$A$2:$C$8,2,TRUE))</f>
        <v/>
      </c>
      <c r="X217" s="15" t="str">
        <f>IF(V217="","",VLOOKUP(V217,税率及规则!$A$2:$C$8,3,TRUE))</f>
        <v/>
      </c>
      <c r="Y217" s="15" t="str">
        <f t="shared" si="51"/>
        <v/>
      </c>
      <c r="Z217" s="15" t="str">
        <f>IF(U217="","",MAX(0,U217*VLOOKUP(U217,税率及规则!$A$2:$C$8,2,TRUE)-VLOOKUP(U217,税率及规则!$A$2:$C$8,3,TRUE)))</f>
        <v/>
      </c>
      <c r="AA217" s="15" t="str">
        <f t="shared" si="52"/>
        <v/>
      </c>
      <c r="AB217" s="17" t="str">
        <f t="shared" si="53"/>
        <v/>
      </c>
      <c r="AC217" s="17" t="str">
        <f t="shared" si="54"/>
        <v/>
      </c>
      <c r="AD217" s="4" t="str">
        <f>IF(A217="","",IF(COUNTIF($A$2:$A$501,A217)&gt;1,"异常：事件编号重复",IF(OR(C217="",D217="",E217="",F217="",G217=""),"异常：必填项缺失",IF(AND(F217="其他股权激励",O217=""),"异常：其他股权激励所得缺失",IF(AND(F217&lt;&gt;"其他股权激励",OR(I217="",J217="")),"异常：数量或市场价缺失",IF(AND(F217&lt;&gt;"其他股权激励",OR(I217&lt;=0,J217&lt;0)),"异常：数量或价格无效",IF(AND(F217="限制性股票",OR(M217&lt;=0,N217&lt;0,I217&gt;M217)),"异常：个人获授或出资数据无效",IF(AND(IFERROR(INDEX(计划参数!$J$2:$J$501,MATCH(C217,计划参数!$I$2:$I$501,0)),"")&lt;&gt;"",D217&lt;&gt;IFERROR(INDEX(计划参数!$J$2:$J$501,MATCH(C217,计划参数!$I$2:$I$501,0)),"")),"异常：姓名与员工主数据不一致",IF(S217&lt;0,"异常：原始所得为负，已按0计税",IF(OR(AND(F217="股票期权",K217=""),AND(F217="限制性股票",OR(K217="",L217=""))),"异常：计划参数缺失",IF(COUNTIF(计划参数!$I$2:$I$501,C217)=0,"提示：员工编号未在主数据",IF(Q217&lt;&gt;"已备案","提示：未确认备案","正常"))))))))))))</f>
        <v/>
      </c>
      <c r="AE217" s="9"/>
      <c r="AF217" s="4" t="str">
        <f>IF(C217="","",IF(COUNTIF($C$2:C217,C217)=1,MAX($AF$1:AF216)+1,""))</f>
        <v/>
      </c>
      <c r="AG217" s="4" t="str">
        <f>IF(C217="","",COUNTIF($C$2:C217,C217))</f>
        <v/>
      </c>
      <c r="AH217" s="4" t="str">
        <f t="shared" si="55"/>
        <v/>
      </c>
      <c r="AI217" s="4" t="str">
        <f t="shared" si="56"/>
        <v/>
      </c>
      <c r="AJ217" s="4" t="str">
        <f t="shared" si="57"/>
        <v/>
      </c>
      <c r="AK217" s="15" t="str">
        <f>IF(A217="","",SUMIFS(分期缴税台账!$K$2:$K$501,分期缴税台账!$T$2:$T$501,A217,分期缴税台账!$Q$2:$Q$501,"有效"))</f>
        <v/>
      </c>
      <c r="AL217" s="15" t="str">
        <f t="shared" si="58"/>
        <v/>
      </c>
      <c r="AM217" s="4" t="str">
        <f t="shared" si="59"/>
        <v/>
      </c>
    </row>
    <row r="218" spans="1:39" x14ac:dyDescent="0.3">
      <c r="A218" s="9"/>
      <c r="B218" s="4" t="str">
        <f t="shared" si="45"/>
        <v/>
      </c>
      <c r="C218" s="9"/>
      <c r="D218" s="9"/>
      <c r="E218" s="9"/>
      <c r="F218" s="9"/>
      <c r="G218" s="13"/>
      <c r="H218" s="4" t="str">
        <f t="shared" si="46"/>
        <v/>
      </c>
      <c r="I218" s="9"/>
      <c r="J218" s="14"/>
      <c r="K218" s="15" t="str">
        <f>IF(OR(E218="",F218="",G218=""),"",IF(E218&lt;&gt;计划参数!$C$2,"",IF(F218="股票期权",IFERROR(LOOKUP(G218,计划参数!$D$12:$D$15,计划参数!$C$12:$C$15),""),IF(F218="限制性股票",计划参数!$C$10,""))))</f>
        <v/>
      </c>
      <c r="L218" s="15" t="str">
        <f>IF(AND(E218=计划参数!$C$2,F218="限制性股票",G218&gt;=计划参数!$D$9),计划参数!$C$9,"")</f>
        <v/>
      </c>
      <c r="M218" s="9"/>
      <c r="N218" s="14"/>
      <c r="O218" s="14"/>
      <c r="P218" s="13"/>
      <c r="Q218" s="9"/>
      <c r="R218" s="13"/>
      <c r="S218" s="15" t="str">
        <f t="shared" si="47"/>
        <v/>
      </c>
      <c r="T218" s="15" t="str">
        <f t="shared" si="48"/>
        <v/>
      </c>
      <c r="U218" s="15" t="str">
        <f t="shared" si="49"/>
        <v/>
      </c>
      <c r="V218" s="15" t="str">
        <f t="shared" si="50"/>
        <v/>
      </c>
      <c r="W218" s="16" t="str">
        <f>IF(V218="","",VLOOKUP(V218,税率及规则!$A$2:$C$8,2,TRUE))</f>
        <v/>
      </c>
      <c r="X218" s="15" t="str">
        <f>IF(V218="","",VLOOKUP(V218,税率及规则!$A$2:$C$8,3,TRUE))</f>
        <v/>
      </c>
      <c r="Y218" s="15" t="str">
        <f t="shared" si="51"/>
        <v/>
      </c>
      <c r="Z218" s="15" t="str">
        <f>IF(U218="","",MAX(0,U218*VLOOKUP(U218,税率及规则!$A$2:$C$8,2,TRUE)-VLOOKUP(U218,税率及规则!$A$2:$C$8,3,TRUE)))</f>
        <v/>
      </c>
      <c r="AA218" s="15" t="str">
        <f t="shared" si="52"/>
        <v/>
      </c>
      <c r="AB218" s="17" t="str">
        <f t="shared" si="53"/>
        <v/>
      </c>
      <c r="AC218" s="17" t="str">
        <f t="shared" si="54"/>
        <v/>
      </c>
      <c r="AD218" s="4" t="str">
        <f>IF(A218="","",IF(COUNTIF($A$2:$A$501,A218)&gt;1,"异常：事件编号重复",IF(OR(C218="",D218="",E218="",F218="",G218=""),"异常：必填项缺失",IF(AND(F218="其他股权激励",O218=""),"异常：其他股权激励所得缺失",IF(AND(F218&lt;&gt;"其他股权激励",OR(I218="",J218="")),"异常：数量或市场价缺失",IF(AND(F218&lt;&gt;"其他股权激励",OR(I218&lt;=0,J218&lt;0)),"异常：数量或价格无效",IF(AND(F218="限制性股票",OR(M218&lt;=0,N218&lt;0,I218&gt;M218)),"异常：个人获授或出资数据无效",IF(AND(IFERROR(INDEX(计划参数!$J$2:$J$501,MATCH(C218,计划参数!$I$2:$I$501,0)),"")&lt;&gt;"",D218&lt;&gt;IFERROR(INDEX(计划参数!$J$2:$J$501,MATCH(C218,计划参数!$I$2:$I$501,0)),"")),"异常：姓名与员工主数据不一致",IF(S218&lt;0,"异常：原始所得为负，已按0计税",IF(OR(AND(F218="股票期权",K218=""),AND(F218="限制性股票",OR(K218="",L218=""))),"异常：计划参数缺失",IF(COUNTIF(计划参数!$I$2:$I$501,C218)=0,"提示：员工编号未在主数据",IF(Q218&lt;&gt;"已备案","提示：未确认备案","正常"))))))))))))</f>
        <v/>
      </c>
      <c r="AE218" s="9"/>
      <c r="AF218" s="4" t="str">
        <f>IF(C218="","",IF(COUNTIF($C$2:C218,C218)=1,MAX($AF$1:AF217)+1,""))</f>
        <v/>
      </c>
      <c r="AG218" s="4" t="str">
        <f>IF(C218="","",COUNTIF($C$2:C218,C218))</f>
        <v/>
      </c>
      <c r="AH218" s="4" t="str">
        <f t="shared" si="55"/>
        <v/>
      </c>
      <c r="AI218" s="4" t="str">
        <f t="shared" si="56"/>
        <v/>
      </c>
      <c r="AJ218" s="4" t="str">
        <f t="shared" si="57"/>
        <v/>
      </c>
      <c r="AK218" s="15" t="str">
        <f>IF(A218="","",SUMIFS(分期缴税台账!$K$2:$K$501,分期缴税台账!$T$2:$T$501,A218,分期缴税台账!$Q$2:$Q$501,"有效"))</f>
        <v/>
      </c>
      <c r="AL218" s="15" t="str">
        <f t="shared" si="58"/>
        <v/>
      </c>
      <c r="AM218" s="4" t="str">
        <f t="shared" si="59"/>
        <v/>
      </c>
    </row>
    <row r="219" spans="1:39" x14ac:dyDescent="0.3">
      <c r="A219" s="9"/>
      <c r="B219" s="4" t="str">
        <f t="shared" si="45"/>
        <v/>
      </c>
      <c r="C219" s="9"/>
      <c r="D219" s="9"/>
      <c r="E219" s="9"/>
      <c r="F219" s="9"/>
      <c r="G219" s="13"/>
      <c r="H219" s="4" t="str">
        <f t="shared" si="46"/>
        <v/>
      </c>
      <c r="I219" s="9"/>
      <c r="J219" s="14"/>
      <c r="K219" s="15" t="str">
        <f>IF(OR(E219="",F219="",G219=""),"",IF(E219&lt;&gt;计划参数!$C$2,"",IF(F219="股票期权",IFERROR(LOOKUP(G219,计划参数!$D$12:$D$15,计划参数!$C$12:$C$15),""),IF(F219="限制性股票",计划参数!$C$10,""))))</f>
        <v/>
      </c>
      <c r="L219" s="15" t="str">
        <f>IF(AND(E219=计划参数!$C$2,F219="限制性股票",G219&gt;=计划参数!$D$9),计划参数!$C$9,"")</f>
        <v/>
      </c>
      <c r="M219" s="9"/>
      <c r="N219" s="14"/>
      <c r="O219" s="14"/>
      <c r="P219" s="13"/>
      <c r="Q219" s="9"/>
      <c r="R219" s="13"/>
      <c r="S219" s="15" t="str">
        <f t="shared" si="47"/>
        <v/>
      </c>
      <c r="T219" s="15" t="str">
        <f t="shared" si="48"/>
        <v/>
      </c>
      <c r="U219" s="15" t="str">
        <f t="shared" si="49"/>
        <v/>
      </c>
      <c r="V219" s="15" t="str">
        <f t="shared" si="50"/>
        <v/>
      </c>
      <c r="W219" s="16" t="str">
        <f>IF(V219="","",VLOOKUP(V219,税率及规则!$A$2:$C$8,2,TRUE))</f>
        <v/>
      </c>
      <c r="X219" s="15" t="str">
        <f>IF(V219="","",VLOOKUP(V219,税率及规则!$A$2:$C$8,3,TRUE))</f>
        <v/>
      </c>
      <c r="Y219" s="15" t="str">
        <f t="shared" si="51"/>
        <v/>
      </c>
      <c r="Z219" s="15" t="str">
        <f>IF(U219="","",MAX(0,U219*VLOOKUP(U219,税率及规则!$A$2:$C$8,2,TRUE)-VLOOKUP(U219,税率及规则!$A$2:$C$8,3,TRUE)))</f>
        <v/>
      </c>
      <c r="AA219" s="15" t="str">
        <f t="shared" si="52"/>
        <v/>
      </c>
      <c r="AB219" s="17" t="str">
        <f t="shared" si="53"/>
        <v/>
      </c>
      <c r="AC219" s="17" t="str">
        <f t="shared" si="54"/>
        <v/>
      </c>
      <c r="AD219" s="4" t="str">
        <f>IF(A219="","",IF(COUNTIF($A$2:$A$501,A219)&gt;1,"异常：事件编号重复",IF(OR(C219="",D219="",E219="",F219="",G219=""),"异常：必填项缺失",IF(AND(F219="其他股权激励",O219=""),"异常：其他股权激励所得缺失",IF(AND(F219&lt;&gt;"其他股权激励",OR(I219="",J219="")),"异常：数量或市场价缺失",IF(AND(F219&lt;&gt;"其他股权激励",OR(I219&lt;=0,J219&lt;0)),"异常：数量或价格无效",IF(AND(F219="限制性股票",OR(M219&lt;=0,N219&lt;0,I219&gt;M219)),"异常：个人获授或出资数据无效",IF(AND(IFERROR(INDEX(计划参数!$J$2:$J$501,MATCH(C219,计划参数!$I$2:$I$501,0)),"")&lt;&gt;"",D219&lt;&gt;IFERROR(INDEX(计划参数!$J$2:$J$501,MATCH(C219,计划参数!$I$2:$I$501,0)),"")),"异常：姓名与员工主数据不一致",IF(S219&lt;0,"异常：原始所得为负，已按0计税",IF(OR(AND(F219="股票期权",K219=""),AND(F219="限制性股票",OR(K219="",L219=""))),"异常：计划参数缺失",IF(COUNTIF(计划参数!$I$2:$I$501,C219)=0,"提示：员工编号未在主数据",IF(Q219&lt;&gt;"已备案","提示：未确认备案","正常"))))))))))))</f>
        <v/>
      </c>
      <c r="AE219" s="9"/>
      <c r="AF219" s="4" t="str">
        <f>IF(C219="","",IF(COUNTIF($C$2:C219,C219)=1,MAX($AF$1:AF218)+1,""))</f>
        <v/>
      </c>
      <c r="AG219" s="4" t="str">
        <f>IF(C219="","",COUNTIF($C$2:C219,C219))</f>
        <v/>
      </c>
      <c r="AH219" s="4" t="str">
        <f t="shared" si="55"/>
        <v/>
      </c>
      <c r="AI219" s="4" t="str">
        <f t="shared" si="56"/>
        <v/>
      </c>
      <c r="AJ219" s="4" t="str">
        <f t="shared" si="57"/>
        <v/>
      </c>
      <c r="AK219" s="15" t="str">
        <f>IF(A219="","",SUMIFS(分期缴税台账!$K$2:$K$501,分期缴税台账!$T$2:$T$501,A219,分期缴税台账!$Q$2:$Q$501,"有效"))</f>
        <v/>
      </c>
      <c r="AL219" s="15" t="str">
        <f t="shared" si="58"/>
        <v/>
      </c>
      <c r="AM219" s="4" t="str">
        <f t="shared" si="59"/>
        <v/>
      </c>
    </row>
    <row r="220" spans="1:39" x14ac:dyDescent="0.3">
      <c r="A220" s="9"/>
      <c r="B220" s="4" t="str">
        <f t="shared" si="45"/>
        <v/>
      </c>
      <c r="C220" s="9"/>
      <c r="D220" s="9"/>
      <c r="E220" s="9"/>
      <c r="F220" s="9"/>
      <c r="G220" s="13"/>
      <c r="H220" s="4" t="str">
        <f t="shared" si="46"/>
        <v/>
      </c>
      <c r="I220" s="9"/>
      <c r="J220" s="14"/>
      <c r="K220" s="15" t="str">
        <f>IF(OR(E220="",F220="",G220=""),"",IF(E220&lt;&gt;计划参数!$C$2,"",IF(F220="股票期权",IFERROR(LOOKUP(G220,计划参数!$D$12:$D$15,计划参数!$C$12:$C$15),""),IF(F220="限制性股票",计划参数!$C$10,""))))</f>
        <v/>
      </c>
      <c r="L220" s="15" t="str">
        <f>IF(AND(E220=计划参数!$C$2,F220="限制性股票",G220&gt;=计划参数!$D$9),计划参数!$C$9,"")</f>
        <v/>
      </c>
      <c r="M220" s="9"/>
      <c r="N220" s="14"/>
      <c r="O220" s="14"/>
      <c r="P220" s="13"/>
      <c r="Q220" s="9"/>
      <c r="R220" s="13"/>
      <c r="S220" s="15" t="str">
        <f t="shared" si="47"/>
        <v/>
      </c>
      <c r="T220" s="15" t="str">
        <f t="shared" si="48"/>
        <v/>
      </c>
      <c r="U220" s="15" t="str">
        <f t="shared" si="49"/>
        <v/>
      </c>
      <c r="V220" s="15" t="str">
        <f t="shared" si="50"/>
        <v/>
      </c>
      <c r="W220" s="16" t="str">
        <f>IF(V220="","",VLOOKUP(V220,税率及规则!$A$2:$C$8,2,TRUE))</f>
        <v/>
      </c>
      <c r="X220" s="15" t="str">
        <f>IF(V220="","",VLOOKUP(V220,税率及规则!$A$2:$C$8,3,TRUE))</f>
        <v/>
      </c>
      <c r="Y220" s="15" t="str">
        <f t="shared" si="51"/>
        <v/>
      </c>
      <c r="Z220" s="15" t="str">
        <f>IF(U220="","",MAX(0,U220*VLOOKUP(U220,税率及规则!$A$2:$C$8,2,TRUE)-VLOOKUP(U220,税率及规则!$A$2:$C$8,3,TRUE)))</f>
        <v/>
      </c>
      <c r="AA220" s="15" t="str">
        <f t="shared" si="52"/>
        <v/>
      </c>
      <c r="AB220" s="17" t="str">
        <f t="shared" si="53"/>
        <v/>
      </c>
      <c r="AC220" s="17" t="str">
        <f t="shared" si="54"/>
        <v/>
      </c>
      <c r="AD220" s="4" t="str">
        <f>IF(A220="","",IF(COUNTIF($A$2:$A$501,A220)&gt;1,"异常：事件编号重复",IF(OR(C220="",D220="",E220="",F220="",G220=""),"异常：必填项缺失",IF(AND(F220="其他股权激励",O220=""),"异常：其他股权激励所得缺失",IF(AND(F220&lt;&gt;"其他股权激励",OR(I220="",J220="")),"异常：数量或市场价缺失",IF(AND(F220&lt;&gt;"其他股权激励",OR(I220&lt;=0,J220&lt;0)),"异常：数量或价格无效",IF(AND(F220="限制性股票",OR(M220&lt;=0,N220&lt;0,I220&gt;M220)),"异常：个人获授或出资数据无效",IF(AND(IFERROR(INDEX(计划参数!$J$2:$J$501,MATCH(C220,计划参数!$I$2:$I$501,0)),"")&lt;&gt;"",D220&lt;&gt;IFERROR(INDEX(计划参数!$J$2:$J$501,MATCH(C220,计划参数!$I$2:$I$501,0)),"")),"异常：姓名与员工主数据不一致",IF(S220&lt;0,"异常：原始所得为负，已按0计税",IF(OR(AND(F220="股票期权",K220=""),AND(F220="限制性股票",OR(K220="",L220=""))),"异常：计划参数缺失",IF(COUNTIF(计划参数!$I$2:$I$501,C220)=0,"提示：员工编号未在主数据",IF(Q220&lt;&gt;"已备案","提示：未确认备案","正常"))))))))))))</f>
        <v/>
      </c>
      <c r="AE220" s="9"/>
      <c r="AF220" s="4" t="str">
        <f>IF(C220="","",IF(COUNTIF($C$2:C220,C220)=1,MAX($AF$1:AF219)+1,""))</f>
        <v/>
      </c>
      <c r="AG220" s="4" t="str">
        <f>IF(C220="","",COUNTIF($C$2:C220,C220))</f>
        <v/>
      </c>
      <c r="AH220" s="4" t="str">
        <f t="shared" si="55"/>
        <v/>
      </c>
      <c r="AI220" s="4" t="str">
        <f t="shared" si="56"/>
        <v/>
      </c>
      <c r="AJ220" s="4" t="str">
        <f t="shared" si="57"/>
        <v/>
      </c>
      <c r="AK220" s="15" t="str">
        <f>IF(A220="","",SUMIFS(分期缴税台账!$K$2:$K$501,分期缴税台账!$T$2:$T$501,A220,分期缴税台账!$Q$2:$Q$501,"有效"))</f>
        <v/>
      </c>
      <c r="AL220" s="15" t="str">
        <f t="shared" si="58"/>
        <v/>
      </c>
      <c r="AM220" s="4" t="str">
        <f t="shared" si="59"/>
        <v/>
      </c>
    </row>
    <row r="221" spans="1:39" x14ac:dyDescent="0.3">
      <c r="A221" s="9"/>
      <c r="B221" s="4" t="str">
        <f t="shared" si="45"/>
        <v/>
      </c>
      <c r="C221" s="9"/>
      <c r="D221" s="9"/>
      <c r="E221" s="9"/>
      <c r="F221" s="9"/>
      <c r="G221" s="13"/>
      <c r="H221" s="4" t="str">
        <f t="shared" si="46"/>
        <v/>
      </c>
      <c r="I221" s="9"/>
      <c r="J221" s="14"/>
      <c r="K221" s="15" t="str">
        <f>IF(OR(E221="",F221="",G221=""),"",IF(E221&lt;&gt;计划参数!$C$2,"",IF(F221="股票期权",IFERROR(LOOKUP(G221,计划参数!$D$12:$D$15,计划参数!$C$12:$C$15),""),IF(F221="限制性股票",计划参数!$C$10,""))))</f>
        <v/>
      </c>
      <c r="L221" s="15" t="str">
        <f>IF(AND(E221=计划参数!$C$2,F221="限制性股票",G221&gt;=计划参数!$D$9),计划参数!$C$9,"")</f>
        <v/>
      </c>
      <c r="M221" s="9"/>
      <c r="N221" s="14"/>
      <c r="O221" s="14"/>
      <c r="P221" s="13"/>
      <c r="Q221" s="9"/>
      <c r="R221" s="13"/>
      <c r="S221" s="15" t="str">
        <f t="shared" si="47"/>
        <v/>
      </c>
      <c r="T221" s="15" t="str">
        <f t="shared" si="48"/>
        <v/>
      </c>
      <c r="U221" s="15" t="str">
        <f t="shared" si="49"/>
        <v/>
      </c>
      <c r="V221" s="15" t="str">
        <f t="shared" si="50"/>
        <v/>
      </c>
      <c r="W221" s="16" t="str">
        <f>IF(V221="","",VLOOKUP(V221,税率及规则!$A$2:$C$8,2,TRUE))</f>
        <v/>
      </c>
      <c r="X221" s="15" t="str">
        <f>IF(V221="","",VLOOKUP(V221,税率及规则!$A$2:$C$8,3,TRUE))</f>
        <v/>
      </c>
      <c r="Y221" s="15" t="str">
        <f t="shared" si="51"/>
        <v/>
      </c>
      <c r="Z221" s="15" t="str">
        <f>IF(U221="","",MAX(0,U221*VLOOKUP(U221,税率及规则!$A$2:$C$8,2,TRUE)-VLOOKUP(U221,税率及规则!$A$2:$C$8,3,TRUE)))</f>
        <v/>
      </c>
      <c r="AA221" s="15" t="str">
        <f t="shared" si="52"/>
        <v/>
      </c>
      <c r="AB221" s="17" t="str">
        <f t="shared" si="53"/>
        <v/>
      </c>
      <c r="AC221" s="17" t="str">
        <f t="shared" si="54"/>
        <v/>
      </c>
      <c r="AD221" s="4" t="str">
        <f>IF(A221="","",IF(COUNTIF($A$2:$A$501,A221)&gt;1,"异常：事件编号重复",IF(OR(C221="",D221="",E221="",F221="",G221=""),"异常：必填项缺失",IF(AND(F221="其他股权激励",O221=""),"异常：其他股权激励所得缺失",IF(AND(F221&lt;&gt;"其他股权激励",OR(I221="",J221="")),"异常：数量或市场价缺失",IF(AND(F221&lt;&gt;"其他股权激励",OR(I221&lt;=0,J221&lt;0)),"异常：数量或价格无效",IF(AND(F221="限制性股票",OR(M221&lt;=0,N221&lt;0,I221&gt;M221)),"异常：个人获授或出资数据无效",IF(AND(IFERROR(INDEX(计划参数!$J$2:$J$501,MATCH(C221,计划参数!$I$2:$I$501,0)),"")&lt;&gt;"",D221&lt;&gt;IFERROR(INDEX(计划参数!$J$2:$J$501,MATCH(C221,计划参数!$I$2:$I$501,0)),"")),"异常：姓名与员工主数据不一致",IF(S221&lt;0,"异常：原始所得为负，已按0计税",IF(OR(AND(F221="股票期权",K221=""),AND(F221="限制性股票",OR(K221="",L221=""))),"异常：计划参数缺失",IF(COUNTIF(计划参数!$I$2:$I$501,C221)=0,"提示：员工编号未在主数据",IF(Q221&lt;&gt;"已备案","提示：未确认备案","正常"))))))))))))</f>
        <v/>
      </c>
      <c r="AE221" s="9"/>
      <c r="AF221" s="4" t="str">
        <f>IF(C221="","",IF(COUNTIF($C$2:C221,C221)=1,MAX($AF$1:AF220)+1,""))</f>
        <v/>
      </c>
      <c r="AG221" s="4" t="str">
        <f>IF(C221="","",COUNTIF($C$2:C221,C221))</f>
        <v/>
      </c>
      <c r="AH221" s="4" t="str">
        <f t="shared" si="55"/>
        <v/>
      </c>
      <c r="AI221" s="4" t="str">
        <f t="shared" si="56"/>
        <v/>
      </c>
      <c r="AJ221" s="4" t="str">
        <f t="shared" si="57"/>
        <v/>
      </c>
      <c r="AK221" s="15" t="str">
        <f>IF(A221="","",SUMIFS(分期缴税台账!$K$2:$K$501,分期缴税台账!$T$2:$T$501,A221,分期缴税台账!$Q$2:$Q$501,"有效"))</f>
        <v/>
      </c>
      <c r="AL221" s="15" t="str">
        <f t="shared" si="58"/>
        <v/>
      </c>
      <c r="AM221" s="4" t="str">
        <f t="shared" si="59"/>
        <v/>
      </c>
    </row>
    <row r="222" spans="1:39" x14ac:dyDescent="0.3">
      <c r="A222" s="9"/>
      <c r="B222" s="4" t="str">
        <f t="shared" si="45"/>
        <v/>
      </c>
      <c r="C222" s="9"/>
      <c r="D222" s="9"/>
      <c r="E222" s="9"/>
      <c r="F222" s="9"/>
      <c r="G222" s="13"/>
      <c r="H222" s="4" t="str">
        <f t="shared" si="46"/>
        <v/>
      </c>
      <c r="I222" s="9"/>
      <c r="J222" s="14"/>
      <c r="K222" s="15" t="str">
        <f>IF(OR(E222="",F222="",G222=""),"",IF(E222&lt;&gt;计划参数!$C$2,"",IF(F222="股票期权",IFERROR(LOOKUP(G222,计划参数!$D$12:$D$15,计划参数!$C$12:$C$15),""),IF(F222="限制性股票",计划参数!$C$10,""))))</f>
        <v/>
      </c>
      <c r="L222" s="15" t="str">
        <f>IF(AND(E222=计划参数!$C$2,F222="限制性股票",G222&gt;=计划参数!$D$9),计划参数!$C$9,"")</f>
        <v/>
      </c>
      <c r="M222" s="9"/>
      <c r="N222" s="14"/>
      <c r="O222" s="14"/>
      <c r="P222" s="13"/>
      <c r="Q222" s="9"/>
      <c r="R222" s="13"/>
      <c r="S222" s="15" t="str">
        <f t="shared" si="47"/>
        <v/>
      </c>
      <c r="T222" s="15" t="str">
        <f t="shared" si="48"/>
        <v/>
      </c>
      <c r="U222" s="15" t="str">
        <f t="shared" si="49"/>
        <v/>
      </c>
      <c r="V222" s="15" t="str">
        <f t="shared" si="50"/>
        <v/>
      </c>
      <c r="W222" s="16" t="str">
        <f>IF(V222="","",VLOOKUP(V222,税率及规则!$A$2:$C$8,2,TRUE))</f>
        <v/>
      </c>
      <c r="X222" s="15" t="str">
        <f>IF(V222="","",VLOOKUP(V222,税率及规则!$A$2:$C$8,3,TRUE))</f>
        <v/>
      </c>
      <c r="Y222" s="15" t="str">
        <f t="shared" si="51"/>
        <v/>
      </c>
      <c r="Z222" s="15" t="str">
        <f>IF(U222="","",MAX(0,U222*VLOOKUP(U222,税率及规则!$A$2:$C$8,2,TRUE)-VLOOKUP(U222,税率及规则!$A$2:$C$8,3,TRUE)))</f>
        <v/>
      </c>
      <c r="AA222" s="15" t="str">
        <f t="shared" si="52"/>
        <v/>
      </c>
      <c r="AB222" s="17" t="str">
        <f t="shared" si="53"/>
        <v/>
      </c>
      <c r="AC222" s="17" t="str">
        <f t="shared" si="54"/>
        <v/>
      </c>
      <c r="AD222" s="4" t="str">
        <f>IF(A222="","",IF(COUNTIF($A$2:$A$501,A222)&gt;1,"异常：事件编号重复",IF(OR(C222="",D222="",E222="",F222="",G222=""),"异常：必填项缺失",IF(AND(F222="其他股权激励",O222=""),"异常：其他股权激励所得缺失",IF(AND(F222&lt;&gt;"其他股权激励",OR(I222="",J222="")),"异常：数量或市场价缺失",IF(AND(F222&lt;&gt;"其他股权激励",OR(I222&lt;=0,J222&lt;0)),"异常：数量或价格无效",IF(AND(F222="限制性股票",OR(M222&lt;=0,N222&lt;0,I222&gt;M222)),"异常：个人获授或出资数据无效",IF(AND(IFERROR(INDEX(计划参数!$J$2:$J$501,MATCH(C222,计划参数!$I$2:$I$501,0)),"")&lt;&gt;"",D222&lt;&gt;IFERROR(INDEX(计划参数!$J$2:$J$501,MATCH(C222,计划参数!$I$2:$I$501,0)),"")),"异常：姓名与员工主数据不一致",IF(S222&lt;0,"异常：原始所得为负，已按0计税",IF(OR(AND(F222="股票期权",K222=""),AND(F222="限制性股票",OR(K222="",L222=""))),"异常：计划参数缺失",IF(COUNTIF(计划参数!$I$2:$I$501,C222)=0,"提示：员工编号未在主数据",IF(Q222&lt;&gt;"已备案","提示：未确认备案","正常"))))))))))))</f>
        <v/>
      </c>
      <c r="AE222" s="9"/>
      <c r="AF222" s="4" t="str">
        <f>IF(C222="","",IF(COUNTIF($C$2:C222,C222)=1,MAX($AF$1:AF221)+1,""))</f>
        <v/>
      </c>
      <c r="AG222" s="4" t="str">
        <f>IF(C222="","",COUNTIF($C$2:C222,C222))</f>
        <v/>
      </c>
      <c r="AH222" s="4" t="str">
        <f t="shared" si="55"/>
        <v/>
      </c>
      <c r="AI222" s="4" t="str">
        <f t="shared" si="56"/>
        <v/>
      </c>
      <c r="AJ222" s="4" t="str">
        <f t="shared" si="57"/>
        <v/>
      </c>
      <c r="AK222" s="15" t="str">
        <f>IF(A222="","",SUMIFS(分期缴税台账!$K$2:$K$501,分期缴税台账!$T$2:$T$501,A222,分期缴税台账!$Q$2:$Q$501,"有效"))</f>
        <v/>
      </c>
      <c r="AL222" s="15" t="str">
        <f t="shared" si="58"/>
        <v/>
      </c>
      <c r="AM222" s="4" t="str">
        <f t="shared" si="59"/>
        <v/>
      </c>
    </row>
    <row r="223" spans="1:39" x14ac:dyDescent="0.3">
      <c r="A223" s="9"/>
      <c r="B223" s="4" t="str">
        <f t="shared" si="45"/>
        <v/>
      </c>
      <c r="C223" s="9"/>
      <c r="D223" s="9"/>
      <c r="E223" s="9"/>
      <c r="F223" s="9"/>
      <c r="G223" s="13"/>
      <c r="H223" s="4" t="str">
        <f t="shared" si="46"/>
        <v/>
      </c>
      <c r="I223" s="9"/>
      <c r="J223" s="14"/>
      <c r="K223" s="15" t="str">
        <f>IF(OR(E223="",F223="",G223=""),"",IF(E223&lt;&gt;计划参数!$C$2,"",IF(F223="股票期权",IFERROR(LOOKUP(G223,计划参数!$D$12:$D$15,计划参数!$C$12:$C$15),""),IF(F223="限制性股票",计划参数!$C$10,""))))</f>
        <v/>
      </c>
      <c r="L223" s="15" t="str">
        <f>IF(AND(E223=计划参数!$C$2,F223="限制性股票",G223&gt;=计划参数!$D$9),计划参数!$C$9,"")</f>
        <v/>
      </c>
      <c r="M223" s="9"/>
      <c r="N223" s="14"/>
      <c r="O223" s="14"/>
      <c r="P223" s="13"/>
      <c r="Q223" s="9"/>
      <c r="R223" s="13"/>
      <c r="S223" s="15" t="str">
        <f t="shared" si="47"/>
        <v/>
      </c>
      <c r="T223" s="15" t="str">
        <f t="shared" si="48"/>
        <v/>
      </c>
      <c r="U223" s="15" t="str">
        <f t="shared" si="49"/>
        <v/>
      </c>
      <c r="V223" s="15" t="str">
        <f t="shared" si="50"/>
        <v/>
      </c>
      <c r="W223" s="16" t="str">
        <f>IF(V223="","",VLOOKUP(V223,税率及规则!$A$2:$C$8,2,TRUE))</f>
        <v/>
      </c>
      <c r="X223" s="15" t="str">
        <f>IF(V223="","",VLOOKUP(V223,税率及规则!$A$2:$C$8,3,TRUE))</f>
        <v/>
      </c>
      <c r="Y223" s="15" t="str">
        <f t="shared" si="51"/>
        <v/>
      </c>
      <c r="Z223" s="15" t="str">
        <f>IF(U223="","",MAX(0,U223*VLOOKUP(U223,税率及规则!$A$2:$C$8,2,TRUE)-VLOOKUP(U223,税率及规则!$A$2:$C$8,3,TRUE)))</f>
        <v/>
      </c>
      <c r="AA223" s="15" t="str">
        <f t="shared" si="52"/>
        <v/>
      </c>
      <c r="AB223" s="17" t="str">
        <f t="shared" si="53"/>
        <v/>
      </c>
      <c r="AC223" s="17" t="str">
        <f t="shared" si="54"/>
        <v/>
      </c>
      <c r="AD223" s="4" t="str">
        <f>IF(A223="","",IF(COUNTIF($A$2:$A$501,A223)&gt;1,"异常：事件编号重复",IF(OR(C223="",D223="",E223="",F223="",G223=""),"异常：必填项缺失",IF(AND(F223="其他股权激励",O223=""),"异常：其他股权激励所得缺失",IF(AND(F223&lt;&gt;"其他股权激励",OR(I223="",J223="")),"异常：数量或市场价缺失",IF(AND(F223&lt;&gt;"其他股权激励",OR(I223&lt;=0,J223&lt;0)),"异常：数量或价格无效",IF(AND(F223="限制性股票",OR(M223&lt;=0,N223&lt;0,I223&gt;M223)),"异常：个人获授或出资数据无效",IF(AND(IFERROR(INDEX(计划参数!$J$2:$J$501,MATCH(C223,计划参数!$I$2:$I$501,0)),"")&lt;&gt;"",D223&lt;&gt;IFERROR(INDEX(计划参数!$J$2:$J$501,MATCH(C223,计划参数!$I$2:$I$501,0)),"")),"异常：姓名与员工主数据不一致",IF(S223&lt;0,"异常：原始所得为负，已按0计税",IF(OR(AND(F223="股票期权",K223=""),AND(F223="限制性股票",OR(K223="",L223=""))),"异常：计划参数缺失",IF(COUNTIF(计划参数!$I$2:$I$501,C223)=0,"提示：员工编号未在主数据",IF(Q223&lt;&gt;"已备案","提示：未确认备案","正常"))))))))))))</f>
        <v/>
      </c>
      <c r="AE223" s="9"/>
      <c r="AF223" s="4" t="str">
        <f>IF(C223="","",IF(COUNTIF($C$2:C223,C223)=1,MAX($AF$1:AF222)+1,""))</f>
        <v/>
      </c>
      <c r="AG223" s="4" t="str">
        <f>IF(C223="","",COUNTIF($C$2:C223,C223))</f>
        <v/>
      </c>
      <c r="AH223" s="4" t="str">
        <f t="shared" si="55"/>
        <v/>
      </c>
      <c r="AI223" s="4" t="str">
        <f t="shared" si="56"/>
        <v/>
      </c>
      <c r="AJ223" s="4" t="str">
        <f t="shared" si="57"/>
        <v/>
      </c>
      <c r="AK223" s="15" t="str">
        <f>IF(A223="","",SUMIFS(分期缴税台账!$K$2:$K$501,分期缴税台账!$T$2:$T$501,A223,分期缴税台账!$Q$2:$Q$501,"有效"))</f>
        <v/>
      </c>
      <c r="AL223" s="15" t="str">
        <f t="shared" si="58"/>
        <v/>
      </c>
      <c r="AM223" s="4" t="str">
        <f t="shared" si="59"/>
        <v/>
      </c>
    </row>
    <row r="224" spans="1:39" x14ac:dyDescent="0.3">
      <c r="A224" s="9"/>
      <c r="B224" s="4" t="str">
        <f t="shared" si="45"/>
        <v/>
      </c>
      <c r="C224" s="9"/>
      <c r="D224" s="9"/>
      <c r="E224" s="9"/>
      <c r="F224" s="9"/>
      <c r="G224" s="13"/>
      <c r="H224" s="4" t="str">
        <f t="shared" si="46"/>
        <v/>
      </c>
      <c r="I224" s="9"/>
      <c r="J224" s="14"/>
      <c r="K224" s="15" t="str">
        <f>IF(OR(E224="",F224="",G224=""),"",IF(E224&lt;&gt;计划参数!$C$2,"",IF(F224="股票期权",IFERROR(LOOKUP(G224,计划参数!$D$12:$D$15,计划参数!$C$12:$C$15),""),IF(F224="限制性股票",计划参数!$C$10,""))))</f>
        <v/>
      </c>
      <c r="L224" s="15" t="str">
        <f>IF(AND(E224=计划参数!$C$2,F224="限制性股票",G224&gt;=计划参数!$D$9),计划参数!$C$9,"")</f>
        <v/>
      </c>
      <c r="M224" s="9"/>
      <c r="N224" s="14"/>
      <c r="O224" s="14"/>
      <c r="P224" s="13"/>
      <c r="Q224" s="9"/>
      <c r="R224" s="13"/>
      <c r="S224" s="15" t="str">
        <f t="shared" si="47"/>
        <v/>
      </c>
      <c r="T224" s="15" t="str">
        <f t="shared" si="48"/>
        <v/>
      </c>
      <c r="U224" s="15" t="str">
        <f t="shared" si="49"/>
        <v/>
      </c>
      <c r="V224" s="15" t="str">
        <f t="shared" si="50"/>
        <v/>
      </c>
      <c r="W224" s="16" t="str">
        <f>IF(V224="","",VLOOKUP(V224,税率及规则!$A$2:$C$8,2,TRUE))</f>
        <v/>
      </c>
      <c r="X224" s="15" t="str">
        <f>IF(V224="","",VLOOKUP(V224,税率及规则!$A$2:$C$8,3,TRUE))</f>
        <v/>
      </c>
      <c r="Y224" s="15" t="str">
        <f t="shared" si="51"/>
        <v/>
      </c>
      <c r="Z224" s="15" t="str">
        <f>IF(U224="","",MAX(0,U224*VLOOKUP(U224,税率及规则!$A$2:$C$8,2,TRUE)-VLOOKUP(U224,税率及规则!$A$2:$C$8,3,TRUE)))</f>
        <v/>
      </c>
      <c r="AA224" s="15" t="str">
        <f t="shared" si="52"/>
        <v/>
      </c>
      <c r="AB224" s="17" t="str">
        <f t="shared" si="53"/>
        <v/>
      </c>
      <c r="AC224" s="17" t="str">
        <f t="shared" si="54"/>
        <v/>
      </c>
      <c r="AD224" s="4" t="str">
        <f>IF(A224="","",IF(COUNTIF($A$2:$A$501,A224)&gt;1,"异常：事件编号重复",IF(OR(C224="",D224="",E224="",F224="",G224=""),"异常：必填项缺失",IF(AND(F224="其他股权激励",O224=""),"异常：其他股权激励所得缺失",IF(AND(F224&lt;&gt;"其他股权激励",OR(I224="",J224="")),"异常：数量或市场价缺失",IF(AND(F224&lt;&gt;"其他股权激励",OR(I224&lt;=0,J224&lt;0)),"异常：数量或价格无效",IF(AND(F224="限制性股票",OR(M224&lt;=0,N224&lt;0,I224&gt;M224)),"异常：个人获授或出资数据无效",IF(AND(IFERROR(INDEX(计划参数!$J$2:$J$501,MATCH(C224,计划参数!$I$2:$I$501,0)),"")&lt;&gt;"",D224&lt;&gt;IFERROR(INDEX(计划参数!$J$2:$J$501,MATCH(C224,计划参数!$I$2:$I$501,0)),"")),"异常：姓名与员工主数据不一致",IF(S224&lt;0,"异常：原始所得为负，已按0计税",IF(OR(AND(F224="股票期权",K224=""),AND(F224="限制性股票",OR(K224="",L224=""))),"异常：计划参数缺失",IF(COUNTIF(计划参数!$I$2:$I$501,C224)=0,"提示：员工编号未在主数据",IF(Q224&lt;&gt;"已备案","提示：未确认备案","正常"))))))))))))</f>
        <v/>
      </c>
      <c r="AE224" s="9"/>
      <c r="AF224" s="4" t="str">
        <f>IF(C224="","",IF(COUNTIF($C$2:C224,C224)=1,MAX($AF$1:AF223)+1,""))</f>
        <v/>
      </c>
      <c r="AG224" s="4" t="str">
        <f>IF(C224="","",COUNTIF($C$2:C224,C224))</f>
        <v/>
      </c>
      <c r="AH224" s="4" t="str">
        <f t="shared" si="55"/>
        <v/>
      </c>
      <c r="AI224" s="4" t="str">
        <f t="shared" si="56"/>
        <v/>
      </c>
      <c r="AJ224" s="4" t="str">
        <f t="shared" si="57"/>
        <v/>
      </c>
      <c r="AK224" s="15" t="str">
        <f>IF(A224="","",SUMIFS(分期缴税台账!$K$2:$K$501,分期缴税台账!$T$2:$T$501,A224,分期缴税台账!$Q$2:$Q$501,"有效"))</f>
        <v/>
      </c>
      <c r="AL224" s="15" t="str">
        <f t="shared" si="58"/>
        <v/>
      </c>
      <c r="AM224" s="4" t="str">
        <f t="shared" si="59"/>
        <v/>
      </c>
    </row>
    <row r="225" spans="1:39" x14ac:dyDescent="0.3">
      <c r="A225" s="9"/>
      <c r="B225" s="4" t="str">
        <f t="shared" si="45"/>
        <v/>
      </c>
      <c r="C225" s="9"/>
      <c r="D225" s="9"/>
      <c r="E225" s="9"/>
      <c r="F225" s="9"/>
      <c r="G225" s="13"/>
      <c r="H225" s="4" t="str">
        <f t="shared" si="46"/>
        <v/>
      </c>
      <c r="I225" s="9"/>
      <c r="J225" s="14"/>
      <c r="K225" s="15" t="str">
        <f>IF(OR(E225="",F225="",G225=""),"",IF(E225&lt;&gt;计划参数!$C$2,"",IF(F225="股票期权",IFERROR(LOOKUP(G225,计划参数!$D$12:$D$15,计划参数!$C$12:$C$15),""),IF(F225="限制性股票",计划参数!$C$10,""))))</f>
        <v/>
      </c>
      <c r="L225" s="15" t="str">
        <f>IF(AND(E225=计划参数!$C$2,F225="限制性股票",G225&gt;=计划参数!$D$9),计划参数!$C$9,"")</f>
        <v/>
      </c>
      <c r="M225" s="9"/>
      <c r="N225" s="14"/>
      <c r="O225" s="14"/>
      <c r="P225" s="13"/>
      <c r="Q225" s="9"/>
      <c r="R225" s="13"/>
      <c r="S225" s="15" t="str">
        <f t="shared" si="47"/>
        <v/>
      </c>
      <c r="T225" s="15" t="str">
        <f t="shared" si="48"/>
        <v/>
      </c>
      <c r="U225" s="15" t="str">
        <f t="shared" si="49"/>
        <v/>
      </c>
      <c r="V225" s="15" t="str">
        <f t="shared" si="50"/>
        <v/>
      </c>
      <c r="W225" s="16" t="str">
        <f>IF(V225="","",VLOOKUP(V225,税率及规则!$A$2:$C$8,2,TRUE))</f>
        <v/>
      </c>
      <c r="X225" s="15" t="str">
        <f>IF(V225="","",VLOOKUP(V225,税率及规则!$A$2:$C$8,3,TRUE))</f>
        <v/>
      </c>
      <c r="Y225" s="15" t="str">
        <f t="shared" si="51"/>
        <v/>
      </c>
      <c r="Z225" s="15" t="str">
        <f>IF(U225="","",MAX(0,U225*VLOOKUP(U225,税率及规则!$A$2:$C$8,2,TRUE)-VLOOKUP(U225,税率及规则!$A$2:$C$8,3,TRUE)))</f>
        <v/>
      </c>
      <c r="AA225" s="15" t="str">
        <f t="shared" si="52"/>
        <v/>
      </c>
      <c r="AB225" s="17" t="str">
        <f t="shared" si="53"/>
        <v/>
      </c>
      <c r="AC225" s="17" t="str">
        <f t="shared" si="54"/>
        <v/>
      </c>
      <c r="AD225" s="4" t="str">
        <f>IF(A225="","",IF(COUNTIF($A$2:$A$501,A225)&gt;1,"异常：事件编号重复",IF(OR(C225="",D225="",E225="",F225="",G225=""),"异常：必填项缺失",IF(AND(F225="其他股权激励",O225=""),"异常：其他股权激励所得缺失",IF(AND(F225&lt;&gt;"其他股权激励",OR(I225="",J225="")),"异常：数量或市场价缺失",IF(AND(F225&lt;&gt;"其他股权激励",OR(I225&lt;=0,J225&lt;0)),"异常：数量或价格无效",IF(AND(F225="限制性股票",OR(M225&lt;=0,N225&lt;0,I225&gt;M225)),"异常：个人获授或出资数据无效",IF(AND(IFERROR(INDEX(计划参数!$J$2:$J$501,MATCH(C225,计划参数!$I$2:$I$501,0)),"")&lt;&gt;"",D225&lt;&gt;IFERROR(INDEX(计划参数!$J$2:$J$501,MATCH(C225,计划参数!$I$2:$I$501,0)),"")),"异常：姓名与员工主数据不一致",IF(S225&lt;0,"异常：原始所得为负，已按0计税",IF(OR(AND(F225="股票期权",K225=""),AND(F225="限制性股票",OR(K225="",L225=""))),"异常：计划参数缺失",IF(COUNTIF(计划参数!$I$2:$I$501,C225)=0,"提示：员工编号未在主数据",IF(Q225&lt;&gt;"已备案","提示：未确认备案","正常"))))))))))))</f>
        <v/>
      </c>
      <c r="AE225" s="9"/>
      <c r="AF225" s="4" t="str">
        <f>IF(C225="","",IF(COUNTIF($C$2:C225,C225)=1,MAX($AF$1:AF224)+1,""))</f>
        <v/>
      </c>
      <c r="AG225" s="4" t="str">
        <f>IF(C225="","",COUNTIF($C$2:C225,C225))</f>
        <v/>
      </c>
      <c r="AH225" s="4" t="str">
        <f t="shared" si="55"/>
        <v/>
      </c>
      <c r="AI225" s="4" t="str">
        <f t="shared" si="56"/>
        <v/>
      </c>
      <c r="AJ225" s="4" t="str">
        <f t="shared" si="57"/>
        <v/>
      </c>
      <c r="AK225" s="15" t="str">
        <f>IF(A225="","",SUMIFS(分期缴税台账!$K$2:$K$501,分期缴税台账!$T$2:$T$501,A225,分期缴税台账!$Q$2:$Q$501,"有效"))</f>
        <v/>
      </c>
      <c r="AL225" s="15" t="str">
        <f t="shared" si="58"/>
        <v/>
      </c>
      <c r="AM225" s="4" t="str">
        <f t="shared" si="59"/>
        <v/>
      </c>
    </row>
    <row r="226" spans="1:39" x14ac:dyDescent="0.3">
      <c r="A226" s="9"/>
      <c r="B226" s="4" t="str">
        <f t="shared" si="45"/>
        <v/>
      </c>
      <c r="C226" s="9"/>
      <c r="D226" s="9"/>
      <c r="E226" s="9"/>
      <c r="F226" s="9"/>
      <c r="G226" s="13"/>
      <c r="H226" s="4" t="str">
        <f t="shared" si="46"/>
        <v/>
      </c>
      <c r="I226" s="9"/>
      <c r="J226" s="14"/>
      <c r="K226" s="15" t="str">
        <f>IF(OR(E226="",F226="",G226=""),"",IF(E226&lt;&gt;计划参数!$C$2,"",IF(F226="股票期权",IFERROR(LOOKUP(G226,计划参数!$D$12:$D$15,计划参数!$C$12:$C$15),""),IF(F226="限制性股票",计划参数!$C$10,""))))</f>
        <v/>
      </c>
      <c r="L226" s="15" t="str">
        <f>IF(AND(E226=计划参数!$C$2,F226="限制性股票",G226&gt;=计划参数!$D$9),计划参数!$C$9,"")</f>
        <v/>
      </c>
      <c r="M226" s="9"/>
      <c r="N226" s="14"/>
      <c r="O226" s="14"/>
      <c r="P226" s="13"/>
      <c r="Q226" s="9"/>
      <c r="R226" s="13"/>
      <c r="S226" s="15" t="str">
        <f t="shared" si="47"/>
        <v/>
      </c>
      <c r="T226" s="15" t="str">
        <f t="shared" si="48"/>
        <v/>
      </c>
      <c r="U226" s="15" t="str">
        <f t="shared" si="49"/>
        <v/>
      </c>
      <c r="V226" s="15" t="str">
        <f t="shared" si="50"/>
        <v/>
      </c>
      <c r="W226" s="16" t="str">
        <f>IF(V226="","",VLOOKUP(V226,税率及规则!$A$2:$C$8,2,TRUE))</f>
        <v/>
      </c>
      <c r="X226" s="15" t="str">
        <f>IF(V226="","",VLOOKUP(V226,税率及规则!$A$2:$C$8,3,TRUE))</f>
        <v/>
      </c>
      <c r="Y226" s="15" t="str">
        <f t="shared" si="51"/>
        <v/>
      </c>
      <c r="Z226" s="15" t="str">
        <f>IF(U226="","",MAX(0,U226*VLOOKUP(U226,税率及规则!$A$2:$C$8,2,TRUE)-VLOOKUP(U226,税率及规则!$A$2:$C$8,3,TRUE)))</f>
        <v/>
      </c>
      <c r="AA226" s="15" t="str">
        <f t="shared" si="52"/>
        <v/>
      </c>
      <c r="AB226" s="17" t="str">
        <f t="shared" si="53"/>
        <v/>
      </c>
      <c r="AC226" s="17" t="str">
        <f t="shared" si="54"/>
        <v/>
      </c>
      <c r="AD226" s="4" t="str">
        <f>IF(A226="","",IF(COUNTIF($A$2:$A$501,A226)&gt;1,"异常：事件编号重复",IF(OR(C226="",D226="",E226="",F226="",G226=""),"异常：必填项缺失",IF(AND(F226="其他股权激励",O226=""),"异常：其他股权激励所得缺失",IF(AND(F226&lt;&gt;"其他股权激励",OR(I226="",J226="")),"异常：数量或市场价缺失",IF(AND(F226&lt;&gt;"其他股权激励",OR(I226&lt;=0,J226&lt;0)),"异常：数量或价格无效",IF(AND(F226="限制性股票",OR(M226&lt;=0,N226&lt;0,I226&gt;M226)),"异常：个人获授或出资数据无效",IF(AND(IFERROR(INDEX(计划参数!$J$2:$J$501,MATCH(C226,计划参数!$I$2:$I$501,0)),"")&lt;&gt;"",D226&lt;&gt;IFERROR(INDEX(计划参数!$J$2:$J$501,MATCH(C226,计划参数!$I$2:$I$501,0)),"")),"异常：姓名与员工主数据不一致",IF(S226&lt;0,"异常：原始所得为负，已按0计税",IF(OR(AND(F226="股票期权",K226=""),AND(F226="限制性股票",OR(K226="",L226=""))),"异常：计划参数缺失",IF(COUNTIF(计划参数!$I$2:$I$501,C226)=0,"提示：员工编号未在主数据",IF(Q226&lt;&gt;"已备案","提示：未确认备案","正常"))))))))))))</f>
        <v/>
      </c>
      <c r="AE226" s="9"/>
      <c r="AF226" s="4" t="str">
        <f>IF(C226="","",IF(COUNTIF($C$2:C226,C226)=1,MAX($AF$1:AF225)+1,""))</f>
        <v/>
      </c>
      <c r="AG226" s="4" t="str">
        <f>IF(C226="","",COUNTIF($C$2:C226,C226))</f>
        <v/>
      </c>
      <c r="AH226" s="4" t="str">
        <f t="shared" si="55"/>
        <v/>
      </c>
      <c r="AI226" s="4" t="str">
        <f t="shared" si="56"/>
        <v/>
      </c>
      <c r="AJ226" s="4" t="str">
        <f t="shared" si="57"/>
        <v/>
      </c>
      <c r="AK226" s="15" t="str">
        <f>IF(A226="","",SUMIFS(分期缴税台账!$K$2:$K$501,分期缴税台账!$T$2:$T$501,A226,分期缴税台账!$Q$2:$Q$501,"有效"))</f>
        <v/>
      </c>
      <c r="AL226" s="15" t="str">
        <f t="shared" si="58"/>
        <v/>
      </c>
      <c r="AM226" s="4" t="str">
        <f t="shared" si="59"/>
        <v/>
      </c>
    </row>
    <row r="227" spans="1:39" x14ac:dyDescent="0.3">
      <c r="A227" s="9"/>
      <c r="B227" s="4" t="str">
        <f t="shared" si="45"/>
        <v/>
      </c>
      <c r="C227" s="9"/>
      <c r="D227" s="9"/>
      <c r="E227" s="9"/>
      <c r="F227" s="9"/>
      <c r="G227" s="13"/>
      <c r="H227" s="4" t="str">
        <f t="shared" si="46"/>
        <v/>
      </c>
      <c r="I227" s="9"/>
      <c r="J227" s="14"/>
      <c r="K227" s="15" t="str">
        <f>IF(OR(E227="",F227="",G227=""),"",IF(E227&lt;&gt;计划参数!$C$2,"",IF(F227="股票期权",IFERROR(LOOKUP(G227,计划参数!$D$12:$D$15,计划参数!$C$12:$C$15),""),IF(F227="限制性股票",计划参数!$C$10,""))))</f>
        <v/>
      </c>
      <c r="L227" s="15" t="str">
        <f>IF(AND(E227=计划参数!$C$2,F227="限制性股票",G227&gt;=计划参数!$D$9),计划参数!$C$9,"")</f>
        <v/>
      </c>
      <c r="M227" s="9"/>
      <c r="N227" s="14"/>
      <c r="O227" s="14"/>
      <c r="P227" s="13"/>
      <c r="Q227" s="9"/>
      <c r="R227" s="13"/>
      <c r="S227" s="15" t="str">
        <f t="shared" si="47"/>
        <v/>
      </c>
      <c r="T227" s="15" t="str">
        <f t="shared" si="48"/>
        <v/>
      </c>
      <c r="U227" s="15" t="str">
        <f t="shared" si="49"/>
        <v/>
      </c>
      <c r="V227" s="15" t="str">
        <f t="shared" si="50"/>
        <v/>
      </c>
      <c r="W227" s="16" t="str">
        <f>IF(V227="","",VLOOKUP(V227,税率及规则!$A$2:$C$8,2,TRUE))</f>
        <v/>
      </c>
      <c r="X227" s="15" t="str">
        <f>IF(V227="","",VLOOKUP(V227,税率及规则!$A$2:$C$8,3,TRUE))</f>
        <v/>
      </c>
      <c r="Y227" s="15" t="str">
        <f t="shared" si="51"/>
        <v/>
      </c>
      <c r="Z227" s="15" t="str">
        <f>IF(U227="","",MAX(0,U227*VLOOKUP(U227,税率及规则!$A$2:$C$8,2,TRUE)-VLOOKUP(U227,税率及规则!$A$2:$C$8,3,TRUE)))</f>
        <v/>
      </c>
      <c r="AA227" s="15" t="str">
        <f t="shared" si="52"/>
        <v/>
      </c>
      <c r="AB227" s="17" t="str">
        <f t="shared" si="53"/>
        <v/>
      </c>
      <c r="AC227" s="17" t="str">
        <f t="shared" si="54"/>
        <v/>
      </c>
      <c r="AD227" s="4" t="str">
        <f>IF(A227="","",IF(COUNTIF($A$2:$A$501,A227)&gt;1,"异常：事件编号重复",IF(OR(C227="",D227="",E227="",F227="",G227=""),"异常：必填项缺失",IF(AND(F227="其他股权激励",O227=""),"异常：其他股权激励所得缺失",IF(AND(F227&lt;&gt;"其他股权激励",OR(I227="",J227="")),"异常：数量或市场价缺失",IF(AND(F227&lt;&gt;"其他股权激励",OR(I227&lt;=0,J227&lt;0)),"异常：数量或价格无效",IF(AND(F227="限制性股票",OR(M227&lt;=0,N227&lt;0,I227&gt;M227)),"异常：个人获授或出资数据无效",IF(AND(IFERROR(INDEX(计划参数!$J$2:$J$501,MATCH(C227,计划参数!$I$2:$I$501,0)),"")&lt;&gt;"",D227&lt;&gt;IFERROR(INDEX(计划参数!$J$2:$J$501,MATCH(C227,计划参数!$I$2:$I$501,0)),"")),"异常：姓名与员工主数据不一致",IF(S227&lt;0,"异常：原始所得为负，已按0计税",IF(OR(AND(F227="股票期权",K227=""),AND(F227="限制性股票",OR(K227="",L227=""))),"异常：计划参数缺失",IF(COUNTIF(计划参数!$I$2:$I$501,C227)=0,"提示：员工编号未在主数据",IF(Q227&lt;&gt;"已备案","提示：未确认备案","正常"))))))))))))</f>
        <v/>
      </c>
      <c r="AE227" s="9"/>
      <c r="AF227" s="4" t="str">
        <f>IF(C227="","",IF(COUNTIF($C$2:C227,C227)=1,MAX($AF$1:AF226)+1,""))</f>
        <v/>
      </c>
      <c r="AG227" s="4" t="str">
        <f>IF(C227="","",COUNTIF($C$2:C227,C227))</f>
        <v/>
      </c>
      <c r="AH227" s="4" t="str">
        <f t="shared" si="55"/>
        <v/>
      </c>
      <c r="AI227" s="4" t="str">
        <f t="shared" si="56"/>
        <v/>
      </c>
      <c r="AJ227" s="4" t="str">
        <f t="shared" si="57"/>
        <v/>
      </c>
      <c r="AK227" s="15" t="str">
        <f>IF(A227="","",SUMIFS(分期缴税台账!$K$2:$K$501,分期缴税台账!$T$2:$T$501,A227,分期缴税台账!$Q$2:$Q$501,"有效"))</f>
        <v/>
      </c>
      <c r="AL227" s="15" t="str">
        <f t="shared" si="58"/>
        <v/>
      </c>
      <c r="AM227" s="4" t="str">
        <f t="shared" si="59"/>
        <v/>
      </c>
    </row>
    <row r="228" spans="1:39" x14ac:dyDescent="0.3">
      <c r="A228" s="9"/>
      <c r="B228" s="4" t="str">
        <f t="shared" si="45"/>
        <v/>
      </c>
      <c r="C228" s="9"/>
      <c r="D228" s="9"/>
      <c r="E228" s="9"/>
      <c r="F228" s="9"/>
      <c r="G228" s="13"/>
      <c r="H228" s="4" t="str">
        <f t="shared" si="46"/>
        <v/>
      </c>
      <c r="I228" s="9"/>
      <c r="J228" s="14"/>
      <c r="K228" s="15" t="str">
        <f>IF(OR(E228="",F228="",G228=""),"",IF(E228&lt;&gt;计划参数!$C$2,"",IF(F228="股票期权",IFERROR(LOOKUP(G228,计划参数!$D$12:$D$15,计划参数!$C$12:$C$15),""),IF(F228="限制性股票",计划参数!$C$10,""))))</f>
        <v/>
      </c>
      <c r="L228" s="15" t="str">
        <f>IF(AND(E228=计划参数!$C$2,F228="限制性股票",G228&gt;=计划参数!$D$9),计划参数!$C$9,"")</f>
        <v/>
      </c>
      <c r="M228" s="9"/>
      <c r="N228" s="14"/>
      <c r="O228" s="14"/>
      <c r="P228" s="13"/>
      <c r="Q228" s="9"/>
      <c r="R228" s="13"/>
      <c r="S228" s="15" t="str">
        <f t="shared" si="47"/>
        <v/>
      </c>
      <c r="T228" s="15" t="str">
        <f t="shared" si="48"/>
        <v/>
      </c>
      <c r="U228" s="15" t="str">
        <f t="shared" si="49"/>
        <v/>
      </c>
      <c r="V228" s="15" t="str">
        <f t="shared" si="50"/>
        <v/>
      </c>
      <c r="W228" s="16" t="str">
        <f>IF(V228="","",VLOOKUP(V228,税率及规则!$A$2:$C$8,2,TRUE))</f>
        <v/>
      </c>
      <c r="X228" s="15" t="str">
        <f>IF(V228="","",VLOOKUP(V228,税率及规则!$A$2:$C$8,3,TRUE))</f>
        <v/>
      </c>
      <c r="Y228" s="15" t="str">
        <f t="shared" si="51"/>
        <v/>
      </c>
      <c r="Z228" s="15" t="str">
        <f>IF(U228="","",MAX(0,U228*VLOOKUP(U228,税率及规则!$A$2:$C$8,2,TRUE)-VLOOKUP(U228,税率及规则!$A$2:$C$8,3,TRUE)))</f>
        <v/>
      </c>
      <c r="AA228" s="15" t="str">
        <f t="shared" si="52"/>
        <v/>
      </c>
      <c r="AB228" s="17" t="str">
        <f t="shared" si="53"/>
        <v/>
      </c>
      <c r="AC228" s="17" t="str">
        <f t="shared" si="54"/>
        <v/>
      </c>
      <c r="AD228" s="4" t="str">
        <f>IF(A228="","",IF(COUNTIF($A$2:$A$501,A228)&gt;1,"异常：事件编号重复",IF(OR(C228="",D228="",E228="",F228="",G228=""),"异常：必填项缺失",IF(AND(F228="其他股权激励",O228=""),"异常：其他股权激励所得缺失",IF(AND(F228&lt;&gt;"其他股权激励",OR(I228="",J228="")),"异常：数量或市场价缺失",IF(AND(F228&lt;&gt;"其他股权激励",OR(I228&lt;=0,J228&lt;0)),"异常：数量或价格无效",IF(AND(F228="限制性股票",OR(M228&lt;=0,N228&lt;0,I228&gt;M228)),"异常：个人获授或出资数据无效",IF(AND(IFERROR(INDEX(计划参数!$J$2:$J$501,MATCH(C228,计划参数!$I$2:$I$501,0)),"")&lt;&gt;"",D228&lt;&gt;IFERROR(INDEX(计划参数!$J$2:$J$501,MATCH(C228,计划参数!$I$2:$I$501,0)),"")),"异常：姓名与员工主数据不一致",IF(S228&lt;0,"异常：原始所得为负，已按0计税",IF(OR(AND(F228="股票期权",K228=""),AND(F228="限制性股票",OR(K228="",L228=""))),"异常：计划参数缺失",IF(COUNTIF(计划参数!$I$2:$I$501,C228)=0,"提示：员工编号未在主数据",IF(Q228&lt;&gt;"已备案","提示：未确认备案","正常"))))))))))))</f>
        <v/>
      </c>
      <c r="AE228" s="9"/>
      <c r="AF228" s="4" t="str">
        <f>IF(C228="","",IF(COUNTIF($C$2:C228,C228)=1,MAX($AF$1:AF227)+1,""))</f>
        <v/>
      </c>
      <c r="AG228" s="4" t="str">
        <f>IF(C228="","",COUNTIF($C$2:C228,C228))</f>
        <v/>
      </c>
      <c r="AH228" s="4" t="str">
        <f t="shared" si="55"/>
        <v/>
      </c>
      <c r="AI228" s="4" t="str">
        <f t="shared" si="56"/>
        <v/>
      </c>
      <c r="AJ228" s="4" t="str">
        <f t="shared" si="57"/>
        <v/>
      </c>
      <c r="AK228" s="15" t="str">
        <f>IF(A228="","",SUMIFS(分期缴税台账!$K$2:$K$501,分期缴税台账!$T$2:$T$501,A228,分期缴税台账!$Q$2:$Q$501,"有效"))</f>
        <v/>
      </c>
      <c r="AL228" s="15" t="str">
        <f t="shared" si="58"/>
        <v/>
      </c>
      <c r="AM228" s="4" t="str">
        <f t="shared" si="59"/>
        <v/>
      </c>
    </row>
    <row r="229" spans="1:39" x14ac:dyDescent="0.3">
      <c r="A229" s="9"/>
      <c r="B229" s="4" t="str">
        <f t="shared" si="45"/>
        <v/>
      </c>
      <c r="C229" s="9"/>
      <c r="D229" s="9"/>
      <c r="E229" s="9"/>
      <c r="F229" s="9"/>
      <c r="G229" s="13"/>
      <c r="H229" s="4" t="str">
        <f t="shared" si="46"/>
        <v/>
      </c>
      <c r="I229" s="9"/>
      <c r="J229" s="14"/>
      <c r="K229" s="15" t="str">
        <f>IF(OR(E229="",F229="",G229=""),"",IF(E229&lt;&gt;计划参数!$C$2,"",IF(F229="股票期权",IFERROR(LOOKUP(G229,计划参数!$D$12:$D$15,计划参数!$C$12:$C$15),""),IF(F229="限制性股票",计划参数!$C$10,""))))</f>
        <v/>
      </c>
      <c r="L229" s="15" t="str">
        <f>IF(AND(E229=计划参数!$C$2,F229="限制性股票",G229&gt;=计划参数!$D$9),计划参数!$C$9,"")</f>
        <v/>
      </c>
      <c r="M229" s="9"/>
      <c r="N229" s="14"/>
      <c r="O229" s="14"/>
      <c r="P229" s="13"/>
      <c r="Q229" s="9"/>
      <c r="R229" s="13"/>
      <c r="S229" s="15" t="str">
        <f t="shared" si="47"/>
        <v/>
      </c>
      <c r="T229" s="15" t="str">
        <f t="shared" si="48"/>
        <v/>
      </c>
      <c r="U229" s="15" t="str">
        <f t="shared" si="49"/>
        <v/>
      </c>
      <c r="V229" s="15" t="str">
        <f t="shared" si="50"/>
        <v/>
      </c>
      <c r="W229" s="16" t="str">
        <f>IF(V229="","",VLOOKUP(V229,税率及规则!$A$2:$C$8,2,TRUE))</f>
        <v/>
      </c>
      <c r="X229" s="15" t="str">
        <f>IF(V229="","",VLOOKUP(V229,税率及规则!$A$2:$C$8,3,TRUE))</f>
        <v/>
      </c>
      <c r="Y229" s="15" t="str">
        <f t="shared" si="51"/>
        <v/>
      </c>
      <c r="Z229" s="15" t="str">
        <f>IF(U229="","",MAX(0,U229*VLOOKUP(U229,税率及规则!$A$2:$C$8,2,TRUE)-VLOOKUP(U229,税率及规则!$A$2:$C$8,3,TRUE)))</f>
        <v/>
      </c>
      <c r="AA229" s="15" t="str">
        <f t="shared" si="52"/>
        <v/>
      </c>
      <c r="AB229" s="17" t="str">
        <f t="shared" si="53"/>
        <v/>
      </c>
      <c r="AC229" s="17" t="str">
        <f t="shared" si="54"/>
        <v/>
      </c>
      <c r="AD229" s="4" t="str">
        <f>IF(A229="","",IF(COUNTIF($A$2:$A$501,A229)&gt;1,"异常：事件编号重复",IF(OR(C229="",D229="",E229="",F229="",G229=""),"异常：必填项缺失",IF(AND(F229="其他股权激励",O229=""),"异常：其他股权激励所得缺失",IF(AND(F229&lt;&gt;"其他股权激励",OR(I229="",J229="")),"异常：数量或市场价缺失",IF(AND(F229&lt;&gt;"其他股权激励",OR(I229&lt;=0,J229&lt;0)),"异常：数量或价格无效",IF(AND(F229="限制性股票",OR(M229&lt;=0,N229&lt;0,I229&gt;M229)),"异常：个人获授或出资数据无效",IF(AND(IFERROR(INDEX(计划参数!$J$2:$J$501,MATCH(C229,计划参数!$I$2:$I$501,0)),"")&lt;&gt;"",D229&lt;&gt;IFERROR(INDEX(计划参数!$J$2:$J$501,MATCH(C229,计划参数!$I$2:$I$501,0)),"")),"异常：姓名与员工主数据不一致",IF(S229&lt;0,"异常：原始所得为负，已按0计税",IF(OR(AND(F229="股票期权",K229=""),AND(F229="限制性股票",OR(K229="",L229=""))),"异常：计划参数缺失",IF(COUNTIF(计划参数!$I$2:$I$501,C229)=0,"提示：员工编号未在主数据",IF(Q229&lt;&gt;"已备案","提示：未确认备案","正常"))))))))))))</f>
        <v/>
      </c>
      <c r="AE229" s="9"/>
      <c r="AF229" s="4" t="str">
        <f>IF(C229="","",IF(COUNTIF($C$2:C229,C229)=1,MAX($AF$1:AF228)+1,""))</f>
        <v/>
      </c>
      <c r="AG229" s="4" t="str">
        <f>IF(C229="","",COUNTIF($C$2:C229,C229))</f>
        <v/>
      </c>
      <c r="AH229" s="4" t="str">
        <f t="shared" si="55"/>
        <v/>
      </c>
      <c r="AI229" s="4" t="str">
        <f t="shared" si="56"/>
        <v/>
      </c>
      <c r="AJ229" s="4" t="str">
        <f t="shared" si="57"/>
        <v/>
      </c>
      <c r="AK229" s="15" t="str">
        <f>IF(A229="","",SUMIFS(分期缴税台账!$K$2:$K$501,分期缴税台账!$T$2:$T$501,A229,分期缴税台账!$Q$2:$Q$501,"有效"))</f>
        <v/>
      </c>
      <c r="AL229" s="15" t="str">
        <f t="shared" si="58"/>
        <v/>
      </c>
      <c r="AM229" s="4" t="str">
        <f t="shared" si="59"/>
        <v/>
      </c>
    </row>
    <row r="230" spans="1:39" x14ac:dyDescent="0.3">
      <c r="A230" s="9"/>
      <c r="B230" s="4" t="str">
        <f t="shared" si="45"/>
        <v/>
      </c>
      <c r="C230" s="9"/>
      <c r="D230" s="9"/>
      <c r="E230" s="9"/>
      <c r="F230" s="9"/>
      <c r="G230" s="13"/>
      <c r="H230" s="4" t="str">
        <f t="shared" si="46"/>
        <v/>
      </c>
      <c r="I230" s="9"/>
      <c r="J230" s="14"/>
      <c r="K230" s="15" t="str">
        <f>IF(OR(E230="",F230="",G230=""),"",IF(E230&lt;&gt;计划参数!$C$2,"",IF(F230="股票期权",IFERROR(LOOKUP(G230,计划参数!$D$12:$D$15,计划参数!$C$12:$C$15),""),IF(F230="限制性股票",计划参数!$C$10,""))))</f>
        <v/>
      </c>
      <c r="L230" s="15" t="str">
        <f>IF(AND(E230=计划参数!$C$2,F230="限制性股票",G230&gt;=计划参数!$D$9),计划参数!$C$9,"")</f>
        <v/>
      </c>
      <c r="M230" s="9"/>
      <c r="N230" s="14"/>
      <c r="O230" s="14"/>
      <c r="P230" s="13"/>
      <c r="Q230" s="9"/>
      <c r="R230" s="13"/>
      <c r="S230" s="15" t="str">
        <f t="shared" si="47"/>
        <v/>
      </c>
      <c r="T230" s="15" t="str">
        <f t="shared" si="48"/>
        <v/>
      </c>
      <c r="U230" s="15" t="str">
        <f t="shared" si="49"/>
        <v/>
      </c>
      <c r="V230" s="15" t="str">
        <f t="shared" si="50"/>
        <v/>
      </c>
      <c r="W230" s="16" t="str">
        <f>IF(V230="","",VLOOKUP(V230,税率及规则!$A$2:$C$8,2,TRUE))</f>
        <v/>
      </c>
      <c r="X230" s="15" t="str">
        <f>IF(V230="","",VLOOKUP(V230,税率及规则!$A$2:$C$8,3,TRUE))</f>
        <v/>
      </c>
      <c r="Y230" s="15" t="str">
        <f t="shared" si="51"/>
        <v/>
      </c>
      <c r="Z230" s="15" t="str">
        <f>IF(U230="","",MAX(0,U230*VLOOKUP(U230,税率及规则!$A$2:$C$8,2,TRUE)-VLOOKUP(U230,税率及规则!$A$2:$C$8,3,TRUE)))</f>
        <v/>
      </c>
      <c r="AA230" s="15" t="str">
        <f t="shared" si="52"/>
        <v/>
      </c>
      <c r="AB230" s="17" t="str">
        <f t="shared" si="53"/>
        <v/>
      </c>
      <c r="AC230" s="17" t="str">
        <f t="shared" si="54"/>
        <v/>
      </c>
      <c r="AD230" s="4" t="str">
        <f>IF(A230="","",IF(COUNTIF($A$2:$A$501,A230)&gt;1,"异常：事件编号重复",IF(OR(C230="",D230="",E230="",F230="",G230=""),"异常：必填项缺失",IF(AND(F230="其他股权激励",O230=""),"异常：其他股权激励所得缺失",IF(AND(F230&lt;&gt;"其他股权激励",OR(I230="",J230="")),"异常：数量或市场价缺失",IF(AND(F230&lt;&gt;"其他股权激励",OR(I230&lt;=0,J230&lt;0)),"异常：数量或价格无效",IF(AND(F230="限制性股票",OR(M230&lt;=0,N230&lt;0,I230&gt;M230)),"异常：个人获授或出资数据无效",IF(AND(IFERROR(INDEX(计划参数!$J$2:$J$501,MATCH(C230,计划参数!$I$2:$I$501,0)),"")&lt;&gt;"",D230&lt;&gt;IFERROR(INDEX(计划参数!$J$2:$J$501,MATCH(C230,计划参数!$I$2:$I$501,0)),"")),"异常：姓名与员工主数据不一致",IF(S230&lt;0,"异常：原始所得为负，已按0计税",IF(OR(AND(F230="股票期权",K230=""),AND(F230="限制性股票",OR(K230="",L230=""))),"异常：计划参数缺失",IF(COUNTIF(计划参数!$I$2:$I$501,C230)=0,"提示：员工编号未在主数据",IF(Q230&lt;&gt;"已备案","提示：未确认备案","正常"))))))))))))</f>
        <v/>
      </c>
      <c r="AE230" s="9"/>
      <c r="AF230" s="4" t="str">
        <f>IF(C230="","",IF(COUNTIF($C$2:C230,C230)=1,MAX($AF$1:AF229)+1,""))</f>
        <v/>
      </c>
      <c r="AG230" s="4" t="str">
        <f>IF(C230="","",COUNTIF($C$2:C230,C230))</f>
        <v/>
      </c>
      <c r="AH230" s="4" t="str">
        <f t="shared" si="55"/>
        <v/>
      </c>
      <c r="AI230" s="4" t="str">
        <f t="shared" si="56"/>
        <v/>
      </c>
      <c r="AJ230" s="4" t="str">
        <f t="shared" si="57"/>
        <v/>
      </c>
      <c r="AK230" s="15" t="str">
        <f>IF(A230="","",SUMIFS(分期缴税台账!$K$2:$K$501,分期缴税台账!$T$2:$T$501,A230,分期缴税台账!$Q$2:$Q$501,"有效"))</f>
        <v/>
      </c>
      <c r="AL230" s="15" t="str">
        <f t="shared" si="58"/>
        <v/>
      </c>
      <c r="AM230" s="4" t="str">
        <f t="shared" si="59"/>
        <v/>
      </c>
    </row>
    <row r="231" spans="1:39" x14ac:dyDescent="0.3">
      <c r="A231" s="9"/>
      <c r="B231" s="4" t="str">
        <f t="shared" si="45"/>
        <v/>
      </c>
      <c r="C231" s="9"/>
      <c r="D231" s="9"/>
      <c r="E231" s="9"/>
      <c r="F231" s="9"/>
      <c r="G231" s="13"/>
      <c r="H231" s="4" t="str">
        <f t="shared" si="46"/>
        <v/>
      </c>
      <c r="I231" s="9"/>
      <c r="J231" s="14"/>
      <c r="K231" s="15" t="str">
        <f>IF(OR(E231="",F231="",G231=""),"",IF(E231&lt;&gt;计划参数!$C$2,"",IF(F231="股票期权",IFERROR(LOOKUP(G231,计划参数!$D$12:$D$15,计划参数!$C$12:$C$15),""),IF(F231="限制性股票",计划参数!$C$10,""))))</f>
        <v/>
      </c>
      <c r="L231" s="15" t="str">
        <f>IF(AND(E231=计划参数!$C$2,F231="限制性股票",G231&gt;=计划参数!$D$9),计划参数!$C$9,"")</f>
        <v/>
      </c>
      <c r="M231" s="9"/>
      <c r="N231" s="14"/>
      <c r="O231" s="14"/>
      <c r="P231" s="13"/>
      <c r="Q231" s="9"/>
      <c r="R231" s="13"/>
      <c r="S231" s="15" t="str">
        <f t="shared" si="47"/>
        <v/>
      </c>
      <c r="T231" s="15" t="str">
        <f t="shared" si="48"/>
        <v/>
      </c>
      <c r="U231" s="15" t="str">
        <f t="shared" si="49"/>
        <v/>
      </c>
      <c r="V231" s="15" t="str">
        <f t="shared" si="50"/>
        <v/>
      </c>
      <c r="W231" s="16" t="str">
        <f>IF(V231="","",VLOOKUP(V231,税率及规则!$A$2:$C$8,2,TRUE))</f>
        <v/>
      </c>
      <c r="X231" s="15" t="str">
        <f>IF(V231="","",VLOOKUP(V231,税率及规则!$A$2:$C$8,3,TRUE))</f>
        <v/>
      </c>
      <c r="Y231" s="15" t="str">
        <f t="shared" si="51"/>
        <v/>
      </c>
      <c r="Z231" s="15" t="str">
        <f>IF(U231="","",MAX(0,U231*VLOOKUP(U231,税率及规则!$A$2:$C$8,2,TRUE)-VLOOKUP(U231,税率及规则!$A$2:$C$8,3,TRUE)))</f>
        <v/>
      </c>
      <c r="AA231" s="15" t="str">
        <f t="shared" si="52"/>
        <v/>
      </c>
      <c r="AB231" s="17" t="str">
        <f t="shared" si="53"/>
        <v/>
      </c>
      <c r="AC231" s="17" t="str">
        <f t="shared" si="54"/>
        <v/>
      </c>
      <c r="AD231" s="4" t="str">
        <f>IF(A231="","",IF(COUNTIF($A$2:$A$501,A231)&gt;1,"异常：事件编号重复",IF(OR(C231="",D231="",E231="",F231="",G231=""),"异常：必填项缺失",IF(AND(F231="其他股权激励",O231=""),"异常：其他股权激励所得缺失",IF(AND(F231&lt;&gt;"其他股权激励",OR(I231="",J231="")),"异常：数量或市场价缺失",IF(AND(F231&lt;&gt;"其他股权激励",OR(I231&lt;=0,J231&lt;0)),"异常：数量或价格无效",IF(AND(F231="限制性股票",OR(M231&lt;=0,N231&lt;0,I231&gt;M231)),"异常：个人获授或出资数据无效",IF(AND(IFERROR(INDEX(计划参数!$J$2:$J$501,MATCH(C231,计划参数!$I$2:$I$501,0)),"")&lt;&gt;"",D231&lt;&gt;IFERROR(INDEX(计划参数!$J$2:$J$501,MATCH(C231,计划参数!$I$2:$I$501,0)),"")),"异常：姓名与员工主数据不一致",IF(S231&lt;0,"异常：原始所得为负，已按0计税",IF(OR(AND(F231="股票期权",K231=""),AND(F231="限制性股票",OR(K231="",L231=""))),"异常：计划参数缺失",IF(COUNTIF(计划参数!$I$2:$I$501,C231)=0,"提示：员工编号未在主数据",IF(Q231&lt;&gt;"已备案","提示：未确认备案","正常"))))))))))))</f>
        <v/>
      </c>
      <c r="AE231" s="9"/>
      <c r="AF231" s="4" t="str">
        <f>IF(C231="","",IF(COUNTIF($C$2:C231,C231)=1,MAX($AF$1:AF230)+1,""))</f>
        <v/>
      </c>
      <c r="AG231" s="4" t="str">
        <f>IF(C231="","",COUNTIF($C$2:C231,C231))</f>
        <v/>
      </c>
      <c r="AH231" s="4" t="str">
        <f t="shared" si="55"/>
        <v/>
      </c>
      <c r="AI231" s="4" t="str">
        <f t="shared" si="56"/>
        <v/>
      </c>
      <c r="AJ231" s="4" t="str">
        <f t="shared" si="57"/>
        <v/>
      </c>
      <c r="AK231" s="15" t="str">
        <f>IF(A231="","",SUMIFS(分期缴税台账!$K$2:$K$501,分期缴税台账!$T$2:$T$501,A231,分期缴税台账!$Q$2:$Q$501,"有效"))</f>
        <v/>
      </c>
      <c r="AL231" s="15" t="str">
        <f t="shared" si="58"/>
        <v/>
      </c>
      <c r="AM231" s="4" t="str">
        <f t="shared" si="59"/>
        <v/>
      </c>
    </row>
    <row r="232" spans="1:39" x14ac:dyDescent="0.3">
      <c r="A232" s="9"/>
      <c r="B232" s="4" t="str">
        <f t="shared" si="45"/>
        <v/>
      </c>
      <c r="C232" s="9"/>
      <c r="D232" s="9"/>
      <c r="E232" s="9"/>
      <c r="F232" s="9"/>
      <c r="G232" s="13"/>
      <c r="H232" s="4" t="str">
        <f t="shared" si="46"/>
        <v/>
      </c>
      <c r="I232" s="9"/>
      <c r="J232" s="14"/>
      <c r="K232" s="15" t="str">
        <f>IF(OR(E232="",F232="",G232=""),"",IF(E232&lt;&gt;计划参数!$C$2,"",IF(F232="股票期权",IFERROR(LOOKUP(G232,计划参数!$D$12:$D$15,计划参数!$C$12:$C$15),""),IF(F232="限制性股票",计划参数!$C$10,""))))</f>
        <v/>
      </c>
      <c r="L232" s="15" t="str">
        <f>IF(AND(E232=计划参数!$C$2,F232="限制性股票",G232&gt;=计划参数!$D$9),计划参数!$C$9,"")</f>
        <v/>
      </c>
      <c r="M232" s="9"/>
      <c r="N232" s="14"/>
      <c r="O232" s="14"/>
      <c r="P232" s="13"/>
      <c r="Q232" s="9"/>
      <c r="R232" s="13"/>
      <c r="S232" s="15" t="str">
        <f t="shared" si="47"/>
        <v/>
      </c>
      <c r="T232" s="15" t="str">
        <f t="shared" si="48"/>
        <v/>
      </c>
      <c r="U232" s="15" t="str">
        <f t="shared" si="49"/>
        <v/>
      </c>
      <c r="V232" s="15" t="str">
        <f t="shared" si="50"/>
        <v/>
      </c>
      <c r="W232" s="16" t="str">
        <f>IF(V232="","",VLOOKUP(V232,税率及规则!$A$2:$C$8,2,TRUE))</f>
        <v/>
      </c>
      <c r="X232" s="15" t="str">
        <f>IF(V232="","",VLOOKUP(V232,税率及规则!$A$2:$C$8,3,TRUE))</f>
        <v/>
      </c>
      <c r="Y232" s="15" t="str">
        <f t="shared" si="51"/>
        <v/>
      </c>
      <c r="Z232" s="15" t="str">
        <f>IF(U232="","",MAX(0,U232*VLOOKUP(U232,税率及规则!$A$2:$C$8,2,TRUE)-VLOOKUP(U232,税率及规则!$A$2:$C$8,3,TRUE)))</f>
        <v/>
      </c>
      <c r="AA232" s="15" t="str">
        <f t="shared" si="52"/>
        <v/>
      </c>
      <c r="AB232" s="17" t="str">
        <f t="shared" si="53"/>
        <v/>
      </c>
      <c r="AC232" s="17" t="str">
        <f t="shared" si="54"/>
        <v/>
      </c>
      <c r="AD232" s="4" t="str">
        <f>IF(A232="","",IF(COUNTIF($A$2:$A$501,A232)&gt;1,"异常：事件编号重复",IF(OR(C232="",D232="",E232="",F232="",G232=""),"异常：必填项缺失",IF(AND(F232="其他股权激励",O232=""),"异常：其他股权激励所得缺失",IF(AND(F232&lt;&gt;"其他股权激励",OR(I232="",J232="")),"异常：数量或市场价缺失",IF(AND(F232&lt;&gt;"其他股权激励",OR(I232&lt;=0,J232&lt;0)),"异常：数量或价格无效",IF(AND(F232="限制性股票",OR(M232&lt;=0,N232&lt;0,I232&gt;M232)),"异常：个人获授或出资数据无效",IF(AND(IFERROR(INDEX(计划参数!$J$2:$J$501,MATCH(C232,计划参数!$I$2:$I$501,0)),"")&lt;&gt;"",D232&lt;&gt;IFERROR(INDEX(计划参数!$J$2:$J$501,MATCH(C232,计划参数!$I$2:$I$501,0)),"")),"异常：姓名与员工主数据不一致",IF(S232&lt;0,"异常：原始所得为负，已按0计税",IF(OR(AND(F232="股票期权",K232=""),AND(F232="限制性股票",OR(K232="",L232=""))),"异常：计划参数缺失",IF(COUNTIF(计划参数!$I$2:$I$501,C232)=0,"提示：员工编号未在主数据",IF(Q232&lt;&gt;"已备案","提示：未确认备案","正常"))))))))))))</f>
        <v/>
      </c>
      <c r="AE232" s="9"/>
      <c r="AF232" s="4" t="str">
        <f>IF(C232="","",IF(COUNTIF($C$2:C232,C232)=1,MAX($AF$1:AF231)+1,""))</f>
        <v/>
      </c>
      <c r="AG232" s="4" t="str">
        <f>IF(C232="","",COUNTIF($C$2:C232,C232))</f>
        <v/>
      </c>
      <c r="AH232" s="4" t="str">
        <f t="shared" si="55"/>
        <v/>
      </c>
      <c r="AI232" s="4" t="str">
        <f t="shared" si="56"/>
        <v/>
      </c>
      <c r="AJ232" s="4" t="str">
        <f t="shared" si="57"/>
        <v/>
      </c>
      <c r="AK232" s="15" t="str">
        <f>IF(A232="","",SUMIFS(分期缴税台账!$K$2:$K$501,分期缴税台账!$T$2:$T$501,A232,分期缴税台账!$Q$2:$Q$501,"有效"))</f>
        <v/>
      </c>
      <c r="AL232" s="15" t="str">
        <f t="shared" si="58"/>
        <v/>
      </c>
      <c r="AM232" s="4" t="str">
        <f t="shared" si="59"/>
        <v/>
      </c>
    </row>
    <row r="233" spans="1:39" x14ac:dyDescent="0.3">
      <c r="A233" s="9"/>
      <c r="B233" s="4" t="str">
        <f t="shared" si="45"/>
        <v/>
      </c>
      <c r="C233" s="9"/>
      <c r="D233" s="9"/>
      <c r="E233" s="9"/>
      <c r="F233" s="9"/>
      <c r="G233" s="13"/>
      <c r="H233" s="4" t="str">
        <f t="shared" si="46"/>
        <v/>
      </c>
      <c r="I233" s="9"/>
      <c r="J233" s="14"/>
      <c r="K233" s="15" t="str">
        <f>IF(OR(E233="",F233="",G233=""),"",IF(E233&lt;&gt;计划参数!$C$2,"",IF(F233="股票期权",IFERROR(LOOKUP(G233,计划参数!$D$12:$D$15,计划参数!$C$12:$C$15),""),IF(F233="限制性股票",计划参数!$C$10,""))))</f>
        <v/>
      </c>
      <c r="L233" s="15" t="str">
        <f>IF(AND(E233=计划参数!$C$2,F233="限制性股票",G233&gt;=计划参数!$D$9),计划参数!$C$9,"")</f>
        <v/>
      </c>
      <c r="M233" s="9"/>
      <c r="N233" s="14"/>
      <c r="O233" s="14"/>
      <c r="P233" s="13"/>
      <c r="Q233" s="9"/>
      <c r="R233" s="13"/>
      <c r="S233" s="15" t="str">
        <f t="shared" si="47"/>
        <v/>
      </c>
      <c r="T233" s="15" t="str">
        <f t="shared" si="48"/>
        <v/>
      </c>
      <c r="U233" s="15" t="str">
        <f t="shared" si="49"/>
        <v/>
      </c>
      <c r="V233" s="15" t="str">
        <f t="shared" si="50"/>
        <v/>
      </c>
      <c r="W233" s="16" t="str">
        <f>IF(V233="","",VLOOKUP(V233,税率及规则!$A$2:$C$8,2,TRUE))</f>
        <v/>
      </c>
      <c r="X233" s="15" t="str">
        <f>IF(V233="","",VLOOKUP(V233,税率及规则!$A$2:$C$8,3,TRUE))</f>
        <v/>
      </c>
      <c r="Y233" s="15" t="str">
        <f t="shared" si="51"/>
        <v/>
      </c>
      <c r="Z233" s="15" t="str">
        <f>IF(U233="","",MAX(0,U233*VLOOKUP(U233,税率及规则!$A$2:$C$8,2,TRUE)-VLOOKUP(U233,税率及规则!$A$2:$C$8,3,TRUE)))</f>
        <v/>
      </c>
      <c r="AA233" s="15" t="str">
        <f t="shared" si="52"/>
        <v/>
      </c>
      <c r="AB233" s="17" t="str">
        <f t="shared" si="53"/>
        <v/>
      </c>
      <c r="AC233" s="17" t="str">
        <f t="shared" si="54"/>
        <v/>
      </c>
      <c r="AD233" s="4" t="str">
        <f>IF(A233="","",IF(COUNTIF($A$2:$A$501,A233)&gt;1,"异常：事件编号重复",IF(OR(C233="",D233="",E233="",F233="",G233=""),"异常：必填项缺失",IF(AND(F233="其他股权激励",O233=""),"异常：其他股权激励所得缺失",IF(AND(F233&lt;&gt;"其他股权激励",OR(I233="",J233="")),"异常：数量或市场价缺失",IF(AND(F233&lt;&gt;"其他股权激励",OR(I233&lt;=0,J233&lt;0)),"异常：数量或价格无效",IF(AND(F233="限制性股票",OR(M233&lt;=0,N233&lt;0,I233&gt;M233)),"异常：个人获授或出资数据无效",IF(AND(IFERROR(INDEX(计划参数!$J$2:$J$501,MATCH(C233,计划参数!$I$2:$I$501,0)),"")&lt;&gt;"",D233&lt;&gt;IFERROR(INDEX(计划参数!$J$2:$J$501,MATCH(C233,计划参数!$I$2:$I$501,0)),"")),"异常：姓名与员工主数据不一致",IF(S233&lt;0,"异常：原始所得为负，已按0计税",IF(OR(AND(F233="股票期权",K233=""),AND(F233="限制性股票",OR(K233="",L233=""))),"异常：计划参数缺失",IF(COUNTIF(计划参数!$I$2:$I$501,C233)=0,"提示：员工编号未在主数据",IF(Q233&lt;&gt;"已备案","提示：未确认备案","正常"))))))))))))</f>
        <v/>
      </c>
      <c r="AE233" s="9"/>
      <c r="AF233" s="4" t="str">
        <f>IF(C233="","",IF(COUNTIF($C$2:C233,C233)=1,MAX($AF$1:AF232)+1,""))</f>
        <v/>
      </c>
      <c r="AG233" s="4" t="str">
        <f>IF(C233="","",COUNTIF($C$2:C233,C233))</f>
        <v/>
      </c>
      <c r="AH233" s="4" t="str">
        <f t="shared" si="55"/>
        <v/>
      </c>
      <c r="AI233" s="4" t="str">
        <f t="shared" si="56"/>
        <v/>
      </c>
      <c r="AJ233" s="4" t="str">
        <f t="shared" si="57"/>
        <v/>
      </c>
      <c r="AK233" s="15" t="str">
        <f>IF(A233="","",SUMIFS(分期缴税台账!$K$2:$K$501,分期缴税台账!$T$2:$T$501,A233,分期缴税台账!$Q$2:$Q$501,"有效"))</f>
        <v/>
      </c>
      <c r="AL233" s="15" t="str">
        <f t="shared" si="58"/>
        <v/>
      </c>
      <c r="AM233" s="4" t="str">
        <f t="shared" si="59"/>
        <v/>
      </c>
    </row>
    <row r="234" spans="1:39" x14ac:dyDescent="0.3">
      <c r="A234" s="9"/>
      <c r="B234" s="4" t="str">
        <f t="shared" si="45"/>
        <v/>
      </c>
      <c r="C234" s="9"/>
      <c r="D234" s="9"/>
      <c r="E234" s="9"/>
      <c r="F234" s="9"/>
      <c r="G234" s="13"/>
      <c r="H234" s="4" t="str">
        <f t="shared" si="46"/>
        <v/>
      </c>
      <c r="I234" s="9"/>
      <c r="J234" s="14"/>
      <c r="K234" s="15" t="str">
        <f>IF(OR(E234="",F234="",G234=""),"",IF(E234&lt;&gt;计划参数!$C$2,"",IF(F234="股票期权",IFERROR(LOOKUP(G234,计划参数!$D$12:$D$15,计划参数!$C$12:$C$15),""),IF(F234="限制性股票",计划参数!$C$10,""))))</f>
        <v/>
      </c>
      <c r="L234" s="15" t="str">
        <f>IF(AND(E234=计划参数!$C$2,F234="限制性股票",G234&gt;=计划参数!$D$9),计划参数!$C$9,"")</f>
        <v/>
      </c>
      <c r="M234" s="9"/>
      <c r="N234" s="14"/>
      <c r="O234" s="14"/>
      <c r="P234" s="13"/>
      <c r="Q234" s="9"/>
      <c r="R234" s="13"/>
      <c r="S234" s="15" t="str">
        <f t="shared" si="47"/>
        <v/>
      </c>
      <c r="T234" s="15" t="str">
        <f t="shared" si="48"/>
        <v/>
      </c>
      <c r="U234" s="15" t="str">
        <f t="shared" si="49"/>
        <v/>
      </c>
      <c r="V234" s="15" t="str">
        <f t="shared" si="50"/>
        <v/>
      </c>
      <c r="W234" s="16" t="str">
        <f>IF(V234="","",VLOOKUP(V234,税率及规则!$A$2:$C$8,2,TRUE))</f>
        <v/>
      </c>
      <c r="X234" s="15" t="str">
        <f>IF(V234="","",VLOOKUP(V234,税率及规则!$A$2:$C$8,3,TRUE))</f>
        <v/>
      </c>
      <c r="Y234" s="15" t="str">
        <f t="shared" si="51"/>
        <v/>
      </c>
      <c r="Z234" s="15" t="str">
        <f>IF(U234="","",MAX(0,U234*VLOOKUP(U234,税率及规则!$A$2:$C$8,2,TRUE)-VLOOKUP(U234,税率及规则!$A$2:$C$8,3,TRUE)))</f>
        <v/>
      </c>
      <c r="AA234" s="15" t="str">
        <f t="shared" si="52"/>
        <v/>
      </c>
      <c r="AB234" s="17" t="str">
        <f t="shared" si="53"/>
        <v/>
      </c>
      <c r="AC234" s="17" t="str">
        <f t="shared" si="54"/>
        <v/>
      </c>
      <c r="AD234" s="4" t="str">
        <f>IF(A234="","",IF(COUNTIF($A$2:$A$501,A234)&gt;1,"异常：事件编号重复",IF(OR(C234="",D234="",E234="",F234="",G234=""),"异常：必填项缺失",IF(AND(F234="其他股权激励",O234=""),"异常：其他股权激励所得缺失",IF(AND(F234&lt;&gt;"其他股权激励",OR(I234="",J234="")),"异常：数量或市场价缺失",IF(AND(F234&lt;&gt;"其他股权激励",OR(I234&lt;=0,J234&lt;0)),"异常：数量或价格无效",IF(AND(F234="限制性股票",OR(M234&lt;=0,N234&lt;0,I234&gt;M234)),"异常：个人获授或出资数据无效",IF(AND(IFERROR(INDEX(计划参数!$J$2:$J$501,MATCH(C234,计划参数!$I$2:$I$501,0)),"")&lt;&gt;"",D234&lt;&gt;IFERROR(INDEX(计划参数!$J$2:$J$501,MATCH(C234,计划参数!$I$2:$I$501,0)),"")),"异常：姓名与员工主数据不一致",IF(S234&lt;0,"异常：原始所得为负，已按0计税",IF(OR(AND(F234="股票期权",K234=""),AND(F234="限制性股票",OR(K234="",L234=""))),"异常：计划参数缺失",IF(COUNTIF(计划参数!$I$2:$I$501,C234)=0,"提示：员工编号未在主数据",IF(Q234&lt;&gt;"已备案","提示：未确认备案","正常"))))))))))))</f>
        <v/>
      </c>
      <c r="AE234" s="9"/>
      <c r="AF234" s="4" t="str">
        <f>IF(C234="","",IF(COUNTIF($C$2:C234,C234)=1,MAX($AF$1:AF233)+1,""))</f>
        <v/>
      </c>
      <c r="AG234" s="4" t="str">
        <f>IF(C234="","",COUNTIF($C$2:C234,C234))</f>
        <v/>
      </c>
      <c r="AH234" s="4" t="str">
        <f t="shared" si="55"/>
        <v/>
      </c>
      <c r="AI234" s="4" t="str">
        <f t="shared" si="56"/>
        <v/>
      </c>
      <c r="AJ234" s="4" t="str">
        <f t="shared" si="57"/>
        <v/>
      </c>
      <c r="AK234" s="15" t="str">
        <f>IF(A234="","",SUMIFS(分期缴税台账!$K$2:$K$501,分期缴税台账!$T$2:$T$501,A234,分期缴税台账!$Q$2:$Q$501,"有效"))</f>
        <v/>
      </c>
      <c r="AL234" s="15" t="str">
        <f t="shared" si="58"/>
        <v/>
      </c>
      <c r="AM234" s="4" t="str">
        <f t="shared" si="59"/>
        <v/>
      </c>
    </row>
    <row r="235" spans="1:39" x14ac:dyDescent="0.3">
      <c r="A235" s="9"/>
      <c r="B235" s="4" t="str">
        <f t="shared" si="45"/>
        <v/>
      </c>
      <c r="C235" s="9"/>
      <c r="D235" s="9"/>
      <c r="E235" s="9"/>
      <c r="F235" s="9"/>
      <c r="G235" s="13"/>
      <c r="H235" s="4" t="str">
        <f t="shared" si="46"/>
        <v/>
      </c>
      <c r="I235" s="9"/>
      <c r="J235" s="14"/>
      <c r="K235" s="15" t="str">
        <f>IF(OR(E235="",F235="",G235=""),"",IF(E235&lt;&gt;计划参数!$C$2,"",IF(F235="股票期权",IFERROR(LOOKUP(G235,计划参数!$D$12:$D$15,计划参数!$C$12:$C$15),""),IF(F235="限制性股票",计划参数!$C$10,""))))</f>
        <v/>
      </c>
      <c r="L235" s="15" t="str">
        <f>IF(AND(E235=计划参数!$C$2,F235="限制性股票",G235&gt;=计划参数!$D$9),计划参数!$C$9,"")</f>
        <v/>
      </c>
      <c r="M235" s="9"/>
      <c r="N235" s="14"/>
      <c r="O235" s="14"/>
      <c r="P235" s="13"/>
      <c r="Q235" s="9"/>
      <c r="R235" s="13"/>
      <c r="S235" s="15" t="str">
        <f t="shared" si="47"/>
        <v/>
      </c>
      <c r="T235" s="15" t="str">
        <f t="shared" si="48"/>
        <v/>
      </c>
      <c r="U235" s="15" t="str">
        <f t="shared" si="49"/>
        <v/>
      </c>
      <c r="V235" s="15" t="str">
        <f t="shared" si="50"/>
        <v/>
      </c>
      <c r="W235" s="16" t="str">
        <f>IF(V235="","",VLOOKUP(V235,税率及规则!$A$2:$C$8,2,TRUE))</f>
        <v/>
      </c>
      <c r="X235" s="15" t="str">
        <f>IF(V235="","",VLOOKUP(V235,税率及规则!$A$2:$C$8,3,TRUE))</f>
        <v/>
      </c>
      <c r="Y235" s="15" t="str">
        <f t="shared" si="51"/>
        <v/>
      </c>
      <c r="Z235" s="15" t="str">
        <f>IF(U235="","",MAX(0,U235*VLOOKUP(U235,税率及规则!$A$2:$C$8,2,TRUE)-VLOOKUP(U235,税率及规则!$A$2:$C$8,3,TRUE)))</f>
        <v/>
      </c>
      <c r="AA235" s="15" t="str">
        <f t="shared" si="52"/>
        <v/>
      </c>
      <c r="AB235" s="17" t="str">
        <f t="shared" si="53"/>
        <v/>
      </c>
      <c r="AC235" s="17" t="str">
        <f t="shared" si="54"/>
        <v/>
      </c>
      <c r="AD235" s="4" t="str">
        <f>IF(A235="","",IF(COUNTIF($A$2:$A$501,A235)&gt;1,"异常：事件编号重复",IF(OR(C235="",D235="",E235="",F235="",G235=""),"异常：必填项缺失",IF(AND(F235="其他股权激励",O235=""),"异常：其他股权激励所得缺失",IF(AND(F235&lt;&gt;"其他股权激励",OR(I235="",J235="")),"异常：数量或市场价缺失",IF(AND(F235&lt;&gt;"其他股权激励",OR(I235&lt;=0,J235&lt;0)),"异常：数量或价格无效",IF(AND(F235="限制性股票",OR(M235&lt;=0,N235&lt;0,I235&gt;M235)),"异常：个人获授或出资数据无效",IF(AND(IFERROR(INDEX(计划参数!$J$2:$J$501,MATCH(C235,计划参数!$I$2:$I$501,0)),"")&lt;&gt;"",D235&lt;&gt;IFERROR(INDEX(计划参数!$J$2:$J$501,MATCH(C235,计划参数!$I$2:$I$501,0)),"")),"异常：姓名与员工主数据不一致",IF(S235&lt;0,"异常：原始所得为负，已按0计税",IF(OR(AND(F235="股票期权",K235=""),AND(F235="限制性股票",OR(K235="",L235=""))),"异常：计划参数缺失",IF(COUNTIF(计划参数!$I$2:$I$501,C235)=0,"提示：员工编号未在主数据",IF(Q235&lt;&gt;"已备案","提示：未确认备案","正常"))))))))))))</f>
        <v/>
      </c>
      <c r="AE235" s="9"/>
      <c r="AF235" s="4" t="str">
        <f>IF(C235="","",IF(COUNTIF($C$2:C235,C235)=1,MAX($AF$1:AF234)+1,""))</f>
        <v/>
      </c>
      <c r="AG235" s="4" t="str">
        <f>IF(C235="","",COUNTIF($C$2:C235,C235))</f>
        <v/>
      </c>
      <c r="AH235" s="4" t="str">
        <f t="shared" si="55"/>
        <v/>
      </c>
      <c r="AI235" s="4" t="str">
        <f t="shared" si="56"/>
        <v/>
      </c>
      <c r="AJ235" s="4" t="str">
        <f t="shared" si="57"/>
        <v/>
      </c>
      <c r="AK235" s="15" t="str">
        <f>IF(A235="","",SUMIFS(分期缴税台账!$K$2:$K$501,分期缴税台账!$T$2:$T$501,A235,分期缴税台账!$Q$2:$Q$501,"有效"))</f>
        <v/>
      </c>
      <c r="AL235" s="15" t="str">
        <f t="shared" si="58"/>
        <v/>
      </c>
      <c r="AM235" s="4" t="str">
        <f t="shared" si="59"/>
        <v/>
      </c>
    </row>
    <row r="236" spans="1:39" x14ac:dyDescent="0.3">
      <c r="A236" s="9"/>
      <c r="B236" s="4" t="str">
        <f t="shared" si="45"/>
        <v/>
      </c>
      <c r="C236" s="9"/>
      <c r="D236" s="9"/>
      <c r="E236" s="9"/>
      <c r="F236" s="9"/>
      <c r="G236" s="13"/>
      <c r="H236" s="4" t="str">
        <f t="shared" si="46"/>
        <v/>
      </c>
      <c r="I236" s="9"/>
      <c r="J236" s="14"/>
      <c r="K236" s="15" t="str">
        <f>IF(OR(E236="",F236="",G236=""),"",IF(E236&lt;&gt;计划参数!$C$2,"",IF(F236="股票期权",IFERROR(LOOKUP(G236,计划参数!$D$12:$D$15,计划参数!$C$12:$C$15),""),IF(F236="限制性股票",计划参数!$C$10,""))))</f>
        <v/>
      </c>
      <c r="L236" s="15" t="str">
        <f>IF(AND(E236=计划参数!$C$2,F236="限制性股票",G236&gt;=计划参数!$D$9),计划参数!$C$9,"")</f>
        <v/>
      </c>
      <c r="M236" s="9"/>
      <c r="N236" s="14"/>
      <c r="O236" s="14"/>
      <c r="P236" s="13"/>
      <c r="Q236" s="9"/>
      <c r="R236" s="13"/>
      <c r="S236" s="15" t="str">
        <f t="shared" si="47"/>
        <v/>
      </c>
      <c r="T236" s="15" t="str">
        <f t="shared" si="48"/>
        <v/>
      </c>
      <c r="U236" s="15" t="str">
        <f t="shared" si="49"/>
        <v/>
      </c>
      <c r="V236" s="15" t="str">
        <f t="shared" si="50"/>
        <v/>
      </c>
      <c r="W236" s="16" t="str">
        <f>IF(V236="","",VLOOKUP(V236,税率及规则!$A$2:$C$8,2,TRUE))</f>
        <v/>
      </c>
      <c r="X236" s="15" t="str">
        <f>IF(V236="","",VLOOKUP(V236,税率及规则!$A$2:$C$8,3,TRUE))</f>
        <v/>
      </c>
      <c r="Y236" s="15" t="str">
        <f t="shared" si="51"/>
        <v/>
      </c>
      <c r="Z236" s="15" t="str">
        <f>IF(U236="","",MAX(0,U236*VLOOKUP(U236,税率及规则!$A$2:$C$8,2,TRUE)-VLOOKUP(U236,税率及规则!$A$2:$C$8,3,TRUE)))</f>
        <v/>
      </c>
      <c r="AA236" s="15" t="str">
        <f t="shared" si="52"/>
        <v/>
      </c>
      <c r="AB236" s="17" t="str">
        <f t="shared" si="53"/>
        <v/>
      </c>
      <c r="AC236" s="17" t="str">
        <f t="shared" si="54"/>
        <v/>
      </c>
      <c r="AD236" s="4" t="str">
        <f>IF(A236="","",IF(COUNTIF($A$2:$A$501,A236)&gt;1,"异常：事件编号重复",IF(OR(C236="",D236="",E236="",F236="",G236=""),"异常：必填项缺失",IF(AND(F236="其他股权激励",O236=""),"异常：其他股权激励所得缺失",IF(AND(F236&lt;&gt;"其他股权激励",OR(I236="",J236="")),"异常：数量或市场价缺失",IF(AND(F236&lt;&gt;"其他股权激励",OR(I236&lt;=0,J236&lt;0)),"异常：数量或价格无效",IF(AND(F236="限制性股票",OR(M236&lt;=0,N236&lt;0,I236&gt;M236)),"异常：个人获授或出资数据无效",IF(AND(IFERROR(INDEX(计划参数!$J$2:$J$501,MATCH(C236,计划参数!$I$2:$I$501,0)),"")&lt;&gt;"",D236&lt;&gt;IFERROR(INDEX(计划参数!$J$2:$J$501,MATCH(C236,计划参数!$I$2:$I$501,0)),"")),"异常：姓名与员工主数据不一致",IF(S236&lt;0,"异常：原始所得为负，已按0计税",IF(OR(AND(F236="股票期权",K236=""),AND(F236="限制性股票",OR(K236="",L236=""))),"异常：计划参数缺失",IF(COUNTIF(计划参数!$I$2:$I$501,C236)=0,"提示：员工编号未在主数据",IF(Q236&lt;&gt;"已备案","提示：未确认备案","正常"))))))))))))</f>
        <v/>
      </c>
      <c r="AE236" s="9"/>
      <c r="AF236" s="4" t="str">
        <f>IF(C236="","",IF(COUNTIF($C$2:C236,C236)=1,MAX($AF$1:AF235)+1,""))</f>
        <v/>
      </c>
      <c r="AG236" s="4" t="str">
        <f>IF(C236="","",COUNTIF($C$2:C236,C236))</f>
        <v/>
      </c>
      <c r="AH236" s="4" t="str">
        <f t="shared" si="55"/>
        <v/>
      </c>
      <c r="AI236" s="4" t="str">
        <f t="shared" si="56"/>
        <v/>
      </c>
      <c r="AJ236" s="4" t="str">
        <f t="shared" si="57"/>
        <v/>
      </c>
      <c r="AK236" s="15" t="str">
        <f>IF(A236="","",SUMIFS(分期缴税台账!$K$2:$K$501,分期缴税台账!$T$2:$T$501,A236,分期缴税台账!$Q$2:$Q$501,"有效"))</f>
        <v/>
      </c>
      <c r="AL236" s="15" t="str">
        <f t="shared" si="58"/>
        <v/>
      </c>
      <c r="AM236" s="4" t="str">
        <f t="shared" si="59"/>
        <v/>
      </c>
    </row>
    <row r="237" spans="1:39" x14ac:dyDescent="0.3">
      <c r="A237" s="9"/>
      <c r="B237" s="4" t="str">
        <f t="shared" si="45"/>
        <v/>
      </c>
      <c r="C237" s="9"/>
      <c r="D237" s="9"/>
      <c r="E237" s="9"/>
      <c r="F237" s="9"/>
      <c r="G237" s="13"/>
      <c r="H237" s="4" t="str">
        <f t="shared" si="46"/>
        <v/>
      </c>
      <c r="I237" s="9"/>
      <c r="J237" s="14"/>
      <c r="K237" s="15" t="str">
        <f>IF(OR(E237="",F237="",G237=""),"",IF(E237&lt;&gt;计划参数!$C$2,"",IF(F237="股票期权",IFERROR(LOOKUP(G237,计划参数!$D$12:$D$15,计划参数!$C$12:$C$15),""),IF(F237="限制性股票",计划参数!$C$10,""))))</f>
        <v/>
      </c>
      <c r="L237" s="15" t="str">
        <f>IF(AND(E237=计划参数!$C$2,F237="限制性股票",G237&gt;=计划参数!$D$9),计划参数!$C$9,"")</f>
        <v/>
      </c>
      <c r="M237" s="9"/>
      <c r="N237" s="14"/>
      <c r="O237" s="14"/>
      <c r="P237" s="13"/>
      <c r="Q237" s="9"/>
      <c r="R237" s="13"/>
      <c r="S237" s="15" t="str">
        <f t="shared" si="47"/>
        <v/>
      </c>
      <c r="T237" s="15" t="str">
        <f t="shared" si="48"/>
        <v/>
      </c>
      <c r="U237" s="15" t="str">
        <f t="shared" si="49"/>
        <v/>
      </c>
      <c r="V237" s="15" t="str">
        <f t="shared" si="50"/>
        <v/>
      </c>
      <c r="W237" s="16" t="str">
        <f>IF(V237="","",VLOOKUP(V237,税率及规则!$A$2:$C$8,2,TRUE))</f>
        <v/>
      </c>
      <c r="X237" s="15" t="str">
        <f>IF(V237="","",VLOOKUP(V237,税率及规则!$A$2:$C$8,3,TRUE))</f>
        <v/>
      </c>
      <c r="Y237" s="15" t="str">
        <f t="shared" si="51"/>
        <v/>
      </c>
      <c r="Z237" s="15" t="str">
        <f>IF(U237="","",MAX(0,U237*VLOOKUP(U237,税率及规则!$A$2:$C$8,2,TRUE)-VLOOKUP(U237,税率及规则!$A$2:$C$8,3,TRUE)))</f>
        <v/>
      </c>
      <c r="AA237" s="15" t="str">
        <f t="shared" si="52"/>
        <v/>
      </c>
      <c r="AB237" s="17" t="str">
        <f t="shared" si="53"/>
        <v/>
      </c>
      <c r="AC237" s="17" t="str">
        <f t="shared" si="54"/>
        <v/>
      </c>
      <c r="AD237" s="4" t="str">
        <f>IF(A237="","",IF(COUNTIF($A$2:$A$501,A237)&gt;1,"异常：事件编号重复",IF(OR(C237="",D237="",E237="",F237="",G237=""),"异常：必填项缺失",IF(AND(F237="其他股权激励",O237=""),"异常：其他股权激励所得缺失",IF(AND(F237&lt;&gt;"其他股权激励",OR(I237="",J237="")),"异常：数量或市场价缺失",IF(AND(F237&lt;&gt;"其他股权激励",OR(I237&lt;=0,J237&lt;0)),"异常：数量或价格无效",IF(AND(F237="限制性股票",OR(M237&lt;=0,N237&lt;0,I237&gt;M237)),"异常：个人获授或出资数据无效",IF(AND(IFERROR(INDEX(计划参数!$J$2:$J$501,MATCH(C237,计划参数!$I$2:$I$501,0)),"")&lt;&gt;"",D237&lt;&gt;IFERROR(INDEX(计划参数!$J$2:$J$501,MATCH(C237,计划参数!$I$2:$I$501,0)),"")),"异常：姓名与员工主数据不一致",IF(S237&lt;0,"异常：原始所得为负，已按0计税",IF(OR(AND(F237="股票期权",K237=""),AND(F237="限制性股票",OR(K237="",L237=""))),"异常：计划参数缺失",IF(COUNTIF(计划参数!$I$2:$I$501,C237)=0,"提示：员工编号未在主数据",IF(Q237&lt;&gt;"已备案","提示：未确认备案","正常"))))))))))))</f>
        <v/>
      </c>
      <c r="AE237" s="9"/>
      <c r="AF237" s="4" t="str">
        <f>IF(C237="","",IF(COUNTIF($C$2:C237,C237)=1,MAX($AF$1:AF236)+1,""))</f>
        <v/>
      </c>
      <c r="AG237" s="4" t="str">
        <f>IF(C237="","",COUNTIF($C$2:C237,C237))</f>
        <v/>
      </c>
      <c r="AH237" s="4" t="str">
        <f t="shared" si="55"/>
        <v/>
      </c>
      <c r="AI237" s="4" t="str">
        <f t="shared" si="56"/>
        <v/>
      </c>
      <c r="AJ237" s="4" t="str">
        <f t="shared" si="57"/>
        <v/>
      </c>
      <c r="AK237" s="15" t="str">
        <f>IF(A237="","",SUMIFS(分期缴税台账!$K$2:$K$501,分期缴税台账!$T$2:$T$501,A237,分期缴税台账!$Q$2:$Q$501,"有效"))</f>
        <v/>
      </c>
      <c r="AL237" s="15" t="str">
        <f t="shared" si="58"/>
        <v/>
      </c>
      <c r="AM237" s="4" t="str">
        <f t="shared" si="59"/>
        <v/>
      </c>
    </row>
    <row r="238" spans="1:39" x14ac:dyDescent="0.3">
      <c r="A238" s="9"/>
      <c r="B238" s="4" t="str">
        <f t="shared" si="45"/>
        <v/>
      </c>
      <c r="C238" s="9"/>
      <c r="D238" s="9"/>
      <c r="E238" s="9"/>
      <c r="F238" s="9"/>
      <c r="G238" s="13"/>
      <c r="H238" s="4" t="str">
        <f t="shared" si="46"/>
        <v/>
      </c>
      <c r="I238" s="9"/>
      <c r="J238" s="14"/>
      <c r="K238" s="15" t="str">
        <f>IF(OR(E238="",F238="",G238=""),"",IF(E238&lt;&gt;计划参数!$C$2,"",IF(F238="股票期权",IFERROR(LOOKUP(G238,计划参数!$D$12:$D$15,计划参数!$C$12:$C$15),""),IF(F238="限制性股票",计划参数!$C$10,""))))</f>
        <v/>
      </c>
      <c r="L238" s="15" t="str">
        <f>IF(AND(E238=计划参数!$C$2,F238="限制性股票",G238&gt;=计划参数!$D$9),计划参数!$C$9,"")</f>
        <v/>
      </c>
      <c r="M238" s="9"/>
      <c r="N238" s="14"/>
      <c r="O238" s="14"/>
      <c r="P238" s="13"/>
      <c r="Q238" s="9"/>
      <c r="R238" s="13"/>
      <c r="S238" s="15" t="str">
        <f t="shared" si="47"/>
        <v/>
      </c>
      <c r="T238" s="15" t="str">
        <f t="shared" si="48"/>
        <v/>
      </c>
      <c r="U238" s="15" t="str">
        <f t="shared" si="49"/>
        <v/>
      </c>
      <c r="V238" s="15" t="str">
        <f t="shared" si="50"/>
        <v/>
      </c>
      <c r="W238" s="16" t="str">
        <f>IF(V238="","",VLOOKUP(V238,税率及规则!$A$2:$C$8,2,TRUE))</f>
        <v/>
      </c>
      <c r="X238" s="15" t="str">
        <f>IF(V238="","",VLOOKUP(V238,税率及规则!$A$2:$C$8,3,TRUE))</f>
        <v/>
      </c>
      <c r="Y238" s="15" t="str">
        <f t="shared" si="51"/>
        <v/>
      </c>
      <c r="Z238" s="15" t="str">
        <f>IF(U238="","",MAX(0,U238*VLOOKUP(U238,税率及规则!$A$2:$C$8,2,TRUE)-VLOOKUP(U238,税率及规则!$A$2:$C$8,3,TRUE)))</f>
        <v/>
      </c>
      <c r="AA238" s="15" t="str">
        <f t="shared" si="52"/>
        <v/>
      </c>
      <c r="AB238" s="17" t="str">
        <f t="shared" si="53"/>
        <v/>
      </c>
      <c r="AC238" s="17" t="str">
        <f t="shared" si="54"/>
        <v/>
      </c>
      <c r="AD238" s="4" t="str">
        <f>IF(A238="","",IF(COUNTIF($A$2:$A$501,A238)&gt;1,"异常：事件编号重复",IF(OR(C238="",D238="",E238="",F238="",G238=""),"异常：必填项缺失",IF(AND(F238="其他股权激励",O238=""),"异常：其他股权激励所得缺失",IF(AND(F238&lt;&gt;"其他股权激励",OR(I238="",J238="")),"异常：数量或市场价缺失",IF(AND(F238&lt;&gt;"其他股权激励",OR(I238&lt;=0,J238&lt;0)),"异常：数量或价格无效",IF(AND(F238="限制性股票",OR(M238&lt;=0,N238&lt;0,I238&gt;M238)),"异常：个人获授或出资数据无效",IF(AND(IFERROR(INDEX(计划参数!$J$2:$J$501,MATCH(C238,计划参数!$I$2:$I$501,0)),"")&lt;&gt;"",D238&lt;&gt;IFERROR(INDEX(计划参数!$J$2:$J$501,MATCH(C238,计划参数!$I$2:$I$501,0)),"")),"异常：姓名与员工主数据不一致",IF(S238&lt;0,"异常：原始所得为负，已按0计税",IF(OR(AND(F238="股票期权",K238=""),AND(F238="限制性股票",OR(K238="",L238=""))),"异常：计划参数缺失",IF(COUNTIF(计划参数!$I$2:$I$501,C238)=0,"提示：员工编号未在主数据",IF(Q238&lt;&gt;"已备案","提示：未确认备案","正常"))))))))))))</f>
        <v/>
      </c>
      <c r="AE238" s="9"/>
      <c r="AF238" s="4" t="str">
        <f>IF(C238="","",IF(COUNTIF($C$2:C238,C238)=1,MAX($AF$1:AF237)+1,""))</f>
        <v/>
      </c>
      <c r="AG238" s="4" t="str">
        <f>IF(C238="","",COUNTIF($C$2:C238,C238))</f>
        <v/>
      </c>
      <c r="AH238" s="4" t="str">
        <f t="shared" si="55"/>
        <v/>
      </c>
      <c r="AI238" s="4" t="str">
        <f t="shared" si="56"/>
        <v/>
      </c>
      <c r="AJ238" s="4" t="str">
        <f t="shared" si="57"/>
        <v/>
      </c>
      <c r="AK238" s="15" t="str">
        <f>IF(A238="","",SUMIFS(分期缴税台账!$K$2:$K$501,分期缴税台账!$T$2:$T$501,A238,分期缴税台账!$Q$2:$Q$501,"有效"))</f>
        <v/>
      </c>
      <c r="AL238" s="15" t="str">
        <f t="shared" si="58"/>
        <v/>
      </c>
      <c r="AM238" s="4" t="str">
        <f t="shared" si="59"/>
        <v/>
      </c>
    </row>
    <row r="239" spans="1:39" x14ac:dyDescent="0.3">
      <c r="A239" s="9"/>
      <c r="B239" s="4" t="str">
        <f t="shared" si="45"/>
        <v/>
      </c>
      <c r="C239" s="9"/>
      <c r="D239" s="9"/>
      <c r="E239" s="9"/>
      <c r="F239" s="9"/>
      <c r="G239" s="13"/>
      <c r="H239" s="4" t="str">
        <f t="shared" si="46"/>
        <v/>
      </c>
      <c r="I239" s="9"/>
      <c r="J239" s="14"/>
      <c r="K239" s="15" t="str">
        <f>IF(OR(E239="",F239="",G239=""),"",IF(E239&lt;&gt;计划参数!$C$2,"",IF(F239="股票期权",IFERROR(LOOKUP(G239,计划参数!$D$12:$D$15,计划参数!$C$12:$C$15),""),IF(F239="限制性股票",计划参数!$C$10,""))))</f>
        <v/>
      </c>
      <c r="L239" s="15" t="str">
        <f>IF(AND(E239=计划参数!$C$2,F239="限制性股票",G239&gt;=计划参数!$D$9),计划参数!$C$9,"")</f>
        <v/>
      </c>
      <c r="M239" s="9"/>
      <c r="N239" s="14"/>
      <c r="O239" s="14"/>
      <c r="P239" s="13"/>
      <c r="Q239" s="9"/>
      <c r="R239" s="13"/>
      <c r="S239" s="15" t="str">
        <f t="shared" si="47"/>
        <v/>
      </c>
      <c r="T239" s="15" t="str">
        <f t="shared" si="48"/>
        <v/>
      </c>
      <c r="U239" s="15" t="str">
        <f t="shared" si="49"/>
        <v/>
      </c>
      <c r="V239" s="15" t="str">
        <f t="shared" si="50"/>
        <v/>
      </c>
      <c r="W239" s="16" t="str">
        <f>IF(V239="","",VLOOKUP(V239,税率及规则!$A$2:$C$8,2,TRUE))</f>
        <v/>
      </c>
      <c r="X239" s="15" t="str">
        <f>IF(V239="","",VLOOKUP(V239,税率及规则!$A$2:$C$8,3,TRUE))</f>
        <v/>
      </c>
      <c r="Y239" s="15" t="str">
        <f t="shared" si="51"/>
        <v/>
      </c>
      <c r="Z239" s="15" t="str">
        <f>IF(U239="","",MAX(0,U239*VLOOKUP(U239,税率及规则!$A$2:$C$8,2,TRUE)-VLOOKUP(U239,税率及规则!$A$2:$C$8,3,TRUE)))</f>
        <v/>
      </c>
      <c r="AA239" s="15" t="str">
        <f t="shared" si="52"/>
        <v/>
      </c>
      <c r="AB239" s="17" t="str">
        <f t="shared" si="53"/>
        <v/>
      </c>
      <c r="AC239" s="17" t="str">
        <f t="shared" si="54"/>
        <v/>
      </c>
      <c r="AD239" s="4" t="str">
        <f>IF(A239="","",IF(COUNTIF($A$2:$A$501,A239)&gt;1,"异常：事件编号重复",IF(OR(C239="",D239="",E239="",F239="",G239=""),"异常：必填项缺失",IF(AND(F239="其他股权激励",O239=""),"异常：其他股权激励所得缺失",IF(AND(F239&lt;&gt;"其他股权激励",OR(I239="",J239="")),"异常：数量或市场价缺失",IF(AND(F239&lt;&gt;"其他股权激励",OR(I239&lt;=0,J239&lt;0)),"异常：数量或价格无效",IF(AND(F239="限制性股票",OR(M239&lt;=0,N239&lt;0,I239&gt;M239)),"异常：个人获授或出资数据无效",IF(AND(IFERROR(INDEX(计划参数!$J$2:$J$501,MATCH(C239,计划参数!$I$2:$I$501,0)),"")&lt;&gt;"",D239&lt;&gt;IFERROR(INDEX(计划参数!$J$2:$J$501,MATCH(C239,计划参数!$I$2:$I$501,0)),"")),"异常：姓名与员工主数据不一致",IF(S239&lt;0,"异常：原始所得为负，已按0计税",IF(OR(AND(F239="股票期权",K239=""),AND(F239="限制性股票",OR(K239="",L239=""))),"异常：计划参数缺失",IF(COUNTIF(计划参数!$I$2:$I$501,C239)=0,"提示：员工编号未在主数据",IF(Q239&lt;&gt;"已备案","提示：未确认备案","正常"))))))))))))</f>
        <v/>
      </c>
      <c r="AE239" s="9"/>
      <c r="AF239" s="4" t="str">
        <f>IF(C239="","",IF(COUNTIF($C$2:C239,C239)=1,MAX($AF$1:AF238)+1,""))</f>
        <v/>
      </c>
      <c r="AG239" s="4" t="str">
        <f>IF(C239="","",COUNTIF($C$2:C239,C239))</f>
        <v/>
      </c>
      <c r="AH239" s="4" t="str">
        <f t="shared" si="55"/>
        <v/>
      </c>
      <c r="AI239" s="4" t="str">
        <f t="shared" si="56"/>
        <v/>
      </c>
      <c r="AJ239" s="4" t="str">
        <f t="shared" si="57"/>
        <v/>
      </c>
      <c r="AK239" s="15" t="str">
        <f>IF(A239="","",SUMIFS(分期缴税台账!$K$2:$K$501,分期缴税台账!$T$2:$T$501,A239,分期缴税台账!$Q$2:$Q$501,"有效"))</f>
        <v/>
      </c>
      <c r="AL239" s="15" t="str">
        <f t="shared" si="58"/>
        <v/>
      </c>
      <c r="AM239" s="4" t="str">
        <f t="shared" si="59"/>
        <v/>
      </c>
    </row>
    <row r="240" spans="1:39" x14ac:dyDescent="0.3">
      <c r="A240" s="9"/>
      <c r="B240" s="4" t="str">
        <f t="shared" si="45"/>
        <v/>
      </c>
      <c r="C240" s="9"/>
      <c r="D240" s="9"/>
      <c r="E240" s="9"/>
      <c r="F240" s="9"/>
      <c r="G240" s="13"/>
      <c r="H240" s="4" t="str">
        <f t="shared" si="46"/>
        <v/>
      </c>
      <c r="I240" s="9"/>
      <c r="J240" s="14"/>
      <c r="K240" s="15" t="str">
        <f>IF(OR(E240="",F240="",G240=""),"",IF(E240&lt;&gt;计划参数!$C$2,"",IF(F240="股票期权",IFERROR(LOOKUP(G240,计划参数!$D$12:$D$15,计划参数!$C$12:$C$15),""),IF(F240="限制性股票",计划参数!$C$10,""))))</f>
        <v/>
      </c>
      <c r="L240" s="15" t="str">
        <f>IF(AND(E240=计划参数!$C$2,F240="限制性股票",G240&gt;=计划参数!$D$9),计划参数!$C$9,"")</f>
        <v/>
      </c>
      <c r="M240" s="9"/>
      <c r="N240" s="14"/>
      <c r="O240" s="14"/>
      <c r="P240" s="13"/>
      <c r="Q240" s="9"/>
      <c r="R240" s="13"/>
      <c r="S240" s="15" t="str">
        <f t="shared" si="47"/>
        <v/>
      </c>
      <c r="T240" s="15" t="str">
        <f t="shared" si="48"/>
        <v/>
      </c>
      <c r="U240" s="15" t="str">
        <f t="shared" si="49"/>
        <v/>
      </c>
      <c r="V240" s="15" t="str">
        <f t="shared" si="50"/>
        <v/>
      </c>
      <c r="W240" s="16" t="str">
        <f>IF(V240="","",VLOOKUP(V240,税率及规则!$A$2:$C$8,2,TRUE))</f>
        <v/>
      </c>
      <c r="X240" s="15" t="str">
        <f>IF(V240="","",VLOOKUP(V240,税率及规则!$A$2:$C$8,3,TRUE))</f>
        <v/>
      </c>
      <c r="Y240" s="15" t="str">
        <f t="shared" si="51"/>
        <v/>
      </c>
      <c r="Z240" s="15" t="str">
        <f>IF(U240="","",MAX(0,U240*VLOOKUP(U240,税率及规则!$A$2:$C$8,2,TRUE)-VLOOKUP(U240,税率及规则!$A$2:$C$8,3,TRUE)))</f>
        <v/>
      </c>
      <c r="AA240" s="15" t="str">
        <f t="shared" si="52"/>
        <v/>
      </c>
      <c r="AB240" s="17" t="str">
        <f t="shared" si="53"/>
        <v/>
      </c>
      <c r="AC240" s="17" t="str">
        <f t="shared" si="54"/>
        <v/>
      </c>
      <c r="AD240" s="4" t="str">
        <f>IF(A240="","",IF(COUNTIF($A$2:$A$501,A240)&gt;1,"异常：事件编号重复",IF(OR(C240="",D240="",E240="",F240="",G240=""),"异常：必填项缺失",IF(AND(F240="其他股权激励",O240=""),"异常：其他股权激励所得缺失",IF(AND(F240&lt;&gt;"其他股权激励",OR(I240="",J240="")),"异常：数量或市场价缺失",IF(AND(F240&lt;&gt;"其他股权激励",OR(I240&lt;=0,J240&lt;0)),"异常：数量或价格无效",IF(AND(F240="限制性股票",OR(M240&lt;=0,N240&lt;0,I240&gt;M240)),"异常：个人获授或出资数据无效",IF(AND(IFERROR(INDEX(计划参数!$J$2:$J$501,MATCH(C240,计划参数!$I$2:$I$501,0)),"")&lt;&gt;"",D240&lt;&gt;IFERROR(INDEX(计划参数!$J$2:$J$501,MATCH(C240,计划参数!$I$2:$I$501,0)),"")),"异常：姓名与员工主数据不一致",IF(S240&lt;0,"异常：原始所得为负，已按0计税",IF(OR(AND(F240="股票期权",K240=""),AND(F240="限制性股票",OR(K240="",L240=""))),"异常：计划参数缺失",IF(COUNTIF(计划参数!$I$2:$I$501,C240)=0,"提示：员工编号未在主数据",IF(Q240&lt;&gt;"已备案","提示：未确认备案","正常"))))))))))))</f>
        <v/>
      </c>
      <c r="AE240" s="9"/>
      <c r="AF240" s="4" t="str">
        <f>IF(C240="","",IF(COUNTIF($C$2:C240,C240)=1,MAX($AF$1:AF239)+1,""))</f>
        <v/>
      </c>
      <c r="AG240" s="4" t="str">
        <f>IF(C240="","",COUNTIF($C$2:C240,C240))</f>
        <v/>
      </c>
      <c r="AH240" s="4" t="str">
        <f t="shared" si="55"/>
        <v/>
      </c>
      <c r="AI240" s="4" t="str">
        <f t="shared" si="56"/>
        <v/>
      </c>
      <c r="AJ240" s="4" t="str">
        <f t="shared" si="57"/>
        <v/>
      </c>
      <c r="AK240" s="15" t="str">
        <f>IF(A240="","",SUMIFS(分期缴税台账!$K$2:$K$501,分期缴税台账!$T$2:$T$501,A240,分期缴税台账!$Q$2:$Q$501,"有效"))</f>
        <v/>
      </c>
      <c r="AL240" s="15" t="str">
        <f t="shared" si="58"/>
        <v/>
      </c>
      <c r="AM240" s="4" t="str">
        <f t="shared" si="59"/>
        <v/>
      </c>
    </row>
    <row r="241" spans="1:39" x14ac:dyDescent="0.3">
      <c r="A241" s="9"/>
      <c r="B241" s="4" t="str">
        <f t="shared" si="45"/>
        <v/>
      </c>
      <c r="C241" s="9"/>
      <c r="D241" s="9"/>
      <c r="E241" s="9"/>
      <c r="F241" s="9"/>
      <c r="G241" s="13"/>
      <c r="H241" s="4" t="str">
        <f t="shared" si="46"/>
        <v/>
      </c>
      <c r="I241" s="9"/>
      <c r="J241" s="14"/>
      <c r="K241" s="15" t="str">
        <f>IF(OR(E241="",F241="",G241=""),"",IF(E241&lt;&gt;计划参数!$C$2,"",IF(F241="股票期权",IFERROR(LOOKUP(G241,计划参数!$D$12:$D$15,计划参数!$C$12:$C$15),""),IF(F241="限制性股票",计划参数!$C$10,""))))</f>
        <v/>
      </c>
      <c r="L241" s="15" t="str">
        <f>IF(AND(E241=计划参数!$C$2,F241="限制性股票",G241&gt;=计划参数!$D$9),计划参数!$C$9,"")</f>
        <v/>
      </c>
      <c r="M241" s="9"/>
      <c r="N241" s="14"/>
      <c r="O241" s="14"/>
      <c r="P241" s="13"/>
      <c r="Q241" s="9"/>
      <c r="R241" s="13"/>
      <c r="S241" s="15" t="str">
        <f t="shared" si="47"/>
        <v/>
      </c>
      <c r="T241" s="15" t="str">
        <f t="shared" si="48"/>
        <v/>
      </c>
      <c r="U241" s="15" t="str">
        <f t="shared" si="49"/>
        <v/>
      </c>
      <c r="V241" s="15" t="str">
        <f t="shared" si="50"/>
        <v/>
      </c>
      <c r="W241" s="16" t="str">
        <f>IF(V241="","",VLOOKUP(V241,税率及规则!$A$2:$C$8,2,TRUE))</f>
        <v/>
      </c>
      <c r="X241" s="15" t="str">
        <f>IF(V241="","",VLOOKUP(V241,税率及规则!$A$2:$C$8,3,TRUE))</f>
        <v/>
      </c>
      <c r="Y241" s="15" t="str">
        <f t="shared" si="51"/>
        <v/>
      </c>
      <c r="Z241" s="15" t="str">
        <f>IF(U241="","",MAX(0,U241*VLOOKUP(U241,税率及规则!$A$2:$C$8,2,TRUE)-VLOOKUP(U241,税率及规则!$A$2:$C$8,3,TRUE)))</f>
        <v/>
      </c>
      <c r="AA241" s="15" t="str">
        <f t="shared" si="52"/>
        <v/>
      </c>
      <c r="AB241" s="17" t="str">
        <f t="shared" si="53"/>
        <v/>
      </c>
      <c r="AC241" s="17" t="str">
        <f t="shared" si="54"/>
        <v/>
      </c>
      <c r="AD241" s="4" t="str">
        <f>IF(A241="","",IF(COUNTIF($A$2:$A$501,A241)&gt;1,"异常：事件编号重复",IF(OR(C241="",D241="",E241="",F241="",G241=""),"异常：必填项缺失",IF(AND(F241="其他股权激励",O241=""),"异常：其他股权激励所得缺失",IF(AND(F241&lt;&gt;"其他股权激励",OR(I241="",J241="")),"异常：数量或市场价缺失",IF(AND(F241&lt;&gt;"其他股权激励",OR(I241&lt;=0,J241&lt;0)),"异常：数量或价格无效",IF(AND(F241="限制性股票",OR(M241&lt;=0,N241&lt;0,I241&gt;M241)),"异常：个人获授或出资数据无效",IF(AND(IFERROR(INDEX(计划参数!$J$2:$J$501,MATCH(C241,计划参数!$I$2:$I$501,0)),"")&lt;&gt;"",D241&lt;&gt;IFERROR(INDEX(计划参数!$J$2:$J$501,MATCH(C241,计划参数!$I$2:$I$501,0)),"")),"异常：姓名与员工主数据不一致",IF(S241&lt;0,"异常：原始所得为负，已按0计税",IF(OR(AND(F241="股票期权",K241=""),AND(F241="限制性股票",OR(K241="",L241=""))),"异常：计划参数缺失",IF(COUNTIF(计划参数!$I$2:$I$501,C241)=0,"提示：员工编号未在主数据",IF(Q241&lt;&gt;"已备案","提示：未确认备案","正常"))))))))))))</f>
        <v/>
      </c>
      <c r="AE241" s="9"/>
      <c r="AF241" s="4" t="str">
        <f>IF(C241="","",IF(COUNTIF($C$2:C241,C241)=1,MAX($AF$1:AF240)+1,""))</f>
        <v/>
      </c>
      <c r="AG241" s="4" t="str">
        <f>IF(C241="","",COUNTIF($C$2:C241,C241))</f>
        <v/>
      </c>
      <c r="AH241" s="4" t="str">
        <f t="shared" si="55"/>
        <v/>
      </c>
      <c r="AI241" s="4" t="str">
        <f t="shared" si="56"/>
        <v/>
      </c>
      <c r="AJ241" s="4" t="str">
        <f t="shared" si="57"/>
        <v/>
      </c>
      <c r="AK241" s="15" t="str">
        <f>IF(A241="","",SUMIFS(分期缴税台账!$K$2:$K$501,分期缴税台账!$T$2:$T$501,A241,分期缴税台账!$Q$2:$Q$501,"有效"))</f>
        <v/>
      </c>
      <c r="AL241" s="15" t="str">
        <f t="shared" si="58"/>
        <v/>
      </c>
      <c r="AM241" s="4" t="str">
        <f t="shared" si="59"/>
        <v/>
      </c>
    </row>
    <row r="242" spans="1:39" x14ac:dyDescent="0.3">
      <c r="A242" s="9"/>
      <c r="B242" s="4" t="str">
        <f t="shared" si="45"/>
        <v/>
      </c>
      <c r="C242" s="9"/>
      <c r="D242" s="9"/>
      <c r="E242" s="9"/>
      <c r="F242" s="9"/>
      <c r="G242" s="13"/>
      <c r="H242" s="4" t="str">
        <f t="shared" si="46"/>
        <v/>
      </c>
      <c r="I242" s="9"/>
      <c r="J242" s="14"/>
      <c r="K242" s="15" t="str">
        <f>IF(OR(E242="",F242="",G242=""),"",IF(E242&lt;&gt;计划参数!$C$2,"",IF(F242="股票期权",IFERROR(LOOKUP(G242,计划参数!$D$12:$D$15,计划参数!$C$12:$C$15),""),IF(F242="限制性股票",计划参数!$C$10,""))))</f>
        <v/>
      </c>
      <c r="L242" s="15" t="str">
        <f>IF(AND(E242=计划参数!$C$2,F242="限制性股票",G242&gt;=计划参数!$D$9),计划参数!$C$9,"")</f>
        <v/>
      </c>
      <c r="M242" s="9"/>
      <c r="N242" s="14"/>
      <c r="O242" s="14"/>
      <c r="P242" s="13"/>
      <c r="Q242" s="9"/>
      <c r="R242" s="13"/>
      <c r="S242" s="15" t="str">
        <f t="shared" si="47"/>
        <v/>
      </c>
      <c r="T242" s="15" t="str">
        <f t="shared" si="48"/>
        <v/>
      </c>
      <c r="U242" s="15" t="str">
        <f t="shared" si="49"/>
        <v/>
      </c>
      <c r="V242" s="15" t="str">
        <f t="shared" si="50"/>
        <v/>
      </c>
      <c r="W242" s="16" t="str">
        <f>IF(V242="","",VLOOKUP(V242,税率及规则!$A$2:$C$8,2,TRUE))</f>
        <v/>
      </c>
      <c r="X242" s="15" t="str">
        <f>IF(V242="","",VLOOKUP(V242,税率及规则!$A$2:$C$8,3,TRUE))</f>
        <v/>
      </c>
      <c r="Y242" s="15" t="str">
        <f t="shared" si="51"/>
        <v/>
      </c>
      <c r="Z242" s="15" t="str">
        <f>IF(U242="","",MAX(0,U242*VLOOKUP(U242,税率及规则!$A$2:$C$8,2,TRUE)-VLOOKUP(U242,税率及规则!$A$2:$C$8,3,TRUE)))</f>
        <v/>
      </c>
      <c r="AA242" s="15" t="str">
        <f t="shared" si="52"/>
        <v/>
      </c>
      <c r="AB242" s="17" t="str">
        <f t="shared" si="53"/>
        <v/>
      </c>
      <c r="AC242" s="17" t="str">
        <f t="shared" si="54"/>
        <v/>
      </c>
      <c r="AD242" s="4" t="str">
        <f>IF(A242="","",IF(COUNTIF($A$2:$A$501,A242)&gt;1,"异常：事件编号重复",IF(OR(C242="",D242="",E242="",F242="",G242=""),"异常：必填项缺失",IF(AND(F242="其他股权激励",O242=""),"异常：其他股权激励所得缺失",IF(AND(F242&lt;&gt;"其他股权激励",OR(I242="",J242="")),"异常：数量或市场价缺失",IF(AND(F242&lt;&gt;"其他股权激励",OR(I242&lt;=0,J242&lt;0)),"异常：数量或价格无效",IF(AND(F242="限制性股票",OR(M242&lt;=0,N242&lt;0,I242&gt;M242)),"异常：个人获授或出资数据无效",IF(AND(IFERROR(INDEX(计划参数!$J$2:$J$501,MATCH(C242,计划参数!$I$2:$I$501,0)),"")&lt;&gt;"",D242&lt;&gt;IFERROR(INDEX(计划参数!$J$2:$J$501,MATCH(C242,计划参数!$I$2:$I$501,0)),"")),"异常：姓名与员工主数据不一致",IF(S242&lt;0,"异常：原始所得为负，已按0计税",IF(OR(AND(F242="股票期权",K242=""),AND(F242="限制性股票",OR(K242="",L242=""))),"异常：计划参数缺失",IF(COUNTIF(计划参数!$I$2:$I$501,C242)=0,"提示：员工编号未在主数据",IF(Q242&lt;&gt;"已备案","提示：未确认备案","正常"))))))))))))</f>
        <v/>
      </c>
      <c r="AE242" s="9"/>
      <c r="AF242" s="4" t="str">
        <f>IF(C242="","",IF(COUNTIF($C$2:C242,C242)=1,MAX($AF$1:AF241)+1,""))</f>
        <v/>
      </c>
      <c r="AG242" s="4" t="str">
        <f>IF(C242="","",COUNTIF($C$2:C242,C242))</f>
        <v/>
      </c>
      <c r="AH242" s="4" t="str">
        <f t="shared" si="55"/>
        <v/>
      </c>
      <c r="AI242" s="4" t="str">
        <f t="shared" si="56"/>
        <v/>
      </c>
      <c r="AJ242" s="4" t="str">
        <f t="shared" si="57"/>
        <v/>
      </c>
      <c r="AK242" s="15" t="str">
        <f>IF(A242="","",SUMIFS(分期缴税台账!$K$2:$K$501,分期缴税台账!$T$2:$T$501,A242,分期缴税台账!$Q$2:$Q$501,"有效"))</f>
        <v/>
      </c>
      <c r="AL242" s="15" t="str">
        <f t="shared" si="58"/>
        <v/>
      </c>
      <c r="AM242" s="4" t="str">
        <f t="shared" si="59"/>
        <v/>
      </c>
    </row>
    <row r="243" spans="1:39" x14ac:dyDescent="0.3">
      <c r="A243" s="9"/>
      <c r="B243" s="4" t="str">
        <f t="shared" si="45"/>
        <v/>
      </c>
      <c r="C243" s="9"/>
      <c r="D243" s="9"/>
      <c r="E243" s="9"/>
      <c r="F243" s="9"/>
      <c r="G243" s="13"/>
      <c r="H243" s="4" t="str">
        <f t="shared" si="46"/>
        <v/>
      </c>
      <c r="I243" s="9"/>
      <c r="J243" s="14"/>
      <c r="K243" s="15" t="str">
        <f>IF(OR(E243="",F243="",G243=""),"",IF(E243&lt;&gt;计划参数!$C$2,"",IF(F243="股票期权",IFERROR(LOOKUP(G243,计划参数!$D$12:$D$15,计划参数!$C$12:$C$15),""),IF(F243="限制性股票",计划参数!$C$10,""))))</f>
        <v/>
      </c>
      <c r="L243" s="15" t="str">
        <f>IF(AND(E243=计划参数!$C$2,F243="限制性股票",G243&gt;=计划参数!$D$9),计划参数!$C$9,"")</f>
        <v/>
      </c>
      <c r="M243" s="9"/>
      <c r="N243" s="14"/>
      <c r="O243" s="14"/>
      <c r="P243" s="13"/>
      <c r="Q243" s="9"/>
      <c r="R243" s="13"/>
      <c r="S243" s="15" t="str">
        <f t="shared" si="47"/>
        <v/>
      </c>
      <c r="T243" s="15" t="str">
        <f t="shared" si="48"/>
        <v/>
      </c>
      <c r="U243" s="15" t="str">
        <f t="shared" si="49"/>
        <v/>
      </c>
      <c r="V243" s="15" t="str">
        <f t="shared" si="50"/>
        <v/>
      </c>
      <c r="W243" s="16" t="str">
        <f>IF(V243="","",VLOOKUP(V243,税率及规则!$A$2:$C$8,2,TRUE))</f>
        <v/>
      </c>
      <c r="X243" s="15" t="str">
        <f>IF(V243="","",VLOOKUP(V243,税率及规则!$A$2:$C$8,3,TRUE))</f>
        <v/>
      </c>
      <c r="Y243" s="15" t="str">
        <f t="shared" si="51"/>
        <v/>
      </c>
      <c r="Z243" s="15" t="str">
        <f>IF(U243="","",MAX(0,U243*VLOOKUP(U243,税率及规则!$A$2:$C$8,2,TRUE)-VLOOKUP(U243,税率及规则!$A$2:$C$8,3,TRUE)))</f>
        <v/>
      </c>
      <c r="AA243" s="15" t="str">
        <f t="shared" si="52"/>
        <v/>
      </c>
      <c r="AB243" s="17" t="str">
        <f t="shared" si="53"/>
        <v/>
      </c>
      <c r="AC243" s="17" t="str">
        <f t="shared" si="54"/>
        <v/>
      </c>
      <c r="AD243" s="4" t="str">
        <f>IF(A243="","",IF(COUNTIF($A$2:$A$501,A243)&gt;1,"异常：事件编号重复",IF(OR(C243="",D243="",E243="",F243="",G243=""),"异常：必填项缺失",IF(AND(F243="其他股权激励",O243=""),"异常：其他股权激励所得缺失",IF(AND(F243&lt;&gt;"其他股权激励",OR(I243="",J243="")),"异常：数量或市场价缺失",IF(AND(F243&lt;&gt;"其他股权激励",OR(I243&lt;=0,J243&lt;0)),"异常：数量或价格无效",IF(AND(F243="限制性股票",OR(M243&lt;=0,N243&lt;0,I243&gt;M243)),"异常：个人获授或出资数据无效",IF(AND(IFERROR(INDEX(计划参数!$J$2:$J$501,MATCH(C243,计划参数!$I$2:$I$501,0)),"")&lt;&gt;"",D243&lt;&gt;IFERROR(INDEX(计划参数!$J$2:$J$501,MATCH(C243,计划参数!$I$2:$I$501,0)),"")),"异常：姓名与员工主数据不一致",IF(S243&lt;0,"异常：原始所得为负，已按0计税",IF(OR(AND(F243="股票期权",K243=""),AND(F243="限制性股票",OR(K243="",L243=""))),"异常：计划参数缺失",IF(COUNTIF(计划参数!$I$2:$I$501,C243)=0,"提示：员工编号未在主数据",IF(Q243&lt;&gt;"已备案","提示：未确认备案","正常"))))))))))))</f>
        <v/>
      </c>
      <c r="AE243" s="9"/>
      <c r="AF243" s="4" t="str">
        <f>IF(C243="","",IF(COUNTIF($C$2:C243,C243)=1,MAX($AF$1:AF242)+1,""))</f>
        <v/>
      </c>
      <c r="AG243" s="4" t="str">
        <f>IF(C243="","",COUNTIF($C$2:C243,C243))</f>
        <v/>
      </c>
      <c r="AH243" s="4" t="str">
        <f t="shared" si="55"/>
        <v/>
      </c>
      <c r="AI243" s="4" t="str">
        <f t="shared" si="56"/>
        <v/>
      </c>
      <c r="AJ243" s="4" t="str">
        <f t="shared" si="57"/>
        <v/>
      </c>
      <c r="AK243" s="15" t="str">
        <f>IF(A243="","",SUMIFS(分期缴税台账!$K$2:$K$501,分期缴税台账!$T$2:$T$501,A243,分期缴税台账!$Q$2:$Q$501,"有效"))</f>
        <v/>
      </c>
      <c r="AL243" s="15" t="str">
        <f t="shared" si="58"/>
        <v/>
      </c>
      <c r="AM243" s="4" t="str">
        <f t="shared" si="59"/>
        <v/>
      </c>
    </row>
    <row r="244" spans="1:39" x14ac:dyDescent="0.3">
      <c r="A244" s="9"/>
      <c r="B244" s="4" t="str">
        <f t="shared" si="45"/>
        <v/>
      </c>
      <c r="C244" s="9"/>
      <c r="D244" s="9"/>
      <c r="E244" s="9"/>
      <c r="F244" s="9"/>
      <c r="G244" s="13"/>
      <c r="H244" s="4" t="str">
        <f t="shared" si="46"/>
        <v/>
      </c>
      <c r="I244" s="9"/>
      <c r="J244" s="14"/>
      <c r="K244" s="15" t="str">
        <f>IF(OR(E244="",F244="",G244=""),"",IF(E244&lt;&gt;计划参数!$C$2,"",IF(F244="股票期权",IFERROR(LOOKUP(G244,计划参数!$D$12:$D$15,计划参数!$C$12:$C$15),""),IF(F244="限制性股票",计划参数!$C$10,""))))</f>
        <v/>
      </c>
      <c r="L244" s="15" t="str">
        <f>IF(AND(E244=计划参数!$C$2,F244="限制性股票",G244&gt;=计划参数!$D$9),计划参数!$C$9,"")</f>
        <v/>
      </c>
      <c r="M244" s="9"/>
      <c r="N244" s="14"/>
      <c r="O244" s="14"/>
      <c r="P244" s="13"/>
      <c r="Q244" s="9"/>
      <c r="R244" s="13"/>
      <c r="S244" s="15" t="str">
        <f t="shared" si="47"/>
        <v/>
      </c>
      <c r="T244" s="15" t="str">
        <f t="shared" si="48"/>
        <v/>
      </c>
      <c r="U244" s="15" t="str">
        <f t="shared" si="49"/>
        <v/>
      </c>
      <c r="V244" s="15" t="str">
        <f t="shared" si="50"/>
        <v/>
      </c>
      <c r="W244" s="16" t="str">
        <f>IF(V244="","",VLOOKUP(V244,税率及规则!$A$2:$C$8,2,TRUE))</f>
        <v/>
      </c>
      <c r="X244" s="15" t="str">
        <f>IF(V244="","",VLOOKUP(V244,税率及规则!$A$2:$C$8,3,TRUE))</f>
        <v/>
      </c>
      <c r="Y244" s="15" t="str">
        <f t="shared" si="51"/>
        <v/>
      </c>
      <c r="Z244" s="15" t="str">
        <f>IF(U244="","",MAX(0,U244*VLOOKUP(U244,税率及规则!$A$2:$C$8,2,TRUE)-VLOOKUP(U244,税率及规则!$A$2:$C$8,3,TRUE)))</f>
        <v/>
      </c>
      <c r="AA244" s="15" t="str">
        <f t="shared" si="52"/>
        <v/>
      </c>
      <c r="AB244" s="17" t="str">
        <f t="shared" si="53"/>
        <v/>
      </c>
      <c r="AC244" s="17" t="str">
        <f t="shared" si="54"/>
        <v/>
      </c>
      <c r="AD244" s="4" t="str">
        <f>IF(A244="","",IF(COUNTIF($A$2:$A$501,A244)&gt;1,"异常：事件编号重复",IF(OR(C244="",D244="",E244="",F244="",G244=""),"异常：必填项缺失",IF(AND(F244="其他股权激励",O244=""),"异常：其他股权激励所得缺失",IF(AND(F244&lt;&gt;"其他股权激励",OR(I244="",J244="")),"异常：数量或市场价缺失",IF(AND(F244&lt;&gt;"其他股权激励",OR(I244&lt;=0,J244&lt;0)),"异常：数量或价格无效",IF(AND(F244="限制性股票",OR(M244&lt;=0,N244&lt;0,I244&gt;M244)),"异常：个人获授或出资数据无效",IF(AND(IFERROR(INDEX(计划参数!$J$2:$J$501,MATCH(C244,计划参数!$I$2:$I$501,0)),"")&lt;&gt;"",D244&lt;&gt;IFERROR(INDEX(计划参数!$J$2:$J$501,MATCH(C244,计划参数!$I$2:$I$501,0)),"")),"异常：姓名与员工主数据不一致",IF(S244&lt;0,"异常：原始所得为负，已按0计税",IF(OR(AND(F244="股票期权",K244=""),AND(F244="限制性股票",OR(K244="",L244=""))),"异常：计划参数缺失",IF(COUNTIF(计划参数!$I$2:$I$501,C244)=0,"提示：员工编号未在主数据",IF(Q244&lt;&gt;"已备案","提示：未确认备案","正常"))))))))))))</f>
        <v/>
      </c>
      <c r="AE244" s="9"/>
      <c r="AF244" s="4" t="str">
        <f>IF(C244="","",IF(COUNTIF($C$2:C244,C244)=1,MAX($AF$1:AF243)+1,""))</f>
        <v/>
      </c>
      <c r="AG244" s="4" t="str">
        <f>IF(C244="","",COUNTIF($C$2:C244,C244))</f>
        <v/>
      </c>
      <c r="AH244" s="4" t="str">
        <f t="shared" si="55"/>
        <v/>
      </c>
      <c r="AI244" s="4" t="str">
        <f t="shared" si="56"/>
        <v/>
      </c>
      <c r="AJ244" s="4" t="str">
        <f t="shared" si="57"/>
        <v/>
      </c>
      <c r="AK244" s="15" t="str">
        <f>IF(A244="","",SUMIFS(分期缴税台账!$K$2:$K$501,分期缴税台账!$T$2:$T$501,A244,分期缴税台账!$Q$2:$Q$501,"有效"))</f>
        <v/>
      </c>
      <c r="AL244" s="15" t="str">
        <f t="shared" si="58"/>
        <v/>
      </c>
      <c r="AM244" s="4" t="str">
        <f t="shared" si="59"/>
        <v/>
      </c>
    </row>
    <row r="245" spans="1:39" x14ac:dyDescent="0.3">
      <c r="A245" s="9"/>
      <c r="B245" s="4" t="str">
        <f t="shared" si="45"/>
        <v/>
      </c>
      <c r="C245" s="9"/>
      <c r="D245" s="9"/>
      <c r="E245" s="9"/>
      <c r="F245" s="9"/>
      <c r="G245" s="13"/>
      <c r="H245" s="4" t="str">
        <f t="shared" si="46"/>
        <v/>
      </c>
      <c r="I245" s="9"/>
      <c r="J245" s="14"/>
      <c r="K245" s="15" t="str">
        <f>IF(OR(E245="",F245="",G245=""),"",IF(E245&lt;&gt;计划参数!$C$2,"",IF(F245="股票期权",IFERROR(LOOKUP(G245,计划参数!$D$12:$D$15,计划参数!$C$12:$C$15),""),IF(F245="限制性股票",计划参数!$C$10,""))))</f>
        <v/>
      </c>
      <c r="L245" s="15" t="str">
        <f>IF(AND(E245=计划参数!$C$2,F245="限制性股票",G245&gt;=计划参数!$D$9),计划参数!$C$9,"")</f>
        <v/>
      </c>
      <c r="M245" s="9"/>
      <c r="N245" s="14"/>
      <c r="O245" s="14"/>
      <c r="P245" s="13"/>
      <c r="Q245" s="9"/>
      <c r="R245" s="13"/>
      <c r="S245" s="15" t="str">
        <f t="shared" si="47"/>
        <v/>
      </c>
      <c r="T245" s="15" t="str">
        <f t="shared" si="48"/>
        <v/>
      </c>
      <c r="U245" s="15" t="str">
        <f t="shared" si="49"/>
        <v/>
      </c>
      <c r="V245" s="15" t="str">
        <f t="shared" si="50"/>
        <v/>
      </c>
      <c r="W245" s="16" t="str">
        <f>IF(V245="","",VLOOKUP(V245,税率及规则!$A$2:$C$8,2,TRUE))</f>
        <v/>
      </c>
      <c r="X245" s="15" t="str">
        <f>IF(V245="","",VLOOKUP(V245,税率及规则!$A$2:$C$8,3,TRUE))</f>
        <v/>
      </c>
      <c r="Y245" s="15" t="str">
        <f t="shared" si="51"/>
        <v/>
      </c>
      <c r="Z245" s="15" t="str">
        <f>IF(U245="","",MAX(0,U245*VLOOKUP(U245,税率及规则!$A$2:$C$8,2,TRUE)-VLOOKUP(U245,税率及规则!$A$2:$C$8,3,TRUE)))</f>
        <v/>
      </c>
      <c r="AA245" s="15" t="str">
        <f t="shared" si="52"/>
        <v/>
      </c>
      <c r="AB245" s="17" t="str">
        <f t="shared" si="53"/>
        <v/>
      </c>
      <c r="AC245" s="17" t="str">
        <f t="shared" si="54"/>
        <v/>
      </c>
      <c r="AD245" s="4" t="str">
        <f>IF(A245="","",IF(COUNTIF($A$2:$A$501,A245)&gt;1,"异常：事件编号重复",IF(OR(C245="",D245="",E245="",F245="",G245=""),"异常：必填项缺失",IF(AND(F245="其他股权激励",O245=""),"异常：其他股权激励所得缺失",IF(AND(F245&lt;&gt;"其他股权激励",OR(I245="",J245="")),"异常：数量或市场价缺失",IF(AND(F245&lt;&gt;"其他股权激励",OR(I245&lt;=0,J245&lt;0)),"异常：数量或价格无效",IF(AND(F245="限制性股票",OR(M245&lt;=0,N245&lt;0,I245&gt;M245)),"异常：个人获授或出资数据无效",IF(AND(IFERROR(INDEX(计划参数!$J$2:$J$501,MATCH(C245,计划参数!$I$2:$I$501,0)),"")&lt;&gt;"",D245&lt;&gt;IFERROR(INDEX(计划参数!$J$2:$J$501,MATCH(C245,计划参数!$I$2:$I$501,0)),"")),"异常：姓名与员工主数据不一致",IF(S245&lt;0,"异常：原始所得为负，已按0计税",IF(OR(AND(F245="股票期权",K245=""),AND(F245="限制性股票",OR(K245="",L245=""))),"异常：计划参数缺失",IF(COUNTIF(计划参数!$I$2:$I$501,C245)=0,"提示：员工编号未在主数据",IF(Q245&lt;&gt;"已备案","提示：未确认备案","正常"))))))))))))</f>
        <v/>
      </c>
      <c r="AE245" s="9"/>
      <c r="AF245" s="4" t="str">
        <f>IF(C245="","",IF(COUNTIF($C$2:C245,C245)=1,MAX($AF$1:AF244)+1,""))</f>
        <v/>
      </c>
      <c r="AG245" s="4" t="str">
        <f>IF(C245="","",COUNTIF($C$2:C245,C245))</f>
        <v/>
      </c>
      <c r="AH245" s="4" t="str">
        <f t="shared" si="55"/>
        <v/>
      </c>
      <c r="AI245" s="4" t="str">
        <f t="shared" si="56"/>
        <v/>
      </c>
      <c r="AJ245" s="4" t="str">
        <f t="shared" si="57"/>
        <v/>
      </c>
      <c r="AK245" s="15" t="str">
        <f>IF(A245="","",SUMIFS(分期缴税台账!$K$2:$K$501,分期缴税台账!$T$2:$T$501,A245,分期缴税台账!$Q$2:$Q$501,"有效"))</f>
        <v/>
      </c>
      <c r="AL245" s="15" t="str">
        <f t="shared" si="58"/>
        <v/>
      </c>
      <c r="AM245" s="4" t="str">
        <f t="shared" si="59"/>
        <v/>
      </c>
    </row>
    <row r="246" spans="1:39" x14ac:dyDescent="0.3">
      <c r="A246" s="9"/>
      <c r="B246" s="4" t="str">
        <f t="shared" si="45"/>
        <v/>
      </c>
      <c r="C246" s="9"/>
      <c r="D246" s="9"/>
      <c r="E246" s="9"/>
      <c r="F246" s="9"/>
      <c r="G246" s="13"/>
      <c r="H246" s="4" t="str">
        <f t="shared" si="46"/>
        <v/>
      </c>
      <c r="I246" s="9"/>
      <c r="J246" s="14"/>
      <c r="K246" s="15" t="str">
        <f>IF(OR(E246="",F246="",G246=""),"",IF(E246&lt;&gt;计划参数!$C$2,"",IF(F246="股票期权",IFERROR(LOOKUP(G246,计划参数!$D$12:$D$15,计划参数!$C$12:$C$15),""),IF(F246="限制性股票",计划参数!$C$10,""))))</f>
        <v/>
      </c>
      <c r="L246" s="15" t="str">
        <f>IF(AND(E246=计划参数!$C$2,F246="限制性股票",G246&gt;=计划参数!$D$9),计划参数!$C$9,"")</f>
        <v/>
      </c>
      <c r="M246" s="9"/>
      <c r="N246" s="14"/>
      <c r="O246" s="14"/>
      <c r="P246" s="13"/>
      <c r="Q246" s="9"/>
      <c r="R246" s="13"/>
      <c r="S246" s="15" t="str">
        <f t="shared" si="47"/>
        <v/>
      </c>
      <c r="T246" s="15" t="str">
        <f t="shared" si="48"/>
        <v/>
      </c>
      <c r="U246" s="15" t="str">
        <f t="shared" si="49"/>
        <v/>
      </c>
      <c r="V246" s="15" t="str">
        <f t="shared" si="50"/>
        <v/>
      </c>
      <c r="W246" s="16" t="str">
        <f>IF(V246="","",VLOOKUP(V246,税率及规则!$A$2:$C$8,2,TRUE))</f>
        <v/>
      </c>
      <c r="X246" s="15" t="str">
        <f>IF(V246="","",VLOOKUP(V246,税率及规则!$A$2:$C$8,3,TRUE))</f>
        <v/>
      </c>
      <c r="Y246" s="15" t="str">
        <f t="shared" si="51"/>
        <v/>
      </c>
      <c r="Z246" s="15" t="str">
        <f>IF(U246="","",MAX(0,U246*VLOOKUP(U246,税率及规则!$A$2:$C$8,2,TRUE)-VLOOKUP(U246,税率及规则!$A$2:$C$8,3,TRUE)))</f>
        <v/>
      </c>
      <c r="AA246" s="15" t="str">
        <f t="shared" si="52"/>
        <v/>
      </c>
      <c r="AB246" s="17" t="str">
        <f t="shared" si="53"/>
        <v/>
      </c>
      <c r="AC246" s="17" t="str">
        <f t="shared" si="54"/>
        <v/>
      </c>
      <c r="AD246" s="4" t="str">
        <f>IF(A246="","",IF(COUNTIF($A$2:$A$501,A246)&gt;1,"异常：事件编号重复",IF(OR(C246="",D246="",E246="",F246="",G246=""),"异常：必填项缺失",IF(AND(F246="其他股权激励",O246=""),"异常：其他股权激励所得缺失",IF(AND(F246&lt;&gt;"其他股权激励",OR(I246="",J246="")),"异常：数量或市场价缺失",IF(AND(F246&lt;&gt;"其他股权激励",OR(I246&lt;=0,J246&lt;0)),"异常：数量或价格无效",IF(AND(F246="限制性股票",OR(M246&lt;=0,N246&lt;0,I246&gt;M246)),"异常：个人获授或出资数据无效",IF(AND(IFERROR(INDEX(计划参数!$J$2:$J$501,MATCH(C246,计划参数!$I$2:$I$501,0)),"")&lt;&gt;"",D246&lt;&gt;IFERROR(INDEX(计划参数!$J$2:$J$501,MATCH(C246,计划参数!$I$2:$I$501,0)),"")),"异常：姓名与员工主数据不一致",IF(S246&lt;0,"异常：原始所得为负，已按0计税",IF(OR(AND(F246="股票期权",K246=""),AND(F246="限制性股票",OR(K246="",L246=""))),"异常：计划参数缺失",IF(COUNTIF(计划参数!$I$2:$I$501,C246)=0,"提示：员工编号未在主数据",IF(Q246&lt;&gt;"已备案","提示：未确认备案","正常"))))))))))))</f>
        <v/>
      </c>
      <c r="AE246" s="9"/>
      <c r="AF246" s="4" t="str">
        <f>IF(C246="","",IF(COUNTIF($C$2:C246,C246)=1,MAX($AF$1:AF245)+1,""))</f>
        <v/>
      </c>
      <c r="AG246" s="4" t="str">
        <f>IF(C246="","",COUNTIF($C$2:C246,C246))</f>
        <v/>
      </c>
      <c r="AH246" s="4" t="str">
        <f t="shared" si="55"/>
        <v/>
      </c>
      <c r="AI246" s="4" t="str">
        <f t="shared" si="56"/>
        <v/>
      </c>
      <c r="AJ246" s="4" t="str">
        <f t="shared" si="57"/>
        <v/>
      </c>
      <c r="AK246" s="15" t="str">
        <f>IF(A246="","",SUMIFS(分期缴税台账!$K$2:$K$501,分期缴税台账!$T$2:$T$501,A246,分期缴税台账!$Q$2:$Q$501,"有效"))</f>
        <v/>
      </c>
      <c r="AL246" s="15" t="str">
        <f t="shared" si="58"/>
        <v/>
      </c>
      <c r="AM246" s="4" t="str">
        <f t="shared" si="59"/>
        <v/>
      </c>
    </row>
    <row r="247" spans="1:39" x14ac:dyDescent="0.3">
      <c r="A247" s="9"/>
      <c r="B247" s="4" t="str">
        <f t="shared" si="45"/>
        <v/>
      </c>
      <c r="C247" s="9"/>
      <c r="D247" s="9"/>
      <c r="E247" s="9"/>
      <c r="F247" s="9"/>
      <c r="G247" s="13"/>
      <c r="H247" s="4" t="str">
        <f t="shared" si="46"/>
        <v/>
      </c>
      <c r="I247" s="9"/>
      <c r="J247" s="14"/>
      <c r="K247" s="15" t="str">
        <f>IF(OR(E247="",F247="",G247=""),"",IF(E247&lt;&gt;计划参数!$C$2,"",IF(F247="股票期权",IFERROR(LOOKUP(G247,计划参数!$D$12:$D$15,计划参数!$C$12:$C$15),""),IF(F247="限制性股票",计划参数!$C$10,""))))</f>
        <v/>
      </c>
      <c r="L247" s="15" t="str">
        <f>IF(AND(E247=计划参数!$C$2,F247="限制性股票",G247&gt;=计划参数!$D$9),计划参数!$C$9,"")</f>
        <v/>
      </c>
      <c r="M247" s="9"/>
      <c r="N247" s="14"/>
      <c r="O247" s="14"/>
      <c r="P247" s="13"/>
      <c r="Q247" s="9"/>
      <c r="R247" s="13"/>
      <c r="S247" s="15" t="str">
        <f t="shared" si="47"/>
        <v/>
      </c>
      <c r="T247" s="15" t="str">
        <f t="shared" si="48"/>
        <v/>
      </c>
      <c r="U247" s="15" t="str">
        <f t="shared" si="49"/>
        <v/>
      </c>
      <c r="V247" s="15" t="str">
        <f t="shared" si="50"/>
        <v/>
      </c>
      <c r="W247" s="16" t="str">
        <f>IF(V247="","",VLOOKUP(V247,税率及规则!$A$2:$C$8,2,TRUE))</f>
        <v/>
      </c>
      <c r="X247" s="15" t="str">
        <f>IF(V247="","",VLOOKUP(V247,税率及规则!$A$2:$C$8,3,TRUE))</f>
        <v/>
      </c>
      <c r="Y247" s="15" t="str">
        <f t="shared" si="51"/>
        <v/>
      </c>
      <c r="Z247" s="15" t="str">
        <f>IF(U247="","",MAX(0,U247*VLOOKUP(U247,税率及规则!$A$2:$C$8,2,TRUE)-VLOOKUP(U247,税率及规则!$A$2:$C$8,3,TRUE)))</f>
        <v/>
      </c>
      <c r="AA247" s="15" t="str">
        <f t="shared" si="52"/>
        <v/>
      </c>
      <c r="AB247" s="17" t="str">
        <f t="shared" si="53"/>
        <v/>
      </c>
      <c r="AC247" s="17" t="str">
        <f t="shared" si="54"/>
        <v/>
      </c>
      <c r="AD247" s="4" t="str">
        <f>IF(A247="","",IF(COUNTIF($A$2:$A$501,A247)&gt;1,"异常：事件编号重复",IF(OR(C247="",D247="",E247="",F247="",G247=""),"异常：必填项缺失",IF(AND(F247="其他股权激励",O247=""),"异常：其他股权激励所得缺失",IF(AND(F247&lt;&gt;"其他股权激励",OR(I247="",J247="")),"异常：数量或市场价缺失",IF(AND(F247&lt;&gt;"其他股权激励",OR(I247&lt;=0,J247&lt;0)),"异常：数量或价格无效",IF(AND(F247="限制性股票",OR(M247&lt;=0,N247&lt;0,I247&gt;M247)),"异常：个人获授或出资数据无效",IF(AND(IFERROR(INDEX(计划参数!$J$2:$J$501,MATCH(C247,计划参数!$I$2:$I$501,0)),"")&lt;&gt;"",D247&lt;&gt;IFERROR(INDEX(计划参数!$J$2:$J$501,MATCH(C247,计划参数!$I$2:$I$501,0)),"")),"异常：姓名与员工主数据不一致",IF(S247&lt;0,"异常：原始所得为负，已按0计税",IF(OR(AND(F247="股票期权",K247=""),AND(F247="限制性股票",OR(K247="",L247=""))),"异常：计划参数缺失",IF(COUNTIF(计划参数!$I$2:$I$501,C247)=0,"提示：员工编号未在主数据",IF(Q247&lt;&gt;"已备案","提示：未确认备案","正常"))))))))))))</f>
        <v/>
      </c>
      <c r="AE247" s="9"/>
      <c r="AF247" s="4" t="str">
        <f>IF(C247="","",IF(COUNTIF($C$2:C247,C247)=1,MAX($AF$1:AF246)+1,""))</f>
        <v/>
      </c>
      <c r="AG247" s="4" t="str">
        <f>IF(C247="","",COUNTIF($C$2:C247,C247))</f>
        <v/>
      </c>
      <c r="AH247" s="4" t="str">
        <f t="shared" si="55"/>
        <v/>
      </c>
      <c r="AI247" s="4" t="str">
        <f t="shared" si="56"/>
        <v/>
      </c>
      <c r="AJ247" s="4" t="str">
        <f t="shared" si="57"/>
        <v/>
      </c>
      <c r="AK247" s="15" t="str">
        <f>IF(A247="","",SUMIFS(分期缴税台账!$K$2:$K$501,分期缴税台账!$T$2:$T$501,A247,分期缴税台账!$Q$2:$Q$501,"有效"))</f>
        <v/>
      </c>
      <c r="AL247" s="15" t="str">
        <f t="shared" si="58"/>
        <v/>
      </c>
      <c r="AM247" s="4" t="str">
        <f t="shared" si="59"/>
        <v/>
      </c>
    </row>
    <row r="248" spans="1:39" x14ac:dyDescent="0.3">
      <c r="A248" s="9"/>
      <c r="B248" s="4" t="str">
        <f t="shared" si="45"/>
        <v/>
      </c>
      <c r="C248" s="9"/>
      <c r="D248" s="9"/>
      <c r="E248" s="9"/>
      <c r="F248" s="9"/>
      <c r="G248" s="13"/>
      <c r="H248" s="4" t="str">
        <f t="shared" si="46"/>
        <v/>
      </c>
      <c r="I248" s="9"/>
      <c r="J248" s="14"/>
      <c r="K248" s="15" t="str">
        <f>IF(OR(E248="",F248="",G248=""),"",IF(E248&lt;&gt;计划参数!$C$2,"",IF(F248="股票期权",IFERROR(LOOKUP(G248,计划参数!$D$12:$D$15,计划参数!$C$12:$C$15),""),IF(F248="限制性股票",计划参数!$C$10,""))))</f>
        <v/>
      </c>
      <c r="L248" s="15" t="str">
        <f>IF(AND(E248=计划参数!$C$2,F248="限制性股票",G248&gt;=计划参数!$D$9),计划参数!$C$9,"")</f>
        <v/>
      </c>
      <c r="M248" s="9"/>
      <c r="N248" s="14"/>
      <c r="O248" s="14"/>
      <c r="P248" s="13"/>
      <c r="Q248" s="9"/>
      <c r="R248" s="13"/>
      <c r="S248" s="15" t="str">
        <f t="shared" si="47"/>
        <v/>
      </c>
      <c r="T248" s="15" t="str">
        <f t="shared" si="48"/>
        <v/>
      </c>
      <c r="U248" s="15" t="str">
        <f t="shared" si="49"/>
        <v/>
      </c>
      <c r="V248" s="15" t="str">
        <f t="shared" si="50"/>
        <v/>
      </c>
      <c r="W248" s="16" t="str">
        <f>IF(V248="","",VLOOKUP(V248,税率及规则!$A$2:$C$8,2,TRUE))</f>
        <v/>
      </c>
      <c r="X248" s="15" t="str">
        <f>IF(V248="","",VLOOKUP(V248,税率及规则!$A$2:$C$8,3,TRUE))</f>
        <v/>
      </c>
      <c r="Y248" s="15" t="str">
        <f t="shared" si="51"/>
        <v/>
      </c>
      <c r="Z248" s="15" t="str">
        <f>IF(U248="","",MAX(0,U248*VLOOKUP(U248,税率及规则!$A$2:$C$8,2,TRUE)-VLOOKUP(U248,税率及规则!$A$2:$C$8,3,TRUE)))</f>
        <v/>
      </c>
      <c r="AA248" s="15" t="str">
        <f t="shared" si="52"/>
        <v/>
      </c>
      <c r="AB248" s="17" t="str">
        <f t="shared" si="53"/>
        <v/>
      </c>
      <c r="AC248" s="17" t="str">
        <f t="shared" si="54"/>
        <v/>
      </c>
      <c r="AD248" s="4" t="str">
        <f>IF(A248="","",IF(COUNTIF($A$2:$A$501,A248)&gt;1,"异常：事件编号重复",IF(OR(C248="",D248="",E248="",F248="",G248=""),"异常：必填项缺失",IF(AND(F248="其他股权激励",O248=""),"异常：其他股权激励所得缺失",IF(AND(F248&lt;&gt;"其他股权激励",OR(I248="",J248="")),"异常：数量或市场价缺失",IF(AND(F248&lt;&gt;"其他股权激励",OR(I248&lt;=0,J248&lt;0)),"异常：数量或价格无效",IF(AND(F248="限制性股票",OR(M248&lt;=0,N248&lt;0,I248&gt;M248)),"异常：个人获授或出资数据无效",IF(AND(IFERROR(INDEX(计划参数!$J$2:$J$501,MATCH(C248,计划参数!$I$2:$I$501,0)),"")&lt;&gt;"",D248&lt;&gt;IFERROR(INDEX(计划参数!$J$2:$J$501,MATCH(C248,计划参数!$I$2:$I$501,0)),"")),"异常：姓名与员工主数据不一致",IF(S248&lt;0,"异常：原始所得为负，已按0计税",IF(OR(AND(F248="股票期权",K248=""),AND(F248="限制性股票",OR(K248="",L248=""))),"异常：计划参数缺失",IF(COUNTIF(计划参数!$I$2:$I$501,C248)=0,"提示：员工编号未在主数据",IF(Q248&lt;&gt;"已备案","提示：未确认备案","正常"))))))))))))</f>
        <v/>
      </c>
      <c r="AE248" s="9"/>
      <c r="AF248" s="4" t="str">
        <f>IF(C248="","",IF(COUNTIF($C$2:C248,C248)=1,MAX($AF$1:AF247)+1,""))</f>
        <v/>
      </c>
      <c r="AG248" s="4" t="str">
        <f>IF(C248="","",COUNTIF($C$2:C248,C248))</f>
        <v/>
      </c>
      <c r="AH248" s="4" t="str">
        <f t="shared" si="55"/>
        <v/>
      </c>
      <c r="AI248" s="4" t="str">
        <f t="shared" si="56"/>
        <v/>
      </c>
      <c r="AJ248" s="4" t="str">
        <f t="shared" si="57"/>
        <v/>
      </c>
      <c r="AK248" s="15" t="str">
        <f>IF(A248="","",SUMIFS(分期缴税台账!$K$2:$K$501,分期缴税台账!$T$2:$T$501,A248,分期缴税台账!$Q$2:$Q$501,"有效"))</f>
        <v/>
      </c>
      <c r="AL248" s="15" t="str">
        <f t="shared" si="58"/>
        <v/>
      </c>
      <c r="AM248" s="4" t="str">
        <f t="shared" si="59"/>
        <v/>
      </c>
    </row>
    <row r="249" spans="1:39" x14ac:dyDescent="0.3">
      <c r="A249" s="9"/>
      <c r="B249" s="4" t="str">
        <f t="shared" si="45"/>
        <v/>
      </c>
      <c r="C249" s="9"/>
      <c r="D249" s="9"/>
      <c r="E249" s="9"/>
      <c r="F249" s="9"/>
      <c r="G249" s="13"/>
      <c r="H249" s="4" t="str">
        <f t="shared" si="46"/>
        <v/>
      </c>
      <c r="I249" s="9"/>
      <c r="J249" s="14"/>
      <c r="K249" s="15" t="str">
        <f>IF(OR(E249="",F249="",G249=""),"",IF(E249&lt;&gt;计划参数!$C$2,"",IF(F249="股票期权",IFERROR(LOOKUP(G249,计划参数!$D$12:$D$15,计划参数!$C$12:$C$15),""),IF(F249="限制性股票",计划参数!$C$10,""))))</f>
        <v/>
      </c>
      <c r="L249" s="15" t="str">
        <f>IF(AND(E249=计划参数!$C$2,F249="限制性股票",G249&gt;=计划参数!$D$9),计划参数!$C$9,"")</f>
        <v/>
      </c>
      <c r="M249" s="9"/>
      <c r="N249" s="14"/>
      <c r="O249" s="14"/>
      <c r="P249" s="13"/>
      <c r="Q249" s="9"/>
      <c r="R249" s="13"/>
      <c r="S249" s="15" t="str">
        <f t="shared" si="47"/>
        <v/>
      </c>
      <c r="T249" s="15" t="str">
        <f t="shared" si="48"/>
        <v/>
      </c>
      <c r="U249" s="15" t="str">
        <f t="shared" si="49"/>
        <v/>
      </c>
      <c r="V249" s="15" t="str">
        <f t="shared" si="50"/>
        <v/>
      </c>
      <c r="W249" s="16" t="str">
        <f>IF(V249="","",VLOOKUP(V249,税率及规则!$A$2:$C$8,2,TRUE))</f>
        <v/>
      </c>
      <c r="X249" s="15" t="str">
        <f>IF(V249="","",VLOOKUP(V249,税率及规则!$A$2:$C$8,3,TRUE))</f>
        <v/>
      </c>
      <c r="Y249" s="15" t="str">
        <f t="shared" si="51"/>
        <v/>
      </c>
      <c r="Z249" s="15" t="str">
        <f>IF(U249="","",MAX(0,U249*VLOOKUP(U249,税率及规则!$A$2:$C$8,2,TRUE)-VLOOKUP(U249,税率及规则!$A$2:$C$8,3,TRUE)))</f>
        <v/>
      </c>
      <c r="AA249" s="15" t="str">
        <f t="shared" si="52"/>
        <v/>
      </c>
      <c r="AB249" s="17" t="str">
        <f t="shared" si="53"/>
        <v/>
      </c>
      <c r="AC249" s="17" t="str">
        <f t="shared" si="54"/>
        <v/>
      </c>
      <c r="AD249" s="4" t="str">
        <f>IF(A249="","",IF(COUNTIF($A$2:$A$501,A249)&gt;1,"异常：事件编号重复",IF(OR(C249="",D249="",E249="",F249="",G249=""),"异常：必填项缺失",IF(AND(F249="其他股权激励",O249=""),"异常：其他股权激励所得缺失",IF(AND(F249&lt;&gt;"其他股权激励",OR(I249="",J249="")),"异常：数量或市场价缺失",IF(AND(F249&lt;&gt;"其他股权激励",OR(I249&lt;=0,J249&lt;0)),"异常：数量或价格无效",IF(AND(F249="限制性股票",OR(M249&lt;=0,N249&lt;0,I249&gt;M249)),"异常：个人获授或出资数据无效",IF(AND(IFERROR(INDEX(计划参数!$J$2:$J$501,MATCH(C249,计划参数!$I$2:$I$501,0)),"")&lt;&gt;"",D249&lt;&gt;IFERROR(INDEX(计划参数!$J$2:$J$501,MATCH(C249,计划参数!$I$2:$I$501,0)),"")),"异常：姓名与员工主数据不一致",IF(S249&lt;0,"异常：原始所得为负，已按0计税",IF(OR(AND(F249="股票期权",K249=""),AND(F249="限制性股票",OR(K249="",L249=""))),"异常：计划参数缺失",IF(COUNTIF(计划参数!$I$2:$I$501,C249)=0,"提示：员工编号未在主数据",IF(Q249&lt;&gt;"已备案","提示：未确认备案","正常"))))))))))))</f>
        <v/>
      </c>
      <c r="AE249" s="9"/>
      <c r="AF249" s="4" t="str">
        <f>IF(C249="","",IF(COUNTIF($C$2:C249,C249)=1,MAX($AF$1:AF248)+1,""))</f>
        <v/>
      </c>
      <c r="AG249" s="4" t="str">
        <f>IF(C249="","",COUNTIF($C$2:C249,C249))</f>
        <v/>
      </c>
      <c r="AH249" s="4" t="str">
        <f t="shared" si="55"/>
        <v/>
      </c>
      <c r="AI249" s="4" t="str">
        <f t="shared" si="56"/>
        <v/>
      </c>
      <c r="AJ249" s="4" t="str">
        <f t="shared" si="57"/>
        <v/>
      </c>
      <c r="AK249" s="15" t="str">
        <f>IF(A249="","",SUMIFS(分期缴税台账!$K$2:$K$501,分期缴税台账!$T$2:$T$501,A249,分期缴税台账!$Q$2:$Q$501,"有效"))</f>
        <v/>
      </c>
      <c r="AL249" s="15" t="str">
        <f t="shared" si="58"/>
        <v/>
      </c>
      <c r="AM249" s="4" t="str">
        <f t="shared" si="59"/>
        <v/>
      </c>
    </row>
    <row r="250" spans="1:39" x14ac:dyDescent="0.3">
      <c r="A250" s="9"/>
      <c r="B250" s="4" t="str">
        <f t="shared" si="45"/>
        <v/>
      </c>
      <c r="C250" s="9"/>
      <c r="D250" s="9"/>
      <c r="E250" s="9"/>
      <c r="F250" s="9"/>
      <c r="G250" s="13"/>
      <c r="H250" s="4" t="str">
        <f t="shared" si="46"/>
        <v/>
      </c>
      <c r="I250" s="9"/>
      <c r="J250" s="14"/>
      <c r="K250" s="15" t="str">
        <f>IF(OR(E250="",F250="",G250=""),"",IF(E250&lt;&gt;计划参数!$C$2,"",IF(F250="股票期权",IFERROR(LOOKUP(G250,计划参数!$D$12:$D$15,计划参数!$C$12:$C$15),""),IF(F250="限制性股票",计划参数!$C$10,""))))</f>
        <v/>
      </c>
      <c r="L250" s="15" t="str">
        <f>IF(AND(E250=计划参数!$C$2,F250="限制性股票",G250&gt;=计划参数!$D$9),计划参数!$C$9,"")</f>
        <v/>
      </c>
      <c r="M250" s="9"/>
      <c r="N250" s="14"/>
      <c r="O250" s="14"/>
      <c r="P250" s="13"/>
      <c r="Q250" s="9"/>
      <c r="R250" s="13"/>
      <c r="S250" s="15" t="str">
        <f t="shared" si="47"/>
        <v/>
      </c>
      <c r="T250" s="15" t="str">
        <f t="shared" si="48"/>
        <v/>
      </c>
      <c r="U250" s="15" t="str">
        <f t="shared" si="49"/>
        <v/>
      </c>
      <c r="V250" s="15" t="str">
        <f t="shared" si="50"/>
        <v/>
      </c>
      <c r="W250" s="16" t="str">
        <f>IF(V250="","",VLOOKUP(V250,税率及规则!$A$2:$C$8,2,TRUE))</f>
        <v/>
      </c>
      <c r="X250" s="15" t="str">
        <f>IF(V250="","",VLOOKUP(V250,税率及规则!$A$2:$C$8,3,TRUE))</f>
        <v/>
      </c>
      <c r="Y250" s="15" t="str">
        <f t="shared" si="51"/>
        <v/>
      </c>
      <c r="Z250" s="15" t="str">
        <f>IF(U250="","",MAX(0,U250*VLOOKUP(U250,税率及规则!$A$2:$C$8,2,TRUE)-VLOOKUP(U250,税率及规则!$A$2:$C$8,3,TRUE)))</f>
        <v/>
      </c>
      <c r="AA250" s="15" t="str">
        <f t="shared" si="52"/>
        <v/>
      </c>
      <c r="AB250" s="17" t="str">
        <f t="shared" si="53"/>
        <v/>
      </c>
      <c r="AC250" s="17" t="str">
        <f t="shared" si="54"/>
        <v/>
      </c>
      <c r="AD250" s="4" t="str">
        <f>IF(A250="","",IF(COUNTIF($A$2:$A$501,A250)&gt;1,"异常：事件编号重复",IF(OR(C250="",D250="",E250="",F250="",G250=""),"异常：必填项缺失",IF(AND(F250="其他股权激励",O250=""),"异常：其他股权激励所得缺失",IF(AND(F250&lt;&gt;"其他股权激励",OR(I250="",J250="")),"异常：数量或市场价缺失",IF(AND(F250&lt;&gt;"其他股权激励",OR(I250&lt;=0,J250&lt;0)),"异常：数量或价格无效",IF(AND(F250="限制性股票",OR(M250&lt;=0,N250&lt;0,I250&gt;M250)),"异常：个人获授或出资数据无效",IF(AND(IFERROR(INDEX(计划参数!$J$2:$J$501,MATCH(C250,计划参数!$I$2:$I$501,0)),"")&lt;&gt;"",D250&lt;&gt;IFERROR(INDEX(计划参数!$J$2:$J$501,MATCH(C250,计划参数!$I$2:$I$501,0)),"")),"异常：姓名与员工主数据不一致",IF(S250&lt;0,"异常：原始所得为负，已按0计税",IF(OR(AND(F250="股票期权",K250=""),AND(F250="限制性股票",OR(K250="",L250=""))),"异常：计划参数缺失",IF(COUNTIF(计划参数!$I$2:$I$501,C250)=0,"提示：员工编号未在主数据",IF(Q250&lt;&gt;"已备案","提示：未确认备案","正常"))))))))))))</f>
        <v/>
      </c>
      <c r="AE250" s="9"/>
      <c r="AF250" s="4" t="str">
        <f>IF(C250="","",IF(COUNTIF($C$2:C250,C250)=1,MAX($AF$1:AF249)+1,""))</f>
        <v/>
      </c>
      <c r="AG250" s="4" t="str">
        <f>IF(C250="","",COUNTIF($C$2:C250,C250))</f>
        <v/>
      </c>
      <c r="AH250" s="4" t="str">
        <f t="shared" si="55"/>
        <v/>
      </c>
      <c r="AI250" s="4" t="str">
        <f t="shared" si="56"/>
        <v/>
      </c>
      <c r="AJ250" s="4" t="str">
        <f t="shared" si="57"/>
        <v/>
      </c>
      <c r="AK250" s="15" t="str">
        <f>IF(A250="","",SUMIFS(分期缴税台账!$K$2:$K$501,分期缴税台账!$T$2:$T$501,A250,分期缴税台账!$Q$2:$Q$501,"有效"))</f>
        <v/>
      </c>
      <c r="AL250" s="15" t="str">
        <f t="shared" si="58"/>
        <v/>
      </c>
      <c r="AM250" s="4" t="str">
        <f t="shared" si="59"/>
        <v/>
      </c>
    </row>
    <row r="251" spans="1:39" x14ac:dyDescent="0.3">
      <c r="A251" s="9"/>
      <c r="B251" s="4" t="str">
        <f t="shared" si="45"/>
        <v/>
      </c>
      <c r="C251" s="9"/>
      <c r="D251" s="9"/>
      <c r="E251" s="9"/>
      <c r="F251" s="9"/>
      <c r="G251" s="13"/>
      <c r="H251" s="4" t="str">
        <f t="shared" si="46"/>
        <v/>
      </c>
      <c r="I251" s="9"/>
      <c r="J251" s="14"/>
      <c r="K251" s="15" t="str">
        <f>IF(OR(E251="",F251="",G251=""),"",IF(E251&lt;&gt;计划参数!$C$2,"",IF(F251="股票期权",IFERROR(LOOKUP(G251,计划参数!$D$12:$D$15,计划参数!$C$12:$C$15),""),IF(F251="限制性股票",计划参数!$C$10,""))))</f>
        <v/>
      </c>
      <c r="L251" s="15" t="str">
        <f>IF(AND(E251=计划参数!$C$2,F251="限制性股票",G251&gt;=计划参数!$D$9),计划参数!$C$9,"")</f>
        <v/>
      </c>
      <c r="M251" s="9"/>
      <c r="N251" s="14"/>
      <c r="O251" s="14"/>
      <c r="P251" s="13"/>
      <c r="Q251" s="9"/>
      <c r="R251" s="13"/>
      <c r="S251" s="15" t="str">
        <f t="shared" si="47"/>
        <v/>
      </c>
      <c r="T251" s="15" t="str">
        <f t="shared" si="48"/>
        <v/>
      </c>
      <c r="U251" s="15" t="str">
        <f t="shared" si="49"/>
        <v/>
      </c>
      <c r="V251" s="15" t="str">
        <f t="shared" si="50"/>
        <v/>
      </c>
      <c r="W251" s="16" t="str">
        <f>IF(V251="","",VLOOKUP(V251,税率及规则!$A$2:$C$8,2,TRUE))</f>
        <v/>
      </c>
      <c r="X251" s="15" t="str">
        <f>IF(V251="","",VLOOKUP(V251,税率及规则!$A$2:$C$8,3,TRUE))</f>
        <v/>
      </c>
      <c r="Y251" s="15" t="str">
        <f t="shared" si="51"/>
        <v/>
      </c>
      <c r="Z251" s="15" t="str">
        <f>IF(U251="","",MAX(0,U251*VLOOKUP(U251,税率及规则!$A$2:$C$8,2,TRUE)-VLOOKUP(U251,税率及规则!$A$2:$C$8,3,TRUE)))</f>
        <v/>
      </c>
      <c r="AA251" s="15" t="str">
        <f t="shared" si="52"/>
        <v/>
      </c>
      <c r="AB251" s="17" t="str">
        <f t="shared" si="53"/>
        <v/>
      </c>
      <c r="AC251" s="17" t="str">
        <f t="shared" si="54"/>
        <v/>
      </c>
      <c r="AD251" s="4" t="str">
        <f>IF(A251="","",IF(COUNTIF($A$2:$A$501,A251)&gt;1,"异常：事件编号重复",IF(OR(C251="",D251="",E251="",F251="",G251=""),"异常：必填项缺失",IF(AND(F251="其他股权激励",O251=""),"异常：其他股权激励所得缺失",IF(AND(F251&lt;&gt;"其他股权激励",OR(I251="",J251="")),"异常：数量或市场价缺失",IF(AND(F251&lt;&gt;"其他股权激励",OR(I251&lt;=0,J251&lt;0)),"异常：数量或价格无效",IF(AND(F251="限制性股票",OR(M251&lt;=0,N251&lt;0,I251&gt;M251)),"异常：个人获授或出资数据无效",IF(AND(IFERROR(INDEX(计划参数!$J$2:$J$501,MATCH(C251,计划参数!$I$2:$I$501,0)),"")&lt;&gt;"",D251&lt;&gt;IFERROR(INDEX(计划参数!$J$2:$J$501,MATCH(C251,计划参数!$I$2:$I$501,0)),"")),"异常：姓名与员工主数据不一致",IF(S251&lt;0,"异常：原始所得为负，已按0计税",IF(OR(AND(F251="股票期权",K251=""),AND(F251="限制性股票",OR(K251="",L251=""))),"异常：计划参数缺失",IF(COUNTIF(计划参数!$I$2:$I$501,C251)=0,"提示：员工编号未在主数据",IF(Q251&lt;&gt;"已备案","提示：未确认备案","正常"))))))))))))</f>
        <v/>
      </c>
      <c r="AE251" s="9"/>
      <c r="AF251" s="4" t="str">
        <f>IF(C251="","",IF(COUNTIF($C$2:C251,C251)=1,MAX($AF$1:AF250)+1,""))</f>
        <v/>
      </c>
      <c r="AG251" s="4" t="str">
        <f>IF(C251="","",COUNTIF($C$2:C251,C251))</f>
        <v/>
      </c>
      <c r="AH251" s="4" t="str">
        <f t="shared" si="55"/>
        <v/>
      </c>
      <c r="AI251" s="4" t="str">
        <f t="shared" si="56"/>
        <v/>
      </c>
      <c r="AJ251" s="4" t="str">
        <f t="shared" si="57"/>
        <v/>
      </c>
      <c r="AK251" s="15" t="str">
        <f>IF(A251="","",SUMIFS(分期缴税台账!$K$2:$K$501,分期缴税台账!$T$2:$T$501,A251,分期缴税台账!$Q$2:$Q$501,"有效"))</f>
        <v/>
      </c>
      <c r="AL251" s="15" t="str">
        <f t="shared" si="58"/>
        <v/>
      </c>
      <c r="AM251" s="4" t="str">
        <f t="shared" si="59"/>
        <v/>
      </c>
    </row>
    <row r="252" spans="1:39" x14ac:dyDescent="0.3">
      <c r="A252" s="9"/>
      <c r="B252" s="4" t="str">
        <f t="shared" si="45"/>
        <v/>
      </c>
      <c r="C252" s="9"/>
      <c r="D252" s="9"/>
      <c r="E252" s="9"/>
      <c r="F252" s="9"/>
      <c r="G252" s="13"/>
      <c r="H252" s="4" t="str">
        <f t="shared" si="46"/>
        <v/>
      </c>
      <c r="I252" s="9"/>
      <c r="J252" s="14"/>
      <c r="K252" s="15" t="str">
        <f>IF(OR(E252="",F252="",G252=""),"",IF(E252&lt;&gt;计划参数!$C$2,"",IF(F252="股票期权",IFERROR(LOOKUP(G252,计划参数!$D$12:$D$15,计划参数!$C$12:$C$15),""),IF(F252="限制性股票",计划参数!$C$10,""))))</f>
        <v/>
      </c>
      <c r="L252" s="15" t="str">
        <f>IF(AND(E252=计划参数!$C$2,F252="限制性股票",G252&gt;=计划参数!$D$9),计划参数!$C$9,"")</f>
        <v/>
      </c>
      <c r="M252" s="9"/>
      <c r="N252" s="14"/>
      <c r="O252" s="14"/>
      <c r="P252" s="13"/>
      <c r="Q252" s="9"/>
      <c r="R252" s="13"/>
      <c r="S252" s="15" t="str">
        <f t="shared" si="47"/>
        <v/>
      </c>
      <c r="T252" s="15" t="str">
        <f t="shared" si="48"/>
        <v/>
      </c>
      <c r="U252" s="15" t="str">
        <f t="shared" si="49"/>
        <v/>
      </c>
      <c r="V252" s="15" t="str">
        <f t="shared" si="50"/>
        <v/>
      </c>
      <c r="W252" s="16" t="str">
        <f>IF(V252="","",VLOOKUP(V252,税率及规则!$A$2:$C$8,2,TRUE))</f>
        <v/>
      </c>
      <c r="X252" s="15" t="str">
        <f>IF(V252="","",VLOOKUP(V252,税率及规则!$A$2:$C$8,3,TRUE))</f>
        <v/>
      </c>
      <c r="Y252" s="15" t="str">
        <f t="shared" si="51"/>
        <v/>
      </c>
      <c r="Z252" s="15" t="str">
        <f>IF(U252="","",MAX(0,U252*VLOOKUP(U252,税率及规则!$A$2:$C$8,2,TRUE)-VLOOKUP(U252,税率及规则!$A$2:$C$8,3,TRUE)))</f>
        <v/>
      </c>
      <c r="AA252" s="15" t="str">
        <f t="shared" si="52"/>
        <v/>
      </c>
      <c r="AB252" s="17" t="str">
        <f t="shared" si="53"/>
        <v/>
      </c>
      <c r="AC252" s="17" t="str">
        <f t="shared" si="54"/>
        <v/>
      </c>
      <c r="AD252" s="4" t="str">
        <f>IF(A252="","",IF(COUNTIF($A$2:$A$501,A252)&gt;1,"异常：事件编号重复",IF(OR(C252="",D252="",E252="",F252="",G252=""),"异常：必填项缺失",IF(AND(F252="其他股权激励",O252=""),"异常：其他股权激励所得缺失",IF(AND(F252&lt;&gt;"其他股权激励",OR(I252="",J252="")),"异常：数量或市场价缺失",IF(AND(F252&lt;&gt;"其他股权激励",OR(I252&lt;=0,J252&lt;0)),"异常：数量或价格无效",IF(AND(F252="限制性股票",OR(M252&lt;=0,N252&lt;0,I252&gt;M252)),"异常：个人获授或出资数据无效",IF(AND(IFERROR(INDEX(计划参数!$J$2:$J$501,MATCH(C252,计划参数!$I$2:$I$501,0)),"")&lt;&gt;"",D252&lt;&gt;IFERROR(INDEX(计划参数!$J$2:$J$501,MATCH(C252,计划参数!$I$2:$I$501,0)),"")),"异常：姓名与员工主数据不一致",IF(S252&lt;0,"异常：原始所得为负，已按0计税",IF(OR(AND(F252="股票期权",K252=""),AND(F252="限制性股票",OR(K252="",L252=""))),"异常：计划参数缺失",IF(COUNTIF(计划参数!$I$2:$I$501,C252)=0,"提示：员工编号未在主数据",IF(Q252&lt;&gt;"已备案","提示：未确认备案","正常"))))))))))))</f>
        <v/>
      </c>
      <c r="AE252" s="9"/>
      <c r="AF252" s="4" t="str">
        <f>IF(C252="","",IF(COUNTIF($C$2:C252,C252)=1,MAX($AF$1:AF251)+1,""))</f>
        <v/>
      </c>
      <c r="AG252" s="4" t="str">
        <f>IF(C252="","",COUNTIF($C$2:C252,C252))</f>
        <v/>
      </c>
      <c r="AH252" s="4" t="str">
        <f t="shared" si="55"/>
        <v/>
      </c>
      <c r="AI252" s="4" t="str">
        <f t="shared" si="56"/>
        <v/>
      </c>
      <c r="AJ252" s="4" t="str">
        <f t="shared" si="57"/>
        <v/>
      </c>
      <c r="AK252" s="15" t="str">
        <f>IF(A252="","",SUMIFS(分期缴税台账!$K$2:$K$501,分期缴税台账!$T$2:$T$501,A252,分期缴税台账!$Q$2:$Q$501,"有效"))</f>
        <v/>
      </c>
      <c r="AL252" s="15" t="str">
        <f t="shared" si="58"/>
        <v/>
      </c>
      <c r="AM252" s="4" t="str">
        <f t="shared" si="59"/>
        <v/>
      </c>
    </row>
    <row r="253" spans="1:39" x14ac:dyDescent="0.3">
      <c r="A253" s="9"/>
      <c r="B253" s="4" t="str">
        <f t="shared" si="45"/>
        <v/>
      </c>
      <c r="C253" s="9"/>
      <c r="D253" s="9"/>
      <c r="E253" s="9"/>
      <c r="F253" s="9"/>
      <c r="G253" s="13"/>
      <c r="H253" s="4" t="str">
        <f t="shared" si="46"/>
        <v/>
      </c>
      <c r="I253" s="9"/>
      <c r="J253" s="14"/>
      <c r="K253" s="15" t="str">
        <f>IF(OR(E253="",F253="",G253=""),"",IF(E253&lt;&gt;计划参数!$C$2,"",IF(F253="股票期权",IFERROR(LOOKUP(G253,计划参数!$D$12:$D$15,计划参数!$C$12:$C$15),""),IF(F253="限制性股票",计划参数!$C$10,""))))</f>
        <v/>
      </c>
      <c r="L253" s="15" t="str">
        <f>IF(AND(E253=计划参数!$C$2,F253="限制性股票",G253&gt;=计划参数!$D$9),计划参数!$C$9,"")</f>
        <v/>
      </c>
      <c r="M253" s="9"/>
      <c r="N253" s="14"/>
      <c r="O253" s="14"/>
      <c r="P253" s="13"/>
      <c r="Q253" s="9"/>
      <c r="R253" s="13"/>
      <c r="S253" s="15" t="str">
        <f t="shared" si="47"/>
        <v/>
      </c>
      <c r="T253" s="15" t="str">
        <f t="shared" si="48"/>
        <v/>
      </c>
      <c r="U253" s="15" t="str">
        <f t="shared" si="49"/>
        <v/>
      </c>
      <c r="V253" s="15" t="str">
        <f t="shared" si="50"/>
        <v/>
      </c>
      <c r="W253" s="16" t="str">
        <f>IF(V253="","",VLOOKUP(V253,税率及规则!$A$2:$C$8,2,TRUE))</f>
        <v/>
      </c>
      <c r="X253" s="15" t="str">
        <f>IF(V253="","",VLOOKUP(V253,税率及规则!$A$2:$C$8,3,TRUE))</f>
        <v/>
      </c>
      <c r="Y253" s="15" t="str">
        <f t="shared" si="51"/>
        <v/>
      </c>
      <c r="Z253" s="15" t="str">
        <f>IF(U253="","",MAX(0,U253*VLOOKUP(U253,税率及规则!$A$2:$C$8,2,TRUE)-VLOOKUP(U253,税率及规则!$A$2:$C$8,3,TRUE)))</f>
        <v/>
      </c>
      <c r="AA253" s="15" t="str">
        <f t="shared" si="52"/>
        <v/>
      </c>
      <c r="AB253" s="17" t="str">
        <f t="shared" si="53"/>
        <v/>
      </c>
      <c r="AC253" s="17" t="str">
        <f t="shared" si="54"/>
        <v/>
      </c>
      <c r="AD253" s="4" t="str">
        <f>IF(A253="","",IF(COUNTIF($A$2:$A$501,A253)&gt;1,"异常：事件编号重复",IF(OR(C253="",D253="",E253="",F253="",G253=""),"异常：必填项缺失",IF(AND(F253="其他股权激励",O253=""),"异常：其他股权激励所得缺失",IF(AND(F253&lt;&gt;"其他股权激励",OR(I253="",J253="")),"异常：数量或市场价缺失",IF(AND(F253&lt;&gt;"其他股权激励",OR(I253&lt;=0,J253&lt;0)),"异常：数量或价格无效",IF(AND(F253="限制性股票",OR(M253&lt;=0,N253&lt;0,I253&gt;M253)),"异常：个人获授或出资数据无效",IF(AND(IFERROR(INDEX(计划参数!$J$2:$J$501,MATCH(C253,计划参数!$I$2:$I$501,0)),"")&lt;&gt;"",D253&lt;&gt;IFERROR(INDEX(计划参数!$J$2:$J$501,MATCH(C253,计划参数!$I$2:$I$501,0)),"")),"异常：姓名与员工主数据不一致",IF(S253&lt;0,"异常：原始所得为负，已按0计税",IF(OR(AND(F253="股票期权",K253=""),AND(F253="限制性股票",OR(K253="",L253=""))),"异常：计划参数缺失",IF(COUNTIF(计划参数!$I$2:$I$501,C253)=0,"提示：员工编号未在主数据",IF(Q253&lt;&gt;"已备案","提示：未确认备案","正常"))))))))))))</f>
        <v/>
      </c>
      <c r="AE253" s="9"/>
      <c r="AF253" s="4" t="str">
        <f>IF(C253="","",IF(COUNTIF($C$2:C253,C253)=1,MAX($AF$1:AF252)+1,""))</f>
        <v/>
      </c>
      <c r="AG253" s="4" t="str">
        <f>IF(C253="","",COUNTIF($C$2:C253,C253))</f>
        <v/>
      </c>
      <c r="AH253" s="4" t="str">
        <f t="shared" si="55"/>
        <v/>
      </c>
      <c r="AI253" s="4" t="str">
        <f t="shared" si="56"/>
        <v/>
      </c>
      <c r="AJ253" s="4" t="str">
        <f t="shared" si="57"/>
        <v/>
      </c>
      <c r="AK253" s="15" t="str">
        <f>IF(A253="","",SUMIFS(分期缴税台账!$K$2:$K$501,分期缴税台账!$T$2:$T$501,A253,分期缴税台账!$Q$2:$Q$501,"有效"))</f>
        <v/>
      </c>
      <c r="AL253" s="15" t="str">
        <f t="shared" si="58"/>
        <v/>
      </c>
      <c r="AM253" s="4" t="str">
        <f t="shared" si="59"/>
        <v/>
      </c>
    </row>
    <row r="254" spans="1:39" x14ac:dyDescent="0.3">
      <c r="A254" s="9"/>
      <c r="B254" s="4" t="str">
        <f t="shared" si="45"/>
        <v/>
      </c>
      <c r="C254" s="9"/>
      <c r="D254" s="9"/>
      <c r="E254" s="9"/>
      <c r="F254" s="9"/>
      <c r="G254" s="13"/>
      <c r="H254" s="4" t="str">
        <f t="shared" si="46"/>
        <v/>
      </c>
      <c r="I254" s="9"/>
      <c r="J254" s="14"/>
      <c r="K254" s="15" t="str">
        <f>IF(OR(E254="",F254="",G254=""),"",IF(E254&lt;&gt;计划参数!$C$2,"",IF(F254="股票期权",IFERROR(LOOKUP(G254,计划参数!$D$12:$D$15,计划参数!$C$12:$C$15),""),IF(F254="限制性股票",计划参数!$C$10,""))))</f>
        <v/>
      </c>
      <c r="L254" s="15" t="str">
        <f>IF(AND(E254=计划参数!$C$2,F254="限制性股票",G254&gt;=计划参数!$D$9),计划参数!$C$9,"")</f>
        <v/>
      </c>
      <c r="M254" s="9"/>
      <c r="N254" s="14"/>
      <c r="O254" s="14"/>
      <c r="P254" s="13"/>
      <c r="Q254" s="9"/>
      <c r="R254" s="13"/>
      <c r="S254" s="15" t="str">
        <f t="shared" si="47"/>
        <v/>
      </c>
      <c r="T254" s="15" t="str">
        <f t="shared" si="48"/>
        <v/>
      </c>
      <c r="U254" s="15" t="str">
        <f t="shared" si="49"/>
        <v/>
      </c>
      <c r="V254" s="15" t="str">
        <f t="shared" si="50"/>
        <v/>
      </c>
      <c r="W254" s="16" t="str">
        <f>IF(V254="","",VLOOKUP(V254,税率及规则!$A$2:$C$8,2,TRUE))</f>
        <v/>
      </c>
      <c r="X254" s="15" t="str">
        <f>IF(V254="","",VLOOKUP(V254,税率及规则!$A$2:$C$8,3,TRUE))</f>
        <v/>
      </c>
      <c r="Y254" s="15" t="str">
        <f t="shared" si="51"/>
        <v/>
      </c>
      <c r="Z254" s="15" t="str">
        <f>IF(U254="","",MAX(0,U254*VLOOKUP(U254,税率及规则!$A$2:$C$8,2,TRUE)-VLOOKUP(U254,税率及规则!$A$2:$C$8,3,TRUE)))</f>
        <v/>
      </c>
      <c r="AA254" s="15" t="str">
        <f t="shared" si="52"/>
        <v/>
      </c>
      <c r="AB254" s="17" t="str">
        <f t="shared" si="53"/>
        <v/>
      </c>
      <c r="AC254" s="17" t="str">
        <f t="shared" si="54"/>
        <v/>
      </c>
      <c r="AD254" s="4" t="str">
        <f>IF(A254="","",IF(COUNTIF($A$2:$A$501,A254)&gt;1,"异常：事件编号重复",IF(OR(C254="",D254="",E254="",F254="",G254=""),"异常：必填项缺失",IF(AND(F254="其他股权激励",O254=""),"异常：其他股权激励所得缺失",IF(AND(F254&lt;&gt;"其他股权激励",OR(I254="",J254="")),"异常：数量或市场价缺失",IF(AND(F254&lt;&gt;"其他股权激励",OR(I254&lt;=0,J254&lt;0)),"异常：数量或价格无效",IF(AND(F254="限制性股票",OR(M254&lt;=0,N254&lt;0,I254&gt;M254)),"异常：个人获授或出资数据无效",IF(AND(IFERROR(INDEX(计划参数!$J$2:$J$501,MATCH(C254,计划参数!$I$2:$I$501,0)),"")&lt;&gt;"",D254&lt;&gt;IFERROR(INDEX(计划参数!$J$2:$J$501,MATCH(C254,计划参数!$I$2:$I$501,0)),"")),"异常：姓名与员工主数据不一致",IF(S254&lt;0,"异常：原始所得为负，已按0计税",IF(OR(AND(F254="股票期权",K254=""),AND(F254="限制性股票",OR(K254="",L254=""))),"异常：计划参数缺失",IF(COUNTIF(计划参数!$I$2:$I$501,C254)=0,"提示：员工编号未在主数据",IF(Q254&lt;&gt;"已备案","提示：未确认备案","正常"))))))))))))</f>
        <v/>
      </c>
      <c r="AE254" s="9"/>
      <c r="AF254" s="4" t="str">
        <f>IF(C254="","",IF(COUNTIF($C$2:C254,C254)=1,MAX($AF$1:AF253)+1,""))</f>
        <v/>
      </c>
      <c r="AG254" s="4" t="str">
        <f>IF(C254="","",COUNTIF($C$2:C254,C254))</f>
        <v/>
      </c>
      <c r="AH254" s="4" t="str">
        <f t="shared" si="55"/>
        <v/>
      </c>
      <c r="AI254" s="4" t="str">
        <f t="shared" si="56"/>
        <v/>
      </c>
      <c r="AJ254" s="4" t="str">
        <f t="shared" si="57"/>
        <v/>
      </c>
      <c r="AK254" s="15" t="str">
        <f>IF(A254="","",SUMIFS(分期缴税台账!$K$2:$K$501,分期缴税台账!$T$2:$T$501,A254,分期缴税台账!$Q$2:$Q$501,"有效"))</f>
        <v/>
      </c>
      <c r="AL254" s="15" t="str">
        <f t="shared" si="58"/>
        <v/>
      </c>
      <c r="AM254" s="4" t="str">
        <f t="shared" si="59"/>
        <v/>
      </c>
    </row>
    <row r="255" spans="1:39" x14ac:dyDescent="0.3">
      <c r="A255" s="9"/>
      <c r="B255" s="4" t="str">
        <f t="shared" si="45"/>
        <v/>
      </c>
      <c r="C255" s="9"/>
      <c r="D255" s="9"/>
      <c r="E255" s="9"/>
      <c r="F255" s="9"/>
      <c r="G255" s="13"/>
      <c r="H255" s="4" t="str">
        <f t="shared" si="46"/>
        <v/>
      </c>
      <c r="I255" s="9"/>
      <c r="J255" s="14"/>
      <c r="K255" s="15" t="str">
        <f>IF(OR(E255="",F255="",G255=""),"",IF(E255&lt;&gt;计划参数!$C$2,"",IF(F255="股票期权",IFERROR(LOOKUP(G255,计划参数!$D$12:$D$15,计划参数!$C$12:$C$15),""),IF(F255="限制性股票",计划参数!$C$10,""))))</f>
        <v/>
      </c>
      <c r="L255" s="15" t="str">
        <f>IF(AND(E255=计划参数!$C$2,F255="限制性股票",G255&gt;=计划参数!$D$9),计划参数!$C$9,"")</f>
        <v/>
      </c>
      <c r="M255" s="9"/>
      <c r="N255" s="14"/>
      <c r="O255" s="14"/>
      <c r="P255" s="13"/>
      <c r="Q255" s="9"/>
      <c r="R255" s="13"/>
      <c r="S255" s="15" t="str">
        <f t="shared" si="47"/>
        <v/>
      </c>
      <c r="T255" s="15" t="str">
        <f t="shared" si="48"/>
        <v/>
      </c>
      <c r="U255" s="15" t="str">
        <f t="shared" si="49"/>
        <v/>
      </c>
      <c r="V255" s="15" t="str">
        <f t="shared" si="50"/>
        <v/>
      </c>
      <c r="W255" s="16" t="str">
        <f>IF(V255="","",VLOOKUP(V255,税率及规则!$A$2:$C$8,2,TRUE))</f>
        <v/>
      </c>
      <c r="X255" s="15" t="str">
        <f>IF(V255="","",VLOOKUP(V255,税率及规则!$A$2:$C$8,3,TRUE))</f>
        <v/>
      </c>
      <c r="Y255" s="15" t="str">
        <f t="shared" si="51"/>
        <v/>
      </c>
      <c r="Z255" s="15" t="str">
        <f>IF(U255="","",MAX(0,U255*VLOOKUP(U255,税率及规则!$A$2:$C$8,2,TRUE)-VLOOKUP(U255,税率及规则!$A$2:$C$8,3,TRUE)))</f>
        <v/>
      </c>
      <c r="AA255" s="15" t="str">
        <f t="shared" si="52"/>
        <v/>
      </c>
      <c r="AB255" s="17" t="str">
        <f t="shared" si="53"/>
        <v/>
      </c>
      <c r="AC255" s="17" t="str">
        <f t="shared" si="54"/>
        <v/>
      </c>
      <c r="AD255" s="4" t="str">
        <f>IF(A255="","",IF(COUNTIF($A$2:$A$501,A255)&gt;1,"异常：事件编号重复",IF(OR(C255="",D255="",E255="",F255="",G255=""),"异常：必填项缺失",IF(AND(F255="其他股权激励",O255=""),"异常：其他股权激励所得缺失",IF(AND(F255&lt;&gt;"其他股权激励",OR(I255="",J255="")),"异常：数量或市场价缺失",IF(AND(F255&lt;&gt;"其他股权激励",OR(I255&lt;=0,J255&lt;0)),"异常：数量或价格无效",IF(AND(F255="限制性股票",OR(M255&lt;=0,N255&lt;0,I255&gt;M255)),"异常：个人获授或出资数据无效",IF(AND(IFERROR(INDEX(计划参数!$J$2:$J$501,MATCH(C255,计划参数!$I$2:$I$501,0)),"")&lt;&gt;"",D255&lt;&gt;IFERROR(INDEX(计划参数!$J$2:$J$501,MATCH(C255,计划参数!$I$2:$I$501,0)),"")),"异常：姓名与员工主数据不一致",IF(S255&lt;0,"异常：原始所得为负，已按0计税",IF(OR(AND(F255="股票期权",K255=""),AND(F255="限制性股票",OR(K255="",L255=""))),"异常：计划参数缺失",IF(COUNTIF(计划参数!$I$2:$I$501,C255)=0,"提示：员工编号未在主数据",IF(Q255&lt;&gt;"已备案","提示：未确认备案","正常"))))))))))))</f>
        <v/>
      </c>
      <c r="AE255" s="9"/>
      <c r="AF255" s="4" t="str">
        <f>IF(C255="","",IF(COUNTIF($C$2:C255,C255)=1,MAX($AF$1:AF254)+1,""))</f>
        <v/>
      </c>
      <c r="AG255" s="4" t="str">
        <f>IF(C255="","",COUNTIF($C$2:C255,C255))</f>
        <v/>
      </c>
      <c r="AH255" s="4" t="str">
        <f t="shared" si="55"/>
        <v/>
      </c>
      <c r="AI255" s="4" t="str">
        <f t="shared" si="56"/>
        <v/>
      </c>
      <c r="AJ255" s="4" t="str">
        <f t="shared" si="57"/>
        <v/>
      </c>
      <c r="AK255" s="15" t="str">
        <f>IF(A255="","",SUMIFS(分期缴税台账!$K$2:$K$501,分期缴税台账!$T$2:$T$501,A255,分期缴税台账!$Q$2:$Q$501,"有效"))</f>
        <v/>
      </c>
      <c r="AL255" s="15" t="str">
        <f t="shared" si="58"/>
        <v/>
      </c>
      <c r="AM255" s="4" t="str">
        <f t="shared" si="59"/>
        <v/>
      </c>
    </row>
    <row r="256" spans="1:39" x14ac:dyDescent="0.3">
      <c r="A256" s="9"/>
      <c r="B256" s="4" t="str">
        <f t="shared" si="45"/>
        <v/>
      </c>
      <c r="C256" s="9"/>
      <c r="D256" s="9"/>
      <c r="E256" s="9"/>
      <c r="F256" s="9"/>
      <c r="G256" s="13"/>
      <c r="H256" s="4" t="str">
        <f t="shared" si="46"/>
        <v/>
      </c>
      <c r="I256" s="9"/>
      <c r="J256" s="14"/>
      <c r="K256" s="15" t="str">
        <f>IF(OR(E256="",F256="",G256=""),"",IF(E256&lt;&gt;计划参数!$C$2,"",IF(F256="股票期权",IFERROR(LOOKUP(G256,计划参数!$D$12:$D$15,计划参数!$C$12:$C$15),""),IF(F256="限制性股票",计划参数!$C$10,""))))</f>
        <v/>
      </c>
      <c r="L256" s="15" t="str">
        <f>IF(AND(E256=计划参数!$C$2,F256="限制性股票",G256&gt;=计划参数!$D$9),计划参数!$C$9,"")</f>
        <v/>
      </c>
      <c r="M256" s="9"/>
      <c r="N256" s="14"/>
      <c r="O256" s="14"/>
      <c r="P256" s="13"/>
      <c r="Q256" s="9"/>
      <c r="R256" s="13"/>
      <c r="S256" s="15" t="str">
        <f t="shared" si="47"/>
        <v/>
      </c>
      <c r="T256" s="15" t="str">
        <f t="shared" si="48"/>
        <v/>
      </c>
      <c r="U256" s="15" t="str">
        <f t="shared" si="49"/>
        <v/>
      </c>
      <c r="V256" s="15" t="str">
        <f t="shared" si="50"/>
        <v/>
      </c>
      <c r="W256" s="16" t="str">
        <f>IF(V256="","",VLOOKUP(V256,税率及规则!$A$2:$C$8,2,TRUE))</f>
        <v/>
      </c>
      <c r="X256" s="15" t="str">
        <f>IF(V256="","",VLOOKUP(V256,税率及规则!$A$2:$C$8,3,TRUE))</f>
        <v/>
      </c>
      <c r="Y256" s="15" t="str">
        <f t="shared" si="51"/>
        <v/>
      </c>
      <c r="Z256" s="15" t="str">
        <f>IF(U256="","",MAX(0,U256*VLOOKUP(U256,税率及规则!$A$2:$C$8,2,TRUE)-VLOOKUP(U256,税率及规则!$A$2:$C$8,3,TRUE)))</f>
        <v/>
      </c>
      <c r="AA256" s="15" t="str">
        <f t="shared" si="52"/>
        <v/>
      </c>
      <c r="AB256" s="17" t="str">
        <f t="shared" si="53"/>
        <v/>
      </c>
      <c r="AC256" s="17" t="str">
        <f t="shared" si="54"/>
        <v/>
      </c>
      <c r="AD256" s="4" t="str">
        <f>IF(A256="","",IF(COUNTIF($A$2:$A$501,A256)&gt;1,"异常：事件编号重复",IF(OR(C256="",D256="",E256="",F256="",G256=""),"异常：必填项缺失",IF(AND(F256="其他股权激励",O256=""),"异常：其他股权激励所得缺失",IF(AND(F256&lt;&gt;"其他股权激励",OR(I256="",J256="")),"异常：数量或市场价缺失",IF(AND(F256&lt;&gt;"其他股权激励",OR(I256&lt;=0,J256&lt;0)),"异常：数量或价格无效",IF(AND(F256="限制性股票",OR(M256&lt;=0,N256&lt;0,I256&gt;M256)),"异常：个人获授或出资数据无效",IF(AND(IFERROR(INDEX(计划参数!$J$2:$J$501,MATCH(C256,计划参数!$I$2:$I$501,0)),"")&lt;&gt;"",D256&lt;&gt;IFERROR(INDEX(计划参数!$J$2:$J$501,MATCH(C256,计划参数!$I$2:$I$501,0)),"")),"异常：姓名与员工主数据不一致",IF(S256&lt;0,"异常：原始所得为负，已按0计税",IF(OR(AND(F256="股票期权",K256=""),AND(F256="限制性股票",OR(K256="",L256=""))),"异常：计划参数缺失",IF(COUNTIF(计划参数!$I$2:$I$501,C256)=0,"提示：员工编号未在主数据",IF(Q256&lt;&gt;"已备案","提示：未确认备案","正常"))))))))))))</f>
        <v/>
      </c>
      <c r="AE256" s="9"/>
      <c r="AF256" s="4" t="str">
        <f>IF(C256="","",IF(COUNTIF($C$2:C256,C256)=1,MAX($AF$1:AF255)+1,""))</f>
        <v/>
      </c>
      <c r="AG256" s="4" t="str">
        <f>IF(C256="","",COUNTIF($C$2:C256,C256))</f>
        <v/>
      </c>
      <c r="AH256" s="4" t="str">
        <f t="shared" si="55"/>
        <v/>
      </c>
      <c r="AI256" s="4" t="str">
        <f t="shared" si="56"/>
        <v/>
      </c>
      <c r="AJ256" s="4" t="str">
        <f t="shared" si="57"/>
        <v/>
      </c>
      <c r="AK256" s="15" t="str">
        <f>IF(A256="","",SUMIFS(分期缴税台账!$K$2:$K$501,分期缴税台账!$T$2:$T$501,A256,分期缴税台账!$Q$2:$Q$501,"有效"))</f>
        <v/>
      </c>
      <c r="AL256" s="15" t="str">
        <f t="shared" si="58"/>
        <v/>
      </c>
      <c r="AM256" s="4" t="str">
        <f t="shared" si="59"/>
        <v/>
      </c>
    </row>
    <row r="257" spans="1:39" x14ac:dyDescent="0.3">
      <c r="A257" s="9"/>
      <c r="B257" s="4" t="str">
        <f t="shared" si="45"/>
        <v/>
      </c>
      <c r="C257" s="9"/>
      <c r="D257" s="9"/>
      <c r="E257" s="9"/>
      <c r="F257" s="9"/>
      <c r="G257" s="13"/>
      <c r="H257" s="4" t="str">
        <f t="shared" si="46"/>
        <v/>
      </c>
      <c r="I257" s="9"/>
      <c r="J257" s="14"/>
      <c r="K257" s="15" t="str">
        <f>IF(OR(E257="",F257="",G257=""),"",IF(E257&lt;&gt;计划参数!$C$2,"",IF(F257="股票期权",IFERROR(LOOKUP(G257,计划参数!$D$12:$D$15,计划参数!$C$12:$C$15),""),IF(F257="限制性股票",计划参数!$C$10,""))))</f>
        <v/>
      </c>
      <c r="L257" s="15" t="str">
        <f>IF(AND(E257=计划参数!$C$2,F257="限制性股票",G257&gt;=计划参数!$D$9),计划参数!$C$9,"")</f>
        <v/>
      </c>
      <c r="M257" s="9"/>
      <c r="N257" s="14"/>
      <c r="O257" s="14"/>
      <c r="P257" s="13"/>
      <c r="Q257" s="9"/>
      <c r="R257" s="13"/>
      <c r="S257" s="15" t="str">
        <f t="shared" si="47"/>
        <v/>
      </c>
      <c r="T257" s="15" t="str">
        <f t="shared" si="48"/>
        <v/>
      </c>
      <c r="U257" s="15" t="str">
        <f t="shared" si="49"/>
        <v/>
      </c>
      <c r="V257" s="15" t="str">
        <f t="shared" si="50"/>
        <v/>
      </c>
      <c r="W257" s="16" t="str">
        <f>IF(V257="","",VLOOKUP(V257,税率及规则!$A$2:$C$8,2,TRUE))</f>
        <v/>
      </c>
      <c r="X257" s="15" t="str">
        <f>IF(V257="","",VLOOKUP(V257,税率及规则!$A$2:$C$8,3,TRUE))</f>
        <v/>
      </c>
      <c r="Y257" s="15" t="str">
        <f t="shared" si="51"/>
        <v/>
      </c>
      <c r="Z257" s="15" t="str">
        <f>IF(U257="","",MAX(0,U257*VLOOKUP(U257,税率及规则!$A$2:$C$8,2,TRUE)-VLOOKUP(U257,税率及规则!$A$2:$C$8,3,TRUE)))</f>
        <v/>
      </c>
      <c r="AA257" s="15" t="str">
        <f t="shared" si="52"/>
        <v/>
      </c>
      <c r="AB257" s="17" t="str">
        <f t="shared" si="53"/>
        <v/>
      </c>
      <c r="AC257" s="17" t="str">
        <f t="shared" si="54"/>
        <v/>
      </c>
      <c r="AD257" s="4" t="str">
        <f>IF(A257="","",IF(COUNTIF($A$2:$A$501,A257)&gt;1,"异常：事件编号重复",IF(OR(C257="",D257="",E257="",F257="",G257=""),"异常：必填项缺失",IF(AND(F257="其他股权激励",O257=""),"异常：其他股权激励所得缺失",IF(AND(F257&lt;&gt;"其他股权激励",OR(I257="",J257="")),"异常：数量或市场价缺失",IF(AND(F257&lt;&gt;"其他股权激励",OR(I257&lt;=0,J257&lt;0)),"异常：数量或价格无效",IF(AND(F257="限制性股票",OR(M257&lt;=0,N257&lt;0,I257&gt;M257)),"异常：个人获授或出资数据无效",IF(AND(IFERROR(INDEX(计划参数!$J$2:$J$501,MATCH(C257,计划参数!$I$2:$I$501,0)),"")&lt;&gt;"",D257&lt;&gt;IFERROR(INDEX(计划参数!$J$2:$J$501,MATCH(C257,计划参数!$I$2:$I$501,0)),"")),"异常：姓名与员工主数据不一致",IF(S257&lt;0,"异常：原始所得为负，已按0计税",IF(OR(AND(F257="股票期权",K257=""),AND(F257="限制性股票",OR(K257="",L257=""))),"异常：计划参数缺失",IF(COUNTIF(计划参数!$I$2:$I$501,C257)=0,"提示：员工编号未在主数据",IF(Q257&lt;&gt;"已备案","提示：未确认备案","正常"))))))))))))</f>
        <v/>
      </c>
      <c r="AE257" s="9"/>
      <c r="AF257" s="4" t="str">
        <f>IF(C257="","",IF(COUNTIF($C$2:C257,C257)=1,MAX($AF$1:AF256)+1,""))</f>
        <v/>
      </c>
      <c r="AG257" s="4" t="str">
        <f>IF(C257="","",COUNTIF($C$2:C257,C257))</f>
        <v/>
      </c>
      <c r="AH257" s="4" t="str">
        <f t="shared" si="55"/>
        <v/>
      </c>
      <c r="AI257" s="4" t="str">
        <f t="shared" si="56"/>
        <v/>
      </c>
      <c r="AJ257" s="4" t="str">
        <f t="shared" si="57"/>
        <v/>
      </c>
      <c r="AK257" s="15" t="str">
        <f>IF(A257="","",SUMIFS(分期缴税台账!$K$2:$K$501,分期缴税台账!$T$2:$T$501,A257,分期缴税台账!$Q$2:$Q$501,"有效"))</f>
        <v/>
      </c>
      <c r="AL257" s="15" t="str">
        <f t="shared" si="58"/>
        <v/>
      </c>
      <c r="AM257" s="4" t="str">
        <f t="shared" si="59"/>
        <v/>
      </c>
    </row>
    <row r="258" spans="1:39" x14ac:dyDescent="0.3">
      <c r="A258" s="9"/>
      <c r="B258" s="4" t="str">
        <f t="shared" ref="B258:B321" si="60">IF(A258="","",A258&amp;"-TAX")</f>
        <v/>
      </c>
      <c r="C258" s="9"/>
      <c r="D258" s="9"/>
      <c r="E258" s="9"/>
      <c r="F258" s="9"/>
      <c r="G258" s="13"/>
      <c r="H258" s="4" t="str">
        <f t="shared" ref="H258:H321" si="61">IF(G258="","",YEAR(G258))</f>
        <v/>
      </c>
      <c r="I258" s="9"/>
      <c r="J258" s="14"/>
      <c r="K258" s="15" t="str">
        <f>IF(OR(E258="",F258="",G258=""),"",IF(E258&lt;&gt;计划参数!$C$2,"",IF(F258="股票期权",IFERROR(LOOKUP(G258,计划参数!$D$12:$D$15,计划参数!$C$12:$C$15),""),IF(F258="限制性股票",计划参数!$C$10,""))))</f>
        <v/>
      </c>
      <c r="L258" s="15" t="str">
        <f>IF(AND(E258=计划参数!$C$2,F258="限制性股票",G258&gt;=计划参数!$D$9),计划参数!$C$9,"")</f>
        <v/>
      </c>
      <c r="M258" s="9"/>
      <c r="N258" s="14"/>
      <c r="O258" s="14"/>
      <c r="P258" s="13"/>
      <c r="Q258" s="9"/>
      <c r="R258" s="13"/>
      <c r="S258" s="15" t="str">
        <f t="shared" ref="S258:S321" si="62">IF(OR(A258="",C258="",F258="",G258=""),"",IF(F258="股票期权",IF(OR(I258="",J258="",K258=""),"",(J258-K258)*I258),IF(F258="限制性股票",IF(OR(L258="",M258="",M258&lt;=0,N258=""),"",((L258+J258)/2)*I258-N258*I258/M258),IF(F258="其他股权激励",IF(O258="","",O258),""))))</f>
        <v/>
      </c>
      <c r="T258" s="15" t="str">
        <f t="shared" ref="T258:T321" si="63">IF(S258="","",MAX(0,S258))</f>
        <v/>
      </c>
      <c r="U258" s="15" t="str">
        <f t="shared" ref="U258:U321" si="64">IF(T258="","",SUMIFS($T$2:$T$501,$C$2:$C$501,C258,$H$2:$H$501,H258,$G$2:$G$501,"&lt;"&amp;G258)+SUMIFS($T$2:$T$501,$C$2:$C$501,C258,$H$2:$H$501,H258,$G$2:$G$501,G258,$A$2:$A$501,"&lt;"&amp;A258))</f>
        <v/>
      </c>
      <c r="V258" s="15" t="str">
        <f t="shared" ref="V258:V321" si="65">IF(T258="","",U258+T258)</f>
        <v/>
      </c>
      <c r="W258" s="16" t="str">
        <f>IF(V258="","",VLOOKUP(V258,税率及规则!$A$2:$C$8,2,TRUE))</f>
        <v/>
      </c>
      <c r="X258" s="15" t="str">
        <f>IF(V258="","",VLOOKUP(V258,税率及规则!$A$2:$C$8,3,TRUE))</f>
        <v/>
      </c>
      <c r="Y258" s="15" t="str">
        <f t="shared" ref="Y258:Y321" si="66">IF(V258="","",MAX(0,V258*W258-X258))</f>
        <v/>
      </c>
      <c r="Z258" s="15" t="str">
        <f>IF(U258="","",MAX(0,U258*VLOOKUP(U258,税率及规则!$A$2:$C$8,2,TRUE)-VLOOKUP(U258,税率及规则!$A$2:$C$8,3,TRUE)))</f>
        <v/>
      </c>
      <c r="AA258" s="15" t="str">
        <f t="shared" ref="AA258:AA321" si="67">IF(Y258="","",MAX(0,Y258-Z258))</f>
        <v/>
      </c>
      <c r="AB258" s="17" t="str">
        <f t="shared" ref="AB258:AB321" si="68">IF(G258="","",G258)</f>
        <v/>
      </c>
      <c r="AC258" s="17" t="str">
        <f t="shared" ref="AC258:AC321" si="69">IF(AB258="","",IF(DAY(AB258)=DAY(EOMONTH(AB258,0)),EOMONTH(EDATE(AB258,36),0),EDATE(AB258,36)))</f>
        <v/>
      </c>
      <c r="AD258" s="4" t="str">
        <f>IF(A258="","",IF(COUNTIF($A$2:$A$501,A258)&gt;1,"异常：事件编号重复",IF(OR(C258="",D258="",E258="",F258="",G258=""),"异常：必填项缺失",IF(AND(F258="其他股权激励",O258=""),"异常：其他股权激励所得缺失",IF(AND(F258&lt;&gt;"其他股权激励",OR(I258="",J258="")),"异常：数量或市场价缺失",IF(AND(F258&lt;&gt;"其他股权激励",OR(I258&lt;=0,J258&lt;0)),"异常：数量或价格无效",IF(AND(F258="限制性股票",OR(M258&lt;=0,N258&lt;0,I258&gt;M258)),"异常：个人获授或出资数据无效",IF(AND(IFERROR(INDEX(计划参数!$J$2:$J$501,MATCH(C258,计划参数!$I$2:$I$501,0)),"")&lt;&gt;"",D258&lt;&gt;IFERROR(INDEX(计划参数!$J$2:$J$501,MATCH(C258,计划参数!$I$2:$I$501,0)),"")),"异常：姓名与员工主数据不一致",IF(S258&lt;0,"异常：原始所得为负，已按0计税",IF(OR(AND(F258="股票期权",K258=""),AND(F258="限制性股票",OR(K258="",L258=""))),"异常：计划参数缺失",IF(COUNTIF(计划参数!$I$2:$I$501,C258)=0,"提示：员工编号未在主数据",IF(Q258&lt;&gt;"已备案","提示：未确认备案","正常"))))))))))))</f>
        <v/>
      </c>
      <c r="AE258" s="9"/>
      <c r="AF258" s="4" t="str">
        <f>IF(C258="","",IF(COUNTIF($C$2:C258,C258)=1,MAX($AF$1:AF257)+1,""))</f>
        <v/>
      </c>
      <c r="AG258" s="4" t="str">
        <f>IF(C258="","",COUNTIF($C$2:C258,C258))</f>
        <v/>
      </c>
      <c r="AH258" s="4" t="str">
        <f t="shared" ref="AH258:AH321" si="70">IF(C258="","",C258&amp;"|"&amp;AG258)</f>
        <v/>
      </c>
      <c r="AI258" s="4" t="str">
        <f t="shared" ref="AI258:AI321" si="71">IF(OR(A258="",AA258&lt;=0),"",C258&amp;"|"&amp;H258&amp;"|"&amp;(COUNTIFS($C$2:$C$501,C258,$H$2:$H$501,H258,$AA$2:$AA$501,"&gt;0",$AC$2:$AC$501,"&lt;"&amp;AC258)+COUNTIFS($C$2:$C$501,C258,$H$2:$H$501,H258,$AA$2:$AA$501,"&gt;0",$AC$2:$AC$501,AC258,$A$2:$A$501,"&lt;="&amp;A258)))</f>
        <v/>
      </c>
      <c r="AJ258" s="4" t="str">
        <f t="shared" ref="AJ258:AJ321" si="72">IF(OR(A258="",AA258&lt;=0),"",C258&amp;"|"&amp;(COUNTIFS($C$2:$C$501,C258,$AA$2:$AA$501,"&gt;0",$AC$2:$AC$501,"&lt;"&amp;AC258)+COUNTIFS($C$2:$C$501,C258,$AA$2:$AA$501,"&gt;0",$AC$2:$AC$501,AC258,$A$2:$A$501,"&lt;="&amp;A258)))</f>
        <v/>
      </c>
      <c r="AK258" s="15" t="str">
        <f>IF(A258="","",SUMIFS(分期缴税台账!$K$2:$K$501,分期缴税台账!$T$2:$T$501,A258,分期缴税台账!$Q$2:$Q$501,"有效"))</f>
        <v/>
      </c>
      <c r="AL258" s="15" t="str">
        <f t="shared" ref="AL258:AL321" si="73">IF(AA258="","",MAX(0,AA258-AK258))</f>
        <v/>
      </c>
      <c r="AM258" s="4" t="str">
        <f t="shared" ref="AM258:AM321" si="74">IF(OR(A258="",AL258&lt;=0),"",C258&amp;"|"&amp;H258&amp;"|"&amp;(COUNTIFS($C$2:$C$501,C258,$H$2:$H$501,H258,$AL$2:$AL$501,"&gt;0",$AC$2:$AC$501,"&lt;"&amp;AC258)+COUNTIFS($C$2:$C$501,C258,$H$2:$H$501,H258,$AL$2:$AL$501,"&gt;0",$AC$2:$AC$501,AC258,$A$2:$A$501,"&lt;="&amp;A258)))</f>
        <v/>
      </c>
    </row>
    <row r="259" spans="1:39" x14ac:dyDescent="0.3">
      <c r="A259" s="9"/>
      <c r="B259" s="4" t="str">
        <f t="shared" si="60"/>
        <v/>
      </c>
      <c r="C259" s="9"/>
      <c r="D259" s="9"/>
      <c r="E259" s="9"/>
      <c r="F259" s="9"/>
      <c r="G259" s="13"/>
      <c r="H259" s="4" t="str">
        <f t="shared" si="61"/>
        <v/>
      </c>
      <c r="I259" s="9"/>
      <c r="J259" s="14"/>
      <c r="K259" s="15" t="str">
        <f>IF(OR(E259="",F259="",G259=""),"",IF(E259&lt;&gt;计划参数!$C$2,"",IF(F259="股票期权",IFERROR(LOOKUP(G259,计划参数!$D$12:$D$15,计划参数!$C$12:$C$15),""),IF(F259="限制性股票",计划参数!$C$10,""))))</f>
        <v/>
      </c>
      <c r="L259" s="15" t="str">
        <f>IF(AND(E259=计划参数!$C$2,F259="限制性股票",G259&gt;=计划参数!$D$9),计划参数!$C$9,"")</f>
        <v/>
      </c>
      <c r="M259" s="9"/>
      <c r="N259" s="14"/>
      <c r="O259" s="14"/>
      <c r="P259" s="13"/>
      <c r="Q259" s="9"/>
      <c r="R259" s="13"/>
      <c r="S259" s="15" t="str">
        <f t="shared" si="62"/>
        <v/>
      </c>
      <c r="T259" s="15" t="str">
        <f t="shared" si="63"/>
        <v/>
      </c>
      <c r="U259" s="15" t="str">
        <f t="shared" si="64"/>
        <v/>
      </c>
      <c r="V259" s="15" t="str">
        <f t="shared" si="65"/>
        <v/>
      </c>
      <c r="W259" s="16" t="str">
        <f>IF(V259="","",VLOOKUP(V259,税率及规则!$A$2:$C$8,2,TRUE))</f>
        <v/>
      </c>
      <c r="X259" s="15" t="str">
        <f>IF(V259="","",VLOOKUP(V259,税率及规则!$A$2:$C$8,3,TRUE))</f>
        <v/>
      </c>
      <c r="Y259" s="15" t="str">
        <f t="shared" si="66"/>
        <v/>
      </c>
      <c r="Z259" s="15" t="str">
        <f>IF(U259="","",MAX(0,U259*VLOOKUP(U259,税率及规则!$A$2:$C$8,2,TRUE)-VLOOKUP(U259,税率及规则!$A$2:$C$8,3,TRUE)))</f>
        <v/>
      </c>
      <c r="AA259" s="15" t="str">
        <f t="shared" si="67"/>
        <v/>
      </c>
      <c r="AB259" s="17" t="str">
        <f t="shared" si="68"/>
        <v/>
      </c>
      <c r="AC259" s="17" t="str">
        <f t="shared" si="69"/>
        <v/>
      </c>
      <c r="AD259" s="4" t="str">
        <f>IF(A259="","",IF(COUNTIF($A$2:$A$501,A259)&gt;1,"异常：事件编号重复",IF(OR(C259="",D259="",E259="",F259="",G259=""),"异常：必填项缺失",IF(AND(F259="其他股权激励",O259=""),"异常：其他股权激励所得缺失",IF(AND(F259&lt;&gt;"其他股权激励",OR(I259="",J259="")),"异常：数量或市场价缺失",IF(AND(F259&lt;&gt;"其他股权激励",OR(I259&lt;=0,J259&lt;0)),"异常：数量或价格无效",IF(AND(F259="限制性股票",OR(M259&lt;=0,N259&lt;0,I259&gt;M259)),"异常：个人获授或出资数据无效",IF(AND(IFERROR(INDEX(计划参数!$J$2:$J$501,MATCH(C259,计划参数!$I$2:$I$501,0)),"")&lt;&gt;"",D259&lt;&gt;IFERROR(INDEX(计划参数!$J$2:$J$501,MATCH(C259,计划参数!$I$2:$I$501,0)),"")),"异常：姓名与员工主数据不一致",IF(S259&lt;0,"异常：原始所得为负，已按0计税",IF(OR(AND(F259="股票期权",K259=""),AND(F259="限制性股票",OR(K259="",L259=""))),"异常：计划参数缺失",IF(COUNTIF(计划参数!$I$2:$I$501,C259)=0,"提示：员工编号未在主数据",IF(Q259&lt;&gt;"已备案","提示：未确认备案","正常"))))))))))))</f>
        <v/>
      </c>
      <c r="AE259" s="9"/>
      <c r="AF259" s="4" t="str">
        <f>IF(C259="","",IF(COUNTIF($C$2:C259,C259)=1,MAX($AF$1:AF258)+1,""))</f>
        <v/>
      </c>
      <c r="AG259" s="4" t="str">
        <f>IF(C259="","",COUNTIF($C$2:C259,C259))</f>
        <v/>
      </c>
      <c r="AH259" s="4" t="str">
        <f t="shared" si="70"/>
        <v/>
      </c>
      <c r="AI259" s="4" t="str">
        <f t="shared" si="71"/>
        <v/>
      </c>
      <c r="AJ259" s="4" t="str">
        <f t="shared" si="72"/>
        <v/>
      </c>
      <c r="AK259" s="15" t="str">
        <f>IF(A259="","",SUMIFS(分期缴税台账!$K$2:$K$501,分期缴税台账!$T$2:$T$501,A259,分期缴税台账!$Q$2:$Q$501,"有效"))</f>
        <v/>
      </c>
      <c r="AL259" s="15" t="str">
        <f t="shared" si="73"/>
        <v/>
      </c>
      <c r="AM259" s="4" t="str">
        <f t="shared" si="74"/>
        <v/>
      </c>
    </row>
    <row r="260" spans="1:39" x14ac:dyDescent="0.3">
      <c r="A260" s="9"/>
      <c r="B260" s="4" t="str">
        <f t="shared" si="60"/>
        <v/>
      </c>
      <c r="C260" s="9"/>
      <c r="D260" s="9"/>
      <c r="E260" s="9"/>
      <c r="F260" s="9"/>
      <c r="G260" s="13"/>
      <c r="H260" s="4" t="str">
        <f t="shared" si="61"/>
        <v/>
      </c>
      <c r="I260" s="9"/>
      <c r="J260" s="14"/>
      <c r="K260" s="15" t="str">
        <f>IF(OR(E260="",F260="",G260=""),"",IF(E260&lt;&gt;计划参数!$C$2,"",IF(F260="股票期权",IFERROR(LOOKUP(G260,计划参数!$D$12:$D$15,计划参数!$C$12:$C$15),""),IF(F260="限制性股票",计划参数!$C$10,""))))</f>
        <v/>
      </c>
      <c r="L260" s="15" t="str">
        <f>IF(AND(E260=计划参数!$C$2,F260="限制性股票",G260&gt;=计划参数!$D$9),计划参数!$C$9,"")</f>
        <v/>
      </c>
      <c r="M260" s="9"/>
      <c r="N260" s="14"/>
      <c r="O260" s="14"/>
      <c r="P260" s="13"/>
      <c r="Q260" s="9"/>
      <c r="R260" s="13"/>
      <c r="S260" s="15" t="str">
        <f t="shared" si="62"/>
        <v/>
      </c>
      <c r="T260" s="15" t="str">
        <f t="shared" si="63"/>
        <v/>
      </c>
      <c r="U260" s="15" t="str">
        <f t="shared" si="64"/>
        <v/>
      </c>
      <c r="V260" s="15" t="str">
        <f t="shared" si="65"/>
        <v/>
      </c>
      <c r="W260" s="16" t="str">
        <f>IF(V260="","",VLOOKUP(V260,税率及规则!$A$2:$C$8,2,TRUE))</f>
        <v/>
      </c>
      <c r="X260" s="15" t="str">
        <f>IF(V260="","",VLOOKUP(V260,税率及规则!$A$2:$C$8,3,TRUE))</f>
        <v/>
      </c>
      <c r="Y260" s="15" t="str">
        <f t="shared" si="66"/>
        <v/>
      </c>
      <c r="Z260" s="15" t="str">
        <f>IF(U260="","",MAX(0,U260*VLOOKUP(U260,税率及规则!$A$2:$C$8,2,TRUE)-VLOOKUP(U260,税率及规则!$A$2:$C$8,3,TRUE)))</f>
        <v/>
      </c>
      <c r="AA260" s="15" t="str">
        <f t="shared" si="67"/>
        <v/>
      </c>
      <c r="AB260" s="17" t="str">
        <f t="shared" si="68"/>
        <v/>
      </c>
      <c r="AC260" s="17" t="str">
        <f t="shared" si="69"/>
        <v/>
      </c>
      <c r="AD260" s="4" t="str">
        <f>IF(A260="","",IF(COUNTIF($A$2:$A$501,A260)&gt;1,"异常：事件编号重复",IF(OR(C260="",D260="",E260="",F260="",G260=""),"异常：必填项缺失",IF(AND(F260="其他股权激励",O260=""),"异常：其他股权激励所得缺失",IF(AND(F260&lt;&gt;"其他股权激励",OR(I260="",J260="")),"异常：数量或市场价缺失",IF(AND(F260&lt;&gt;"其他股权激励",OR(I260&lt;=0,J260&lt;0)),"异常：数量或价格无效",IF(AND(F260="限制性股票",OR(M260&lt;=0,N260&lt;0,I260&gt;M260)),"异常：个人获授或出资数据无效",IF(AND(IFERROR(INDEX(计划参数!$J$2:$J$501,MATCH(C260,计划参数!$I$2:$I$501,0)),"")&lt;&gt;"",D260&lt;&gt;IFERROR(INDEX(计划参数!$J$2:$J$501,MATCH(C260,计划参数!$I$2:$I$501,0)),"")),"异常：姓名与员工主数据不一致",IF(S260&lt;0,"异常：原始所得为负，已按0计税",IF(OR(AND(F260="股票期权",K260=""),AND(F260="限制性股票",OR(K260="",L260=""))),"异常：计划参数缺失",IF(COUNTIF(计划参数!$I$2:$I$501,C260)=0,"提示：员工编号未在主数据",IF(Q260&lt;&gt;"已备案","提示：未确认备案","正常"))))))))))))</f>
        <v/>
      </c>
      <c r="AE260" s="9"/>
      <c r="AF260" s="4" t="str">
        <f>IF(C260="","",IF(COUNTIF($C$2:C260,C260)=1,MAX($AF$1:AF259)+1,""))</f>
        <v/>
      </c>
      <c r="AG260" s="4" t="str">
        <f>IF(C260="","",COUNTIF($C$2:C260,C260))</f>
        <v/>
      </c>
      <c r="AH260" s="4" t="str">
        <f t="shared" si="70"/>
        <v/>
      </c>
      <c r="AI260" s="4" t="str">
        <f t="shared" si="71"/>
        <v/>
      </c>
      <c r="AJ260" s="4" t="str">
        <f t="shared" si="72"/>
        <v/>
      </c>
      <c r="AK260" s="15" t="str">
        <f>IF(A260="","",SUMIFS(分期缴税台账!$K$2:$K$501,分期缴税台账!$T$2:$T$501,A260,分期缴税台账!$Q$2:$Q$501,"有效"))</f>
        <v/>
      </c>
      <c r="AL260" s="15" t="str">
        <f t="shared" si="73"/>
        <v/>
      </c>
      <c r="AM260" s="4" t="str">
        <f t="shared" si="74"/>
        <v/>
      </c>
    </row>
    <row r="261" spans="1:39" x14ac:dyDescent="0.3">
      <c r="A261" s="9"/>
      <c r="B261" s="4" t="str">
        <f t="shared" si="60"/>
        <v/>
      </c>
      <c r="C261" s="9"/>
      <c r="D261" s="9"/>
      <c r="E261" s="9"/>
      <c r="F261" s="9"/>
      <c r="G261" s="13"/>
      <c r="H261" s="4" t="str">
        <f t="shared" si="61"/>
        <v/>
      </c>
      <c r="I261" s="9"/>
      <c r="J261" s="14"/>
      <c r="K261" s="15" t="str">
        <f>IF(OR(E261="",F261="",G261=""),"",IF(E261&lt;&gt;计划参数!$C$2,"",IF(F261="股票期权",IFERROR(LOOKUP(G261,计划参数!$D$12:$D$15,计划参数!$C$12:$C$15),""),IF(F261="限制性股票",计划参数!$C$10,""))))</f>
        <v/>
      </c>
      <c r="L261" s="15" t="str">
        <f>IF(AND(E261=计划参数!$C$2,F261="限制性股票",G261&gt;=计划参数!$D$9),计划参数!$C$9,"")</f>
        <v/>
      </c>
      <c r="M261" s="9"/>
      <c r="N261" s="14"/>
      <c r="O261" s="14"/>
      <c r="P261" s="13"/>
      <c r="Q261" s="9"/>
      <c r="R261" s="13"/>
      <c r="S261" s="15" t="str">
        <f t="shared" si="62"/>
        <v/>
      </c>
      <c r="T261" s="15" t="str">
        <f t="shared" si="63"/>
        <v/>
      </c>
      <c r="U261" s="15" t="str">
        <f t="shared" si="64"/>
        <v/>
      </c>
      <c r="V261" s="15" t="str">
        <f t="shared" si="65"/>
        <v/>
      </c>
      <c r="W261" s="16" t="str">
        <f>IF(V261="","",VLOOKUP(V261,税率及规则!$A$2:$C$8,2,TRUE))</f>
        <v/>
      </c>
      <c r="X261" s="15" t="str">
        <f>IF(V261="","",VLOOKUP(V261,税率及规则!$A$2:$C$8,3,TRUE))</f>
        <v/>
      </c>
      <c r="Y261" s="15" t="str">
        <f t="shared" si="66"/>
        <v/>
      </c>
      <c r="Z261" s="15" t="str">
        <f>IF(U261="","",MAX(0,U261*VLOOKUP(U261,税率及规则!$A$2:$C$8,2,TRUE)-VLOOKUP(U261,税率及规则!$A$2:$C$8,3,TRUE)))</f>
        <v/>
      </c>
      <c r="AA261" s="15" t="str">
        <f t="shared" si="67"/>
        <v/>
      </c>
      <c r="AB261" s="17" t="str">
        <f t="shared" si="68"/>
        <v/>
      </c>
      <c r="AC261" s="17" t="str">
        <f t="shared" si="69"/>
        <v/>
      </c>
      <c r="AD261" s="4" t="str">
        <f>IF(A261="","",IF(COUNTIF($A$2:$A$501,A261)&gt;1,"异常：事件编号重复",IF(OR(C261="",D261="",E261="",F261="",G261=""),"异常：必填项缺失",IF(AND(F261="其他股权激励",O261=""),"异常：其他股权激励所得缺失",IF(AND(F261&lt;&gt;"其他股权激励",OR(I261="",J261="")),"异常：数量或市场价缺失",IF(AND(F261&lt;&gt;"其他股权激励",OR(I261&lt;=0,J261&lt;0)),"异常：数量或价格无效",IF(AND(F261="限制性股票",OR(M261&lt;=0,N261&lt;0,I261&gt;M261)),"异常：个人获授或出资数据无效",IF(AND(IFERROR(INDEX(计划参数!$J$2:$J$501,MATCH(C261,计划参数!$I$2:$I$501,0)),"")&lt;&gt;"",D261&lt;&gt;IFERROR(INDEX(计划参数!$J$2:$J$501,MATCH(C261,计划参数!$I$2:$I$501,0)),"")),"异常：姓名与员工主数据不一致",IF(S261&lt;0,"异常：原始所得为负，已按0计税",IF(OR(AND(F261="股票期权",K261=""),AND(F261="限制性股票",OR(K261="",L261=""))),"异常：计划参数缺失",IF(COUNTIF(计划参数!$I$2:$I$501,C261)=0,"提示：员工编号未在主数据",IF(Q261&lt;&gt;"已备案","提示：未确认备案","正常"))))))))))))</f>
        <v/>
      </c>
      <c r="AE261" s="9"/>
      <c r="AF261" s="4" t="str">
        <f>IF(C261="","",IF(COUNTIF($C$2:C261,C261)=1,MAX($AF$1:AF260)+1,""))</f>
        <v/>
      </c>
      <c r="AG261" s="4" t="str">
        <f>IF(C261="","",COUNTIF($C$2:C261,C261))</f>
        <v/>
      </c>
      <c r="AH261" s="4" t="str">
        <f t="shared" si="70"/>
        <v/>
      </c>
      <c r="AI261" s="4" t="str">
        <f t="shared" si="71"/>
        <v/>
      </c>
      <c r="AJ261" s="4" t="str">
        <f t="shared" si="72"/>
        <v/>
      </c>
      <c r="AK261" s="15" t="str">
        <f>IF(A261="","",SUMIFS(分期缴税台账!$K$2:$K$501,分期缴税台账!$T$2:$T$501,A261,分期缴税台账!$Q$2:$Q$501,"有效"))</f>
        <v/>
      </c>
      <c r="AL261" s="15" t="str">
        <f t="shared" si="73"/>
        <v/>
      </c>
      <c r="AM261" s="4" t="str">
        <f t="shared" si="74"/>
        <v/>
      </c>
    </row>
    <row r="262" spans="1:39" x14ac:dyDescent="0.3">
      <c r="A262" s="9"/>
      <c r="B262" s="4" t="str">
        <f t="shared" si="60"/>
        <v/>
      </c>
      <c r="C262" s="9"/>
      <c r="D262" s="9"/>
      <c r="E262" s="9"/>
      <c r="F262" s="9"/>
      <c r="G262" s="13"/>
      <c r="H262" s="4" t="str">
        <f t="shared" si="61"/>
        <v/>
      </c>
      <c r="I262" s="9"/>
      <c r="J262" s="14"/>
      <c r="K262" s="15" t="str">
        <f>IF(OR(E262="",F262="",G262=""),"",IF(E262&lt;&gt;计划参数!$C$2,"",IF(F262="股票期权",IFERROR(LOOKUP(G262,计划参数!$D$12:$D$15,计划参数!$C$12:$C$15),""),IF(F262="限制性股票",计划参数!$C$10,""))))</f>
        <v/>
      </c>
      <c r="L262" s="15" t="str">
        <f>IF(AND(E262=计划参数!$C$2,F262="限制性股票",G262&gt;=计划参数!$D$9),计划参数!$C$9,"")</f>
        <v/>
      </c>
      <c r="M262" s="9"/>
      <c r="N262" s="14"/>
      <c r="O262" s="14"/>
      <c r="P262" s="13"/>
      <c r="Q262" s="9"/>
      <c r="R262" s="13"/>
      <c r="S262" s="15" t="str">
        <f t="shared" si="62"/>
        <v/>
      </c>
      <c r="T262" s="15" t="str">
        <f t="shared" si="63"/>
        <v/>
      </c>
      <c r="U262" s="15" t="str">
        <f t="shared" si="64"/>
        <v/>
      </c>
      <c r="V262" s="15" t="str">
        <f t="shared" si="65"/>
        <v/>
      </c>
      <c r="W262" s="16" t="str">
        <f>IF(V262="","",VLOOKUP(V262,税率及规则!$A$2:$C$8,2,TRUE))</f>
        <v/>
      </c>
      <c r="X262" s="15" t="str">
        <f>IF(V262="","",VLOOKUP(V262,税率及规则!$A$2:$C$8,3,TRUE))</f>
        <v/>
      </c>
      <c r="Y262" s="15" t="str">
        <f t="shared" si="66"/>
        <v/>
      </c>
      <c r="Z262" s="15" t="str">
        <f>IF(U262="","",MAX(0,U262*VLOOKUP(U262,税率及规则!$A$2:$C$8,2,TRUE)-VLOOKUP(U262,税率及规则!$A$2:$C$8,3,TRUE)))</f>
        <v/>
      </c>
      <c r="AA262" s="15" t="str">
        <f t="shared" si="67"/>
        <v/>
      </c>
      <c r="AB262" s="17" t="str">
        <f t="shared" si="68"/>
        <v/>
      </c>
      <c r="AC262" s="17" t="str">
        <f t="shared" si="69"/>
        <v/>
      </c>
      <c r="AD262" s="4" t="str">
        <f>IF(A262="","",IF(COUNTIF($A$2:$A$501,A262)&gt;1,"异常：事件编号重复",IF(OR(C262="",D262="",E262="",F262="",G262=""),"异常：必填项缺失",IF(AND(F262="其他股权激励",O262=""),"异常：其他股权激励所得缺失",IF(AND(F262&lt;&gt;"其他股权激励",OR(I262="",J262="")),"异常：数量或市场价缺失",IF(AND(F262&lt;&gt;"其他股权激励",OR(I262&lt;=0,J262&lt;0)),"异常：数量或价格无效",IF(AND(F262="限制性股票",OR(M262&lt;=0,N262&lt;0,I262&gt;M262)),"异常：个人获授或出资数据无效",IF(AND(IFERROR(INDEX(计划参数!$J$2:$J$501,MATCH(C262,计划参数!$I$2:$I$501,0)),"")&lt;&gt;"",D262&lt;&gt;IFERROR(INDEX(计划参数!$J$2:$J$501,MATCH(C262,计划参数!$I$2:$I$501,0)),"")),"异常：姓名与员工主数据不一致",IF(S262&lt;0,"异常：原始所得为负，已按0计税",IF(OR(AND(F262="股票期权",K262=""),AND(F262="限制性股票",OR(K262="",L262=""))),"异常：计划参数缺失",IF(COUNTIF(计划参数!$I$2:$I$501,C262)=0,"提示：员工编号未在主数据",IF(Q262&lt;&gt;"已备案","提示：未确认备案","正常"))))))))))))</f>
        <v/>
      </c>
      <c r="AE262" s="9"/>
      <c r="AF262" s="4" t="str">
        <f>IF(C262="","",IF(COUNTIF($C$2:C262,C262)=1,MAX($AF$1:AF261)+1,""))</f>
        <v/>
      </c>
      <c r="AG262" s="4" t="str">
        <f>IF(C262="","",COUNTIF($C$2:C262,C262))</f>
        <v/>
      </c>
      <c r="AH262" s="4" t="str">
        <f t="shared" si="70"/>
        <v/>
      </c>
      <c r="AI262" s="4" t="str">
        <f t="shared" si="71"/>
        <v/>
      </c>
      <c r="AJ262" s="4" t="str">
        <f t="shared" si="72"/>
        <v/>
      </c>
      <c r="AK262" s="15" t="str">
        <f>IF(A262="","",SUMIFS(分期缴税台账!$K$2:$K$501,分期缴税台账!$T$2:$T$501,A262,分期缴税台账!$Q$2:$Q$501,"有效"))</f>
        <v/>
      </c>
      <c r="AL262" s="15" t="str">
        <f t="shared" si="73"/>
        <v/>
      </c>
      <c r="AM262" s="4" t="str">
        <f t="shared" si="74"/>
        <v/>
      </c>
    </row>
    <row r="263" spans="1:39" x14ac:dyDescent="0.3">
      <c r="A263" s="9"/>
      <c r="B263" s="4" t="str">
        <f t="shared" si="60"/>
        <v/>
      </c>
      <c r="C263" s="9"/>
      <c r="D263" s="9"/>
      <c r="E263" s="9"/>
      <c r="F263" s="9"/>
      <c r="G263" s="13"/>
      <c r="H263" s="4" t="str">
        <f t="shared" si="61"/>
        <v/>
      </c>
      <c r="I263" s="9"/>
      <c r="J263" s="14"/>
      <c r="K263" s="15" t="str">
        <f>IF(OR(E263="",F263="",G263=""),"",IF(E263&lt;&gt;计划参数!$C$2,"",IF(F263="股票期权",IFERROR(LOOKUP(G263,计划参数!$D$12:$D$15,计划参数!$C$12:$C$15),""),IF(F263="限制性股票",计划参数!$C$10,""))))</f>
        <v/>
      </c>
      <c r="L263" s="15" t="str">
        <f>IF(AND(E263=计划参数!$C$2,F263="限制性股票",G263&gt;=计划参数!$D$9),计划参数!$C$9,"")</f>
        <v/>
      </c>
      <c r="M263" s="9"/>
      <c r="N263" s="14"/>
      <c r="O263" s="14"/>
      <c r="P263" s="13"/>
      <c r="Q263" s="9"/>
      <c r="R263" s="13"/>
      <c r="S263" s="15" t="str">
        <f t="shared" si="62"/>
        <v/>
      </c>
      <c r="T263" s="15" t="str">
        <f t="shared" si="63"/>
        <v/>
      </c>
      <c r="U263" s="15" t="str">
        <f t="shared" si="64"/>
        <v/>
      </c>
      <c r="V263" s="15" t="str">
        <f t="shared" si="65"/>
        <v/>
      </c>
      <c r="W263" s="16" t="str">
        <f>IF(V263="","",VLOOKUP(V263,税率及规则!$A$2:$C$8,2,TRUE))</f>
        <v/>
      </c>
      <c r="X263" s="15" t="str">
        <f>IF(V263="","",VLOOKUP(V263,税率及规则!$A$2:$C$8,3,TRUE))</f>
        <v/>
      </c>
      <c r="Y263" s="15" t="str">
        <f t="shared" si="66"/>
        <v/>
      </c>
      <c r="Z263" s="15" t="str">
        <f>IF(U263="","",MAX(0,U263*VLOOKUP(U263,税率及规则!$A$2:$C$8,2,TRUE)-VLOOKUP(U263,税率及规则!$A$2:$C$8,3,TRUE)))</f>
        <v/>
      </c>
      <c r="AA263" s="15" t="str">
        <f t="shared" si="67"/>
        <v/>
      </c>
      <c r="AB263" s="17" t="str">
        <f t="shared" si="68"/>
        <v/>
      </c>
      <c r="AC263" s="17" t="str">
        <f t="shared" si="69"/>
        <v/>
      </c>
      <c r="AD263" s="4" t="str">
        <f>IF(A263="","",IF(COUNTIF($A$2:$A$501,A263)&gt;1,"异常：事件编号重复",IF(OR(C263="",D263="",E263="",F263="",G263=""),"异常：必填项缺失",IF(AND(F263="其他股权激励",O263=""),"异常：其他股权激励所得缺失",IF(AND(F263&lt;&gt;"其他股权激励",OR(I263="",J263="")),"异常：数量或市场价缺失",IF(AND(F263&lt;&gt;"其他股权激励",OR(I263&lt;=0,J263&lt;0)),"异常：数量或价格无效",IF(AND(F263="限制性股票",OR(M263&lt;=0,N263&lt;0,I263&gt;M263)),"异常：个人获授或出资数据无效",IF(AND(IFERROR(INDEX(计划参数!$J$2:$J$501,MATCH(C263,计划参数!$I$2:$I$501,0)),"")&lt;&gt;"",D263&lt;&gt;IFERROR(INDEX(计划参数!$J$2:$J$501,MATCH(C263,计划参数!$I$2:$I$501,0)),"")),"异常：姓名与员工主数据不一致",IF(S263&lt;0,"异常：原始所得为负，已按0计税",IF(OR(AND(F263="股票期权",K263=""),AND(F263="限制性股票",OR(K263="",L263=""))),"异常：计划参数缺失",IF(COUNTIF(计划参数!$I$2:$I$501,C263)=0,"提示：员工编号未在主数据",IF(Q263&lt;&gt;"已备案","提示：未确认备案","正常"))))))))))))</f>
        <v/>
      </c>
      <c r="AE263" s="9"/>
      <c r="AF263" s="4" t="str">
        <f>IF(C263="","",IF(COUNTIF($C$2:C263,C263)=1,MAX($AF$1:AF262)+1,""))</f>
        <v/>
      </c>
      <c r="AG263" s="4" t="str">
        <f>IF(C263="","",COUNTIF($C$2:C263,C263))</f>
        <v/>
      </c>
      <c r="AH263" s="4" t="str">
        <f t="shared" si="70"/>
        <v/>
      </c>
      <c r="AI263" s="4" t="str">
        <f t="shared" si="71"/>
        <v/>
      </c>
      <c r="AJ263" s="4" t="str">
        <f t="shared" si="72"/>
        <v/>
      </c>
      <c r="AK263" s="15" t="str">
        <f>IF(A263="","",SUMIFS(分期缴税台账!$K$2:$K$501,分期缴税台账!$T$2:$T$501,A263,分期缴税台账!$Q$2:$Q$501,"有效"))</f>
        <v/>
      </c>
      <c r="AL263" s="15" t="str">
        <f t="shared" si="73"/>
        <v/>
      </c>
      <c r="AM263" s="4" t="str">
        <f t="shared" si="74"/>
        <v/>
      </c>
    </row>
    <row r="264" spans="1:39" x14ac:dyDescent="0.3">
      <c r="A264" s="9"/>
      <c r="B264" s="4" t="str">
        <f t="shared" si="60"/>
        <v/>
      </c>
      <c r="C264" s="9"/>
      <c r="D264" s="9"/>
      <c r="E264" s="9"/>
      <c r="F264" s="9"/>
      <c r="G264" s="13"/>
      <c r="H264" s="4" t="str">
        <f t="shared" si="61"/>
        <v/>
      </c>
      <c r="I264" s="9"/>
      <c r="J264" s="14"/>
      <c r="K264" s="15" t="str">
        <f>IF(OR(E264="",F264="",G264=""),"",IF(E264&lt;&gt;计划参数!$C$2,"",IF(F264="股票期权",IFERROR(LOOKUP(G264,计划参数!$D$12:$D$15,计划参数!$C$12:$C$15),""),IF(F264="限制性股票",计划参数!$C$10,""))))</f>
        <v/>
      </c>
      <c r="L264" s="15" t="str">
        <f>IF(AND(E264=计划参数!$C$2,F264="限制性股票",G264&gt;=计划参数!$D$9),计划参数!$C$9,"")</f>
        <v/>
      </c>
      <c r="M264" s="9"/>
      <c r="N264" s="14"/>
      <c r="O264" s="14"/>
      <c r="P264" s="13"/>
      <c r="Q264" s="9"/>
      <c r="R264" s="13"/>
      <c r="S264" s="15" t="str">
        <f t="shared" si="62"/>
        <v/>
      </c>
      <c r="T264" s="15" t="str">
        <f t="shared" si="63"/>
        <v/>
      </c>
      <c r="U264" s="15" t="str">
        <f t="shared" si="64"/>
        <v/>
      </c>
      <c r="V264" s="15" t="str">
        <f t="shared" si="65"/>
        <v/>
      </c>
      <c r="W264" s="16" t="str">
        <f>IF(V264="","",VLOOKUP(V264,税率及规则!$A$2:$C$8,2,TRUE))</f>
        <v/>
      </c>
      <c r="X264" s="15" t="str">
        <f>IF(V264="","",VLOOKUP(V264,税率及规则!$A$2:$C$8,3,TRUE))</f>
        <v/>
      </c>
      <c r="Y264" s="15" t="str">
        <f t="shared" si="66"/>
        <v/>
      </c>
      <c r="Z264" s="15" t="str">
        <f>IF(U264="","",MAX(0,U264*VLOOKUP(U264,税率及规则!$A$2:$C$8,2,TRUE)-VLOOKUP(U264,税率及规则!$A$2:$C$8,3,TRUE)))</f>
        <v/>
      </c>
      <c r="AA264" s="15" t="str">
        <f t="shared" si="67"/>
        <v/>
      </c>
      <c r="AB264" s="17" t="str">
        <f t="shared" si="68"/>
        <v/>
      </c>
      <c r="AC264" s="17" t="str">
        <f t="shared" si="69"/>
        <v/>
      </c>
      <c r="AD264" s="4" t="str">
        <f>IF(A264="","",IF(COUNTIF($A$2:$A$501,A264)&gt;1,"异常：事件编号重复",IF(OR(C264="",D264="",E264="",F264="",G264=""),"异常：必填项缺失",IF(AND(F264="其他股权激励",O264=""),"异常：其他股权激励所得缺失",IF(AND(F264&lt;&gt;"其他股权激励",OR(I264="",J264="")),"异常：数量或市场价缺失",IF(AND(F264&lt;&gt;"其他股权激励",OR(I264&lt;=0,J264&lt;0)),"异常：数量或价格无效",IF(AND(F264="限制性股票",OR(M264&lt;=0,N264&lt;0,I264&gt;M264)),"异常：个人获授或出资数据无效",IF(AND(IFERROR(INDEX(计划参数!$J$2:$J$501,MATCH(C264,计划参数!$I$2:$I$501,0)),"")&lt;&gt;"",D264&lt;&gt;IFERROR(INDEX(计划参数!$J$2:$J$501,MATCH(C264,计划参数!$I$2:$I$501,0)),"")),"异常：姓名与员工主数据不一致",IF(S264&lt;0,"异常：原始所得为负，已按0计税",IF(OR(AND(F264="股票期权",K264=""),AND(F264="限制性股票",OR(K264="",L264=""))),"异常：计划参数缺失",IF(COUNTIF(计划参数!$I$2:$I$501,C264)=0,"提示：员工编号未在主数据",IF(Q264&lt;&gt;"已备案","提示：未确认备案","正常"))))))))))))</f>
        <v/>
      </c>
      <c r="AE264" s="9"/>
      <c r="AF264" s="4" t="str">
        <f>IF(C264="","",IF(COUNTIF($C$2:C264,C264)=1,MAX($AF$1:AF263)+1,""))</f>
        <v/>
      </c>
      <c r="AG264" s="4" t="str">
        <f>IF(C264="","",COUNTIF($C$2:C264,C264))</f>
        <v/>
      </c>
      <c r="AH264" s="4" t="str">
        <f t="shared" si="70"/>
        <v/>
      </c>
      <c r="AI264" s="4" t="str">
        <f t="shared" si="71"/>
        <v/>
      </c>
      <c r="AJ264" s="4" t="str">
        <f t="shared" si="72"/>
        <v/>
      </c>
      <c r="AK264" s="15" t="str">
        <f>IF(A264="","",SUMIFS(分期缴税台账!$K$2:$K$501,分期缴税台账!$T$2:$T$501,A264,分期缴税台账!$Q$2:$Q$501,"有效"))</f>
        <v/>
      </c>
      <c r="AL264" s="15" t="str">
        <f t="shared" si="73"/>
        <v/>
      </c>
      <c r="AM264" s="4" t="str">
        <f t="shared" si="74"/>
        <v/>
      </c>
    </row>
    <row r="265" spans="1:39" x14ac:dyDescent="0.3">
      <c r="A265" s="9"/>
      <c r="B265" s="4" t="str">
        <f t="shared" si="60"/>
        <v/>
      </c>
      <c r="C265" s="9"/>
      <c r="D265" s="9"/>
      <c r="E265" s="9"/>
      <c r="F265" s="9"/>
      <c r="G265" s="13"/>
      <c r="H265" s="4" t="str">
        <f t="shared" si="61"/>
        <v/>
      </c>
      <c r="I265" s="9"/>
      <c r="J265" s="14"/>
      <c r="K265" s="15" t="str">
        <f>IF(OR(E265="",F265="",G265=""),"",IF(E265&lt;&gt;计划参数!$C$2,"",IF(F265="股票期权",IFERROR(LOOKUP(G265,计划参数!$D$12:$D$15,计划参数!$C$12:$C$15),""),IF(F265="限制性股票",计划参数!$C$10,""))))</f>
        <v/>
      </c>
      <c r="L265" s="15" t="str">
        <f>IF(AND(E265=计划参数!$C$2,F265="限制性股票",G265&gt;=计划参数!$D$9),计划参数!$C$9,"")</f>
        <v/>
      </c>
      <c r="M265" s="9"/>
      <c r="N265" s="14"/>
      <c r="O265" s="14"/>
      <c r="P265" s="13"/>
      <c r="Q265" s="9"/>
      <c r="R265" s="13"/>
      <c r="S265" s="15" t="str">
        <f t="shared" si="62"/>
        <v/>
      </c>
      <c r="T265" s="15" t="str">
        <f t="shared" si="63"/>
        <v/>
      </c>
      <c r="U265" s="15" t="str">
        <f t="shared" si="64"/>
        <v/>
      </c>
      <c r="V265" s="15" t="str">
        <f t="shared" si="65"/>
        <v/>
      </c>
      <c r="W265" s="16" t="str">
        <f>IF(V265="","",VLOOKUP(V265,税率及规则!$A$2:$C$8,2,TRUE))</f>
        <v/>
      </c>
      <c r="X265" s="15" t="str">
        <f>IF(V265="","",VLOOKUP(V265,税率及规则!$A$2:$C$8,3,TRUE))</f>
        <v/>
      </c>
      <c r="Y265" s="15" t="str">
        <f t="shared" si="66"/>
        <v/>
      </c>
      <c r="Z265" s="15" t="str">
        <f>IF(U265="","",MAX(0,U265*VLOOKUP(U265,税率及规则!$A$2:$C$8,2,TRUE)-VLOOKUP(U265,税率及规则!$A$2:$C$8,3,TRUE)))</f>
        <v/>
      </c>
      <c r="AA265" s="15" t="str">
        <f t="shared" si="67"/>
        <v/>
      </c>
      <c r="AB265" s="17" t="str">
        <f t="shared" si="68"/>
        <v/>
      </c>
      <c r="AC265" s="17" t="str">
        <f t="shared" si="69"/>
        <v/>
      </c>
      <c r="AD265" s="4" t="str">
        <f>IF(A265="","",IF(COUNTIF($A$2:$A$501,A265)&gt;1,"异常：事件编号重复",IF(OR(C265="",D265="",E265="",F265="",G265=""),"异常：必填项缺失",IF(AND(F265="其他股权激励",O265=""),"异常：其他股权激励所得缺失",IF(AND(F265&lt;&gt;"其他股权激励",OR(I265="",J265="")),"异常：数量或市场价缺失",IF(AND(F265&lt;&gt;"其他股权激励",OR(I265&lt;=0,J265&lt;0)),"异常：数量或价格无效",IF(AND(F265="限制性股票",OR(M265&lt;=0,N265&lt;0,I265&gt;M265)),"异常：个人获授或出资数据无效",IF(AND(IFERROR(INDEX(计划参数!$J$2:$J$501,MATCH(C265,计划参数!$I$2:$I$501,0)),"")&lt;&gt;"",D265&lt;&gt;IFERROR(INDEX(计划参数!$J$2:$J$501,MATCH(C265,计划参数!$I$2:$I$501,0)),"")),"异常：姓名与员工主数据不一致",IF(S265&lt;0,"异常：原始所得为负，已按0计税",IF(OR(AND(F265="股票期权",K265=""),AND(F265="限制性股票",OR(K265="",L265=""))),"异常：计划参数缺失",IF(COUNTIF(计划参数!$I$2:$I$501,C265)=0,"提示：员工编号未在主数据",IF(Q265&lt;&gt;"已备案","提示：未确认备案","正常"))))))))))))</f>
        <v/>
      </c>
      <c r="AE265" s="9"/>
      <c r="AF265" s="4" t="str">
        <f>IF(C265="","",IF(COUNTIF($C$2:C265,C265)=1,MAX($AF$1:AF264)+1,""))</f>
        <v/>
      </c>
      <c r="AG265" s="4" t="str">
        <f>IF(C265="","",COUNTIF($C$2:C265,C265))</f>
        <v/>
      </c>
      <c r="AH265" s="4" t="str">
        <f t="shared" si="70"/>
        <v/>
      </c>
      <c r="AI265" s="4" t="str">
        <f t="shared" si="71"/>
        <v/>
      </c>
      <c r="AJ265" s="4" t="str">
        <f t="shared" si="72"/>
        <v/>
      </c>
      <c r="AK265" s="15" t="str">
        <f>IF(A265="","",SUMIFS(分期缴税台账!$K$2:$K$501,分期缴税台账!$T$2:$T$501,A265,分期缴税台账!$Q$2:$Q$501,"有效"))</f>
        <v/>
      </c>
      <c r="AL265" s="15" t="str">
        <f t="shared" si="73"/>
        <v/>
      </c>
      <c r="AM265" s="4" t="str">
        <f t="shared" si="74"/>
        <v/>
      </c>
    </row>
    <row r="266" spans="1:39" x14ac:dyDescent="0.3">
      <c r="A266" s="9"/>
      <c r="B266" s="4" t="str">
        <f t="shared" si="60"/>
        <v/>
      </c>
      <c r="C266" s="9"/>
      <c r="D266" s="9"/>
      <c r="E266" s="9"/>
      <c r="F266" s="9"/>
      <c r="G266" s="13"/>
      <c r="H266" s="4" t="str">
        <f t="shared" si="61"/>
        <v/>
      </c>
      <c r="I266" s="9"/>
      <c r="J266" s="14"/>
      <c r="K266" s="15" t="str">
        <f>IF(OR(E266="",F266="",G266=""),"",IF(E266&lt;&gt;计划参数!$C$2,"",IF(F266="股票期权",IFERROR(LOOKUP(G266,计划参数!$D$12:$D$15,计划参数!$C$12:$C$15),""),IF(F266="限制性股票",计划参数!$C$10,""))))</f>
        <v/>
      </c>
      <c r="L266" s="15" t="str">
        <f>IF(AND(E266=计划参数!$C$2,F266="限制性股票",G266&gt;=计划参数!$D$9),计划参数!$C$9,"")</f>
        <v/>
      </c>
      <c r="M266" s="9"/>
      <c r="N266" s="14"/>
      <c r="O266" s="14"/>
      <c r="P266" s="13"/>
      <c r="Q266" s="9"/>
      <c r="R266" s="13"/>
      <c r="S266" s="15" t="str">
        <f t="shared" si="62"/>
        <v/>
      </c>
      <c r="T266" s="15" t="str">
        <f t="shared" si="63"/>
        <v/>
      </c>
      <c r="U266" s="15" t="str">
        <f t="shared" si="64"/>
        <v/>
      </c>
      <c r="V266" s="15" t="str">
        <f t="shared" si="65"/>
        <v/>
      </c>
      <c r="W266" s="16" t="str">
        <f>IF(V266="","",VLOOKUP(V266,税率及规则!$A$2:$C$8,2,TRUE))</f>
        <v/>
      </c>
      <c r="X266" s="15" t="str">
        <f>IF(V266="","",VLOOKUP(V266,税率及规则!$A$2:$C$8,3,TRUE))</f>
        <v/>
      </c>
      <c r="Y266" s="15" t="str">
        <f t="shared" si="66"/>
        <v/>
      </c>
      <c r="Z266" s="15" t="str">
        <f>IF(U266="","",MAX(0,U266*VLOOKUP(U266,税率及规则!$A$2:$C$8,2,TRUE)-VLOOKUP(U266,税率及规则!$A$2:$C$8,3,TRUE)))</f>
        <v/>
      </c>
      <c r="AA266" s="15" t="str">
        <f t="shared" si="67"/>
        <v/>
      </c>
      <c r="AB266" s="17" t="str">
        <f t="shared" si="68"/>
        <v/>
      </c>
      <c r="AC266" s="17" t="str">
        <f t="shared" si="69"/>
        <v/>
      </c>
      <c r="AD266" s="4" t="str">
        <f>IF(A266="","",IF(COUNTIF($A$2:$A$501,A266)&gt;1,"异常：事件编号重复",IF(OR(C266="",D266="",E266="",F266="",G266=""),"异常：必填项缺失",IF(AND(F266="其他股权激励",O266=""),"异常：其他股权激励所得缺失",IF(AND(F266&lt;&gt;"其他股权激励",OR(I266="",J266="")),"异常：数量或市场价缺失",IF(AND(F266&lt;&gt;"其他股权激励",OR(I266&lt;=0,J266&lt;0)),"异常：数量或价格无效",IF(AND(F266="限制性股票",OR(M266&lt;=0,N266&lt;0,I266&gt;M266)),"异常：个人获授或出资数据无效",IF(AND(IFERROR(INDEX(计划参数!$J$2:$J$501,MATCH(C266,计划参数!$I$2:$I$501,0)),"")&lt;&gt;"",D266&lt;&gt;IFERROR(INDEX(计划参数!$J$2:$J$501,MATCH(C266,计划参数!$I$2:$I$501,0)),"")),"异常：姓名与员工主数据不一致",IF(S266&lt;0,"异常：原始所得为负，已按0计税",IF(OR(AND(F266="股票期权",K266=""),AND(F266="限制性股票",OR(K266="",L266=""))),"异常：计划参数缺失",IF(COUNTIF(计划参数!$I$2:$I$501,C266)=0,"提示：员工编号未在主数据",IF(Q266&lt;&gt;"已备案","提示：未确认备案","正常"))))))))))))</f>
        <v/>
      </c>
      <c r="AE266" s="9"/>
      <c r="AF266" s="4" t="str">
        <f>IF(C266="","",IF(COUNTIF($C$2:C266,C266)=1,MAX($AF$1:AF265)+1,""))</f>
        <v/>
      </c>
      <c r="AG266" s="4" t="str">
        <f>IF(C266="","",COUNTIF($C$2:C266,C266))</f>
        <v/>
      </c>
      <c r="AH266" s="4" t="str">
        <f t="shared" si="70"/>
        <v/>
      </c>
      <c r="AI266" s="4" t="str">
        <f t="shared" si="71"/>
        <v/>
      </c>
      <c r="AJ266" s="4" t="str">
        <f t="shared" si="72"/>
        <v/>
      </c>
      <c r="AK266" s="15" t="str">
        <f>IF(A266="","",SUMIFS(分期缴税台账!$K$2:$K$501,分期缴税台账!$T$2:$T$501,A266,分期缴税台账!$Q$2:$Q$501,"有效"))</f>
        <v/>
      </c>
      <c r="AL266" s="15" t="str">
        <f t="shared" si="73"/>
        <v/>
      </c>
      <c r="AM266" s="4" t="str">
        <f t="shared" si="74"/>
        <v/>
      </c>
    </row>
    <row r="267" spans="1:39" x14ac:dyDescent="0.3">
      <c r="A267" s="9"/>
      <c r="B267" s="4" t="str">
        <f t="shared" si="60"/>
        <v/>
      </c>
      <c r="C267" s="9"/>
      <c r="D267" s="9"/>
      <c r="E267" s="9"/>
      <c r="F267" s="9"/>
      <c r="G267" s="13"/>
      <c r="H267" s="4" t="str">
        <f t="shared" si="61"/>
        <v/>
      </c>
      <c r="I267" s="9"/>
      <c r="J267" s="14"/>
      <c r="K267" s="15" t="str">
        <f>IF(OR(E267="",F267="",G267=""),"",IF(E267&lt;&gt;计划参数!$C$2,"",IF(F267="股票期权",IFERROR(LOOKUP(G267,计划参数!$D$12:$D$15,计划参数!$C$12:$C$15),""),IF(F267="限制性股票",计划参数!$C$10,""))))</f>
        <v/>
      </c>
      <c r="L267" s="15" t="str">
        <f>IF(AND(E267=计划参数!$C$2,F267="限制性股票",G267&gt;=计划参数!$D$9),计划参数!$C$9,"")</f>
        <v/>
      </c>
      <c r="M267" s="9"/>
      <c r="N267" s="14"/>
      <c r="O267" s="14"/>
      <c r="P267" s="13"/>
      <c r="Q267" s="9"/>
      <c r="R267" s="13"/>
      <c r="S267" s="15" t="str">
        <f t="shared" si="62"/>
        <v/>
      </c>
      <c r="T267" s="15" t="str">
        <f t="shared" si="63"/>
        <v/>
      </c>
      <c r="U267" s="15" t="str">
        <f t="shared" si="64"/>
        <v/>
      </c>
      <c r="V267" s="15" t="str">
        <f t="shared" si="65"/>
        <v/>
      </c>
      <c r="W267" s="16" t="str">
        <f>IF(V267="","",VLOOKUP(V267,税率及规则!$A$2:$C$8,2,TRUE))</f>
        <v/>
      </c>
      <c r="X267" s="15" t="str">
        <f>IF(V267="","",VLOOKUP(V267,税率及规则!$A$2:$C$8,3,TRUE))</f>
        <v/>
      </c>
      <c r="Y267" s="15" t="str">
        <f t="shared" si="66"/>
        <v/>
      </c>
      <c r="Z267" s="15" t="str">
        <f>IF(U267="","",MAX(0,U267*VLOOKUP(U267,税率及规则!$A$2:$C$8,2,TRUE)-VLOOKUP(U267,税率及规则!$A$2:$C$8,3,TRUE)))</f>
        <v/>
      </c>
      <c r="AA267" s="15" t="str">
        <f t="shared" si="67"/>
        <v/>
      </c>
      <c r="AB267" s="17" t="str">
        <f t="shared" si="68"/>
        <v/>
      </c>
      <c r="AC267" s="17" t="str">
        <f t="shared" si="69"/>
        <v/>
      </c>
      <c r="AD267" s="4" t="str">
        <f>IF(A267="","",IF(COUNTIF($A$2:$A$501,A267)&gt;1,"异常：事件编号重复",IF(OR(C267="",D267="",E267="",F267="",G267=""),"异常：必填项缺失",IF(AND(F267="其他股权激励",O267=""),"异常：其他股权激励所得缺失",IF(AND(F267&lt;&gt;"其他股权激励",OR(I267="",J267="")),"异常：数量或市场价缺失",IF(AND(F267&lt;&gt;"其他股权激励",OR(I267&lt;=0,J267&lt;0)),"异常：数量或价格无效",IF(AND(F267="限制性股票",OR(M267&lt;=0,N267&lt;0,I267&gt;M267)),"异常：个人获授或出资数据无效",IF(AND(IFERROR(INDEX(计划参数!$J$2:$J$501,MATCH(C267,计划参数!$I$2:$I$501,0)),"")&lt;&gt;"",D267&lt;&gt;IFERROR(INDEX(计划参数!$J$2:$J$501,MATCH(C267,计划参数!$I$2:$I$501,0)),"")),"异常：姓名与员工主数据不一致",IF(S267&lt;0,"异常：原始所得为负，已按0计税",IF(OR(AND(F267="股票期权",K267=""),AND(F267="限制性股票",OR(K267="",L267=""))),"异常：计划参数缺失",IF(COUNTIF(计划参数!$I$2:$I$501,C267)=0,"提示：员工编号未在主数据",IF(Q267&lt;&gt;"已备案","提示：未确认备案","正常"))))))))))))</f>
        <v/>
      </c>
      <c r="AE267" s="9"/>
      <c r="AF267" s="4" t="str">
        <f>IF(C267="","",IF(COUNTIF($C$2:C267,C267)=1,MAX($AF$1:AF266)+1,""))</f>
        <v/>
      </c>
      <c r="AG267" s="4" t="str">
        <f>IF(C267="","",COUNTIF($C$2:C267,C267))</f>
        <v/>
      </c>
      <c r="AH267" s="4" t="str">
        <f t="shared" si="70"/>
        <v/>
      </c>
      <c r="AI267" s="4" t="str">
        <f t="shared" si="71"/>
        <v/>
      </c>
      <c r="AJ267" s="4" t="str">
        <f t="shared" si="72"/>
        <v/>
      </c>
      <c r="AK267" s="15" t="str">
        <f>IF(A267="","",SUMIFS(分期缴税台账!$K$2:$K$501,分期缴税台账!$T$2:$T$501,A267,分期缴税台账!$Q$2:$Q$501,"有效"))</f>
        <v/>
      </c>
      <c r="AL267" s="15" t="str">
        <f t="shared" si="73"/>
        <v/>
      </c>
      <c r="AM267" s="4" t="str">
        <f t="shared" si="74"/>
        <v/>
      </c>
    </row>
    <row r="268" spans="1:39" x14ac:dyDescent="0.3">
      <c r="A268" s="9"/>
      <c r="B268" s="4" t="str">
        <f t="shared" si="60"/>
        <v/>
      </c>
      <c r="C268" s="9"/>
      <c r="D268" s="9"/>
      <c r="E268" s="9"/>
      <c r="F268" s="9"/>
      <c r="G268" s="13"/>
      <c r="H268" s="4" t="str">
        <f t="shared" si="61"/>
        <v/>
      </c>
      <c r="I268" s="9"/>
      <c r="J268" s="14"/>
      <c r="K268" s="15" t="str">
        <f>IF(OR(E268="",F268="",G268=""),"",IF(E268&lt;&gt;计划参数!$C$2,"",IF(F268="股票期权",IFERROR(LOOKUP(G268,计划参数!$D$12:$D$15,计划参数!$C$12:$C$15),""),IF(F268="限制性股票",计划参数!$C$10,""))))</f>
        <v/>
      </c>
      <c r="L268" s="15" t="str">
        <f>IF(AND(E268=计划参数!$C$2,F268="限制性股票",G268&gt;=计划参数!$D$9),计划参数!$C$9,"")</f>
        <v/>
      </c>
      <c r="M268" s="9"/>
      <c r="N268" s="14"/>
      <c r="O268" s="14"/>
      <c r="P268" s="13"/>
      <c r="Q268" s="9"/>
      <c r="R268" s="13"/>
      <c r="S268" s="15" t="str">
        <f t="shared" si="62"/>
        <v/>
      </c>
      <c r="T268" s="15" t="str">
        <f t="shared" si="63"/>
        <v/>
      </c>
      <c r="U268" s="15" t="str">
        <f t="shared" si="64"/>
        <v/>
      </c>
      <c r="V268" s="15" t="str">
        <f t="shared" si="65"/>
        <v/>
      </c>
      <c r="W268" s="16" t="str">
        <f>IF(V268="","",VLOOKUP(V268,税率及规则!$A$2:$C$8,2,TRUE))</f>
        <v/>
      </c>
      <c r="X268" s="15" t="str">
        <f>IF(V268="","",VLOOKUP(V268,税率及规则!$A$2:$C$8,3,TRUE))</f>
        <v/>
      </c>
      <c r="Y268" s="15" t="str">
        <f t="shared" si="66"/>
        <v/>
      </c>
      <c r="Z268" s="15" t="str">
        <f>IF(U268="","",MAX(0,U268*VLOOKUP(U268,税率及规则!$A$2:$C$8,2,TRUE)-VLOOKUP(U268,税率及规则!$A$2:$C$8,3,TRUE)))</f>
        <v/>
      </c>
      <c r="AA268" s="15" t="str">
        <f t="shared" si="67"/>
        <v/>
      </c>
      <c r="AB268" s="17" t="str">
        <f t="shared" si="68"/>
        <v/>
      </c>
      <c r="AC268" s="17" t="str">
        <f t="shared" si="69"/>
        <v/>
      </c>
      <c r="AD268" s="4" t="str">
        <f>IF(A268="","",IF(COUNTIF($A$2:$A$501,A268)&gt;1,"异常：事件编号重复",IF(OR(C268="",D268="",E268="",F268="",G268=""),"异常：必填项缺失",IF(AND(F268="其他股权激励",O268=""),"异常：其他股权激励所得缺失",IF(AND(F268&lt;&gt;"其他股权激励",OR(I268="",J268="")),"异常：数量或市场价缺失",IF(AND(F268&lt;&gt;"其他股权激励",OR(I268&lt;=0,J268&lt;0)),"异常：数量或价格无效",IF(AND(F268="限制性股票",OR(M268&lt;=0,N268&lt;0,I268&gt;M268)),"异常：个人获授或出资数据无效",IF(AND(IFERROR(INDEX(计划参数!$J$2:$J$501,MATCH(C268,计划参数!$I$2:$I$501,0)),"")&lt;&gt;"",D268&lt;&gt;IFERROR(INDEX(计划参数!$J$2:$J$501,MATCH(C268,计划参数!$I$2:$I$501,0)),"")),"异常：姓名与员工主数据不一致",IF(S268&lt;0,"异常：原始所得为负，已按0计税",IF(OR(AND(F268="股票期权",K268=""),AND(F268="限制性股票",OR(K268="",L268=""))),"异常：计划参数缺失",IF(COUNTIF(计划参数!$I$2:$I$501,C268)=0,"提示：员工编号未在主数据",IF(Q268&lt;&gt;"已备案","提示：未确认备案","正常"))))))))))))</f>
        <v/>
      </c>
      <c r="AE268" s="9"/>
      <c r="AF268" s="4" t="str">
        <f>IF(C268="","",IF(COUNTIF($C$2:C268,C268)=1,MAX($AF$1:AF267)+1,""))</f>
        <v/>
      </c>
      <c r="AG268" s="4" t="str">
        <f>IF(C268="","",COUNTIF($C$2:C268,C268))</f>
        <v/>
      </c>
      <c r="AH268" s="4" t="str">
        <f t="shared" si="70"/>
        <v/>
      </c>
      <c r="AI268" s="4" t="str">
        <f t="shared" si="71"/>
        <v/>
      </c>
      <c r="AJ268" s="4" t="str">
        <f t="shared" si="72"/>
        <v/>
      </c>
      <c r="AK268" s="15" t="str">
        <f>IF(A268="","",SUMIFS(分期缴税台账!$K$2:$K$501,分期缴税台账!$T$2:$T$501,A268,分期缴税台账!$Q$2:$Q$501,"有效"))</f>
        <v/>
      </c>
      <c r="AL268" s="15" t="str">
        <f t="shared" si="73"/>
        <v/>
      </c>
      <c r="AM268" s="4" t="str">
        <f t="shared" si="74"/>
        <v/>
      </c>
    </row>
    <row r="269" spans="1:39" x14ac:dyDescent="0.3">
      <c r="A269" s="9"/>
      <c r="B269" s="4" t="str">
        <f t="shared" si="60"/>
        <v/>
      </c>
      <c r="C269" s="9"/>
      <c r="D269" s="9"/>
      <c r="E269" s="9"/>
      <c r="F269" s="9"/>
      <c r="G269" s="13"/>
      <c r="H269" s="4" t="str">
        <f t="shared" si="61"/>
        <v/>
      </c>
      <c r="I269" s="9"/>
      <c r="J269" s="14"/>
      <c r="K269" s="15" t="str">
        <f>IF(OR(E269="",F269="",G269=""),"",IF(E269&lt;&gt;计划参数!$C$2,"",IF(F269="股票期权",IFERROR(LOOKUP(G269,计划参数!$D$12:$D$15,计划参数!$C$12:$C$15),""),IF(F269="限制性股票",计划参数!$C$10,""))))</f>
        <v/>
      </c>
      <c r="L269" s="15" t="str">
        <f>IF(AND(E269=计划参数!$C$2,F269="限制性股票",G269&gt;=计划参数!$D$9),计划参数!$C$9,"")</f>
        <v/>
      </c>
      <c r="M269" s="9"/>
      <c r="N269" s="14"/>
      <c r="O269" s="14"/>
      <c r="P269" s="13"/>
      <c r="Q269" s="9"/>
      <c r="R269" s="13"/>
      <c r="S269" s="15" t="str">
        <f t="shared" si="62"/>
        <v/>
      </c>
      <c r="T269" s="15" t="str">
        <f t="shared" si="63"/>
        <v/>
      </c>
      <c r="U269" s="15" t="str">
        <f t="shared" si="64"/>
        <v/>
      </c>
      <c r="V269" s="15" t="str">
        <f t="shared" si="65"/>
        <v/>
      </c>
      <c r="W269" s="16" t="str">
        <f>IF(V269="","",VLOOKUP(V269,税率及规则!$A$2:$C$8,2,TRUE))</f>
        <v/>
      </c>
      <c r="X269" s="15" t="str">
        <f>IF(V269="","",VLOOKUP(V269,税率及规则!$A$2:$C$8,3,TRUE))</f>
        <v/>
      </c>
      <c r="Y269" s="15" t="str">
        <f t="shared" si="66"/>
        <v/>
      </c>
      <c r="Z269" s="15" t="str">
        <f>IF(U269="","",MAX(0,U269*VLOOKUP(U269,税率及规则!$A$2:$C$8,2,TRUE)-VLOOKUP(U269,税率及规则!$A$2:$C$8,3,TRUE)))</f>
        <v/>
      </c>
      <c r="AA269" s="15" t="str">
        <f t="shared" si="67"/>
        <v/>
      </c>
      <c r="AB269" s="17" t="str">
        <f t="shared" si="68"/>
        <v/>
      </c>
      <c r="AC269" s="17" t="str">
        <f t="shared" si="69"/>
        <v/>
      </c>
      <c r="AD269" s="4" t="str">
        <f>IF(A269="","",IF(COUNTIF($A$2:$A$501,A269)&gt;1,"异常：事件编号重复",IF(OR(C269="",D269="",E269="",F269="",G269=""),"异常：必填项缺失",IF(AND(F269="其他股权激励",O269=""),"异常：其他股权激励所得缺失",IF(AND(F269&lt;&gt;"其他股权激励",OR(I269="",J269="")),"异常：数量或市场价缺失",IF(AND(F269&lt;&gt;"其他股权激励",OR(I269&lt;=0,J269&lt;0)),"异常：数量或价格无效",IF(AND(F269="限制性股票",OR(M269&lt;=0,N269&lt;0,I269&gt;M269)),"异常：个人获授或出资数据无效",IF(AND(IFERROR(INDEX(计划参数!$J$2:$J$501,MATCH(C269,计划参数!$I$2:$I$501,0)),"")&lt;&gt;"",D269&lt;&gt;IFERROR(INDEX(计划参数!$J$2:$J$501,MATCH(C269,计划参数!$I$2:$I$501,0)),"")),"异常：姓名与员工主数据不一致",IF(S269&lt;0,"异常：原始所得为负，已按0计税",IF(OR(AND(F269="股票期权",K269=""),AND(F269="限制性股票",OR(K269="",L269=""))),"异常：计划参数缺失",IF(COUNTIF(计划参数!$I$2:$I$501,C269)=0,"提示：员工编号未在主数据",IF(Q269&lt;&gt;"已备案","提示：未确认备案","正常"))))))))))))</f>
        <v/>
      </c>
      <c r="AE269" s="9"/>
      <c r="AF269" s="4" t="str">
        <f>IF(C269="","",IF(COUNTIF($C$2:C269,C269)=1,MAX($AF$1:AF268)+1,""))</f>
        <v/>
      </c>
      <c r="AG269" s="4" t="str">
        <f>IF(C269="","",COUNTIF($C$2:C269,C269))</f>
        <v/>
      </c>
      <c r="AH269" s="4" t="str">
        <f t="shared" si="70"/>
        <v/>
      </c>
      <c r="AI269" s="4" t="str">
        <f t="shared" si="71"/>
        <v/>
      </c>
      <c r="AJ269" s="4" t="str">
        <f t="shared" si="72"/>
        <v/>
      </c>
      <c r="AK269" s="15" t="str">
        <f>IF(A269="","",SUMIFS(分期缴税台账!$K$2:$K$501,分期缴税台账!$T$2:$T$501,A269,分期缴税台账!$Q$2:$Q$501,"有效"))</f>
        <v/>
      </c>
      <c r="AL269" s="15" t="str">
        <f t="shared" si="73"/>
        <v/>
      </c>
      <c r="AM269" s="4" t="str">
        <f t="shared" si="74"/>
        <v/>
      </c>
    </row>
    <row r="270" spans="1:39" x14ac:dyDescent="0.3">
      <c r="A270" s="9"/>
      <c r="B270" s="4" t="str">
        <f t="shared" si="60"/>
        <v/>
      </c>
      <c r="C270" s="9"/>
      <c r="D270" s="9"/>
      <c r="E270" s="9"/>
      <c r="F270" s="9"/>
      <c r="G270" s="13"/>
      <c r="H270" s="4" t="str">
        <f t="shared" si="61"/>
        <v/>
      </c>
      <c r="I270" s="9"/>
      <c r="J270" s="14"/>
      <c r="K270" s="15" t="str">
        <f>IF(OR(E270="",F270="",G270=""),"",IF(E270&lt;&gt;计划参数!$C$2,"",IF(F270="股票期权",IFERROR(LOOKUP(G270,计划参数!$D$12:$D$15,计划参数!$C$12:$C$15),""),IF(F270="限制性股票",计划参数!$C$10,""))))</f>
        <v/>
      </c>
      <c r="L270" s="15" t="str">
        <f>IF(AND(E270=计划参数!$C$2,F270="限制性股票",G270&gt;=计划参数!$D$9),计划参数!$C$9,"")</f>
        <v/>
      </c>
      <c r="M270" s="9"/>
      <c r="N270" s="14"/>
      <c r="O270" s="14"/>
      <c r="P270" s="13"/>
      <c r="Q270" s="9"/>
      <c r="R270" s="13"/>
      <c r="S270" s="15" t="str">
        <f t="shared" si="62"/>
        <v/>
      </c>
      <c r="T270" s="15" t="str">
        <f t="shared" si="63"/>
        <v/>
      </c>
      <c r="U270" s="15" t="str">
        <f t="shared" si="64"/>
        <v/>
      </c>
      <c r="V270" s="15" t="str">
        <f t="shared" si="65"/>
        <v/>
      </c>
      <c r="W270" s="16" t="str">
        <f>IF(V270="","",VLOOKUP(V270,税率及规则!$A$2:$C$8,2,TRUE))</f>
        <v/>
      </c>
      <c r="X270" s="15" t="str">
        <f>IF(V270="","",VLOOKUP(V270,税率及规则!$A$2:$C$8,3,TRUE))</f>
        <v/>
      </c>
      <c r="Y270" s="15" t="str">
        <f t="shared" si="66"/>
        <v/>
      </c>
      <c r="Z270" s="15" t="str">
        <f>IF(U270="","",MAX(0,U270*VLOOKUP(U270,税率及规则!$A$2:$C$8,2,TRUE)-VLOOKUP(U270,税率及规则!$A$2:$C$8,3,TRUE)))</f>
        <v/>
      </c>
      <c r="AA270" s="15" t="str">
        <f t="shared" si="67"/>
        <v/>
      </c>
      <c r="AB270" s="17" t="str">
        <f t="shared" si="68"/>
        <v/>
      </c>
      <c r="AC270" s="17" t="str">
        <f t="shared" si="69"/>
        <v/>
      </c>
      <c r="AD270" s="4" t="str">
        <f>IF(A270="","",IF(COUNTIF($A$2:$A$501,A270)&gt;1,"异常：事件编号重复",IF(OR(C270="",D270="",E270="",F270="",G270=""),"异常：必填项缺失",IF(AND(F270="其他股权激励",O270=""),"异常：其他股权激励所得缺失",IF(AND(F270&lt;&gt;"其他股权激励",OR(I270="",J270="")),"异常：数量或市场价缺失",IF(AND(F270&lt;&gt;"其他股权激励",OR(I270&lt;=0,J270&lt;0)),"异常：数量或价格无效",IF(AND(F270="限制性股票",OR(M270&lt;=0,N270&lt;0,I270&gt;M270)),"异常：个人获授或出资数据无效",IF(AND(IFERROR(INDEX(计划参数!$J$2:$J$501,MATCH(C270,计划参数!$I$2:$I$501,0)),"")&lt;&gt;"",D270&lt;&gt;IFERROR(INDEX(计划参数!$J$2:$J$501,MATCH(C270,计划参数!$I$2:$I$501,0)),"")),"异常：姓名与员工主数据不一致",IF(S270&lt;0,"异常：原始所得为负，已按0计税",IF(OR(AND(F270="股票期权",K270=""),AND(F270="限制性股票",OR(K270="",L270=""))),"异常：计划参数缺失",IF(COUNTIF(计划参数!$I$2:$I$501,C270)=0,"提示：员工编号未在主数据",IF(Q270&lt;&gt;"已备案","提示：未确认备案","正常"))))))))))))</f>
        <v/>
      </c>
      <c r="AE270" s="9"/>
      <c r="AF270" s="4" t="str">
        <f>IF(C270="","",IF(COUNTIF($C$2:C270,C270)=1,MAX($AF$1:AF269)+1,""))</f>
        <v/>
      </c>
      <c r="AG270" s="4" t="str">
        <f>IF(C270="","",COUNTIF($C$2:C270,C270))</f>
        <v/>
      </c>
      <c r="AH270" s="4" t="str">
        <f t="shared" si="70"/>
        <v/>
      </c>
      <c r="AI270" s="4" t="str">
        <f t="shared" si="71"/>
        <v/>
      </c>
      <c r="AJ270" s="4" t="str">
        <f t="shared" si="72"/>
        <v/>
      </c>
      <c r="AK270" s="15" t="str">
        <f>IF(A270="","",SUMIFS(分期缴税台账!$K$2:$K$501,分期缴税台账!$T$2:$T$501,A270,分期缴税台账!$Q$2:$Q$501,"有效"))</f>
        <v/>
      </c>
      <c r="AL270" s="15" t="str">
        <f t="shared" si="73"/>
        <v/>
      </c>
      <c r="AM270" s="4" t="str">
        <f t="shared" si="74"/>
        <v/>
      </c>
    </row>
    <row r="271" spans="1:39" x14ac:dyDescent="0.3">
      <c r="A271" s="9"/>
      <c r="B271" s="4" t="str">
        <f t="shared" si="60"/>
        <v/>
      </c>
      <c r="C271" s="9"/>
      <c r="D271" s="9"/>
      <c r="E271" s="9"/>
      <c r="F271" s="9"/>
      <c r="G271" s="13"/>
      <c r="H271" s="4" t="str">
        <f t="shared" si="61"/>
        <v/>
      </c>
      <c r="I271" s="9"/>
      <c r="J271" s="14"/>
      <c r="K271" s="15" t="str">
        <f>IF(OR(E271="",F271="",G271=""),"",IF(E271&lt;&gt;计划参数!$C$2,"",IF(F271="股票期权",IFERROR(LOOKUP(G271,计划参数!$D$12:$D$15,计划参数!$C$12:$C$15),""),IF(F271="限制性股票",计划参数!$C$10,""))))</f>
        <v/>
      </c>
      <c r="L271" s="15" t="str">
        <f>IF(AND(E271=计划参数!$C$2,F271="限制性股票",G271&gt;=计划参数!$D$9),计划参数!$C$9,"")</f>
        <v/>
      </c>
      <c r="M271" s="9"/>
      <c r="N271" s="14"/>
      <c r="O271" s="14"/>
      <c r="P271" s="13"/>
      <c r="Q271" s="9"/>
      <c r="R271" s="13"/>
      <c r="S271" s="15" t="str">
        <f t="shared" si="62"/>
        <v/>
      </c>
      <c r="T271" s="15" t="str">
        <f t="shared" si="63"/>
        <v/>
      </c>
      <c r="U271" s="15" t="str">
        <f t="shared" si="64"/>
        <v/>
      </c>
      <c r="V271" s="15" t="str">
        <f t="shared" si="65"/>
        <v/>
      </c>
      <c r="W271" s="16" t="str">
        <f>IF(V271="","",VLOOKUP(V271,税率及规则!$A$2:$C$8,2,TRUE))</f>
        <v/>
      </c>
      <c r="X271" s="15" t="str">
        <f>IF(V271="","",VLOOKUP(V271,税率及规则!$A$2:$C$8,3,TRUE))</f>
        <v/>
      </c>
      <c r="Y271" s="15" t="str">
        <f t="shared" si="66"/>
        <v/>
      </c>
      <c r="Z271" s="15" t="str">
        <f>IF(U271="","",MAX(0,U271*VLOOKUP(U271,税率及规则!$A$2:$C$8,2,TRUE)-VLOOKUP(U271,税率及规则!$A$2:$C$8,3,TRUE)))</f>
        <v/>
      </c>
      <c r="AA271" s="15" t="str">
        <f t="shared" si="67"/>
        <v/>
      </c>
      <c r="AB271" s="17" t="str">
        <f t="shared" si="68"/>
        <v/>
      </c>
      <c r="AC271" s="17" t="str">
        <f t="shared" si="69"/>
        <v/>
      </c>
      <c r="AD271" s="4" t="str">
        <f>IF(A271="","",IF(COUNTIF($A$2:$A$501,A271)&gt;1,"异常：事件编号重复",IF(OR(C271="",D271="",E271="",F271="",G271=""),"异常：必填项缺失",IF(AND(F271="其他股权激励",O271=""),"异常：其他股权激励所得缺失",IF(AND(F271&lt;&gt;"其他股权激励",OR(I271="",J271="")),"异常：数量或市场价缺失",IF(AND(F271&lt;&gt;"其他股权激励",OR(I271&lt;=0,J271&lt;0)),"异常：数量或价格无效",IF(AND(F271="限制性股票",OR(M271&lt;=0,N271&lt;0,I271&gt;M271)),"异常：个人获授或出资数据无效",IF(AND(IFERROR(INDEX(计划参数!$J$2:$J$501,MATCH(C271,计划参数!$I$2:$I$501,0)),"")&lt;&gt;"",D271&lt;&gt;IFERROR(INDEX(计划参数!$J$2:$J$501,MATCH(C271,计划参数!$I$2:$I$501,0)),"")),"异常：姓名与员工主数据不一致",IF(S271&lt;0,"异常：原始所得为负，已按0计税",IF(OR(AND(F271="股票期权",K271=""),AND(F271="限制性股票",OR(K271="",L271=""))),"异常：计划参数缺失",IF(COUNTIF(计划参数!$I$2:$I$501,C271)=0,"提示：员工编号未在主数据",IF(Q271&lt;&gt;"已备案","提示：未确认备案","正常"))))))))))))</f>
        <v/>
      </c>
      <c r="AE271" s="9"/>
      <c r="AF271" s="4" t="str">
        <f>IF(C271="","",IF(COUNTIF($C$2:C271,C271)=1,MAX($AF$1:AF270)+1,""))</f>
        <v/>
      </c>
      <c r="AG271" s="4" t="str">
        <f>IF(C271="","",COUNTIF($C$2:C271,C271))</f>
        <v/>
      </c>
      <c r="AH271" s="4" t="str">
        <f t="shared" si="70"/>
        <v/>
      </c>
      <c r="AI271" s="4" t="str">
        <f t="shared" si="71"/>
        <v/>
      </c>
      <c r="AJ271" s="4" t="str">
        <f t="shared" si="72"/>
        <v/>
      </c>
      <c r="AK271" s="15" t="str">
        <f>IF(A271="","",SUMIFS(分期缴税台账!$K$2:$K$501,分期缴税台账!$T$2:$T$501,A271,分期缴税台账!$Q$2:$Q$501,"有效"))</f>
        <v/>
      </c>
      <c r="AL271" s="15" t="str">
        <f t="shared" si="73"/>
        <v/>
      </c>
      <c r="AM271" s="4" t="str">
        <f t="shared" si="74"/>
        <v/>
      </c>
    </row>
    <row r="272" spans="1:39" x14ac:dyDescent="0.3">
      <c r="A272" s="9"/>
      <c r="B272" s="4" t="str">
        <f t="shared" si="60"/>
        <v/>
      </c>
      <c r="C272" s="9"/>
      <c r="D272" s="9"/>
      <c r="E272" s="9"/>
      <c r="F272" s="9"/>
      <c r="G272" s="13"/>
      <c r="H272" s="4" t="str">
        <f t="shared" si="61"/>
        <v/>
      </c>
      <c r="I272" s="9"/>
      <c r="J272" s="14"/>
      <c r="K272" s="15" t="str">
        <f>IF(OR(E272="",F272="",G272=""),"",IF(E272&lt;&gt;计划参数!$C$2,"",IF(F272="股票期权",IFERROR(LOOKUP(G272,计划参数!$D$12:$D$15,计划参数!$C$12:$C$15),""),IF(F272="限制性股票",计划参数!$C$10,""))))</f>
        <v/>
      </c>
      <c r="L272" s="15" t="str">
        <f>IF(AND(E272=计划参数!$C$2,F272="限制性股票",G272&gt;=计划参数!$D$9),计划参数!$C$9,"")</f>
        <v/>
      </c>
      <c r="M272" s="9"/>
      <c r="N272" s="14"/>
      <c r="O272" s="14"/>
      <c r="P272" s="13"/>
      <c r="Q272" s="9"/>
      <c r="R272" s="13"/>
      <c r="S272" s="15" t="str">
        <f t="shared" si="62"/>
        <v/>
      </c>
      <c r="T272" s="15" t="str">
        <f t="shared" si="63"/>
        <v/>
      </c>
      <c r="U272" s="15" t="str">
        <f t="shared" si="64"/>
        <v/>
      </c>
      <c r="V272" s="15" t="str">
        <f t="shared" si="65"/>
        <v/>
      </c>
      <c r="W272" s="16" t="str">
        <f>IF(V272="","",VLOOKUP(V272,税率及规则!$A$2:$C$8,2,TRUE))</f>
        <v/>
      </c>
      <c r="X272" s="15" t="str">
        <f>IF(V272="","",VLOOKUP(V272,税率及规则!$A$2:$C$8,3,TRUE))</f>
        <v/>
      </c>
      <c r="Y272" s="15" t="str">
        <f t="shared" si="66"/>
        <v/>
      </c>
      <c r="Z272" s="15" t="str">
        <f>IF(U272="","",MAX(0,U272*VLOOKUP(U272,税率及规则!$A$2:$C$8,2,TRUE)-VLOOKUP(U272,税率及规则!$A$2:$C$8,3,TRUE)))</f>
        <v/>
      </c>
      <c r="AA272" s="15" t="str">
        <f t="shared" si="67"/>
        <v/>
      </c>
      <c r="AB272" s="17" t="str">
        <f t="shared" si="68"/>
        <v/>
      </c>
      <c r="AC272" s="17" t="str">
        <f t="shared" si="69"/>
        <v/>
      </c>
      <c r="AD272" s="4" t="str">
        <f>IF(A272="","",IF(COUNTIF($A$2:$A$501,A272)&gt;1,"异常：事件编号重复",IF(OR(C272="",D272="",E272="",F272="",G272=""),"异常：必填项缺失",IF(AND(F272="其他股权激励",O272=""),"异常：其他股权激励所得缺失",IF(AND(F272&lt;&gt;"其他股权激励",OR(I272="",J272="")),"异常：数量或市场价缺失",IF(AND(F272&lt;&gt;"其他股权激励",OR(I272&lt;=0,J272&lt;0)),"异常：数量或价格无效",IF(AND(F272="限制性股票",OR(M272&lt;=0,N272&lt;0,I272&gt;M272)),"异常：个人获授或出资数据无效",IF(AND(IFERROR(INDEX(计划参数!$J$2:$J$501,MATCH(C272,计划参数!$I$2:$I$501,0)),"")&lt;&gt;"",D272&lt;&gt;IFERROR(INDEX(计划参数!$J$2:$J$501,MATCH(C272,计划参数!$I$2:$I$501,0)),"")),"异常：姓名与员工主数据不一致",IF(S272&lt;0,"异常：原始所得为负，已按0计税",IF(OR(AND(F272="股票期权",K272=""),AND(F272="限制性股票",OR(K272="",L272=""))),"异常：计划参数缺失",IF(COUNTIF(计划参数!$I$2:$I$501,C272)=0,"提示：员工编号未在主数据",IF(Q272&lt;&gt;"已备案","提示：未确认备案","正常"))))))))))))</f>
        <v/>
      </c>
      <c r="AE272" s="9"/>
      <c r="AF272" s="4" t="str">
        <f>IF(C272="","",IF(COUNTIF($C$2:C272,C272)=1,MAX($AF$1:AF271)+1,""))</f>
        <v/>
      </c>
      <c r="AG272" s="4" t="str">
        <f>IF(C272="","",COUNTIF($C$2:C272,C272))</f>
        <v/>
      </c>
      <c r="AH272" s="4" t="str">
        <f t="shared" si="70"/>
        <v/>
      </c>
      <c r="AI272" s="4" t="str">
        <f t="shared" si="71"/>
        <v/>
      </c>
      <c r="AJ272" s="4" t="str">
        <f t="shared" si="72"/>
        <v/>
      </c>
      <c r="AK272" s="15" t="str">
        <f>IF(A272="","",SUMIFS(分期缴税台账!$K$2:$K$501,分期缴税台账!$T$2:$T$501,A272,分期缴税台账!$Q$2:$Q$501,"有效"))</f>
        <v/>
      </c>
      <c r="AL272" s="15" t="str">
        <f t="shared" si="73"/>
        <v/>
      </c>
      <c r="AM272" s="4" t="str">
        <f t="shared" si="74"/>
        <v/>
      </c>
    </row>
    <row r="273" spans="1:39" x14ac:dyDescent="0.3">
      <c r="A273" s="9"/>
      <c r="B273" s="4" t="str">
        <f t="shared" si="60"/>
        <v/>
      </c>
      <c r="C273" s="9"/>
      <c r="D273" s="9"/>
      <c r="E273" s="9"/>
      <c r="F273" s="9"/>
      <c r="G273" s="13"/>
      <c r="H273" s="4" t="str">
        <f t="shared" si="61"/>
        <v/>
      </c>
      <c r="I273" s="9"/>
      <c r="J273" s="14"/>
      <c r="K273" s="15" t="str">
        <f>IF(OR(E273="",F273="",G273=""),"",IF(E273&lt;&gt;计划参数!$C$2,"",IF(F273="股票期权",IFERROR(LOOKUP(G273,计划参数!$D$12:$D$15,计划参数!$C$12:$C$15),""),IF(F273="限制性股票",计划参数!$C$10,""))))</f>
        <v/>
      </c>
      <c r="L273" s="15" t="str">
        <f>IF(AND(E273=计划参数!$C$2,F273="限制性股票",G273&gt;=计划参数!$D$9),计划参数!$C$9,"")</f>
        <v/>
      </c>
      <c r="M273" s="9"/>
      <c r="N273" s="14"/>
      <c r="O273" s="14"/>
      <c r="P273" s="13"/>
      <c r="Q273" s="9"/>
      <c r="R273" s="13"/>
      <c r="S273" s="15" t="str">
        <f t="shared" si="62"/>
        <v/>
      </c>
      <c r="T273" s="15" t="str">
        <f t="shared" si="63"/>
        <v/>
      </c>
      <c r="U273" s="15" t="str">
        <f t="shared" si="64"/>
        <v/>
      </c>
      <c r="V273" s="15" t="str">
        <f t="shared" si="65"/>
        <v/>
      </c>
      <c r="W273" s="16" t="str">
        <f>IF(V273="","",VLOOKUP(V273,税率及规则!$A$2:$C$8,2,TRUE))</f>
        <v/>
      </c>
      <c r="X273" s="15" t="str">
        <f>IF(V273="","",VLOOKUP(V273,税率及规则!$A$2:$C$8,3,TRUE))</f>
        <v/>
      </c>
      <c r="Y273" s="15" t="str">
        <f t="shared" si="66"/>
        <v/>
      </c>
      <c r="Z273" s="15" t="str">
        <f>IF(U273="","",MAX(0,U273*VLOOKUP(U273,税率及规则!$A$2:$C$8,2,TRUE)-VLOOKUP(U273,税率及规则!$A$2:$C$8,3,TRUE)))</f>
        <v/>
      </c>
      <c r="AA273" s="15" t="str">
        <f t="shared" si="67"/>
        <v/>
      </c>
      <c r="AB273" s="17" t="str">
        <f t="shared" si="68"/>
        <v/>
      </c>
      <c r="AC273" s="17" t="str">
        <f t="shared" si="69"/>
        <v/>
      </c>
      <c r="AD273" s="4" t="str">
        <f>IF(A273="","",IF(COUNTIF($A$2:$A$501,A273)&gt;1,"异常：事件编号重复",IF(OR(C273="",D273="",E273="",F273="",G273=""),"异常：必填项缺失",IF(AND(F273="其他股权激励",O273=""),"异常：其他股权激励所得缺失",IF(AND(F273&lt;&gt;"其他股权激励",OR(I273="",J273="")),"异常：数量或市场价缺失",IF(AND(F273&lt;&gt;"其他股权激励",OR(I273&lt;=0,J273&lt;0)),"异常：数量或价格无效",IF(AND(F273="限制性股票",OR(M273&lt;=0,N273&lt;0,I273&gt;M273)),"异常：个人获授或出资数据无效",IF(AND(IFERROR(INDEX(计划参数!$J$2:$J$501,MATCH(C273,计划参数!$I$2:$I$501,0)),"")&lt;&gt;"",D273&lt;&gt;IFERROR(INDEX(计划参数!$J$2:$J$501,MATCH(C273,计划参数!$I$2:$I$501,0)),"")),"异常：姓名与员工主数据不一致",IF(S273&lt;0,"异常：原始所得为负，已按0计税",IF(OR(AND(F273="股票期权",K273=""),AND(F273="限制性股票",OR(K273="",L273=""))),"异常：计划参数缺失",IF(COUNTIF(计划参数!$I$2:$I$501,C273)=0,"提示：员工编号未在主数据",IF(Q273&lt;&gt;"已备案","提示：未确认备案","正常"))))))))))))</f>
        <v/>
      </c>
      <c r="AE273" s="9"/>
      <c r="AF273" s="4" t="str">
        <f>IF(C273="","",IF(COUNTIF($C$2:C273,C273)=1,MAX($AF$1:AF272)+1,""))</f>
        <v/>
      </c>
      <c r="AG273" s="4" t="str">
        <f>IF(C273="","",COUNTIF($C$2:C273,C273))</f>
        <v/>
      </c>
      <c r="AH273" s="4" t="str">
        <f t="shared" si="70"/>
        <v/>
      </c>
      <c r="AI273" s="4" t="str">
        <f t="shared" si="71"/>
        <v/>
      </c>
      <c r="AJ273" s="4" t="str">
        <f t="shared" si="72"/>
        <v/>
      </c>
      <c r="AK273" s="15" t="str">
        <f>IF(A273="","",SUMIFS(分期缴税台账!$K$2:$K$501,分期缴税台账!$T$2:$T$501,A273,分期缴税台账!$Q$2:$Q$501,"有效"))</f>
        <v/>
      </c>
      <c r="AL273" s="15" t="str">
        <f t="shared" si="73"/>
        <v/>
      </c>
      <c r="AM273" s="4" t="str">
        <f t="shared" si="74"/>
        <v/>
      </c>
    </row>
    <row r="274" spans="1:39" x14ac:dyDescent="0.3">
      <c r="A274" s="9"/>
      <c r="B274" s="4" t="str">
        <f t="shared" si="60"/>
        <v/>
      </c>
      <c r="C274" s="9"/>
      <c r="D274" s="9"/>
      <c r="E274" s="9"/>
      <c r="F274" s="9"/>
      <c r="G274" s="13"/>
      <c r="H274" s="4" t="str">
        <f t="shared" si="61"/>
        <v/>
      </c>
      <c r="I274" s="9"/>
      <c r="J274" s="14"/>
      <c r="K274" s="15" t="str">
        <f>IF(OR(E274="",F274="",G274=""),"",IF(E274&lt;&gt;计划参数!$C$2,"",IF(F274="股票期权",IFERROR(LOOKUP(G274,计划参数!$D$12:$D$15,计划参数!$C$12:$C$15),""),IF(F274="限制性股票",计划参数!$C$10,""))))</f>
        <v/>
      </c>
      <c r="L274" s="15" t="str">
        <f>IF(AND(E274=计划参数!$C$2,F274="限制性股票",G274&gt;=计划参数!$D$9),计划参数!$C$9,"")</f>
        <v/>
      </c>
      <c r="M274" s="9"/>
      <c r="N274" s="14"/>
      <c r="O274" s="14"/>
      <c r="P274" s="13"/>
      <c r="Q274" s="9"/>
      <c r="R274" s="13"/>
      <c r="S274" s="15" t="str">
        <f t="shared" si="62"/>
        <v/>
      </c>
      <c r="T274" s="15" t="str">
        <f t="shared" si="63"/>
        <v/>
      </c>
      <c r="U274" s="15" t="str">
        <f t="shared" si="64"/>
        <v/>
      </c>
      <c r="V274" s="15" t="str">
        <f t="shared" si="65"/>
        <v/>
      </c>
      <c r="W274" s="16" t="str">
        <f>IF(V274="","",VLOOKUP(V274,税率及规则!$A$2:$C$8,2,TRUE))</f>
        <v/>
      </c>
      <c r="X274" s="15" t="str">
        <f>IF(V274="","",VLOOKUP(V274,税率及规则!$A$2:$C$8,3,TRUE))</f>
        <v/>
      </c>
      <c r="Y274" s="15" t="str">
        <f t="shared" si="66"/>
        <v/>
      </c>
      <c r="Z274" s="15" t="str">
        <f>IF(U274="","",MAX(0,U274*VLOOKUP(U274,税率及规则!$A$2:$C$8,2,TRUE)-VLOOKUP(U274,税率及规则!$A$2:$C$8,3,TRUE)))</f>
        <v/>
      </c>
      <c r="AA274" s="15" t="str">
        <f t="shared" si="67"/>
        <v/>
      </c>
      <c r="AB274" s="17" t="str">
        <f t="shared" si="68"/>
        <v/>
      </c>
      <c r="AC274" s="17" t="str">
        <f t="shared" si="69"/>
        <v/>
      </c>
      <c r="AD274" s="4" t="str">
        <f>IF(A274="","",IF(COUNTIF($A$2:$A$501,A274)&gt;1,"异常：事件编号重复",IF(OR(C274="",D274="",E274="",F274="",G274=""),"异常：必填项缺失",IF(AND(F274="其他股权激励",O274=""),"异常：其他股权激励所得缺失",IF(AND(F274&lt;&gt;"其他股权激励",OR(I274="",J274="")),"异常：数量或市场价缺失",IF(AND(F274&lt;&gt;"其他股权激励",OR(I274&lt;=0,J274&lt;0)),"异常：数量或价格无效",IF(AND(F274="限制性股票",OR(M274&lt;=0,N274&lt;0,I274&gt;M274)),"异常：个人获授或出资数据无效",IF(AND(IFERROR(INDEX(计划参数!$J$2:$J$501,MATCH(C274,计划参数!$I$2:$I$501,0)),"")&lt;&gt;"",D274&lt;&gt;IFERROR(INDEX(计划参数!$J$2:$J$501,MATCH(C274,计划参数!$I$2:$I$501,0)),"")),"异常：姓名与员工主数据不一致",IF(S274&lt;0,"异常：原始所得为负，已按0计税",IF(OR(AND(F274="股票期权",K274=""),AND(F274="限制性股票",OR(K274="",L274=""))),"异常：计划参数缺失",IF(COUNTIF(计划参数!$I$2:$I$501,C274)=0,"提示：员工编号未在主数据",IF(Q274&lt;&gt;"已备案","提示：未确认备案","正常"))))))))))))</f>
        <v/>
      </c>
      <c r="AE274" s="9"/>
      <c r="AF274" s="4" t="str">
        <f>IF(C274="","",IF(COUNTIF($C$2:C274,C274)=1,MAX($AF$1:AF273)+1,""))</f>
        <v/>
      </c>
      <c r="AG274" s="4" t="str">
        <f>IF(C274="","",COUNTIF($C$2:C274,C274))</f>
        <v/>
      </c>
      <c r="AH274" s="4" t="str">
        <f t="shared" si="70"/>
        <v/>
      </c>
      <c r="AI274" s="4" t="str">
        <f t="shared" si="71"/>
        <v/>
      </c>
      <c r="AJ274" s="4" t="str">
        <f t="shared" si="72"/>
        <v/>
      </c>
      <c r="AK274" s="15" t="str">
        <f>IF(A274="","",SUMIFS(分期缴税台账!$K$2:$K$501,分期缴税台账!$T$2:$T$501,A274,分期缴税台账!$Q$2:$Q$501,"有效"))</f>
        <v/>
      </c>
      <c r="AL274" s="15" t="str">
        <f t="shared" si="73"/>
        <v/>
      </c>
      <c r="AM274" s="4" t="str">
        <f t="shared" si="74"/>
        <v/>
      </c>
    </row>
    <row r="275" spans="1:39" x14ac:dyDescent="0.3">
      <c r="A275" s="9"/>
      <c r="B275" s="4" t="str">
        <f t="shared" si="60"/>
        <v/>
      </c>
      <c r="C275" s="9"/>
      <c r="D275" s="9"/>
      <c r="E275" s="9"/>
      <c r="F275" s="9"/>
      <c r="G275" s="13"/>
      <c r="H275" s="4" t="str">
        <f t="shared" si="61"/>
        <v/>
      </c>
      <c r="I275" s="9"/>
      <c r="J275" s="14"/>
      <c r="K275" s="15" t="str">
        <f>IF(OR(E275="",F275="",G275=""),"",IF(E275&lt;&gt;计划参数!$C$2,"",IF(F275="股票期权",IFERROR(LOOKUP(G275,计划参数!$D$12:$D$15,计划参数!$C$12:$C$15),""),IF(F275="限制性股票",计划参数!$C$10,""))))</f>
        <v/>
      </c>
      <c r="L275" s="15" t="str">
        <f>IF(AND(E275=计划参数!$C$2,F275="限制性股票",G275&gt;=计划参数!$D$9),计划参数!$C$9,"")</f>
        <v/>
      </c>
      <c r="M275" s="9"/>
      <c r="N275" s="14"/>
      <c r="O275" s="14"/>
      <c r="P275" s="13"/>
      <c r="Q275" s="9"/>
      <c r="R275" s="13"/>
      <c r="S275" s="15" t="str">
        <f t="shared" si="62"/>
        <v/>
      </c>
      <c r="T275" s="15" t="str">
        <f t="shared" si="63"/>
        <v/>
      </c>
      <c r="U275" s="15" t="str">
        <f t="shared" si="64"/>
        <v/>
      </c>
      <c r="V275" s="15" t="str">
        <f t="shared" si="65"/>
        <v/>
      </c>
      <c r="W275" s="16" t="str">
        <f>IF(V275="","",VLOOKUP(V275,税率及规则!$A$2:$C$8,2,TRUE))</f>
        <v/>
      </c>
      <c r="X275" s="15" t="str">
        <f>IF(V275="","",VLOOKUP(V275,税率及规则!$A$2:$C$8,3,TRUE))</f>
        <v/>
      </c>
      <c r="Y275" s="15" t="str">
        <f t="shared" si="66"/>
        <v/>
      </c>
      <c r="Z275" s="15" t="str">
        <f>IF(U275="","",MAX(0,U275*VLOOKUP(U275,税率及规则!$A$2:$C$8,2,TRUE)-VLOOKUP(U275,税率及规则!$A$2:$C$8,3,TRUE)))</f>
        <v/>
      </c>
      <c r="AA275" s="15" t="str">
        <f t="shared" si="67"/>
        <v/>
      </c>
      <c r="AB275" s="17" t="str">
        <f t="shared" si="68"/>
        <v/>
      </c>
      <c r="AC275" s="17" t="str">
        <f t="shared" si="69"/>
        <v/>
      </c>
      <c r="AD275" s="4" t="str">
        <f>IF(A275="","",IF(COUNTIF($A$2:$A$501,A275)&gt;1,"异常：事件编号重复",IF(OR(C275="",D275="",E275="",F275="",G275=""),"异常：必填项缺失",IF(AND(F275="其他股权激励",O275=""),"异常：其他股权激励所得缺失",IF(AND(F275&lt;&gt;"其他股权激励",OR(I275="",J275="")),"异常：数量或市场价缺失",IF(AND(F275&lt;&gt;"其他股权激励",OR(I275&lt;=0,J275&lt;0)),"异常：数量或价格无效",IF(AND(F275="限制性股票",OR(M275&lt;=0,N275&lt;0,I275&gt;M275)),"异常：个人获授或出资数据无效",IF(AND(IFERROR(INDEX(计划参数!$J$2:$J$501,MATCH(C275,计划参数!$I$2:$I$501,0)),"")&lt;&gt;"",D275&lt;&gt;IFERROR(INDEX(计划参数!$J$2:$J$501,MATCH(C275,计划参数!$I$2:$I$501,0)),"")),"异常：姓名与员工主数据不一致",IF(S275&lt;0,"异常：原始所得为负，已按0计税",IF(OR(AND(F275="股票期权",K275=""),AND(F275="限制性股票",OR(K275="",L275=""))),"异常：计划参数缺失",IF(COUNTIF(计划参数!$I$2:$I$501,C275)=0,"提示：员工编号未在主数据",IF(Q275&lt;&gt;"已备案","提示：未确认备案","正常"))))))))))))</f>
        <v/>
      </c>
      <c r="AE275" s="9"/>
      <c r="AF275" s="4" t="str">
        <f>IF(C275="","",IF(COUNTIF($C$2:C275,C275)=1,MAX($AF$1:AF274)+1,""))</f>
        <v/>
      </c>
      <c r="AG275" s="4" t="str">
        <f>IF(C275="","",COUNTIF($C$2:C275,C275))</f>
        <v/>
      </c>
      <c r="AH275" s="4" t="str">
        <f t="shared" si="70"/>
        <v/>
      </c>
      <c r="AI275" s="4" t="str">
        <f t="shared" si="71"/>
        <v/>
      </c>
      <c r="AJ275" s="4" t="str">
        <f t="shared" si="72"/>
        <v/>
      </c>
      <c r="AK275" s="15" t="str">
        <f>IF(A275="","",SUMIFS(分期缴税台账!$K$2:$K$501,分期缴税台账!$T$2:$T$501,A275,分期缴税台账!$Q$2:$Q$501,"有效"))</f>
        <v/>
      </c>
      <c r="AL275" s="15" t="str">
        <f t="shared" si="73"/>
        <v/>
      </c>
      <c r="AM275" s="4" t="str">
        <f t="shared" si="74"/>
        <v/>
      </c>
    </row>
    <row r="276" spans="1:39" x14ac:dyDescent="0.3">
      <c r="A276" s="9"/>
      <c r="B276" s="4" t="str">
        <f t="shared" si="60"/>
        <v/>
      </c>
      <c r="C276" s="9"/>
      <c r="D276" s="9"/>
      <c r="E276" s="9"/>
      <c r="F276" s="9"/>
      <c r="G276" s="13"/>
      <c r="H276" s="4" t="str">
        <f t="shared" si="61"/>
        <v/>
      </c>
      <c r="I276" s="9"/>
      <c r="J276" s="14"/>
      <c r="K276" s="15" t="str">
        <f>IF(OR(E276="",F276="",G276=""),"",IF(E276&lt;&gt;计划参数!$C$2,"",IF(F276="股票期权",IFERROR(LOOKUP(G276,计划参数!$D$12:$D$15,计划参数!$C$12:$C$15),""),IF(F276="限制性股票",计划参数!$C$10,""))))</f>
        <v/>
      </c>
      <c r="L276" s="15" t="str">
        <f>IF(AND(E276=计划参数!$C$2,F276="限制性股票",G276&gt;=计划参数!$D$9),计划参数!$C$9,"")</f>
        <v/>
      </c>
      <c r="M276" s="9"/>
      <c r="N276" s="14"/>
      <c r="O276" s="14"/>
      <c r="P276" s="13"/>
      <c r="Q276" s="9"/>
      <c r="R276" s="13"/>
      <c r="S276" s="15" t="str">
        <f t="shared" si="62"/>
        <v/>
      </c>
      <c r="T276" s="15" t="str">
        <f t="shared" si="63"/>
        <v/>
      </c>
      <c r="U276" s="15" t="str">
        <f t="shared" si="64"/>
        <v/>
      </c>
      <c r="V276" s="15" t="str">
        <f t="shared" si="65"/>
        <v/>
      </c>
      <c r="W276" s="16" t="str">
        <f>IF(V276="","",VLOOKUP(V276,税率及规则!$A$2:$C$8,2,TRUE))</f>
        <v/>
      </c>
      <c r="X276" s="15" t="str">
        <f>IF(V276="","",VLOOKUP(V276,税率及规则!$A$2:$C$8,3,TRUE))</f>
        <v/>
      </c>
      <c r="Y276" s="15" t="str">
        <f t="shared" si="66"/>
        <v/>
      </c>
      <c r="Z276" s="15" t="str">
        <f>IF(U276="","",MAX(0,U276*VLOOKUP(U276,税率及规则!$A$2:$C$8,2,TRUE)-VLOOKUP(U276,税率及规则!$A$2:$C$8,3,TRUE)))</f>
        <v/>
      </c>
      <c r="AA276" s="15" t="str">
        <f t="shared" si="67"/>
        <v/>
      </c>
      <c r="AB276" s="17" t="str">
        <f t="shared" si="68"/>
        <v/>
      </c>
      <c r="AC276" s="17" t="str">
        <f t="shared" si="69"/>
        <v/>
      </c>
      <c r="AD276" s="4" t="str">
        <f>IF(A276="","",IF(COUNTIF($A$2:$A$501,A276)&gt;1,"异常：事件编号重复",IF(OR(C276="",D276="",E276="",F276="",G276=""),"异常：必填项缺失",IF(AND(F276="其他股权激励",O276=""),"异常：其他股权激励所得缺失",IF(AND(F276&lt;&gt;"其他股权激励",OR(I276="",J276="")),"异常：数量或市场价缺失",IF(AND(F276&lt;&gt;"其他股权激励",OR(I276&lt;=0,J276&lt;0)),"异常：数量或价格无效",IF(AND(F276="限制性股票",OR(M276&lt;=0,N276&lt;0,I276&gt;M276)),"异常：个人获授或出资数据无效",IF(AND(IFERROR(INDEX(计划参数!$J$2:$J$501,MATCH(C276,计划参数!$I$2:$I$501,0)),"")&lt;&gt;"",D276&lt;&gt;IFERROR(INDEX(计划参数!$J$2:$J$501,MATCH(C276,计划参数!$I$2:$I$501,0)),"")),"异常：姓名与员工主数据不一致",IF(S276&lt;0,"异常：原始所得为负，已按0计税",IF(OR(AND(F276="股票期权",K276=""),AND(F276="限制性股票",OR(K276="",L276=""))),"异常：计划参数缺失",IF(COUNTIF(计划参数!$I$2:$I$501,C276)=0,"提示：员工编号未在主数据",IF(Q276&lt;&gt;"已备案","提示：未确认备案","正常"))))))))))))</f>
        <v/>
      </c>
      <c r="AE276" s="9"/>
      <c r="AF276" s="4" t="str">
        <f>IF(C276="","",IF(COUNTIF($C$2:C276,C276)=1,MAX($AF$1:AF275)+1,""))</f>
        <v/>
      </c>
      <c r="AG276" s="4" t="str">
        <f>IF(C276="","",COUNTIF($C$2:C276,C276))</f>
        <v/>
      </c>
      <c r="AH276" s="4" t="str">
        <f t="shared" si="70"/>
        <v/>
      </c>
      <c r="AI276" s="4" t="str">
        <f t="shared" si="71"/>
        <v/>
      </c>
      <c r="AJ276" s="4" t="str">
        <f t="shared" si="72"/>
        <v/>
      </c>
      <c r="AK276" s="15" t="str">
        <f>IF(A276="","",SUMIFS(分期缴税台账!$K$2:$K$501,分期缴税台账!$T$2:$T$501,A276,分期缴税台账!$Q$2:$Q$501,"有效"))</f>
        <v/>
      </c>
      <c r="AL276" s="15" t="str">
        <f t="shared" si="73"/>
        <v/>
      </c>
      <c r="AM276" s="4" t="str">
        <f t="shared" si="74"/>
        <v/>
      </c>
    </row>
    <row r="277" spans="1:39" x14ac:dyDescent="0.3">
      <c r="A277" s="9"/>
      <c r="B277" s="4" t="str">
        <f t="shared" si="60"/>
        <v/>
      </c>
      <c r="C277" s="9"/>
      <c r="D277" s="9"/>
      <c r="E277" s="9"/>
      <c r="F277" s="9"/>
      <c r="G277" s="13"/>
      <c r="H277" s="4" t="str">
        <f t="shared" si="61"/>
        <v/>
      </c>
      <c r="I277" s="9"/>
      <c r="J277" s="14"/>
      <c r="K277" s="15" t="str">
        <f>IF(OR(E277="",F277="",G277=""),"",IF(E277&lt;&gt;计划参数!$C$2,"",IF(F277="股票期权",IFERROR(LOOKUP(G277,计划参数!$D$12:$D$15,计划参数!$C$12:$C$15),""),IF(F277="限制性股票",计划参数!$C$10,""))))</f>
        <v/>
      </c>
      <c r="L277" s="15" t="str">
        <f>IF(AND(E277=计划参数!$C$2,F277="限制性股票",G277&gt;=计划参数!$D$9),计划参数!$C$9,"")</f>
        <v/>
      </c>
      <c r="M277" s="9"/>
      <c r="N277" s="14"/>
      <c r="O277" s="14"/>
      <c r="P277" s="13"/>
      <c r="Q277" s="9"/>
      <c r="R277" s="13"/>
      <c r="S277" s="15" t="str">
        <f t="shared" si="62"/>
        <v/>
      </c>
      <c r="T277" s="15" t="str">
        <f t="shared" si="63"/>
        <v/>
      </c>
      <c r="U277" s="15" t="str">
        <f t="shared" si="64"/>
        <v/>
      </c>
      <c r="V277" s="15" t="str">
        <f t="shared" si="65"/>
        <v/>
      </c>
      <c r="W277" s="16" t="str">
        <f>IF(V277="","",VLOOKUP(V277,税率及规则!$A$2:$C$8,2,TRUE))</f>
        <v/>
      </c>
      <c r="X277" s="15" t="str">
        <f>IF(V277="","",VLOOKUP(V277,税率及规则!$A$2:$C$8,3,TRUE))</f>
        <v/>
      </c>
      <c r="Y277" s="15" t="str">
        <f t="shared" si="66"/>
        <v/>
      </c>
      <c r="Z277" s="15" t="str">
        <f>IF(U277="","",MAX(0,U277*VLOOKUP(U277,税率及规则!$A$2:$C$8,2,TRUE)-VLOOKUP(U277,税率及规则!$A$2:$C$8,3,TRUE)))</f>
        <v/>
      </c>
      <c r="AA277" s="15" t="str">
        <f t="shared" si="67"/>
        <v/>
      </c>
      <c r="AB277" s="17" t="str">
        <f t="shared" si="68"/>
        <v/>
      </c>
      <c r="AC277" s="17" t="str">
        <f t="shared" si="69"/>
        <v/>
      </c>
      <c r="AD277" s="4" t="str">
        <f>IF(A277="","",IF(COUNTIF($A$2:$A$501,A277)&gt;1,"异常：事件编号重复",IF(OR(C277="",D277="",E277="",F277="",G277=""),"异常：必填项缺失",IF(AND(F277="其他股权激励",O277=""),"异常：其他股权激励所得缺失",IF(AND(F277&lt;&gt;"其他股权激励",OR(I277="",J277="")),"异常：数量或市场价缺失",IF(AND(F277&lt;&gt;"其他股权激励",OR(I277&lt;=0,J277&lt;0)),"异常：数量或价格无效",IF(AND(F277="限制性股票",OR(M277&lt;=0,N277&lt;0,I277&gt;M277)),"异常：个人获授或出资数据无效",IF(AND(IFERROR(INDEX(计划参数!$J$2:$J$501,MATCH(C277,计划参数!$I$2:$I$501,0)),"")&lt;&gt;"",D277&lt;&gt;IFERROR(INDEX(计划参数!$J$2:$J$501,MATCH(C277,计划参数!$I$2:$I$501,0)),"")),"异常：姓名与员工主数据不一致",IF(S277&lt;0,"异常：原始所得为负，已按0计税",IF(OR(AND(F277="股票期权",K277=""),AND(F277="限制性股票",OR(K277="",L277=""))),"异常：计划参数缺失",IF(COUNTIF(计划参数!$I$2:$I$501,C277)=0,"提示：员工编号未在主数据",IF(Q277&lt;&gt;"已备案","提示：未确认备案","正常"))))))))))))</f>
        <v/>
      </c>
      <c r="AE277" s="9"/>
      <c r="AF277" s="4" t="str">
        <f>IF(C277="","",IF(COUNTIF($C$2:C277,C277)=1,MAX($AF$1:AF276)+1,""))</f>
        <v/>
      </c>
      <c r="AG277" s="4" t="str">
        <f>IF(C277="","",COUNTIF($C$2:C277,C277))</f>
        <v/>
      </c>
      <c r="AH277" s="4" t="str">
        <f t="shared" si="70"/>
        <v/>
      </c>
      <c r="AI277" s="4" t="str">
        <f t="shared" si="71"/>
        <v/>
      </c>
      <c r="AJ277" s="4" t="str">
        <f t="shared" si="72"/>
        <v/>
      </c>
      <c r="AK277" s="15" t="str">
        <f>IF(A277="","",SUMIFS(分期缴税台账!$K$2:$K$501,分期缴税台账!$T$2:$T$501,A277,分期缴税台账!$Q$2:$Q$501,"有效"))</f>
        <v/>
      </c>
      <c r="AL277" s="15" t="str">
        <f t="shared" si="73"/>
        <v/>
      </c>
      <c r="AM277" s="4" t="str">
        <f t="shared" si="74"/>
        <v/>
      </c>
    </row>
    <row r="278" spans="1:39" x14ac:dyDescent="0.3">
      <c r="A278" s="9"/>
      <c r="B278" s="4" t="str">
        <f t="shared" si="60"/>
        <v/>
      </c>
      <c r="C278" s="9"/>
      <c r="D278" s="9"/>
      <c r="E278" s="9"/>
      <c r="F278" s="9"/>
      <c r="G278" s="13"/>
      <c r="H278" s="4" t="str">
        <f t="shared" si="61"/>
        <v/>
      </c>
      <c r="I278" s="9"/>
      <c r="J278" s="14"/>
      <c r="K278" s="15" t="str">
        <f>IF(OR(E278="",F278="",G278=""),"",IF(E278&lt;&gt;计划参数!$C$2,"",IF(F278="股票期权",IFERROR(LOOKUP(G278,计划参数!$D$12:$D$15,计划参数!$C$12:$C$15),""),IF(F278="限制性股票",计划参数!$C$10,""))))</f>
        <v/>
      </c>
      <c r="L278" s="15" t="str">
        <f>IF(AND(E278=计划参数!$C$2,F278="限制性股票",G278&gt;=计划参数!$D$9),计划参数!$C$9,"")</f>
        <v/>
      </c>
      <c r="M278" s="9"/>
      <c r="N278" s="14"/>
      <c r="O278" s="14"/>
      <c r="P278" s="13"/>
      <c r="Q278" s="9"/>
      <c r="R278" s="13"/>
      <c r="S278" s="15" t="str">
        <f t="shared" si="62"/>
        <v/>
      </c>
      <c r="T278" s="15" t="str">
        <f t="shared" si="63"/>
        <v/>
      </c>
      <c r="U278" s="15" t="str">
        <f t="shared" si="64"/>
        <v/>
      </c>
      <c r="V278" s="15" t="str">
        <f t="shared" si="65"/>
        <v/>
      </c>
      <c r="W278" s="16" t="str">
        <f>IF(V278="","",VLOOKUP(V278,税率及规则!$A$2:$C$8,2,TRUE))</f>
        <v/>
      </c>
      <c r="X278" s="15" t="str">
        <f>IF(V278="","",VLOOKUP(V278,税率及规则!$A$2:$C$8,3,TRUE))</f>
        <v/>
      </c>
      <c r="Y278" s="15" t="str">
        <f t="shared" si="66"/>
        <v/>
      </c>
      <c r="Z278" s="15" t="str">
        <f>IF(U278="","",MAX(0,U278*VLOOKUP(U278,税率及规则!$A$2:$C$8,2,TRUE)-VLOOKUP(U278,税率及规则!$A$2:$C$8,3,TRUE)))</f>
        <v/>
      </c>
      <c r="AA278" s="15" t="str">
        <f t="shared" si="67"/>
        <v/>
      </c>
      <c r="AB278" s="17" t="str">
        <f t="shared" si="68"/>
        <v/>
      </c>
      <c r="AC278" s="17" t="str">
        <f t="shared" si="69"/>
        <v/>
      </c>
      <c r="AD278" s="4" t="str">
        <f>IF(A278="","",IF(COUNTIF($A$2:$A$501,A278)&gt;1,"异常：事件编号重复",IF(OR(C278="",D278="",E278="",F278="",G278=""),"异常：必填项缺失",IF(AND(F278="其他股权激励",O278=""),"异常：其他股权激励所得缺失",IF(AND(F278&lt;&gt;"其他股权激励",OR(I278="",J278="")),"异常：数量或市场价缺失",IF(AND(F278&lt;&gt;"其他股权激励",OR(I278&lt;=0,J278&lt;0)),"异常：数量或价格无效",IF(AND(F278="限制性股票",OR(M278&lt;=0,N278&lt;0,I278&gt;M278)),"异常：个人获授或出资数据无效",IF(AND(IFERROR(INDEX(计划参数!$J$2:$J$501,MATCH(C278,计划参数!$I$2:$I$501,0)),"")&lt;&gt;"",D278&lt;&gt;IFERROR(INDEX(计划参数!$J$2:$J$501,MATCH(C278,计划参数!$I$2:$I$501,0)),"")),"异常：姓名与员工主数据不一致",IF(S278&lt;0,"异常：原始所得为负，已按0计税",IF(OR(AND(F278="股票期权",K278=""),AND(F278="限制性股票",OR(K278="",L278=""))),"异常：计划参数缺失",IF(COUNTIF(计划参数!$I$2:$I$501,C278)=0,"提示：员工编号未在主数据",IF(Q278&lt;&gt;"已备案","提示：未确认备案","正常"))))))))))))</f>
        <v/>
      </c>
      <c r="AE278" s="9"/>
      <c r="AF278" s="4" t="str">
        <f>IF(C278="","",IF(COUNTIF($C$2:C278,C278)=1,MAX($AF$1:AF277)+1,""))</f>
        <v/>
      </c>
      <c r="AG278" s="4" t="str">
        <f>IF(C278="","",COUNTIF($C$2:C278,C278))</f>
        <v/>
      </c>
      <c r="AH278" s="4" t="str">
        <f t="shared" si="70"/>
        <v/>
      </c>
      <c r="AI278" s="4" t="str">
        <f t="shared" si="71"/>
        <v/>
      </c>
      <c r="AJ278" s="4" t="str">
        <f t="shared" si="72"/>
        <v/>
      </c>
      <c r="AK278" s="15" t="str">
        <f>IF(A278="","",SUMIFS(分期缴税台账!$K$2:$K$501,分期缴税台账!$T$2:$T$501,A278,分期缴税台账!$Q$2:$Q$501,"有效"))</f>
        <v/>
      </c>
      <c r="AL278" s="15" t="str">
        <f t="shared" si="73"/>
        <v/>
      </c>
      <c r="AM278" s="4" t="str">
        <f t="shared" si="74"/>
        <v/>
      </c>
    </row>
    <row r="279" spans="1:39" x14ac:dyDescent="0.3">
      <c r="A279" s="9"/>
      <c r="B279" s="4" t="str">
        <f t="shared" si="60"/>
        <v/>
      </c>
      <c r="C279" s="9"/>
      <c r="D279" s="9"/>
      <c r="E279" s="9"/>
      <c r="F279" s="9"/>
      <c r="G279" s="13"/>
      <c r="H279" s="4" t="str">
        <f t="shared" si="61"/>
        <v/>
      </c>
      <c r="I279" s="9"/>
      <c r="J279" s="14"/>
      <c r="K279" s="15" t="str">
        <f>IF(OR(E279="",F279="",G279=""),"",IF(E279&lt;&gt;计划参数!$C$2,"",IF(F279="股票期权",IFERROR(LOOKUP(G279,计划参数!$D$12:$D$15,计划参数!$C$12:$C$15),""),IF(F279="限制性股票",计划参数!$C$10,""))))</f>
        <v/>
      </c>
      <c r="L279" s="15" t="str">
        <f>IF(AND(E279=计划参数!$C$2,F279="限制性股票",G279&gt;=计划参数!$D$9),计划参数!$C$9,"")</f>
        <v/>
      </c>
      <c r="M279" s="9"/>
      <c r="N279" s="14"/>
      <c r="O279" s="14"/>
      <c r="P279" s="13"/>
      <c r="Q279" s="9"/>
      <c r="R279" s="13"/>
      <c r="S279" s="15" t="str">
        <f t="shared" si="62"/>
        <v/>
      </c>
      <c r="T279" s="15" t="str">
        <f t="shared" si="63"/>
        <v/>
      </c>
      <c r="U279" s="15" t="str">
        <f t="shared" si="64"/>
        <v/>
      </c>
      <c r="V279" s="15" t="str">
        <f t="shared" si="65"/>
        <v/>
      </c>
      <c r="W279" s="16" t="str">
        <f>IF(V279="","",VLOOKUP(V279,税率及规则!$A$2:$C$8,2,TRUE))</f>
        <v/>
      </c>
      <c r="X279" s="15" t="str">
        <f>IF(V279="","",VLOOKUP(V279,税率及规则!$A$2:$C$8,3,TRUE))</f>
        <v/>
      </c>
      <c r="Y279" s="15" t="str">
        <f t="shared" si="66"/>
        <v/>
      </c>
      <c r="Z279" s="15" t="str">
        <f>IF(U279="","",MAX(0,U279*VLOOKUP(U279,税率及规则!$A$2:$C$8,2,TRUE)-VLOOKUP(U279,税率及规则!$A$2:$C$8,3,TRUE)))</f>
        <v/>
      </c>
      <c r="AA279" s="15" t="str">
        <f t="shared" si="67"/>
        <v/>
      </c>
      <c r="AB279" s="17" t="str">
        <f t="shared" si="68"/>
        <v/>
      </c>
      <c r="AC279" s="17" t="str">
        <f t="shared" si="69"/>
        <v/>
      </c>
      <c r="AD279" s="4" t="str">
        <f>IF(A279="","",IF(COUNTIF($A$2:$A$501,A279)&gt;1,"异常：事件编号重复",IF(OR(C279="",D279="",E279="",F279="",G279=""),"异常：必填项缺失",IF(AND(F279="其他股权激励",O279=""),"异常：其他股权激励所得缺失",IF(AND(F279&lt;&gt;"其他股权激励",OR(I279="",J279="")),"异常：数量或市场价缺失",IF(AND(F279&lt;&gt;"其他股权激励",OR(I279&lt;=0,J279&lt;0)),"异常：数量或价格无效",IF(AND(F279="限制性股票",OR(M279&lt;=0,N279&lt;0,I279&gt;M279)),"异常：个人获授或出资数据无效",IF(AND(IFERROR(INDEX(计划参数!$J$2:$J$501,MATCH(C279,计划参数!$I$2:$I$501,0)),"")&lt;&gt;"",D279&lt;&gt;IFERROR(INDEX(计划参数!$J$2:$J$501,MATCH(C279,计划参数!$I$2:$I$501,0)),"")),"异常：姓名与员工主数据不一致",IF(S279&lt;0,"异常：原始所得为负，已按0计税",IF(OR(AND(F279="股票期权",K279=""),AND(F279="限制性股票",OR(K279="",L279=""))),"异常：计划参数缺失",IF(COUNTIF(计划参数!$I$2:$I$501,C279)=0,"提示：员工编号未在主数据",IF(Q279&lt;&gt;"已备案","提示：未确认备案","正常"))))))))))))</f>
        <v/>
      </c>
      <c r="AE279" s="9"/>
      <c r="AF279" s="4" t="str">
        <f>IF(C279="","",IF(COUNTIF($C$2:C279,C279)=1,MAX($AF$1:AF278)+1,""))</f>
        <v/>
      </c>
      <c r="AG279" s="4" t="str">
        <f>IF(C279="","",COUNTIF($C$2:C279,C279))</f>
        <v/>
      </c>
      <c r="AH279" s="4" t="str">
        <f t="shared" si="70"/>
        <v/>
      </c>
      <c r="AI279" s="4" t="str">
        <f t="shared" si="71"/>
        <v/>
      </c>
      <c r="AJ279" s="4" t="str">
        <f t="shared" si="72"/>
        <v/>
      </c>
      <c r="AK279" s="15" t="str">
        <f>IF(A279="","",SUMIFS(分期缴税台账!$K$2:$K$501,分期缴税台账!$T$2:$T$501,A279,分期缴税台账!$Q$2:$Q$501,"有效"))</f>
        <v/>
      </c>
      <c r="AL279" s="15" t="str">
        <f t="shared" si="73"/>
        <v/>
      </c>
      <c r="AM279" s="4" t="str">
        <f t="shared" si="74"/>
        <v/>
      </c>
    </row>
    <row r="280" spans="1:39" x14ac:dyDescent="0.3">
      <c r="A280" s="9"/>
      <c r="B280" s="4" t="str">
        <f t="shared" si="60"/>
        <v/>
      </c>
      <c r="C280" s="9"/>
      <c r="D280" s="9"/>
      <c r="E280" s="9"/>
      <c r="F280" s="9"/>
      <c r="G280" s="13"/>
      <c r="H280" s="4" t="str">
        <f t="shared" si="61"/>
        <v/>
      </c>
      <c r="I280" s="9"/>
      <c r="J280" s="14"/>
      <c r="K280" s="15" t="str">
        <f>IF(OR(E280="",F280="",G280=""),"",IF(E280&lt;&gt;计划参数!$C$2,"",IF(F280="股票期权",IFERROR(LOOKUP(G280,计划参数!$D$12:$D$15,计划参数!$C$12:$C$15),""),IF(F280="限制性股票",计划参数!$C$10,""))))</f>
        <v/>
      </c>
      <c r="L280" s="15" t="str">
        <f>IF(AND(E280=计划参数!$C$2,F280="限制性股票",G280&gt;=计划参数!$D$9),计划参数!$C$9,"")</f>
        <v/>
      </c>
      <c r="M280" s="9"/>
      <c r="N280" s="14"/>
      <c r="O280" s="14"/>
      <c r="P280" s="13"/>
      <c r="Q280" s="9"/>
      <c r="R280" s="13"/>
      <c r="S280" s="15" t="str">
        <f t="shared" si="62"/>
        <v/>
      </c>
      <c r="T280" s="15" t="str">
        <f t="shared" si="63"/>
        <v/>
      </c>
      <c r="U280" s="15" t="str">
        <f t="shared" si="64"/>
        <v/>
      </c>
      <c r="V280" s="15" t="str">
        <f t="shared" si="65"/>
        <v/>
      </c>
      <c r="W280" s="16" t="str">
        <f>IF(V280="","",VLOOKUP(V280,税率及规则!$A$2:$C$8,2,TRUE))</f>
        <v/>
      </c>
      <c r="X280" s="15" t="str">
        <f>IF(V280="","",VLOOKUP(V280,税率及规则!$A$2:$C$8,3,TRUE))</f>
        <v/>
      </c>
      <c r="Y280" s="15" t="str">
        <f t="shared" si="66"/>
        <v/>
      </c>
      <c r="Z280" s="15" t="str">
        <f>IF(U280="","",MAX(0,U280*VLOOKUP(U280,税率及规则!$A$2:$C$8,2,TRUE)-VLOOKUP(U280,税率及规则!$A$2:$C$8,3,TRUE)))</f>
        <v/>
      </c>
      <c r="AA280" s="15" t="str">
        <f t="shared" si="67"/>
        <v/>
      </c>
      <c r="AB280" s="17" t="str">
        <f t="shared" si="68"/>
        <v/>
      </c>
      <c r="AC280" s="17" t="str">
        <f t="shared" si="69"/>
        <v/>
      </c>
      <c r="AD280" s="4" t="str">
        <f>IF(A280="","",IF(COUNTIF($A$2:$A$501,A280)&gt;1,"异常：事件编号重复",IF(OR(C280="",D280="",E280="",F280="",G280=""),"异常：必填项缺失",IF(AND(F280="其他股权激励",O280=""),"异常：其他股权激励所得缺失",IF(AND(F280&lt;&gt;"其他股权激励",OR(I280="",J280="")),"异常：数量或市场价缺失",IF(AND(F280&lt;&gt;"其他股权激励",OR(I280&lt;=0,J280&lt;0)),"异常：数量或价格无效",IF(AND(F280="限制性股票",OR(M280&lt;=0,N280&lt;0,I280&gt;M280)),"异常：个人获授或出资数据无效",IF(AND(IFERROR(INDEX(计划参数!$J$2:$J$501,MATCH(C280,计划参数!$I$2:$I$501,0)),"")&lt;&gt;"",D280&lt;&gt;IFERROR(INDEX(计划参数!$J$2:$J$501,MATCH(C280,计划参数!$I$2:$I$501,0)),"")),"异常：姓名与员工主数据不一致",IF(S280&lt;0,"异常：原始所得为负，已按0计税",IF(OR(AND(F280="股票期权",K280=""),AND(F280="限制性股票",OR(K280="",L280=""))),"异常：计划参数缺失",IF(COUNTIF(计划参数!$I$2:$I$501,C280)=0,"提示：员工编号未在主数据",IF(Q280&lt;&gt;"已备案","提示：未确认备案","正常"))))))))))))</f>
        <v/>
      </c>
      <c r="AE280" s="9"/>
      <c r="AF280" s="4" t="str">
        <f>IF(C280="","",IF(COUNTIF($C$2:C280,C280)=1,MAX($AF$1:AF279)+1,""))</f>
        <v/>
      </c>
      <c r="AG280" s="4" t="str">
        <f>IF(C280="","",COUNTIF($C$2:C280,C280))</f>
        <v/>
      </c>
      <c r="AH280" s="4" t="str">
        <f t="shared" si="70"/>
        <v/>
      </c>
      <c r="AI280" s="4" t="str">
        <f t="shared" si="71"/>
        <v/>
      </c>
      <c r="AJ280" s="4" t="str">
        <f t="shared" si="72"/>
        <v/>
      </c>
      <c r="AK280" s="15" t="str">
        <f>IF(A280="","",SUMIFS(分期缴税台账!$K$2:$K$501,分期缴税台账!$T$2:$T$501,A280,分期缴税台账!$Q$2:$Q$501,"有效"))</f>
        <v/>
      </c>
      <c r="AL280" s="15" t="str">
        <f t="shared" si="73"/>
        <v/>
      </c>
      <c r="AM280" s="4" t="str">
        <f t="shared" si="74"/>
        <v/>
      </c>
    </row>
    <row r="281" spans="1:39" x14ac:dyDescent="0.3">
      <c r="A281" s="9"/>
      <c r="B281" s="4" t="str">
        <f t="shared" si="60"/>
        <v/>
      </c>
      <c r="C281" s="9"/>
      <c r="D281" s="9"/>
      <c r="E281" s="9"/>
      <c r="F281" s="9"/>
      <c r="G281" s="13"/>
      <c r="H281" s="4" t="str">
        <f t="shared" si="61"/>
        <v/>
      </c>
      <c r="I281" s="9"/>
      <c r="J281" s="14"/>
      <c r="K281" s="15" t="str">
        <f>IF(OR(E281="",F281="",G281=""),"",IF(E281&lt;&gt;计划参数!$C$2,"",IF(F281="股票期权",IFERROR(LOOKUP(G281,计划参数!$D$12:$D$15,计划参数!$C$12:$C$15),""),IF(F281="限制性股票",计划参数!$C$10,""))))</f>
        <v/>
      </c>
      <c r="L281" s="15" t="str">
        <f>IF(AND(E281=计划参数!$C$2,F281="限制性股票",G281&gt;=计划参数!$D$9),计划参数!$C$9,"")</f>
        <v/>
      </c>
      <c r="M281" s="9"/>
      <c r="N281" s="14"/>
      <c r="O281" s="14"/>
      <c r="P281" s="13"/>
      <c r="Q281" s="9"/>
      <c r="R281" s="13"/>
      <c r="S281" s="15" t="str">
        <f t="shared" si="62"/>
        <v/>
      </c>
      <c r="T281" s="15" t="str">
        <f t="shared" si="63"/>
        <v/>
      </c>
      <c r="U281" s="15" t="str">
        <f t="shared" si="64"/>
        <v/>
      </c>
      <c r="V281" s="15" t="str">
        <f t="shared" si="65"/>
        <v/>
      </c>
      <c r="W281" s="16" t="str">
        <f>IF(V281="","",VLOOKUP(V281,税率及规则!$A$2:$C$8,2,TRUE))</f>
        <v/>
      </c>
      <c r="X281" s="15" t="str">
        <f>IF(V281="","",VLOOKUP(V281,税率及规则!$A$2:$C$8,3,TRUE))</f>
        <v/>
      </c>
      <c r="Y281" s="15" t="str">
        <f t="shared" si="66"/>
        <v/>
      </c>
      <c r="Z281" s="15" t="str">
        <f>IF(U281="","",MAX(0,U281*VLOOKUP(U281,税率及规则!$A$2:$C$8,2,TRUE)-VLOOKUP(U281,税率及规则!$A$2:$C$8,3,TRUE)))</f>
        <v/>
      </c>
      <c r="AA281" s="15" t="str">
        <f t="shared" si="67"/>
        <v/>
      </c>
      <c r="AB281" s="17" t="str">
        <f t="shared" si="68"/>
        <v/>
      </c>
      <c r="AC281" s="17" t="str">
        <f t="shared" si="69"/>
        <v/>
      </c>
      <c r="AD281" s="4" t="str">
        <f>IF(A281="","",IF(COUNTIF($A$2:$A$501,A281)&gt;1,"异常：事件编号重复",IF(OR(C281="",D281="",E281="",F281="",G281=""),"异常：必填项缺失",IF(AND(F281="其他股权激励",O281=""),"异常：其他股权激励所得缺失",IF(AND(F281&lt;&gt;"其他股权激励",OR(I281="",J281="")),"异常：数量或市场价缺失",IF(AND(F281&lt;&gt;"其他股权激励",OR(I281&lt;=0,J281&lt;0)),"异常：数量或价格无效",IF(AND(F281="限制性股票",OR(M281&lt;=0,N281&lt;0,I281&gt;M281)),"异常：个人获授或出资数据无效",IF(AND(IFERROR(INDEX(计划参数!$J$2:$J$501,MATCH(C281,计划参数!$I$2:$I$501,0)),"")&lt;&gt;"",D281&lt;&gt;IFERROR(INDEX(计划参数!$J$2:$J$501,MATCH(C281,计划参数!$I$2:$I$501,0)),"")),"异常：姓名与员工主数据不一致",IF(S281&lt;0,"异常：原始所得为负，已按0计税",IF(OR(AND(F281="股票期权",K281=""),AND(F281="限制性股票",OR(K281="",L281=""))),"异常：计划参数缺失",IF(COUNTIF(计划参数!$I$2:$I$501,C281)=0,"提示：员工编号未在主数据",IF(Q281&lt;&gt;"已备案","提示：未确认备案","正常"))))))))))))</f>
        <v/>
      </c>
      <c r="AE281" s="9"/>
      <c r="AF281" s="4" t="str">
        <f>IF(C281="","",IF(COUNTIF($C$2:C281,C281)=1,MAX($AF$1:AF280)+1,""))</f>
        <v/>
      </c>
      <c r="AG281" s="4" t="str">
        <f>IF(C281="","",COUNTIF($C$2:C281,C281))</f>
        <v/>
      </c>
      <c r="AH281" s="4" t="str">
        <f t="shared" si="70"/>
        <v/>
      </c>
      <c r="AI281" s="4" t="str">
        <f t="shared" si="71"/>
        <v/>
      </c>
      <c r="AJ281" s="4" t="str">
        <f t="shared" si="72"/>
        <v/>
      </c>
      <c r="AK281" s="15" t="str">
        <f>IF(A281="","",SUMIFS(分期缴税台账!$K$2:$K$501,分期缴税台账!$T$2:$T$501,A281,分期缴税台账!$Q$2:$Q$501,"有效"))</f>
        <v/>
      </c>
      <c r="AL281" s="15" t="str">
        <f t="shared" si="73"/>
        <v/>
      </c>
      <c r="AM281" s="4" t="str">
        <f t="shared" si="74"/>
        <v/>
      </c>
    </row>
    <row r="282" spans="1:39" x14ac:dyDescent="0.3">
      <c r="A282" s="9"/>
      <c r="B282" s="4" t="str">
        <f t="shared" si="60"/>
        <v/>
      </c>
      <c r="C282" s="9"/>
      <c r="D282" s="9"/>
      <c r="E282" s="9"/>
      <c r="F282" s="9"/>
      <c r="G282" s="13"/>
      <c r="H282" s="4" t="str">
        <f t="shared" si="61"/>
        <v/>
      </c>
      <c r="I282" s="9"/>
      <c r="J282" s="14"/>
      <c r="K282" s="15" t="str">
        <f>IF(OR(E282="",F282="",G282=""),"",IF(E282&lt;&gt;计划参数!$C$2,"",IF(F282="股票期权",IFERROR(LOOKUP(G282,计划参数!$D$12:$D$15,计划参数!$C$12:$C$15),""),IF(F282="限制性股票",计划参数!$C$10,""))))</f>
        <v/>
      </c>
      <c r="L282" s="15" t="str">
        <f>IF(AND(E282=计划参数!$C$2,F282="限制性股票",G282&gt;=计划参数!$D$9),计划参数!$C$9,"")</f>
        <v/>
      </c>
      <c r="M282" s="9"/>
      <c r="N282" s="14"/>
      <c r="O282" s="14"/>
      <c r="P282" s="13"/>
      <c r="Q282" s="9"/>
      <c r="R282" s="13"/>
      <c r="S282" s="15" t="str">
        <f t="shared" si="62"/>
        <v/>
      </c>
      <c r="T282" s="15" t="str">
        <f t="shared" si="63"/>
        <v/>
      </c>
      <c r="U282" s="15" t="str">
        <f t="shared" si="64"/>
        <v/>
      </c>
      <c r="V282" s="15" t="str">
        <f t="shared" si="65"/>
        <v/>
      </c>
      <c r="W282" s="16" t="str">
        <f>IF(V282="","",VLOOKUP(V282,税率及规则!$A$2:$C$8,2,TRUE))</f>
        <v/>
      </c>
      <c r="X282" s="15" t="str">
        <f>IF(V282="","",VLOOKUP(V282,税率及规则!$A$2:$C$8,3,TRUE))</f>
        <v/>
      </c>
      <c r="Y282" s="15" t="str">
        <f t="shared" si="66"/>
        <v/>
      </c>
      <c r="Z282" s="15" t="str">
        <f>IF(U282="","",MAX(0,U282*VLOOKUP(U282,税率及规则!$A$2:$C$8,2,TRUE)-VLOOKUP(U282,税率及规则!$A$2:$C$8,3,TRUE)))</f>
        <v/>
      </c>
      <c r="AA282" s="15" t="str">
        <f t="shared" si="67"/>
        <v/>
      </c>
      <c r="AB282" s="17" t="str">
        <f t="shared" si="68"/>
        <v/>
      </c>
      <c r="AC282" s="17" t="str">
        <f t="shared" si="69"/>
        <v/>
      </c>
      <c r="AD282" s="4" t="str">
        <f>IF(A282="","",IF(COUNTIF($A$2:$A$501,A282)&gt;1,"异常：事件编号重复",IF(OR(C282="",D282="",E282="",F282="",G282=""),"异常：必填项缺失",IF(AND(F282="其他股权激励",O282=""),"异常：其他股权激励所得缺失",IF(AND(F282&lt;&gt;"其他股权激励",OR(I282="",J282="")),"异常：数量或市场价缺失",IF(AND(F282&lt;&gt;"其他股权激励",OR(I282&lt;=0,J282&lt;0)),"异常：数量或价格无效",IF(AND(F282="限制性股票",OR(M282&lt;=0,N282&lt;0,I282&gt;M282)),"异常：个人获授或出资数据无效",IF(AND(IFERROR(INDEX(计划参数!$J$2:$J$501,MATCH(C282,计划参数!$I$2:$I$501,0)),"")&lt;&gt;"",D282&lt;&gt;IFERROR(INDEX(计划参数!$J$2:$J$501,MATCH(C282,计划参数!$I$2:$I$501,0)),"")),"异常：姓名与员工主数据不一致",IF(S282&lt;0,"异常：原始所得为负，已按0计税",IF(OR(AND(F282="股票期权",K282=""),AND(F282="限制性股票",OR(K282="",L282=""))),"异常：计划参数缺失",IF(COUNTIF(计划参数!$I$2:$I$501,C282)=0,"提示：员工编号未在主数据",IF(Q282&lt;&gt;"已备案","提示：未确认备案","正常"))))))))))))</f>
        <v/>
      </c>
      <c r="AE282" s="9"/>
      <c r="AF282" s="4" t="str">
        <f>IF(C282="","",IF(COUNTIF($C$2:C282,C282)=1,MAX($AF$1:AF281)+1,""))</f>
        <v/>
      </c>
      <c r="AG282" s="4" t="str">
        <f>IF(C282="","",COUNTIF($C$2:C282,C282))</f>
        <v/>
      </c>
      <c r="AH282" s="4" t="str">
        <f t="shared" si="70"/>
        <v/>
      </c>
      <c r="AI282" s="4" t="str">
        <f t="shared" si="71"/>
        <v/>
      </c>
      <c r="AJ282" s="4" t="str">
        <f t="shared" si="72"/>
        <v/>
      </c>
      <c r="AK282" s="15" t="str">
        <f>IF(A282="","",SUMIFS(分期缴税台账!$K$2:$K$501,分期缴税台账!$T$2:$T$501,A282,分期缴税台账!$Q$2:$Q$501,"有效"))</f>
        <v/>
      </c>
      <c r="AL282" s="15" t="str">
        <f t="shared" si="73"/>
        <v/>
      </c>
      <c r="AM282" s="4" t="str">
        <f t="shared" si="74"/>
        <v/>
      </c>
    </row>
    <row r="283" spans="1:39" x14ac:dyDescent="0.3">
      <c r="A283" s="9"/>
      <c r="B283" s="4" t="str">
        <f t="shared" si="60"/>
        <v/>
      </c>
      <c r="C283" s="9"/>
      <c r="D283" s="9"/>
      <c r="E283" s="9"/>
      <c r="F283" s="9"/>
      <c r="G283" s="13"/>
      <c r="H283" s="4" t="str">
        <f t="shared" si="61"/>
        <v/>
      </c>
      <c r="I283" s="9"/>
      <c r="J283" s="14"/>
      <c r="K283" s="15" t="str">
        <f>IF(OR(E283="",F283="",G283=""),"",IF(E283&lt;&gt;计划参数!$C$2,"",IF(F283="股票期权",IFERROR(LOOKUP(G283,计划参数!$D$12:$D$15,计划参数!$C$12:$C$15),""),IF(F283="限制性股票",计划参数!$C$10,""))))</f>
        <v/>
      </c>
      <c r="L283" s="15" t="str">
        <f>IF(AND(E283=计划参数!$C$2,F283="限制性股票",G283&gt;=计划参数!$D$9),计划参数!$C$9,"")</f>
        <v/>
      </c>
      <c r="M283" s="9"/>
      <c r="N283" s="14"/>
      <c r="O283" s="14"/>
      <c r="P283" s="13"/>
      <c r="Q283" s="9"/>
      <c r="R283" s="13"/>
      <c r="S283" s="15" t="str">
        <f t="shared" si="62"/>
        <v/>
      </c>
      <c r="T283" s="15" t="str">
        <f t="shared" si="63"/>
        <v/>
      </c>
      <c r="U283" s="15" t="str">
        <f t="shared" si="64"/>
        <v/>
      </c>
      <c r="V283" s="15" t="str">
        <f t="shared" si="65"/>
        <v/>
      </c>
      <c r="W283" s="16" t="str">
        <f>IF(V283="","",VLOOKUP(V283,税率及规则!$A$2:$C$8,2,TRUE))</f>
        <v/>
      </c>
      <c r="X283" s="15" t="str">
        <f>IF(V283="","",VLOOKUP(V283,税率及规则!$A$2:$C$8,3,TRUE))</f>
        <v/>
      </c>
      <c r="Y283" s="15" t="str">
        <f t="shared" si="66"/>
        <v/>
      </c>
      <c r="Z283" s="15" t="str">
        <f>IF(U283="","",MAX(0,U283*VLOOKUP(U283,税率及规则!$A$2:$C$8,2,TRUE)-VLOOKUP(U283,税率及规则!$A$2:$C$8,3,TRUE)))</f>
        <v/>
      </c>
      <c r="AA283" s="15" t="str">
        <f t="shared" si="67"/>
        <v/>
      </c>
      <c r="AB283" s="17" t="str">
        <f t="shared" si="68"/>
        <v/>
      </c>
      <c r="AC283" s="17" t="str">
        <f t="shared" si="69"/>
        <v/>
      </c>
      <c r="AD283" s="4" t="str">
        <f>IF(A283="","",IF(COUNTIF($A$2:$A$501,A283)&gt;1,"异常：事件编号重复",IF(OR(C283="",D283="",E283="",F283="",G283=""),"异常：必填项缺失",IF(AND(F283="其他股权激励",O283=""),"异常：其他股权激励所得缺失",IF(AND(F283&lt;&gt;"其他股权激励",OR(I283="",J283="")),"异常：数量或市场价缺失",IF(AND(F283&lt;&gt;"其他股权激励",OR(I283&lt;=0,J283&lt;0)),"异常：数量或价格无效",IF(AND(F283="限制性股票",OR(M283&lt;=0,N283&lt;0,I283&gt;M283)),"异常：个人获授或出资数据无效",IF(AND(IFERROR(INDEX(计划参数!$J$2:$J$501,MATCH(C283,计划参数!$I$2:$I$501,0)),"")&lt;&gt;"",D283&lt;&gt;IFERROR(INDEX(计划参数!$J$2:$J$501,MATCH(C283,计划参数!$I$2:$I$501,0)),"")),"异常：姓名与员工主数据不一致",IF(S283&lt;0,"异常：原始所得为负，已按0计税",IF(OR(AND(F283="股票期权",K283=""),AND(F283="限制性股票",OR(K283="",L283=""))),"异常：计划参数缺失",IF(COUNTIF(计划参数!$I$2:$I$501,C283)=0,"提示：员工编号未在主数据",IF(Q283&lt;&gt;"已备案","提示：未确认备案","正常"))))))))))))</f>
        <v/>
      </c>
      <c r="AE283" s="9"/>
      <c r="AF283" s="4" t="str">
        <f>IF(C283="","",IF(COUNTIF($C$2:C283,C283)=1,MAX($AF$1:AF282)+1,""))</f>
        <v/>
      </c>
      <c r="AG283" s="4" t="str">
        <f>IF(C283="","",COUNTIF($C$2:C283,C283))</f>
        <v/>
      </c>
      <c r="AH283" s="4" t="str">
        <f t="shared" si="70"/>
        <v/>
      </c>
      <c r="AI283" s="4" t="str">
        <f t="shared" si="71"/>
        <v/>
      </c>
      <c r="AJ283" s="4" t="str">
        <f t="shared" si="72"/>
        <v/>
      </c>
      <c r="AK283" s="15" t="str">
        <f>IF(A283="","",SUMIFS(分期缴税台账!$K$2:$K$501,分期缴税台账!$T$2:$T$501,A283,分期缴税台账!$Q$2:$Q$501,"有效"))</f>
        <v/>
      </c>
      <c r="AL283" s="15" t="str">
        <f t="shared" si="73"/>
        <v/>
      </c>
      <c r="AM283" s="4" t="str">
        <f t="shared" si="74"/>
        <v/>
      </c>
    </row>
    <row r="284" spans="1:39" x14ac:dyDescent="0.3">
      <c r="A284" s="9"/>
      <c r="B284" s="4" t="str">
        <f t="shared" si="60"/>
        <v/>
      </c>
      <c r="C284" s="9"/>
      <c r="D284" s="9"/>
      <c r="E284" s="9"/>
      <c r="F284" s="9"/>
      <c r="G284" s="13"/>
      <c r="H284" s="4" t="str">
        <f t="shared" si="61"/>
        <v/>
      </c>
      <c r="I284" s="9"/>
      <c r="J284" s="14"/>
      <c r="K284" s="15" t="str">
        <f>IF(OR(E284="",F284="",G284=""),"",IF(E284&lt;&gt;计划参数!$C$2,"",IF(F284="股票期权",IFERROR(LOOKUP(G284,计划参数!$D$12:$D$15,计划参数!$C$12:$C$15),""),IF(F284="限制性股票",计划参数!$C$10,""))))</f>
        <v/>
      </c>
      <c r="L284" s="15" t="str">
        <f>IF(AND(E284=计划参数!$C$2,F284="限制性股票",G284&gt;=计划参数!$D$9),计划参数!$C$9,"")</f>
        <v/>
      </c>
      <c r="M284" s="9"/>
      <c r="N284" s="14"/>
      <c r="O284" s="14"/>
      <c r="P284" s="13"/>
      <c r="Q284" s="9"/>
      <c r="R284" s="13"/>
      <c r="S284" s="15" t="str">
        <f t="shared" si="62"/>
        <v/>
      </c>
      <c r="T284" s="15" t="str">
        <f t="shared" si="63"/>
        <v/>
      </c>
      <c r="U284" s="15" t="str">
        <f t="shared" si="64"/>
        <v/>
      </c>
      <c r="V284" s="15" t="str">
        <f t="shared" si="65"/>
        <v/>
      </c>
      <c r="W284" s="16" t="str">
        <f>IF(V284="","",VLOOKUP(V284,税率及规则!$A$2:$C$8,2,TRUE))</f>
        <v/>
      </c>
      <c r="X284" s="15" t="str">
        <f>IF(V284="","",VLOOKUP(V284,税率及规则!$A$2:$C$8,3,TRUE))</f>
        <v/>
      </c>
      <c r="Y284" s="15" t="str">
        <f t="shared" si="66"/>
        <v/>
      </c>
      <c r="Z284" s="15" t="str">
        <f>IF(U284="","",MAX(0,U284*VLOOKUP(U284,税率及规则!$A$2:$C$8,2,TRUE)-VLOOKUP(U284,税率及规则!$A$2:$C$8,3,TRUE)))</f>
        <v/>
      </c>
      <c r="AA284" s="15" t="str">
        <f t="shared" si="67"/>
        <v/>
      </c>
      <c r="AB284" s="17" t="str">
        <f t="shared" si="68"/>
        <v/>
      </c>
      <c r="AC284" s="17" t="str">
        <f t="shared" si="69"/>
        <v/>
      </c>
      <c r="AD284" s="4" t="str">
        <f>IF(A284="","",IF(COUNTIF($A$2:$A$501,A284)&gt;1,"异常：事件编号重复",IF(OR(C284="",D284="",E284="",F284="",G284=""),"异常：必填项缺失",IF(AND(F284="其他股权激励",O284=""),"异常：其他股权激励所得缺失",IF(AND(F284&lt;&gt;"其他股权激励",OR(I284="",J284="")),"异常：数量或市场价缺失",IF(AND(F284&lt;&gt;"其他股权激励",OR(I284&lt;=0,J284&lt;0)),"异常：数量或价格无效",IF(AND(F284="限制性股票",OR(M284&lt;=0,N284&lt;0,I284&gt;M284)),"异常：个人获授或出资数据无效",IF(AND(IFERROR(INDEX(计划参数!$J$2:$J$501,MATCH(C284,计划参数!$I$2:$I$501,0)),"")&lt;&gt;"",D284&lt;&gt;IFERROR(INDEX(计划参数!$J$2:$J$501,MATCH(C284,计划参数!$I$2:$I$501,0)),"")),"异常：姓名与员工主数据不一致",IF(S284&lt;0,"异常：原始所得为负，已按0计税",IF(OR(AND(F284="股票期权",K284=""),AND(F284="限制性股票",OR(K284="",L284=""))),"异常：计划参数缺失",IF(COUNTIF(计划参数!$I$2:$I$501,C284)=0,"提示：员工编号未在主数据",IF(Q284&lt;&gt;"已备案","提示：未确认备案","正常"))))))))))))</f>
        <v/>
      </c>
      <c r="AE284" s="9"/>
      <c r="AF284" s="4" t="str">
        <f>IF(C284="","",IF(COUNTIF($C$2:C284,C284)=1,MAX($AF$1:AF283)+1,""))</f>
        <v/>
      </c>
      <c r="AG284" s="4" t="str">
        <f>IF(C284="","",COUNTIF($C$2:C284,C284))</f>
        <v/>
      </c>
      <c r="AH284" s="4" t="str">
        <f t="shared" si="70"/>
        <v/>
      </c>
      <c r="AI284" s="4" t="str">
        <f t="shared" si="71"/>
        <v/>
      </c>
      <c r="AJ284" s="4" t="str">
        <f t="shared" si="72"/>
        <v/>
      </c>
      <c r="AK284" s="15" t="str">
        <f>IF(A284="","",SUMIFS(分期缴税台账!$K$2:$K$501,分期缴税台账!$T$2:$T$501,A284,分期缴税台账!$Q$2:$Q$501,"有效"))</f>
        <v/>
      </c>
      <c r="AL284" s="15" t="str">
        <f t="shared" si="73"/>
        <v/>
      </c>
      <c r="AM284" s="4" t="str">
        <f t="shared" si="74"/>
        <v/>
      </c>
    </row>
    <row r="285" spans="1:39" x14ac:dyDescent="0.3">
      <c r="A285" s="9"/>
      <c r="B285" s="4" t="str">
        <f t="shared" si="60"/>
        <v/>
      </c>
      <c r="C285" s="9"/>
      <c r="D285" s="9"/>
      <c r="E285" s="9"/>
      <c r="F285" s="9"/>
      <c r="G285" s="13"/>
      <c r="H285" s="4" t="str">
        <f t="shared" si="61"/>
        <v/>
      </c>
      <c r="I285" s="9"/>
      <c r="J285" s="14"/>
      <c r="K285" s="15" t="str">
        <f>IF(OR(E285="",F285="",G285=""),"",IF(E285&lt;&gt;计划参数!$C$2,"",IF(F285="股票期权",IFERROR(LOOKUP(G285,计划参数!$D$12:$D$15,计划参数!$C$12:$C$15),""),IF(F285="限制性股票",计划参数!$C$10,""))))</f>
        <v/>
      </c>
      <c r="L285" s="15" t="str">
        <f>IF(AND(E285=计划参数!$C$2,F285="限制性股票",G285&gt;=计划参数!$D$9),计划参数!$C$9,"")</f>
        <v/>
      </c>
      <c r="M285" s="9"/>
      <c r="N285" s="14"/>
      <c r="O285" s="14"/>
      <c r="P285" s="13"/>
      <c r="Q285" s="9"/>
      <c r="R285" s="13"/>
      <c r="S285" s="15" t="str">
        <f t="shared" si="62"/>
        <v/>
      </c>
      <c r="T285" s="15" t="str">
        <f t="shared" si="63"/>
        <v/>
      </c>
      <c r="U285" s="15" t="str">
        <f t="shared" si="64"/>
        <v/>
      </c>
      <c r="V285" s="15" t="str">
        <f t="shared" si="65"/>
        <v/>
      </c>
      <c r="W285" s="16" t="str">
        <f>IF(V285="","",VLOOKUP(V285,税率及规则!$A$2:$C$8,2,TRUE))</f>
        <v/>
      </c>
      <c r="X285" s="15" t="str">
        <f>IF(V285="","",VLOOKUP(V285,税率及规则!$A$2:$C$8,3,TRUE))</f>
        <v/>
      </c>
      <c r="Y285" s="15" t="str">
        <f t="shared" si="66"/>
        <v/>
      </c>
      <c r="Z285" s="15" t="str">
        <f>IF(U285="","",MAX(0,U285*VLOOKUP(U285,税率及规则!$A$2:$C$8,2,TRUE)-VLOOKUP(U285,税率及规则!$A$2:$C$8,3,TRUE)))</f>
        <v/>
      </c>
      <c r="AA285" s="15" t="str">
        <f t="shared" si="67"/>
        <v/>
      </c>
      <c r="AB285" s="17" t="str">
        <f t="shared" si="68"/>
        <v/>
      </c>
      <c r="AC285" s="17" t="str">
        <f t="shared" si="69"/>
        <v/>
      </c>
      <c r="AD285" s="4" t="str">
        <f>IF(A285="","",IF(COUNTIF($A$2:$A$501,A285)&gt;1,"异常：事件编号重复",IF(OR(C285="",D285="",E285="",F285="",G285=""),"异常：必填项缺失",IF(AND(F285="其他股权激励",O285=""),"异常：其他股权激励所得缺失",IF(AND(F285&lt;&gt;"其他股权激励",OR(I285="",J285="")),"异常：数量或市场价缺失",IF(AND(F285&lt;&gt;"其他股权激励",OR(I285&lt;=0,J285&lt;0)),"异常：数量或价格无效",IF(AND(F285="限制性股票",OR(M285&lt;=0,N285&lt;0,I285&gt;M285)),"异常：个人获授或出资数据无效",IF(AND(IFERROR(INDEX(计划参数!$J$2:$J$501,MATCH(C285,计划参数!$I$2:$I$501,0)),"")&lt;&gt;"",D285&lt;&gt;IFERROR(INDEX(计划参数!$J$2:$J$501,MATCH(C285,计划参数!$I$2:$I$501,0)),"")),"异常：姓名与员工主数据不一致",IF(S285&lt;0,"异常：原始所得为负，已按0计税",IF(OR(AND(F285="股票期权",K285=""),AND(F285="限制性股票",OR(K285="",L285=""))),"异常：计划参数缺失",IF(COUNTIF(计划参数!$I$2:$I$501,C285)=0,"提示：员工编号未在主数据",IF(Q285&lt;&gt;"已备案","提示：未确认备案","正常"))))))))))))</f>
        <v/>
      </c>
      <c r="AE285" s="9"/>
      <c r="AF285" s="4" t="str">
        <f>IF(C285="","",IF(COUNTIF($C$2:C285,C285)=1,MAX($AF$1:AF284)+1,""))</f>
        <v/>
      </c>
      <c r="AG285" s="4" t="str">
        <f>IF(C285="","",COUNTIF($C$2:C285,C285))</f>
        <v/>
      </c>
      <c r="AH285" s="4" t="str">
        <f t="shared" si="70"/>
        <v/>
      </c>
      <c r="AI285" s="4" t="str">
        <f t="shared" si="71"/>
        <v/>
      </c>
      <c r="AJ285" s="4" t="str">
        <f t="shared" si="72"/>
        <v/>
      </c>
      <c r="AK285" s="15" t="str">
        <f>IF(A285="","",SUMIFS(分期缴税台账!$K$2:$K$501,分期缴税台账!$T$2:$T$501,A285,分期缴税台账!$Q$2:$Q$501,"有效"))</f>
        <v/>
      </c>
      <c r="AL285" s="15" t="str">
        <f t="shared" si="73"/>
        <v/>
      </c>
      <c r="AM285" s="4" t="str">
        <f t="shared" si="74"/>
        <v/>
      </c>
    </row>
    <row r="286" spans="1:39" x14ac:dyDescent="0.3">
      <c r="A286" s="9"/>
      <c r="B286" s="4" t="str">
        <f t="shared" si="60"/>
        <v/>
      </c>
      <c r="C286" s="9"/>
      <c r="D286" s="9"/>
      <c r="E286" s="9"/>
      <c r="F286" s="9"/>
      <c r="G286" s="13"/>
      <c r="H286" s="4" t="str">
        <f t="shared" si="61"/>
        <v/>
      </c>
      <c r="I286" s="9"/>
      <c r="J286" s="14"/>
      <c r="K286" s="15" t="str">
        <f>IF(OR(E286="",F286="",G286=""),"",IF(E286&lt;&gt;计划参数!$C$2,"",IF(F286="股票期权",IFERROR(LOOKUP(G286,计划参数!$D$12:$D$15,计划参数!$C$12:$C$15),""),IF(F286="限制性股票",计划参数!$C$10,""))))</f>
        <v/>
      </c>
      <c r="L286" s="15" t="str">
        <f>IF(AND(E286=计划参数!$C$2,F286="限制性股票",G286&gt;=计划参数!$D$9),计划参数!$C$9,"")</f>
        <v/>
      </c>
      <c r="M286" s="9"/>
      <c r="N286" s="14"/>
      <c r="O286" s="14"/>
      <c r="P286" s="13"/>
      <c r="Q286" s="9"/>
      <c r="R286" s="13"/>
      <c r="S286" s="15" t="str">
        <f t="shared" si="62"/>
        <v/>
      </c>
      <c r="T286" s="15" t="str">
        <f t="shared" si="63"/>
        <v/>
      </c>
      <c r="U286" s="15" t="str">
        <f t="shared" si="64"/>
        <v/>
      </c>
      <c r="V286" s="15" t="str">
        <f t="shared" si="65"/>
        <v/>
      </c>
      <c r="W286" s="16" t="str">
        <f>IF(V286="","",VLOOKUP(V286,税率及规则!$A$2:$C$8,2,TRUE))</f>
        <v/>
      </c>
      <c r="X286" s="15" t="str">
        <f>IF(V286="","",VLOOKUP(V286,税率及规则!$A$2:$C$8,3,TRUE))</f>
        <v/>
      </c>
      <c r="Y286" s="15" t="str">
        <f t="shared" si="66"/>
        <v/>
      </c>
      <c r="Z286" s="15" t="str">
        <f>IF(U286="","",MAX(0,U286*VLOOKUP(U286,税率及规则!$A$2:$C$8,2,TRUE)-VLOOKUP(U286,税率及规则!$A$2:$C$8,3,TRUE)))</f>
        <v/>
      </c>
      <c r="AA286" s="15" t="str">
        <f t="shared" si="67"/>
        <v/>
      </c>
      <c r="AB286" s="17" t="str">
        <f t="shared" si="68"/>
        <v/>
      </c>
      <c r="AC286" s="17" t="str">
        <f t="shared" si="69"/>
        <v/>
      </c>
      <c r="AD286" s="4" t="str">
        <f>IF(A286="","",IF(COUNTIF($A$2:$A$501,A286)&gt;1,"异常：事件编号重复",IF(OR(C286="",D286="",E286="",F286="",G286=""),"异常：必填项缺失",IF(AND(F286="其他股权激励",O286=""),"异常：其他股权激励所得缺失",IF(AND(F286&lt;&gt;"其他股权激励",OR(I286="",J286="")),"异常：数量或市场价缺失",IF(AND(F286&lt;&gt;"其他股权激励",OR(I286&lt;=0,J286&lt;0)),"异常：数量或价格无效",IF(AND(F286="限制性股票",OR(M286&lt;=0,N286&lt;0,I286&gt;M286)),"异常：个人获授或出资数据无效",IF(AND(IFERROR(INDEX(计划参数!$J$2:$J$501,MATCH(C286,计划参数!$I$2:$I$501,0)),"")&lt;&gt;"",D286&lt;&gt;IFERROR(INDEX(计划参数!$J$2:$J$501,MATCH(C286,计划参数!$I$2:$I$501,0)),"")),"异常：姓名与员工主数据不一致",IF(S286&lt;0,"异常：原始所得为负，已按0计税",IF(OR(AND(F286="股票期权",K286=""),AND(F286="限制性股票",OR(K286="",L286=""))),"异常：计划参数缺失",IF(COUNTIF(计划参数!$I$2:$I$501,C286)=0,"提示：员工编号未在主数据",IF(Q286&lt;&gt;"已备案","提示：未确认备案","正常"))))))))))))</f>
        <v/>
      </c>
      <c r="AE286" s="9"/>
      <c r="AF286" s="4" t="str">
        <f>IF(C286="","",IF(COUNTIF($C$2:C286,C286)=1,MAX($AF$1:AF285)+1,""))</f>
        <v/>
      </c>
      <c r="AG286" s="4" t="str">
        <f>IF(C286="","",COUNTIF($C$2:C286,C286))</f>
        <v/>
      </c>
      <c r="AH286" s="4" t="str">
        <f t="shared" si="70"/>
        <v/>
      </c>
      <c r="AI286" s="4" t="str">
        <f t="shared" si="71"/>
        <v/>
      </c>
      <c r="AJ286" s="4" t="str">
        <f t="shared" si="72"/>
        <v/>
      </c>
      <c r="AK286" s="15" t="str">
        <f>IF(A286="","",SUMIFS(分期缴税台账!$K$2:$K$501,分期缴税台账!$T$2:$T$501,A286,分期缴税台账!$Q$2:$Q$501,"有效"))</f>
        <v/>
      </c>
      <c r="AL286" s="15" t="str">
        <f t="shared" si="73"/>
        <v/>
      </c>
      <c r="AM286" s="4" t="str">
        <f t="shared" si="74"/>
        <v/>
      </c>
    </row>
    <row r="287" spans="1:39" x14ac:dyDescent="0.3">
      <c r="A287" s="9"/>
      <c r="B287" s="4" t="str">
        <f t="shared" si="60"/>
        <v/>
      </c>
      <c r="C287" s="9"/>
      <c r="D287" s="9"/>
      <c r="E287" s="9"/>
      <c r="F287" s="9"/>
      <c r="G287" s="13"/>
      <c r="H287" s="4" t="str">
        <f t="shared" si="61"/>
        <v/>
      </c>
      <c r="I287" s="9"/>
      <c r="J287" s="14"/>
      <c r="K287" s="15" t="str">
        <f>IF(OR(E287="",F287="",G287=""),"",IF(E287&lt;&gt;计划参数!$C$2,"",IF(F287="股票期权",IFERROR(LOOKUP(G287,计划参数!$D$12:$D$15,计划参数!$C$12:$C$15),""),IF(F287="限制性股票",计划参数!$C$10,""))))</f>
        <v/>
      </c>
      <c r="L287" s="15" t="str">
        <f>IF(AND(E287=计划参数!$C$2,F287="限制性股票",G287&gt;=计划参数!$D$9),计划参数!$C$9,"")</f>
        <v/>
      </c>
      <c r="M287" s="9"/>
      <c r="N287" s="14"/>
      <c r="O287" s="14"/>
      <c r="P287" s="13"/>
      <c r="Q287" s="9"/>
      <c r="R287" s="13"/>
      <c r="S287" s="15" t="str">
        <f t="shared" si="62"/>
        <v/>
      </c>
      <c r="T287" s="15" t="str">
        <f t="shared" si="63"/>
        <v/>
      </c>
      <c r="U287" s="15" t="str">
        <f t="shared" si="64"/>
        <v/>
      </c>
      <c r="V287" s="15" t="str">
        <f t="shared" si="65"/>
        <v/>
      </c>
      <c r="W287" s="16" t="str">
        <f>IF(V287="","",VLOOKUP(V287,税率及规则!$A$2:$C$8,2,TRUE))</f>
        <v/>
      </c>
      <c r="X287" s="15" t="str">
        <f>IF(V287="","",VLOOKUP(V287,税率及规则!$A$2:$C$8,3,TRUE))</f>
        <v/>
      </c>
      <c r="Y287" s="15" t="str">
        <f t="shared" si="66"/>
        <v/>
      </c>
      <c r="Z287" s="15" t="str">
        <f>IF(U287="","",MAX(0,U287*VLOOKUP(U287,税率及规则!$A$2:$C$8,2,TRUE)-VLOOKUP(U287,税率及规则!$A$2:$C$8,3,TRUE)))</f>
        <v/>
      </c>
      <c r="AA287" s="15" t="str">
        <f t="shared" si="67"/>
        <v/>
      </c>
      <c r="AB287" s="17" t="str">
        <f t="shared" si="68"/>
        <v/>
      </c>
      <c r="AC287" s="17" t="str">
        <f t="shared" si="69"/>
        <v/>
      </c>
      <c r="AD287" s="4" t="str">
        <f>IF(A287="","",IF(COUNTIF($A$2:$A$501,A287)&gt;1,"异常：事件编号重复",IF(OR(C287="",D287="",E287="",F287="",G287=""),"异常：必填项缺失",IF(AND(F287="其他股权激励",O287=""),"异常：其他股权激励所得缺失",IF(AND(F287&lt;&gt;"其他股权激励",OR(I287="",J287="")),"异常：数量或市场价缺失",IF(AND(F287&lt;&gt;"其他股权激励",OR(I287&lt;=0,J287&lt;0)),"异常：数量或价格无效",IF(AND(F287="限制性股票",OR(M287&lt;=0,N287&lt;0,I287&gt;M287)),"异常：个人获授或出资数据无效",IF(AND(IFERROR(INDEX(计划参数!$J$2:$J$501,MATCH(C287,计划参数!$I$2:$I$501,0)),"")&lt;&gt;"",D287&lt;&gt;IFERROR(INDEX(计划参数!$J$2:$J$501,MATCH(C287,计划参数!$I$2:$I$501,0)),"")),"异常：姓名与员工主数据不一致",IF(S287&lt;0,"异常：原始所得为负，已按0计税",IF(OR(AND(F287="股票期权",K287=""),AND(F287="限制性股票",OR(K287="",L287=""))),"异常：计划参数缺失",IF(COUNTIF(计划参数!$I$2:$I$501,C287)=0,"提示：员工编号未在主数据",IF(Q287&lt;&gt;"已备案","提示：未确认备案","正常"))))))))))))</f>
        <v/>
      </c>
      <c r="AE287" s="9"/>
      <c r="AF287" s="4" t="str">
        <f>IF(C287="","",IF(COUNTIF($C$2:C287,C287)=1,MAX($AF$1:AF286)+1,""))</f>
        <v/>
      </c>
      <c r="AG287" s="4" t="str">
        <f>IF(C287="","",COUNTIF($C$2:C287,C287))</f>
        <v/>
      </c>
      <c r="AH287" s="4" t="str">
        <f t="shared" si="70"/>
        <v/>
      </c>
      <c r="AI287" s="4" t="str">
        <f t="shared" si="71"/>
        <v/>
      </c>
      <c r="AJ287" s="4" t="str">
        <f t="shared" si="72"/>
        <v/>
      </c>
      <c r="AK287" s="15" t="str">
        <f>IF(A287="","",SUMIFS(分期缴税台账!$K$2:$K$501,分期缴税台账!$T$2:$T$501,A287,分期缴税台账!$Q$2:$Q$501,"有效"))</f>
        <v/>
      </c>
      <c r="AL287" s="15" t="str">
        <f t="shared" si="73"/>
        <v/>
      </c>
      <c r="AM287" s="4" t="str">
        <f t="shared" si="74"/>
        <v/>
      </c>
    </row>
    <row r="288" spans="1:39" x14ac:dyDescent="0.3">
      <c r="A288" s="9"/>
      <c r="B288" s="4" t="str">
        <f t="shared" si="60"/>
        <v/>
      </c>
      <c r="C288" s="9"/>
      <c r="D288" s="9"/>
      <c r="E288" s="9"/>
      <c r="F288" s="9"/>
      <c r="G288" s="13"/>
      <c r="H288" s="4" t="str">
        <f t="shared" si="61"/>
        <v/>
      </c>
      <c r="I288" s="9"/>
      <c r="J288" s="14"/>
      <c r="K288" s="15" t="str">
        <f>IF(OR(E288="",F288="",G288=""),"",IF(E288&lt;&gt;计划参数!$C$2,"",IF(F288="股票期权",IFERROR(LOOKUP(G288,计划参数!$D$12:$D$15,计划参数!$C$12:$C$15),""),IF(F288="限制性股票",计划参数!$C$10,""))))</f>
        <v/>
      </c>
      <c r="L288" s="15" t="str">
        <f>IF(AND(E288=计划参数!$C$2,F288="限制性股票",G288&gt;=计划参数!$D$9),计划参数!$C$9,"")</f>
        <v/>
      </c>
      <c r="M288" s="9"/>
      <c r="N288" s="14"/>
      <c r="O288" s="14"/>
      <c r="P288" s="13"/>
      <c r="Q288" s="9"/>
      <c r="R288" s="13"/>
      <c r="S288" s="15" t="str">
        <f t="shared" si="62"/>
        <v/>
      </c>
      <c r="T288" s="15" t="str">
        <f t="shared" si="63"/>
        <v/>
      </c>
      <c r="U288" s="15" t="str">
        <f t="shared" si="64"/>
        <v/>
      </c>
      <c r="V288" s="15" t="str">
        <f t="shared" si="65"/>
        <v/>
      </c>
      <c r="W288" s="16" t="str">
        <f>IF(V288="","",VLOOKUP(V288,税率及规则!$A$2:$C$8,2,TRUE))</f>
        <v/>
      </c>
      <c r="X288" s="15" t="str">
        <f>IF(V288="","",VLOOKUP(V288,税率及规则!$A$2:$C$8,3,TRUE))</f>
        <v/>
      </c>
      <c r="Y288" s="15" t="str">
        <f t="shared" si="66"/>
        <v/>
      </c>
      <c r="Z288" s="15" t="str">
        <f>IF(U288="","",MAX(0,U288*VLOOKUP(U288,税率及规则!$A$2:$C$8,2,TRUE)-VLOOKUP(U288,税率及规则!$A$2:$C$8,3,TRUE)))</f>
        <v/>
      </c>
      <c r="AA288" s="15" t="str">
        <f t="shared" si="67"/>
        <v/>
      </c>
      <c r="AB288" s="17" t="str">
        <f t="shared" si="68"/>
        <v/>
      </c>
      <c r="AC288" s="17" t="str">
        <f t="shared" si="69"/>
        <v/>
      </c>
      <c r="AD288" s="4" t="str">
        <f>IF(A288="","",IF(COUNTIF($A$2:$A$501,A288)&gt;1,"异常：事件编号重复",IF(OR(C288="",D288="",E288="",F288="",G288=""),"异常：必填项缺失",IF(AND(F288="其他股权激励",O288=""),"异常：其他股权激励所得缺失",IF(AND(F288&lt;&gt;"其他股权激励",OR(I288="",J288="")),"异常：数量或市场价缺失",IF(AND(F288&lt;&gt;"其他股权激励",OR(I288&lt;=0,J288&lt;0)),"异常：数量或价格无效",IF(AND(F288="限制性股票",OR(M288&lt;=0,N288&lt;0,I288&gt;M288)),"异常：个人获授或出资数据无效",IF(AND(IFERROR(INDEX(计划参数!$J$2:$J$501,MATCH(C288,计划参数!$I$2:$I$501,0)),"")&lt;&gt;"",D288&lt;&gt;IFERROR(INDEX(计划参数!$J$2:$J$501,MATCH(C288,计划参数!$I$2:$I$501,0)),"")),"异常：姓名与员工主数据不一致",IF(S288&lt;0,"异常：原始所得为负，已按0计税",IF(OR(AND(F288="股票期权",K288=""),AND(F288="限制性股票",OR(K288="",L288=""))),"异常：计划参数缺失",IF(COUNTIF(计划参数!$I$2:$I$501,C288)=0,"提示：员工编号未在主数据",IF(Q288&lt;&gt;"已备案","提示：未确认备案","正常"))))))))))))</f>
        <v/>
      </c>
      <c r="AE288" s="9"/>
      <c r="AF288" s="4" t="str">
        <f>IF(C288="","",IF(COUNTIF($C$2:C288,C288)=1,MAX($AF$1:AF287)+1,""))</f>
        <v/>
      </c>
      <c r="AG288" s="4" t="str">
        <f>IF(C288="","",COUNTIF($C$2:C288,C288))</f>
        <v/>
      </c>
      <c r="AH288" s="4" t="str">
        <f t="shared" si="70"/>
        <v/>
      </c>
      <c r="AI288" s="4" t="str">
        <f t="shared" si="71"/>
        <v/>
      </c>
      <c r="AJ288" s="4" t="str">
        <f t="shared" si="72"/>
        <v/>
      </c>
      <c r="AK288" s="15" t="str">
        <f>IF(A288="","",SUMIFS(分期缴税台账!$K$2:$K$501,分期缴税台账!$T$2:$T$501,A288,分期缴税台账!$Q$2:$Q$501,"有效"))</f>
        <v/>
      </c>
      <c r="AL288" s="15" t="str">
        <f t="shared" si="73"/>
        <v/>
      </c>
      <c r="AM288" s="4" t="str">
        <f t="shared" si="74"/>
        <v/>
      </c>
    </row>
    <row r="289" spans="1:39" x14ac:dyDescent="0.3">
      <c r="A289" s="9"/>
      <c r="B289" s="4" t="str">
        <f t="shared" si="60"/>
        <v/>
      </c>
      <c r="C289" s="9"/>
      <c r="D289" s="9"/>
      <c r="E289" s="9"/>
      <c r="F289" s="9"/>
      <c r="G289" s="13"/>
      <c r="H289" s="4" t="str">
        <f t="shared" si="61"/>
        <v/>
      </c>
      <c r="I289" s="9"/>
      <c r="J289" s="14"/>
      <c r="K289" s="15" t="str">
        <f>IF(OR(E289="",F289="",G289=""),"",IF(E289&lt;&gt;计划参数!$C$2,"",IF(F289="股票期权",IFERROR(LOOKUP(G289,计划参数!$D$12:$D$15,计划参数!$C$12:$C$15),""),IF(F289="限制性股票",计划参数!$C$10,""))))</f>
        <v/>
      </c>
      <c r="L289" s="15" t="str">
        <f>IF(AND(E289=计划参数!$C$2,F289="限制性股票",G289&gt;=计划参数!$D$9),计划参数!$C$9,"")</f>
        <v/>
      </c>
      <c r="M289" s="9"/>
      <c r="N289" s="14"/>
      <c r="O289" s="14"/>
      <c r="P289" s="13"/>
      <c r="Q289" s="9"/>
      <c r="R289" s="13"/>
      <c r="S289" s="15" t="str">
        <f t="shared" si="62"/>
        <v/>
      </c>
      <c r="T289" s="15" t="str">
        <f t="shared" si="63"/>
        <v/>
      </c>
      <c r="U289" s="15" t="str">
        <f t="shared" si="64"/>
        <v/>
      </c>
      <c r="V289" s="15" t="str">
        <f t="shared" si="65"/>
        <v/>
      </c>
      <c r="W289" s="16" t="str">
        <f>IF(V289="","",VLOOKUP(V289,税率及规则!$A$2:$C$8,2,TRUE))</f>
        <v/>
      </c>
      <c r="X289" s="15" t="str">
        <f>IF(V289="","",VLOOKUP(V289,税率及规则!$A$2:$C$8,3,TRUE))</f>
        <v/>
      </c>
      <c r="Y289" s="15" t="str">
        <f t="shared" si="66"/>
        <v/>
      </c>
      <c r="Z289" s="15" t="str">
        <f>IF(U289="","",MAX(0,U289*VLOOKUP(U289,税率及规则!$A$2:$C$8,2,TRUE)-VLOOKUP(U289,税率及规则!$A$2:$C$8,3,TRUE)))</f>
        <v/>
      </c>
      <c r="AA289" s="15" t="str">
        <f t="shared" si="67"/>
        <v/>
      </c>
      <c r="AB289" s="17" t="str">
        <f t="shared" si="68"/>
        <v/>
      </c>
      <c r="AC289" s="17" t="str">
        <f t="shared" si="69"/>
        <v/>
      </c>
      <c r="AD289" s="4" t="str">
        <f>IF(A289="","",IF(COUNTIF($A$2:$A$501,A289)&gt;1,"异常：事件编号重复",IF(OR(C289="",D289="",E289="",F289="",G289=""),"异常：必填项缺失",IF(AND(F289="其他股权激励",O289=""),"异常：其他股权激励所得缺失",IF(AND(F289&lt;&gt;"其他股权激励",OR(I289="",J289="")),"异常：数量或市场价缺失",IF(AND(F289&lt;&gt;"其他股权激励",OR(I289&lt;=0,J289&lt;0)),"异常：数量或价格无效",IF(AND(F289="限制性股票",OR(M289&lt;=0,N289&lt;0,I289&gt;M289)),"异常：个人获授或出资数据无效",IF(AND(IFERROR(INDEX(计划参数!$J$2:$J$501,MATCH(C289,计划参数!$I$2:$I$501,0)),"")&lt;&gt;"",D289&lt;&gt;IFERROR(INDEX(计划参数!$J$2:$J$501,MATCH(C289,计划参数!$I$2:$I$501,0)),"")),"异常：姓名与员工主数据不一致",IF(S289&lt;0,"异常：原始所得为负，已按0计税",IF(OR(AND(F289="股票期权",K289=""),AND(F289="限制性股票",OR(K289="",L289=""))),"异常：计划参数缺失",IF(COUNTIF(计划参数!$I$2:$I$501,C289)=0,"提示：员工编号未在主数据",IF(Q289&lt;&gt;"已备案","提示：未确认备案","正常"))))))))))))</f>
        <v/>
      </c>
      <c r="AE289" s="9"/>
      <c r="AF289" s="4" t="str">
        <f>IF(C289="","",IF(COUNTIF($C$2:C289,C289)=1,MAX($AF$1:AF288)+1,""))</f>
        <v/>
      </c>
      <c r="AG289" s="4" t="str">
        <f>IF(C289="","",COUNTIF($C$2:C289,C289))</f>
        <v/>
      </c>
      <c r="AH289" s="4" t="str">
        <f t="shared" si="70"/>
        <v/>
      </c>
      <c r="AI289" s="4" t="str">
        <f t="shared" si="71"/>
        <v/>
      </c>
      <c r="AJ289" s="4" t="str">
        <f t="shared" si="72"/>
        <v/>
      </c>
      <c r="AK289" s="15" t="str">
        <f>IF(A289="","",SUMIFS(分期缴税台账!$K$2:$K$501,分期缴税台账!$T$2:$T$501,A289,分期缴税台账!$Q$2:$Q$501,"有效"))</f>
        <v/>
      </c>
      <c r="AL289" s="15" t="str">
        <f t="shared" si="73"/>
        <v/>
      </c>
      <c r="AM289" s="4" t="str">
        <f t="shared" si="74"/>
        <v/>
      </c>
    </row>
    <row r="290" spans="1:39" x14ac:dyDescent="0.3">
      <c r="A290" s="9"/>
      <c r="B290" s="4" t="str">
        <f t="shared" si="60"/>
        <v/>
      </c>
      <c r="C290" s="9"/>
      <c r="D290" s="9"/>
      <c r="E290" s="9"/>
      <c r="F290" s="9"/>
      <c r="G290" s="13"/>
      <c r="H290" s="4" t="str">
        <f t="shared" si="61"/>
        <v/>
      </c>
      <c r="I290" s="9"/>
      <c r="J290" s="14"/>
      <c r="K290" s="15" t="str">
        <f>IF(OR(E290="",F290="",G290=""),"",IF(E290&lt;&gt;计划参数!$C$2,"",IF(F290="股票期权",IFERROR(LOOKUP(G290,计划参数!$D$12:$D$15,计划参数!$C$12:$C$15),""),IF(F290="限制性股票",计划参数!$C$10,""))))</f>
        <v/>
      </c>
      <c r="L290" s="15" t="str">
        <f>IF(AND(E290=计划参数!$C$2,F290="限制性股票",G290&gt;=计划参数!$D$9),计划参数!$C$9,"")</f>
        <v/>
      </c>
      <c r="M290" s="9"/>
      <c r="N290" s="14"/>
      <c r="O290" s="14"/>
      <c r="P290" s="13"/>
      <c r="Q290" s="9"/>
      <c r="R290" s="13"/>
      <c r="S290" s="15" t="str">
        <f t="shared" si="62"/>
        <v/>
      </c>
      <c r="T290" s="15" t="str">
        <f t="shared" si="63"/>
        <v/>
      </c>
      <c r="U290" s="15" t="str">
        <f t="shared" si="64"/>
        <v/>
      </c>
      <c r="V290" s="15" t="str">
        <f t="shared" si="65"/>
        <v/>
      </c>
      <c r="W290" s="16" t="str">
        <f>IF(V290="","",VLOOKUP(V290,税率及规则!$A$2:$C$8,2,TRUE))</f>
        <v/>
      </c>
      <c r="X290" s="15" t="str">
        <f>IF(V290="","",VLOOKUP(V290,税率及规则!$A$2:$C$8,3,TRUE))</f>
        <v/>
      </c>
      <c r="Y290" s="15" t="str">
        <f t="shared" si="66"/>
        <v/>
      </c>
      <c r="Z290" s="15" t="str">
        <f>IF(U290="","",MAX(0,U290*VLOOKUP(U290,税率及规则!$A$2:$C$8,2,TRUE)-VLOOKUP(U290,税率及规则!$A$2:$C$8,3,TRUE)))</f>
        <v/>
      </c>
      <c r="AA290" s="15" t="str">
        <f t="shared" si="67"/>
        <v/>
      </c>
      <c r="AB290" s="17" t="str">
        <f t="shared" si="68"/>
        <v/>
      </c>
      <c r="AC290" s="17" t="str">
        <f t="shared" si="69"/>
        <v/>
      </c>
      <c r="AD290" s="4" t="str">
        <f>IF(A290="","",IF(COUNTIF($A$2:$A$501,A290)&gt;1,"异常：事件编号重复",IF(OR(C290="",D290="",E290="",F290="",G290=""),"异常：必填项缺失",IF(AND(F290="其他股权激励",O290=""),"异常：其他股权激励所得缺失",IF(AND(F290&lt;&gt;"其他股权激励",OR(I290="",J290="")),"异常：数量或市场价缺失",IF(AND(F290&lt;&gt;"其他股权激励",OR(I290&lt;=0,J290&lt;0)),"异常：数量或价格无效",IF(AND(F290="限制性股票",OR(M290&lt;=0,N290&lt;0,I290&gt;M290)),"异常：个人获授或出资数据无效",IF(AND(IFERROR(INDEX(计划参数!$J$2:$J$501,MATCH(C290,计划参数!$I$2:$I$501,0)),"")&lt;&gt;"",D290&lt;&gt;IFERROR(INDEX(计划参数!$J$2:$J$501,MATCH(C290,计划参数!$I$2:$I$501,0)),"")),"异常：姓名与员工主数据不一致",IF(S290&lt;0,"异常：原始所得为负，已按0计税",IF(OR(AND(F290="股票期权",K290=""),AND(F290="限制性股票",OR(K290="",L290=""))),"异常：计划参数缺失",IF(COUNTIF(计划参数!$I$2:$I$501,C290)=0,"提示：员工编号未在主数据",IF(Q290&lt;&gt;"已备案","提示：未确认备案","正常"))))))))))))</f>
        <v/>
      </c>
      <c r="AE290" s="9"/>
      <c r="AF290" s="4" t="str">
        <f>IF(C290="","",IF(COUNTIF($C$2:C290,C290)=1,MAX($AF$1:AF289)+1,""))</f>
        <v/>
      </c>
      <c r="AG290" s="4" t="str">
        <f>IF(C290="","",COUNTIF($C$2:C290,C290))</f>
        <v/>
      </c>
      <c r="AH290" s="4" t="str">
        <f t="shared" si="70"/>
        <v/>
      </c>
      <c r="AI290" s="4" t="str">
        <f t="shared" si="71"/>
        <v/>
      </c>
      <c r="AJ290" s="4" t="str">
        <f t="shared" si="72"/>
        <v/>
      </c>
      <c r="AK290" s="15" t="str">
        <f>IF(A290="","",SUMIFS(分期缴税台账!$K$2:$K$501,分期缴税台账!$T$2:$T$501,A290,分期缴税台账!$Q$2:$Q$501,"有效"))</f>
        <v/>
      </c>
      <c r="AL290" s="15" t="str">
        <f t="shared" si="73"/>
        <v/>
      </c>
      <c r="AM290" s="4" t="str">
        <f t="shared" si="74"/>
        <v/>
      </c>
    </row>
    <row r="291" spans="1:39" x14ac:dyDescent="0.3">
      <c r="A291" s="9"/>
      <c r="B291" s="4" t="str">
        <f t="shared" si="60"/>
        <v/>
      </c>
      <c r="C291" s="9"/>
      <c r="D291" s="9"/>
      <c r="E291" s="9"/>
      <c r="F291" s="9"/>
      <c r="G291" s="13"/>
      <c r="H291" s="4" t="str">
        <f t="shared" si="61"/>
        <v/>
      </c>
      <c r="I291" s="9"/>
      <c r="J291" s="14"/>
      <c r="K291" s="15" t="str">
        <f>IF(OR(E291="",F291="",G291=""),"",IF(E291&lt;&gt;计划参数!$C$2,"",IF(F291="股票期权",IFERROR(LOOKUP(G291,计划参数!$D$12:$D$15,计划参数!$C$12:$C$15),""),IF(F291="限制性股票",计划参数!$C$10,""))))</f>
        <v/>
      </c>
      <c r="L291" s="15" t="str">
        <f>IF(AND(E291=计划参数!$C$2,F291="限制性股票",G291&gt;=计划参数!$D$9),计划参数!$C$9,"")</f>
        <v/>
      </c>
      <c r="M291" s="9"/>
      <c r="N291" s="14"/>
      <c r="O291" s="14"/>
      <c r="P291" s="13"/>
      <c r="Q291" s="9"/>
      <c r="R291" s="13"/>
      <c r="S291" s="15" t="str">
        <f t="shared" si="62"/>
        <v/>
      </c>
      <c r="T291" s="15" t="str">
        <f t="shared" si="63"/>
        <v/>
      </c>
      <c r="U291" s="15" t="str">
        <f t="shared" si="64"/>
        <v/>
      </c>
      <c r="V291" s="15" t="str">
        <f t="shared" si="65"/>
        <v/>
      </c>
      <c r="W291" s="16" t="str">
        <f>IF(V291="","",VLOOKUP(V291,税率及规则!$A$2:$C$8,2,TRUE))</f>
        <v/>
      </c>
      <c r="X291" s="15" t="str">
        <f>IF(V291="","",VLOOKUP(V291,税率及规则!$A$2:$C$8,3,TRUE))</f>
        <v/>
      </c>
      <c r="Y291" s="15" t="str">
        <f t="shared" si="66"/>
        <v/>
      </c>
      <c r="Z291" s="15" t="str">
        <f>IF(U291="","",MAX(0,U291*VLOOKUP(U291,税率及规则!$A$2:$C$8,2,TRUE)-VLOOKUP(U291,税率及规则!$A$2:$C$8,3,TRUE)))</f>
        <v/>
      </c>
      <c r="AA291" s="15" t="str">
        <f t="shared" si="67"/>
        <v/>
      </c>
      <c r="AB291" s="17" t="str">
        <f t="shared" si="68"/>
        <v/>
      </c>
      <c r="AC291" s="17" t="str">
        <f t="shared" si="69"/>
        <v/>
      </c>
      <c r="AD291" s="4" t="str">
        <f>IF(A291="","",IF(COUNTIF($A$2:$A$501,A291)&gt;1,"异常：事件编号重复",IF(OR(C291="",D291="",E291="",F291="",G291=""),"异常：必填项缺失",IF(AND(F291="其他股权激励",O291=""),"异常：其他股权激励所得缺失",IF(AND(F291&lt;&gt;"其他股权激励",OR(I291="",J291="")),"异常：数量或市场价缺失",IF(AND(F291&lt;&gt;"其他股权激励",OR(I291&lt;=0,J291&lt;0)),"异常：数量或价格无效",IF(AND(F291="限制性股票",OR(M291&lt;=0,N291&lt;0,I291&gt;M291)),"异常：个人获授或出资数据无效",IF(AND(IFERROR(INDEX(计划参数!$J$2:$J$501,MATCH(C291,计划参数!$I$2:$I$501,0)),"")&lt;&gt;"",D291&lt;&gt;IFERROR(INDEX(计划参数!$J$2:$J$501,MATCH(C291,计划参数!$I$2:$I$501,0)),"")),"异常：姓名与员工主数据不一致",IF(S291&lt;0,"异常：原始所得为负，已按0计税",IF(OR(AND(F291="股票期权",K291=""),AND(F291="限制性股票",OR(K291="",L291=""))),"异常：计划参数缺失",IF(COUNTIF(计划参数!$I$2:$I$501,C291)=0,"提示：员工编号未在主数据",IF(Q291&lt;&gt;"已备案","提示：未确认备案","正常"))))))))))))</f>
        <v/>
      </c>
      <c r="AE291" s="9"/>
      <c r="AF291" s="4" t="str">
        <f>IF(C291="","",IF(COUNTIF($C$2:C291,C291)=1,MAX($AF$1:AF290)+1,""))</f>
        <v/>
      </c>
      <c r="AG291" s="4" t="str">
        <f>IF(C291="","",COUNTIF($C$2:C291,C291))</f>
        <v/>
      </c>
      <c r="AH291" s="4" t="str">
        <f t="shared" si="70"/>
        <v/>
      </c>
      <c r="AI291" s="4" t="str">
        <f t="shared" si="71"/>
        <v/>
      </c>
      <c r="AJ291" s="4" t="str">
        <f t="shared" si="72"/>
        <v/>
      </c>
      <c r="AK291" s="15" t="str">
        <f>IF(A291="","",SUMIFS(分期缴税台账!$K$2:$K$501,分期缴税台账!$T$2:$T$501,A291,分期缴税台账!$Q$2:$Q$501,"有效"))</f>
        <v/>
      </c>
      <c r="AL291" s="15" t="str">
        <f t="shared" si="73"/>
        <v/>
      </c>
      <c r="AM291" s="4" t="str">
        <f t="shared" si="74"/>
        <v/>
      </c>
    </row>
    <row r="292" spans="1:39" x14ac:dyDescent="0.3">
      <c r="A292" s="9"/>
      <c r="B292" s="4" t="str">
        <f t="shared" si="60"/>
        <v/>
      </c>
      <c r="C292" s="9"/>
      <c r="D292" s="9"/>
      <c r="E292" s="9"/>
      <c r="F292" s="9"/>
      <c r="G292" s="13"/>
      <c r="H292" s="4" t="str">
        <f t="shared" si="61"/>
        <v/>
      </c>
      <c r="I292" s="9"/>
      <c r="J292" s="14"/>
      <c r="K292" s="15" t="str">
        <f>IF(OR(E292="",F292="",G292=""),"",IF(E292&lt;&gt;计划参数!$C$2,"",IF(F292="股票期权",IFERROR(LOOKUP(G292,计划参数!$D$12:$D$15,计划参数!$C$12:$C$15),""),IF(F292="限制性股票",计划参数!$C$10,""))))</f>
        <v/>
      </c>
      <c r="L292" s="15" t="str">
        <f>IF(AND(E292=计划参数!$C$2,F292="限制性股票",G292&gt;=计划参数!$D$9),计划参数!$C$9,"")</f>
        <v/>
      </c>
      <c r="M292" s="9"/>
      <c r="N292" s="14"/>
      <c r="O292" s="14"/>
      <c r="P292" s="13"/>
      <c r="Q292" s="9"/>
      <c r="R292" s="13"/>
      <c r="S292" s="15" t="str">
        <f t="shared" si="62"/>
        <v/>
      </c>
      <c r="T292" s="15" t="str">
        <f t="shared" si="63"/>
        <v/>
      </c>
      <c r="U292" s="15" t="str">
        <f t="shared" si="64"/>
        <v/>
      </c>
      <c r="V292" s="15" t="str">
        <f t="shared" si="65"/>
        <v/>
      </c>
      <c r="W292" s="16" t="str">
        <f>IF(V292="","",VLOOKUP(V292,税率及规则!$A$2:$C$8,2,TRUE))</f>
        <v/>
      </c>
      <c r="X292" s="15" t="str">
        <f>IF(V292="","",VLOOKUP(V292,税率及规则!$A$2:$C$8,3,TRUE))</f>
        <v/>
      </c>
      <c r="Y292" s="15" t="str">
        <f t="shared" si="66"/>
        <v/>
      </c>
      <c r="Z292" s="15" t="str">
        <f>IF(U292="","",MAX(0,U292*VLOOKUP(U292,税率及规则!$A$2:$C$8,2,TRUE)-VLOOKUP(U292,税率及规则!$A$2:$C$8,3,TRUE)))</f>
        <v/>
      </c>
      <c r="AA292" s="15" t="str">
        <f t="shared" si="67"/>
        <v/>
      </c>
      <c r="AB292" s="17" t="str">
        <f t="shared" si="68"/>
        <v/>
      </c>
      <c r="AC292" s="17" t="str">
        <f t="shared" si="69"/>
        <v/>
      </c>
      <c r="AD292" s="4" t="str">
        <f>IF(A292="","",IF(COUNTIF($A$2:$A$501,A292)&gt;1,"异常：事件编号重复",IF(OR(C292="",D292="",E292="",F292="",G292=""),"异常：必填项缺失",IF(AND(F292="其他股权激励",O292=""),"异常：其他股权激励所得缺失",IF(AND(F292&lt;&gt;"其他股权激励",OR(I292="",J292="")),"异常：数量或市场价缺失",IF(AND(F292&lt;&gt;"其他股权激励",OR(I292&lt;=0,J292&lt;0)),"异常：数量或价格无效",IF(AND(F292="限制性股票",OR(M292&lt;=0,N292&lt;0,I292&gt;M292)),"异常：个人获授或出资数据无效",IF(AND(IFERROR(INDEX(计划参数!$J$2:$J$501,MATCH(C292,计划参数!$I$2:$I$501,0)),"")&lt;&gt;"",D292&lt;&gt;IFERROR(INDEX(计划参数!$J$2:$J$501,MATCH(C292,计划参数!$I$2:$I$501,0)),"")),"异常：姓名与员工主数据不一致",IF(S292&lt;0,"异常：原始所得为负，已按0计税",IF(OR(AND(F292="股票期权",K292=""),AND(F292="限制性股票",OR(K292="",L292=""))),"异常：计划参数缺失",IF(COUNTIF(计划参数!$I$2:$I$501,C292)=0,"提示：员工编号未在主数据",IF(Q292&lt;&gt;"已备案","提示：未确认备案","正常"))))))))))))</f>
        <v/>
      </c>
      <c r="AE292" s="9"/>
      <c r="AF292" s="4" t="str">
        <f>IF(C292="","",IF(COUNTIF($C$2:C292,C292)=1,MAX($AF$1:AF291)+1,""))</f>
        <v/>
      </c>
      <c r="AG292" s="4" t="str">
        <f>IF(C292="","",COUNTIF($C$2:C292,C292))</f>
        <v/>
      </c>
      <c r="AH292" s="4" t="str">
        <f t="shared" si="70"/>
        <v/>
      </c>
      <c r="AI292" s="4" t="str">
        <f t="shared" si="71"/>
        <v/>
      </c>
      <c r="AJ292" s="4" t="str">
        <f t="shared" si="72"/>
        <v/>
      </c>
      <c r="AK292" s="15" t="str">
        <f>IF(A292="","",SUMIFS(分期缴税台账!$K$2:$K$501,分期缴税台账!$T$2:$T$501,A292,分期缴税台账!$Q$2:$Q$501,"有效"))</f>
        <v/>
      </c>
      <c r="AL292" s="15" t="str">
        <f t="shared" si="73"/>
        <v/>
      </c>
      <c r="AM292" s="4" t="str">
        <f t="shared" si="74"/>
        <v/>
      </c>
    </row>
    <row r="293" spans="1:39" x14ac:dyDescent="0.3">
      <c r="A293" s="9"/>
      <c r="B293" s="4" t="str">
        <f t="shared" si="60"/>
        <v/>
      </c>
      <c r="C293" s="9"/>
      <c r="D293" s="9"/>
      <c r="E293" s="9"/>
      <c r="F293" s="9"/>
      <c r="G293" s="13"/>
      <c r="H293" s="4" t="str">
        <f t="shared" si="61"/>
        <v/>
      </c>
      <c r="I293" s="9"/>
      <c r="J293" s="14"/>
      <c r="K293" s="15" t="str">
        <f>IF(OR(E293="",F293="",G293=""),"",IF(E293&lt;&gt;计划参数!$C$2,"",IF(F293="股票期权",IFERROR(LOOKUP(G293,计划参数!$D$12:$D$15,计划参数!$C$12:$C$15),""),IF(F293="限制性股票",计划参数!$C$10,""))))</f>
        <v/>
      </c>
      <c r="L293" s="15" t="str">
        <f>IF(AND(E293=计划参数!$C$2,F293="限制性股票",G293&gt;=计划参数!$D$9),计划参数!$C$9,"")</f>
        <v/>
      </c>
      <c r="M293" s="9"/>
      <c r="N293" s="14"/>
      <c r="O293" s="14"/>
      <c r="P293" s="13"/>
      <c r="Q293" s="9"/>
      <c r="R293" s="13"/>
      <c r="S293" s="15" t="str">
        <f t="shared" si="62"/>
        <v/>
      </c>
      <c r="T293" s="15" t="str">
        <f t="shared" si="63"/>
        <v/>
      </c>
      <c r="U293" s="15" t="str">
        <f t="shared" si="64"/>
        <v/>
      </c>
      <c r="V293" s="15" t="str">
        <f t="shared" si="65"/>
        <v/>
      </c>
      <c r="W293" s="16" t="str">
        <f>IF(V293="","",VLOOKUP(V293,税率及规则!$A$2:$C$8,2,TRUE))</f>
        <v/>
      </c>
      <c r="X293" s="15" t="str">
        <f>IF(V293="","",VLOOKUP(V293,税率及规则!$A$2:$C$8,3,TRUE))</f>
        <v/>
      </c>
      <c r="Y293" s="15" t="str">
        <f t="shared" si="66"/>
        <v/>
      </c>
      <c r="Z293" s="15" t="str">
        <f>IF(U293="","",MAX(0,U293*VLOOKUP(U293,税率及规则!$A$2:$C$8,2,TRUE)-VLOOKUP(U293,税率及规则!$A$2:$C$8,3,TRUE)))</f>
        <v/>
      </c>
      <c r="AA293" s="15" t="str">
        <f t="shared" si="67"/>
        <v/>
      </c>
      <c r="AB293" s="17" t="str">
        <f t="shared" si="68"/>
        <v/>
      </c>
      <c r="AC293" s="17" t="str">
        <f t="shared" si="69"/>
        <v/>
      </c>
      <c r="AD293" s="4" t="str">
        <f>IF(A293="","",IF(COUNTIF($A$2:$A$501,A293)&gt;1,"异常：事件编号重复",IF(OR(C293="",D293="",E293="",F293="",G293=""),"异常：必填项缺失",IF(AND(F293="其他股权激励",O293=""),"异常：其他股权激励所得缺失",IF(AND(F293&lt;&gt;"其他股权激励",OR(I293="",J293="")),"异常：数量或市场价缺失",IF(AND(F293&lt;&gt;"其他股权激励",OR(I293&lt;=0,J293&lt;0)),"异常：数量或价格无效",IF(AND(F293="限制性股票",OR(M293&lt;=0,N293&lt;0,I293&gt;M293)),"异常：个人获授或出资数据无效",IF(AND(IFERROR(INDEX(计划参数!$J$2:$J$501,MATCH(C293,计划参数!$I$2:$I$501,0)),"")&lt;&gt;"",D293&lt;&gt;IFERROR(INDEX(计划参数!$J$2:$J$501,MATCH(C293,计划参数!$I$2:$I$501,0)),"")),"异常：姓名与员工主数据不一致",IF(S293&lt;0,"异常：原始所得为负，已按0计税",IF(OR(AND(F293="股票期权",K293=""),AND(F293="限制性股票",OR(K293="",L293=""))),"异常：计划参数缺失",IF(COUNTIF(计划参数!$I$2:$I$501,C293)=0,"提示：员工编号未在主数据",IF(Q293&lt;&gt;"已备案","提示：未确认备案","正常"))))))))))))</f>
        <v/>
      </c>
      <c r="AE293" s="9"/>
      <c r="AF293" s="4" t="str">
        <f>IF(C293="","",IF(COUNTIF($C$2:C293,C293)=1,MAX($AF$1:AF292)+1,""))</f>
        <v/>
      </c>
      <c r="AG293" s="4" t="str">
        <f>IF(C293="","",COUNTIF($C$2:C293,C293))</f>
        <v/>
      </c>
      <c r="AH293" s="4" t="str">
        <f t="shared" si="70"/>
        <v/>
      </c>
      <c r="AI293" s="4" t="str">
        <f t="shared" si="71"/>
        <v/>
      </c>
      <c r="AJ293" s="4" t="str">
        <f t="shared" si="72"/>
        <v/>
      </c>
      <c r="AK293" s="15" t="str">
        <f>IF(A293="","",SUMIFS(分期缴税台账!$K$2:$K$501,分期缴税台账!$T$2:$T$501,A293,分期缴税台账!$Q$2:$Q$501,"有效"))</f>
        <v/>
      </c>
      <c r="AL293" s="15" t="str">
        <f t="shared" si="73"/>
        <v/>
      </c>
      <c r="AM293" s="4" t="str">
        <f t="shared" si="74"/>
        <v/>
      </c>
    </row>
    <row r="294" spans="1:39" x14ac:dyDescent="0.3">
      <c r="A294" s="9"/>
      <c r="B294" s="4" t="str">
        <f t="shared" si="60"/>
        <v/>
      </c>
      <c r="C294" s="9"/>
      <c r="D294" s="9"/>
      <c r="E294" s="9"/>
      <c r="F294" s="9"/>
      <c r="G294" s="13"/>
      <c r="H294" s="4" t="str">
        <f t="shared" si="61"/>
        <v/>
      </c>
      <c r="I294" s="9"/>
      <c r="J294" s="14"/>
      <c r="K294" s="15" t="str">
        <f>IF(OR(E294="",F294="",G294=""),"",IF(E294&lt;&gt;计划参数!$C$2,"",IF(F294="股票期权",IFERROR(LOOKUP(G294,计划参数!$D$12:$D$15,计划参数!$C$12:$C$15),""),IF(F294="限制性股票",计划参数!$C$10,""))))</f>
        <v/>
      </c>
      <c r="L294" s="15" t="str">
        <f>IF(AND(E294=计划参数!$C$2,F294="限制性股票",G294&gt;=计划参数!$D$9),计划参数!$C$9,"")</f>
        <v/>
      </c>
      <c r="M294" s="9"/>
      <c r="N294" s="14"/>
      <c r="O294" s="14"/>
      <c r="P294" s="13"/>
      <c r="Q294" s="9"/>
      <c r="R294" s="13"/>
      <c r="S294" s="15" t="str">
        <f t="shared" si="62"/>
        <v/>
      </c>
      <c r="T294" s="15" t="str">
        <f t="shared" si="63"/>
        <v/>
      </c>
      <c r="U294" s="15" t="str">
        <f t="shared" si="64"/>
        <v/>
      </c>
      <c r="V294" s="15" t="str">
        <f t="shared" si="65"/>
        <v/>
      </c>
      <c r="W294" s="16" t="str">
        <f>IF(V294="","",VLOOKUP(V294,税率及规则!$A$2:$C$8,2,TRUE))</f>
        <v/>
      </c>
      <c r="X294" s="15" t="str">
        <f>IF(V294="","",VLOOKUP(V294,税率及规则!$A$2:$C$8,3,TRUE))</f>
        <v/>
      </c>
      <c r="Y294" s="15" t="str">
        <f t="shared" si="66"/>
        <v/>
      </c>
      <c r="Z294" s="15" t="str">
        <f>IF(U294="","",MAX(0,U294*VLOOKUP(U294,税率及规则!$A$2:$C$8,2,TRUE)-VLOOKUP(U294,税率及规则!$A$2:$C$8,3,TRUE)))</f>
        <v/>
      </c>
      <c r="AA294" s="15" t="str">
        <f t="shared" si="67"/>
        <v/>
      </c>
      <c r="AB294" s="17" t="str">
        <f t="shared" si="68"/>
        <v/>
      </c>
      <c r="AC294" s="17" t="str">
        <f t="shared" si="69"/>
        <v/>
      </c>
      <c r="AD294" s="4" t="str">
        <f>IF(A294="","",IF(COUNTIF($A$2:$A$501,A294)&gt;1,"异常：事件编号重复",IF(OR(C294="",D294="",E294="",F294="",G294=""),"异常：必填项缺失",IF(AND(F294="其他股权激励",O294=""),"异常：其他股权激励所得缺失",IF(AND(F294&lt;&gt;"其他股权激励",OR(I294="",J294="")),"异常：数量或市场价缺失",IF(AND(F294&lt;&gt;"其他股权激励",OR(I294&lt;=0,J294&lt;0)),"异常：数量或价格无效",IF(AND(F294="限制性股票",OR(M294&lt;=0,N294&lt;0,I294&gt;M294)),"异常：个人获授或出资数据无效",IF(AND(IFERROR(INDEX(计划参数!$J$2:$J$501,MATCH(C294,计划参数!$I$2:$I$501,0)),"")&lt;&gt;"",D294&lt;&gt;IFERROR(INDEX(计划参数!$J$2:$J$501,MATCH(C294,计划参数!$I$2:$I$501,0)),"")),"异常：姓名与员工主数据不一致",IF(S294&lt;0,"异常：原始所得为负，已按0计税",IF(OR(AND(F294="股票期权",K294=""),AND(F294="限制性股票",OR(K294="",L294=""))),"异常：计划参数缺失",IF(COUNTIF(计划参数!$I$2:$I$501,C294)=0,"提示：员工编号未在主数据",IF(Q294&lt;&gt;"已备案","提示：未确认备案","正常"))))))))))))</f>
        <v/>
      </c>
      <c r="AE294" s="9"/>
      <c r="AF294" s="4" t="str">
        <f>IF(C294="","",IF(COUNTIF($C$2:C294,C294)=1,MAX($AF$1:AF293)+1,""))</f>
        <v/>
      </c>
      <c r="AG294" s="4" t="str">
        <f>IF(C294="","",COUNTIF($C$2:C294,C294))</f>
        <v/>
      </c>
      <c r="AH294" s="4" t="str">
        <f t="shared" si="70"/>
        <v/>
      </c>
      <c r="AI294" s="4" t="str">
        <f t="shared" si="71"/>
        <v/>
      </c>
      <c r="AJ294" s="4" t="str">
        <f t="shared" si="72"/>
        <v/>
      </c>
      <c r="AK294" s="15" t="str">
        <f>IF(A294="","",SUMIFS(分期缴税台账!$K$2:$K$501,分期缴税台账!$T$2:$T$501,A294,分期缴税台账!$Q$2:$Q$501,"有效"))</f>
        <v/>
      </c>
      <c r="AL294" s="15" t="str">
        <f t="shared" si="73"/>
        <v/>
      </c>
      <c r="AM294" s="4" t="str">
        <f t="shared" si="74"/>
        <v/>
      </c>
    </row>
    <row r="295" spans="1:39" x14ac:dyDescent="0.3">
      <c r="A295" s="9"/>
      <c r="B295" s="4" t="str">
        <f t="shared" si="60"/>
        <v/>
      </c>
      <c r="C295" s="9"/>
      <c r="D295" s="9"/>
      <c r="E295" s="9"/>
      <c r="F295" s="9"/>
      <c r="G295" s="13"/>
      <c r="H295" s="4" t="str">
        <f t="shared" si="61"/>
        <v/>
      </c>
      <c r="I295" s="9"/>
      <c r="J295" s="14"/>
      <c r="K295" s="15" t="str">
        <f>IF(OR(E295="",F295="",G295=""),"",IF(E295&lt;&gt;计划参数!$C$2,"",IF(F295="股票期权",IFERROR(LOOKUP(G295,计划参数!$D$12:$D$15,计划参数!$C$12:$C$15),""),IF(F295="限制性股票",计划参数!$C$10,""))))</f>
        <v/>
      </c>
      <c r="L295" s="15" t="str">
        <f>IF(AND(E295=计划参数!$C$2,F295="限制性股票",G295&gt;=计划参数!$D$9),计划参数!$C$9,"")</f>
        <v/>
      </c>
      <c r="M295" s="9"/>
      <c r="N295" s="14"/>
      <c r="O295" s="14"/>
      <c r="P295" s="13"/>
      <c r="Q295" s="9"/>
      <c r="R295" s="13"/>
      <c r="S295" s="15" t="str">
        <f t="shared" si="62"/>
        <v/>
      </c>
      <c r="T295" s="15" t="str">
        <f t="shared" si="63"/>
        <v/>
      </c>
      <c r="U295" s="15" t="str">
        <f t="shared" si="64"/>
        <v/>
      </c>
      <c r="V295" s="15" t="str">
        <f t="shared" si="65"/>
        <v/>
      </c>
      <c r="W295" s="16" t="str">
        <f>IF(V295="","",VLOOKUP(V295,税率及规则!$A$2:$C$8,2,TRUE))</f>
        <v/>
      </c>
      <c r="X295" s="15" t="str">
        <f>IF(V295="","",VLOOKUP(V295,税率及规则!$A$2:$C$8,3,TRUE))</f>
        <v/>
      </c>
      <c r="Y295" s="15" t="str">
        <f t="shared" si="66"/>
        <v/>
      </c>
      <c r="Z295" s="15" t="str">
        <f>IF(U295="","",MAX(0,U295*VLOOKUP(U295,税率及规则!$A$2:$C$8,2,TRUE)-VLOOKUP(U295,税率及规则!$A$2:$C$8,3,TRUE)))</f>
        <v/>
      </c>
      <c r="AA295" s="15" t="str">
        <f t="shared" si="67"/>
        <v/>
      </c>
      <c r="AB295" s="17" t="str">
        <f t="shared" si="68"/>
        <v/>
      </c>
      <c r="AC295" s="17" t="str">
        <f t="shared" si="69"/>
        <v/>
      </c>
      <c r="AD295" s="4" t="str">
        <f>IF(A295="","",IF(COUNTIF($A$2:$A$501,A295)&gt;1,"异常：事件编号重复",IF(OR(C295="",D295="",E295="",F295="",G295=""),"异常：必填项缺失",IF(AND(F295="其他股权激励",O295=""),"异常：其他股权激励所得缺失",IF(AND(F295&lt;&gt;"其他股权激励",OR(I295="",J295="")),"异常：数量或市场价缺失",IF(AND(F295&lt;&gt;"其他股权激励",OR(I295&lt;=0,J295&lt;0)),"异常：数量或价格无效",IF(AND(F295="限制性股票",OR(M295&lt;=0,N295&lt;0,I295&gt;M295)),"异常：个人获授或出资数据无效",IF(AND(IFERROR(INDEX(计划参数!$J$2:$J$501,MATCH(C295,计划参数!$I$2:$I$501,0)),"")&lt;&gt;"",D295&lt;&gt;IFERROR(INDEX(计划参数!$J$2:$J$501,MATCH(C295,计划参数!$I$2:$I$501,0)),"")),"异常：姓名与员工主数据不一致",IF(S295&lt;0,"异常：原始所得为负，已按0计税",IF(OR(AND(F295="股票期权",K295=""),AND(F295="限制性股票",OR(K295="",L295=""))),"异常：计划参数缺失",IF(COUNTIF(计划参数!$I$2:$I$501,C295)=0,"提示：员工编号未在主数据",IF(Q295&lt;&gt;"已备案","提示：未确认备案","正常"))))))))))))</f>
        <v/>
      </c>
      <c r="AE295" s="9"/>
      <c r="AF295" s="4" t="str">
        <f>IF(C295="","",IF(COUNTIF($C$2:C295,C295)=1,MAX($AF$1:AF294)+1,""))</f>
        <v/>
      </c>
      <c r="AG295" s="4" t="str">
        <f>IF(C295="","",COUNTIF($C$2:C295,C295))</f>
        <v/>
      </c>
      <c r="AH295" s="4" t="str">
        <f t="shared" si="70"/>
        <v/>
      </c>
      <c r="AI295" s="4" t="str">
        <f t="shared" si="71"/>
        <v/>
      </c>
      <c r="AJ295" s="4" t="str">
        <f t="shared" si="72"/>
        <v/>
      </c>
      <c r="AK295" s="15" t="str">
        <f>IF(A295="","",SUMIFS(分期缴税台账!$K$2:$K$501,分期缴税台账!$T$2:$T$501,A295,分期缴税台账!$Q$2:$Q$501,"有效"))</f>
        <v/>
      </c>
      <c r="AL295" s="15" t="str">
        <f t="shared" si="73"/>
        <v/>
      </c>
      <c r="AM295" s="4" t="str">
        <f t="shared" si="74"/>
        <v/>
      </c>
    </row>
    <row r="296" spans="1:39" x14ac:dyDescent="0.3">
      <c r="A296" s="9"/>
      <c r="B296" s="4" t="str">
        <f t="shared" si="60"/>
        <v/>
      </c>
      <c r="C296" s="9"/>
      <c r="D296" s="9"/>
      <c r="E296" s="9"/>
      <c r="F296" s="9"/>
      <c r="G296" s="13"/>
      <c r="H296" s="4" t="str">
        <f t="shared" si="61"/>
        <v/>
      </c>
      <c r="I296" s="9"/>
      <c r="J296" s="14"/>
      <c r="K296" s="15" t="str">
        <f>IF(OR(E296="",F296="",G296=""),"",IF(E296&lt;&gt;计划参数!$C$2,"",IF(F296="股票期权",IFERROR(LOOKUP(G296,计划参数!$D$12:$D$15,计划参数!$C$12:$C$15),""),IF(F296="限制性股票",计划参数!$C$10,""))))</f>
        <v/>
      </c>
      <c r="L296" s="15" t="str">
        <f>IF(AND(E296=计划参数!$C$2,F296="限制性股票",G296&gt;=计划参数!$D$9),计划参数!$C$9,"")</f>
        <v/>
      </c>
      <c r="M296" s="9"/>
      <c r="N296" s="14"/>
      <c r="O296" s="14"/>
      <c r="P296" s="13"/>
      <c r="Q296" s="9"/>
      <c r="R296" s="13"/>
      <c r="S296" s="15" t="str">
        <f t="shared" si="62"/>
        <v/>
      </c>
      <c r="T296" s="15" t="str">
        <f t="shared" si="63"/>
        <v/>
      </c>
      <c r="U296" s="15" t="str">
        <f t="shared" si="64"/>
        <v/>
      </c>
      <c r="V296" s="15" t="str">
        <f t="shared" si="65"/>
        <v/>
      </c>
      <c r="W296" s="16" t="str">
        <f>IF(V296="","",VLOOKUP(V296,税率及规则!$A$2:$C$8,2,TRUE))</f>
        <v/>
      </c>
      <c r="X296" s="15" t="str">
        <f>IF(V296="","",VLOOKUP(V296,税率及规则!$A$2:$C$8,3,TRUE))</f>
        <v/>
      </c>
      <c r="Y296" s="15" t="str">
        <f t="shared" si="66"/>
        <v/>
      </c>
      <c r="Z296" s="15" t="str">
        <f>IF(U296="","",MAX(0,U296*VLOOKUP(U296,税率及规则!$A$2:$C$8,2,TRUE)-VLOOKUP(U296,税率及规则!$A$2:$C$8,3,TRUE)))</f>
        <v/>
      </c>
      <c r="AA296" s="15" t="str">
        <f t="shared" si="67"/>
        <v/>
      </c>
      <c r="AB296" s="17" t="str">
        <f t="shared" si="68"/>
        <v/>
      </c>
      <c r="AC296" s="17" t="str">
        <f t="shared" si="69"/>
        <v/>
      </c>
      <c r="AD296" s="4" t="str">
        <f>IF(A296="","",IF(COUNTIF($A$2:$A$501,A296)&gt;1,"异常：事件编号重复",IF(OR(C296="",D296="",E296="",F296="",G296=""),"异常：必填项缺失",IF(AND(F296="其他股权激励",O296=""),"异常：其他股权激励所得缺失",IF(AND(F296&lt;&gt;"其他股权激励",OR(I296="",J296="")),"异常：数量或市场价缺失",IF(AND(F296&lt;&gt;"其他股权激励",OR(I296&lt;=0,J296&lt;0)),"异常：数量或价格无效",IF(AND(F296="限制性股票",OR(M296&lt;=0,N296&lt;0,I296&gt;M296)),"异常：个人获授或出资数据无效",IF(AND(IFERROR(INDEX(计划参数!$J$2:$J$501,MATCH(C296,计划参数!$I$2:$I$501,0)),"")&lt;&gt;"",D296&lt;&gt;IFERROR(INDEX(计划参数!$J$2:$J$501,MATCH(C296,计划参数!$I$2:$I$501,0)),"")),"异常：姓名与员工主数据不一致",IF(S296&lt;0,"异常：原始所得为负，已按0计税",IF(OR(AND(F296="股票期权",K296=""),AND(F296="限制性股票",OR(K296="",L296=""))),"异常：计划参数缺失",IF(COUNTIF(计划参数!$I$2:$I$501,C296)=0,"提示：员工编号未在主数据",IF(Q296&lt;&gt;"已备案","提示：未确认备案","正常"))))))))))))</f>
        <v/>
      </c>
      <c r="AE296" s="9"/>
      <c r="AF296" s="4" t="str">
        <f>IF(C296="","",IF(COUNTIF($C$2:C296,C296)=1,MAX($AF$1:AF295)+1,""))</f>
        <v/>
      </c>
      <c r="AG296" s="4" t="str">
        <f>IF(C296="","",COUNTIF($C$2:C296,C296))</f>
        <v/>
      </c>
      <c r="AH296" s="4" t="str">
        <f t="shared" si="70"/>
        <v/>
      </c>
      <c r="AI296" s="4" t="str">
        <f t="shared" si="71"/>
        <v/>
      </c>
      <c r="AJ296" s="4" t="str">
        <f t="shared" si="72"/>
        <v/>
      </c>
      <c r="AK296" s="15" t="str">
        <f>IF(A296="","",SUMIFS(分期缴税台账!$K$2:$K$501,分期缴税台账!$T$2:$T$501,A296,分期缴税台账!$Q$2:$Q$501,"有效"))</f>
        <v/>
      </c>
      <c r="AL296" s="15" t="str">
        <f t="shared" si="73"/>
        <v/>
      </c>
      <c r="AM296" s="4" t="str">
        <f t="shared" si="74"/>
        <v/>
      </c>
    </row>
    <row r="297" spans="1:39" x14ac:dyDescent="0.3">
      <c r="A297" s="9"/>
      <c r="B297" s="4" t="str">
        <f t="shared" si="60"/>
        <v/>
      </c>
      <c r="C297" s="9"/>
      <c r="D297" s="9"/>
      <c r="E297" s="9"/>
      <c r="F297" s="9"/>
      <c r="G297" s="13"/>
      <c r="H297" s="4" t="str">
        <f t="shared" si="61"/>
        <v/>
      </c>
      <c r="I297" s="9"/>
      <c r="J297" s="14"/>
      <c r="K297" s="15" t="str">
        <f>IF(OR(E297="",F297="",G297=""),"",IF(E297&lt;&gt;计划参数!$C$2,"",IF(F297="股票期权",IFERROR(LOOKUP(G297,计划参数!$D$12:$D$15,计划参数!$C$12:$C$15),""),IF(F297="限制性股票",计划参数!$C$10,""))))</f>
        <v/>
      </c>
      <c r="L297" s="15" t="str">
        <f>IF(AND(E297=计划参数!$C$2,F297="限制性股票",G297&gt;=计划参数!$D$9),计划参数!$C$9,"")</f>
        <v/>
      </c>
      <c r="M297" s="9"/>
      <c r="N297" s="14"/>
      <c r="O297" s="14"/>
      <c r="P297" s="13"/>
      <c r="Q297" s="9"/>
      <c r="R297" s="13"/>
      <c r="S297" s="15" t="str">
        <f t="shared" si="62"/>
        <v/>
      </c>
      <c r="T297" s="15" t="str">
        <f t="shared" si="63"/>
        <v/>
      </c>
      <c r="U297" s="15" t="str">
        <f t="shared" si="64"/>
        <v/>
      </c>
      <c r="V297" s="15" t="str">
        <f t="shared" si="65"/>
        <v/>
      </c>
      <c r="W297" s="16" t="str">
        <f>IF(V297="","",VLOOKUP(V297,税率及规则!$A$2:$C$8,2,TRUE))</f>
        <v/>
      </c>
      <c r="X297" s="15" t="str">
        <f>IF(V297="","",VLOOKUP(V297,税率及规则!$A$2:$C$8,3,TRUE))</f>
        <v/>
      </c>
      <c r="Y297" s="15" t="str">
        <f t="shared" si="66"/>
        <v/>
      </c>
      <c r="Z297" s="15" t="str">
        <f>IF(U297="","",MAX(0,U297*VLOOKUP(U297,税率及规则!$A$2:$C$8,2,TRUE)-VLOOKUP(U297,税率及规则!$A$2:$C$8,3,TRUE)))</f>
        <v/>
      </c>
      <c r="AA297" s="15" t="str">
        <f t="shared" si="67"/>
        <v/>
      </c>
      <c r="AB297" s="17" t="str">
        <f t="shared" si="68"/>
        <v/>
      </c>
      <c r="AC297" s="17" t="str">
        <f t="shared" si="69"/>
        <v/>
      </c>
      <c r="AD297" s="4" t="str">
        <f>IF(A297="","",IF(COUNTIF($A$2:$A$501,A297)&gt;1,"异常：事件编号重复",IF(OR(C297="",D297="",E297="",F297="",G297=""),"异常：必填项缺失",IF(AND(F297="其他股权激励",O297=""),"异常：其他股权激励所得缺失",IF(AND(F297&lt;&gt;"其他股权激励",OR(I297="",J297="")),"异常：数量或市场价缺失",IF(AND(F297&lt;&gt;"其他股权激励",OR(I297&lt;=0,J297&lt;0)),"异常：数量或价格无效",IF(AND(F297="限制性股票",OR(M297&lt;=0,N297&lt;0,I297&gt;M297)),"异常：个人获授或出资数据无效",IF(AND(IFERROR(INDEX(计划参数!$J$2:$J$501,MATCH(C297,计划参数!$I$2:$I$501,0)),"")&lt;&gt;"",D297&lt;&gt;IFERROR(INDEX(计划参数!$J$2:$J$501,MATCH(C297,计划参数!$I$2:$I$501,0)),"")),"异常：姓名与员工主数据不一致",IF(S297&lt;0,"异常：原始所得为负，已按0计税",IF(OR(AND(F297="股票期权",K297=""),AND(F297="限制性股票",OR(K297="",L297=""))),"异常：计划参数缺失",IF(COUNTIF(计划参数!$I$2:$I$501,C297)=0,"提示：员工编号未在主数据",IF(Q297&lt;&gt;"已备案","提示：未确认备案","正常"))))))))))))</f>
        <v/>
      </c>
      <c r="AE297" s="9"/>
      <c r="AF297" s="4" t="str">
        <f>IF(C297="","",IF(COUNTIF($C$2:C297,C297)=1,MAX($AF$1:AF296)+1,""))</f>
        <v/>
      </c>
      <c r="AG297" s="4" t="str">
        <f>IF(C297="","",COUNTIF($C$2:C297,C297))</f>
        <v/>
      </c>
      <c r="AH297" s="4" t="str">
        <f t="shared" si="70"/>
        <v/>
      </c>
      <c r="AI297" s="4" t="str">
        <f t="shared" si="71"/>
        <v/>
      </c>
      <c r="AJ297" s="4" t="str">
        <f t="shared" si="72"/>
        <v/>
      </c>
      <c r="AK297" s="15" t="str">
        <f>IF(A297="","",SUMIFS(分期缴税台账!$K$2:$K$501,分期缴税台账!$T$2:$T$501,A297,分期缴税台账!$Q$2:$Q$501,"有效"))</f>
        <v/>
      </c>
      <c r="AL297" s="15" t="str">
        <f t="shared" si="73"/>
        <v/>
      </c>
      <c r="AM297" s="4" t="str">
        <f t="shared" si="74"/>
        <v/>
      </c>
    </row>
    <row r="298" spans="1:39" x14ac:dyDescent="0.3">
      <c r="A298" s="9"/>
      <c r="B298" s="4" t="str">
        <f t="shared" si="60"/>
        <v/>
      </c>
      <c r="C298" s="9"/>
      <c r="D298" s="9"/>
      <c r="E298" s="9"/>
      <c r="F298" s="9"/>
      <c r="G298" s="13"/>
      <c r="H298" s="4" t="str">
        <f t="shared" si="61"/>
        <v/>
      </c>
      <c r="I298" s="9"/>
      <c r="J298" s="14"/>
      <c r="K298" s="15" t="str">
        <f>IF(OR(E298="",F298="",G298=""),"",IF(E298&lt;&gt;计划参数!$C$2,"",IF(F298="股票期权",IFERROR(LOOKUP(G298,计划参数!$D$12:$D$15,计划参数!$C$12:$C$15),""),IF(F298="限制性股票",计划参数!$C$10,""))))</f>
        <v/>
      </c>
      <c r="L298" s="15" t="str">
        <f>IF(AND(E298=计划参数!$C$2,F298="限制性股票",G298&gt;=计划参数!$D$9),计划参数!$C$9,"")</f>
        <v/>
      </c>
      <c r="M298" s="9"/>
      <c r="N298" s="14"/>
      <c r="O298" s="14"/>
      <c r="P298" s="13"/>
      <c r="Q298" s="9"/>
      <c r="R298" s="13"/>
      <c r="S298" s="15" t="str">
        <f t="shared" si="62"/>
        <v/>
      </c>
      <c r="T298" s="15" t="str">
        <f t="shared" si="63"/>
        <v/>
      </c>
      <c r="U298" s="15" t="str">
        <f t="shared" si="64"/>
        <v/>
      </c>
      <c r="V298" s="15" t="str">
        <f t="shared" si="65"/>
        <v/>
      </c>
      <c r="W298" s="16" t="str">
        <f>IF(V298="","",VLOOKUP(V298,税率及规则!$A$2:$C$8,2,TRUE))</f>
        <v/>
      </c>
      <c r="X298" s="15" t="str">
        <f>IF(V298="","",VLOOKUP(V298,税率及规则!$A$2:$C$8,3,TRUE))</f>
        <v/>
      </c>
      <c r="Y298" s="15" t="str">
        <f t="shared" si="66"/>
        <v/>
      </c>
      <c r="Z298" s="15" t="str">
        <f>IF(U298="","",MAX(0,U298*VLOOKUP(U298,税率及规则!$A$2:$C$8,2,TRUE)-VLOOKUP(U298,税率及规则!$A$2:$C$8,3,TRUE)))</f>
        <v/>
      </c>
      <c r="AA298" s="15" t="str">
        <f t="shared" si="67"/>
        <v/>
      </c>
      <c r="AB298" s="17" t="str">
        <f t="shared" si="68"/>
        <v/>
      </c>
      <c r="AC298" s="17" t="str">
        <f t="shared" si="69"/>
        <v/>
      </c>
      <c r="AD298" s="4" t="str">
        <f>IF(A298="","",IF(COUNTIF($A$2:$A$501,A298)&gt;1,"异常：事件编号重复",IF(OR(C298="",D298="",E298="",F298="",G298=""),"异常：必填项缺失",IF(AND(F298="其他股权激励",O298=""),"异常：其他股权激励所得缺失",IF(AND(F298&lt;&gt;"其他股权激励",OR(I298="",J298="")),"异常：数量或市场价缺失",IF(AND(F298&lt;&gt;"其他股权激励",OR(I298&lt;=0,J298&lt;0)),"异常：数量或价格无效",IF(AND(F298="限制性股票",OR(M298&lt;=0,N298&lt;0,I298&gt;M298)),"异常：个人获授或出资数据无效",IF(AND(IFERROR(INDEX(计划参数!$J$2:$J$501,MATCH(C298,计划参数!$I$2:$I$501,0)),"")&lt;&gt;"",D298&lt;&gt;IFERROR(INDEX(计划参数!$J$2:$J$501,MATCH(C298,计划参数!$I$2:$I$501,0)),"")),"异常：姓名与员工主数据不一致",IF(S298&lt;0,"异常：原始所得为负，已按0计税",IF(OR(AND(F298="股票期权",K298=""),AND(F298="限制性股票",OR(K298="",L298=""))),"异常：计划参数缺失",IF(COUNTIF(计划参数!$I$2:$I$501,C298)=0,"提示：员工编号未在主数据",IF(Q298&lt;&gt;"已备案","提示：未确认备案","正常"))))))))))))</f>
        <v/>
      </c>
      <c r="AE298" s="9"/>
      <c r="AF298" s="4" t="str">
        <f>IF(C298="","",IF(COUNTIF($C$2:C298,C298)=1,MAX($AF$1:AF297)+1,""))</f>
        <v/>
      </c>
      <c r="AG298" s="4" t="str">
        <f>IF(C298="","",COUNTIF($C$2:C298,C298))</f>
        <v/>
      </c>
      <c r="AH298" s="4" t="str">
        <f t="shared" si="70"/>
        <v/>
      </c>
      <c r="AI298" s="4" t="str">
        <f t="shared" si="71"/>
        <v/>
      </c>
      <c r="AJ298" s="4" t="str">
        <f t="shared" si="72"/>
        <v/>
      </c>
      <c r="AK298" s="15" t="str">
        <f>IF(A298="","",SUMIFS(分期缴税台账!$K$2:$K$501,分期缴税台账!$T$2:$T$501,A298,分期缴税台账!$Q$2:$Q$501,"有效"))</f>
        <v/>
      </c>
      <c r="AL298" s="15" t="str">
        <f t="shared" si="73"/>
        <v/>
      </c>
      <c r="AM298" s="4" t="str">
        <f t="shared" si="74"/>
        <v/>
      </c>
    </row>
    <row r="299" spans="1:39" x14ac:dyDescent="0.3">
      <c r="A299" s="9"/>
      <c r="B299" s="4" t="str">
        <f t="shared" si="60"/>
        <v/>
      </c>
      <c r="C299" s="9"/>
      <c r="D299" s="9"/>
      <c r="E299" s="9"/>
      <c r="F299" s="9"/>
      <c r="G299" s="13"/>
      <c r="H299" s="4" t="str">
        <f t="shared" si="61"/>
        <v/>
      </c>
      <c r="I299" s="9"/>
      <c r="J299" s="14"/>
      <c r="K299" s="15" t="str">
        <f>IF(OR(E299="",F299="",G299=""),"",IF(E299&lt;&gt;计划参数!$C$2,"",IF(F299="股票期权",IFERROR(LOOKUP(G299,计划参数!$D$12:$D$15,计划参数!$C$12:$C$15),""),IF(F299="限制性股票",计划参数!$C$10,""))))</f>
        <v/>
      </c>
      <c r="L299" s="15" t="str">
        <f>IF(AND(E299=计划参数!$C$2,F299="限制性股票",G299&gt;=计划参数!$D$9),计划参数!$C$9,"")</f>
        <v/>
      </c>
      <c r="M299" s="9"/>
      <c r="N299" s="14"/>
      <c r="O299" s="14"/>
      <c r="P299" s="13"/>
      <c r="Q299" s="9"/>
      <c r="R299" s="13"/>
      <c r="S299" s="15" t="str">
        <f t="shared" si="62"/>
        <v/>
      </c>
      <c r="T299" s="15" t="str">
        <f t="shared" si="63"/>
        <v/>
      </c>
      <c r="U299" s="15" t="str">
        <f t="shared" si="64"/>
        <v/>
      </c>
      <c r="V299" s="15" t="str">
        <f t="shared" si="65"/>
        <v/>
      </c>
      <c r="W299" s="16" t="str">
        <f>IF(V299="","",VLOOKUP(V299,税率及规则!$A$2:$C$8,2,TRUE))</f>
        <v/>
      </c>
      <c r="X299" s="15" t="str">
        <f>IF(V299="","",VLOOKUP(V299,税率及规则!$A$2:$C$8,3,TRUE))</f>
        <v/>
      </c>
      <c r="Y299" s="15" t="str">
        <f t="shared" si="66"/>
        <v/>
      </c>
      <c r="Z299" s="15" t="str">
        <f>IF(U299="","",MAX(0,U299*VLOOKUP(U299,税率及规则!$A$2:$C$8,2,TRUE)-VLOOKUP(U299,税率及规则!$A$2:$C$8,3,TRUE)))</f>
        <v/>
      </c>
      <c r="AA299" s="15" t="str">
        <f t="shared" si="67"/>
        <v/>
      </c>
      <c r="AB299" s="17" t="str">
        <f t="shared" si="68"/>
        <v/>
      </c>
      <c r="AC299" s="17" t="str">
        <f t="shared" si="69"/>
        <v/>
      </c>
      <c r="AD299" s="4" t="str">
        <f>IF(A299="","",IF(COUNTIF($A$2:$A$501,A299)&gt;1,"异常：事件编号重复",IF(OR(C299="",D299="",E299="",F299="",G299=""),"异常：必填项缺失",IF(AND(F299="其他股权激励",O299=""),"异常：其他股权激励所得缺失",IF(AND(F299&lt;&gt;"其他股权激励",OR(I299="",J299="")),"异常：数量或市场价缺失",IF(AND(F299&lt;&gt;"其他股权激励",OR(I299&lt;=0,J299&lt;0)),"异常：数量或价格无效",IF(AND(F299="限制性股票",OR(M299&lt;=0,N299&lt;0,I299&gt;M299)),"异常：个人获授或出资数据无效",IF(AND(IFERROR(INDEX(计划参数!$J$2:$J$501,MATCH(C299,计划参数!$I$2:$I$501,0)),"")&lt;&gt;"",D299&lt;&gt;IFERROR(INDEX(计划参数!$J$2:$J$501,MATCH(C299,计划参数!$I$2:$I$501,0)),"")),"异常：姓名与员工主数据不一致",IF(S299&lt;0,"异常：原始所得为负，已按0计税",IF(OR(AND(F299="股票期权",K299=""),AND(F299="限制性股票",OR(K299="",L299=""))),"异常：计划参数缺失",IF(COUNTIF(计划参数!$I$2:$I$501,C299)=0,"提示：员工编号未在主数据",IF(Q299&lt;&gt;"已备案","提示：未确认备案","正常"))))))))))))</f>
        <v/>
      </c>
      <c r="AE299" s="9"/>
      <c r="AF299" s="4" t="str">
        <f>IF(C299="","",IF(COUNTIF($C$2:C299,C299)=1,MAX($AF$1:AF298)+1,""))</f>
        <v/>
      </c>
      <c r="AG299" s="4" t="str">
        <f>IF(C299="","",COUNTIF($C$2:C299,C299))</f>
        <v/>
      </c>
      <c r="AH299" s="4" t="str">
        <f t="shared" si="70"/>
        <v/>
      </c>
      <c r="AI299" s="4" t="str">
        <f t="shared" si="71"/>
        <v/>
      </c>
      <c r="AJ299" s="4" t="str">
        <f t="shared" si="72"/>
        <v/>
      </c>
      <c r="AK299" s="15" t="str">
        <f>IF(A299="","",SUMIFS(分期缴税台账!$K$2:$K$501,分期缴税台账!$T$2:$T$501,A299,分期缴税台账!$Q$2:$Q$501,"有效"))</f>
        <v/>
      </c>
      <c r="AL299" s="15" t="str">
        <f t="shared" si="73"/>
        <v/>
      </c>
      <c r="AM299" s="4" t="str">
        <f t="shared" si="74"/>
        <v/>
      </c>
    </row>
    <row r="300" spans="1:39" x14ac:dyDescent="0.3">
      <c r="A300" s="9"/>
      <c r="B300" s="4" t="str">
        <f t="shared" si="60"/>
        <v/>
      </c>
      <c r="C300" s="9"/>
      <c r="D300" s="9"/>
      <c r="E300" s="9"/>
      <c r="F300" s="9"/>
      <c r="G300" s="13"/>
      <c r="H300" s="4" t="str">
        <f t="shared" si="61"/>
        <v/>
      </c>
      <c r="I300" s="9"/>
      <c r="J300" s="14"/>
      <c r="K300" s="15" t="str">
        <f>IF(OR(E300="",F300="",G300=""),"",IF(E300&lt;&gt;计划参数!$C$2,"",IF(F300="股票期权",IFERROR(LOOKUP(G300,计划参数!$D$12:$D$15,计划参数!$C$12:$C$15),""),IF(F300="限制性股票",计划参数!$C$10,""))))</f>
        <v/>
      </c>
      <c r="L300" s="15" t="str">
        <f>IF(AND(E300=计划参数!$C$2,F300="限制性股票",G300&gt;=计划参数!$D$9),计划参数!$C$9,"")</f>
        <v/>
      </c>
      <c r="M300" s="9"/>
      <c r="N300" s="14"/>
      <c r="O300" s="14"/>
      <c r="P300" s="13"/>
      <c r="Q300" s="9"/>
      <c r="R300" s="13"/>
      <c r="S300" s="15" t="str">
        <f t="shared" si="62"/>
        <v/>
      </c>
      <c r="T300" s="15" t="str">
        <f t="shared" si="63"/>
        <v/>
      </c>
      <c r="U300" s="15" t="str">
        <f t="shared" si="64"/>
        <v/>
      </c>
      <c r="V300" s="15" t="str">
        <f t="shared" si="65"/>
        <v/>
      </c>
      <c r="W300" s="16" t="str">
        <f>IF(V300="","",VLOOKUP(V300,税率及规则!$A$2:$C$8,2,TRUE))</f>
        <v/>
      </c>
      <c r="X300" s="15" t="str">
        <f>IF(V300="","",VLOOKUP(V300,税率及规则!$A$2:$C$8,3,TRUE))</f>
        <v/>
      </c>
      <c r="Y300" s="15" t="str">
        <f t="shared" si="66"/>
        <v/>
      </c>
      <c r="Z300" s="15" t="str">
        <f>IF(U300="","",MAX(0,U300*VLOOKUP(U300,税率及规则!$A$2:$C$8,2,TRUE)-VLOOKUP(U300,税率及规则!$A$2:$C$8,3,TRUE)))</f>
        <v/>
      </c>
      <c r="AA300" s="15" t="str">
        <f t="shared" si="67"/>
        <v/>
      </c>
      <c r="AB300" s="17" t="str">
        <f t="shared" si="68"/>
        <v/>
      </c>
      <c r="AC300" s="17" t="str">
        <f t="shared" si="69"/>
        <v/>
      </c>
      <c r="AD300" s="4" t="str">
        <f>IF(A300="","",IF(COUNTIF($A$2:$A$501,A300)&gt;1,"异常：事件编号重复",IF(OR(C300="",D300="",E300="",F300="",G300=""),"异常：必填项缺失",IF(AND(F300="其他股权激励",O300=""),"异常：其他股权激励所得缺失",IF(AND(F300&lt;&gt;"其他股权激励",OR(I300="",J300="")),"异常：数量或市场价缺失",IF(AND(F300&lt;&gt;"其他股权激励",OR(I300&lt;=0,J300&lt;0)),"异常：数量或价格无效",IF(AND(F300="限制性股票",OR(M300&lt;=0,N300&lt;0,I300&gt;M300)),"异常：个人获授或出资数据无效",IF(AND(IFERROR(INDEX(计划参数!$J$2:$J$501,MATCH(C300,计划参数!$I$2:$I$501,0)),"")&lt;&gt;"",D300&lt;&gt;IFERROR(INDEX(计划参数!$J$2:$J$501,MATCH(C300,计划参数!$I$2:$I$501,0)),"")),"异常：姓名与员工主数据不一致",IF(S300&lt;0,"异常：原始所得为负，已按0计税",IF(OR(AND(F300="股票期权",K300=""),AND(F300="限制性股票",OR(K300="",L300=""))),"异常：计划参数缺失",IF(COUNTIF(计划参数!$I$2:$I$501,C300)=0,"提示：员工编号未在主数据",IF(Q300&lt;&gt;"已备案","提示：未确认备案","正常"))))))))))))</f>
        <v/>
      </c>
      <c r="AE300" s="9"/>
      <c r="AF300" s="4" t="str">
        <f>IF(C300="","",IF(COUNTIF($C$2:C300,C300)=1,MAX($AF$1:AF299)+1,""))</f>
        <v/>
      </c>
      <c r="AG300" s="4" t="str">
        <f>IF(C300="","",COUNTIF($C$2:C300,C300))</f>
        <v/>
      </c>
      <c r="AH300" s="4" t="str">
        <f t="shared" si="70"/>
        <v/>
      </c>
      <c r="AI300" s="4" t="str">
        <f t="shared" si="71"/>
        <v/>
      </c>
      <c r="AJ300" s="4" t="str">
        <f t="shared" si="72"/>
        <v/>
      </c>
      <c r="AK300" s="15" t="str">
        <f>IF(A300="","",SUMIFS(分期缴税台账!$K$2:$K$501,分期缴税台账!$T$2:$T$501,A300,分期缴税台账!$Q$2:$Q$501,"有效"))</f>
        <v/>
      </c>
      <c r="AL300" s="15" t="str">
        <f t="shared" si="73"/>
        <v/>
      </c>
      <c r="AM300" s="4" t="str">
        <f t="shared" si="74"/>
        <v/>
      </c>
    </row>
    <row r="301" spans="1:39" x14ac:dyDescent="0.3">
      <c r="A301" s="9"/>
      <c r="B301" s="4" t="str">
        <f t="shared" si="60"/>
        <v/>
      </c>
      <c r="C301" s="9"/>
      <c r="D301" s="9"/>
      <c r="E301" s="9"/>
      <c r="F301" s="9"/>
      <c r="G301" s="13"/>
      <c r="H301" s="4" t="str">
        <f t="shared" si="61"/>
        <v/>
      </c>
      <c r="I301" s="9"/>
      <c r="J301" s="14"/>
      <c r="K301" s="15" t="str">
        <f>IF(OR(E301="",F301="",G301=""),"",IF(E301&lt;&gt;计划参数!$C$2,"",IF(F301="股票期权",IFERROR(LOOKUP(G301,计划参数!$D$12:$D$15,计划参数!$C$12:$C$15),""),IF(F301="限制性股票",计划参数!$C$10,""))))</f>
        <v/>
      </c>
      <c r="L301" s="15" t="str">
        <f>IF(AND(E301=计划参数!$C$2,F301="限制性股票",G301&gt;=计划参数!$D$9),计划参数!$C$9,"")</f>
        <v/>
      </c>
      <c r="M301" s="9"/>
      <c r="N301" s="14"/>
      <c r="O301" s="14"/>
      <c r="P301" s="13"/>
      <c r="Q301" s="9"/>
      <c r="R301" s="13"/>
      <c r="S301" s="15" t="str">
        <f t="shared" si="62"/>
        <v/>
      </c>
      <c r="T301" s="15" t="str">
        <f t="shared" si="63"/>
        <v/>
      </c>
      <c r="U301" s="15" t="str">
        <f t="shared" si="64"/>
        <v/>
      </c>
      <c r="V301" s="15" t="str">
        <f t="shared" si="65"/>
        <v/>
      </c>
      <c r="W301" s="16" t="str">
        <f>IF(V301="","",VLOOKUP(V301,税率及规则!$A$2:$C$8,2,TRUE))</f>
        <v/>
      </c>
      <c r="X301" s="15" t="str">
        <f>IF(V301="","",VLOOKUP(V301,税率及规则!$A$2:$C$8,3,TRUE))</f>
        <v/>
      </c>
      <c r="Y301" s="15" t="str">
        <f t="shared" si="66"/>
        <v/>
      </c>
      <c r="Z301" s="15" t="str">
        <f>IF(U301="","",MAX(0,U301*VLOOKUP(U301,税率及规则!$A$2:$C$8,2,TRUE)-VLOOKUP(U301,税率及规则!$A$2:$C$8,3,TRUE)))</f>
        <v/>
      </c>
      <c r="AA301" s="15" t="str">
        <f t="shared" si="67"/>
        <v/>
      </c>
      <c r="AB301" s="17" t="str">
        <f t="shared" si="68"/>
        <v/>
      </c>
      <c r="AC301" s="17" t="str">
        <f t="shared" si="69"/>
        <v/>
      </c>
      <c r="AD301" s="4" t="str">
        <f>IF(A301="","",IF(COUNTIF($A$2:$A$501,A301)&gt;1,"异常：事件编号重复",IF(OR(C301="",D301="",E301="",F301="",G301=""),"异常：必填项缺失",IF(AND(F301="其他股权激励",O301=""),"异常：其他股权激励所得缺失",IF(AND(F301&lt;&gt;"其他股权激励",OR(I301="",J301="")),"异常：数量或市场价缺失",IF(AND(F301&lt;&gt;"其他股权激励",OR(I301&lt;=0,J301&lt;0)),"异常：数量或价格无效",IF(AND(F301="限制性股票",OR(M301&lt;=0,N301&lt;0,I301&gt;M301)),"异常：个人获授或出资数据无效",IF(AND(IFERROR(INDEX(计划参数!$J$2:$J$501,MATCH(C301,计划参数!$I$2:$I$501,0)),"")&lt;&gt;"",D301&lt;&gt;IFERROR(INDEX(计划参数!$J$2:$J$501,MATCH(C301,计划参数!$I$2:$I$501,0)),"")),"异常：姓名与员工主数据不一致",IF(S301&lt;0,"异常：原始所得为负，已按0计税",IF(OR(AND(F301="股票期权",K301=""),AND(F301="限制性股票",OR(K301="",L301=""))),"异常：计划参数缺失",IF(COUNTIF(计划参数!$I$2:$I$501,C301)=0,"提示：员工编号未在主数据",IF(Q301&lt;&gt;"已备案","提示：未确认备案","正常"))))))))))))</f>
        <v/>
      </c>
      <c r="AE301" s="9"/>
      <c r="AF301" s="4" t="str">
        <f>IF(C301="","",IF(COUNTIF($C$2:C301,C301)=1,MAX($AF$1:AF300)+1,""))</f>
        <v/>
      </c>
      <c r="AG301" s="4" t="str">
        <f>IF(C301="","",COUNTIF($C$2:C301,C301))</f>
        <v/>
      </c>
      <c r="AH301" s="4" t="str">
        <f t="shared" si="70"/>
        <v/>
      </c>
      <c r="AI301" s="4" t="str">
        <f t="shared" si="71"/>
        <v/>
      </c>
      <c r="AJ301" s="4" t="str">
        <f t="shared" si="72"/>
        <v/>
      </c>
      <c r="AK301" s="15" t="str">
        <f>IF(A301="","",SUMIFS(分期缴税台账!$K$2:$K$501,分期缴税台账!$T$2:$T$501,A301,分期缴税台账!$Q$2:$Q$501,"有效"))</f>
        <v/>
      </c>
      <c r="AL301" s="15" t="str">
        <f t="shared" si="73"/>
        <v/>
      </c>
      <c r="AM301" s="4" t="str">
        <f t="shared" si="74"/>
        <v/>
      </c>
    </row>
    <row r="302" spans="1:39" x14ac:dyDescent="0.3">
      <c r="A302" s="9"/>
      <c r="B302" s="4" t="str">
        <f t="shared" si="60"/>
        <v/>
      </c>
      <c r="C302" s="9"/>
      <c r="D302" s="9"/>
      <c r="E302" s="9"/>
      <c r="F302" s="9"/>
      <c r="G302" s="13"/>
      <c r="H302" s="4" t="str">
        <f t="shared" si="61"/>
        <v/>
      </c>
      <c r="I302" s="9"/>
      <c r="J302" s="14"/>
      <c r="K302" s="15" t="str">
        <f>IF(OR(E302="",F302="",G302=""),"",IF(E302&lt;&gt;计划参数!$C$2,"",IF(F302="股票期权",IFERROR(LOOKUP(G302,计划参数!$D$12:$D$15,计划参数!$C$12:$C$15),""),IF(F302="限制性股票",计划参数!$C$10,""))))</f>
        <v/>
      </c>
      <c r="L302" s="15" t="str">
        <f>IF(AND(E302=计划参数!$C$2,F302="限制性股票",G302&gt;=计划参数!$D$9),计划参数!$C$9,"")</f>
        <v/>
      </c>
      <c r="M302" s="9"/>
      <c r="N302" s="14"/>
      <c r="O302" s="14"/>
      <c r="P302" s="13"/>
      <c r="Q302" s="9"/>
      <c r="R302" s="13"/>
      <c r="S302" s="15" t="str">
        <f t="shared" si="62"/>
        <v/>
      </c>
      <c r="T302" s="15" t="str">
        <f t="shared" si="63"/>
        <v/>
      </c>
      <c r="U302" s="15" t="str">
        <f t="shared" si="64"/>
        <v/>
      </c>
      <c r="V302" s="15" t="str">
        <f t="shared" si="65"/>
        <v/>
      </c>
      <c r="W302" s="16" t="str">
        <f>IF(V302="","",VLOOKUP(V302,税率及规则!$A$2:$C$8,2,TRUE))</f>
        <v/>
      </c>
      <c r="X302" s="15" t="str">
        <f>IF(V302="","",VLOOKUP(V302,税率及规则!$A$2:$C$8,3,TRUE))</f>
        <v/>
      </c>
      <c r="Y302" s="15" t="str">
        <f t="shared" si="66"/>
        <v/>
      </c>
      <c r="Z302" s="15" t="str">
        <f>IF(U302="","",MAX(0,U302*VLOOKUP(U302,税率及规则!$A$2:$C$8,2,TRUE)-VLOOKUP(U302,税率及规则!$A$2:$C$8,3,TRUE)))</f>
        <v/>
      </c>
      <c r="AA302" s="15" t="str">
        <f t="shared" si="67"/>
        <v/>
      </c>
      <c r="AB302" s="17" t="str">
        <f t="shared" si="68"/>
        <v/>
      </c>
      <c r="AC302" s="17" t="str">
        <f t="shared" si="69"/>
        <v/>
      </c>
      <c r="AD302" s="4" t="str">
        <f>IF(A302="","",IF(COUNTIF($A$2:$A$501,A302)&gt;1,"异常：事件编号重复",IF(OR(C302="",D302="",E302="",F302="",G302=""),"异常：必填项缺失",IF(AND(F302="其他股权激励",O302=""),"异常：其他股权激励所得缺失",IF(AND(F302&lt;&gt;"其他股权激励",OR(I302="",J302="")),"异常：数量或市场价缺失",IF(AND(F302&lt;&gt;"其他股权激励",OR(I302&lt;=0,J302&lt;0)),"异常：数量或价格无效",IF(AND(F302="限制性股票",OR(M302&lt;=0,N302&lt;0,I302&gt;M302)),"异常：个人获授或出资数据无效",IF(AND(IFERROR(INDEX(计划参数!$J$2:$J$501,MATCH(C302,计划参数!$I$2:$I$501,0)),"")&lt;&gt;"",D302&lt;&gt;IFERROR(INDEX(计划参数!$J$2:$J$501,MATCH(C302,计划参数!$I$2:$I$501,0)),"")),"异常：姓名与员工主数据不一致",IF(S302&lt;0,"异常：原始所得为负，已按0计税",IF(OR(AND(F302="股票期权",K302=""),AND(F302="限制性股票",OR(K302="",L302=""))),"异常：计划参数缺失",IF(COUNTIF(计划参数!$I$2:$I$501,C302)=0,"提示：员工编号未在主数据",IF(Q302&lt;&gt;"已备案","提示：未确认备案","正常"))))))))))))</f>
        <v/>
      </c>
      <c r="AE302" s="9"/>
      <c r="AF302" s="4" t="str">
        <f>IF(C302="","",IF(COUNTIF($C$2:C302,C302)=1,MAX($AF$1:AF301)+1,""))</f>
        <v/>
      </c>
      <c r="AG302" s="4" t="str">
        <f>IF(C302="","",COUNTIF($C$2:C302,C302))</f>
        <v/>
      </c>
      <c r="AH302" s="4" t="str">
        <f t="shared" si="70"/>
        <v/>
      </c>
      <c r="AI302" s="4" t="str">
        <f t="shared" si="71"/>
        <v/>
      </c>
      <c r="AJ302" s="4" t="str">
        <f t="shared" si="72"/>
        <v/>
      </c>
      <c r="AK302" s="15" t="str">
        <f>IF(A302="","",SUMIFS(分期缴税台账!$K$2:$K$501,分期缴税台账!$T$2:$T$501,A302,分期缴税台账!$Q$2:$Q$501,"有效"))</f>
        <v/>
      </c>
      <c r="AL302" s="15" t="str">
        <f t="shared" si="73"/>
        <v/>
      </c>
      <c r="AM302" s="4" t="str">
        <f t="shared" si="74"/>
        <v/>
      </c>
    </row>
    <row r="303" spans="1:39" x14ac:dyDescent="0.3">
      <c r="A303" s="9"/>
      <c r="B303" s="4" t="str">
        <f t="shared" si="60"/>
        <v/>
      </c>
      <c r="C303" s="9"/>
      <c r="D303" s="9"/>
      <c r="E303" s="9"/>
      <c r="F303" s="9"/>
      <c r="G303" s="13"/>
      <c r="H303" s="4" t="str">
        <f t="shared" si="61"/>
        <v/>
      </c>
      <c r="I303" s="9"/>
      <c r="J303" s="14"/>
      <c r="K303" s="15" t="str">
        <f>IF(OR(E303="",F303="",G303=""),"",IF(E303&lt;&gt;计划参数!$C$2,"",IF(F303="股票期权",IFERROR(LOOKUP(G303,计划参数!$D$12:$D$15,计划参数!$C$12:$C$15),""),IF(F303="限制性股票",计划参数!$C$10,""))))</f>
        <v/>
      </c>
      <c r="L303" s="15" t="str">
        <f>IF(AND(E303=计划参数!$C$2,F303="限制性股票",G303&gt;=计划参数!$D$9),计划参数!$C$9,"")</f>
        <v/>
      </c>
      <c r="M303" s="9"/>
      <c r="N303" s="14"/>
      <c r="O303" s="14"/>
      <c r="P303" s="13"/>
      <c r="Q303" s="9"/>
      <c r="R303" s="13"/>
      <c r="S303" s="15" t="str">
        <f t="shared" si="62"/>
        <v/>
      </c>
      <c r="T303" s="15" t="str">
        <f t="shared" si="63"/>
        <v/>
      </c>
      <c r="U303" s="15" t="str">
        <f t="shared" si="64"/>
        <v/>
      </c>
      <c r="V303" s="15" t="str">
        <f t="shared" si="65"/>
        <v/>
      </c>
      <c r="W303" s="16" t="str">
        <f>IF(V303="","",VLOOKUP(V303,税率及规则!$A$2:$C$8,2,TRUE))</f>
        <v/>
      </c>
      <c r="X303" s="15" t="str">
        <f>IF(V303="","",VLOOKUP(V303,税率及规则!$A$2:$C$8,3,TRUE))</f>
        <v/>
      </c>
      <c r="Y303" s="15" t="str">
        <f t="shared" si="66"/>
        <v/>
      </c>
      <c r="Z303" s="15" t="str">
        <f>IF(U303="","",MAX(0,U303*VLOOKUP(U303,税率及规则!$A$2:$C$8,2,TRUE)-VLOOKUP(U303,税率及规则!$A$2:$C$8,3,TRUE)))</f>
        <v/>
      </c>
      <c r="AA303" s="15" t="str">
        <f t="shared" si="67"/>
        <v/>
      </c>
      <c r="AB303" s="17" t="str">
        <f t="shared" si="68"/>
        <v/>
      </c>
      <c r="AC303" s="17" t="str">
        <f t="shared" si="69"/>
        <v/>
      </c>
      <c r="AD303" s="4" t="str">
        <f>IF(A303="","",IF(COUNTIF($A$2:$A$501,A303)&gt;1,"异常：事件编号重复",IF(OR(C303="",D303="",E303="",F303="",G303=""),"异常：必填项缺失",IF(AND(F303="其他股权激励",O303=""),"异常：其他股权激励所得缺失",IF(AND(F303&lt;&gt;"其他股权激励",OR(I303="",J303="")),"异常：数量或市场价缺失",IF(AND(F303&lt;&gt;"其他股权激励",OR(I303&lt;=0,J303&lt;0)),"异常：数量或价格无效",IF(AND(F303="限制性股票",OR(M303&lt;=0,N303&lt;0,I303&gt;M303)),"异常：个人获授或出资数据无效",IF(AND(IFERROR(INDEX(计划参数!$J$2:$J$501,MATCH(C303,计划参数!$I$2:$I$501,0)),"")&lt;&gt;"",D303&lt;&gt;IFERROR(INDEX(计划参数!$J$2:$J$501,MATCH(C303,计划参数!$I$2:$I$501,0)),"")),"异常：姓名与员工主数据不一致",IF(S303&lt;0,"异常：原始所得为负，已按0计税",IF(OR(AND(F303="股票期权",K303=""),AND(F303="限制性股票",OR(K303="",L303=""))),"异常：计划参数缺失",IF(COUNTIF(计划参数!$I$2:$I$501,C303)=0,"提示：员工编号未在主数据",IF(Q303&lt;&gt;"已备案","提示：未确认备案","正常"))))))))))))</f>
        <v/>
      </c>
      <c r="AE303" s="9"/>
      <c r="AF303" s="4" t="str">
        <f>IF(C303="","",IF(COUNTIF($C$2:C303,C303)=1,MAX($AF$1:AF302)+1,""))</f>
        <v/>
      </c>
      <c r="AG303" s="4" t="str">
        <f>IF(C303="","",COUNTIF($C$2:C303,C303))</f>
        <v/>
      </c>
      <c r="AH303" s="4" t="str">
        <f t="shared" si="70"/>
        <v/>
      </c>
      <c r="AI303" s="4" t="str">
        <f t="shared" si="71"/>
        <v/>
      </c>
      <c r="AJ303" s="4" t="str">
        <f t="shared" si="72"/>
        <v/>
      </c>
      <c r="AK303" s="15" t="str">
        <f>IF(A303="","",SUMIFS(分期缴税台账!$K$2:$K$501,分期缴税台账!$T$2:$T$501,A303,分期缴税台账!$Q$2:$Q$501,"有效"))</f>
        <v/>
      </c>
      <c r="AL303" s="15" t="str">
        <f t="shared" si="73"/>
        <v/>
      </c>
      <c r="AM303" s="4" t="str">
        <f t="shared" si="74"/>
        <v/>
      </c>
    </row>
    <row r="304" spans="1:39" x14ac:dyDescent="0.3">
      <c r="A304" s="9"/>
      <c r="B304" s="4" t="str">
        <f t="shared" si="60"/>
        <v/>
      </c>
      <c r="C304" s="9"/>
      <c r="D304" s="9"/>
      <c r="E304" s="9"/>
      <c r="F304" s="9"/>
      <c r="G304" s="13"/>
      <c r="H304" s="4" t="str">
        <f t="shared" si="61"/>
        <v/>
      </c>
      <c r="I304" s="9"/>
      <c r="J304" s="14"/>
      <c r="K304" s="15" t="str">
        <f>IF(OR(E304="",F304="",G304=""),"",IF(E304&lt;&gt;计划参数!$C$2,"",IF(F304="股票期权",IFERROR(LOOKUP(G304,计划参数!$D$12:$D$15,计划参数!$C$12:$C$15),""),IF(F304="限制性股票",计划参数!$C$10,""))))</f>
        <v/>
      </c>
      <c r="L304" s="15" t="str">
        <f>IF(AND(E304=计划参数!$C$2,F304="限制性股票",G304&gt;=计划参数!$D$9),计划参数!$C$9,"")</f>
        <v/>
      </c>
      <c r="M304" s="9"/>
      <c r="N304" s="14"/>
      <c r="O304" s="14"/>
      <c r="P304" s="13"/>
      <c r="Q304" s="9"/>
      <c r="R304" s="13"/>
      <c r="S304" s="15" t="str">
        <f t="shared" si="62"/>
        <v/>
      </c>
      <c r="T304" s="15" t="str">
        <f t="shared" si="63"/>
        <v/>
      </c>
      <c r="U304" s="15" t="str">
        <f t="shared" si="64"/>
        <v/>
      </c>
      <c r="V304" s="15" t="str">
        <f t="shared" si="65"/>
        <v/>
      </c>
      <c r="W304" s="16" t="str">
        <f>IF(V304="","",VLOOKUP(V304,税率及规则!$A$2:$C$8,2,TRUE))</f>
        <v/>
      </c>
      <c r="X304" s="15" t="str">
        <f>IF(V304="","",VLOOKUP(V304,税率及规则!$A$2:$C$8,3,TRUE))</f>
        <v/>
      </c>
      <c r="Y304" s="15" t="str">
        <f t="shared" si="66"/>
        <v/>
      </c>
      <c r="Z304" s="15" t="str">
        <f>IF(U304="","",MAX(0,U304*VLOOKUP(U304,税率及规则!$A$2:$C$8,2,TRUE)-VLOOKUP(U304,税率及规则!$A$2:$C$8,3,TRUE)))</f>
        <v/>
      </c>
      <c r="AA304" s="15" t="str">
        <f t="shared" si="67"/>
        <v/>
      </c>
      <c r="AB304" s="17" t="str">
        <f t="shared" si="68"/>
        <v/>
      </c>
      <c r="AC304" s="17" t="str">
        <f t="shared" si="69"/>
        <v/>
      </c>
      <c r="AD304" s="4" t="str">
        <f>IF(A304="","",IF(COUNTIF($A$2:$A$501,A304)&gt;1,"异常：事件编号重复",IF(OR(C304="",D304="",E304="",F304="",G304=""),"异常：必填项缺失",IF(AND(F304="其他股权激励",O304=""),"异常：其他股权激励所得缺失",IF(AND(F304&lt;&gt;"其他股权激励",OR(I304="",J304="")),"异常：数量或市场价缺失",IF(AND(F304&lt;&gt;"其他股权激励",OR(I304&lt;=0,J304&lt;0)),"异常：数量或价格无效",IF(AND(F304="限制性股票",OR(M304&lt;=0,N304&lt;0,I304&gt;M304)),"异常：个人获授或出资数据无效",IF(AND(IFERROR(INDEX(计划参数!$J$2:$J$501,MATCH(C304,计划参数!$I$2:$I$501,0)),"")&lt;&gt;"",D304&lt;&gt;IFERROR(INDEX(计划参数!$J$2:$J$501,MATCH(C304,计划参数!$I$2:$I$501,0)),"")),"异常：姓名与员工主数据不一致",IF(S304&lt;0,"异常：原始所得为负，已按0计税",IF(OR(AND(F304="股票期权",K304=""),AND(F304="限制性股票",OR(K304="",L304=""))),"异常：计划参数缺失",IF(COUNTIF(计划参数!$I$2:$I$501,C304)=0,"提示：员工编号未在主数据",IF(Q304&lt;&gt;"已备案","提示：未确认备案","正常"))))))))))))</f>
        <v/>
      </c>
      <c r="AE304" s="9"/>
      <c r="AF304" s="4" t="str">
        <f>IF(C304="","",IF(COUNTIF($C$2:C304,C304)=1,MAX($AF$1:AF303)+1,""))</f>
        <v/>
      </c>
      <c r="AG304" s="4" t="str">
        <f>IF(C304="","",COUNTIF($C$2:C304,C304))</f>
        <v/>
      </c>
      <c r="AH304" s="4" t="str">
        <f t="shared" si="70"/>
        <v/>
      </c>
      <c r="AI304" s="4" t="str">
        <f t="shared" si="71"/>
        <v/>
      </c>
      <c r="AJ304" s="4" t="str">
        <f t="shared" si="72"/>
        <v/>
      </c>
      <c r="AK304" s="15" t="str">
        <f>IF(A304="","",SUMIFS(分期缴税台账!$K$2:$K$501,分期缴税台账!$T$2:$T$501,A304,分期缴税台账!$Q$2:$Q$501,"有效"))</f>
        <v/>
      </c>
      <c r="AL304" s="15" t="str">
        <f t="shared" si="73"/>
        <v/>
      </c>
      <c r="AM304" s="4" t="str">
        <f t="shared" si="74"/>
        <v/>
      </c>
    </row>
    <row r="305" spans="1:39" x14ac:dyDescent="0.3">
      <c r="A305" s="9"/>
      <c r="B305" s="4" t="str">
        <f t="shared" si="60"/>
        <v/>
      </c>
      <c r="C305" s="9"/>
      <c r="D305" s="9"/>
      <c r="E305" s="9"/>
      <c r="F305" s="9"/>
      <c r="G305" s="13"/>
      <c r="H305" s="4" t="str">
        <f t="shared" si="61"/>
        <v/>
      </c>
      <c r="I305" s="9"/>
      <c r="J305" s="14"/>
      <c r="K305" s="15" t="str">
        <f>IF(OR(E305="",F305="",G305=""),"",IF(E305&lt;&gt;计划参数!$C$2,"",IF(F305="股票期权",IFERROR(LOOKUP(G305,计划参数!$D$12:$D$15,计划参数!$C$12:$C$15),""),IF(F305="限制性股票",计划参数!$C$10,""))))</f>
        <v/>
      </c>
      <c r="L305" s="15" t="str">
        <f>IF(AND(E305=计划参数!$C$2,F305="限制性股票",G305&gt;=计划参数!$D$9),计划参数!$C$9,"")</f>
        <v/>
      </c>
      <c r="M305" s="9"/>
      <c r="N305" s="14"/>
      <c r="O305" s="14"/>
      <c r="P305" s="13"/>
      <c r="Q305" s="9"/>
      <c r="R305" s="13"/>
      <c r="S305" s="15" t="str">
        <f t="shared" si="62"/>
        <v/>
      </c>
      <c r="T305" s="15" t="str">
        <f t="shared" si="63"/>
        <v/>
      </c>
      <c r="U305" s="15" t="str">
        <f t="shared" si="64"/>
        <v/>
      </c>
      <c r="V305" s="15" t="str">
        <f t="shared" si="65"/>
        <v/>
      </c>
      <c r="W305" s="16" t="str">
        <f>IF(V305="","",VLOOKUP(V305,税率及规则!$A$2:$C$8,2,TRUE))</f>
        <v/>
      </c>
      <c r="X305" s="15" t="str">
        <f>IF(V305="","",VLOOKUP(V305,税率及规则!$A$2:$C$8,3,TRUE))</f>
        <v/>
      </c>
      <c r="Y305" s="15" t="str">
        <f t="shared" si="66"/>
        <v/>
      </c>
      <c r="Z305" s="15" t="str">
        <f>IF(U305="","",MAX(0,U305*VLOOKUP(U305,税率及规则!$A$2:$C$8,2,TRUE)-VLOOKUP(U305,税率及规则!$A$2:$C$8,3,TRUE)))</f>
        <v/>
      </c>
      <c r="AA305" s="15" t="str">
        <f t="shared" si="67"/>
        <v/>
      </c>
      <c r="AB305" s="17" t="str">
        <f t="shared" si="68"/>
        <v/>
      </c>
      <c r="AC305" s="17" t="str">
        <f t="shared" si="69"/>
        <v/>
      </c>
      <c r="AD305" s="4" t="str">
        <f>IF(A305="","",IF(COUNTIF($A$2:$A$501,A305)&gt;1,"异常：事件编号重复",IF(OR(C305="",D305="",E305="",F305="",G305=""),"异常：必填项缺失",IF(AND(F305="其他股权激励",O305=""),"异常：其他股权激励所得缺失",IF(AND(F305&lt;&gt;"其他股权激励",OR(I305="",J305="")),"异常：数量或市场价缺失",IF(AND(F305&lt;&gt;"其他股权激励",OR(I305&lt;=0,J305&lt;0)),"异常：数量或价格无效",IF(AND(F305="限制性股票",OR(M305&lt;=0,N305&lt;0,I305&gt;M305)),"异常：个人获授或出资数据无效",IF(AND(IFERROR(INDEX(计划参数!$J$2:$J$501,MATCH(C305,计划参数!$I$2:$I$501,0)),"")&lt;&gt;"",D305&lt;&gt;IFERROR(INDEX(计划参数!$J$2:$J$501,MATCH(C305,计划参数!$I$2:$I$501,0)),"")),"异常：姓名与员工主数据不一致",IF(S305&lt;0,"异常：原始所得为负，已按0计税",IF(OR(AND(F305="股票期权",K305=""),AND(F305="限制性股票",OR(K305="",L305=""))),"异常：计划参数缺失",IF(COUNTIF(计划参数!$I$2:$I$501,C305)=0,"提示：员工编号未在主数据",IF(Q305&lt;&gt;"已备案","提示：未确认备案","正常"))))))))))))</f>
        <v/>
      </c>
      <c r="AE305" s="9"/>
      <c r="AF305" s="4" t="str">
        <f>IF(C305="","",IF(COUNTIF($C$2:C305,C305)=1,MAX($AF$1:AF304)+1,""))</f>
        <v/>
      </c>
      <c r="AG305" s="4" t="str">
        <f>IF(C305="","",COUNTIF($C$2:C305,C305))</f>
        <v/>
      </c>
      <c r="AH305" s="4" t="str">
        <f t="shared" si="70"/>
        <v/>
      </c>
      <c r="AI305" s="4" t="str">
        <f t="shared" si="71"/>
        <v/>
      </c>
      <c r="AJ305" s="4" t="str">
        <f t="shared" si="72"/>
        <v/>
      </c>
      <c r="AK305" s="15" t="str">
        <f>IF(A305="","",SUMIFS(分期缴税台账!$K$2:$K$501,分期缴税台账!$T$2:$T$501,A305,分期缴税台账!$Q$2:$Q$501,"有效"))</f>
        <v/>
      </c>
      <c r="AL305" s="15" t="str">
        <f t="shared" si="73"/>
        <v/>
      </c>
      <c r="AM305" s="4" t="str">
        <f t="shared" si="74"/>
        <v/>
      </c>
    </row>
    <row r="306" spans="1:39" x14ac:dyDescent="0.3">
      <c r="A306" s="9"/>
      <c r="B306" s="4" t="str">
        <f t="shared" si="60"/>
        <v/>
      </c>
      <c r="C306" s="9"/>
      <c r="D306" s="9"/>
      <c r="E306" s="9"/>
      <c r="F306" s="9"/>
      <c r="G306" s="13"/>
      <c r="H306" s="4" t="str">
        <f t="shared" si="61"/>
        <v/>
      </c>
      <c r="I306" s="9"/>
      <c r="J306" s="14"/>
      <c r="K306" s="15" t="str">
        <f>IF(OR(E306="",F306="",G306=""),"",IF(E306&lt;&gt;计划参数!$C$2,"",IF(F306="股票期权",IFERROR(LOOKUP(G306,计划参数!$D$12:$D$15,计划参数!$C$12:$C$15),""),IF(F306="限制性股票",计划参数!$C$10,""))))</f>
        <v/>
      </c>
      <c r="L306" s="15" t="str">
        <f>IF(AND(E306=计划参数!$C$2,F306="限制性股票",G306&gt;=计划参数!$D$9),计划参数!$C$9,"")</f>
        <v/>
      </c>
      <c r="M306" s="9"/>
      <c r="N306" s="14"/>
      <c r="O306" s="14"/>
      <c r="P306" s="13"/>
      <c r="Q306" s="9"/>
      <c r="R306" s="13"/>
      <c r="S306" s="15" t="str">
        <f t="shared" si="62"/>
        <v/>
      </c>
      <c r="T306" s="15" t="str">
        <f t="shared" si="63"/>
        <v/>
      </c>
      <c r="U306" s="15" t="str">
        <f t="shared" si="64"/>
        <v/>
      </c>
      <c r="V306" s="15" t="str">
        <f t="shared" si="65"/>
        <v/>
      </c>
      <c r="W306" s="16" t="str">
        <f>IF(V306="","",VLOOKUP(V306,税率及规则!$A$2:$C$8,2,TRUE))</f>
        <v/>
      </c>
      <c r="X306" s="15" t="str">
        <f>IF(V306="","",VLOOKUP(V306,税率及规则!$A$2:$C$8,3,TRUE))</f>
        <v/>
      </c>
      <c r="Y306" s="15" t="str">
        <f t="shared" si="66"/>
        <v/>
      </c>
      <c r="Z306" s="15" t="str">
        <f>IF(U306="","",MAX(0,U306*VLOOKUP(U306,税率及规则!$A$2:$C$8,2,TRUE)-VLOOKUP(U306,税率及规则!$A$2:$C$8,3,TRUE)))</f>
        <v/>
      </c>
      <c r="AA306" s="15" t="str">
        <f t="shared" si="67"/>
        <v/>
      </c>
      <c r="AB306" s="17" t="str">
        <f t="shared" si="68"/>
        <v/>
      </c>
      <c r="AC306" s="17" t="str">
        <f t="shared" si="69"/>
        <v/>
      </c>
      <c r="AD306" s="4" t="str">
        <f>IF(A306="","",IF(COUNTIF($A$2:$A$501,A306)&gt;1,"异常：事件编号重复",IF(OR(C306="",D306="",E306="",F306="",G306=""),"异常：必填项缺失",IF(AND(F306="其他股权激励",O306=""),"异常：其他股权激励所得缺失",IF(AND(F306&lt;&gt;"其他股权激励",OR(I306="",J306="")),"异常：数量或市场价缺失",IF(AND(F306&lt;&gt;"其他股权激励",OR(I306&lt;=0,J306&lt;0)),"异常：数量或价格无效",IF(AND(F306="限制性股票",OR(M306&lt;=0,N306&lt;0,I306&gt;M306)),"异常：个人获授或出资数据无效",IF(AND(IFERROR(INDEX(计划参数!$J$2:$J$501,MATCH(C306,计划参数!$I$2:$I$501,0)),"")&lt;&gt;"",D306&lt;&gt;IFERROR(INDEX(计划参数!$J$2:$J$501,MATCH(C306,计划参数!$I$2:$I$501,0)),"")),"异常：姓名与员工主数据不一致",IF(S306&lt;0,"异常：原始所得为负，已按0计税",IF(OR(AND(F306="股票期权",K306=""),AND(F306="限制性股票",OR(K306="",L306=""))),"异常：计划参数缺失",IF(COUNTIF(计划参数!$I$2:$I$501,C306)=0,"提示：员工编号未在主数据",IF(Q306&lt;&gt;"已备案","提示：未确认备案","正常"))))))))))))</f>
        <v/>
      </c>
      <c r="AE306" s="9"/>
      <c r="AF306" s="4" t="str">
        <f>IF(C306="","",IF(COUNTIF($C$2:C306,C306)=1,MAX($AF$1:AF305)+1,""))</f>
        <v/>
      </c>
      <c r="AG306" s="4" t="str">
        <f>IF(C306="","",COUNTIF($C$2:C306,C306))</f>
        <v/>
      </c>
      <c r="AH306" s="4" t="str">
        <f t="shared" si="70"/>
        <v/>
      </c>
      <c r="AI306" s="4" t="str">
        <f t="shared" si="71"/>
        <v/>
      </c>
      <c r="AJ306" s="4" t="str">
        <f t="shared" si="72"/>
        <v/>
      </c>
      <c r="AK306" s="15" t="str">
        <f>IF(A306="","",SUMIFS(分期缴税台账!$K$2:$K$501,分期缴税台账!$T$2:$T$501,A306,分期缴税台账!$Q$2:$Q$501,"有效"))</f>
        <v/>
      </c>
      <c r="AL306" s="15" t="str">
        <f t="shared" si="73"/>
        <v/>
      </c>
      <c r="AM306" s="4" t="str">
        <f t="shared" si="74"/>
        <v/>
      </c>
    </row>
    <row r="307" spans="1:39" x14ac:dyDescent="0.3">
      <c r="A307" s="9"/>
      <c r="B307" s="4" t="str">
        <f t="shared" si="60"/>
        <v/>
      </c>
      <c r="C307" s="9"/>
      <c r="D307" s="9"/>
      <c r="E307" s="9"/>
      <c r="F307" s="9"/>
      <c r="G307" s="13"/>
      <c r="H307" s="4" t="str">
        <f t="shared" si="61"/>
        <v/>
      </c>
      <c r="I307" s="9"/>
      <c r="J307" s="14"/>
      <c r="K307" s="15" t="str">
        <f>IF(OR(E307="",F307="",G307=""),"",IF(E307&lt;&gt;计划参数!$C$2,"",IF(F307="股票期权",IFERROR(LOOKUP(G307,计划参数!$D$12:$D$15,计划参数!$C$12:$C$15),""),IF(F307="限制性股票",计划参数!$C$10,""))))</f>
        <v/>
      </c>
      <c r="L307" s="15" t="str">
        <f>IF(AND(E307=计划参数!$C$2,F307="限制性股票",G307&gt;=计划参数!$D$9),计划参数!$C$9,"")</f>
        <v/>
      </c>
      <c r="M307" s="9"/>
      <c r="N307" s="14"/>
      <c r="O307" s="14"/>
      <c r="P307" s="13"/>
      <c r="Q307" s="9"/>
      <c r="R307" s="13"/>
      <c r="S307" s="15" t="str">
        <f t="shared" si="62"/>
        <v/>
      </c>
      <c r="T307" s="15" t="str">
        <f t="shared" si="63"/>
        <v/>
      </c>
      <c r="U307" s="15" t="str">
        <f t="shared" si="64"/>
        <v/>
      </c>
      <c r="V307" s="15" t="str">
        <f t="shared" si="65"/>
        <v/>
      </c>
      <c r="W307" s="16" t="str">
        <f>IF(V307="","",VLOOKUP(V307,税率及规则!$A$2:$C$8,2,TRUE))</f>
        <v/>
      </c>
      <c r="X307" s="15" t="str">
        <f>IF(V307="","",VLOOKUP(V307,税率及规则!$A$2:$C$8,3,TRUE))</f>
        <v/>
      </c>
      <c r="Y307" s="15" t="str">
        <f t="shared" si="66"/>
        <v/>
      </c>
      <c r="Z307" s="15" t="str">
        <f>IF(U307="","",MAX(0,U307*VLOOKUP(U307,税率及规则!$A$2:$C$8,2,TRUE)-VLOOKUP(U307,税率及规则!$A$2:$C$8,3,TRUE)))</f>
        <v/>
      </c>
      <c r="AA307" s="15" t="str">
        <f t="shared" si="67"/>
        <v/>
      </c>
      <c r="AB307" s="17" t="str">
        <f t="shared" si="68"/>
        <v/>
      </c>
      <c r="AC307" s="17" t="str">
        <f t="shared" si="69"/>
        <v/>
      </c>
      <c r="AD307" s="4" t="str">
        <f>IF(A307="","",IF(COUNTIF($A$2:$A$501,A307)&gt;1,"异常：事件编号重复",IF(OR(C307="",D307="",E307="",F307="",G307=""),"异常：必填项缺失",IF(AND(F307="其他股权激励",O307=""),"异常：其他股权激励所得缺失",IF(AND(F307&lt;&gt;"其他股权激励",OR(I307="",J307="")),"异常：数量或市场价缺失",IF(AND(F307&lt;&gt;"其他股权激励",OR(I307&lt;=0,J307&lt;0)),"异常：数量或价格无效",IF(AND(F307="限制性股票",OR(M307&lt;=0,N307&lt;0,I307&gt;M307)),"异常：个人获授或出资数据无效",IF(AND(IFERROR(INDEX(计划参数!$J$2:$J$501,MATCH(C307,计划参数!$I$2:$I$501,0)),"")&lt;&gt;"",D307&lt;&gt;IFERROR(INDEX(计划参数!$J$2:$J$501,MATCH(C307,计划参数!$I$2:$I$501,0)),"")),"异常：姓名与员工主数据不一致",IF(S307&lt;0,"异常：原始所得为负，已按0计税",IF(OR(AND(F307="股票期权",K307=""),AND(F307="限制性股票",OR(K307="",L307=""))),"异常：计划参数缺失",IF(COUNTIF(计划参数!$I$2:$I$501,C307)=0,"提示：员工编号未在主数据",IF(Q307&lt;&gt;"已备案","提示：未确认备案","正常"))))))))))))</f>
        <v/>
      </c>
      <c r="AE307" s="9"/>
      <c r="AF307" s="4" t="str">
        <f>IF(C307="","",IF(COUNTIF($C$2:C307,C307)=1,MAX($AF$1:AF306)+1,""))</f>
        <v/>
      </c>
      <c r="AG307" s="4" t="str">
        <f>IF(C307="","",COUNTIF($C$2:C307,C307))</f>
        <v/>
      </c>
      <c r="AH307" s="4" t="str">
        <f t="shared" si="70"/>
        <v/>
      </c>
      <c r="AI307" s="4" t="str">
        <f t="shared" si="71"/>
        <v/>
      </c>
      <c r="AJ307" s="4" t="str">
        <f t="shared" si="72"/>
        <v/>
      </c>
      <c r="AK307" s="15" t="str">
        <f>IF(A307="","",SUMIFS(分期缴税台账!$K$2:$K$501,分期缴税台账!$T$2:$T$501,A307,分期缴税台账!$Q$2:$Q$501,"有效"))</f>
        <v/>
      </c>
      <c r="AL307" s="15" t="str">
        <f t="shared" si="73"/>
        <v/>
      </c>
      <c r="AM307" s="4" t="str">
        <f t="shared" si="74"/>
        <v/>
      </c>
    </row>
    <row r="308" spans="1:39" x14ac:dyDescent="0.3">
      <c r="A308" s="9"/>
      <c r="B308" s="4" t="str">
        <f t="shared" si="60"/>
        <v/>
      </c>
      <c r="C308" s="9"/>
      <c r="D308" s="9"/>
      <c r="E308" s="9"/>
      <c r="F308" s="9"/>
      <c r="G308" s="13"/>
      <c r="H308" s="4" t="str">
        <f t="shared" si="61"/>
        <v/>
      </c>
      <c r="I308" s="9"/>
      <c r="J308" s="14"/>
      <c r="K308" s="15" t="str">
        <f>IF(OR(E308="",F308="",G308=""),"",IF(E308&lt;&gt;计划参数!$C$2,"",IF(F308="股票期权",IFERROR(LOOKUP(G308,计划参数!$D$12:$D$15,计划参数!$C$12:$C$15),""),IF(F308="限制性股票",计划参数!$C$10,""))))</f>
        <v/>
      </c>
      <c r="L308" s="15" t="str">
        <f>IF(AND(E308=计划参数!$C$2,F308="限制性股票",G308&gt;=计划参数!$D$9),计划参数!$C$9,"")</f>
        <v/>
      </c>
      <c r="M308" s="9"/>
      <c r="N308" s="14"/>
      <c r="O308" s="14"/>
      <c r="P308" s="13"/>
      <c r="Q308" s="9"/>
      <c r="R308" s="13"/>
      <c r="S308" s="15" t="str">
        <f t="shared" si="62"/>
        <v/>
      </c>
      <c r="T308" s="15" t="str">
        <f t="shared" si="63"/>
        <v/>
      </c>
      <c r="U308" s="15" t="str">
        <f t="shared" si="64"/>
        <v/>
      </c>
      <c r="V308" s="15" t="str">
        <f t="shared" si="65"/>
        <v/>
      </c>
      <c r="W308" s="16" t="str">
        <f>IF(V308="","",VLOOKUP(V308,税率及规则!$A$2:$C$8,2,TRUE))</f>
        <v/>
      </c>
      <c r="X308" s="15" t="str">
        <f>IF(V308="","",VLOOKUP(V308,税率及规则!$A$2:$C$8,3,TRUE))</f>
        <v/>
      </c>
      <c r="Y308" s="15" t="str">
        <f t="shared" si="66"/>
        <v/>
      </c>
      <c r="Z308" s="15" t="str">
        <f>IF(U308="","",MAX(0,U308*VLOOKUP(U308,税率及规则!$A$2:$C$8,2,TRUE)-VLOOKUP(U308,税率及规则!$A$2:$C$8,3,TRUE)))</f>
        <v/>
      </c>
      <c r="AA308" s="15" t="str">
        <f t="shared" si="67"/>
        <v/>
      </c>
      <c r="AB308" s="17" t="str">
        <f t="shared" si="68"/>
        <v/>
      </c>
      <c r="AC308" s="17" t="str">
        <f t="shared" si="69"/>
        <v/>
      </c>
      <c r="AD308" s="4" t="str">
        <f>IF(A308="","",IF(COUNTIF($A$2:$A$501,A308)&gt;1,"异常：事件编号重复",IF(OR(C308="",D308="",E308="",F308="",G308=""),"异常：必填项缺失",IF(AND(F308="其他股权激励",O308=""),"异常：其他股权激励所得缺失",IF(AND(F308&lt;&gt;"其他股权激励",OR(I308="",J308="")),"异常：数量或市场价缺失",IF(AND(F308&lt;&gt;"其他股权激励",OR(I308&lt;=0,J308&lt;0)),"异常：数量或价格无效",IF(AND(F308="限制性股票",OR(M308&lt;=0,N308&lt;0,I308&gt;M308)),"异常：个人获授或出资数据无效",IF(AND(IFERROR(INDEX(计划参数!$J$2:$J$501,MATCH(C308,计划参数!$I$2:$I$501,0)),"")&lt;&gt;"",D308&lt;&gt;IFERROR(INDEX(计划参数!$J$2:$J$501,MATCH(C308,计划参数!$I$2:$I$501,0)),"")),"异常：姓名与员工主数据不一致",IF(S308&lt;0,"异常：原始所得为负，已按0计税",IF(OR(AND(F308="股票期权",K308=""),AND(F308="限制性股票",OR(K308="",L308=""))),"异常：计划参数缺失",IF(COUNTIF(计划参数!$I$2:$I$501,C308)=0,"提示：员工编号未在主数据",IF(Q308&lt;&gt;"已备案","提示：未确认备案","正常"))))))))))))</f>
        <v/>
      </c>
      <c r="AE308" s="9"/>
      <c r="AF308" s="4" t="str">
        <f>IF(C308="","",IF(COUNTIF($C$2:C308,C308)=1,MAX($AF$1:AF307)+1,""))</f>
        <v/>
      </c>
      <c r="AG308" s="4" t="str">
        <f>IF(C308="","",COUNTIF($C$2:C308,C308))</f>
        <v/>
      </c>
      <c r="AH308" s="4" t="str">
        <f t="shared" si="70"/>
        <v/>
      </c>
      <c r="AI308" s="4" t="str">
        <f t="shared" si="71"/>
        <v/>
      </c>
      <c r="AJ308" s="4" t="str">
        <f t="shared" si="72"/>
        <v/>
      </c>
      <c r="AK308" s="15" t="str">
        <f>IF(A308="","",SUMIFS(分期缴税台账!$K$2:$K$501,分期缴税台账!$T$2:$T$501,A308,分期缴税台账!$Q$2:$Q$501,"有效"))</f>
        <v/>
      </c>
      <c r="AL308" s="15" t="str">
        <f t="shared" si="73"/>
        <v/>
      </c>
      <c r="AM308" s="4" t="str">
        <f t="shared" si="74"/>
        <v/>
      </c>
    </row>
    <row r="309" spans="1:39" x14ac:dyDescent="0.3">
      <c r="A309" s="9"/>
      <c r="B309" s="4" t="str">
        <f t="shared" si="60"/>
        <v/>
      </c>
      <c r="C309" s="9"/>
      <c r="D309" s="9"/>
      <c r="E309" s="9"/>
      <c r="F309" s="9"/>
      <c r="G309" s="13"/>
      <c r="H309" s="4" t="str">
        <f t="shared" si="61"/>
        <v/>
      </c>
      <c r="I309" s="9"/>
      <c r="J309" s="14"/>
      <c r="K309" s="15" t="str">
        <f>IF(OR(E309="",F309="",G309=""),"",IF(E309&lt;&gt;计划参数!$C$2,"",IF(F309="股票期权",IFERROR(LOOKUP(G309,计划参数!$D$12:$D$15,计划参数!$C$12:$C$15),""),IF(F309="限制性股票",计划参数!$C$10,""))))</f>
        <v/>
      </c>
      <c r="L309" s="15" t="str">
        <f>IF(AND(E309=计划参数!$C$2,F309="限制性股票",G309&gt;=计划参数!$D$9),计划参数!$C$9,"")</f>
        <v/>
      </c>
      <c r="M309" s="9"/>
      <c r="N309" s="14"/>
      <c r="O309" s="14"/>
      <c r="P309" s="13"/>
      <c r="Q309" s="9"/>
      <c r="R309" s="13"/>
      <c r="S309" s="15" t="str">
        <f t="shared" si="62"/>
        <v/>
      </c>
      <c r="T309" s="15" t="str">
        <f t="shared" si="63"/>
        <v/>
      </c>
      <c r="U309" s="15" t="str">
        <f t="shared" si="64"/>
        <v/>
      </c>
      <c r="V309" s="15" t="str">
        <f t="shared" si="65"/>
        <v/>
      </c>
      <c r="W309" s="16" t="str">
        <f>IF(V309="","",VLOOKUP(V309,税率及规则!$A$2:$C$8,2,TRUE))</f>
        <v/>
      </c>
      <c r="X309" s="15" t="str">
        <f>IF(V309="","",VLOOKUP(V309,税率及规则!$A$2:$C$8,3,TRUE))</f>
        <v/>
      </c>
      <c r="Y309" s="15" t="str">
        <f t="shared" si="66"/>
        <v/>
      </c>
      <c r="Z309" s="15" t="str">
        <f>IF(U309="","",MAX(0,U309*VLOOKUP(U309,税率及规则!$A$2:$C$8,2,TRUE)-VLOOKUP(U309,税率及规则!$A$2:$C$8,3,TRUE)))</f>
        <v/>
      </c>
      <c r="AA309" s="15" t="str">
        <f t="shared" si="67"/>
        <v/>
      </c>
      <c r="AB309" s="17" t="str">
        <f t="shared" si="68"/>
        <v/>
      </c>
      <c r="AC309" s="17" t="str">
        <f t="shared" si="69"/>
        <v/>
      </c>
      <c r="AD309" s="4" t="str">
        <f>IF(A309="","",IF(COUNTIF($A$2:$A$501,A309)&gt;1,"异常：事件编号重复",IF(OR(C309="",D309="",E309="",F309="",G309=""),"异常：必填项缺失",IF(AND(F309="其他股权激励",O309=""),"异常：其他股权激励所得缺失",IF(AND(F309&lt;&gt;"其他股权激励",OR(I309="",J309="")),"异常：数量或市场价缺失",IF(AND(F309&lt;&gt;"其他股权激励",OR(I309&lt;=0,J309&lt;0)),"异常：数量或价格无效",IF(AND(F309="限制性股票",OR(M309&lt;=0,N309&lt;0,I309&gt;M309)),"异常：个人获授或出资数据无效",IF(AND(IFERROR(INDEX(计划参数!$J$2:$J$501,MATCH(C309,计划参数!$I$2:$I$501,0)),"")&lt;&gt;"",D309&lt;&gt;IFERROR(INDEX(计划参数!$J$2:$J$501,MATCH(C309,计划参数!$I$2:$I$501,0)),"")),"异常：姓名与员工主数据不一致",IF(S309&lt;0,"异常：原始所得为负，已按0计税",IF(OR(AND(F309="股票期权",K309=""),AND(F309="限制性股票",OR(K309="",L309=""))),"异常：计划参数缺失",IF(COUNTIF(计划参数!$I$2:$I$501,C309)=0,"提示：员工编号未在主数据",IF(Q309&lt;&gt;"已备案","提示：未确认备案","正常"))))))))))))</f>
        <v/>
      </c>
      <c r="AE309" s="9"/>
      <c r="AF309" s="4" t="str">
        <f>IF(C309="","",IF(COUNTIF($C$2:C309,C309)=1,MAX($AF$1:AF308)+1,""))</f>
        <v/>
      </c>
      <c r="AG309" s="4" t="str">
        <f>IF(C309="","",COUNTIF($C$2:C309,C309))</f>
        <v/>
      </c>
      <c r="AH309" s="4" t="str">
        <f t="shared" si="70"/>
        <v/>
      </c>
      <c r="AI309" s="4" t="str">
        <f t="shared" si="71"/>
        <v/>
      </c>
      <c r="AJ309" s="4" t="str">
        <f t="shared" si="72"/>
        <v/>
      </c>
      <c r="AK309" s="15" t="str">
        <f>IF(A309="","",SUMIFS(分期缴税台账!$K$2:$K$501,分期缴税台账!$T$2:$T$501,A309,分期缴税台账!$Q$2:$Q$501,"有效"))</f>
        <v/>
      </c>
      <c r="AL309" s="15" t="str">
        <f t="shared" si="73"/>
        <v/>
      </c>
      <c r="AM309" s="4" t="str">
        <f t="shared" si="74"/>
        <v/>
      </c>
    </row>
    <row r="310" spans="1:39" x14ac:dyDescent="0.3">
      <c r="A310" s="9"/>
      <c r="B310" s="4" t="str">
        <f t="shared" si="60"/>
        <v/>
      </c>
      <c r="C310" s="9"/>
      <c r="D310" s="9"/>
      <c r="E310" s="9"/>
      <c r="F310" s="9"/>
      <c r="G310" s="13"/>
      <c r="H310" s="4" t="str">
        <f t="shared" si="61"/>
        <v/>
      </c>
      <c r="I310" s="9"/>
      <c r="J310" s="14"/>
      <c r="K310" s="15" t="str">
        <f>IF(OR(E310="",F310="",G310=""),"",IF(E310&lt;&gt;计划参数!$C$2,"",IF(F310="股票期权",IFERROR(LOOKUP(G310,计划参数!$D$12:$D$15,计划参数!$C$12:$C$15),""),IF(F310="限制性股票",计划参数!$C$10,""))))</f>
        <v/>
      </c>
      <c r="L310" s="15" t="str">
        <f>IF(AND(E310=计划参数!$C$2,F310="限制性股票",G310&gt;=计划参数!$D$9),计划参数!$C$9,"")</f>
        <v/>
      </c>
      <c r="M310" s="9"/>
      <c r="N310" s="14"/>
      <c r="O310" s="14"/>
      <c r="P310" s="13"/>
      <c r="Q310" s="9"/>
      <c r="R310" s="13"/>
      <c r="S310" s="15" t="str">
        <f t="shared" si="62"/>
        <v/>
      </c>
      <c r="T310" s="15" t="str">
        <f t="shared" si="63"/>
        <v/>
      </c>
      <c r="U310" s="15" t="str">
        <f t="shared" si="64"/>
        <v/>
      </c>
      <c r="V310" s="15" t="str">
        <f t="shared" si="65"/>
        <v/>
      </c>
      <c r="W310" s="16" t="str">
        <f>IF(V310="","",VLOOKUP(V310,税率及规则!$A$2:$C$8,2,TRUE))</f>
        <v/>
      </c>
      <c r="X310" s="15" t="str">
        <f>IF(V310="","",VLOOKUP(V310,税率及规则!$A$2:$C$8,3,TRUE))</f>
        <v/>
      </c>
      <c r="Y310" s="15" t="str">
        <f t="shared" si="66"/>
        <v/>
      </c>
      <c r="Z310" s="15" t="str">
        <f>IF(U310="","",MAX(0,U310*VLOOKUP(U310,税率及规则!$A$2:$C$8,2,TRUE)-VLOOKUP(U310,税率及规则!$A$2:$C$8,3,TRUE)))</f>
        <v/>
      </c>
      <c r="AA310" s="15" t="str">
        <f t="shared" si="67"/>
        <v/>
      </c>
      <c r="AB310" s="17" t="str">
        <f t="shared" si="68"/>
        <v/>
      </c>
      <c r="AC310" s="17" t="str">
        <f t="shared" si="69"/>
        <v/>
      </c>
      <c r="AD310" s="4" t="str">
        <f>IF(A310="","",IF(COUNTIF($A$2:$A$501,A310)&gt;1,"异常：事件编号重复",IF(OR(C310="",D310="",E310="",F310="",G310=""),"异常：必填项缺失",IF(AND(F310="其他股权激励",O310=""),"异常：其他股权激励所得缺失",IF(AND(F310&lt;&gt;"其他股权激励",OR(I310="",J310="")),"异常：数量或市场价缺失",IF(AND(F310&lt;&gt;"其他股权激励",OR(I310&lt;=0,J310&lt;0)),"异常：数量或价格无效",IF(AND(F310="限制性股票",OR(M310&lt;=0,N310&lt;0,I310&gt;M310)),"异常：个人获授或出资数据无效",IF(AND(IFERROR(INDEX(计划参数!$J$2:$J$501,MATCH(C310,计划参数!$I$2:$I$501,0)),"")&lt;&gt;"",D310&lt;&gt;IFERROR(INDEX(计划参数!$J$2:$J$501,MATCH(C310,计划参数!$I$2:$I$501,0)),"")),"异常：姓名与员工主数据不一致",IF(S310&lt;0,"异常：原始所得为负，已按0计税",IF(OR(AND(F310="股票期权",K310=""),AND(F310="限制性股票",OR(K310="",L310=""))),"异常：计划参数缺失",IF(COUNTIF(计划参数!$I$2:$I$501,C310)=0,"提示：员工编号未在主数据",IF(Q310&lt;&gt;"已备案","提示：未确认备案","正常"))))))))))))</f>
        <v/>
      </c>
      <c r="AE310" s="9"/>
      <c r="AF310" s="4" t="str">
        <f>IF(C310="","",IF(COUNTIF($C$2:C310,C310)=1,MAX($AF$1:AF309)+1,""))</f>
        <v/>
      </c>
      <c r="AG310" s="4" t="str">
        <f>IF(C310="","",COUNTIF($C$2:C310,C310))</f>
        <v/>
      </c>
      <c r="AH310" s="4" t="str">
        <f t="shared" si="70"/>
        <v/>
      </c>
      <c r="AI310" s="4" t="str">
        <f t="shared" si="71"/>
        <v/>
      </c>
      <c r="AJ310" s="4" t="str">
        <f t="shared" si="72"/>
        <v/>
      </c>
      <c r="AK310" s="15" t="str">
        <f>IF(A310="","",SUMIFS(分期缴税台账!$K$2:$K$501,分期缴税台账!$T$2:$T$501,A310,分期缴税台账!$Q$2:$Q$501,"有效"))</f>
        <v/>
      </c>
      <c r="AL310" s="15" t="str">
        <f t="shared" si="73"/>
        <v/>
      </c>
      <c r="AM310" s="4" t="str">
        <f t="shared" si="74"/>
        <v/>
      </c>
    </row>
    <row r="311" spans="1:39" x14ac:dyDescent="0.3">
      <c r="A311" s="9"/>
      <c r="B311" s="4" t="str">
        <f t="shared" si="60"/>
        <v/>
      </c>
      <c r="C311" s="9"/>
      <c r="D311" s="9"/>
      <c r="E311" s="9"/>
      <c r="F311" s="9"/>
      <c r="G311" s="13"/>
      <c r="H311" s="4" t="str">
        <f t="shared" si="61"/>
        <v/>
      </c>
      <c r="I311" s="9"/>
      <c r="J311" s="14"/>
      <c r="K311" s="15" t="str">
        <f>IF(OR(E311="",F311="",G311=""),"",IF(E311&lt;&gt;计划参数!$C$2,"",IF(F311="股票期权",IFERROR(LOOKUP(G311,计划参数!$D$12:$D$15,计划参数!$C$12:$C$15),""),IF(F311="限制性股票",计划参数!$C$10,""))))</f>
        <v/>
      </c>
      <c r="L311" s="15" t="str">
        <f>IF(AND(E311=计划参数!$C$2,F311="限制性股票",G311&gt;=计划参数!$D$9),计划参数!$C$9,"")</f>
        <v/>
      </c>
      <c r="M311" s="9"/>
      <c r="N311" s="14"/>
      <c r="O311" s="14"/>
      <c r="P311" s="13"/>
      <c r="Q311" s="9"/>
      <c r="R311" s="13"/>
      <c r="S311" s="15" t="str">
        <f t="shared" si="62"/>
        <v/>
      </c>
      <c r="T311" s="15" t="str">
        <f t="shared" si="63"/>
        <v/>
      </c>
      <c r="U311" s="15" t="str">
        <f t="shared" si="64"/>
        <v/>
      </c>
      <c r="V311" s="15" t="str">
        <f t="shared" si="65"/>
        <v/>
      </c>
      <c r="W311" s="16" t="str">
        <f>IF(V311="","",VLOOKUP(V311,税率及规则!$A$2:$C$8,2,TRUE))</f>
        <v/>
      </c>
      <c r="X311" s="15" t="str">
        <f>IF(V311="","",VLOOKUP(V311,税率及规则!$A$2:$C$8,3,TRUE))</f>
        <v/>
      </c>
      <c r="Y311" s="15" t="str">
        <f t="shared" si="66"/>
        <v/>
      </c>
      <c r="Z311" s="15" t="str">
        <f>IF(U311="","",MAX(0,U311*VLOOKUP(U311,税率及规则!$A$2:$C$8,2,TRUE)-VLOOKUP(U311,税率及规则!$A$2:$C$8,3,TRUE)))</f>
        <v/>
      </c>
      <c r="AA311" s="15" t="str">
        <f t="shared" si="67"/>
        <v/>
      </c>
      <c r="AB311" s="17" t="str">
        <f t="shared" si="68"/>
        <v/>
      </c>
      <c r="AC311" s="17" t="str">
        <f t="shared" si="69"/>
        <v/>
      </c>
      <c r="AD311" s="4" t="str">
        <f>IF(A311="","",IF(COUNTIF($A$2:$A$501,A311)&gt;1,"异常：事件编号重复",IF(OR(C311="",D311="",E311="",F311="",G311=""),"异常：必填项缺失",IF(AND(F311="其他股权激励",O311=""),"异常：其他股权激励所得缺失",IF(AND(F311&lt;&gt;"其他股权激励",OR(I311="",J311="")),"异常：数量或市场价缺失",IF(AND(F311&lt;&gt;"其他股权激励",OR(I311&lt;=0,J311&lt;0)),"异常：数量或价格无效",IF(AND(F311="限制性股票",OR(M311&lt;=0,N311&lt;0,I311&gt;M311)),"异常：个人获授或出资数据无效",IF(AND(IFERROR(INDEX(计划参数!$J$2:$J$501,MATCH(C311,计划参数!$I$2:$I$501,0)),"")&lt;&gt;"",D311&lt;&gt;IFERROR(INDEX(计划参数!$J$2:$J$501,MATCH(C311,计划参数!$I$2:$I$501,0)),"")),"异常：姓名与员工主数据不一致",IF(S311&lt;0,"异常：原始所得为负，已按0计税",IF(OR(AND(F311="股票期权",K311=""),AND(F311="限制性股票",OR(K311="",L311=""))),"异常：计划参数缺失",IF(COUNTIF(计划参数!$I$2:$I$501,C311)=0,"提示：员工编号未在主数据",IF(Q311&lt;&gt;"已备案","提示：未确认备案","正常"))))))))))))</f>
        <v/>
      </c>
      <c r="AE311" s="9"/>
      <c r="AF311" s="4" t="str">
        <f>IF(C311="","",IF(COUNTIF($C$2:C311,C311)=1,MAX($AF$1:AF310)+1,""))</f>
        <v/>
      </c>
      <c r="AG311" s="4" t="str">
        <f>IF(C311="","",COUNTIF($C$2:C311,C311))</f>
        <v/>
      </c>
      <c r="AH311" s="4" t="str">
        <f t="shared" si="70"/>
        <v/>
      </c>
      <c r="AI311" s="4" t="str">
        <f t="shared" si="71"/>
        <v/>
      </c>
      <c r="AJ311" s="4" t="str">
        <f t="shared" si="72"/>
        <v/>
      </c>
      <c r="AK311" s="15" t="str">
        <f>IF(A311="","",SUMIFS(分期缴税台账!$K$2:$K$501,分期缴税台账!$T$2:$T$501,A311,分期缴税台账!$Q$2:$Q$501,"有效"))</f>
        <v/>
      </c>
      <c r="AL311" s="15" t="str">
        <f t="shared" si="73"/>
        <v/>
      </c>
      <c r="AM311" s="4" t="str">
        <f t="shared" si="74"/>
        <v/>
      </c>
    </row>
    <row r="312" spans="1:39" x14ac:dyDescent="0.3">
      <c r="A312" s="9"/>
      <c r="B312" s="4" t="str">
        <f t="shared" si="60"/>
        <v/>
      </c>
      <c r="C312" s="9"/>
      <c r="D312" s="9"/>
      <c r="E312" s="9"/>
      <c r="F312" s="9"/>
      <c r="G312" s="13"/>
      <c r="H312" s="4" t="str">
        <f t="shared" si="61"/>
        <v/>
      </c>
      <c r="I312" s="9"/>
      <c r="J312" s="14"/>
      <c r="K312" s="15" t="str">
        <f>IF(OR(E312="",F312="",G312=""),"",IF(E312&lt;&gt;计划参数!$C$2,"",IF(F312="股票期权",IFERROR(LOOKUP(G312,计划参数!$D$12:$D$15,计划参数!$C$12:$C$15),""),IF(F312="限制性股票",计划参数!$C$10,""))))</f>
        <v/>
      </c>
      <c r="L312" s="15" t="str">
        <f>IF(AND(E312=计划参数!$C$2,F312="限制性股票",G312&gt;=计划参数!$D$9),计划参数!$C$9,"")</f>
        <v/>
      </c>
      <c r="M312" s="9"/>
      <c r="N312" s="14"/>
      <c r="O312" s="14"/>
      <c r="P312" s="13"/>
      <c r="Q312" s="9"/>
      <c r="R312" s="13"/>
      <c r="S312" s="15" t="str">
        <f t="shared" si="62"/>
        <v/>
      </c>
      <c r="T312" s="15" t="str">
        <f t="shared" si="63"/>
        <v/>
      </c>
      <c r="U312" s="15" t="str">
        <f t="shared" si="64"/>
        <v/>
      </c>
      <c r="V312" s="15" t="str">
        <f t="shared" si="65"/>
        <v/>
      </c>
      <c r="W312" s="16" t="str">
        <f>IF(V312="","",VLOOKUP(V312,税率及规则!$A$2:$C$8,2,TRUE))</f>
        <v/>
      </c>
      <c r="X312" s="15" t="str">
        <f>IF(V312="","",VLOOKUP(V312,税率及规则!$A$2:$C$8,3,TRUE))</f>
        <v/>
      </c>
      <c r="Y312" s="15" t="str">
        <f t="shared" si="66"/>
        <v/>
      </c>
      <c r="Z312" s="15" t="str">
        <f>IF(U312="","",MAX(0,U312*VLOOKUP(U312,税率及规则!$A$2:$C$8,2,TRUE)-VLOOKUP(U312,税率及规则!$A$2:$C$8,3,TRUE)))</f>
        <v/>
      </c>
      <c r="AA312" s="15" t="str">
        <f t="shared" si="67"/>
        <v/>
      </c>
      <c r="AB312" s="17" t="str">
        <f t="shared" si="68"/>
        <v/>
      </c>
      <c r="AC312" s="17" t="str">
        <f t="shared" si="69"/>
        <v/>
      </c>
      <c r="AD312" s="4" t="str">
        <f>IF(A312="","",IF(COUNTIF($A$2:$A$501,A312)&gt;1,"异常：事件编号重复",IF(OR(C312="",D312="",E312="",F312="",G312=""),"异常：必填项缺失",IF(AND(F312="其他股权激励",O312=""),"异常：其他股权激励所得缺失",IF(AND(F312&lt;&gt;"其他股权激励",OR(I312="",J312="")),"异常：数量或市场价缺失",IF(AND(F312&lt;&gt;"其他股权激励",OR(I312&lt;=0,J312&lt;0)),"异常：数量或价格无效",IF(AND(F312="限制性股票",OR(M312&lt;=0,N312&lt;0,I312&gt;M312)),"异常：个人获授或出资数据无效",IF(AND(IFERROR(INDEX(计划参数!$J$2:$J$501,MATCH(C312,计划参数!$I$2:$I$501,0)),"")&lt;&gt;"",D312&lt;&gt;IFERROR(INDEX(计划参数!$J$2:$J$501,MATCH(C312,计划参数!$I$2:$I$501,0)),"")),"异常：姓名与员工主数据不一致",IF(S312&lt;0,"异常：原始所得为负，已按0计税",IF(OR(AND(F312="股票期权",K312=""),AND(F312="限制性股票",OR(K312="",L312=""))),"异常：计划参数缺失",IF(COUNTIF(计划参数!$I$2:$I$501,C312)=0,"提示：员工编号未在主数据",IF(Q312&lt;&gt;"已备案","提示：未确认备案","正常"))))))))))))</f>
        <v/>
      </c>
      <c r="AE312" s="9"/>
      <c r="AF312" s="4" t="str">
        <f>IF(C312="","",IF(COUNTIF($C$2:C312,C312)=1,MAX($AF$1:AF311)+1,""))</f>
        <v/>
      </c>
      <c r="AG312" s="4" t="str">
        <f>IF(C312="","",COUNTIF($C$2:C312,C312))</f>
        <v/>
      </c>
      <c r="AH312" s="4" t="str">
        <f t="shared" si="70"/>
        <v/>
      </c>
      <c r="AI312" s="4" t="str">
        <f t="shared" si="71"/>
        <v/>
      </c>
      <c r="AJ312" s="4" t="str">
        <f t="shared" si="72"/>
        <v/>
      </c>
      <c r="AK312" s="15" t="str">
        <f>IF(A312="","",SUMIFS(分期缴税台账!$K$2:$K$501,分期缴税台账!$T$2:$T$501,A312,分期缴税台账!$Q$2:$Q$501,"有效"))</f>
        <v/>
      </c>
      <c r="AL312" s="15" t="str">
        <f t="shared" si="73"/>
        <v/>
      </c>
      <c r="AM312" s="4" t="str">
        <f t="shared" si="74"/>
        <v/>
      </c>
    </row>
    <row r="313" spans="1:39" x14ac:dyDescent="0.3">
      <c r="A313" s="9"/>
      <c r="B313" s="4" t="str">
        <f t="shared" si="60"/>
        <v/>
      </c>
      <c r="C313" s="9"/>
      <c r="D313" s="9"/>
      <c r="E313" s="9"/>
      <c r="F313" s="9"/>
      <c r="G313" s="13"/>
      <c r="H313" s="4" t="str">
        <f t="shared" si="61"/>
        <v/>
      </c>
      <c r="I313" s="9"/>
      <c r="J313" s="14"/>
      <c r="K313" s="15" t="str">
        <f>IF(OR(E313="",F313="",G313=""),"",IF(E313&lt;&gt;计划参数!$C$2,"",IF(F313="股票期权",IFERROR(LOOKUP(G313,计划参数!$D$12:$D$15,计划参数!$C$12:$C$15),""),IF(F313="限制性股票",计划参数!$C$10,""))))</f>
        <v/>
      </c>
      <c r="L313" s="15" t="str">
        <f>IF(AND(E313=计划参数!$C$2,F313="限制性股票",G313&gt;=计划参数!$D$9),计划参数!$C$9,"")</f>
        <v/>
      </c>
      <c r="M313" s="9"/>
      <c r="N313" s="14"/>
      <c r="O313" s="14"/>
      <c r="P313" s="13"/>
      <c r="Q313" s="9"/>
      <c r="R313" s="13"/>
      <c r="S313" s="15" t="str">
        <f t="shared" si="62"/>
        <v/>
      </c>
      <c r="T313" s="15" t="str">
        <f t="shared" si="63"/>
        <v/>
      </c>
      <c r="U313" s="15" t="str">
        <f t="shared" si="64"/>
        <v/>
      </c>
      <c r="V313" s="15" t="str">
        <f t="shared" si="65"/>
        <v/>
      </c>
      <c r="W313" s="16" t="str">
        <f>IF(V313="","",VLOOKUP(V313,税率及规则!$A$2:$C$8,2,TRUE))</f>
        <v/>
      </c>
      <c r="X313" s="15" t="str">
        <f>IF(V313="","",VLOOKUP(V313,税率及规则!$A$2:$C$8,3,TRUE))</f>
        <v/>
      </c>
      <c r="Y313" s="15" t="str">
        <f t="shared" si="66"/>
        <v/>
      </c>
      <c r="Z313" s="15" t="str">
        <f>IF(U313="","",MAX(0,U313*VLOOKUP(U313,税率及规则!$A$2:$C$8,2,TRUE)-VLOOKUP(U313,税率及规则!$A$2:$C$8,3,TRUE)))</f>
        <v/>
      </c>
      <c r="AA313" s="15" t="str">
        <f t="shared" si="67"/>
        <v/>
      </c>
      <c r="AB313" s="17" t="str">
        <f t="shared" si="68"/>
        <v/>
      </c>
      <c r="AC313" s="17" t="str">
        <f t="shared" si="69"/>
        <v/>
      </c>
      <c r="AD313" s="4" t="str">
        <f>IF(A313="","",IF(COUNTIF($A$2:$A$501,A313)&gt;1,"异常：事件编号重复",IF(OR(C313="",D313="",E313="",F313="",G313=""),"异常：必填项缺失",IF(AND(F313="其他股权激励",O313=""),"异常：其他股权激励所得缺失",IF(AND(F313&lt;&gt;"其他股权激励",OR(I313="",J313="")),"异常：数量或市场价缺失",IF(AND(F313&lt;&gt;"其他股权激励",OR(I313&lt;=0,J313&lt;0)),"异常：数量或价格无效",IF(AND(F313="限制性股票",OR(M313&lt;=0,N313&lt;0,I313&gt;M313)),"异常：个人获授或出资数据无效",IF(AND(IFERROR(INDEX(计划参数!$J$2:$J$501,MATCH(C313,计划参数!$I$2:$I$501,0)),"")&lt;&gt;"",D313&lt;&gt;IFERROR(INDEX(计划参数!$J$2:$J$501,MATCH(C313,计划参数!$I$2:$I$501,0)),"")),"异常：姓名与员工主数据不一致",IF(S313&lt;0,"异常：原始所得为负，已按0计税",IF(OR(AND(F313="股票期权",K313=""),AND(F313="限制性股票",OR(K313="",L313=""))),"异常：计划参数缺失",IF(COUNTIF(计划参数!$I$2:$I$501,C313)=0,"提示：员工编号未在主数据",IF(Q313&lt;&gt;"已备案","提示：未确认备案","正常"))))))))))))</f>
        <v/>
      </c>
      <c r="AE313" s="9"/>
      <c r="AF313" s="4" t="str">
        <f>IF(C313="","",IF(COUNTIF($C$2:C313,C313)=1,MAX($AF$1:AF312)+1,""))</f>
        <v/>
      </c>
      <c r="AG313" s="4" t="str">
        <f>IF(C313="","",COUNTIF($C$2:C313,C313))</f>
        <v/>
      </c>
      <c r="AH313" s="4" t="str">
        <f t="shared" si="70"/>
        <v/>
      </c>
      <c r="AI313" s="4" t="str">
        <f t="shared" si="71"/>
        <v/>
      </c>
      <c r="AJ313" s="4" t="str">
        <f t="shared" si="72"/>
        <v/>
      </c>
      <c r="AK313" s="15" t="str">
        <f>IF(A313="","",SUMIFS(分期缴税台账!$K$2:$K$501,分期缴税台账!$T$2:$T$501,A313,分期缴税台账!$Q$2:$Q$501,"有效"))</f>
        <v/>
      </c>
      <c r="AL313" s="15" t="str">
        <f t="shared" si="73"/>
        <v/>
      </c>
      <c r="AM313" s="4" t="str">
        <f t="shared" si="74"/>
        <v/>
      </c>
    </row>
    <row r="314" spans="1:39" x14ac:dyDescent="0.3">
      <c r="A314" s="9"/>
      <c r="B314" s="4" t="str">
        <f t="shared" si="60"/>
        <v/>
      </c>
      <c r="C314" s="9"/>
      <c r="D314" s="9"/>
      <c r="E314" s="9"/>
      <c r="F314" s="9"/>
      <c r="G314" s="13"/>
      <c r="H314" s="4" t="str">
        <f t="shared" si="61"/>
        <v/>
      </c>
      <c r="I314" s="9"/>
      <c r="J314" s="14"/>
      <c r="K314" s="15" t="str">
        <f>IF(OR(E314="",F314="",G314=""),"",IF(E314&lt;&gt;计划参数!$C$2,"",IF(F314="股票期权",IFERROR(LOOKUP(G314,计划参数!$D$12:$D$15,计划参数!$C$12:$C$15),""),IF(F314="限制性股票",计划参数!$C$10,""))))</f>
        <v/>
      </c>
      <c r="L314" s="15" t="str">
        <f>IF(AND(E314=计划参数!$C$2,F314="限制性股票",G314&gt;=计划参数!$D$9),计划参数!$C$9,"")</f>
        <v/>
      </c>
      <c r="M314" s="9"/>
      <c r="N314" s="14"/>
      <c r="O314" s="14"/>
      <c r="P314" s="13"/>
      <c r="Q314" s="9"/>
      <c r="R314" s="13"/>
      <c r="S314" s="15" t="str">
        <f t="shared" si="62"/>
        <v/>
      </c>
      <c r="T314" s="15" t="str">
        <f t="shared" si="63"/>
        <v/>
      </c>
      <c r="U314" s="15" t="str">
        <f t="shared" si="64"/>
        <v/>
      </c>
      <c r="V314" s="15" t="str">
        <f t="shared" si="65"/>
        <v/>
      </c>
      <c r="W314" s="16" t="str">
        <f>IF(V314="","",VLOOKUP(V314,税率及规则!$A$2:$C$8,2,TRUE))</f>
        <v/>
      </c>
      <c r="X314" s="15" t="str">
        <f>IF(V314="","",VLOOKUP(V314,税率及规则!$A$2:$C$8,3,TRUE))</f>
        <v/>
      </c>
      <c r="Y314" s="15" t="str">
        <f t="shared" si="66"/>
        <v/>
      </c>
      <c r="Z314" s="15" t="str">
        <f>IF(U314="","",MAX(0,U314*VLOOKUP(U314,税率及规则!$A$2:$C$8,2,TRUE)-VLOOKUP(U314,税率及规则!$A$2:$C$8,3,TRUE)))</f>
        <v/>
      </c>
      <c r="AA314" s="15" t="str">
        <f t="shared" si="67"/>
        <v/>
      </c>
      <c r="AB314" s="17" t="str">
        <f t="shared" si="68"/>
        <v/>
      </c>
      <c r="AC314" s="17" t="str">
        <f t="shared" si="69"/>
        <v/>
      </c>
      <c r="AD314" s="4" t="str">
        <f>IF(A314="","",IF(COUNTIF($A$2:$A$501,A314)&gt;1,"异常：事件编号重复",IF(OR(C314="",D314="",E314="",F314="",G314=""),"异常：必填项缺失",IF(AND(F314="其他股权激励",O314=""),"异常：其他股权激励所得缺失",IF(AND(F314&lt;&gt;"其他股权激励",OR(I314="",J314="")),"异常：数量或市场价缺失",IF(AND(F314&lt;&gt;"其他股权激励",OR(I314&lt;=0,J314&lt;0)),"异常：数量或价格无效",IF(AND(F314="限制性股票",OR(M314&lt;=0,N314&lt;0,I314&gt;M314)),"异常：个人获授或出资数据无效",IF(AND(IFERROR(INDEX(计划参数!$J$2:$J$501,MATCH(C314,计划参数!$I$2:$I$501,0)),"")&lt;&gt;"",D314&lt;&gt;IFERROR(INDEX(计划参数!$J$2:$J$501,MATCH(C314,计划参数!$I$2:$I$501,0)),"")),"异常：姓名与员工主数据不一致",IF(S314&lt;0,"异常：原始所得为负，已按0计税",IF(OR(AND(F314="股票期权",K314=""),AND(F314="限制性股票",OR(K314="",L314=""))),"异常：计划参数缺失",IF(COUNTIF(计划参数!$I$2:$I$501,C314)=0,"提示：员工编号未在主数据",IF(Q314&lt;&gt;"已备案","提示：未确认备案","正常"))))))))))))</f>
        <v/>
      </c>
      <c r="AE314" s="9"/>
      <c r="AF314" s="4" t="str">
        <f>IF(C314="","",IF(COUNTIF($C$2:C314,C314)=1,MAX($AF$1:AF313)+1,""))</f>
        <v/>
      </c>
      <c r="AG314" s="4" t="str">
        <f>IF(C314="","",COUNTIF($C$2:C314,C314))</f>
        <v/>
      </c>
      <c r="AH314" s="4" t="str">
        <f t="shared" si="70"/>
        <v/>
      </c>
      <c r="AI314" s="4" t="str">
        <f t="shared" si="71"/>
        <v/>
      </c>
      <c r="AJ314" s="4" t="str">
        <f t="shared" si="72"/>
        <v/>
      </c>
      <c r="AK314" s="15" t="str">
        <f>IF(A314="","",SUMIFS(分期缴税台账!$K$2:$K$501,分期缴税台账!$T$2:$T$501,A314,分期缴税台账!$Q$2:$Q$501,"有效"))</f>
        <v/>
      </c>
      <c r="AL314" s="15" t="str">
        <f t="shared" si="73"/>
        <v/>
      </c>
      <c r="AM314" s="4" t="str">
        <f t="shared" si="74"/>
        <v/>
      </c>
    </row>
    <row r="315" spans="1:39" x14ac:dyDescent="0.3">
      <c r="A315" s="9"/>
      <c r="B315" s="4" t="str">
        <f t="shared" si="60"/>
        <v/>
      </c>
      <c r="C315" s="9"/>
      <c r="D315" s="9"/>
      <c r="E315" s="9"/>
      <c r="F315" s="9"/>
      <c r="G315" s="13"/>
      <c r="H315" s="4" t="str">
        <f t="shared" si="61"/>
        <v/>
      </c>
      <c r="I315" s="9"/>
      <c r="J315" s="14"/>
      <c r="K315" s="15" t="str">
        <f>IF(OR(E315="",F315="",G315=""),"",IF(E315&lt;&gt;计划参数!$C$2,"",IF(F315="股票期权",IFERROR(LOOKUP(G315,计划参数!$D$12:$D$15,计划参数!$C$12:$C$15),""),IF(F315="限制性股票",计划参数!$C$10,""))))</f>
        <v/>
      </c>
      <c r="L315" s="15" t="str">
        <f>IF(AND(E315=计划参数!$C$2,F315="限制性股票",G315&gt;=计划参数!$D$9),计划参数!$C$9,"")</f>
        <v/>
      </c>
      <c r="M315" s="9"/>
      <c r="N315" s="14"/>
      <c r="O315" s="14"/>
      <c r="P315" s="13"/>
      <c r="Q315" s="9"/>
      <c r="R315" s="13"/>
      <c r="S315" s="15" t="str">
        <f t="shared" si="62"/>
        <v/>
      </c>
      <c r="T315" s="15" t="str">
        <f t="shared" si="63"/>
        <v/>
      </c>
      <c r="U315" s="15" t="str">
        <f t="shared" si="64"/>
        <v/>
      </c>
      <c r="V315" s="15" t="str">
        <f t="shared" si="65"/>
        <v/>
      </c>
      <c r="W315" s="16" t="str">
        <f>IF(V315="","",VLOOKUP(V315,税率及规则!$A$2:$C$8,2,TRUE))</f>
        <v/>
      </c>
      <c r="X315" s="15" t="str">
        <f>IF(V315="","",VLOOKUP(V315,税率及规则!$A$2:$C$8,3,TRUE))</f>
        <v/>
      </c>
      <c r="Y315" s="15" t="str">
        <f t="shared" si="66"/>
        <v/>
      </c>
      <c r="Z315" s="15" t="str">
        <f>IF(U315="","",MAX(0,U315*VLOOKUP(U315,税率及规则!$A$2:$C$8,2,TRUE)-VLOOKUP(U315,税率及规则!$A$2:$C$8,3,TRUE)))</f>
        <v/>
      </c>
      <c r="AA315" s="15" t="str">
        <f t="shared" si="67"/>
        <v/>
      </c>
      <c r="AB315" s="17" t="str">
        <f t="shared" si="68"/>
        <v/>
      </c>
      <c r="AC315" s="17" t="str">
        <f t="shared" si="69"/>
        <v/>
      </c>
      <c r="AD315" s="4" t="str">
        <f>IF(A315="","",IF(COUNTIF($A$2:$A$501,A315)&gt;1,"异常：事件编号重复",IF(OR(C315="",D315="",E315="",F315="",G315=""),"异常：必填项缺失",IF(AND(F315="其他股权激励",O315=""),"异常：其他股权激励所得缺失",IF(AND(F315&lt;&gt;"其他股权激励",OR(I315="",J315="")),"异常：数量或市场价缺失",IF(AND(F315&lt;&gt;"其他股权激励",OR(I315&lt;=0,J315&lt;0)),"异常：数量或价格无效",IF(AND(F315="限制性股票",OR(M315&lt;=0,N315&lt;0,I315&gt;M315)),"异常：个人获授或出资数据无效",IF(AND(IFERROR(INDEX(计划参数!$J$2:$J$501,MATCH(C315,计划参数!$I$2:$I$501,0)),"")&lt;&gt;"",D315&lt;&gt;IFERROR(INDEX(计划参数!$J$2:$J$501,MATCH(C315,计划参数!$I$2:$I$501,0)),"")),"异常：姓名与员工主数据不一致",IF(S315&lt;0,"异常：原始所得为负，已按0计税",IF(OR(AND(F315="股票期权",K315=""),AND(F315="限制性股票",OR(K315="",L315=""))),"异常：计划参数缺失",IF(COUNTIF(计划参数!$I$2:$I$501,C315)=0,"提示：员工编号未在主数据",IF(Q315&lt;&gt;"已备案","提示：未确认备案","正常"))))))))))))</f>
        <v/>
      </c>
      <c r="AE315" s="9"/>
      <c r="AF315" s="4" t="str">
        <f>IF(C315="","",IF(COUNTIF($C$2:C315,C315)=1,MAX($AF$1:AF314)+1,""))</f>
        <v/>
      </c>
      <c r="AG315" s="4" t="str">
        <f>IF(C315="","",COUNTIF($C$2:C315,C315))</f>
        <v/>
      </c>
      <c r="AH315" s="4" t="str">
        <f t="shared" si="70"/>
        <v/>
      </c>
      <c r="AI315" s="4" t="str">
        <f t="shared" si="71"/>
        <v/>
      </c>
      <c r="AJ315" s="4" t="str">
        <f t="shared" si="72"/>
        <v/>
      </c>
      <c r="AK315" s="15" t="str">
        <f>IF(A315="","",SUMIFS(分期缴税台账!$K$2:$K$501,分期缴税台账!$T$2:$T$501,A315,分期缴税台账!$Q$2:$Q$501,"有效"))</f>
        <v/>
      </c>
      <c r="AL315" s="15" t="str">
        <f t="shared" si="73"/>
        <v/>
      </c>
      <c r="AM315" s="4" t="str">
        <f t="shared" si="74"/>
        <v/>
      </c>
    </row>
    <row r="316" spans="1:39" x14ac:dyDescent="0.3">
      <c r="A316" s="9"/>
      <c r="B316" s="4" t="str">
        <f t="shared" si="60"/>
        <v/>
      </c>
      <c r="C316" s="9"/>
      <c r="D316" s="9"/>
      <c r="E316" s="9"/>
      <c r="F316" s="9"/>
      <c r="G316" s="13"/>
      <c r="H316" s="4" t="str">
        <f t="shared" si="61"/>
        <v/>
      </c>
      <c r="I316" s="9"/>
      <c r="J316" s="14"/>
      <c r="K316" s="15" t="str">
        <f>IF(OR(E316="",F316="",G316=""),"",IF(E316&lt;&gt;计划参数!$C$2,"",IF(F316="股票期权",IFERROR(LOOKUP(G316,计划参数!$D$12:$D$15,计划参数!$C$12:$C$15),""),IF(F316="限制性股票",计划参数!$C$10,""))))</f>
        <v/>
      </c>
      <c r="L316" s="15" t="str">
        <f>IF(AND(E316=计划参数!$C$2,F316="限制性股票",G316&gt;=计划参数!$D$9),计划参数!$C$9,"")</f>
        <v/>
      </c>
      <c r="M316" s="9"/>
      <c r="N316" s="14"/>
      <c r="O316" s="14"/>
      <c r="P316" s="13"/>
      <c r="Q316" s="9"/>
      <c r="R316" s="13"/>
      <c r="S316" s="15" t="str">
        <f t="shared" si="62"/>
        <v/>
      </c>
      <c r="T316" s="15" t="str">
        <f t="shared" si="63"/>
        <v/>
      </c>
      <c r="U316" s="15" t="str">
        <f t="shared" si="64"/>
        <v/>
      </c>
      <c r="V316" s="15" t="str">
        <f t="shared" si="65"/>
        <v/>
      </c>
      <c r="W316" s="16" t="str">
        <f>IF(V316="","",VLOOKUP(V316,税率及规则!$A$2:$C$8,2,TRUE))</f>
        <v/>
      </c>
      <c r="X316" s="15" t="str">
        <f>IF(V316="","",VLOOKUP(V316,税率及规则!$A$2:$C$8,3,TRUE))</f>
        <v/>
      </c>
      <c r="Y316" s="15" t="str">
        <f t="shared" si="66"/>
        <v/>
      </c>
      <c r="Z316" s="15" t="str">
        <f>IF(U316="","",MAX(0,U316*VLOOKUP(U316,税率及规则!$A$2:$C$8,2,TRUE)-VLOOKUP(U316,税率及规则!$A$2:$C$8,3,TRUE)))</f>
        <v/>
      </c>
      <c r="AA316" s="15" t="str">
        <f t="shared" si="67"/>
        <v/>
      </c>
      <c r="AB316" s="17" t="str">
        <f t="shared" si="68"/>
        <v/>
      </c>
      <c r="AC316" s="17" t="str">
        <f t="shared" si="69"/>
        <v/>
      </c>
      <c r="AD316" s="4" t="str">
        <f>IF(A316="","",IF(COUNTIF($A$2:$A$501,A316)&gt;1,"异常：事件编号重复",IF(OR(C316="",D316="",E316="",F316="",G316=""),"异常：必填项缺失",IF(AND(F316="其他股权激励",O316=""),"异常：其他股权激励所得缺失",IF(AND(F316&lt;&gt;"其他股权激励",OR(I316="",J316="")),"异常：数量或市场价缺失",IF(AND(F316&lt;&gt;"其他股权激励",OR(I316&lt;=0,J316&lt;0)),"异常：数量或价格无效",IF(AND(F316="限制性股票",OR(M316&lt;=0,N316&lt;0,I316&gt;M316)),"异常：个人获授或出资数据无效",IF(AND(IFERROR(INDEX(计划参数!$J$2:$J$501,MATCH(C316,计划参数!$I$2:$I$501,0)),"")&lt;&gt;"",D316&lt;&gt;IFERROR(INDEX(计划参数!$J$2:$J$501,MATCH(C316,计划参数!$I$2:$I$501,0)),"")),"异常：姓名与员工主数据不一致",IF(S316&lt;0,"异常：原始所得为负，已按0计税",IF(OR(AND(F316="股票期权",K316=""),AND(F316="限制性股票",OR(K316="",L316=""))),"异常：计划参数缺失",IF(COUNTIF(计划参数!$I$2:$I$501,C316)=0,"提示：员工编号未在主数据",IF(Q316&lt;&gt;"已备案","提示：未确认备案","正常"))))))))))))</f>
        <v/>
      </c>
      <c r="AE316" s="9"/>
      <c r="AF316" s="4" t="str">
        <f>IF(C316="","",IF(COUNTIF($C$2:C316,C316)=1,MAX($AF$1:AF315)+1,""))</f>
        <v/>
      </c>
      <c r="AG316" s="4" t="str">
        <f>IF(C316="","",COUNTIF($C$2:C316,C316))</f>
        <v/>
      </c>
      <c r="AH316" s="4" t="str">
        <f t="shared" si="70"/>
        <v/>
      </c>
      <c r="AI316" s="4" t="str">
        <f t="shared" si="71"/>
        <v/>
      </c>
      <c r="AJ316" s="4" t="str">
        <f t="shared" si="72"/>
        <v/>
      </c>
      <c r="AK316" s="15" t="str">
        <f>IF(A316="","",SUMIFS(分期缴税台账!$K$2:$K$501,分期缴税台账!$T$2:$T$501,A316,分期缴税台账!$Q$2:$Q$501,"有效"))</f>
        <v/>
      </c>
      <c r="AL316" s="15" t="str">
        <f t="shared" si="73"/>
        <v/>
      </c>
      <c r="AM316" s="4" t="str">
        <f t="shared" si="74"/>
        <v/>
      </c>
    </row>
    <row r="317" spans="1:39" x14ac:dyDescent="0.3">
      <c r="A317" s="9"/>
      <c r="B317" s="4" t="str">
        <f t="shared" si="60"/>
        <v/>
      </c>
      <c r="C317" s="9"/>
      <c r="D317" s="9"/>
      <c r="E317" s="9"/>
      <c r="F317" s="9"/>
      <c r="G317" s="13"/>
      <c r="H317" s="4" t="str">
        <f t="shared" si="61"/>
        <v/>
      </c>
      <c r="I317" s="9"/>
      <c r="J317" s="14"/>
      <c r="K317" s="15" t="str">
        <f>IF(OR(E317="",F317="",G317=""),"",IF(E317&lt;&gt;计划参数!$C$2,"",IF(F317="股票期权",IFERROR(LOOKUP(G317,计划参数!$D$12:$D$15,计划参数!$C$12:$C$15),""),IF(F317="限制性股票",计划参数!$C$10,""))))</f>
        <v/>
      </c>
      <c r="L317" s="15" t="str">
        <f>IF(AND(E317=计划参数!$C$2,F317="限制性股票",G317&gt;=计划参数!$D$9),计划参数!$C$9,"")</f>
        <v/>
      </c>
      <c r="M317" s="9"/>
      <c r="N317" s="14"/>
      <c r="O317" s="14"/>
      <c r="P317" s="13"/>
      <c r="Q317" s="9"/>
      <c r="R317" s="13"/>
      <c r="S317" s="15" t="str">
        <f t="shared" si="62"/>
        <v/>
      </c>
      <c r="T317" s="15" t="str">
        <f t="shared" si="63"/>
        <v/>
      </c>
      <c r="U317" s="15" t="str">
        <f t="shared" si="64"/>
        <v/>
      </c>
      <c r="V317" s="15" t="str">
        <f t="shared" si="65"/>
        <v/>
      </c>
      <c r="W317" s="16" t="str">
        <f>IF(V317="","",VLOOKUP(V317,税率及规则!$A$2:$C$8,2,TRUE))</f>
        <v/>
      </c>
      <c r="X317" s="15" t="str">
        <f>IF(V317="","",VLOOKUP(V317,税率及规则!$A$2:$C$8,3,TRUE))</f>
        <v/>
      </c>
      <c r="Y317" s="15" t="str">
        <f t="shared" si="66"/>
        <v/>
      </c>
      <c r="Z317" s="15" t="str">
        <f>IF(U317="","",MAX(0,U317*VLOOKUP(U317,税率及规则!$A$2:$C$8,2,TRUE)-VLOOKUP(U317,税率及规则!$A$2:$C$8,3,TRUE)))</f>
        <v/>
      </c>
      <c r="AA317" s="15" t="str">
        <f t="shared" si="67"/>
        <v/>
      </c>
      <c r="AB317" s="17" t="str">
        <f t="shared" si="68"/>
        <v/>
      </c>
      <c r="AC317" s="17" t="str">
        <f t="shared" si="69"/>
        <v/>
      </c>
      <c r="AD317" s="4" t="str">
        <f>IF(A317="","",IF(COUNTIF($A$2:$A$501,A317)&gt;1,"异常：事件编号重复",IF(OR(C317="",D317="",E317="",F317="",G317=""),"异常：必填项缺失",IF(AND(F317="其他股权激励",O317=""),"异常：其他股权激励所得缺失",IF(AND(F317&lt;&gt;"其他股权激励",OR(I317="",J317="")),"异常：数量或市场价缺失",IF(AND(F317&lt;&gt;"其他股权激励",OR(I317&lt;=0,J317&lt;0)),"异常：数量或价格无效",IF(AND(F317="限制性股票",OR(M317&lt;=0,N317&lt;0,I317&gt;M317)),"异常：个人获授或出资数据无效",IF(AND(IFERROR(INDEX(计划参数!$J$2:$J$501,MATCH(C317,计划参数!$I$2:$I$501,0)),"")&lt;&gt;"",D317&lt;&gt;IFERROR(INDEX(计划参数!$J$2:$J$501,MATCH(C317,计划参数!$I$2:$I$501,0)),"")),"异常：姓名与员工主数据不一致",IF(S317&lt;0,"异常：原始所得为负，已按0计税",IF(OR(AND(F317="股票期权",K317=""),AND(F317="限制性股票",OR(K317="",L317=""))),"异常：计划参数缺失",IF(COUNTIF(计划参数!$I$2:$I$501,C317)=0,"提示：员工编号未在主数据",IF(Q317&lt;&gt;"已备案","提示：未确认备案","正常"))))))))))))</f>
        <v/>
      </c>
      <c r="AE317" s="9"/>
      <c r="AF317" s="4" t="str">
        <f>IF(C317="","",IF(COUNTIF($C$2:C317,C317)=1,MAX($AF$1:AF316)+1,""))</f>
        <v/>
      </c>
      <c r="AG317" s="4" t="str">
        <f>IF(C317="","",COUNTIF($C$2:C317,C317))</f>
        <v/>
      </c>
      <c r="AH317" s="4" t="str">
        <f t="shared" si="70"/>
        <v/>
      </c>
      <c r="AI317" s="4" t="str">
        <f t="shared" si="71"/>
        <v/>
      </c>
      <c r="AJ317" s="4" t="str">
        <f t="shared" si="72"/>
        <v/>
      </c>
      <c r="AK317" s="15" t="str">
        <f>IF(A317="","",SUMIFS(分期缴税台账!$K$2:$K$501,分期缴税台账!$T$2:$T$501,A317,分期缴税台账!$Q$2:$Q$501,"有效"))</f>
        <v/>
      </c>
      <c r="AL317" s="15" t="str">
        <f t="shared" si="73"/>
        <v/>
      </c>
      <c r="AM317" s="4" t="str">
        <f t="shared" si="74"/>
        <v/>
      </c>
    </row>
    <row r="318" spans="1:39" x14ac:dyDescent="0.3">
      <c r="A318" s="9"/>
      <c r="B318" s="4" t="str">
        <f t="shared" si="60"/>
        <v/>
      </c>
      <c r="C318" s="9"/>
      <c r="D318" s="9"/>
      <c r="E318" s="9"/>
      <c r="F318" s="9"/>
      <c r="G318" s="13"/>
      <c r="H318" s="4" t="str">
        <f t="shared" si="61"/>
        <v/>
      </c>
      <c r="I318" s="9"/>
      <c r="J318" s="14"/>
      <c r="K318" s="15" t="str">
        <f>IF(OR(E318="",F318="",G318=""),"",IF(E318&lt;&gt;计划参数!$C$2,"",IF(F318="股票期权",IFERROR(LOOKUP(G318,计划参数!$D$12:$D$15,计划参数!$C$12:$C$15),""),IF(F318="限制性股票",计划参数!$C$10,""))))</f>
        <v/>
      </c>
      <c r="L318" s="15" t="str">
        <f>IF(AND(E318=计划参数!$C$2,F318="限制性股票",G318&gt;=计划参数!$D$9),计划参数!$C$9,"")</f>
        <v/>
      </c>
      <c r="M318" s="9"/>
      <c r="N318" s="14"/>
      <c r="O318" s="14"/>
      <c r="P318" s="13"/>
      <c r="Q318" s="9"/>
      <c r="R318" s="13"/>
      <c r="S318" s="15" t="str">
        <f t="shared" si="62"/>
        <v/>
      </c>
      <c r="T318" s="15" t="str">
        <f t="shared" si="63"/>
        <v/>
      </c>
      <c r="U318" s="15" t="str">
        <f t="shared" si="64"/>
        <v/>
      </c>
      <c r="V318" s="15" t="str">
        <f t="shared" si="65"/>
        <v/>
      </c>
      <c r="W318" s="16" t="str">
        <f>IF(V318="","",VLOOKUP(V318,税率及规则!$A$2:$C$8,2,TRUE))</f>
        <v/>
      </c>
      <c r="X318" s="15" t="str">
        <f>IF(V318="","",VLOOKUP(V318,税率及规则!$A$2:$C$8,3,TRUE))</f>
        <v/>
      </c>
      <c r="Y318" s="15" t="str">
        <f t="shared" si="66"/>
        <v/>
      </c>
      <c r="Z318" s="15" t="str">
        <f>IF(U318="","",MAX(0,U318*VLOOKUP(U318,税率及规则!$A$2:$C$8,2,TRUE)-VLOOKUP(U318,税率及规则!$A$2:$C$8,3,TRUE)))</f>
        <v/>
      </c>
      <c r="AA318" s="15" t="str">
        <f t="shared" si="67"/>
        <v/>
      </c>
      <c r="AB318" s="17" t="str">
        <f t="shared" si="68"/>
        <v/>
      </c>
      <c r="AC318" s="17" t="str">
        <f t="shared" si="69"/>
        <v/>
      </c>
      <c r="AD318" s="4" t="str">
        <f>IF(A318="","",IF(COUNTIF($A$2:$A$501,A318)&gt;1,"异常：事件编号重复",IF(OR(C318="",D318="",E318="",F318="",G318=""),"异常：必填项缺失",IF(AND(F318="其他股权激励",O318=""),"异常：其他股权激励所得缺失",IF(AND(F318&lt;&gt;"其他股权激励",OR(I318="",J318="")),"异常：数量或市场价缺失",IF(AND(F318&lt;&gt;"其他股权激励",OR(I318&lt;=0,J318&lt;0)),"异常：数量或价格无效",IF(AND(F318="限制性股票",OR(M318&lt;=0,N318&lt;0,I318&gt;M318)),"异常：个人获授或出资数据无效",IF(AND(IFERROR(INDEX(计划参数!$J$2:$J$501,MATCH(C318,计划参数!$I$2:$I$501,0)),"")&lt;&gt;"",D318&lt;&gt;IFERROR(INDEX(计划参数!$J$2:$J$501,MATCH(C318,计划参数!$I$2:$I$501,0)),"")),"异常：姓名与员工主数据不一致",IF(S318&lt;0,"异常：原始所得为负，已按0计税",IF(OR(AND(F318="股票期权",K318=""),AND(F318="限制性股票",OR(K318="",L318=""))),"异常：计划参数缺失",IF(COUNTIF(计划参数!$I$2:$I$501,C318)=0,"提示：员工编号未在主数据",IF(Q318&lt;&gt;"已备案","提示：未确认备案","正常"))))))))))))</f>
        <v/>
      </c>
      <c r="AE318" s="9"/>
      <c r="AF318" s="4" t="str">
        <f>IF(C318="","",IF(COUNTIF($C$2:C318,C318)=1,MAX($AF$1:AF317)+1,""))</f>
        <v/>
      </c>
      <c r="AG318" s="4" t="str">
        <f>IF(C318="","",COUNTIF($C$2:C318,C318))</f>
        <v/>
      </c>
      <c r="AH318" s="4" t="str">
        <f t="shared" si="70"/>
        <v/>
      </c>
      <c r="AI318" s="4" t="str">
        <f t="shared" si="71"/>
        <v/>
      </c>
      <c r="AJ318" s="4" t="str">
        <f t="shared" si="72"/>
        <v/>
      </c>
      <c r="AK318" s="15" t="str">
        <f>IF(A318="","",SUMIFS(分期缴税台账!$K$2:$K$501,分期缴税台账!$T$2:$T$501,A318,分期缴税台账!$Q$2:$Q$501,"有效"))</f>
        <v/>
      </c>
      <c r="AL318" s="15" t="str">
        <f t="shared" si="73"/>
        <v/>
      </c>
      <c r="AM318" s="4" t="str">
        <f t="shared" si="74"/>
        <v/>
      </c>
    </row>
    <row r="319" spans="1:39" x14ac:dyDescent="0.3">
      <c r="A319" s="9"/>
      <c r="B319" s="4" t="str">
        <f t="shared" si="60"/>
        <v/>
      </c>
      <c r="C319" s="9"/>
      <c r="D319" s="9"/>
      <c r="E319" s="9"/>
      <c r="F319" s="9"/>
      <c r="G319" s="13"/>
      <c r="H319" s="4" t="str">
        <f t="shared" si="61"/>
        <v/>
      </c>
      <c r="I319" s="9"/>
      <c r="J319" s="14"/>
      <c r="K319" s="15" t="str">
        <f>IF(OR(E319="",F319="",G319=""),"",IF(E319&lt;&gt;计划参数!$C$2,"",IF(F319="股票期权",IFERROR(LOOKUP(G319,计划参数!$D$12:$D$15,计划参数!$C$12:$C$15),""),IF(F319="限制性股票",计划参数!$C$10,""))))</f>
        <v/>
      </c>
      <c r="L319" s="15" t="str">
        <f>IF(AND(E319=计划参数!$C$2,F319="限制性股票",G319&gt;=计划参数!$D$9),计划参数!$C$9,"")</f>
        <v/>
      </c>
      <c r="M319" s="9"/>
      <c r="N319" s="14"/>
      <c r="O319" s="14"/>
      <c r="P319" s="13"/>
      <c r="Q319" s="9"/>
      <c r="R319" s="13"/>
      <c r="S319" s="15" t="str">
        <f t="shared" si="62"/>
        <v/>
      </c>
      <c r="T319" s="15" t="str">
        <f t="shared" si="63"/>
        <v/>
      </c>
      <c r="U319" s="15" t="str">
        <f t="shared" si="64"/>
        <v/>
      </c>
      <c r="V319" s="15" t="str">
        <f t="shared" si="65"/>
        <v/>
      </c>
      <c r="W319" s="16" t="str">
        <f>IF(V319="","",VLOOKUP(V319,税率及规则!$A$2:$C$8,2,TRUE))</f>
        <v/>
      </c>
      <c r="X319" s="15" t="str">
        <f>IF(V319="","",VLOOKUP(V319,税率及规则!$A$2:$C$8,3,TRUE))</f>
        <v/>
      </c>
      <c r="Y319" s="15" t="str">
        <f t="shared" si="66"/>
        <v/>
      </c>
      <c r="Z319" s="15" t="str">
        <f>IF(U319="","",MAX(0,U319*VLOOKUP(U319,税率及规则!$A$2:$C$8,2,TRUE)-VLOOKUP(U319,税率及规则!$A$2:$C$8,3,TRUE)))</f>
        <v/>
      </c>
      <c r="AA319" s="15" t="str">
        <f t="shared" si="67"/>
        <v/>
      </c>
      <c r="AB319" s="17" t="str">
        <f t="shared" si="68"/>
        <v/>
      </c>
      <c r="AC319" s="17" t="str">
        <f t="shared" si="69"/>
        <v/>
      </c>
      <c r="AD319" s="4" t="str">
        <f>IF(A319="","",IF(COUNTIF($A$2:$A$501,A319)&gt;1,"异常：事件编号重复",IF(OR(C319="",D319="",E319="",F319="",G319=""),"异常：必填项缺失",IF(AND(F319="其他股权激励",O319=""),"异常：其他股权激励所得缺失",IF(AND(F319&lt;&gt;"其他股权激励",OR(I319="",J319="")),"异常：数量或市场价缺失",IF(AND(F319&lt;&gt;"其他股权激励",OR(I319&lt;=0,J319&lt;0)),"异常：数量或价格无效",IF(AND(F319="限制性股票",OR(M319&lt;=0,N319&lt;0,I319&gt;M319)),"异常：个人获授或出资数据无效",IF(AND(IFERROR(INDEX(计划参数!$J$2:$J$501,MATCH(C319,计划参数!$I$2:$I$501,0)),"")&lt;&gt;"",D319&lt;&gt;IFERROR(INDEX(计划参数!$J$2:$J$501,MATCH(C319,计划参数!$I$2:$I$501,0)),"")),"异常：姓名与员工主数据不一致",IF(S319&lt;0,"异常：原始所得为负，已按0计税",IF(OR(AND(F319="股票期权",K319=""),AND(F319="限制性股票",OR(K319="",L319=""))),"异常：计划参数缺失",IF(COUNTIF(计划参数!$I$2:$I$501,C319)=0,"提示：员工编号未在主数据",IF(Q319&lt;&gt;"已备案","提示：未确认备案","正常"))))))))))))</f>
        <v/>
      </c>
      <c r="AE319" s="9"/>
      <c r="AF319" s="4" t="str">
        <f>IF(C319="","",IF(COUNTIF($C$2:C319,C319)=1,MAX($AF$1:AF318)+1,""))</f>
        <v/>
      </c>
      <c r="AG319" s="4" t="str">
        <f>IF(C319="","",COUNTIF($C$2:C319,C319))</f>
        <v/>
      </c>
      <c r="AH319" s="4" t="str">
        <f t="shared" si="70"/>
        <v/>
      </c>
      <c r="AI319" s="4" t="str">
        <f t="shared" si="71"/>
        <v/>
      </c>
      <c r="AJ319" s="4" t="str">
        <f t="shared" si="72"/>
        <v/>
      </c>
      <c r="AK319" s="15" t="str">
        <f>IF(A319="","",SUMIFS(分期缴税台账!$K$2:$K$501,分期缴税台账!$T$2:$T$501,A319,分期缴税台账!$Q$2:$Q$501,"有效"))</f>
        <v/>
      </c>
      <c r="AL319" s="15" t="str">
        <f t="shared" si="73"/>
        <v/>
      </c>
      <c r="AM319" s="4" t="str">
        <f t="shared" si="74"/>
        <v/>
      </c>
    </row>
    <row r="320" spans="1:39" x14ac:dyDescent="0.3">
      <c r="A320" s="9"/>
      <c r="B320" s="4" t="str">
        <f t="shared" si="60"/>
        <v/>
      </c>
      <c r="C320" s="9"/>
      <c r="D320" s="9"/>
      <c r="E320" s="9"/>
      <c r="F320" s="9"/>
      <c r="G320" s="13"/>
      <c r="H320" s="4" t="str">
        <f t="shared" si="61"/>
        <v/>
      </c>
      <c r="I320" s="9"/>
      <c r="J320" s="14"/>
      <c r="K320" s="15" t="str">
        <f>IF(OR(E320="",F320="",G320=""),"",IF(E320&lt;&gt;计划参数!$C$2,"",IF(F320="股票期权",IFERROR(LOOKUP(G320,计划参数!$D$12:$D$15,计划参数!$C$12:$C$15),""),IF(F320="限制性股票",计划参数!$C$10,""))))</f>
        <v/>
      </c>
      <c r="L320" s="15" t="str">
        <f>IF(AND(E320=计划参数!$C$2,F320="限制性股票",G320&gt;=计划参数!$D$9),计划参数!$C$9,"")</f>
        <v/>
      </c>
      <c r="M320" s="9"/>
      <c r="N320" s="14"/>
      <c r="O320" s="14"/>
      <c r="P320" s="13"/>
      <c r="Q320" s="9"/>
      <c r="R320" s="13"/>
      <c r="S320" s="15" t="str">
        <f t="shared" si="62"/>
        <v/>
      </c>
      <c r="T320" s="15" t="str">
        <f t="shared" si="63"/>
        <v/>
      </c>
      <c r="U320" s="15" t="str">
        <f t="shared" si="64"/>
        <v/>
      </c>
      <c r="V320" s="15" t="str">
        <f t="shared" si="65"/>
        <v/>
      </c>
      <c r="W320" s="16" t="str">
        <f>IF(V320="","",VLOOKUP(V320,税率及规则!$A$2:$C$8,2,TRUE))</f>
        <v/>
      </c>
      <c r="X320" s="15" t="str">
        <f>IF(V320="","",VLOOKUP(V320,税率及规则!$A$2:$C$8,3,TRUE))</f>
        <v/>
      </c>
      <c r="Y320" s="15" t="str">
        <f t="shared" si="66"/>
        <v/>
      </c>
      <c r="Z320" s="15" t="str">
        <f>IF(U320="","",MAX(0,U320*VLOOKUP(U320,税率及规则!$A$2:$C$8,2,TRUE)-VLOOKUP(U320,税率及规则!$A$2:$C$8,3,TRUE)))</f>
        <v/>
      </c>
      <c r="AA320" s="15" t="str">
        <f t="shared" si="67"/>
        <v/>
      </c>
      <c r="AB320" s="17" t="str">
        <f t="shared" si="68"/>
        <v/>
      </c>
      <c r="AC320" s="17" t="str">
        <f t="shared" si="69"/>
        <v/>
      </c>
      <c r="AD320" s="4" t="str">
        <f>IF(A320="","",IF(COUNTIF($A$2:$A$501,A320)&gt;1,"异常：事件编号重复",IF(OR(C320="",D320="",E320="",F320="",G320=""),"异常：必填项缺失",IF(AND(F320="其他股权激励",O320=""),"异常：其他股权激励所得缺失",IF(AND(F320&lt;&gt;"其他股权激励",OR(I320="",J320="")),"异常：数量或市场价缺失",IF(AND(F320&lt;&gt;"其他股权激励",OR(I320&lt;=0,J320&lt;0)),"异常：数量或价格无效",IF(AND(F320="限制性股票",OR(M320&lt;=0,N320&lt;0,I320&gt;M320)),"异常：个人获授或出资数据无效",IF(AND(IFERROR(INDEX(计划参数!$J$2:$J$501,MATCH(C320,计划参数!$I$2:$I$501,0)),"")&lt;&gt;"",D320&lt;&gt;IFERROR(INDEX(计划参数!$J$2:$J$501,MATCH(C320,计划参数!$I$2:$I$501,0)),"")),"异常：姓名与员工主数据不一致",IF(S320&lt;0,"异常：原始所得为负，已按0计税",IF(OR(AND(F320="股票期权",K320=""),AND(F320="限制性股票",OR(K320="",L320=""))),"异常：计划参数缺失",IF(COUNTIF(计划参数!$I$2:$I$501,C320)=0,"提示：员工编号未在主数据",IF(Q320&lt;&gt;"已备案","提示：未确认备案","正常"))))))))))))</f>
        <v/>
      </c>
      <c r="AE320" s="9"/>
      <c r="AF320" s="4" t="str">
        <f>IF(C320="","",IF(COUNTIF($C$2:C320,C320)=1,MAX($AF$1:AF319)+1,""))</f>
        <v/>
      </c>
      <c r="AG320" s="4" t="str">
        <f>IF(C320="","",COUNTIF($C$2:C320,C320))</f>
        <v/>
      </c>
      <c r="AH320" s="4" t="str">
        <f t="shared" si="70"/>
        <v/>
      </c>
      <c r="AI320" s="4" t="str">
        <f t="shared" si="71"/>
        <v/>
      </c>
      <c r="AJ320" s="4" t="str">
        <f t="shared" si="72"/>
        <v/>
      </c>
      <c r="AK320" s="15" t="str">
        <f>IF(A320="","",SUMIFS(分期缴税台账!$K$2:$K$501,分期缴税台账!$T$2:$T$501,A320,分期缴税台账!$Q$2:$Q$501,"有效"))</f>
        <v/>
      </c>
      <c r="AL320" s="15" t="str">
        <f t="shared" si="73"/>
        <v/>
      </c>
      <c r="AM320" s="4" t="str">
        <f t="shared" si="74"/>
        <v/>
      </c>
    </row>
    <row r="321" spans="1:39" x14ac:dyDescent="0.3">
      <c r="A321" s="9"/>
      <c r="B321" s="4" t="str">
        <f t="shared" si="60"/>
        <v/>
      </c>
      <c r="C321" s="9"/>
      <c r="D321" s="9"/>
      <c r="E321" s="9"/>
      <c r="F321" s="9"/>
      <c r="G321" s="13"/>
      <c r="H321" s="4" t="str">
        <f t="shared" si="61"/>
        <v/>
      </c>
      <c r="I321" s="9"/>
      <c r="J321" s="14"/>
      <c r="K321" s="15" t="str">
        <f>IF(OR(E321="",F321="",G321=""),"",IF(E321&lt;&gt;计划参数!$C$2,"",IF(F321="股票期权",IFERROR(LOOKUP(G321,计划参数!$D$12:$D$15,计划参数!$C$12:$C$15),""),IF(F321="限制性股票",计划参数!$C$10,""))))</f>
        <v/>
      </c>
      <c r="L321" s="15" t="str">
        <f>IF(AND(E321=计划参数!$C$2,F321="限制性股票",G321&gt;=计划参数!$D$9),计划参数!$C$9,"")</f>
        <v/>
      </c>
      <c r="M321" s="9"/>
      <c r="N321" s="14"/>
      <c r="O321" s="14"/>
      <c r="P321" s="13"/>
      <c r="Q321" s="9"/>
      <c r="R321" s="13"/>
      <c r="S321" s="15" t="str">
        <f t="shared" si="62"/>
        <v/>
      </c>
      <c r="T321" s="15" t="str">
        <f t="shared" si="63"/>
        <v/>
      </c>
      <c r="U321" s="15" t="str">
        <f t="shared" si="64"/>
        <v/>
      </c>
      <c r="V321" s="15" t="str">
        <f t="shared" si="65"/>
        <v/>
      </c>
      <c r="W321" s="16" t="str">
        <f>IF(V321="","",VLOOKUP(V321,税率及规则!$A$2:$C$8,2,TRUE))</f>
        <v/>
      </c>
      <c r="X321" s="15" t="str">
        <f>IF(V321="","",VLOOKUP(V321,税率及规则!$A$2:$C$8,3,TRUE))</f>
        <v/>
      </c>
      <c r="Y321" s="15" t="str">
        <f t="shared" si="66"/>
        <v/>
      </c>
      <c r="Z321" s="15" t="str">
        <f>IF(U321="","",MAX(0,U321*VLOOKUP(U321,税率及规则!$A$2:$C$8,2,TRUE)-VLOOKUP(U321,税率及规则!$A$2:$C$8,3,TRUE)))</f>
        <v/>
      </c>
      <c r="AA321" s="15" t="str">
        <f t="shared" si="67"/>
        <v/>
      </c>
      <c r="AB321" s="17" t="str">
        <f t="shared" si="68"/>
        <v/>
      </c>
      <c r="AC321" s="17" t="str">
        <f t="shared" si="69"/>
        <v/>
      </c>
      <c r="AD321" s="4" t="str">
        <f>IF(A321="","",IF(COUNTIF($A$2:$A$501,A321)&gt;1,"异常：事件编号重复",IF(OR(C321="",D321="",E321="",F321="",G321=""),"异常：必填项缺失",IF(AND(F321="其他股权激励",O321=""),"异常：其他股权激励所得缺失",IF(AND(F321&lt;&gt;"其他股权激励",OR(I321="",J321="")),"异常：数量或市场价缺失",IF(AND(F321&lt;&gt;"其他股权激励",OR(I321&lt;=0,J321&lt;0)),"异常：数量或价格无效",IF(AND(F321="限制性股票",OR(M321&lt;=0,N321&lt;0,I321&gt;M321)),"异常：个人获授或出资数据无效",IF(AND(IFERROR(INDEX(计划参数!$J$2:$J$501,MATCH(C321,计划参数!$I$2:$I$501,0)),"")&lt;&gt;"",D321&lt;&gt;IFERROR(INDEX(计划参数!$J$2:$J$501,MATCH(C321,计划参数!$I$2:$I$501,0)),"")),"异常：姓名与员工主数据不一致",IF(S321&lt;0,"异常：原始所得为负，已按0计税",IF(OR(AND(F321="股票期权",K321=""),AND(F321="限制性股票",OR(K321="",L321=""))),"异常：计划参数缺失",IF(COUNTIF(计划参数!$I$2:$I$501,C321)=0,"提示：员工编号未在主数据",IF(Q321&lt;&gt;"已备案","提示：未确认备案","正常"))))))))))))</f>
        <v/>
      </c>
      <c r="AE321" s="9"/>
      <c r="AF321" s="4" t="str">
        <f>IF(C321="","",IF(COUNTIF($C$2:C321,C321)=1,MAX($AF$1:AF320)+1,""))</f>
        <v/>
      </c>
      <c r="AG321" s="4" t="str">
        <f>IF(C321="","",COUNTIF($C$2:C321,C321))</f>
        <v/>
      </c>
      <c r="AH321" s="4" t="str">
        <f t="shared" si="70"/>
        <v/>
      </c>
      <c r="AI321" s="4" t="str">
        <f t="shared" si="71"/>
        <v/>
      </c>
      <c r="AJ321" s="4" t="str">
        <f t="shared" si="72"/>
        <v/>
      </c>
      <c r="AK321" s="15" t="str">
        <f>IF(A321="","",SUMIFS(分期缴税台账!$K$2:$K$501,分期缴税台账!$T$2:$T$501,A321,分期缴税台账!$Q$2:$Q$501,"有效"))</f>
        <v/>
      </c>
      <c r="AL321" s="15" t="str">
        <f t="shared" si="73"/>
        <v/>
      </c>
      <c r="AM321" s="4" t="str">
        <f t="shared" si="74"/>
        <v/>
      </c>
    </row>
    <row r="322" spans="1:39" x14ac:dyDescent="0.3">
      <c r="A322" s="9"/>
      <c r="B322" s="4" t="str">
        <f t="shared" ref="B322:B385" si="75">IF(A322="","",A322&amp;"-TAX")</f>
        <v/>
      </c>
      <c r="C322" s="9"/>
      <c r="D322" s="9"/>
      <c r="E322" s="9"/>
      <c r="F322" s="9"/>
      <c r="G322" s="13"/>
      <c r="H322" s="4" t="str">
        <f t="shared" ref="H322:H385" si="76">IF(G322="","",YEAR(G322))</f>
        <v/>
      </c>
      <c r="I322" s="9"/>
      <c r="J322" s="14"/>
      <c r="K322" s="15" t="str">
        <f>IF(OR(E322="",F322="",G322=""),"",IF(E322&lt;&gt;计划参数!$C$2,"",IF(F322="股票期权",IFERROR(LOOKUP(G322,计划参数!$D$12:$D$15,计划参数!$C$12:$C$15),""),IF(F322="限制性股票",计划参数!$C$10,""))))</f>
        <v/>
      </c>
      <c r="L322" s="15" t="str">
        <f>IF(AND(E322=计划参数!$C$2,F322="限制性股票",G322&gt;=计划参数!$D$9),计划参数!$C$9,"")</f>
        <v/>
      </c>
      <c r="M322" s="9"/>
      <c r="N322" s="14"/>
      <c r="O322" s="14"/>
      <c r="P322" s="13"/>
      <c r="Q322" s="9"/>
      <c r="R322" s="13"/>
      <c r="S322" s="15" t="str">
        <f t="shared" ref="S322:S385" si="77">IF(OR(A322="",C322="",F322="",G322=""),"",IF(F322="股票期权",IF(OR(I322="",J322="",K322=""),"",(J322-K322)*I322),IF(F322="限制性股票",IF(OR(L322="",M322="",M322&lt;=0,N322=""),"",((L322+J322)/2)*I322-N322*I322/M322),IF(F322="其他股权激励",IF(O322="","",O322),""))))</f>
        <v/>
      </c>
      <c r="T322" s="15" t="str">
        <f t="shared" ref="T322:T385" si="78">IF(S322="","",MAX(0,S322))</f>
        <v/>
      </c>
      <c r="U322" s="15" t="str">
        <f t="shared" ref="U322:U385" si="79">IF(T322="","",SUMIFS($T$2:$T$501,$C$2:$C$501,C322,$H$2:$H$501,H322,$G$2:$G$501,"&lt;"&amp;G322)+SUMIFS($T$2:$T$501,$C$2:$C$501,C322,$H$2:$H$501,H322,$G$2:$G$501,G322,$A$2:$A$501,"&lt;"&amp;A322))</f>
        <v/>
      </c>
      <c r="V322" s="15" t="str">
        <f t="shared" ref="V322:V385" si="80">IF(T322="","",U322+T322)</f>
        <v/>
      </c>
      <c r="W322" s="16" t="str">
        <f>IF(V322="","",VLOOKUP(V322,税率及规则!$A$2:$C$8,2,TRUE))</f>
        <v/>
      </c>
      <c r="X322" s="15" t="str">
        <f>IF(V322="","",VLOOKUP(V322,税率及规则!$A$2:$C$8,3,TRUE))</f>
        <v/>
      </c>
      <c r="Y322" s="15" t="str">
        <f t="shared" ref="Y322:Y385" si="81">IF(V322="","",MAX(0,V322*W322-X322))</f>
        <v/>
      </c>
      <c r="Z322" s="15" t="str">
        <f>IF(U322="","",MAX(0,U322*VLOOKUP(U322,税率及规则!$A$2:$C$8,2,TRUE)-VLOOKUP(U322,税率及规则!$A$2:$C$8,3,TRUE)))</f>
        <v/>
      </c>
      <c r="AA322" s="15" t="str">
        <f t="shared" ref="AA322:AA385" si="82">IF(Y322="","",MAX(0,Y322-Z322))</f>
        <v/>
      </c>
      <c r="AB322" s="17" t="str">
        <f t="shared" ref="AB322:AB385" si="83">IF(G322="","",G322)</f>
        <v/>
      </c>
      <c r="AC322" s="17" t="str">
        <f t="shared" ref="AC322:AC385" si="84">IF(AB322="","",IF(DAY(AB322)=DAY(EOMONTH(AB322,0)),EOMONTH(EDATE(AB322,36),0),EDATE(AB322,36)))</f>
        <v/>
      </c>
      <c r="AD322" s="4" t="str">
        <f>IF(A322="","",IF(COUNTIF($A$2:$A$501,A322)&gt;1,"异常：事件编号重复",IF(OR(C322="",D322="",E322="",F322="",G322=""),"异常：必填项缺失",IF(AND(F322="其他股权激励",O322=""),"异常：其他股权激励所得缺失",IF(AND(F322&lt;&gt;"其他股权激励",OR(I322="",J322="")),"异常：数量或市场价缺失",IF(AND(F322&lt;&gt;"其他股权激励",OR(I322&lt;=0,J322&lt;0)),"异常：数量或价格无效",IF(AND(F322="限制性股票",OR(M322&lt;=0,N322&lt;0,I322&gt;M322)),"异常：个人获授或出资数据无效",IF(AND(IFERROR(INDEX(计划参数!$J$2:$J$501,MATCH(C322,计划参数!$I$2:$I$501,0)),"")&lt;&gt;"",D322&lt;&gt;IFERROR(INDEX(计划参数!$J$2:$J$501,MATCH(C322,计划参数!$I$2:$I$501,0)),"")),"异常：姓名与员工主数据不一致",IF(S322&lt;0,"异常：原始所得为负，已按0计税",IF(OR(AND(F322="股票期权",K322=""),AND(F322="限制性股票",OR(K322="",L322=""))),"异常：计划参数缺失",IF(COUNTIF(计划参数!$I$2:$I$501,C322)=0,"提示：员工编号未在主数据",IF(Q322&lt;&gt;"已备案","提示：未确认备案","正常"))))))))))))</f>
        <v/>
      </c>
      <c r="AE322" s="9"/>
      <c r="AF322" s="4" t="str">
        <f>IF(C322="","",IF(COUNTIF($C$2:C322,C322)=1,MAX($AF$1:AF321)+1,""))</f>
        <v/>
      </c>
      <c r="AG322" s="4" t="str">
        <f>IF(C322="","",COUNTIF($C$2:C322,C322))</f>
        <v/>
      </c>
      <c r="AH322" s="4" t="str">
        <f t="shared" ref="AH322:AH385" si="85">IF(C322="","",C322&amp;"|"&amp;AG322)</f>
        <v/>
      </c>
      <c r="AI322" s="4" t="str">
        <f t="shared" ref="AI322:AI385" si="86">IF(OR(A322="",AA322&lt;=0),"",C322&amp;"|"&amp;H322&amp;"|"&amp;(COUNTIFS($C$2:$C$501,C322,$H$2:$H$501,H322,$AA$2:$AA$501,"&gt;0",$AC$2:$AC$501,"&lt;"&amp;AC322)+COUNTIFS($C$2:$C$501,C322,$H$2:$H$501,H322,$AA$2:$AA$501,"&gt;0",$AC$2:$AC$501,AC322,$A$2:$A$501,"&lt;="&amp;A322)))</f>
        <v/>
      </c>
      <c r="AJ322" s="4" t="str">
        <f t="shared" ref="AJ322:AJ385" si="87">IF(OR(A322="",AA322&lt;=0),"",C322&amp;"|"&amp;(COUNTIFS($C$2:$C$501,C322,$AA$2:$AA$501,"&gt;0",$AC$2:$AC$501,"&lt;"&amp;AC322)+COUNTIFS($C$2:$C$501,C322,$AA$2:$AA$501,"&gt;0",$AC$2:$AC$501,AC322,$A$2:$A$501,"&lt;="&amp;A322)))</f>
        <v/>
      </c>
      <c r="AK322" s="15" t="str">
        <f>IF(A322="","",SUMIFS(分期缴税台账!$K$2:$K$501,分期缴税台账!$T$2:$T$501,A322,分期缴税台账!$Q$2:$Q$501,"有效"))</f>
        <v/>
      </c>
      <c r="AL322" s="15" t="str">
        <f t="shared" ref="AL322:AL385" si="88">IF(AA322="","",MAX(0,AA322-AK322))</f>
        <v/>
      </c>
      <c r="AM322" s="4" t="str">
        <f t="shared" ref="AM322:AM385" si="89">IF(OR(A322="",AL322&lt;=0),"",C322&amp;"|"&amp;H322&amp;"|"&amp;(COUNTIFS($C$2:$C$501,C322,$H$2:$H$501,H322,$AL$2:$AL$501,"&gt;0",$AC$2:$AC$501,"&lt;"&amp;AC322)+COUNTIFS($C$2:$C$501,C322,$H$2:$H$501,H322,$AL$2:$AL$501,"&gt;0",$AC$2:$AC$501,AC322,$A$2:$A$501,"&lt;="&amp;A322)))</f>
        <v/>
      </c>
    </row>
    <row r="323" spans="1:39" x14ac:dyDescent="0.3">
      <c r="A323" s="9"/>
      <c r="B323" s="4" t="str">
        <f t="shared" si="75"/>
        <v/>
      </c>
      <c r="C323" s="9"/>
      <c r="D323" s="9"/>
      <c r="E323" s="9"/>
      <c r="F323" s="9"/>
      <c r="G323" s="13"/>
      <c r="H323" s="4" t="str">
        <f t="shared" si="76"/>
        <v/>
      </c>
      <c r="I323" s="9"/>
      <c r="J323" s="14"/>
      <c r="K323" s="15" t="str">
        <f>IF(OR(E323="",F323="",G323=""),"",IF(E323&lt;&gt;计划参数!$C$2,"",IF(F323="股票期权",IFERROR(LOOKUP(G323,计划参数!$D$12:$D$15,计划参数!$C$12:$C$15),""),IF(F323="限制性股票",计划参数!$C$10,""))))</f>
        <v/>
      </c>
      <c r="L323" s="15" t="str">
        <f>IF(AND(E323=计划参数!$C$2,F323="限制性股票",G323&gt;=计划参数!$D$9),计划参数!$C$9,"")</f>
        <v/>
      </c>
      <c r="M323" s="9"/>
      <c r="N323" s="14"/>
      <c r="O323" s="14"/>
      <c r="P323" s="13"/>
      <c r="Q323" s="9"/>
      <c r="R323" s="13"/>
      <c r="S323" s="15" t="str">
        <f t="shared" si="77"/>
        <v/>
      </c>
      <c r="T323" s="15" t="str">
        <f t="shared" si="78"/>
        <v/>
      </c>
      <c r="U323" s="15" t="str">
        <f t="shared" si="79"/>
        <v/>
      </c>
      <c r="V323" s="15" t="str">
        <f t="shared" si="80"/>
        <v/>
      </c>
      <c r="W323" s="16" t="str">
        <f>IF(V323="","",VLOOKUP(V323,税率及规则!$A$2:$C$8,2,TRUE))</f>
        <v/>
      </c>
      <c r="X323" s="15" t="str">
        <f>IF(V323="","",VLOOKUP(V323,税率及规则!$A$2:$C$8,3,TRUE))</f>
        <v/>
      </c>
      <c r="Y323" s="15" t="str">
        <f t="shared" si="81"/>
        <v/>
      </c>
      <c r="Z323" s="15" t="str">
        <f>IF(U323="","",MAX(0,U323*VLOOKUP(U323,税率及规则!$A$2:$C$8,2,TRUE)-VLOOKUP(U323,税率及规则!$A$2:$C$8,3,TRUE)))</f>
        <v/>
      </c>
      <c r="AA323" s="15" t="str">
        <f t="shared" si="82"/>
        <v/>
      </c>
      <c r="AB323" s="17" t="str">
        <f t="shared" si="83"/>
        <v/>
      </c>
      <c r="AC323" s="17" t="str">
        <f t="shared" si="84"/>
        <v/>
      </c>
      <c r="AD323" s="4" t="str">
        <f>IF(A323="","",IF(COUNTIF($A$2:$A$501,A323)&gt;1,"异常：事件编号重复",IF(OR(C323="",D323="",E323="",F323="",G323=""),"异常：必填项缺失",IF(AND(F323="其他股权激励",O323=""),"异常：其他股权激励所得缺失",IF(AND(F323&lt;&gt;"其他股权激励",OR(I323="",J323="")),"异常：数量或市场价缺失",IF(AND(F323&lt;&gt;"其他股权激励",OR(I323&lt;=0,J323&lt;0)),"异常：数量或价格无效",IF(AND(F323="限制性股票",OR(M323&lt;=0,N323&lt;0,I323&gt;M323)),"异常：个人获授或出资数据无效",IF(AND(IFERROR(INDEX(计划参数!$J$2:$J$501,MATCH(C323,计划参数!$I$2:$I$501,0)),"")&lt;&gt;"",D323&lt;&gt;IFERROR(INDEX(计划参数!$J$2:$J$501,MATCH(C323,计划参数!$I$2:$I$501,0)),"")),"异常：姓名与员工主数据不一致",IF(S323&lt;0,"异常：原始所得为负，已按0计税",IF(OR(AND(F323="股票期权",K323=""),AND(F323="限制性股票",OR(K323="",L323=""))),"异常：计划参数缺失",IF(COUNTIF(计划参数!$I$2:$I$501,C323)=0,"提示：员工编号未在主数据",IF(Q323&lt;&gt;"已备案","提示：未确认备案","正常"))))))))))))</f>
        <v/>
      </c>
      <c r="AE323" s="9"/>
      <c r="AF323" s="4" t="str">
        <f>IF(C323="","",IF(COUNTIF($C$2:C323,C323)=1,MAX($AF$1:AF322)+1,""))</f>
        <v/>
      </c>
      <c r="AG323" s="4" t="str">
        <f>IF(C323="","",COUNTIF($C$2:C323,C323))</f>
        <v/>
      </c>
      <c r="AH323" s="4" t="str">
        <f t="shared" si="85"/>
        <v/>
      </c>
      <c r="AI323" s="4" t="str">
        <f t="shared" si="86"/>
        <v/>
      </c>
      <c r="AJ323" s="4" t="str">
        <f t="shared" si="87"/>
        <v/>
      </c>
      <c r="AK323" s="15" t="str">
        <f>IF(A323="","",SUMIFS(分期缴税台账!$K$2:$K$501,分期缴税台账!$T$2:$T$501,A323,分期缴税台账!$Q$2:$Q$501,"有效"))</f>
        <v/>
      </c>
      <c r="AL323" s="15" t="str">
        <f t="shared" si="88"/>
        <v/>
      </c>
      <c r="AM323" s="4" t="str">
        <f t="shared" si="89"/>
        <v/>
      </c>
    </row>
    <row r="324" spans="1:39" x14ac:dyDescent="0.3">
      <c r="A324" s="9"/>
      <c r="B324" s="4" t="str">
        <f t="shared" si="75"/>
        <v/>
      </c>
      <c r="C324" s="9"/>
      <c r="D324" s="9"/>
      <c r="E324" s="9"/>
      <c r="F324" s="9"/>
      <c r="G324" s="13"/>
      <c r="H324" s="4" t="str">
        <f t="shared" si="76"/>
        <v/>
      </c>
      <c r="I324" s="9"/>
      <c r="J324" s="14"/>
      <c r="K324" s="15" t="str">
        <f>IF(OR(E324="",F324="",G324=""),"",IF(E324&lt;&gt;计划参数!$C$2,"",IF(F324="股票期权",IFERROR(LOOKUP(G324,计划参数!$D$12:$D$15,计划参数!$C$12:$C$15),""),IF(F324="限制性股票",计划参数!$C$10,""))))</f>
        <v/>
      </c>
      <c r="L324" s="15" t="str">
        <f>IF(AND(E324=计划参数!$C$2,F324="限制性股票",G324&gt;=计划参数!$D$9),计划参数!$C$9,"")</f>
        <v/>
      </c>
      <c r="M324" s="9"/>
      <c r="N324" s="14"/>
      <c r="O324" s="14"/>
      <c r="P324" s="13"/>
      <c r="Q324" s="9"/>
      <c r="R324" s="13"/>
      <c r="S324" s="15" t="str">
        <f t="shared" si="77"/>
        <v/>
      </c>
      <c r="T324" s="15" t="str">
        <f t="shared" si="78"/>
        <v/>
      </c>
      <c r="U324" s="15" t="str">
        <f t="shared" si="79"/>
        <v/>
      </c>
      <c r="V324" s="15" t="str">
        <f t="shared" si="80"/>
        <v/>
      </c>
      <c r="W324" s="16" t="str">
        <f>IF(V324="","",VLOOKUP(V324,税率及规则!$A$2:$C$8,2,TRUE))</f>
        <v/>
      </c>
      <c r="X324" s="15" t="str">
        <f>IF(V324="","",VLOOKUP(V324,税率及规则!$A$2:$C$8,3,TRUE))</f>
        <v/>
      </c>
      <c r="Y324" s="15" t="str">
        <f t="shared" si="81"/>
        <v/>
      </c>
      <c r="Z324" s="15" t="str">
        <f>IF(U324="","",MAX(0,U324*VLOOKUP(U324,税率及规则!$A$2:$C$8,2,TRUE)-VLOOKUP(U324,税率及规则!$A$2:$C$8,3,TRUE)))</f>
        <v/>
      </c>
      <c r="AA324" s="15" t="str">
        <f t="shared" si="82"/>
        <v/>
      </c>
      <c r="AB324" s="17" t="str">
        <f t="shared" si="83"/>
        <v/>
      </c>
      <c r="AC324" s="17" t="str">
        <f t="shared" si="84"/>
        <v/>
      </c>
      <c r="AD324" s="4" t="str">
        <f>IF(A324="","",IF(COUNTIF($A$2:$A$501,A324)&gt;1,"异常：事件编号重复",IF(OR(C324="",D324="",E324="",F324="",G324=""),"异常：必填项缺失",IF(AND(F324="其他股权激励",O324=""),"异常：其他股权激励所得缺失",IF(AND(F324&lt;&gt;"其他股权激励",OR(I324="",J324="")),"异常：数量或市场价缺失",IF(AND(F324&lt;&gt;"其他股权激励",OR(I324&lt;=0,J324&lt;0)),"异常：数量或价格无效",IF(AND(F324="限制性股票",OR(M324&lt;=0,N324&lt;0,I324&gt;M324)),"异常：个人获授或出资数据无效",IF(AND(IFERROR(INDEX(计划参数!$J$2:$J$501,MATCH(C324,计划参数!$I$2:$I$501,0)),"")&lt;&gt;"",D324&lt;&gt;IFERROR(INDEX(计划参数!$J$2:$J$501,MATCH(C324,计划参数!$I$2:$I$501,0)),"")),"异常：姓名与员工主数据不一致",IF(S324&lt;0,"异常：原始所得为负，已按0计税",IF(OR(AND(F324="股票期权",K324=""),AND(F324="限制性股票",OR(K324="",L324=""))),"异常：计划参数缺失",IF(COUNTIF(计划参数!$I$2:$I$501,C324)=0,"提示：员工编号未在主数据",IF(Q324&lt;&gt;"已备案","提示：未确认备案","正常"))))))))))))</f>
        <v/>
      </c>
      <c r="AE324" s="9"/>
      <c r="AF324" s="4" t="str">
        <f>IF(C324="","",IF(COUNTIF($C$2:C324,C324)=1,MAX($AF$1:AF323)+1,""))</f>
        <v/>
      </c>
      <c r="AG324" s="4" t="str">
        <f>IF(C324="","",COUNTIF($C$2:C324,C324))</f>
        <v/>
      </c>
      <c r="AH324" s="4" t="str">
        <f t="shared" si="85"/>
        <v/>
      </c>
      <c r="AI324" s="4" t="str">
        <f t="shared" si="86"/>
        <v/>
      </c>
      <c r="AJ324" s="4" t="str">
        <f t="shared" si="87"/>
        <v/>
      </c>
      <c r="AK324" s="15" t="str">
        <f>IF(A324="","",SUMIFS(分期缴税台账!$K$2:$K$501,分期缴税台账!$T$2:$T$501,A324,分期缴税台账!$Q$2:$Q$501,"有效"))</f>
        <v/>
      </c>
      <c r="AL324" s="15" t="str">
        <f t="shared" si="88"/>
        <v/>
      </c>
      <c r="AM324" s="4" t="str">
        <f t="shared" si="89"/>
        <v/>
      </c>
    </row>
    <row r="325" spans="1:39" x14ac:dyDescent="0.3">
      <c r="A325" s="9"/>
      <c r="B325" s="4" t="str">
        <f t="shared" si="75"/>
        <v/>
      </c>
      <c r="C325" s="9"/>
      <c r="D325" s="9"/>
      <c r="E325" s="9"/>
      <c r="F325" s="9"/>
      <c r="G325" s="13"/>
      <c r="H325" s="4" t="str">
        <f t="shared" si="76"/>
        <v/>
      </c>
      <c r="I325" s="9"/>
      <c r="J325" s="14"/>
      <c r="K325" s="15" t="str">
        <f>IF(OR(E325="",F325="",G325=""),"",IF(E325&lt;&gt;计划参数!$C$2,"",IF(F325="股票期权",IFERROR(LOOKUP(G325,计划参数!$D$12:$D$15,计划参数!$C$12:$C$15),""),IF(F325="限制性股票",计划参数!$C$10,""))))</f>
        <v/>
      </c>
      <c r="L325" s="15" t="str">
        <f>IF(AND(E325=计划参数!$C$2,F325="限制性股票",G325&gt;=计划参数!$D$9),计划参数!$C$9,"")</f>
        <v/>
      </c>
      <c r="M325" s="9"/>
      <c r="N325" s="14"/>
      <c r="O325" s="14"/>
      <c r="P325" s="13"/>
      <c r="Q325" s="9"/>
      <c r="R325" s="13"/>
      <c r="S325" s="15" t="str">
        <f t="shared" si="77"/>
        <v/>
      </c>
      <c r="T325" s="15" t="str">
        <f t="shared" si="78"/>
        <v/>
      </c>
      <c r="U325" s="15" t="str">
        <f t="shared" si="79"/>
        <v/>
      </c>
      <c r="V325" s="15" t="str">
        <f t="shared" si="80"/>
        <v/>
      </c>
      <c r="W325" s="16" t="str">
        <f>IF(V325="","",VLOOKUP(V325,税率及规则!$A$2:$C$8,2,TRUE))</f>
        <v/>
      </c>
      <c r="X325" s="15" t="str">
        <f>IF(V325="","",VLOOKUP(V325,税率及规则!$A$2:$C$8,3,TRUE))</f>
        <v/>
      </c>
      <c r="Y325" s="15" t="str">
        <f t="shared" si="81"/>
        <v/>
      </c>
      <c r="Z325" s="15" t="str">
        <f>IF(U325="","",MAX(0,U325*VLOOKUP(U325,税率及规则!$A$2:$C$8,2,TRUE)-VLOOKUP(U325,税率及规则!$A$2:$C$8,3,TRUE)))</f>
        <v/>
      </c>
      <c r="AA325" s="15" t="str">
        <f t="shared" si="82"/>
        <v/>
      </c>
      <c r="AB325" s="17" t="str">
        <f t="shared" si="83"/>
        <v/>
      </c>
      <c r="AC325" s="17" t="str">
        <f t="shared" si="84"/>
        <v/>
      </c>
      <c r="AD325" s="4" t="str">
        <f>IF(A325="","",IF(COUNTIF($A$2:$A$501,A325)&gt;1,"异常：事件编号重复",IF(OR(C325="",D325="",E325="",F325="",G325=""),"异常：必填项缺失",IF(AND(F325="其他股权激励",O325=""),"异常：其他股权激励所得缺失",IF(AND(F325&lt;&gt;"其他股权激励",OR(I325="",J325="")),"异常：数量或市场价缺失",IF(AND(F325&lt;&gt;"其他股权激励",OR(I325&lt;=0,J325&lt;0)),"异常：数量或价格无效",IF(AND(F325="限制性股票",OR(M325&lt;=0,N325&lt;0,I325&gt;M325)),"异常：个人获授或出资数据无效",IF(AND(IFERROR(INDEX(计划参数!$J$2:$J$501,MATCH(C325,计划参数!$I$2:$I$501,0)),"")&lt;&gt;"",D325&lt;&gt;IFERROR(INDEX(计划参数!$J$2:$J$501,MATCH(C325,计划参数!$I$2:$I$501,0)),"")),"异常：姓名与员工主数据不一致",IF(S325&lt;0,"异常：原始所得为负，已按0计税",IF(OR(AND(F325="股票期权",K325=""),AND(F325="限制性股票",OR(K325="",L325=""))),"异常：计划参数缺失",IF(COUNTIF(计划参数!$I$2:$I$501,C325)=0,"提示：员工编号未在主数据",IF(Q325&lt;&gt;"已备案","提示：未确认备案","正常"))))))))))))</f>
        <v/>
      </c>
      <c r="AE325" s="9"/>
      <c r="AF325" s="4" t="str">
        <f>IF(C325="","",IF(COUNTIF($C$2:C325,C325)=1,MAX($AF$1:AF324)+1,""))</f>
        <v/>
      </c>
      <c r="AG325" s="4" t="str">
        <f>IF(C325="","",COUNTIF($C$2:C325,C325))</f>
        <v/>
      </c>
      <c r="AH325" s="4" t="str">
        <f t="shared" si="85"/>
        <v/>
      </c>
      <c r="AI325" s="4" t="str">
        <f t="shared" si="86"/>
        <v/>
      </c>
      <c r="AJ325" s="4" t="str">
        <f t="shared" si="87"/>
        <v/>
      </c>
      <c r="AK325" s="15" t="str">
        <f>IF(A325="","",SUMIFS(分期缴税台账!$K$2:$K$501,分期缴税台账!$T$2:$T$501,A325,分期缴税台账!$Q$2:$Q$501,"有效"))</f>
        <v/>
      </c>
      <c r="AL325" s="15" t="str">
        <f t="shared" si="88"/>
        <v/>
      </c>
      <c r="AM325" s="4" t="str">
        <f t="shared" si="89"/>
        <v/>
      </c>
    </row>
    <row r="326" spans="1:39" x14ac:dyDescent="0.3">
      <c r="A326" s="9"/>
      <c r="B326" s="4" t="str">
        <f t="shared" si="75"/>
        <v/>
      </c>
      <c r="C326" s="9"/>
      <c r="D326" s="9"/>
      <c r="E326" s="9"/>
      <c r="F326" s="9"/>
      <c r="G326" s="13"/>
      <c r="H326" s="4" t="str">
        <f t="shared" si="76"/>
        <v/>
      </c>
      <c r="I326" s="9"/>
      <c r="J326" s="14"/>
      <c r="K326" s="15" t="str">
        <f>IF(OR(E326="",F326="",G326=""),"",IF(E326&lt;&gt;计划参数!$C$2,"",IF(F326="股票期权",IFERROR(LOOKUP(G326,计划参数!$D$12:$D$15,计划参数!$C$12:$C$15),""),IF(F326="限制性股票",计划参数!$C$10,""))))</f>
        <v/>
      </c>
      <c r="L326" s="15" t="str">
        <f>IF(AND(E326=计划参数!$C$2,F326="限制性股票",G326&gt;=计划参数!$D$9),计划参数!$C$9,"")</f>
        <v/>
      </c>
      <c r="M326" s="9"/>
      <c r="N326" s="14"/>
      <c r="O326" s="14"/>
      <c r="P326" s="13"/>
      <c r="Q326" s="9"/>
      <c r="R326" s="13"/>
      <c r="S326" s="15" t="str">
        <f t="shared" si="77"/>
        <v/>
      </c>
      <c r="T326" s="15" t="str">
        <f t="shared" si="78"/>
        <v/>
      </c>
      <c r="U326" s="15" t="str">
        <f t="shared" si="79"/>
        <v/>
      </c>
      <c r="V326" s="15" t="str">
        <f t="shared" si="80"/>
        <v/>
      </c>
      <c r="W326" s="16" t="str">
        <f>IF(V326="","",VLOOKUP(V326,税率及规则!$A$2:$C$8,2,TRUE))</f>
        <v/>
      </c>
      <c r="X326" s="15" t="str">
        <f>IF(V326="","",VLOOKUP(V326,税率及规则!$A$2:$C$8,3,TRUE))</f>
        <v/>
      </c>
      <c r="Y326" s="15" t="str">
        <f t="shared" si="81"/>
        <v/>
      </c>
      <c r="Z326" s="15" t="str">
        <f>IF(U326="","",MAX(0,U326*VLOOKUP(U326,税率及规则!$A$2:$C$8,2,TRUE)-VLOOKUP(U326,税率及规则!$A$2:$C$8,3,TRUE)))</f>
        <v/>
      </c>
      <c r="AA326" s="15" t="str">
        <f t="shared" si="82"/>
        <v/>
      </c>
      <c r="AB326" s="17" t="str">
        <f t="shared" si="83"/>
        <v/>
      </c>
      <c r="AC326" s="17" t="str">
        <f t="shared" si="84"/>
        <v/>
      </c>
      <c r="AD326" s="4" t="str">
        <f>IF(A326="","",IF(COUNTIF($A$2:$A$501,A326)&gt;1,"异常：事件编号重复",IF(OR(C326="",D326="",E326="",F326="",G326=""),"异常：必填项缺失",IF(AND(F326="其他股权激励",O326=""),"异常：其他股权激励所得缺失",IF(AND(F326&lt;&gt;"其他股权激励",OR(I326="",J326="")),"异常：数量或市场价缺失",IF(AND(F326&lt;&gt;"其他股权激励",OR(I326&lt;=0,J326&lt;0)),"异常：数量或价格无效",IF(AND(F326="限制性股票",OR(M326&lt;=0,N326&lt;0,I326&gt;M326)),"异常：个人获授或出资数据无效",IF(AND(IFERROR(INDEX(计划参数!$J$2:$J$501,MATCH(C326,计划参数!$I$2:$I$501,0)),"")&lt;&gt;"",D326&lt;&gt;IFERROR(INDEX(计划参数!$J$2:$J$501,MATCH(C326,计划参数!$I$2:$I$501,0)),"")),"异常：姓名与员工主数据不一致",IF(S326&lt;0,"异常：原始所得为负，已按0计税",IF(OR(AND(F326="股票期权",K326=""),AND(F326="限制性股票",OR(K326="",L326=""))),"异常：计划参数缺失",IF(COUNTIF(计划参数!$I$2:$I$501,C326)=0,"提示：员工编号未在主数据",IF(Q326&lt;&gt;"已备案","提示：未确认备案","正常"))))))))))))</f>
        <v/>
      </c>
      <c r="AE326" s="9"/>
      <c r="AF326" s="4" t="str">
        <f>IF(C326="","",IF(COUNTIF($C$2:C326,C326)=1,MAX($AF$1:AF325)+1,""))</f>
        <v/>
      </c>
      <c r="AG326" s="4" t="str">
        <f>IF(C326="","",COUNTIF($C$2:C326,C326))</f>
        <v/>
      </c>
      <c r="AH326" s="4" t="str">
        <f t="shared" si="85"/>
        <v/>
      </c>
      <c r="AI326" s="4" t="str">
        <f t="shared" si="86"/>
        <v/>
      </c>
      <c r="AJ326" s="4" t="str">
        <f t="shared" si="87"/>
        <v/>
      </c>
      <c r="AK326" s="15" t="str">
        <f>IF(A326="","",SUMIFS(分期缴税台账!$K$2:$K$501,分期缴税台账!$T$2:$T$501,A326,分期缴税台账!$Q$2:$Q$501,"有效"))</f>
        <v/>
      </c>
      <c r="AL326" s="15" t="str">
        <f t="shared" si="88"/>
        <v/>
      </c>
      <c r="AM326" s="4" t="str">
        <f t="shared" si="89"/>
        <v/>
      </c>
    </row>
    <row r="327" spans="1:39" x14ac:dyDescent="0.3">
      <c r="A327" s="9"/>
      <c r="B327" s="4" t="str">
        <f t="shared" si="75"/>
        <v/>
      </c>
      <c r="C327" s="9"/>
      <c r="D327" s="9"/>
      <c r="E327" s="9"/>
      <c r="F327" s="9"/>
      <c r="G327" s="13"/>
      <c r="H327" s="4" t="str">
        <f t="shared" si="76"/>
        <v/>
      </c>
      <c r="I327" s="9"/>
      <c r="J327" s="14"/>
      <c r="K327" s="15" t="str">
        <f>IF(OR(E327="",F327="",G327=""),"",IF(E327&lt;&gt;计划参数!$C$2,"",IF(F327="股票期权",IFERROR(LOOKUP(G327,计划参数!$D$12:$D$15,计划参数!$C$12:$C$15),""),IF(F327="限制性股票",计划参数!$C$10,""))))</f>
        <v/>
      </c>
      <c r="L327" s="15" t="str">
        <f>IF(AND(E327=计划参数!$C$2,F327="限制性股票",G327&gt;=计划参数!$D$9),计划参数!$C$9,"")</f>
        <v/>
      </c>
      <c r="M327" s="9"/>
      <c r="N327" s="14"/>
      <c r="O327" s="14"/>
      <c r="P327" s="13"/>
      <c r="Q327" s="9"/>
      <c r="R327" s="13"/>
      <c r="S327" s="15" t="str">
        <f t="shared" si="77"/>
        <v/>
      </c>
      <c r="T327" s="15" t="str">
        <f t="shared" si="78"/>
        <v/>
      </c>
      <c r="U327" s="15" t="str">
        <f t="shared" si="79"/>
        <v/>
      </c>
      <c r="V327" s="15" t="str">
        <f t="shared" si="80"/>
        <v/>
      </c>
      <c r="W327" s="16" t="str">
        <f>IF(V327="","",VLOOKUP(V327,税率及规则!$A$2:$C$8,2,TRUE))</f>
        <v/>
      </c>
      <c r="X327" s="15" t="str">
        <f>IF(V327="","",VLOOKUP(V327,税率及规则!$A$2:$C$8,3,TRUE))</f>
        <v/>
      </c>
      <c r="Y327" s="15" t="str">
        <f t="shared" si="81"/>
        <v/>
      </c>
      <c r="Z327" s="15" t="str">
        <f>IF(U327="","",MAX(0,U327*VLOOKUP(U327,税率及规则!$A$2:$C$8,2,TRUE)-VLOOKUP(U327,税率及规则!$A$2:$C$8,3,TRUE)))</f>
        <v/>
      </c>
      <c r="AA327" s="15" t="str">
        <f t="shared" si="82"/>
        <v/>
      </c>
      <c r="AB327" s="17" t="str">
        <f t="shared" si="83"/>
        <v/>
      </c>
      <c r="AC327" s="17" t="str">
        <f t="shared" si="84"/>
        <v/>
      </c>
      <c r="AD327" s="4" t="str">
        <f>IF(A327="","",IF(COUNTIF($A$2:$A$501,A327)&gt;1,"异常：事件编号重复",IF(OR(C327="",D327="",E327="",F327="",G327=""),"异常：必填项缺失",IF(AND(F327="其他股权激励",O327=""),"异常：其他股权激励所得缺失",IF(AND(F327&lt;&gt;"其他股权激励",OR(I327="",J327="")),"异常：数量或市场价缺失",IF(AND(F327&lt;&gt;"其他股权激励",OR(I327&lt;=0,J327&lt;0)),"异常：数量或价格无效",IF(AND(F327="限制性股票",OR(M327&lt;=0,N327&lt;0,I327&gt;M327)),"异常：个人获授或出资数据无效",IF(AND(IFERROR(INDEX(计划参数!$J$2:$J$501,MATCH(C327,计划参数!$I$2:$I$501,0)),"")&lt;&gt;"",D327&lt;&gt;IFERROR(INDEX(计划参数!$J$2:$J$501,MATCH(C327,计划参数!$I$2:$I$501,0)),"")),"异常：姓名与员工主数据不一致",IF(S327&lt;0,"异常：原始所得为负，已按0计税",IF(OR(AND(F327="股票期权",K327=""),AND(F327="限制性股票",OR(K327="",L327=""))),"异常：计划参数缺失",IF(COUNTIF(计划参数!$I$2:$I$501,C327)=0,"提示：员工编号未在主数据",IF(Q327&lt;&gt;"已备案","提示：未确认备案","正常"))))))))))))</f>
        <v/>
      </c>
      <c r="AE327" s="9"/>
      <c r="AF327" s="4" t="str">
        <f>IF(C327="","",IF(COUNTIF($C$2:C327,C327)=1,MAX($AF$1:AF326)+1,""))</f>
        <v/>
      </c>
      <c r="AG327" s="4" t="str">
        <f>IF(C327="","",COUNTIF($C$2:C327,C327))</f>
        <v/>
      </c>
      <c r="AH327" s="4" t="str">
        <f t="shared" si="85"/>
        <v/>
      </c>
      <c r="AI327" s="4" t="str">
        <f t="shared" si="86"/>
        <v/>
      </c>
      <c r="AJ327" s="4" t="str">
        <f t="shared" si="87"/>
        <v/>
      </c>
      <c r="AK327" s="15" t="str">
        <f>IF(A327="","",SUMIFS(分期缴税台账!$K$2:$K$501,分期缴税台账!$T$2:$T$501,A327,分期缴税台账!$Q$2:$Q$501,"有效"))</f>
        <v/>
      </c>
      <c r="AL327" s="15" t="str">
        <f t="shared" si="88"/>
        <v/>
      </c>
      <c r="AM327" s="4" t="str">
        <f t="shared" si="89"/>
        <v/>
      </c>
    </row>
    <row r="328" spans="1:39" x14ac:dyDescent="0.3">
      <c r="A328" s="9"/>
      <c r="B328" s="4" t="str">
        <f t="shared" si="75"/>
        <v/>
      </c>
      <c r="C328" s="9"/>
      <c r="D328" s="9"/>
      <c r="E328" s="9"/>
      <c r="F328" s="9"/>
      <c r="G328" s="13"/>
      <c r="H328" s="4" t="str">
        <f t="shared" si="76"/>
        <v/>
      </c>
      <c r="I328" s="9"/>
      <c r="J328" s="14"/>
      <c r="K328" s="15" t="str">
        <f>IF(OR(E328="",F328="",G328=""),"",IF(E328&lt;&gt;计划参数!$C$2,"",IF(F328="股票期权",IFERROR(LOOKUP(G328,计划参数!$D$12:$D$15,计划参数!$C$12:$C$15),""),IF(F328="限制性股票",计划参数!$C$10,""))))</f>
        <v/>
      </c>
      <c r="L328" s="15" t="str">
        <f>IF(AND(E328=计划参数!$C$2,F328="限制性股票",G328&gt;=计划参数!$D$9),计划参数!$C$9,"")</f>
        <v/>
      </c>
      <c r="M328" s="9"/>
      <c r="N328" s="14"/>
      <c r="O328" s="14"/>
      <c r="P328" s="13"/>
      <c r="Q328" s="9"/>
      <c r="R328" s="13"/>
      <c r="S328" s="15" t="str">
        <f t="shared" si="77"/>
        <v/>
      </c>
      <c r="T328" s="15" t="str">
        <f t="shared" si="78"/>
        <v/>
      </c>
      <c r="U328" s="15" t="str">
        <f t="shared" si="79"/>
        <v/>
      </c>
      <c r="V328" s="15" t="str">
        <f t="shared" si="80"/>
        <v/>
      </c>
      <c r="W328" s="16" t="str">
        <f>IF(V328="","",VLOOKUP(V328,税率及规则!$A$2:$C$8,2,TRUE))</f>
        <v/>
      </c>
      <c r="X328" s="15" t="str">
        <f>IF(V328="","",VLOOKUP(V328,税率及规则!$A$2:$C$8,3,TRUE))</f>
        <v/>
      </c>
      <c r="Y328" s="15" t="str">
        <f t="shared" si="81"/>
        <v/>
      </c>
      <c r="Z328" s="15" t="str">
        <f>IF(U328="","",MAX(0,U328*VLOOKUP(U328,税率及规则!$A$2:$C$8,2,TRUE)-VLOOKUP(U328,税率及规则!$A$2:$C$8,3,TRUE)))</f>
        <v/>
      </c>
      <c r="AA328" s="15" t="str">
        <f t="shared" si="82"/>
        <v/>
      </c>
      <c r="AB328" s="17" t="str">
        <f t="shared" si="83"/>
        <v/>
      </c>
      <c r="AC328" s="17" t="str">
        <f t="shared" si="84"/>
        <v/>
      </c>
      <c r="AD328" s="4" t="str">
        <f>IF(A328="","",IF(COUNTIF($A$2:$A$501,A328)&gt;1,"异常：事件编号重复",IF(OR(C328="",D328="",E328="",F328="",G328=""),"异常：必填项缺失",IF(AND(F328="其他股权激励",O328=""),"异常：其他股权激励所得缺失",IF(AND(F328&lt;&gt;"其他股权激励",OR(I328="",J328="")),"异常：数量或市场价缺失",IF(AND(F328&lt;&gt;"其他股权激励",OR(I328&lt;=0,J328&lt;0)),"异常：数量或价格无效",IF(AND(F328="限制性股票",OR(M328&lt;=0,N328&lt;0,I328&gt;M328)),"异常：个人获授或出资数据无效",IF(AND(IFERROR(INDEX(计划参数!$J$2:$J$501,MATCH(C328,计划参数!$I$2:$I$501,0)),"")&lt;&gt;"",D328&lt;&gt;IFERROR(INDEX(计划参数!$J$2:$J$501,MATCH(C328,计划参数!$I$2:$I$501,0)),"")),"异常：姓名与员工主数据不一致",IF(S328&lt;0,"异常：原始所得为负，已按0计税",IF(OR(AND(F328="股票期权",K328=""),AND(F328="限制性股票",OR(K328="",L328=""))),"异常：计划参数缺失",IF(COUNTIF(计划参数!$I$2:$I$501,C328)=0,"提示：员工编号未在主数据",IF(Q328&lt;&gt;"已备案","提示：未确认备案","正常"))))))))))))</f>
        <v/>
      </c>
      <c r="AE328" s="9"/>
      <c r="AF328" s="4" t="str">
        <f>IF(C328="","",IF(COUNTIF($C$2:C328,C328)=1,MAX($AF$1:AF327)+1,""))</f>
        <v/>
      </c>
      <c r="AG328" s="4" t="str">
        <f>IF(C328="","",COUNTIF($C$2:C328,C328))</f>
        <v/>
      </c>
      <c r="AH328" s="4" t="str">
        <f t="shared" si="85"/>
        <v/>
      </c>
      <c r="AI328" s="4" t="str">
        <f t="shared" si="86"/>
        <v/>
      </c>
      <c r="AJ328" s="4" t="str">
        <f t="shared" si="87"/>
        <v/>
      </c>
      <c r="AK328" s="15" t="str">
        <f>IF(A328="","",SUMIFS(分期缴税台账!$K$2:$K$501,分期缴税台账!$T$2:$T$501,A328,分期缴税台账!$Q$2:$Q$501,"有效"))</f>
        <v/>
      </c>
      <c r="AL328" s="15" t="str">
        <f t="shared" si="88"/>
        <v/>
      </c>
      <c r="AM328" s="4" t="str">
        <f t="shared" si="89"/>
        <v/>
      </c>
    </row>
    <row r="329" spans="1:39" x14ac:dyDescent="0.3">
      <c r="A329" s="9"/>
      <c r="B329" s="4" t="str">
        <f t="shared" si="75"/>
        <v/>
      </c>
      <c r="C329" s="9"/>
      <c r="D329" s="9"/>
      <c r="E329" s="9"/>
      <c r="F329" s="9"/>
      <c r="G329" s="13"/>
      <c r="H329" s="4" t="str">
        <f t="shared" si="76"/>
        <v/>
      </c>
      <c r="I329" s="9"/>
      <c r="J329" s="14"/>
      <c r="K329" s="15" t="str">
        <f>IF(OR(E329="",F329="",G329=""),"",IF(E329&lt;&gt;计划参数!$C$2,"",IF(F329="股票期权",IFERROR(LOOKUP(G329,计划参数!$D$12:$D$15,计划参数!$C$12:$C$15),""),IF(F329="限制性股票",计划参数!$C$10,""))))</f>
        <v/>
      </c>
      <c r="L329" s="15" t="str">
        <f>IF(AND(E329=计划参数!$C$2,F329="限制性股票",G329&gt;=计划参数!$D$9),计划参数!$C$9,"")</f>
        <v/>
      </c>
      <c r="M329" s="9"/>
      <c r="N329" s="14"/>
      <c r="O329" s="14"/>
      <c r="P329" s="13"/>
      <c r="Q329" s="9"/>
      <c r="R329" s="13"/>
      <c r="S329" s="15" t="str">
        <f t="shared" si="77"/>
        <v/>
      </c>
      <c r="T329" s="15" t="str">
        <f t="shared" si="78"/>
        <v/>
      </c>
      <c r="U329" s="15" t="str">
        <f t="shared" si="79"/>
        <v/>
      </c>
      <c r="V329" s="15" t="str">
        <f t="shared" si="80"/>
        <v/>
      </c>
      <c r="W329" s="16" t="str">
        <f>IF(V329="","",VLOOKUP(V329,税率及规则!$A$2:$C$8,2,TRUE))</f>
        <v/>
      </c>
      <c r="X329" s="15" t="str">
        <f>IF(V329="","",VLOOKUP(V329,税率及规则!$A$2:$C$8,3,TRUE))</f>
        <v/>
      </c>
      <c r="Y329" s="15" t="str">
        <f t="shared" si="81"/>
        <v/>
      </c>
      <c r="Z329" s="15" t="str">
        <f>IF(U329="","",MAX(0,U329*VLOOKUP(U329,税率及规则!$A$2:$C$8,2,TRUE)-VLOOKUP(U329,税率及规则!$A$2:$C$8,3,TRUE)))</f>
        <v/>
      </c>
      <c r="AA329" s="15" t="str">
        <f t="shared" si="82"/>
        <v/>
      </c>
      <c r="AB329" s="17" t="str">
        <f t="shared" si="83"/>
        <v/>
      </c>
      <c r="AC329" s="17" t="str">
        <f t="shared" si="84"/>
        <v/>
      </c>
      <c r="AD329" s="4" t="str">
        <f>IF(A329="","",IF(COUNTIF($A$2:$A$501,A329)&gt;1,"异常：事件编号重复",IF(OR(C329="",D329="",E329="",F329="",G329=""),"异常：必填项缺失",IF(AND(F329="其他股权激励",O329=""),"异常：其他股权激励所得缺失",IF(AND(F329&lt;&gt;"其他股权激励",OR(I329="",J329="")),"异常：数量或市场价缺失",IF(AND(F329&lt;&gt;"其他股权激励",OR(I329&lt;=0,J329&lt;0)),"异常：数量或价格无效",IF(AND(F329="限制性股票",OR(M329&lt;=0,N329&lt;0,I329&gt;M329)),"异常：个人获授或出资数据无效",IF(AND(IFERROR(INDEX(计划参数!$J$2:$J$501,MATCH(C329,计划参数!$I$2:$I$501,0)),"")&lt;&gt;"",D329&lt;&gt;IFERROR(INDEX(计划参数!$J$2:$J$501,MATCH(C329,计划参数!$I$2:$I$501,0)),"")),"异常：姓名与员工主数据不一致",IF(S329&lt;0,"异常：原始所得为负，已按0计税",IF(OR(AND(F329="股票期权",K329=""),AND(F329="限制性股票",OR(K329="",L329=""))),"异常：计划参数缺失",IF(COUNTIF(计划参数!$I$2:$I$501,C329)=0,"提示：员工编号未在主数据",IF(Q329&lt;&gt;"已备案","提示：未确认备案","正常"))))))))))))</f>
        <v/>
      </c>
      <c r="AE329" s="9"/>
      <c r="AF329" s="4" t="str">
        <f>IF(C329="","",IF(COUNTIF($C$2:C329,C329)=1,MAX($AF$1:AF328)+1,""))</f>
        <v/>
      </c>
      <c r="AG329" s="4" t="str">
        <f>IF(C329="","",COUNTIF($C$2:C329,C329))</f>
        <v/>
      </c>
      <c r="AH329" s="4" t="str">
        <f t="shared" si="85"/>
        <v/>
      </c>
      <c r="AI329" s="4" t="str">
        <f t="shared" si="86"/>
        <v/>
      </c>
      <c r="AJ329" s="4" t="str">
        <f t="shared" si="87"/>
        <v/>
      </c>
      <c r="AK329" s="15" t="str">
        <f>IF(A329="","",SUMIFS(分期缴税台账!$K$2:$K$501,分期缴税台账!$T$2:$T$501,A329,分期缴税台账!$Q$2:$Q$501,"有效"))</f>
        <v/>
      </c>
      <c r="AL329" s="15" t="str">
        <f t="shared" si="88"/>
        <v/>
      </c>
      <c r="AM329" s="4" t="str">
        <f t="shared" si="89"/>
        <v/>
      </c>
    </row>
    <row r="330" spans="1:39" x14ac:dyDescent="0.3">
      <c r="A330" s="9"/>
      <c r="B330" s="4" t="str">
        <f t="shared" si="75"/>
        <v/>
      </c>
      <c r="C330" s="9"/>
      <c r="D330" s="9"/>
      <c r="E330" s="9"/>
      <c r="F330" s="9"/>
      <c r="G330" s="13"/>
      <c r="H330" s="4" t="str">
        <f t="shared" si="76"/>
        <v/>
      </c>
      <c r="I330" s="9"/>
      <c r="J330" s="14"/>
      <c r="K330" s="15" t="str">
        <f>IF(OR(E330="",F330="",G330=""),"",IF(E330&lt;&gt;计划参数!$C$2,"",IF(F330="股票期权",IFERROR(LOOKUP(G330,计划参数!$D$12:$D$15,计划参数!$C$12:$C$15),""),IF(F330="限制性股票",计划参数!$C$10,""))))</f>
        <v/>
      </c>
      <c r="L330" s="15" t="str">
        <f>IF(AND(E330=计划参数!$C$2,F330="限制性股票",G330&gt;=计划参数!$D$9),计划参数!$C$9,"")</f>
        <v/>
      </c>
      <c r="M330" s="9"/>
      <c r="N330" s="14"/>
      <c r="O330" s="14"/>
      <c r="P330" s="13"/>
      <c r="Q330" s="9"/>
      <c r="R330" s="13"/>
      <c r="S330" s="15" t="str">
        <f t="shared" si="77"/>
        <v/>
      </c>
      <c r="T330" s="15" t="str">
        <f t="shared" si="78"/>
        <v/>
      </c>
      <c r="U330" s="15" t="str">
        <f t="shared" si="79"/>
        <v/>
      </c>
      <c r="V330" s="15" t="str">
        <f t="shared" si="80"/>
        <v/>
      </c>
      <c r="W330" s="16" t="str">
        <f>IF(V330="","",VLOOKUP(V330,税率及规则!$A$2:$C$8,2,TRUE))</f>
        <v/>
      </c>
      <c r="X330" s="15" t="str">
        <f>IF(V330="","",VLOOKUP(V330,税率及规则!$A$2:$C$8,3,TRUE))</f>
        <v/>
      </c>
      <c r="Y330" s="15" t="str">
        <f t="shared" si="81"/>
        <v/>
      </c>
      <c r="Z330" s="15" t="str">
        <f>IF(U330="","",MAX(0,U330*VLOOKUP(U330,税率及规则!$A$2:$C$8,2,TRUE)-VLOOKUP(U330,税率及规则!$A$2:$C$8,3,TRUE)))</f>
        <v/>
      </c>
      <c r="AA330" s="15" t="str">
        <f t="shared" si="82"/>
        <v/>
      </c>
      <c r="AB330" s="17" t="str">
        <f t="shared" si="83"/>
        <v/>
      </c>
      <c r="AC330" s="17" t="str">
        <f t="shared" si="84"/>
        <v/>
      </c>
      <c r="AD330" s="4" t="str">
        <f>IF(A330="","",IF(COUNTIF($A$2:$A$501,A330)&gt;1,"异常：事件编号重复",IF(OR(C330="",D330="",E330="",F330="",G330=""),"异常：必填项缺失",IF(AND(F330="其他股权激励",O330=""),"异常：其他股权激励所得缺失",IF(AND(F330&lt;&gt;"其他股权激励",OR(I330="",J330="")),"异常：数量或市场价缺失",IF(AND(F330&lt;&gt;"其他股权激励",OR(I330&lt;=0,J330&lt;0)),"异常：数量或价格无效",IF(AND(F330="限制性股票",OR(M330&lt;=0,N330&lt;0,I330&gt;M330)),"异常：个人获授或出资数据无效",IF(AND(IFERROR(INDEX(计划参数!$J$2:$J$501,MATCH(C330,计划参数!$I$2:$I$501,0)),"")&lt;&gt;"",D330&lt;&gt;IFERROR(INDEX(计划参数!$J$2:$J$501,MATCH(C330,计划参数!$I$2:$I$501,0)),"")),"异常：姓名与员工主数据不一致",IF(S330&lt;0,"异常：原始所得为负，已按0计税",IF(OR(AND(F330="股票期权",K330=""),AND(F330="限制性股票",OR(K330="",L330=""))),"异常：计划参数缺失",IF(COUNTIF(计划参数!$I$2:$I$501,C330)=0,"提示：员工编号未在主数据",IF(Q330&lt;&gt;"已备案","提示：未确认备案","正常"))))))))))))</f>
        <v/>
      </c>
      <c r="AE330" s="9"/>
      <c r="AF330" s="4" t="str">
        <f>IF(C330="","",IF(COUNTIF($C$2:C330,C330)=1,MAX($AF$1:AF329)+1,""))</f>
        <v/>
      </c>
      <c r="AG330" s="4" t="str">
        <f>IF(C330="","",COUNTIF($C$2:C330,C330))</f>
        <v/>
      </c>
      <c r="AH330" s="4" t="str">
        <f t="shared" si="85"/>
        <v/>
      </c>
      <c r="AI330" s="4" t="str">
        <f t="shared" si="86"/>
        <v/>
      </c>
      <c r="AJ330" s="4" t="str">
        <f t="shared" si="87"/>
        <v/>
      </c>
      <c r="AK330" s="15" t="str">
        <f>IF(A330="","",SUMIFS(分期缴税台账!$K$2:$K$501,分期缴税台账!$T$2:$T$501,A330,分期缴税台账!$Q$2:$Q$501,"有效"))</f>
        <v/>
      </c>
      <c r="AL330" s="15" t="str">
        <f t="shared" si="88"/>
        <v/>
      </c>
      <c r="AM330" s="4" t="str">
        <f t="shared" si="89"/>
        <v/>
      </c>
    </row>
    <row r="331" spans="1:39" x14ac:dyDescent="0.3">
      <c r="A331" s="9"/>
      <c r="B331" s="4" t="str">
        <f t="shared" si="75"/>
        <v/>
      </c>
      <c r="C331" s="9"/>
      <c r="D331" s="9"/>
      <c r="E331" s="9"/>
      <c r="F331" s="9"/>
      <c r="G331" s="13"/>
      <c r="H331" s="4" t="str">
        <f t="shared" si="76"/>
        <v/>
      </c>
      <c r="I331" s="9"/>
      <c r="J331" s="14"/>
      <c r="K331" s="15" t="str">
        <f>IF(OR(E331="",F331="",G331=""),"",IF(E331&lt;&gt;计划参数!$C$2,"",IF(F331="股票期权",IFERROR(LOOKUP(G331,计划参数!$D$12:$D$15,计划参数!$C$12:$C$15),""),IF(F331="限制性股票",计划参数!$C$10,""))))</f>
        <v/>
      </c>
      <c r="L331" s="15" t="str">
        <f>IF(AND(E331=计划参数!$C$2,F331="限制性股票",G331&gt;=计划参数!$D$9),计划参数!$C$9,"")</f>
        <v/>
      </c>
      <c r="M331" s="9"/>
      <c r="N331" s="14"/>
      <c r="O331" s="14"/>
      <c r="P331" s="13"/>
      <c r="Q331" s="9"/>
      <c r="R331" s="13"/>
      <c r="S331" s="15" t="str">
        <f t="shared" si="77"/>
        <v/>
      </c>
      <c r="T331" s="15" t="str">
        <f t="shared" si="78"/>
        <v/>
      </c>
      <c r="U331" s="15" t="str">
        <f t="shared" si="79"/>
        <v/>
      </c>
      <c r="V331" s="15" t="str">
        <f t="shared" si="80"/>
        <v/>
      </c>
      <c r="W331" s="16" t="str">
        <f>IF(V331="","",VLOOKUP(V331,税率及规则!$A$2:$C$8,2,TRUE))</f>
        <v/>
      </c>
      <c r="X331" s="15" t="str">
        <f>IF(V331="","",VLOOKUP(V331,税率及规则!$A$2:$C$8,3,TRUE))</f>
        <v/>
      </c>
      <c r="Y331" s="15" t="str">
        <f t="shared" si="81"/>
        <v/>
      </c>
      <c r="Z331" s="15" t="str">
        <f>IF(U331="","",MAX(0,U331*VLOOKUP(U331,税率及规则!$A$2:$C$8,2,TRUE)-VLOOKUP(U331,税率及规则!$A$2:$C$8,3,TRUE)))</f>
        <v/>
      </c>
      <c r="AA331" s="15" t="str">
        <f t="shared" si="82"/>
        <v/>
      </c>
      <c r="AB331" s="17" t="str">
        <f t="shared" si="83"/>
        <v/>
      </c>
      <c r="AC331" s="17" t="str">
        <f t="shared" si="84"/>
        <v/>
      </c>
      <c r="AD331" s="4" t="str">
        <f>IF(A331="","",IF(COUNTIF($A$2:$A$501,A331)&gt;1,"异常：事件编号重复",IF(OR(C331="",D331="",E331="",F331="",G331=""),"异常：必填项缺失",IF(AND(F331="其他股权激励",O331=""),"异常：其他股权激励所得缺失",IF(AND(F331&lt;&gt;"其他股权激励",OR(I331="",J331="")),"异常：数量或市场价缺失",IF(AND(F331&lt;&gt;"其他股权激励",OR(I331&lt;=0,J331&lt;0)),"异常：数量或价格无效",IF(AND(F331="限制性股票",OR(M331&lt;=0,N331&lt;0,I331&gt;M331)),"异常：个人获授或出资数据无效",IF(AND(IFERROR(INDEX(计划参数!$J$2:$J$501,MATCH(C331,计划参数!$I$2:$I$501,0)),"")&lt;&gt;"",D331&lt;&gt;IFERROR(INDEX(计划参数!$J$2:$J$501,MATCH(C331,计划参数!$I$2:$I$501,0)),"")),"异常：姓名与员工主数据不一致",IF(S331&lt;0,"异常：原始所得为负，已按0计税",IF(OR(AND(F331="股票期权",K331=""),AND(F331="限制性股票",OR(K331="",L331=""))),"异常：计划参数缺失",IF(COUNTIF(计划参数!$I$2:$I$501,C331)=0,"提示：员工编号未在主数据",IF(Q331&lt;&gt;"已备案","提示：未确认备案","正常"))))))))))))</f>
        <v/>
      </c>
      <c r="AE331" s="9"/>
      <c r="AF331" s="4" t="str">
        <f>IF(C331="","",IF(COUNTIF($C$2:C331,C331)=1,MAX($AF$1:AF330)+1,""))</f>
        <v/>
      </c>
      <c r="AG331" s="4" t="str">
        <f>IF(C331="","",COUNTIF($C$2:C331,C331))</f>
        <v/>
      </c>
      <c r="AH331" s="4" t="str">
        <f t="shared" si="85"/>
        <v/>
      </c>
      <c r="AI331" s="4" t="str">
        <f t="shared" si="86"/>
        <v/>
      </c>
      <c r="AJ331" s="4" t="str">
        <f t="shared" si="87"/>
        <v/>
      </c>
      <c r="AK331" s="15" t="str">
        <f>IF(A331="","",SUMIFS(分期缴税台账!$K$2:$K$501,分期缴税台账!$T$2:$T$501,A331,分期缴税台账!$Q$2:$Q$501,"有效"))</f>
        <v/>
      </c>
      <c r="AL331" s="15" t="str">
        <f t="shared" si="88"/>
        <v/>
      </c>
      <c r="AM331" s="4" t="str">
        <f t="shared" si="89"/>
        <v/>
      </c>
    </row>
    <row r="332" spans="1:39" x14ac:dyDescent="0.3">
      <c r="A332" s="9"/>
      <c r="B332" s="4" t="str">
        <f t="shared" si="75"/>
        <v/>
      </c>
      <c r="C332" s="9"/>
      <c r="D332" s="9"/>
      <c r="E332" s="9"/>
      <c r="F332" s="9"/>
      <c r="G332" s="13"/>
      <c r="H332" s="4" t="str">
        <f t="shared" si="76"/>
        <v/>
      </c>
      <c r="I332" s="9"/>
      <c r="J332" s="14"/>
      <c r="K332" s="15" t="str">
        <f>IF(OR(E332="",F332="",G332=""),"",IF(E332&lt;&gt;计划参数!$C$2,"",IF(F332="股票期权",IFERROR(LOOKUP(G332,计划参数!$D$12:$D$15,计划参数!$C$12:$C$15),""),IF(F332="限制性股票",计划参数!$C$10,""))))</f>
        <v/>
      </c>
      <c r="L332" s="15" t="str">
        <f>IF(AND(E332=计划参数!$C$2,F332="限制性股票",G332&gt;=计划参数!$D$9),计划参数!$C$9,"")</f>
        <v/>
      </c>
      <c r="M332" s="9"/>
      <c r="N332" s="14"/>
      <c r="O332" s="14"/>
      <c r="P332" s="13"/>
      <c r="Q332" s="9"/>
      <c r="R332" s="13"/>
      <c r="S332" s="15" t="str">
        <f t="shared" si="77"/>
        <v/>
      </c>
      <c r="T332" s="15" t="str">
        <f t="shared" si="78"/>
        <v/>
      </c>
      <c r="U332" s="15" t="str">
        <f t="shared" si="79"/>
        <v/>
      </c>
      <c r="V332" s="15" t="str">
        <f t="shared" si="80"/>
        <v/>
      </c>
      <c r="W332" s="16" t="str">
        <f>IF(V332="","",VLOOKUP(V332,税率及规则!$A$2:$C$8,2,TRUE))</f>
        <v/>
      </c>
      <c r="X332" s="15" t="str">
        <f>IF(V332="","",VLOOKUP(V332,税率及规则!$A$2:$C$8,3,TRUE))</f>
        <v/>
      </c>
      <c r="Y332" s="15" t="str">
        <f t="shared" si="81"/>
        <v/>
      </c>
      <c r="Z332" s="15" t="str">
        <f>IF(U332="","",MAX(0,U332*VLOOKUP(U332,税率及规则!$A$2:$C$8,2,TRUE)-VLOOKUP(U332,税率及规则!$A$2:$C$8,3,TRUE)))</f>
        <v/>
      </c>
      <c r="AA332" s="15" t="str">
        <f t="shared" si="82"/>
        <v/>
      </c>
      <c r="AB332" s="17" t="str">
        <f t="shared" si="83"/>
        <v/>
      </c>
      <c r="AC332" s="17" t="str">
        <f t="shared" si="84"/>
        <v/>
      </c>
      <c r="AD332" s="4" t="str">
        <f>IF(A332="","",IF(COUNTIF($A$2:$A$501,A332)&gt;1,"异常：事件编号重复",IF(OR(C332="",D332="",E332="",F332="",G332=""),"异常：必填项缺失",IF(AND(F332="其他股权激励",O332=""),"异常：其他股权激励所得缺失",IF(AND(F332&lt;&gt;"其他股权激励",OR(I332="",J332="")),"异常：数量或市场价缺失",IF(AND(F332&lt;&gt;"其他股权激励",OR(I332&lt;=0,J332&lt;0)),"异常：数量或价格无效",IF(AND(F332="限制性股票",OR(M332&lt;=0,N332&lt;0,I332&gt;M332)),"异常：个人获授或出资数据无效",IF(AND(IFERROR(INDEX(计划参数!$J$2:$J$501,MATCH(C332,计划参数!$I$2:$I$501,0)),"")&lt;&gt;"",D332&lt;&gt;IFERROR(INDEX(计划参数!$J$2:$J$501,MATCH(C332,计划参数!$I$2:$I$501,0)),"")),"异常：姓名与员工主数据不一致",IF(S332&lt;0,"异常：原始所得为负，已按0计税",IF(OR(AND(F332="股票期权",K332=""),AND(F332="限制性股票",OR(K332="",L332=""))),"异常：计划参数缺失",IF(COUNTIF(计划参数!$I$2:$I$501,C332)=0,"提示：员工编号未在主数据",IF(Q332&lt;&gt;"已备案","提示：未确认备案","正常"))))))))))))</f>
        <v/>
      </c>
      <c r="AE332" s="9"/>
      <c r="AF332" s="4" t="str">
        <f>IF(C332="","",IF(COUNTIF($C$2:C332,C332)=1,MAX($AF$1:AF331)+1,""))</f>
        <v/>
      </c>
      <c r="AG332" s="4" t="str">
        <f>IF(C332="","",COUNTIF($C$2:C332,C332))</f>
        <v/>
      </c>
      <c r="AH332" s="4" t="str">
        <f t="shared" si="85"/>
        <v/>
      </c>
      <c r="AI332" s="4" t="str">
        <f t="shared" si="86"/>
        <v/>
      </c>
      <c r="AJ332" s="4" t="str">
        <f t="shared" si="87"/>
        <v/>
      </c>
      <c r="AK332" s="15" t="str">
        <f>IF(A332="","",SUMIFS(分期缴税台账!$K$2:$K$501,分期缴税台账!$T$2:$T$501,A332,分期缴税台账!$Q$2:$Q$501,"有效"))</f>
        <v/>
      </c>
      <c r="AL332" s="15" t="str">
        <f t="shared" si="88"/>
        <v/>
      </c>
      <c r="AM332" s="4" t="str">
        <f t="shared" si="89"/>
        <v/>
      </c>
    </row>
    <row r="333" spans="1:39" x14ac:dyDescent="0.3">
      <c r="A333" s="9"/>
      <c r="B333" s="4" t="str">
        <f t="shared" si="75"/>
        <v/>
      </c>
      <c r="C333" s="9"/>
      <c r="D333" s="9"/>
      <c r="E333" s="9"/>
      <c r="F333" s="9"/>
      <c r="G333" s="13"/>
      <c r="H333" s="4" t="str">
        <f t="shared" si="76"/>
        <v/>
      </c>
      <c r="I333" s="9"/>
      <c r="J333" s="14"/>
      <c r="K333" s="15" t="str">
        <f>IF(OR(E333="",F333="",G333=""),"",IF(E333&lt;&gt;计划参数!$C$2,"",IF(F333="股票期权",IFERROR(LOOKUP(G333,计划参数!$D$12:$D$15,计划参数!$C$12:$C$15),""),IF(F333="限制性股票",计划参数!$C$10,""))))</f>
        <v/>
      </c>
      <c r="L333" s="15" t="str">
        <f>IF(AND(E333=计划参数!$C$2,F333="限制性股票",G333&gt;=计划参数!$D$9),计划参数!$C$9,"")</f>
        <v/>
      </c>
      <c r="M333" s="9"/>
      <c r="N333" s="14"/>
      <c r="O333" s="14"/>
      <c r="P333" s="13"/>
      <c r="Q333" s="9"/>
      <c r="R333" s="13"/>
      <c r="S333" s="15" t="str">
        <f t="shared" si="77"/>
        <v/>
      </c>
      <c r="T333" s="15" t="str">
        <f t="shared" si="78"/>
        <v/>
      </c>
      <c r="U333" s="15" t="str">
        <f t="shared" si="79"/>
        <v/>
      </c>
      <c r="V333" s="15" t="str">
        <f t="shared" si="80"/>
        <v/>
      </c>
      <c r="W333" s="16" t="str">
        <f>IF(V333="","",VLOOKUP(V333,税率及规则!$A$2:$C$8,2,TRUE))</f>
        <v/>
      </c>
      <c r="X333" s="15" t="str">
        <f>IF(V333="","",VLOOKUP(V333,税率及规则!$A$2:$C$8,3,TRUE))</f>
        <v/>
      </c>
      <c r="Y333" s="15" t="str">
        <f t="shared" si="81"/>
        <v/>
      </c>
      <c r="Z333" s="15" t="str">
        <f>IF(U333="","",MAX(0,U333*VLOOKUP(U333,税率及规则!$A$2:$C$8,2,TRUE)-VLOOKUP(U333,税率及规则!$A$2:$C$8,3,TRUE)))</f>
        <v/>
      </c>
      <c r="AA333" s="15" t="str">
        <f t="shared" si="82"/>
        <v/>
      </c>
      <c r="AB333" s="17" t="str">
        <f t="shared" si="83"/>
        <v/>
      </c>
      <c r="AC333" s="17" t="str">
        <f t="shared" si="84"/>
        <v/>
      </c>
      <c r="AD333" s="4" t="str">
        <f>IF(A333="","",IF(COUNTIF($A$2:$A$501,A333)&gt;1,"异常：事件编号重复",IF(OR(C333="",D333="",E333="",F333="",G333=""),"异常：必填项缺失",IF(AND(F333="其他股权激励",O333=""),"异常：其他股权激励所得缺失",IF(AND(F333&lt;&gt;"其他股权激励",OR(I333="",J333="")),"异常：数量或市场价缺失",IF(AND(F333&lt;&gt;"其他股权激励",OR(I333&lt;=0,J333&lt;0)),"异常：数量或价格无效",IF(AND(F333="限制性股票",OR(M333&lt;=0,N333&lt;0,I333&gt;M333)),"异常：个人获授或出资数据无效",IF(AND(IFERROR(INDEX(计划参数!$J$2:$J$501,MATCH(C333,计划参数!$I$2:$I$501,0)),"")&lt;&gt;"",D333&lt;&gt;IFERROR(INDEX(计划参数!$J$2:$J$501,MATCH(C333,计划参数!$I$2:$I$501,0)),"")),"异常：姓名与员工主数据不一致",IF(S333&lt;0,"异常：原始所得为负，已按0计税",IF(OR(AND(F333="股票期权",K333=""),AND(F333="限制性股票",OR(K333="",L333=""))),"异常：计划参数缺失",IF(COUNTIF(计划参数!$I$2:$I$501,C333)=0,"提示：员工编号未在主数据",IF(Q333&lt;&gt;"已备案","提示：未确认备案","正常"))))))))))))</f>
        <v/>
      </c>
      <c r="AE333" s="9"/>
      <c r="AF333" s="4" t="str">
        <f>IF(C333="","",IF(COUNTIF($C$2:C333,C333)=1,MAX($AF$1:AF332)+1,""))</f>
        <v/>
      </c>
      <c r="AG333" s="4" t="str">
        <f>IF(C333="","",COUNTIF($C$2:C333,C333))</f>
        <v/>
      </c>
      <c r="AH333" s="4" t="str">
        <f t="shared" si="85"/>
        <v/>
      </c>
      <c r="AI333" s="4" t="str">
        <f t="shared" si="86"/>
        <v/>
      </c>
      <c r="AJ333" s="4" t="str">
        <f t="shared" si="87"/>
        <v/>
      </c>
      <c r="AK333" s="15" t="str">
        <f>IF(A333="","",SUMIFS(分期缴税台账!$K$2:$K$501,分期缴税台账!$T$2:$T$501,A333,分期缴税台账!$Q$2:$Q$501,"有效"))</f>
        <v/>
      </c>
      <c r="AL333" s="15" t="str">
        <f t="shared" si="88"/>
        <v/>
      </c>
      <c r="AM333" s="4" t="str">
        <f t="shared" si="89"/>
        <v/>
      </c>
    </row>
    <row r="334" spans="1:39" x14ac:dyDescent="0.3">
      <c r="A334" s="9"/>
      <c r="B334" s="4" t="str">
        <f t="shared" si="75"/>
        <v/>
      </c>
      <c r="C334" s="9"/>
      <c r="D334" s="9"/>
      <c r="E334" s="9"/>
      <c r="F334" s="9"/>
      <c r="G334" s="13"/>
      <c r="H334" s="4" t="str">
        <f t="shared" si="76"/>
        <v/>
      </c>
      <c r="I334" s="9"/>
      <c r="J334" s="14"/>
      <c r="K334" s="15" t="str">
        <f>IF(OR(E334="",F334="",G334=""),"",IF(E334&lt;&gt;计划参数!$C$2,"",IF(F334="股票期权",IFERROR(LOOKUP(G334,计划参数!$D$12:$D$15,计划参数!$C$12:$C$15),""),IF(F334="限制性股票",计划参数!$C$10,""))))</f>
        <v/>
      </c>
      <c r="L334" s="15" t="str">
        <f>IF(AND(E334=计划参数!$C$2,F334="限制性股票",G334&gt;=计划参数!$D$9),计划参数!$C$9,"")</f>
        <v/>
      </c>
      <c r="M334" s="9"/>
      <c r="N334" s="14"/>
      <c r="O334" s="14"/>
      <c r="P334" s="13"/>
      <c r="Q334" s="9"/>
      <c r="R334" s="13"/>
      <c r="S334" s="15" t="str">
        <f t="shared" si="77"/>
        <v/>
      </c>
      <c r="T334" s="15" t="str">
        <f t="shared" si="78"/>
        <v/>
      </c>
      <c r="U334" s="15" t="str">
        <f t="shared" si="79"/>
        <v/>
      </c>
      <c r="V334" s="15" t="str">
        <f t="shared" si="80"/>
        <v/>
      </c>
      <c r="W334" s="16" t="str">
        <f>IF(V334="","",VLOOKUP(V334,税率及规则!$A$2:$C$8,2,TRUE))</f>
        <v/>
      </c>
      <c r="X334" s="15" t="str">
        <f>IF(V334="","",VLOOKUP(V334,税率及规则!$A$2:$C$8,3,TRUE))</f>
        <v/>
      </c>
      <c r="Y334" s="15" t="str">
        <f t="shared" si="81"/>
        <v/>
      </c>
      <c r="Z334" s="15" t="str">
        <f>IF(U334="","",MAX(0,U334*VLOOKUP(U334,税率及规则!$A$2:$C$8,2,TRUE)-VLOOKUP(U334,税率及规则!$A$2:$C$8,3,TRUE)))</f>
        <v/>
      </c>
      <c r="AA334" s="15" t="str">
        <f t="shared" si="82"/>
        <v/>
      </c>
      <c r="AB334" s="17" t="str">
        <f t="shared" si="83"/>
        <v/>
      </c>
      <c r="AC334" s="17" t="str">
        <f t="shared" si="84"/>
        <v/>
      </c>
      <c r="AD334" s="4" t="str">
        <f>IF(A334="","",IF(COUNTIF($A$2:$A$501,A334)&gt;1,"异常：事件编号重复",IF(OR(C334="",D334="",E334="",F334="",G334=""),"异常：必填项缺失",IF(AND(F334="其他股权激励",O334=""),"异常：其他股权激励所得缺失",IF(AND(F334&lt;&gt;"其他股权激励",OR(I334="",J334="")),"异常：数量或市场价缺失",IF(AND(F334&lt;&gt;"其他股权激励",OR(I334&lt;=0,J334&lt;0)),"异常：数量或价格无效",IF(AND(F334="限制性股票",OR(M334&lt;=0,N334&lt;0,I334&gt;M334)),"异常：个人获授或出资数据无效",IF(AND(IFERROR(INDEX(计划参数!$J$2:$J$501,MATCH(C334,计划参数!$I$2:$I$501,0)),"")&lt;&gt;"",D334&lt;&gt;IFERROR(INDEX(计划参数!$J$2:$J$501,MATCH(C334,计划参数!$I$2:$I$501,0)),"")),"异常：姓名与员工主数据不一致",IF(S334&lt;0,"异常：原始所得为负，已按0计税",IF(OR(AND(F334="股票期权",K334=""),AND(F334="限制性股票",OR(K334="",L334=""))),"异常：计划参数缺失",IF(COUNTIF(计划参数!$I$2:$I$501,C334)=0,"提示：员工编号未在主数据",IF(Q334&lt;&gt;"已备案","提示：未确认备案","正常"))))))))))))</f>
        <v/>
      </c>
      <c r="AE334" s="9"/>
      <c r="AF334" s="4" t="str">
        <f>IF(C334="","",IF(COUNTIF($C$2:C334,C334)=1,MAX($AF$1:AF333)+1,""))</f>
        <v/>
      </c>
      <c r="AG334" s="4" t="str">
        <f>IF(C334="","",COUNTIF($C$2:C334,C334))</f>
        <v/>
      </c>
      <c r="AH334" s="4" t="str">
        <f t="shared" si="85"/>
        <v/>
      </c>
      <c r="AI334" s="4" t="str">
        <f t="shared" si="86"/>
        <v/>
      </c>
      <c r="AJ334" s="4" t="str">
        <f t="shared" si="87"/>
        <v/>
      </c>
      <c r="AK334" s="15" t="str">
        <f>IF(A334="","",SUMIFS(分期缴税台账!$K$2:$K$501,分期缴税台账!$T$2:$T$501,A334,分期缴税台账!$Q$2:$Q$501,"有效"))</f>
        <v/>
      </c>
      <c r="AL334" s="15" t="str">
        <f t="shared" si="88"/>
        <v/>
      </c>
      <c r="AM334" s="4" t="str">
        <f t="shared" si="89"/>
        <v/>
      </c>
    </row>
    <row r="335" spans="1:39" x14ac:dyDescent="0.3">
      <c r="A335" s="9"/>
      <c r="B335" s="4" t="str">
        <f t="shared" si="75"/>
        <v/>
      </c>
      <c r="C335" s="9"/>
      <c r="D335" s="9"/>
      <c r="E335" s="9"/>
      <c r="F335" s="9"/>
      <c r="G335" s="13"/>
      <c r="H335" s="4" t="str">
        <f t="shared" si="76"/>
        <v/>
      </c>
      <c r="I335" s="9"/>
      <c r="J335" s="14"/>
      <c r="K335" s="15" t="str">
        <f>IF(OR(E335="",F335="",G335=""),"",IF(E335&lt;&gt;计划参数!$C$2,"",IF(F335="股票期权",IFERROR(LOOKUP(G335,计划参数!$D$12:$D$15,计划参数!$C$12:$C$15),""),IF(F335="限制性股票",计划参数!$C$10,""))))</f>
        <v/>
      </c>
      <c r="L335" s="15" t="str">
        <f>IF(AND(E335=计划参数!$C$2,F335="限制性股票",G335&gt;=计划参数!$D$9),计划参数!$C$9,"")</f>
        <v/>
      </c>
      <c r="M335" s="9"/>
      <c r="N335" s="14"/>
      <c r="O335" s="14"/>
      <c r="P335" s="13"/>
      <c r="Q335" s="9"/>
      <c r="R335" s="13"/>
      <c r="S335" s="15" t="str">
        <f t="shared" si="77"/>
        <v/>
      </c>
      <c r="T335" s="15" t="str">
        <f t="shared" si="78"/>
        <v/>
      </c>
      <c r="U335" s="15" t="str">
        <f t="shared" si="79"/>
        <v/>
      </c>
      <c r="V335" s="15" t="str">
        <f t="shared" si="80"/>
        <v/>
      </c>
      <c r="W335" s="16" t="str">
        <f>IF(V335="","",VLOOKUP(V335,税率及规则!$A$2:$C$8,2,TRUE))</f>
        <v/>
      </c>
      <c r="X335" s="15" t="str">
        <f>IF(V335="","",VLOOKUP(V335,税率及规则!$A$2:$C$8,3,TRUE))</f>
        <v/>
      </c>
      <c r="Y335" s="15" t="str">
        <f t="shared" si="81"/>
        <v/>
      </c>
      <c r="Z335" s="15" t="str">
        <f>IF(U335="","",MAX(0,U335*VLOOKUP(U335,税率及规则!$A$2:$C$8,2,TRUE)-VLOOKUP(U335,税率及规则!$A$2:$C$8,3,TRUE)))</f>
        <v/>
      </c>
      <c r="AA335" s="15" t="str">
        <f t="shared" si="82"/>
        <v/>
      </c>
      <c r="AB335" s="17" t="str">
        <f t="shared" si="83"/>
        <v/>
      </c>
      <c r="AC335" s="17" t="str">
        <f t="shared" si="84"/>
        <v/>
      </c>
      <c r="AD335" s="4" t="str">
        <f>IF(A335="","",IF(COUNTIF($A$2:$A$501,A335)&gt;1,"异常：事件编号重复",IF(OR(C335="",D335="",E335="",F335="",G335=""),"异常：必填项缺失",IF(AND(F335="其他股权激励",O335=""),"异常：其他股权激励所得缺失",IF(AND(F335&lt;&gt;"其他股权激励",OR(I335="",J335="")),"异常：数量或市场价缺失",IF(AND(F335&lt;&gt;"其他股权激励",OR(I335&lt;=0,J335&lt;0)),"异常：数量或价格无效",IF(AND(F335="限制性股票",OR(M335&lt;=0,N335&lt;0,I335&gt;M335)),"异常：个人获授或出资数据无效",IF(AND(IFERROR(INDEX(计划参数!$J$2:$J$501,MATCH(C335,计划参数!$I$2:$I$501,0)),"")&lt;&gt;"",D335&lt;&gt;IFERROR(INDEX(计划参数!$J$2:$J$501,MATCH(C335,计划参数!$I$2:$I$501,0)),"")),"异常：姓名与员工主数据不一致",IF(S335&lt;0,"异常：原始所得为负，已按0计税",IF(OR(AND(F335="股票期权",K335=""),AND(F335="限制性股票",OR(K335="",L335=""))),"异常：计划参数缺失",IF(COUNTIF(计划参数!$I$2:$I$501,C335)=0,"提示：员工编号未在主数据",IF(Q335&lt;&gt;"已备案","提示：未确认备案","正常"))))))))))))</f>
        <v/>
      </c>
      <c r="AE335" s="9"/>
      <c r="AF335" s="4" t="str">
        <f>IF(C335="","",IF(COUNTIF($C$2:C335,C335)=1,MAX($AF$1:AF334)+1,""))</f>
        <v/>
      </c>
      <c r="AG335" s="4" t="str">
        <f>IF(C335="","",COUNTIF($C$2:C335,C335))</f>
        <v/>
      </c>
      <c r="AH335" s="4" t="str">
        <f t="shared" si="85"/>
        <v/>
      </c>
      <c r="AI335" s="4" t="str">
        <f t="shared" si="86"/>
        <v/>
      </c>
      <c r="AJ335" s="4" t="str">
        <f t="shared" si="87"/>
        <v/>
      </c>
      <c r="AK335" s="15" t="str">
        <f>IF(A335="","",SUMIFS(分期缴税台账!$K$2:$K$501,分期缴税台账!$T$2:$T$501,A335,分期缴税台账!$Q$2:$Q$501,"有效"))</f>
        <v/>
      </c>
      <c r="AL335" s="15" t="str">
        <f t="shared" si="88"/>
        <v/>
      </c>
      <c r="AM335" s="4" t="str">
        <f t="shared" si="89"/>
        <v/>
      </c>
    </row>
    <row r="336" spans="1:39" x14ac:dyDescent="0.3">
      <c r="A336" s="9"/>
      <c r="B336" s="4" t="str">
        <f t="shared" si="75"/>
        <v/>
      </c>
      <c r="C336" s="9"/>
      <c r="D336" s="9"/>
      <c r="E336" s="9"/>
      <c r="F336" s="9"/>
      <c r="G336" s="13"/>
      <c r="H336" s="4" t="str">
        <f t="shared" si="76"/>
        <v/>
      </c>
      <c r="I336" s="9"/>
      <c r="J336" s="14"/>
      <c r="K336" s="15" t="str">
        <f>IF(OR(E336="",F336="",G336=""),"",IF(E336&lt;&gt;计划参数!$C$2,"",IF(F336="股票期权",IFERROR(LOOKUP(G336,计划参数!$D$12:$D$15,计划参数!$C$12:$C$15),""),IF(F336="限制性股票",计划参数!$C$10,""))))</f>
        <v/>
      </c>
      <c r="L336" s="15" t="str">
        <f>IF(AND(E336=计划参数!$C$2,F336="限制性股票",G336&gt;=计划参数!$D$9),计划参数!$C$9,"")</f>
        <v/>
      </c>
      <c r="M336" s="9"/>
      <c r="N336" s="14"/>
      <c r="O336" s="14"/>
      <c r="P336" s="13"/>
      <c r="Q336" s="9"/>
      <c r="R336" s="13"/>
      <c r="S336" s="15" t="str">
        <f t="shared" si="77"/>
        <v/>
      </c>
      <c r="T336" s="15" t="str">
        <f t="shared" si="78"/>
        <v/>
      </c>
      <c r="U336" s="15" t="str">
        <f t="shared" si="79"/>
        <v/>
      </c>
      <c r="V336" s="15" t="str">
        <f t="shared" si="80"/>
        <v/>
      </c>
      <c r="W336" s="16" t="str">
        <f>IF(V336="","",VLOOKUP(V336,税率及规则!$A$2:$C$8,2,TRUE))</f>
        <v/>
      </c>
      <c r="X336" s="15" t="str">
        <f>IF(V336="","",VLOOKUP(V336,税率及规则!$A$2:$C$8,3,TRUE))</f>
        <v/>
      </c>
      <c r="Y336" s="15" t="str">
        <f t="shared" si="81"/>
        <v/>
      </c>
      <c r="Z336" s="15" t="str">
        <f>IF(U336="","",MAX(0,U336*VLOOKUP(U336,税率及规则!$A$2:$C$8,2,TRUE)-VLOOKUP(U336,税率及规则!$A$2:$C$8,3,TRUE)))</f>
        <v/>
      </c>
      <c r="AA336" s="15" t="str">
        <f t="shared" si="82"/>
        <v/>
      </c>
      <c r="AB336" s="17" t="str">
        <f t="shared" si="83"/>
        <v/>
      </c>
      <c r="AC336" s="17" t="str">
        <f t="shared" si="84"/>
        <v/>
      </c>
      <c r="AD336" s="4" t="str">
        <f>IF(A336="","",IF(COUNTIF($A$2:$A$501,A336)&gt;1,"异常：事件编号重复",IF(OR(C336="",D336="",E336="",F336="",G336=""),"异常：必填项缺失",IF(AND(F336="其他股权激励",O336=""),"异常：其他股权激励所得缺失",IF(AND(F336&lt;&gt;"其他股权激励",OR(I336="",J336="")),"异常：数量或市场价缺失",IF(AND(F336&lt;&gt;"其他股权激励",OR(I336&lt;=0,J336&lt;0)),"异常：数量或价格无效",IF(AND(F336="限制性股票",OR(M336&lt;=0,N336&lt;0,I336&gt;M336)),"异常：个人获授或出资数据无效",IF(AND(IFERROR(INDEX(计划参数!$J$2:$J$501,MATCH(C336,计划参数!$I$2:$I$501,0)),"")&lt;&gt;"",D336&lt;&gt;IFERROR(INDEX(计划参数!$J$2:$J$501,MATCH(C336,计划参数!$I$2:$I$501,0)),"")),"异常：姓名与员工主数据不一致",IF(S336&lt;0,"异常：原始所得为负，已按0计税",IF(OR(AND(F336="股票期权",K336=""),AND(F336="限制性股票",OR(K336="",L336=""))),"异常：计划参数缺失",IF(COUNTIF(计划参数!$I$2:$I$501,C336)=0,"提示：员工编号未在主数据",IF(Q336&lt;&gt;"已备案","提示：未确认备案","正常"))))))))))))</f>
        <v/>
      </c>
      <c r="AE336" s="9"/>
      <c r="AF336" s="4" t="str">
        <f>IF(C336="","",IF(COUNTIF($C$2:C336,C336)=1,MAX($AF$1:AF335)+1,""))</f>
        <v/>
      </c>
      <c r="AG336" s="4" t="str">
        <f>IF(C336="","",COUNTIF($C$2:C336,C336))</f>
        <v/>
      </c>
      <c r="AH336" s="4" t="str">
        <f t="shared" si="85"/>
        <v/>
      </c>
      <c r="AI336" s="4" t="str">
        <f t="shared" si="86"/>
        <v/>
      </c>
      <c r="AJ336" s="4" t="str">
        <f t="shared" si="87"/>
        <v/>
      </c>
      <c r="AK336" s="15" t="str">
        <f>IF(A336="","",SUMIFS(分期缴税台账!$K$2:$K$501,分期缴税台账!$T$2:$T$501,A336,分期缴税台账!$Q$2:$Q$501,"有效"))</f>
        <v/>
      </c>
      <c r="AL336" s="15" t="str">
        <f t="shared" si="88"/>
        <v/>
      </c>
      <c r="AM336" s="4" t="str">
        <f t="shared" si="89"/>
        <v/>
      </c>
    </row>
    <row r="337" spans="1:39" x14ac:dyDescent="0.3">
      <c r="A337" s="9"/>
      <c r="B337" s="4" t="str">
        <f t="shared" si="75"/>
        <v/>
      </c>
      <c r="C337" s="9"/>
      <c r="D337" s="9"/>
      <c r="E337" s="9"/>
      <c r="F337" s="9"/>
      <c r="G337" s="13"/>
      <c r="H337" s="4" t="str">
        <f t="shared" si="76"/>
        <v/>
      </c>
      <c r="I337" s="9"/>
      <c r="J337" s="14"/>
      <c r="K337" s="15" t="str">
        <f>IF(OR(E337="",F337="",G337=""),"",IF(E337&lt;&gt;计划参数!$C$2,"",IF(F337="股票期权",IFERROR(LOOKUP(G337,计划参数!$D$12:$D$15,计划参数!$C$12:$C$15),""),IF(F337="限制性股票",计划参数!$C$10,""))))</f>
        <v/>
      </c>
      <c r="L337" s="15" t="str">
        <f>IF(AND(E337=计划参数!$C$2,F337="限制性股票",G337&gt;=计划参数!$D$9),计划参数!$C$9,"")</f>
        <v/>
      </c>
      <c r="M337" s="9"/>
      <c r="N337" s="14"/>
      <c r="O337" s="14"/>
      <c r="P337" s="13"/>
      <c r="Q337" s="9"/>
      <c r="R337" s="13"/>
      <c r="S337" s="15" t="str">
        <f t="shared" si="77"/>
        <v/>
      </c>
      <c r="T337" s="15" t="str">
        <f t="shared" si="78"/>
        <v/>
      </c>
      <c r="U337" s="15" t="str">
        <f t="shared" si="79"/>
        <v/>
      </c>
      <c r="V337" s="15" t="str">
        <f t="shared" si="80"/>
        <v/>
      </c>
      <c r="W337" s="16" t="str">
        <f>IF(V337="","",VLOOKUP(V337,税率及规则!$A$2:$C$8,2,TRUE))</f>
        <v/>
      </c>
      <c r="X337" s="15" t="str">
        <f>IF(V337="","",VLOOKUP(V337,税率及规则!$A$2:$C$8,3,TRUE))</f>
        <v/>
      </c>
      <c r="Y337" s="15" t="str">
        <f t="shared" si="81"/>
        <v/>
      </c>
      <c r="Z337" s="15" t="str">
        <f>IF(U337="","",MAX(0,U337*VLOOKUP(U337,税率及规则!$A$2:$C$8,2,TRUE)-VLOOKUP(U337,税率及规则!$A$2:$C$8,3,TRUE)))</f>
        <v/>
      </c>
      <c r="AA337" s="15" t="str">
        <f t="shared" si="82"/>
        <v/>
      </c>
      <c r="AB337" s="17" t="str">
        <f t="shared" si="83"/>
        <v/>
      </c>
      <c r="AC337" s="17" t="str">
        <f t="shared" si="84"/>
        <v/>
      </c>
      <c r="AD337" s="4" t="str">
        <f>IF(A337="","",IF(COUNTIF($A$2:$A$501,A337)&gt;1,"异常：事件编号重复",IF(OR(C337="",D337="",E337="",F337="",G337=""),"异常：必填项缺失",IF(AND(F337="其他股权激励",O337=""),"异常：其他股权激励所得缺失",IF(AND(F337&lt;&gt;"其他股权激励",OR(I337="",J337="")),"异常：数量或市场价缺失",IF(AND(F337&lt;&gt;"其他股权激励",OR(I337&lt;=0,J337&lt;0)),"异常：数量或价格无效",IF(AND(F337="限制性股票",OR(M337&lt;=0,N337&lt;0,I337&gt;M337)),"异常：个人获授或出资数据无效",IF(AND(IFERROR(INDEX(计划参数!$J$2:$J$501,MATCH(C337,计划参数!$I$2:$I$501,0)),"")&lt;&gt;"",D337&lt;&gt;IFERROR(INDEX(计划参数!$J$2:$J$501,MATCH(C337,计划参数!$I$2:$I$501,0)),"")),"异常：姓名与员工主数据不一致",IF(S337&lt;0,"异常：原始所得为负，已按0计税",IF(OR(AND(F337="股票期权",K337=""),AND(F337="限制性股票",OR(K337="",L337=""))),"异常：计划参数缺失",IF(COUNTIF(计划参数!$I$2:$I$501,C337)=0,"提示：员工编号未在主数据",IF(Q337&lt;&gt;"已备案","提示：未确认备案","正常"))))))))))))</f>
        <v/>
      </c>
      <c r="AE337" s="9"/>
      <c r="AF337" s="4" t="str">
        <f>IF(C337="","",IF(COUNTIF($C$2:C337,C337)=1,MAX($AF$1:AF336)+1,""))</f>
        <v/>
      </c>
      <c r="AG337" s="4" t="str">
        <f>IF(C337="","",COUNTIF($C$2:C337,C337))</f>
        <v/>
      </c>
      <c r="AH337" s="4" t="str">
        <f t="shared" si="85"/>
        <v/>
      </c>
      <c r="AI337" s="4" t="str">
        <f t="shared" si="86"/>
        <v/>
      </c>
      <c r="AJ337" s="4" t="str">
        <f t="shared" si="87"/>
        <v/>
      </c>
      <c r="AK337" s="15" t="str">
        <f>IF(A337="","",SUMIFS(分期缴税台账!$K$2:$K$501,分期缴税台账!$T$2:$T$501,A337,分期缴税台账!$Q$2:$Q$501,"有效"))</f>
        <v/>
      </c>
      <c r="AL337" s="15" t="str">
        <f t="shared" si="88"/>
        <v/>
      </c>
      <c r="AM337" s="4" t="str">
        <f t="shared" si="89"/>
        <v/>
      </c>
    </row>
    <row r="338" spans="1:39" x14ac:dyDescent="0.3">
      <c r="A338" s="9"/>
      <c r="B338" s="4" t="str">
        <f t="shared" si="75"/>
        <v/>
      </c>
      <c r="C338" s="9"/>
      <c r="D338" s="9"/>
      <c r="E338" s="9"/>
      <c r="F338" s="9"/>
      <c r="G338" s="13"/>
      <c r="H338" s="4" t="str">
        <f t="shared" si="76"/>
        <v/>
      </c>
      <c r="I338" s="9"/>
      <c r="J338" s="14"/>
      <c r="K338" s="15" t="str">
        <f>IF(OR(E338="",F338="",G338=""),"",IF(E338&lt;&gt;计划参数!$C$2,"",IF(F338="股票期权",IFERROR(LOOKUP(G338,计划参数!$D$12:$D$15,计划参数!$C$12:$C$15),""),IF(F338="限制性股票",计划参数!$C$10,""))))</f>
        <v/>
      </c>
      <c r="L338" s="15" t="str">
        <f>IF(AND(E338=计划参数!$C$2,F338="限制性股票",G338&gt;=计划参数!$D$9),计划参数!$C$9,"")</f>
        <v/>
      </c>
      <c r="M338" s="9"/>
      <c r="N338" s="14"/>
      <c r="O338" s="14"/>
      <c r="P338" s="13"/>
      <c r="Q338" s="9"/>
      <c r="R338" s="13"/>
      <c r="S338" s="15" t="str">
        <f t="shared" si="77"/>
        <v/>
      </c>
      <c r="T338" s="15" t="str">
        <f t="shared" si="78"/>
        <v/>
      </c>
      <c r="U338" s="15" t="str">
        <f t="shared" si="79"/>
        <v/>
      </c>
      <c r="V338" s="15" t="str">
        <f t="shared" si="80"/>
        <v/>
      </c>
      <c r="W338" s="16" t="str">
        <f>IF(V338="","",VLOOKUP(V338,税率及规则!$A$2:$C$8,2,TRUE))</f>
        <v/>
      </c>
      <c r="X338" s="15" t="str">
        <f>IF(V338="","",VLOOKUP(V338,税率及规则!$A$2:$C$8,3,TRUE))</f>
        <v/>
      </c>
      <c r="Y338" s="15" t="str">
        <f t="shared" si="81"/>
        <v/>
      </c>
      <c r="Z338" s="15" t="str">
        <f>IF(U338="","",MAX(0,U338*VLOOKUP(U338,税率及规则!$A$2:$C$8,2,TRUE)-VLOOKUP(U338,税率及规则!$A$2:$C$8,3,TRUE)))</f>
        <v/>
      </c>
      <c r="AA338" s="15" t="str">
        <f t="shared" si="82"/>
        <v/>
      </c>
      <c r="AB338" s="17" t="str">
        <f t="shared" si="83"/>
        <v/>
      </c>
      <c r="AC338" s="17" t="str">
        <f t="shared" si="84"/>
        <v/>
      </c>
      <c r="AD338" s="4" t="str">
        <f>IF(A338="","",IF(COUNTIF($A$2:$A$501,A338)&gt;1,"异常：事件编号重复",IF(OR(C338="",D338="",E338="",F338="",G338=""),"异常：必填项缺失",IF(AND(F338="其他股权激励",O338=""),"异常：其他股权激励所得缺失",IF(AND(F338&lt;&gt;"其他股权激励",OR(I338="",J338="")),"异常：数量或市场价缺失",IF(AND(F338&lt;&gt;"其他股权激励",OR(I338&lt;=0,J338&lt;0)),"异常：数量或价格无效",IF(AND(F338="限制性股票",OR(M338&lt;=0,N338&lt;0,I338&gt;M338)),"异常：个人获授或出资数据无效",IF(AND(IFERROR(INDEX(计划参数!$J$2:$J$501,MATCH(C338,计划参数!$I$2:$I$501,0)),"")&lt;&gt;"",D338&lt;&gt;IFERROR(INDEX(计划参数!$J$2:$J$501,MATCH(C338,计划参数!$I$2:$I$501,0)),"")),"异常：姓名与员工主数据不一致",IF(S338&lt;0,"异常：原始所得为负，已按0计税",IF(OR(AND(F338="股票期权",K338=""),AND(F338="限制性股票",OR(K338="",L338=""))),"异常：计划参数缺失",IF(COUNTIF(计划参数!$I$2:$I$501,C338)=0,"提示：员工编号未在主数据",IF(Q338&lt;&gt;"已备案","提示：未确认备案","正常"))))))))))))</f>
        <v/>
      </c>
      <c r="AE338" s="9"/>
      <c r="AF338" s="4" t="str">
        <f>IF(C338="","",IF(COUNTIF($C$2:C338,C338)=1,MAX($AF$1:AF337)+1,""))</f>
        <v/>
      </c>
      <c r="AG338" s="4" t="str">
        <f>IF(C338="","",COUNTIF($C$2:C338,C338))</f>
        <v/>
      </c>
      <c r="AH338" s="4" t="str">
        <f t="shared" si="85"/>
        <v/>
      </c>
      <c r="AI338" s="4" t="str">
        <f t="shared" si="86"/>
        <v/>
      </c>
      <c r="AJ338" s="4" t="str">
        <f t="shared" si="87"/>
        <v/>
      </c>
      <c r="AK338" s="15" t="str">
        <f>IF(A338="","",SUMIFS(分期缴税台账!$K$2:$K$501,分期缴税台账!$T$2:$T$501,A338,分期缴税台账!$Q$2:$Q$501,"有效"))</f>
        <v/>
      </c>
      <c r="AL338" s="15" t="str">
        <f t="shared" si="88"/>
        <v/>
      </c>
      <c r="AM338" s="4" t="str">
        <f t="shared" si="89"/>
        <v/>
      </c>
    </row>
    <row r="339" spans="1:39" x14ac:dyDescent="0.3">
      <c r="A339" s="9"/>
      <c r="B339" s="4" t="str">
        <f t="shared" si="75"/>
        <v/>
      </c>
      <c r="C339" s="9"/>
      <c r="D339" s="9"/>
      <c r="E339" s="9"/>
      <c r="F339" s="9"/>
      <c r="G339" s="13"/>
      <c r="H339" s="4" t="str">
        <f t="shared" si="76"/>
        <v/>
      </c>
      <c r="I339" s="9"/>
      <c r="J339" s="14"/>
      <c r="K339" s="15" t="str">
        <f>IF(OR(E339="",F339="",G339=""),"",IF(E339&lt;&gt;计划参数!$C$2,"",IF(F339="股票期权",IFERROR(LOOKUP(G339,计划参数!$D$12:$D$15,计划参数!$C$12:$C$15),""),IF(F339="限制性股票",计划参数!$C$10,""))))</f>
        <v/>
      </c>
      <c r="L339" s="15" t="str">
        <f>IF(AND(E339=计划参数!$C$2,F339="限制性股票",G339&gt;=计划参数!$D$9),计划参数!$C$9,"")</f>
        <v/>
      </c>
      <c r="M339" s="9"/>
      <c r="N339" s="14"/>
      <c r="O339" s="14"/>
      <c r="P339" s="13"/>
      <c r="Q339" s="9"/>
      <c r="R339" s="13"/>
      <c r="S339" s="15" t="str">
        <f t="shared" si="77"/>
        <v/>
      </c>
      <c r="T339" s="15" t="str">
        <f t="shared" si="78"/>
        <v/>
      </c>
      <c r="U339" s="15" t="str">
        <f t="shared" si="79"/>
        <v/>
      </c>
      <c r="V339" s="15" t="str">
        <f t="shared" si="80"/>
        <v/>
      </c>
      <c r="W339" s="16" t="str">
        <f>IF(V339="","",VLOOKUP(V339,税率及规则!$A$2:$C$8,2,TRUE))</f>
        <v/>
      </c>
      <c r="X339" s="15" t="str">
        <f>IF(V339="","",VLOOKUP(V339,税率及规则!$A$2:$C$8,3,TRUE))</f>
        <v/>
      </c>
      <c r="Y339" s="15" t="str">
        <f t="shared" si="81"/>
        <v/>
      </c>
      <c r="Z339" s="15" t="str">
        <f>IF(U339="","",MAX(0,U339*VLOOKUP(U339,税率及规则!$A$2:$C$8,2,TRUE)-VLOOKUP(U339,税率及规则!$A$2:$C$8,3,TRUE)))</f>
        <v/>
      </c>
      <c r="AA339" s="15" t="str">
        <f t="shared" si="82"/>
        <v/>
      </c>
      <c r="AB339" s="17" t="str">
        <f t="shared" si="83"/>
        <v/>
      </c>
      <c r="AC339" s="17" t="str">
        <f t="shared" si="84"/>
        <v/>
      </c>
      <c r="AD339" s="4" t="str">
        <f>IF(A339="","",IF(COUNTIF($A$2:$A$501,A339)&gt;1,"异常：事件编号重复",IF(OR(C339="",D339="",E339="",F339="",G339=""),"异常：必填项缺失",IF(AND(F339="其他股权激励",O339=""),"异常：其他股权激励所得缺失",IF(AND(F339&lt;&gt;"其他股权激励",OR(I339="",J339="")),"异常：数量或市场价缺失",IF(AND(F339&lt;&gt;"其他股权激励",OR(I339&lt;=0,J339&lt;0)),"异常：数量或价格无效",IF(AND(F339="限制性股票",OR(M339&lt;=0,N339&lt;0,I339&gt;M339)),"异常：个人获授或出资数据无效",IF(AND(IFERROR(INDEX(计划参数!$J$2:$J$501,MATCH(C339,计划参数!$I$2:$I$501,0)),"")&lt;&gt;"",D339&lt;&gt;IFERROR(INDEX(计划参数!$J$2:$J$501,MATCH(C339,计划参数!$I$2:$I$501,0)),"")),"异常：姓名与员工主数据不一致",IF(S339&lt;0,"异常：原始所得为负，已按0计税",IF(OR(AND(F339="股票期权",K339=""),AND(F339="限制性股票",OR(K339="",L339=""))),"异常：计划参数缺失",IF(COUNTIF(计划参数!$I$2:$I$501,C339)=0,"提示：员工编号未在主数据",IF(Q339&lt;&gt;"已备案","提示：未确认备案","正常"))))))))))))</f>
        <v/>
      </c>
      <c r="AE339" s="9"/>
      <c r="AF339" s="4" t="str">
        <f>IF(C339="","",IF(COUNTIF($C$2:C339,C339)=1,MAX($AF$1:AF338)+1,""))</f>
        <v/>
      </c>
      <c r="AG339" s="4" t="str">
        <f>IF(C339="","",COUNTIF($C$2:C339,C339))</f>
        <v/>
      </c>
      <c r="AH339" s="4" t="str">
        <f t="shared" si="85"/>
        <v/>
      </c>
      <c r="AI339" s="4" t="str">
        <f t="shared" si="86"/>
        <v/>
      </c>
      <c r="AJ339" s="4" t="str">
        <f t="shared" si="87"/>
        <v/>
      </c>
      <c r="AK339" s="15" t="str">
        <f>IF(A339="","",SUMIFS(分期缴税台账!$K$2:$K$501,分期缴税台账!$T$2:$T$501,A339,分期缴税台账!$Q$2:$Q$501,"有效"))</f>
        <v/>
      </c>
      <c r="AL339" s="15" t="str">
        <f t="shared" si="88"/>
        <v/>
      </c>
      <c r="AM339" s="4" t="str">
        <f t="shared" si="89"/>
        <v/>
      </c>
    </row>
    <row r="340" spans="1:39" x14ac:dyDescent="0.3">
      <c r="A340" s="9"/>
      <c r="B340" s="4" t="str">
        <f t="shared" si="75"/>
        <v/>
      </c>
      <c r="C340" s="9"/>
      <c r="D340" s="9"/>
      <c r="E340" s="9"/>
      <c r="F340" s="9"/>
      <c r="G340" s="13"/>
      <c r="H340" s="4" t="str">
        <f t="shared" si="76"/>
        <v/>
      </c>
      <c r="I340" s="9"/>
      <c r="J340" s="14"/>
      <c r="K340" s="15" t="str">
        <f>IF(OR(E340="",F340="",G340=""),"",IF(E340&lt;&gt;计划参数!$C$2,"",IF(F340="股票期权",IFERROR(LOOKUP(G340,计划参数!$D$12:$D$15,计划参数!$C$12:$C$15),""),IF(F340="限制性股票",计划参数!$C$10,""))))</f>
        <v/>
      </c>
      <c r="L340" s="15" t="str">
        <f>IF(AND(E340=计划参数!$C$2,F340="限制性股票",G340&gt;=计划参数!$D$9),计划参数!$C$9,"")</f>
        <v/>
      </c>
      <c r="M340" s="9"/>
      <c r="N340" s="14"/>
      <c r="O340" s="14"/>
      <c r="P340" s="13"/>
      <c r="Q340" s="9"/>
      <c r="R340" s="13"/>
      <c r="S340" s="15" t="str">
        <f t="shared" si="77"/>
        <v/>
      </c>
      <c r="T340" s="15" t="str">
        <f t="shared" si="78"/>
        <v/>
      </c>
      <c r="U340" s="15" t="str">
        <f t="shared" si="79"/>
        <v/>
      </c>
      <c r="V340" s="15" t="str">
        <f t="shared" si="80"/>
        <v/>
      </c>
      <c r="W340" s="16" t="str">
        <f>IF(V340="","",VLOOKUP(V340,税率及规则!$A$2:$C$8,2,TRUE))</f>
        <v/>
      </c>
      <c r="X340" s="15" t="str">
        <f>IF(V340="","",VLOOKUP(V340,税率及规则!$A$2:$C$8,3,TRUE))</f>
        <v/>
      </c>
      <c r="Y340" s="15" t="str">
        <f t="shared" si="81"/>
        <v/>
      </c>
      <c r="Z340" s="15" t="str">
        <f>IF(U340="","",MAX(0,U340*VLOOKUP(U340,税率及规则!$A$2:$C$8,2,TRUE)-VLOOKUP(U340,税率及规则!$A$2:$C$8,3,TRUE)))</f>
        <v/>
      </c>
      <c r="AA340" s="15" t="str">
        <f t="shared" si="82"/>
        <v/>
      </c>
      <c r="AB340" s="17" t="str">
        <f t="shared" si="83"/>
        <v/>
      </c>
      <c r="AC340" s="17" t="str">
        <f t="shared" si="84"/>
        <v/>
      </c>
      <c r="AD340" s="4" t="str">
        <f>IF(A340="","",IF(COUNTIF($A$2:$A$501,A340)&gt;1,"异常：事件编号重复",IF(OR(C340="",D340="",E340="",F340="",G340=""),"异常：必填项缺失",IF(AND(F340="其他股权激励",O340=""),"异常：其他股权激励所得缺失",IF(AND(F340&lt;&gt;"其他股权激励",OR(I340="",J340="")),"异常：数量或市场价缺失",IF(AND(F340&lt;&gt;"其他股权激励",OR(I340&lt;=0,J340&lt;0)),"异常：数量或价格无效",IF(AND(F340="限制性股票",OR(M340&lt;=0,N340&lt;0,I340&gt;M340)),"异常：个人获授或出资数据无效",IF(AND(IFERROR(INDEX(计划参数!$J$2:$J$501,MATCH(C340,计划参数!$I$2:$I$501,0)),"")&lt;&gt;"",D340&lt;&gt;IFERROR(INDEX(计划参数!$J$2:$J$501,MATCH(C340,计划参数!$I$2:$I$501,0)),"")),"异常：姓名与员工主数据不一致",IF(S340&lt;0,"异常：原始所得为负，已按0计税",IF(OR(AND(F340="股票期权",K340=""),AND(F340="限制性股票",OR(K340="",L340=""))),"异常：计划参数缺失",IF(COUNTIF(计划参数!$I$2:$I$501,C340)=0,"提示：员工编号未在主数据",IF(Q340&lt;&gt;"已备案","提示：未确认备案","正常"))))))))))))</f>
        <v/>
      </c>
      <c r="AE340" s="9"/>
      <c r="AF340" s="4" t="str">
        <f>IF(C340="","",IF(COUNTIF($C$2:C340,C340)=1,MAX($AF$1:AF339)+1,""))</f>
        <v/>
      </c>
      <c r="AG340" s="4" t="str">
        <f>IF(C340="","",COUNTIF($C$2:C340,C340))</f>
        <v/>
      </c>
      <c r="AH340" s="4" t="str">
        <f t="shared" si="85"/>
        <v/>
      </c>
      <c r="AI340" s="4" t="str">
        <f t="shared" si="86"/>
        <v/>
      </c>
      <c r="AJ340" s="4" t="str">
        <f t="shared" si="87"/>
        <v/>
      </c>
      <c r="AK340" s="15" t="str">
        <f>IF(A340="","",SUMIFS(分期缴税台账!$K$2:$K$501,分期缴税台账!$T$2:$T$501,A340,分期缴税台账!$Q$2:$Q$501,"有效"))</f>
        <v/>
      </c>
      <c r="AL340" s="15" t="str">
        <f t="shared" si="88"/>
        <v/>
      </c>
      <c r="AM340" s="4" t="str">
        <f t="shared" si="89"/>
        <v/>
      </c>
    </row>
    <row r="341" spans="1:39" x14ac:dyDescent="0.3">
      <c r="A341" s="9"/>
      <c r="B341" s="4" t="str">
        <f t="shared" si="75"/>
        <v/>
      </c>
      <c r="C341" s="9"/>
      <c r="D341" s="9"/>
      <c r="E341" s="9"/>
      <c r="F341" s="9"/>
      <c r="G341" s="13"/>
      <c r="H341" s="4" t="str">
        <f t="shared" si="76"/>
        <v/>
      </c>
      <c r="I341" s="9"/>
      <c r="J341" s="14"/>
      <c r="K341" s="15" t="str">
        <f>IF(OR(E341="",F341="",G341=""),"",IF(E341&lt;&gt;计划参数!$C$2,"",IF(F341="股票期权",IFERROR(LOOKUP(G341,计划参数!$D$12:$D$15,计划参数!$C$12:$C$15),""),IF(F341="限制性股票",计划参数!$C$10,""))))</f>
        <v/>
      </c>
      <c r="L341" s="15" t="str">
        <f>IF(AND(E341=计划参数!$C$2,F341="限制性股票",G341&gt;=计划参数!$D$9),计划参数!$C$9,"")</f>
        <v/>
      </c>
      <c r="M341" s="9"/>
      <c r="N341" s="14"/>
      <c r="O341" s="14"/>
      <c r="P341" s="13"/>
      <c r="Q341" s="9"/>
      <c r="R341" s="13"/>
      <c r="S341" s="15" t="str">
        <f t="shared" si="77"/>
        <v/>
      </c>
      <c r="T341" s="15" t="str">
        <f t="shared" si="78"/>
        <v/>
      </c>
      <c r="U341" s="15" t="str">
        <f t="shared" si="79"/>
        <v/>
      </c>
      <c r="V341" s="15" t="str">
        <f t="shared" si="80"/>
        <v/>
      </c>
      <c r="W341" s="16" t="str">
        <f>IF(V341="","",VLOOKUP(V341,税率及规则!$A$2:$C$8,2,TRUE))</f>
        <v/>
      </c>
      <c r="X341" s="15" t="str">
        <f>IF(V341="","",VLOOKUP(V341,税率及规则!$A$2:$C$8,3,TRUE))</f>
        <v/>
      </c>
      <c r="Y341" s="15" t="str">
        <f t="shared" si="81"/>
        <v/>
      </c>
      <c r="Z341" s="15" t="str">
        <f>IF(U341="","",MAX(0,U341*VLOOKUP(U341,税率及规则!$A$2:$C$8,2,TRUE)-VLOOKUP(U341,税率及规则!$A$2:$C$8,3,TRUE)))</f>
        <v/>
      </c>
      <c r="AA341" s="15" t="str">
        <f t="shared" si="82"/>
        <v/>
      </c>
      <c r="AB341" s="17" t="str">
        <f t="shared" si="83"/>
        <v/>
      </c>
      <c r="AC341" s="17" t="str">
        <f t="shared" si="84"/>
        <v/>
      </c>
      <c r="AD341" s="4" t="str">
        <f>IF(A341="","",IF(COUNTIF($A$2:$A$501,A341)&gt;1,"异常：事件编号重复",IF(OR(C341="",D341="",E341="",F341="",G341=""),"异常：必填项缺失",IF(AND(F341="其他股权激励",O341=""),"异常：其他股权激励所得缺失",IF(AND(F341&lt;&gt;"其他股权激励",OR(I341="",J341="")),"异常：数量或市场价缺失",IF(AND(F341&lt;&gt;"其他股权激励",OR(I341&lt;=0,J341&lt;0)),"异常：数量或价格无效",IF(AND(F341="限制性股票",OR(M341&lt;=0,N341&lt;0,I341&gt;M341)),"异常：个人获授或出资数据无效",IF(AND(IFERROR(INDEX(计划参数!$J$2:$J$501,MATCH(C341,计划参数!$I$2:$I$501,0)),"")&lt;&gt;"",D341&lt;&gt;IFERROR(INDEX(计划参数!$J$2:$J$501,MATCH(C341,计划参数!$I$2:$I$501,0)),"")),"异常：姓名与员工主数据不一致",IF(S341&lt;0,"异常：原始所得为负，已按0计税",IF(OR(AND(F341="股票期权",K341=""),AND(F341="限制性股票",OR(K341="",L341=""))),"异常：计划参数缺失",IF(COUNTIF(计划参数!$I$2:$I$501,C341)=0,"提示：员工编号未在主数据",IF(Q341&lt;&gt;"已备案","提示：未确认备案","正常"))))))))))))</f>
        <v/>
      </c>
      <c r="AE341" s="9"/>
      <c r="AF341" s="4" t="str">
        <f>IF(C341="","",IF(COUNTIF($C$2:C341,C341)=1,MAX($AF$1:AF340)+1,""))</f>
        <v/>
      </c>
      <c r="AG341" s="4" t="str">
        <f>IF(C341="","",COUNTIF($C$2:C341,C341))</f>
        <v/>
      </c>
      <c r="AH341" s="4" t="str">
        <f t="shared" si="85"/>
        <v/>
      </c>
      <c r="AI341" s="4" t="str">
        <f t="shared" si="86"/>
        <v/>
      </c>
      <c r="AJ341" s="4" t="str">
        <f t="shared" si="87"/>
        <v/>
      </c>
      <c r="AK341" s="15" t="str">
        <f>IF(A341="","",SUMIFS(分期缴税台账!$K$2:$K$501,分期缴税台账!$T$2:$T$501,A341,分期缴税台账!$Q$2:$Q$501,"有效"))</f>
        <v/>
      </c>
      <c r="AL341" s="15" t="str">
        <f t="shared" si="88"/>
        <v/>
      </c>
      <c r="AM341" s="4" t="str">
        <f t="shared" si="89"/>
        <v/>
      </c>
    </row>
    <row r="342" spans="1:39" x14ac:dyDescent="0.3">
      <c r="A342" s="9"/>
      <c r="B342" s="4" t="str">
        <f t="shared" si="75"/>
        <v/>
      </c>
      <c r="C342" s="9"/>
      <c r="D342" s="9"/>
      <c r="E342" s="9"/>
      <c r="F342" s="9"/>
      <c r="G342" s="13"/>
      <c r="H342" s="4" t="str">
        <f t="shared" si="76"/>
        <v/>
      </c>
      <c r="I342" s="9"/>
      <c r="J342" s="14"/>
      <c r="K342" s="15" t="str">
        <f>IF(OR(E342="",F342="",G342=""),"",IF(E342&lt;&gt;计划参数!$C$2,"",IF(F342="股票期权",IFERROR(LOOKUP(G342,计划参数!$D$12:$D$15,计划参数!$C$12:$C$15),""),IF(F342="限制性股票",计划参数!$C$10,""))))</f>
        <v/>
      </c>
      <c r="L342" s="15" t="str">
        <f>IF(AND(E342=计划参数!$C$2,F342="限制性股票",G342&gt;=计划参数!$D$9),计划参数!$C$9,"")</f>
        <v/>
      </c>
      <c r="M342" s="9"/>
      <c r="N342" s="14"/>
      <c r="O342" s="14"/>
      <c r="P342" s="13"/>
      <c r="Q342" s="9"/>
      <c r="R342" s="13"/>
      <c r="S342" s="15" t="str">
        <f t="shared" si="77"/>
        <v/>
      </c>
      <c r="T342" s="15" t="str">
        <f t="shared" si="78"/>
        <v/>
      </c>
      <c r="U342" s="15" t="str">
        <f t="shared" si="79"/>
        <v/>
      </c>
      <c r="V342" s="15" t="str">
        <f t="shared" si="80"/>
        <v/>
      </c>
      <c r="W342" s="16" t="str">
        <f>IF(V342="","",VLOOKUP(V342,税率及规则!$A$2:$C$8,2,TRUE))</f>
        <v/>
      </c>
      <c r="X342" s="15" t="str">
        <f>IF(V342="","",VLOOKUP(V342,税率及规则!$A$2:$C$8,3,TRUE))</f>
        <v/>
      </c>
      <c r="Y342" s="15" t="str">
        <f t="shared" si="81"/>
        <v/>
      </c>
      <c r="Z342" s="15" t="str">
        <f>IF(U342="","",MAX(0,U342*VLOOKUP(U342,税率及规则!$A$2:$C$8,2,TRUE)-VLOOKUP(U342,税率及规则!$A$2:$C$8,3,TRUE)))</f>
        <v/>
      </c>
      <c r="AA342" s="15" t="str">
        <f t="shared" si="82"/>
        <v/>
      </c>
      <c r="AB342" s="17" t="str">
        <f t="shared" si="83"/>
        <v/>
      </c>
      <c r="AC342" s="17" t="str">
        <f t="shared" si="84"/>
        <v/>
      </c>
      <c r="AD342" s="4" t="str">
        <f>IF(A342="","",IF(COUNTIF($A$2:$A$501,A342)&gt;1,"异常：事件编号重复",IF(OR(C342="",D342="",E342="",F342="",G342=""),"异常：必填项缺失",IF(AND(F342="其他股权激励",O342=""),"异常：其他股权激励所得缺失",IF(AND(F342&lt;&gt;"其他股权激励",OR(I342="",J342="")),"异常：数量或市场价缺失",IF(AND(F342&lt;&gt;"其他股权激励",OR(I342&lt;=0,J342&lt;0)),"异常：数量或价格无效",IF(AND(F342="限制性股票",OR(M342&lt;=0,N342&lt;0,I342&gt;M342)),"异常：个人获授或出资数据无效",IF(AND(IFERROR(INDEX(计划参数!$J$2:$J$501,MATCH(C342,计划参数!$I$2:$I$501,0)),"")&lt;&gt;"",D342&lt;&gt;IFERROR(INDEX(计划参数!$J$2:$J$501,MATCH(C342,计划参数!$I$2:$I$501,0)),"")),"异常：姓名与员工主数据不一致",IF(S342&lt;0,"异常：原始所得为负，已按0计税",IF(OR(AND(F342="股票期权",K342=""),AND(F342="限制性股票",OR(K342="",L342=""))),"异常：计划参数缺失",IF(COUNTIF(计划参数!$I$2:$I$501,C342)=0,"提示：员工编号未在主数据",IF(Q342&lt;&gt;"已备案","提示：未确认备案","正常"))))))))))))</f>
        <v/>
      </c>
      <c r="AE342" s="9"/>
      <c r="AF342" s="4" t="str">
        <f>IF(C342="","",IF(COUNTIF($C$2:C342,C342)=1,MAX($AF$1:AF341)+1,""))</f>
        <v/>
      </c>
      <c r="AG342" s="4" t="str">
        <f>IF(C342="","",COUNTIF($C$2:C342,C342))</f>
        <v/>
      </c>
      <c r="AH342" s="4" t="str">
        <f t="shared" si="85"/>
        <v/>
      </c>
      <c r="AI342" s="4" t="str">
        <f t="shared" si="86"/>
        <v/>
      </c>
      <c r="AJ342" s="4" t="str">
        <f t="shared" si="87"/>
        <v/>
      </c>
      <c r="AK342" s="15" t="str">
        <f>IF(A342="","",SUMIFS(分期缴税台账!$K$2:$K$501,分期缴税台账!$T$2:$T$501,A342,分期缴税台账!$Q$2:$Q$501,"有效"))</f>
        <v/>
      </c>
      <c r="AL342" s="15" t="str">
        <f t="shared" si="88"/>
        <v/>
      </c>
      <c r="AM342" s="4" t="str">
        <f t="shared" si="89"/>
        <v/>
      </c>
    </row>
    <row r="343" spans="1:39" x14ac:dyDescent="0.3">
      <c r="A343" s="9"/>
      <c r="B343" s="4" t="str">
        <f t="shared" si="75"/>
        <v/>
      </c>
      <c r="C343" s="9"/>
      <c r="D343" s="9"/>
      <c r="E343" s="9"/>
      <c r="F343" s="9"/>
      <c r="G343" s="13"/>
      <c r="H343" s="4" t="str">
        <f t="shared" si="76"/>
        <v/>
      </c>
      <c r="I343" s="9"/>
      <c r="J343" s="14"/>
      <c r="K343" s="15" t="str">
        <f>IF(OR(E343="",F343="",G343=""),"",IF(E343&lt;&gt;计划参数!$C$2,"",IF(F343="股票期权",IFERROR(LOOKUP(G343,计划参数!$D$12:$D$15,计划参数!$C$12:$C$15),""),IF(F343="限制性股票",计划参数!$C$10,""))))</f>
        <v/>
      </c>
      <c r="L343" s="15" t="str">
        <f>IF(AND(E343=计划参数!$C$2,F343="限制性股票",G343&gt;=计划参数!$D$9),计划参数!$C$9,"")</f>
        <v/>
      </c>
      <c r="M343" s="9"/>
      <c r="N343" s="14"/>
      <c r="O343" s="14"/>
      <c r="P343" s="13"/>
      <c r="Q343" s="9"/>
      <c r="R343" s="13"/>
      <c r="S343" s="15" t="str">
        <f t="shared" si="77"/>
        <v/>
      </c>
      <c r="T343" s="15" t="str">
        <f t="shared" si="78"/>
        <v/>
      </c>
      <c r="U343" s="15" t="str">
        <f t="shared" si="79"/>
        <v/>
      </c>
      <c r="V343" s="15" t="str">
        <f t="shared" si="80"/>
        <v/>
      </c>
      <c r="W343" s="16" t="str">
        <f>IF(V343="","",VLOOKUP(V343,税率及规则!$A$2:$C$8,2,TRUE))</f>
        <v/>
      </c>
      <c r="X343" s="15" t="str">
        <f>IF(V343="","",VLOOKUP(V343,税率及规则!$A$2:$C$8,3,TRUE))</f>
        <v/>
      </c>
      <c r="Y343" s="15" t="str">
        <f t="shared" si="81"/>
        <v/>
      </c>
      <c r="Z343" s="15" t="str">
        <f>IF(U343="","",MAX(0,U343*VLOOKUP(U343,税率及规则!$A$2:$C$8,2,TRUE)-VLOOKUP(U343,税率及规则!$A$2:$C$8,3,TRUE)))</f>
        <v/>
      </c>
      <c r="AA343" s="15" t="str">
        <f t="shared" si="82"/>
        <v/>
      </c>
      <c r="AB343" s="17" t="str">
        <f t="shared" si="83"/>
        <v/>
      </c>
      <c r="AC343" s="17" t="str">
        <f t="shared" si="84"/>
        <v/>
      </c>
      <c r="AD343" s="4" t="str">
        <f>IF(A343="","",IF(COUNTIF($A$2:$A$501,A343)&gt;1,"异常：事件编号重复",IF(OR(C343="",D343="",E343="",F343="",G343=""),"异常：必填项缺失",IF(AND(F343="其他股权激励",O343=""),"异常：其他股权激励所得缺失",IF(AND(F343&lt;&gt;"其他股权激励",OR(I343="",J343="")),"异常：数量或市场价缺失",IF(AND(F343&lt;&gt;"其他股权激励",OR(I343&lt;=0,J343&lt;0)),"异常：数量或价格无效",IF(AND(F343="限制性股票",OR(M343&lt;=0,N343&lt;0,I343&gt;M343)),"异常：个人获授或出资数据无效",IF(AND(IFERROR(INDEX(计划参数!$J$2:$J$501,MATCH(C343,计划参数!$I$2:$I$501,0)),"")&lt;&gt;"",D343&lt;&gt;IFERROR(INDEX(计划参数!$J$2:$J$501,MATCH(C343,计划参数!$I$2:$I$501,0)),"")),"异常：姓名与员工主数据不一致",IF(S343&lt;0,"异常：原始所得为负，已按0计税",IF(OR(AND(F343="股票期权",K343=""),AND(F343="限制性股票",OR(K343="",L343=""))),"异常：计划参数缺失",IF(COUNTIF(计划参数!$I$2:$I$501,C343)=0,"提示：员工编号未在主数据",IF(Q343&lt;&gt;"已备案","提示：未确认备案","正常"))))))))))))</f>
        <v/>
      </c>
      <c r="AE343" s="9"/>
      <c r="AF343" s="4" t="str">
        <f>IF(C343="","",IF(COUNTIF($C$2:C343,C343)=1,MAX($AF$1:AF342)+1,""))</f>
        <v/>
      </c>
      <c r="AG343" s="4" t="str">
        <f>IF(C343="","",COUNTIF($C$2:C343,C343))</f>
        <v/>
      </c>
      <c r="AH343" s="4" t="str">
        <f t="shared" si="85"/>
        <v/>
      </c>
      <c r="AI343" s="4" t="str">
        <f t="shared" si="86"/>
        <v/>
      </c>
      <c r="AJ343" s="4" t="str">
        <f t="shared" si="87"/>
        <v/>
      </c>
      <c r="AK343" s="15" t="str">
        <f>IF(A343="","",SUMIFS(分期缴税台账!$K$2:$K$501,分期缴税台账!$T$2:$T$501,A343,分期缴税台账!$Q$2:$Q$501,"有效"))</f>
        <v/>
      </c>
      <c r="AL343" s="15" t="str">
        <f t="shared" si="88"/>
        <v/>
      </c>
      <c r="AM343" s="4" t="str">
        <f t="shared" si="89"/>
        <v/>
      </c>
    </row>
    <row r="344" spans="1:39" x14ac:dyDescent="0.3">
      <c r="A344" s="9"/>
      <c r="B344" s="4" t="str">
        <f t="shared" si="75"/>
        <v/>
      </c>
      <c r="C344" s="9"/>
      <c r="D344" s="9"/>
      <c r="E344" s="9"/>
      <c r="F344" s="9"/>
      <c r="G344" s="13"/>
      <c r="H344" s="4" t="str">
        <f t="shared" si="76"/>
        <v/>
      </c>
      <c r="I344" s="9"/>
      <c r="J344" s="14"/>
      <c r="K344" s="15" t="str">
        <f>IF(OR(E344="",F344="",G344=""),"",IF(E344&lt;&gt;计划参数!$C$2,"",IF(F344="股票期权",IFERROR(LOOKUP(G344,计划参数!$D$12:$D$15,计划参数!$C$12:$C$15),""),IF(F344="限制性股票",计划参数!$C$10,""))))</f>
        <v/>
      </c>
      <c r="L344" s="15" t="str">
        <f>IF(AND(E344=计划参数!$C$2,F344="限制性股票",G344&gt;=计划参数!$D$9),计划参数!$C$9,"")</f>
        <v/>
      </c>
      <c r="M344" s="9"/>
      <c r="N344" s="14"/>
      <c r="O344" s="14"/>
      <c r="P344" s="13"/>
      <c r="Q344" s="9"/>
      <c r="R344" s="13"/>
      <c r="S344" s="15" t="str">
        <f t="shared" si="77"/>
        <v/>
      </c>
      <c r="T344" s="15" t="str">
        <f t="shared" si="78"/>
        <v/>
      </c>
      <c r="U344" s="15" t="str">
        <f t="shared" si="79"/>
        <v/>
      </c>
      <c r="V344" s="15" t="str">
        <f t="shared" si="80"/>
        <v/>
      </c>
      <c r="W344" s="16" t="str">
        <f>IF(V344="","",VLOOKUP(V344,税率及规则!$A$2:$C$8,2,TRUE))</f>
        <v/>
      </c>
      <c r="X344" s="15" t="str">
        <f>IF(V344="","",VLOOKUP(V344,税率及规则!$A$2:$C$8,3,TRUE))</f>
        <v/>
      </c>
      <c r="Y344" s="15" t="str">
        <f t="shared" si="81"/>
        <v/>
      </c>
      <c r="Z344" s="15" t="str">
        <f>IF(U344="","",MAX(0,U344*VLOOKUP(U344,税率及规则!$A$2:$C$8,2,TRUE)-VLOOKUP(U344,税率及规则!$A$2:$C$8,3,TRUE)))</f>
        <v/>
      </c>
      <c r="AA344" s="15" t="str">
        <f t="shared" si="82"/>
        <v/>
      </c>
      <c r="AB344" s="17" t="str">
        <f t="shared" si="83"/>
        <v/>
      </c>
      <c r="AC344" s="17" t="str">
        <f t="shared" si="84"/>
        <v/>
      </c>
      <c r="AD344" s="4" t="str">
        <f>IF(A344="","",IF(COUNTIF($A$2:$A$501,A344)&gt;1,"异常：事件编号重复",IF(OR(C344="",D344="",E344="",F344="",G344=""),"异常：必填项缺失",IF(AND(F344="其他股权激励",O344=""),"异常：其他股权激励所得缺失",IF(AND(F344&lt;&gt;"其他股权激励",OR(I344="",J344="")),"异常：数量或市场价缺失",IF(AND(F344&lt;&gt;"其他股权激励",OR(I344&lt;=0,J344&lt;0)),"异常：数量或价格无效",IF(AND(F344="限制性股票",OR(M344&lt;=0,N344&lt;0,I344&gt;M344)),"异常：个人获授或出资数据无效",IF(AND(IFERROR(INDEX(计划参数!$J$2:$J$501,MATCH(C344,计划参数!$I$2:$I$501,0)),"")&lt;&gt;"",D344&lt;&gt;IFERROR(INDEX(计划参数!$J$2:$J$501,MATCH(C344,计划参数!$I$2:$I$501,0)),"")),"异常：姓名与员工主数据不一致",IF(S344&lt;0,"异常：原始所得为负，已按0计税",IF(OR(AND(F344="股票期权",K344=""),AND(F344="限制性股票",OR(K344="",L344=""))),"异常：计划参数缺失",IF(COUNTIF(计划参数!$I$2:$I$501,C344)=0,"提示：员工编号未在主数据",IF(Q344&lt;&gt;"已备案","提示：未确认备案","正常"))))))))))))</f>
        <v/>
      </c>
      <c r="AE344" s="9"/>
      <c r="AF344" s="4" t="str">
        <f>IF(C344="","",IF(COUNTIF($C$2:C344,C344)=1,MAX($AF$1:AF343)+1,""))</f>
        <v/>
      </c>
      <c r="AG344" s="4" t="str">
        <f>IF(C344="","",COUNTIF($C$2:C344,C344))</f>
        <v/>
      </c>
      <c r="AH344" s="4" t="str">
        <f t="shared" si="85"/>
        <v/>
      </c>
      <c r="AI344" s="4" t="str">
        <f t="shared" si="86"/>
        <v/>
      </c>
      <c r="AJ344" s="4" t="str">
        <f t="shared" si="87"/>
        <v/>
      </c>
      <c r="AK344" s="15" t="str">
        <f>IF(A344="","",SUMIFS(分期缴税台账!$K$2:$K$501,分期缴税台账!$T$2:$T$501,A344,分期缴税台账!$Q$2:$Q$501,"有效"))</f>
        <v/>
      </c>
      <c r="AL344" s="15" t="str">
        <f t="shared" si="88"/>
        <v/>
      </c>
      <c r="AM344" s="4" t="str">
        <f t="shared" si="89"/>
        <v/>
      </c>
    </row>
    <row r="345" spans="1:39" x14ac:dyDescent="0.3">
      <c r="A345" s="9"/>
      <c r="B345" s="4" t="str">
        <f t="shared" si="75"/>
        <v/>
      </c>
      <c r="C345" s="9"/>
      <c r="D345" s="9"/>
      <c r="E345" s="9"/>
      <c r="F345" s="9"/>
      <c r="G345" s="13"/>
      <c r="H345" s="4" t="str">
        <f t="shared" si="76"/>
        <v/>
      </c>
      <c r="I345" s="9"/>
      <c r="J345" s="14"/>
      <c r="K345" s="15" t="str">
        <f>IF(OR(E345="",F345="",G345=""),"",IF(E345&lt;&gt;计划参数!$C$2,"",IF(F345="股票期权",IFERROR(LOOKUP(G345,计划参数!$D$12:$D$15,计划参数!$C$12:$C$15),""),IF(F345="限制性股票",计划参数!$C$10,""))))</f>
        <v/>
      </c>
      <c r="L345" s="15" t="str">
        <f>IF(AND(E345=计划参数!$C$2,F345="限制性股票",G345&gt;=计划参数!$D$9),计划参数!$C$9,"")</f>
        <v/>
      </c>
      <c r="M345" s="9"/>
      <c r="N345" s="14"/>
      <c r="O345" s="14"/>
      <c r="P345" s="13"/>
      <c r="Q345" s="9"/>
      <c r="R345" s="13"/>
      <c r="S345" s="15" t="str">
        <f t="shared" si="77"/>
        <v/>
      </c>
      <c r="T345" s="15" t="str">
        <f t="shared" si="78"/>
        <v/>
      </c>
      <c r="U345" s="15" t="str">
        <f t="shared" si="79"/>
        <v/>
      </c>
      <c r="V345" s="15" t="str">
        <f t="shared" si="80"/>
        <v/>
      </c>
      <c r="W345" s="16" t="str">
        <f>IF(V345="","",VLOOKUP(V345,税率及规则!$A$2:$C$8,2,TRUE))</f>
        <v/>
      </c>
      <c r="X345" s="15" t="str">
        <f>IF(V345="","",VLOOKUP(V345,税率及规则!$A$2:$C$8,3,TRUE))</f>
        <v/>
      </c>
      <c r="Y345" s="15" t="str">
        <f t="shared" si="81"/>
        <v/>
      </c>
      <c r="Z345" s="15" t="str">
        <f>IF(U345="","",MAX(0,U345*VLOOKUP(U345,税率及规则!$A$2:$C$8,2,TRUE)-VLOOKUP(U345,税率及规则!$A$2:$C$8,3,TRUE)))</f>
        <v/>
      </c>
      <c r="AA345" s="15" t="str">
        <f t="shared" si="82"/>
        <v/>
      </c>
      <c r="AB345" s="17" t="str">
        <f t="shared" si="83"/>
        <v/>
      </c>
      <c r="AC345" s="17" t="str">
        <f t="shared" si="84"/>
        <v/>
      </c>
      <c r="AD345" s="4" t="str">
        <f>IF(A345="","",IF(COUNTIF($A$2:$A$501,A345)&gt;1,"异常：事件编号重复",IF(OR(C345="",D345="",E345="",F345="",G345=""),"异常：必填项缺失",IF(AND(F345="其他股权激励",O345=""),"异常：其他股权激励所得缺失",IF(AND(F345&lt;&gt;"其他股权激励",OR(I345="",J345="")),"异常：数量或市场价缺失",IF(AND(F345&lt;&gt;"其他股权激励",OR(I345&lt;=0,J345&lt;0)),"异常：数量或价格无效",IF(AND(F345="限制性股票",OR(M345&lt;=0,N345&lt;0,I345&gt;M345)),"异常：个人获授或出资数据无效",IF(AND(IFERROR(INDEX(计划参数!$J$2:$J$501,MATCH(C345,计划参数!$I$2:$I$501,0)),"")&lt;&gt;"",D345&lt;&gt;IFERROR(INDEX(计划参数!$J$2:$J$501,MATCH(C345,计划参数!$I$2:$I$501,0)),"")),"异常：姓名与员工主数据不一致",IF(S345&lt;0,"异常：原始所得为负，已按0计税",IF(OR(AND(F345="股票期权",K345=""),AND(F345="限制性股票",OR(K345="",L345=""))),"异常：计划参数缺失",IF(COUNTIF(计划参数!$I$2:$I$501,C345)=0,"提示：员工编号未在主数据",IF(Q345&lt;&gt;"已备案","提示：未确认备案","正常"))))))))))))</f>
        <v/>
      </c>
      <c r="AE345" s="9"/>
      <c r="AF345" s="4" t="str">
        <f>IF(C345="","",IF(COUNTIF($C$2:C345,C345)=1,MAX($AF$1:AF344)+1,""))</f>
        <v/>
      </c>
      <c r="AG345" s="4" t="str">
        <f>IF(C345="","",COUNTIF($C$2:C345,C345))</f>
        <v/>
      </c>
      <c r="AH345" s="4" t="str">
        <f t="shared" si="85"/>
        <v/>
      </c>
      <c r="AI345" s="4" t="str">
        <f t="shared" si="86"/>
        <v/>
      </c>
      <c r="AJ345" s="4" t="str">
        <f t="shared" si="87"/>
        <v/>
      </c>
      <c r="AK345" s="15" t="str">
        <f>IF(A345="","",SUMIFS(分期缴税台账!$K$2:$K$501,分期缴税台账!$T$2:$T$501,A345,分期缴税台账!$Q$2:$Q$501,"有效"))</f>
        <v/>
      </c>
      <c r="AL345" s="15" t="str">
        <f t="shared" si="88"/>
        <v/>
      </c>
      <c r="AM345" s="4" t="str">
        <f t="shared" si="89"/>
        <v/>
      </c>
    </row>
    <row r="346" spans="1:39" x14ac:dyDescent="0.3">
      <c r="A346" s="9"/>
      <c r="B346" s="4" t="str">
        <f t="shared" si="75"/>
        <v/>
      </c>
      <c r="C346" s="9"/>
      <c r="D346" s="9"/>
      <c r="E346" s="9"/>
      <c r="F346" s="9"/>
      <c r="G346" s="13"/>
      <c r="H346" s="4" t="str">
        <f t="shared" si="76"/>
        <v/>
      </c>
      <c r="I346" s="9"/>
      <c r="J346" s="14"/>
      <c r="K346" s="15" t="str">
        <f>IF(OR(E346="",F346="",G346=""),"",IF(E346&lt;&gt;计划参数!$C$2,"",IF(F346="股票期权",IFERROR(LOOKUP(G346,计划参数!$D$12:$D$15,计划参数!$C$12:$C$15),""),IF(F346="限制性股票",计划参数!$C$10,""))))</f>
        <v/>
      </c>
      <c r="L346" s="15" t="str">
        <f>IF(AND(E346=计划参数!$C$2,F346="限制性股票",G346&gt;=计划参数!$D$9),计划参数!$C$9,"")</f>
        <v/>
      </c>
      <c r="M346" s="9"/>
      <c r="N346" s="14"/>
      <c r="O346" s="14"/>
      <c r="P346" s="13"/>
      <c r="Q346" s="9"/>
      <c r="R346" s="13"/>
      <c r="S346" s="15" t="str">
        <f t="shared" si="77"/>
        <v/>
      </c>
      <c r="T346" s="15" t="str">
        <f t="shared" si="78"/>
        <v/>
      </c>
      <c r="U346" s="15" t="str">
        <f t="shared" si="79"/>
        <v/>
      </c>
      <c r="V346" s="15" t="str">
        <f t="shared" si="80"/>
        <v/>
      </c>
      <c r="W346" s="16" t="str">
        <f>IF(V346="","",VLOOKUP(V346,税率及规则!$A$2:$C$8,2,TRUE))</f>
        <v/>
      </c>
      <c r="X346" s="15" t="str">
        <f>IF(V346="","",VLOOKUP(V346,税率及规则!$A$2:$C$8,3,TRUE))</f>
        <v/>
      </c>
      <c r="Y346" s="15" t="str">
        <f t="shared" si="81"/>
        <v/>
      </c>
      <c r="Z346" s="15" t="str">
        <f>IF(U346="","",MAX(0,U346*VLOOKUP(U346,税率及规则!$A$2:$C$8,2,TRUE)-VLOOKUP(U346,税率及规则!$A$2:$C$8,3,TRUE)))</f>
        <v/>
      </c>
      <c r="AA346" s="15" t="str">
        <f t="shared" si="82"/>
        <v/>
      </c>
      <c r="AB346" s="17" t="str">
        <f t="shared" si="83"/>
        <v/>
      </c>
      <c r="AC346" s="17" t="str">
        <f t="shared" si="84"/>
        <v/>
      </c>
      <c r="AD346" s="4" t="str">
        <f>IF(A346="","",IF(COUNTIF($A$2:$A$501,A346)&gt;1,"异常：事件编号重复",IF(OR(C346="",D346="",E346="",F346="",G346=""),"异常：必填项缺失",IF(AND(F346="其他股权激励",O346=""),"异常：其他股权激励所得缺失",IF(AND(F346&lt;&gt;"其他股权激励",OR(I346="",J346="")),"异常：数量或市场价缺失",IF(AND(F346&lt;&gt;"其他股权激励",OR(I346&lt;=0,J346&lt;0)),"异常：数量或价格无效",IF(AND(F346="限制性股票",OR(M346&lt;=0,N346&lt;0,I346&gt;M346)),"异常：个人获授或出资数据无效",IF(AND(IFERROR(INDEX(计划参数!$J$2:$J$501,MATCH(C346,计划参数!$I$2:$I$501,0)),"")&lt;&gt;"",D346&lt;&gt;IFERROR(INDEX(计划参数!$J$2:$J$501,MATCH(C346,计划参数!$I$2:$I$501,0)),"")),"异常：姓名与员工主数据不一致",IF(S346&lt;0,"异常：原始所得为负，已按0计税",IF(OR(AND(F346="股票期权",K346=""),AND(F346="限制性股票",OR(K346="",L346=""))),"异常：计划参数缺失",IF(COUNTIF(计划参数!$I$2:$I$501,C346)=0,"提示：员工编号未在主数据",IF(Q346&lt;&gt;"已备案","提示：未确认备案","正常"))))))))))))</f>
        <v/>
      </c>
      <c r="AE346" s="9"/>
      <c r="AF346" s="4" t="str">
        <f>IF(C346="","",IF(COUNTIF($C$2:C346,C346)=1,MAX($AF$1:AF345)+1,""))</f>
        <v/>
      </c>
      <c r="AG346" s="4" t="str">
        <f>IF(C346="","",COUNTIF($C$2:C346,C346))</f>
        <v/>
      </c>
      <c r="AH346" s="4" t="str">
        <f t="shared" si="85"/>
        <v/>
      </c>
      <c r="AI346" s="4" t="str">
        <f t="shared" si="86"/>
        <v/>
      </c>
      <c r="AJ346" s="4" t="str">
        <f t="shared" si="87"/>
        <v/>
      </c>
      <c r="AK346" s="15" t="str">
        <f>IF(A346="","",SUMIFS(分期缴税台账!$K$2:$K$501,分期缴税台账!$T$2:$T$501,A346,分期缴税台账!$Q$2:$Q$501,"有效"))</f>
        <v/>
      </c>
      <c r="AL346" s="15" t="str">
        <f t="shared" si="88"/>
        <v/>
      </c>
      <c r="AM346" s="4" t="str">
        <f t="shared" si="89"/>
        <v/>
      </c>
    </row>
    <row r="347" spans="1:39" x14ac:dyDescent="0.3">
      <c r="A347" s="9"/>
      <c r="B347" s="4" t="str">
        <f t="shared" si="75"/>
        <v/>
      </c>
      <c r="C347" s="9"/>
      <c r="D347" s="9"/>
      <c r="E347" s="9"/>
      <c r="F347" s="9"/>
      <c r="G347" s="13"/>
      <c r="H347" s="4" t="str">
        <f t="shared" si="76"/>
        <v/>
      </c>
      <c r="I347" s="9"/>
      <c r="J347" s="14"/>
      <c r="K347" s="15" t="str">
        <f>IF(OR(E347="",F347="",G347=""),"",IF(E347&lt;&gt;计划参数!$C$2,"",IF(F347="股票期权",IFERROR(LOOKUP(G347,计划参数!$D$12:$D$15,计划参数!$C$12:$C$15),""),IF(F347="限制性股票",计划参数!$C$10,""))))</f>
        <v/>
      </c>
      <c r="L347" s="15" t="str">
        <f>IF(AND(E347=计划参数!$C$2,F347="限制性股票",G347&gt;=计划参数!$D$9),计划参数!$C$9,"")</f>
        <v/>
      </c>
      <c r="M347" s="9"/>
      <c r="N347" s="14"/>
      <c r="O347" s="14"/>
      <c r="P347" s="13"/>
      <c r="Q347" s="9"/>
      <c r="R347" s="13"/>
      <c r="S347" s="15" t="str">
        <f t="shared" si="77"/>
        <v/>
      </c>
      <c r="T347" s="15" t="str">
        <f t="shared" si="78"/>
        <v/>
      </c>
      <c r="U347" s="15" t="str">
        <f t="shared" si="79"/>
        <v/>
      </c>
      <c r="V347" s="15" t="str">
        <f t="shared" si="80"/>
        <v/>
      </c>
      <c r="W347" s="16" t="str">
        <f>IF(V347="","",VLOOKUP(V347,税率及规则!$A$2:$C$8,2,TRUE))</f>
        <v/>
      </c>
      <c r="X347" s="15" t="str">
        <f>IF(V347="","",VLOOKUP(V347,税率及规则!$A$2:$C$8,3,TRUE))</f>
        <v/>
      </c>
      <c r="Y347" s="15" t="str">
        <f t="shared" si="81"/>
        <v/>
      </c>
      <c r="Z347" s="15" t="str">
        <f>IF(U347="","",MAX(0,U347*VLOOKUP(U347,税率及规则!$A$2:$C$8,2,TRUE)-VLOOKUP(U347,税率及规则!$A$2:$C$8,3,TRUE)))</f>
        <v/>
      </c>
      <c r="AA347" s="15" t="str">
        <f t="shared" si="82"/>
        <v/>
      </c>
      <c r="AB347" s="17" t="str">
        <f t="shared" si="83"/>
        <v/>
      </c>
      <c r="AC347" s="17" t="str">
        <f t="shared" si="84"/>
        <v/>
      </c>
      <c r="AD347" s="4" t="str">
        <f>IF(A347="","",IF(COUNTIF($A$2:$A$501,A347)&gt;1,"异常：事件编号重复",IF(OR(C347="",D347="",E347="",F347="",G347=""),"异常：必填项缺失",IF(AND(F347="其他股权激励",O347=""),"异常：其他股权激励所得缺失",IF(AND(F347&lt;&gt;"其他股权激励",OR(I347="",J347="")),"异常：数量或市场价缺失",IF(AND(F347&lt;&gt;"其他股权激励",OR(I347&lt;=0,J347&lt;0)),"异常：数量或价格无效",IF(AND(F347="限制性股票",OR(M347&lt;=0,N347&lt;0,I347&gt;M347)),"异常：个人获授或出资数据无效",IF(AND(IFERROR(INDEX(计划参数!$J$2:$J$501,MATCH(C347,计划参数!$I$2:$I$501,0)),"")&lt;&gt;"",D347&lt;&gt;IFERROR(INDEX(计划参数!$J$2:$J$501,MATCH(C347,计划参数!$I$2:$I$501,0)),"")),"异常：姓名与员工主数据不一致",IF(S347&lt;0,"异常：原始所得为负，已按0计税",IF(OR(AND(F347="股票期权",K347=""),AND(F347="限制性股票",OR(K347="",L347=""))),"异常：计划参数缺失",IF(COUNTIF(计划参数!$I$2:$I$501,C347)=0,"提示：员工编号未在主数据",IF(Q347&lt;&gt;"已备案","提示：未确认备案","正常"))))))))))))</f>
        <v/>
      </c>
      <c r="AE347" s="9"/>
      <c r="AF347" s="4" t="str">
        <f>IF(C347="","",IF(COUNTIF($C$2:C347,C347)=1,MAX($AF$1:AF346)+1,""))</f>
        <v/>
      </c>
      <c r="AG347" s="4" t="str">
        <f>IF(C347="","",COUNTIF($C$2:C347,C347))</f>
        <v/>
      </c>
      <c r="AH347" s="4" t="str">
        <f t="shared" si="85"/>
        <v/>
      </c>
      <c r="AI347" s="4" t="str">
        <f t="shared" si="86"/>
        <v/>
      </c>
      <c r="AJ347" s="4" t="str">
        <f t="shared" si="87"/>
        <v/>
      </c>
      <c r="AK347" s="15" t="str">
        <f>IF(A347="","",SUMIFS(分期缴税台账!$K$2:$K$501,分期缴税台账!$T$2:$T$501,A347,分期缴税台账!$Q$2:$Q$501,"有效"))</f>
        <v/>
      </c>
      <c r="AL347" s="15" t="str">
        <f t="shared" si="88"/>
        <v/>
      </c>
      <c r="AM347" s="4" t="str">
        <f t="shared" si="89"/>
        <v/>
      </c>
    </row>
    <row r="348" spans="1:39" x14ac:dyDescent="0.3">
      <c r="A348" s="9"/>
      <c r="B348" s="4" t="str">
        <f t="shared" si="75"/>
        <v/>
      </c>
      <c r="C348" s="9"/>
      <c r="D348" s="9"/>
      <c r="E348" s="9"/>
      <c r="F348" s="9"/>
      <c r="G348" s="13"/>
      <c r="H348" s="4" t="str">
        <f t="shared" si="76"/>
        <v/>
      </c>
      <c r="I348" s="9"/>
      <c r="J348" s="14"/>
      <c r="K348" s="15" t="str">
        <f>IF(OR(E348="",F348="",G348=""),"",IF(E348&lt;&gt;计划参数!$C$2,"",IF(F348="股票期权",IFERROR(LOOKUP(G348,计划参数!$D$12:$D$15,计划参数!$C$12:$C$15),""),IF(F348="限制性股票",计划参数!$C$10,""))))</f>
        <v/>
      </c>
      <c r="L348" s="15" t="str">
        <f>IF(AND(E348=计划参数!$C$2,F348="限制性股票",G348&gt;=计划参数!$D$9),计划参数!$C$9,"")</f>
        <v/>
      </c>
      <c r="M348" s="9"/>
      <c r="N348" s="14"/>
      <c r="O348" s="14"/>
      <c r="P348" s="13"/>
      <c r="Q348" s="9"/>
      <c r="R348" s="13"/>
      <c r="S348" s="15" t="str">
        <f t="shared" si="77"/>
        <v/>
      </c>
      <c r="T348" s="15" t="str">
        <f t="shared" si="78"/>
        <v/>
      </c>
      <c r="U348" s="15" t="str">
        <f t="shared" si="79"/>
        <v/>
      </c>
      <c r="V348" s="15" t="str">
        <f t="shared" si="80"/>
        <v/>
      </c>
      <c r="W348" s="16" t="str">
        <f>IF(V348="","",VLOOKUP(V348,税率及规则!$A$2:$C$8,2,TRUE))</f>
        <v/>
      </c>
      <c r="X348" s="15" t="str">
        <f>IF(V348="","",VLOOKUP(V348,税率及规则!$A$2:$C$8,3,TRUE))</f>
        <v/>
      </c>
      <c r="Y348" s="15" t="str">
        <f t="shared" si="81"/>
        <v/>
      </c>
      <c r="Z348" s="15" t="str">
        <f>IF(U348="","",MAX(0,U348*VLOOKUP(U348,税率及规则!$A$2:$C$8,2,TRUE)-VLOOKUP(U348,税率及规则!$A$2:$C$8,3,TRUE)))</f>
        <v/>
      </c>
      <c r="AA348" s="15" t="str">
        <f t="shared" si="82"/>
        <v/>
      </c>
      <c r="AB348" s="17" t="str">
        <f t="shared" si="83"/>
        <v/>
      </c>
      <c r="AC348" s="17" t="str">
        <f t="shared" si="84"/>
        <v/>
      </c>
      <c r="AD348" s="4" t="str">
        <f>IF(A348="","",IF(COUNTIF($A$2:$A$501,A348)&gt;1,"异常：事件编号重复",IF(OR(C348="",D348="",E348="",F348="",G348=""),"异常：必填项缺失",IF(AND(F348="其他股权激励",O348=""),"异常：其他股权激励所得缺失",IF(AND(F348&lt;&gt;"其他股权激励",OR(I348="",J348="")),"异常：数量或市场价缺失",IF(AND(F348&lt;&gt;"其他股权激励",OR(I348&lt;=0,J348&lt;0)),"异常：数量或价格无效",IF(AND(F348="限制性股票",OR(M348&lt;=0,N348&lt;0,I348&gt;M348)),"异常：个人获授或出资数据无效",IF(AND(IFERROR(INDEX(计划参数!$J$2:$J$501,MATCH(C348,计划参数!$I$2:$I$501,0)),"")&lt;&gt;"",D348&lt;&gt;IFERROR(INDEX(计划参数!$J$2:$J$501,MATCH(C348,计划参数!$I$2:$I$501,0)),"")),"异常：姓名与员工主数据不一致",IF(S348&lt;0,"异常：原始所得为负，已按0计税",IF(OR(AND(F348="股票期权",K348=""),AND(F348="限制性股票",OR(K348="",L348=""))),"异常：计划参数缺失",IF(COUNTIF(计划参数!$I$2:$I$501,C348)=0,"提示：员工编号未在主数据",IF(Q348&lt;&gt;"已备案","提示：未确认备案","正常"))))))))))))</f>
        <v/>
      </c>
      <c r="AE348" s="9"/>
      <c r="AF348" s="4" t="str">
        <f>IF(C348="","",IF(COUNTIF($C$2:C348,C348)=1,MAX($AF$1:AF347)+1,""))</f>
        <v/>
      </c>
      <c r="AG348" s="4" t="str">
        <f>IF(C348="","",COUNTIF($C$2:C348,C348))</f>
        <v/>
      </c>
      <c r="AH348" s="4" t="str">
        <f t="shared" si="85"/>
        <v/>
      </c>
      <c r="AI348" s="4" t="str">
        <f t="shared" si="86"/>
        <v/>
      </c>
      <c r="AJ348" s="4" t="str">
        <f t="shared" si="87"/>
        <v/>
      </c>
      <c r="AK348" s="15" t="str">
        <f>IF(A348="","",SUMIFS(分期缴税台账!$K$2:$K$501,分期缴税台账!$T$2:$T$501,A348,分期缴税台账!$Q$2:$Q$501,"有效"))</f>
        <v/>
      </c>
      <c r="AL348" s="15" t="str">
        <f t="shared" si="88"/>
        <v/>
      </c>
      <c r="AM348" s="4" t="str">
        <f t="shared" si="89"/>
        <v/>
      </c>
    </row>
    <row r="349" spans="1:39" x14ac:dyDescent="0.3">
      <c r="A349" s="9"/>
      <c r="B349" s="4" t="str">
        <f t="shared" si="75"/>
        <v/>
      </c>
      <c r="C349" s="9"/>
      <c r="D349" s="9"/>
      <c r="E349" s="9"/>
      <c r="F349" s="9"/>
      <c r="G349" s="13"/>
      <c r="H349" s="4" t="str">
        <f t="shared" si="76"/>
        <v/>
      </c>
      <c r="I349" s="9"/>
      <c r="J349" s="14"/>
      <c r="K349" s="15" t="str">
        <f>IF(OR(E349="",F349="",G349=""),"",IF(E349&lt;&gt;计划参数!$C$2,"",IF(F349="股票期权",IFERROR(LOOKUP(G349,计划参数!$D$12:$D$15,计划参数!$C$12:$C$15),""),IF(F349="限制性股票",计划参数!$C$10,""))))</f>
        <v/>
      </c>
      <c r="L349" s="15" t="str">
        <f>IF(AND(E349=计划参数!$C$2,F349="限制性股票",G349&gt;=计划参数!$D$9),计划参数!$C$9,"")</f>
        <v/>
      </c>
      <c r="M349" s="9"/>
      <c r="N349" s="14"/>
      <c r="O349" s="14"/>
      <c r="P349" s="13"/>
      <c r="Q349" s="9"/>
      <c r="R349" s="13"/>
      <c r="S349" s="15" t="str">
        <f t="shared" si="77"/>
        <v/>
      </c>
      <c r="T349" s="15" t="str">
        <f t="shared" si="78"/>
        <v/>
      </c>
      <c r="U349" s="15" t="str">
        <f t="shared" si="79"/>
        <v/>
      </c>
      <c r="V349" s="15" t="str">
        <f t="shared" si="80"/>
        <v/>
      </c>
      <c r="W349" s="16" t="str">
        <f>IF(V349="","",VLOOKUP(V349,税率及规则!$A$2:$C$8,2,TRUE))</f>
        <v/>
      </c>
      <c r="X349" s="15" t="str">
        <f>IF(V349="","",VLOOKUP(V349,税率及规则!$A$2:$C$8,3,TRUE))</f>
        <v/>
      </c>
      <c r="Y349" s="15" t="str">
        <f t="shared" si="81"/>
        <v/>
      </c>
      <c r="Z349" s="15" t="str">
        <f>IF(U349="","",MAX(0,U349*VLOOKUP(U349,税率及规则!$A$2:$C$8,2,TRUE)-VLOOKUP(U349,税率及规则!$A$2:$C$8,3,TRUE)))</f>
        <v/>
      </c>
      <c r="AA349" s="15" t="str">
        <f t="shared" si="82"/>
        <v/>
      </c>
      <c r="AB349" s="17" t="str">
        <f t="shared" si="83"/>
        <v/>
      </c>
      <c r="AC349" s="17" t="str">
        <f t="shared" si="84"/>
        <v/>
      </c>
      <c r="AD349" s="4" t="str">
        <f>IF(A349="","",IF(COUNTIF($A$2:$A$501,A349)&gt;1,"异常：事件编号重复",IF(OR(C349="",D349="",E349="",F349="",G349=""),"异常：必填项缺失",IF(AND(F349="其他股权激励",O349=""),"异常：其他股权激励所得缺失",IF(AND(F349&lt;&gt;"其他股权激励",OR(I349="",J349="")),"异常：数量或市场价缺失",IF(AND(F349&lt;&gt;"其他股权激励",OR(I349&lt;=0,J349&lt;0)),"异常：数量或价格无效",IF(AND(F349="限制性股票",OR(M349&lt;=0,N349&lt;0,I349&gt;M349)),"异常：个人获授或出资数据无效",IF(AND(IFERROR(INDEX(计划参数!$J$2:$J$501,MATCH(C349,计划参数!$I$2:$I$501,0)),"")&lt;&gt;"",D349&lt;&gt;IFERROR(INDEX(计划参数!$J$2:$J$501,MATCH(C349,计划参数!$I$2:$I$501,0)),"")),"异常：姓名与员工主数据不一致",IF(S349&lt;0,"异常：原始所得为负，已按0计税",IF(OR(AND(F349="股票期权",K349=""),AND(F349="限制性股票",OR(K349="",L349=""))),"异常：计划参数缺失",IF(COUNTIF(计划参数!$I$2:$I$501,C349)=0,"提示：员工编号未在主数据",IF(Q349&lt;&gt;"已备案","提示：未确认备案","正常"))))))))))))</f>
        <v/>
      </c>
      <c r="AE349" s="9"/>
      <c r="AF349" s="4" t="str">
        <f>IF(C349="","",IF(COUNTIF($C$2:C349,C349)=1,MAX($AF$1:AF348)+1,""))</f>
        <v/>
      </c>
      <c r="AG349" s="4" t="str">
        <f>IF(C349="","",COUNTIF($C$2:C349,C349))</f>
        <v/>
      </c>
      <c r="AH349" s="4" t="str">
        <f t="shared" si="85"/>
        <v/>
      </c>
      <c r="AI349" s="4" t="str">
        <f t="shared" si="86"/>
        <v/>
      </c>
      <c r="AJ349" s="4" t="str">
        <f t="shared" si="87"/>
        <v/>
      </c>
      <c r="AK349" s="15" t="str">
        <f>IF(A349="","",SUMIFS(分期缴税台账!$K$2:$K$501,分期缴税台账!$T$2:$T$501,A349,分期缴税台账!$Q$2:$Q$501,"有效"))</f>
        <v/>
      </c>
      <c r="AL349" s="15" t="str">
        <f t="shared" si="88"/>
        <v/>
      </c>
      <c r="AM349" s="4" t="str">
        <f t="shared" si="89"/>
        <v/>
      </c>
    </row>
    <row r="350" spans="1:39" x14ac:dyDescent="0.3">
      <c r="A350" s="9"/>
      <c r="B350" s="4" t="str">
        <f t="shared" si="75"/>
        <v/>
      </c>
      <c r="C350" s="9"/>
      <c r="D350" s="9"/>
      <c r="E350" s="9"/>
      <c r="F350" s="9"/>
      <c r="G350" s="13"/>
      <c r="H350" s="4" t="str">
        <f t="shared" si="76"/>
        <v/>
      </c>
      <c r="I350" s="9"/>
      <c r="J350" s="14"/>
      <c r="K350" s="15" t="str">
        <f>IF(OR(E350="",F350="",G350=""),"",IF(E350&lt;&gt;计划参数!$C$2,"",IF(F350="股票期权",IFERROR(LOOKUP(G350,计划参数!$D$12:$D$15,计划参数!$C$12:$C$15),""),IF(F350="限制性股票",计划参数!$C$10,""))))</f>
        <v/>
      </c>
      <c r="L350" s="15" t="str">
        <f>IF(AND(E350=计划参数!$C$2,F350="限制性股票",G350&gt;=计划参数!$D$9),计划参数!$C$9,"")</f>
        <v/>
      </c>
      <c r="M350" s="9"/>
      <c r="N350" s="14"/>
      <c r="O350" s="14"/>
      <c r="P350" s="13"/>
      <c r="Q350" s="9"/>
      <c r="R350" s="13"/>
      <c r="S350" s="15" t="str">
        <f t="shared" si="77"/>
        <v/>
      </c>
      <c r="T350" s="15" t="str">
        <f t="shared" si="78"/>
        <v/>
      </c>
      <c r="U350" s="15" t="str">
        <f t="shared" si="79"/>
        <v/>
      </c>
      <c r="V350" s="15" t="str">
        <f t="shared" si="80"/>
        <v/>
      </c>
      <c r="W350" s="16" t="str">
        <f>IF(V350="","",VLOOKUP(V350,税率及规则!$A$2:$C$8,2,TRUE))</f>
        <v/>
      </c>
      <c r="X350" s="15" t="str">
        <f>IF(V350="","",VLOOKUP(V350,税率及规则!$A$2:$C$8,3,TRUE))</f>
        <v/>
      </c>
      <c r="Y350" s="15" t="str">
        <f t="shared" si="81"/>
        <v/>
      </c>
      <c r="Z350" s="15" t="str">
        <f>IF(U350="","",MAX(0,U350*VLOOKUP(U350,税率及规则!$A$2:$C$8,2,TRUE)-VLOOKUP(U350,税率及规则!$A$2:$C$8,3,TRUE)))</f>
        <v/>
      </c>
      <c r="AA350" s="15" t="str">
        <f t="shared" si="82"/>
        <v/>
      </c>
      <c r="AB350" s="17" t="str">
        <f t="shared" si="83"/>
        <v/>
      </c>
      <c r="AC350" s="17" t="str">
        <f t="shared" si="84"/>
        <v/>
      </c>
      <c r="AD350" s="4" t="str">
        <f>IF(A350="","",IF(COUNTIF($A$2:$A$501,A350)&gt;1,"异常：事件编号重复",IF(OR(C350="",D350="",E350="",F350="",G350=""),"异常：必填项缺失",IF(AND(F350="其他股权激励",O350=""),"异常：其他股权激励所得缺失",IF(AND(F350&lt;&gt;"其他股权激励",OR(I350="",J350="")),"异常：数量或市场价缺失",IF(AND(F350&lt;&gt;"其他股权激励",OR(I350&lt;=0,J350&lt;0)),"异常：数量或价格无效",IF(AND(F350="限制性股票",OR(M350&lt;=0,N350&lt;0,I350&gt;M350)),"异常：个人获授或出资数据无效",IF(AND(IFERROR(INDEX(计划参数!$J$2:$J$501,MATCH(C350,计划参数!$I$2:$I$501,0)),"")&lt;&gt;"",D350&lt;&gt;IFERROR(INDEX(计划参数!$J$2:$J$501,MATCH(C350,计划参数!$I$2:$I$501,0)),"")),"异常：姓名与员工主数据不一致",IF(S350&lt;0,"异常：原始所得为负，已按0计税",IF(OR(AND(F350="股票期权",K350=""),AND(F350="限制性股票",OR(K350="",L350=""))),"异常：计划参数缺失",IF(COUNTIF(计划参数!$I$2:$I$501,C350)=0,"提示：员工编号未在主数据",IF(Q350&lt;&gt;"已备案","提示：未确认备案","正常"))))))))))))</f>
        <v/>
      </c>
      <c r="AE350" s="9"/>
      <c r="AF350" s="4" t="str">
        <f>IF(C350="","",IF(COUNTIF($C$2:C350,C350)=1,MAX($AF$1:AF349)+1,""))</f>
        <v/>
      </c>
      <c r="AG350" s="4" t="str">
        <f>IF(C350="","",COUNTIF($C$2:C350,C350))</f>
        <v/>
      </c>
      <c r="AH350" s="4" t="str">
        <f t="shared" si="85"/>
        <v/>
      </c>
      <c r="AI350" s="4" t="str">
        <f t="shared" si="86"/>
        <v/>
      </c>
      <c r="AJ350" s="4" t="str">
        <f t="shared" si="87"/>
        <v/>
      </c>
      <c r="AK350" s="15" t="str">
        <f>IF(A350="","",SUMIFS(分期缴税台账!$K$2:$K$501,分期缴税台账!$T$2:$T$501,A350,分期缴税台账!$Q$2:$Q$501,"有效"))</f>
        <v/>
      </c>
      <c r="AL350" s="15" t="str">
        <f t="shared" si="88"/>
        <v/>
      </c>
      <c r="AM350" s="4" t="str">
        <f t="shared" si="89"/>
        <v/>
      </c>
    </row>
    <row r="351" spans="1:39" x14ac:dyDescent="0.3">
      <c r="A351" s="9"/>
      <c r="B351" s="4" t="str">
        <f t="shared" si="75"/>
        <v/>
      </c>
      <c r="C351" s="9"/>
      <c r="D351" s="9"/>
      <c r="E351" s="9"/>
      <c r="F351" s="9"/>
      <c r="G351" s="13"/>
      <c r="H351" s="4" t="str">
        <f t="shared" si="76"/>
        <v/>
      </c>
      <c r="I351" s="9"/>
      <c r="J351" s="14"/>
      <c r="K351" s="15" t="str">
        <f>IF(OR(E351="",F351="",G351=""),"",IF(E351&lt;&gt;计划参数!$C$2,"",IF(F351="股票期权",IFERROR(LOOKUP(G351,计划参数!$D$12:$D$15,计划参数!$C$12:$C$15),""),IF(F351="限制性股票",计划参数!$C$10,""))))</f>
        <v/>
      </c>
      <c r="L351" s="15" t="str">
        <f>IF(AND(E351=计划参数!$C$2,F351="限制性股票",G351&gt;=计划参数!$D$9),计划参数!$C$9,"")</f>
        <v/>
      </c>
      <c r="M351" s="9"/>
      <c r="N351" s="14"/>
      <c r="O351" s="14"/>
      <c r="P351" s="13"/>
      <c r="Q351" s="9"/>
      <c r="R351" s="13"/>
      <c r="S351" s="15" t="str">
        <f t="shared" si="77"/>
        <v/>
      </c>
      <c r="T351" s="15" t="str">
        <f t="shared" si="78"/>
        <v/>
      </c>
      <c r="U351" s="15" t="str">
        <f t="shared" si="79"/>
        <v/>
      </c>
      <c r="V351" s="15" t="str">
        <f t="shared" si="80"/>
        <v/>
      </c>
      <c r="W351" s="16" t="str">
        <f>IF(V351="","",VLOOKUP(V351,税率及规则!$A$2:$C$8,2,TRUE))</f>
        <v/>
      </c>
      <c r="X351" s="15" t="str">
        <f>IF(V351="","",VLOOKUP(V351,税率及规则!$A$2:$C$8,3,TRUE))</f>
        <v/>
      </c>
      <c r="Y351" s="15" t="str">
        <f t="shared" si="81"/>
        <v/>
      </c>
      <c r="Z351" s="15" t="str">
        <f>IF(U351="","",MAX(0,U351*VLOOKUP(U351,税率及规则!$A$2:$C$8,2,TRUE)-VLOOKUP(U351,税率及规则!$A$2:$C$8,3,TRUE)))</f>
        <v/>
      </c>
      <c r="AA351" s="15" t="str">
        <f t="shared" si="82"/>
        <v/>
      </c>
      <c r="AB351" s="17" t="str">
        <f t="shared" si="83"/>
        <v/>
      </c>
      <c r="AC351" s="17" t="str">
        <f t="shared" si="84"/>
        <v/>
      </c>
      <c r="AD351" s="4" t="str">
        <f>IF(A351="","",IF(COUNTIF($A$2:$A$501,A351)&gt;1,"异常：事件编号重复",IF(OR(C351="",D351="",E351="",F351="",G351=""),"异常：必填项缺失",IF(AND(F351="其他股权激励",O351=""),"异常：其他股权激励所得缺失",IF(AND(F351&lt;&gt;"其他股权激励",OR(I351="",J351="")),"异常：数量或市场价缺失",IF(AND(F351&lt;&gt;"其他股权激励",OR(I351&lt;=0,J351&lt;0)),"异常：数量或价格无效",IF(AND(F351="限制性股票",OR(M351&lt;=0,N351&lt;0,I351&gt;M351)),"异常：个人获授或出资数据无效",IF(AND(IFERROR(INDEX(计划参数!$J$2:$J$501,MATCH(C351,计划参数!$I$2:$I$501,0)),"")&lt;&gt;"",D351&lt;&gt;IFERROR(INDEX(计划参数!$J$2:$J$501,MATCH(C351,计划参数!$I$2:$I$501,0)),"")),"异常：姓名与员工主数据不一致",IF(S351&lt;0,"异常：原始所得为负，已按0计税",IF(OR(AND(F351="股票期权",K351=""),AND(F351="限制性股票",OR(K351="",L351=""))),"异常：计划参数缺失",IF(COUNTIF(计划参数!$I$2:$I$501,C351)=0,"提示：员工编号未在主数据",IF(Q351&lt;&gt;"已备案","提示：未确认备案","正常"))))))))))))</f>
        <v/>
      </c>
      <c r="AE351" s="9"/>
      <c r="AF351" s="4" t="str">
        <f>IF(C351="","",IF(COUNTIF($C$2:C351,C351)=1,MAX($AF$1:AF350)+1,""))</f>
        <v/>
      </c>
      <c r="AG351" s="4" t="str">
        <f>IF(C351="","",COUNTIF($C$2:C351,C351))</f>
        <v/>
      </c>
      <c r="AH351" s="4" t="str">
        <f t="shared" si="85"/>
        <v/>
      </c>
      <c r="AI351" s="4" t="str">
        <f t="shared" si="86"/>
        <v/>
      </c>
      <c r="AJ351" s="4" t="str">
        <f t="shared" si="87"/>
        <v/>
      </c>
      <c r="AK351" s="15" t="str">
        <f>IF(A351="","",SUMIFS(分期缴税台账!$K$2:$K$501,分期缴税台账!$T$2:$T$501,A351,分期缴税台账!$Q$2:$Q$501,"有效"))</f>
        <v/>
      </c>
      <c r="AL351" s="15" t="str">
        <f t="shared" si="88"/>
        <v/>
      </c>
      <c r="AM351" s="4" t="str">
        <f t="shared" si="89"/>
        <v/>
      </c>
    </row>
    <row r="352" spans="1:39" x14ac:dyDescent="0.3">
      <c r="A352" s="9"/>
      <c r="B352" s="4" t="str">
        <f t="shared" si="75"/>
        <v/>
      </c>
      <c r="C352" s="9"/>
      <c r="D352" s="9"/>
      <c r="E352" s="9"/>
      <c r="F352" s="9"/>
      <c r="G352" s="13"/>
      <c r="H352" s="4" t="str">
        <f t="shared" si="76"/>
        <v/>
      </c>
      <c r="I352" s="9"/>
      <c r="J352" s="14"/>
      <c r="K352" s="15" t="str">
        <f>IF(OR(E352="",F352="",G352=""),"",IF(E352&lt;&gt;计划参数!$C$2,"",IF(F352="股票期权",IFERROR(LOOKUP(G352,计划参数!$D$12:$D$15,计划参数!$C$12:$C$15),""),IF(F352="限制性股票",计划参数!$C$10,""))))</f>
        <v/>
      </c>
      <c r="L352" s="15" t="str">
        <f>IF(AND(E352=计划参数!$C$2,F352="限制性股票",G352&gt;=计划参数!$D$9),计划参数!$C$9,"")</f>
        <v/>
      </c>
      <c r="M352" s="9"/>
      <c r="N352" s="14"/>
      <c r="O352" s="14"/>
      <c r="P352" s="13"/>
      <c r="Q352" s="9"/>
      <c r="R352" s="13"/>
      <c r="S352" s="15" t="str">
        <f t="shared" si="77"/>
        <v/>
      </c>
      <c r="T352" s="15" t="str">
        <f t="shared" si="78"/>
        <v/>
      </c>
      <c r="U352" s="15" t="str">
        <f t="shared" si="79"/>
        <v/>
      </c>
      <c r="V352" s="15" t="str">
        <f t="shared" si="80"/>
        <v/>
      </c>
      <c r="W352" s="16" t="str">
        <f>IF(V352="","",VLOOKUP(V352,税率及规则!$A$2:$C$8,2,TRUE))</f>
        <v/>
      </c>
      <c r="X352" s="15" t="str">
        <f>IF(V352="","",VLOOKUP(V352,税率及规则!$A$2:$C$8,3,TRUE))</f>
        <v/>
      </c>
      <c r="Y352" s="15" t="str">
        <f t="shared" si="81"/>
        <v/>
      </c>
      <c r="Z352" s="15" t="str">
        <f>IF(U352="","",MAX(0,U352*VLOOKUP(U352,税率及规则!$A$2:$C$8,2,TRUE)-VLOOKUP(U352,税率及规则!$A$2:$C$8,3,TRUE)))</f>
        <v/>
      </c>
      <c r="AA352" s="15" t="str">
        <f t="shared" si="82"/>
        <v/>
      </c>
      <c r="AB352" s="17" t="str">
        <f t="shared" si="83"/>
        <v/>
      </c>
      <c r="AC352" s="17" t="str">
        <f t="shared" si="84"/>
        <v/>
      </c>
      <c r="AD352" s="4" t="str">
        <f>IF(A352="","",IF(COUNTIF($A$2:$A$501,A352)&gt;1,"异常：事件编号重复",IF(OR(C352="",D352="",E352="",F352="",G352=""),"异常：必填项缺失",IF(AND(F352="其他股权激励",O352=""),"异常：其他股权激励所得缺失",IF(AND(F352&lt;&gt;"其他股权激励",OR(I352="",J352="")),"异常：数量或市场价缺失",IF(AND(F352&lt;&gt;"其他股权激励",OR(I352&lt;=0,J352&lt;0)),"异常：数量或价格无效",IF(AND(F352="限制性股票",OR(M352&lt;=0,N352&lt;0,I352&gt;M352)),"异常：个人获授或出资数据无效",IF(AND(IFERROR(INDEX(计划参数!$J$2:$J$501,MATCH(C352,计划参数!$I$2:$I$501,0)),"")&lt;&gt;"",D352&lt;&gt;IFERROR(INDEX(计划参数!$J$2:$J$501,MATCH(C352,计划参数!$I$2:$I$501,0)),"")),"异常：姓名与员工主数据不一致",IF(S352&lt;0,"异常：原始所得为负，已按0计税",IF(OR(AND(F352="股票期权",K352=""),AND(F352="限制性股票",OR(K352="",L352=""))),"异常：计划参数缺失",IF(COUNTIF(计划参数!$I$2:$I$501,C352)=0,"提示：员工编号未在主数据",IF(Q352&lt;&gt;"已备案","提示：未确认备案","正常"))))))))))))</f>
        <v/>
      </c>
      <c r="AE352" s="9"/>
      <c r="AF352" s="4" t="str">
        <f>IF(C352="","",IF(COUNTIF($C$2:C352,C352)=1,MAX($AF$1:AF351)+1,""))</f>
        <v/>
      </c>
      <c r="AG352" s="4" t="str">
        <f>IF(C352="","",COUNTIF($C$2:C352,C352))</f>
        <v/>
      </c>
      <c r="AH352" s="4" t="str">
        <f t="shared" si="85"/>
        <v/>
      </c>
      <c r="AI352" s="4" t="str">
        <f t="shared" si="86"/>
        <v/>
      </c>
      <c r="AJ352" s="4" t="str">
        <f t="shared" si="87"/>
        <v/>
      </c>
      <c r="AK352" s="15" t="str">
        <f>IF(A352="","",SUMIFS(分期缴税台账!$K$2:$K$501,分期缴税台账!$T$2:$T$501,A352,分期缴税台账!$Q$2:$Q$501,"有效"))</f>
        <v/>
      </c>
      <c r="AL352" s="15" t="str">
        <f t="shared" si="88"/>
        <v/>
      </c>
      <c r="AM352" s="4" t="str">
        <f t="shared" si="89"/>
        <v/>
      </c>
    </row>
    <row r="353" spans="1:39" x14ac:dyDescent="0.3">
      <c r="A353" s="9"/>
      <c r="B353" s="4" t="str">
        <f t="shared" si="75"/>
        <v/>
      </c>
      <c r="C353" s="9"/>
      <c r="D353" s="9"/>
      <c r="E353" s="9"/>
      <c r="F353" s="9"/>
      <c r="G353" s="13"/>
      <c r="H353" s="4" t="str">
        <f t="shared" si="76"/>
        <v/>
      </c>
      <c r="I353" s="9"/>
      <c r="J353" s="14"/>
      <c r="K353" s="15" t="str">
        <f>IF(OR(E353="",F353="",G353=""),"",IF(E353&lt;&gt;计划参数!$C$2,"",IF(F353="股票期权",IFERROR(LOOKUP(G353,计划参数!$D$12:$D$15,计划参数!$C$12:$C$15),""),IF(F353="限制性股票",计划参数!$C$10,""))))</f>
        <v/>
      </c>
      <c r="L353" s="15" t="str">
        <f>IF(AND(E353=计划参数!$C$2,F353="限制性股票",G353&gt;=计划参数!$D$9),计划参数!$C$9,"")</f>
        <v/>
      </c>
      <c r="M353" s="9"/>
      <c r="N353" s="14"/>
      <c r="O353" s="14"/>
      <c r="P353" s="13"/>
      <c r="Q353" s="9"/>
      <c r="R353" s="13"/>
      <c r="S353" s="15" t="str">
        <f t="shared" si="77"/>
        <v/>
      </c>
      <c r="T353" s="15" t="str">
        <f t="shared" si="78"/>
        <v/>
      </c>
      <c r="U353" s="15" t="str">
        <f t="shared" si="79"/>
        <v/>
      </c>
      <c r="V353" s="15" t="str">
        <f t="shared" si="80"/>
        <v/>
      </c>
      <c r="W353" s="16" t="str">
        <f>IF(V353="","",VLOOKUP(V353,税率及规则!$A$2:$C$8,2,TRUE))</f>
        <v/>
      </c>
      <c r="X353" s="15" t="str">
        <f>IF(V353="","",VLOOKUP(V353,税率及规则!$A$2:$C$8,3,TRUE))</f>
        <v/>
      </c>
      <c r="Y353" s="15" t="str">
        <f t="shared" si="81"/>
        <v/>
      </c>
      <c r="Z353" s="15" t="str">
        <f>IF(U353="","",MAX(0,U353*VLOOKUP(U353,税率及规则!$A$2:$C$8,2,TRUE)-VLOOKUP(U353,税率及规则!$A$2:$C$8,3,TRUE)))</f>
        <v/>
      </c>
      <c r="AA353" s="15" t="str">
        <f t="shared" si="82"/>
        <v/>
      </c>
      <c r="AB353" s="17" t="str">
        <f t="shared" si="83"/>
        <v/>
      </c>
      <c r="AC353" s="17" t="str">
        <f t="shared" si="84"/>
        <v/>
      </c>
      <c r="AD353" s="4" t="str">
        <f>IF(A353="","",IF(COUNTIF($A$2:$A$501,A353)&gt;1,"异常：事件编号重复",IF(OR(C353="",D353="",E353="",F353="",G353=""),"异常：必填项缺失",IF(AND(F353="其他股权激励",O353=""),"异常：其他股权激励所得缺失",IF(AND(F353&lt;&gt;"其他股权激励",OR(I353="",J353="")),"异常：数量或市场价缺失",IF(AND(F353&lt;&gt;"其他股权激励",OR(I353&lt;=0,J353&lt;0)),"异常：数量或价格无效",IF(AND(F353="限制性股票",OR(M353&lt;=0,N353&lt;0,I353&gt;M353)),"异常：个人获授或出资数据无效",IF(AND(IFERROR(INDEX(计划参数!$J$2:$J$501,MATCH(C353,计划参数!$I$2:$I$501,0)),"")&lt;&gt;"",D353&lt;&gt;IFERROR(INDEX(计划参数!$J$2:$J$501,MATCH(C353,计划参数!$I$2:$I$501,0)),"")),"异常：姓名与员工主数据不一致",IF(S353&lt;0,"异常：原始所得为负，已按0计税",IF(OR(AND(F353="股票期权",K353=""),AND(F353="限制性股票",OR(K353="",L353=""))),"异常：计划参数缺失",IF(COUNTIF(计划参数!$I$2:$I$501,C353)=0,"提示：员工编号未在主数据",IF(Q353&lt;&gt;"已备案","提示：未确认备案","正常"))))))))))))</f>
        <v/>
      </c>
      <c r="AE353" s="9"/>
      <c r="AF353" s="4" t="str">
        <f>IF(C353="","",IF(COUNTIF($C$2:C353,C353)=1,MAX($AF$1:AF352)+1,""))</f>
        <v/>
      </c>
      <c r="AG353" s="4" t="str">
        <f>IF(C353="","",COUNTIF($C$2:C353,C353))</f>
        <v/>
      </c>
      <c r="AH353" s="4" t="str">
        <f t="shared" si="85"/>
        <v/>
      </c>
      <c r="AI353" s="4" t="str">
        <f t="shared" si="86"/>
        <v/>
      </c>
      <c r="AJ353" s="4" t="str">
        <f t="shared" si="87"/>
        <v/>
      </c>
      <c r="AK353" s="15" t="str">
        <f>IF(A353="","",SUMIFS(分期缴税台账!$K$2:$K$501,分期缴税台账!$T$2:$T$501,A353,分期缴税台账!$Q$2:$Q$501,"有效"))</f>
        <v/>
      </c>
      <c r="AL353" s="15" t="str">
        <f t="shared" si="88"/>
        <v/>
      </c>
      <c r="AM353" s="4" t="str">
        <f t="shared" si="89"/>
        <v/>
      </c>
    </row>
    <row r="354" spans="1:39" x14ac:dyDescent="0.3">
      <c r="A354" s="9"/>
      <c r="B354" s="4" t="str">
        <f t="shared" si="75"/>
        <v/>
      </c>
      <c r="C354" s="9"/>
      <c r="D354" s="9"/>
      <c r="E354" s="9"/>
      <c r="F354" s="9"/>
      <c r="G354" s="13"/>
      <c r="H354" s="4" t="str">
        <f t="shared" si="76"/>
        <v/>
      </c>
      <c r="I354" s="9"/>
      <c r="J354" s="14"/>
      <c r="K354" s="15" t="str">
        <f>IF(OR(E354="",F354="",G354=""),"",IF(E354&lt;&gt;计划参数!$C$2,"",IF(F354="股票期权",IFERROR(LOOKUP(G354,计划参数!$D$12:$D$15,计划参数!$C$12:$C$15),""),IF(F354="限制性股票",计划参数!$C$10,""))))</f>
        <v/>
      </c>
      <c r="L354" s="15" t="str">
        <f>IF(AND(E354=计划参数!$C$2,F354="限制性股票",G354&gt;=计划参数!$D$9),计划参数!$C$9,"")</f>
        <v/>
      </c>
      <c r="M354" s="9"/>
      <c r="N354" s="14"/>
      <c r="O354" s="14"/>
      <c r="P354" s="13"/>
      <c r="Q354" s="9"/>
      <c r="R354" s="13"/>
      <c r="S354" s="15" t="str">
        <f t="shared" si="77"/>
        <v/>
      </c>
      <c r="T354" s="15" t="str">
        <f t="shared" si="78"/>
        <v/>
      </c>
      <c r="U354" s="15" t="str">
        <f t="shared" si="79"/>
        <v/>
      </c>
      <c r="V354" s="15" t="str">
        <f t="shared" si="80"/>
        <v/>
      </c>
      <c r="W354" s="16" t="str">
        <f>IF(V354="","",VLOOKUP(V354,税率及规则!$A$2:$C$8,2,TRUE))</f>
        <v/>
      </c>
      <c r="X354" s="15" t="str">
        <f>IF(V354="","",VLOOKUP(V354,税率及规则!$A$2:$C$8,3,TRUE))</f>
        <v/>
      </c>
      <c r="Y354" s="15" t="str">
        <f t="shared" si="81"/>
        <v/>
      </c>
      <c r="Z354" s="15" t="str">
        <f>IF(U354="","",MAX(0,U354*VLOOKUP(U354,税率及规则!$A$2:$C$8,2,TRUE)-VLOOKUP(U354,税率及规则!$A$2:$C$8,3,TRUE)))</f>
        <v/>
      </c>
      <c r="AA354" s="15" t="str">
        <f t="shared" si="82"/>
        <v/>
      </c>
      <c r="AB354" s="17" t="str">
        <f t="shared" si="83"/>
        <v/>
      </c>
      <c r="AC354" s="17" t="str">
        <f t="shared" si="84"/>
        <v/>
      </c>
      <c r="AD354" s="4" t="str">
        <f>IF(A354="","",IF(COUNTIF($A$2:$A$501,A354)&gt;1,"异常：事件编号重复",IF(OR(C354="",D354="",E354="",F354="",G354=""),"异常：必填项缺失",IF(AND(F354="其他股权激励",O354=""),"异常：其他股权激励所得缺失",IF(AND(F354&lt;&gt;"其他股权激励",OR(I354="",J354="")),"异常：数量或市场价缺失",IF(AND(F354&lt;&gt;"其他股权激励",OR(I354&lt;=0,J354&lt;0)),"异常：数量或价格无效",IF(AND(F354="限制性股票",OR(M354&lt;=0,N354&lt;0,I354&gt;M354)),"异常：个人获授或出资数据无效",IF(AND(IFERROR(INDEX(计划参数!$J$2:$J$501,MATCH(C354,计划参数!$I$2:$I$501,0)),"")&lt;&gt;"",D354&lt;&gt;IFERROR(INDEX(计划参数!$J$2:$J$501,MATCH(C354,计划参数!$I$2:$I$501,0)),"")),"异常：姓名与员工主数据不一致",IF(S354&lt;0,"异常：原始所得为负，已按0计税",IF(OR(AND(F354="股票期权",K354=""),AND(F354="限制性股票",OR(K354="",L354=""))),"异常：计划参数缺失",IF(COUNTIF(计划参数!$I$2:$I$501,C354)=0,"提示：员工编号未在主数据",IF(Q354&lt;&gt;"已备案","提示：未确认备案","正常"))))))))))))</f>
        <v/>
      </c>
      <c r="AE354" s="9"/>
      <c r="AF354" s="4" t="str">
        <f>IF(C354="","",IF(COUNTIF($C$2:C354,C354)=1,MAX($AF$1:AF353)+1,""))</f>
        <v/>
      </c>
      <c r="AG354" s="4" t="str">
        <f>IF(C354="","",COUNTIF($C$2:C354,C354))</f>
        <v/>
      </c>
      <c r="AH354" s="4" t="str">
        <f t="shared" si="85"/>
        <v/>
      </c>
      <c r="AI354" s="4" t="str">
        <f t="shared" si="86"/>
        <v/>
      </c>
      <c r="AJ354" s="4" t="str">
        <f t="shared" si="87"/>
        <v/>
      </c>
      <c r="AK354" s="15" t="str">
        <f>IF(A354="","",SUMIFS(分期缴税台账!$K$2:$K$501,分期缴税台账!$T$2:$T$501,A354,分期缴税台账!$Q$2:$Q$501,"有效"))</f>
        <v/>
      </c>
      <c r="AL354" s="15" t="str">
        <f t="shared" si="88"/>
        <v/>
      </c>
      <c r="AM354" s="4" t="str">
        <f t="shared" si="89"/>
        <v/>
      </c>
    </row>
    <row r="355" spans="1:39" x14ac:dyDescent="0.3">
      <c r="A355" s="9"/>
      <c r="B355" s="4" t="str">
        <f t="shared" si="75"/>
        <v/>
      </c>
      <c r="C355" s="9"/>
      <c r="D355" s="9"/>
      <c r="E355" s="9"/>
      <c r="F355" s="9"/>
      <c r="G355" s="13"/>
      <c r="H355" s="4" t="str">
        <f t="shared" si="76"/>
        <v/>
      </c>
      <c r="I355" s="9"/>
      <c r="J355" s="14"/>
      <c r="K355" s="15" t="str">
        <f>IF(OR(E355="",F355="",G355=""),"",IF(E355&lt;&gt;计划参数!$C$2,"",IF(F355="股票期权",IFERROR(LOOKUP(G355,计划参数!$D$12:$D$15,计划参数!$C$12:$C$15),""),IF(F355="限制性股票",计划参数!$C$10,""))))</f>
        <v/>
      </c>
      <c r="L355" s="15" t="str">
        <f>IF(AND(E355=计划参数!$C$2,F355="限制性股票",G355&gt;=计划参数!$D$9),计划参数!$C$9,"")</f>
        <v/>
      </c>
      <c r="M355" s="9"/>
      <c r="N355" s="14"/>
      <c r="O355" s="14"/>
      <c r="P355" s="13"/>
      <c r="Q355" s="9"/>
      <c r="R355" s="13"/>
      <c r="S355" s="15" t="str">
        <f t="shared" si="77"/>
        <v/>
      </c>
      <c r="T355" s="15" t="str">
        <f t="shared" si="78"/>
        <v/>
      </c>
      <c r="U355" s="15" t="str">
        <f t="shared" si="79"/>
        <v/>
      </c>
      <c r="V355" s="15" t="str">
        <f t="shared" si="80"/>
        <v/>
      </c>
      <c r="W355" s="16" t="str">
        <f>IF(V355="","",VLOOKUP(V355,税率及规则!$A$2:$C$8,2,TRUE))</f>
        <v/>
      </c>
      <c r="X355" s="15" t="str">
        <f>IF(V355="","",VLOOKUP(V355,税率及规则!$A$2:$C$8,3,TRUE))</f>
        <v/>
      </c>
      <c r="Y355" s="15" t="str">
        <f t="shared" si="81"/>
        <v/>
      </c>
      <c r="Z355" s="15" t="str">
        <f>IF(U355="","",MAX(0,U355*VLOOKUP(U355,税率及规则!$A$2:$C$8,2,TRUE)-VLOOKUP(U355,税率及规则!$A$2:$C$8,3,TRUE)))</f>
        <v/>
      </c>
      <c r="AA355" s="15" t="str">
        <f t="shared" si="82"/>
        <v/>
      </c>
      <c r="AB355" s="17" t="str">
        <f t="shared" si="83"/>
        <v/>
      </c>
      <c r="AC355" s="17" t="str">
        <f t="shared" si="84"/>
        <v/>
      </c>
      <c r="AD355" s="4" t="str">
        <f>IF(A355="","",IF(COUNTIF($A$2:$A$501,A355)&gt;1,"异常：事件编号重复",IF(OR(C355="",D355="",E355="",F355="",G355=""),"异常：必填项缺失",IF(AND(F355="其他股权激励",O355=""),"异常：其他股权激励所得缺失",IF(AND(F355&lt;&gt;"其他股权激励",OR(I355="",J355="")),"异常：数量或市场价缺失",IF(AND(F355&lt;&gt;"其他股权激励",OR(I355&lt;=0,J355&lt;0)),"异常：数量或价格无效",IF(AND(F355="限制性股票",OR(M355&lt;=0,N355&lt;0,I355&gt;M355)),"异常：个人获授或出资数据无效",IF(AND(IFERROR(INDEX(计划参数!$J$2:$J$501,MATCH(C355,计划参数!$I$2:$I$501,0)),"")&lt;&gt;"",D355&lt;&gt;IFERROR(INDEX(计划参数!$J$2:$J$501,MATCH(C355,计划参数!$I$2:$I$501,0)),"")),"异常：姓名与员工主数据不一致",IF(S355&lt;0,"异常：原始所得为负，已按0计税",IF(OR(AND(F355="股票期权",K355=""),AND(F355="限制性股票",OR(K355="",L355=""))),"异常：计划参数缺失",IF(COUNTIF(计划参数!$I$2:$I$501,C355)=0,"提示：员工编号未在主数据",IF(Q355&lt;&gt;"已备案","提示：未确认备案","正常"))))))))))))</f>
        <v/>
      </c>
      <c r="AE355" s="9"/>
      <c r="AF355" s="4" t="str">
        <f>IF(C355="","",IF(COUNTIF($C$2:C355,C355)=1,MAX($AF$1:AF354)+1,""))</f>
        <v/>
      </c>
      <c r="AG355" s="4" t="str">
        <f>IF(C355="","",COUNTIF($C$2:C355,C355))</f>
        <v/>
      </c>
      <c r="AH355" s="4" t="str">
        <f t="shared" si="85"/>
        <v/>
      </c>
      <c r="AI355" s="4" t="str">
        <f t="shared" si="86"/>
        <v/>
      </c>
      <c r="AJ355" s="4" t="str">
        <f t="shared" si="87"/>
        <v/>
      </c>
      <c r="AK355" s="15" t="str">
        <f>IF(A355="","",SUMIFS(分期缴税台账!$K$2:$K$501,分期缴税台账!$T$2:$T$501,A355,分期缴税台账!$Q$2:$Q$501,"有效"))</f>
        <v/>
      </c>
      <c r="AL355" s="15" t="str">
        <f t="shared" si="88"/>
        <v/>
      </c>
      <c r="AM355" s="4" t="str">
        <f t="shared" si="89"/>
        <v/>
      </c>
    </row>
    <row r="356" spans="1:39" x14ac:dyDescent="0.3">
      <c r="A356" s="9"/>
      <c r="B356" s="4" t="str">
        <f t="shared" si="75"/>
        <v/>
      </c>
      <c r="C356" s="9"/>
      <c r="D356" s="9"/>
      <c r="E356" s="9"/>
      <c r="F356" s="9"/>
      <c r="G356" s="13"/>
      <c r="H356" s="4" t="str">
        <f t="shared" si="76"/>
        <v/>
      </c>
      <c r="I356" s="9"/>
      <c r="J356" s="14"/>
      <c r="K356" s="15" t="str">
        <f>IF(OR(E356="",F356="",G356=""),"",IF(E356&lt;&gt;计划参数!$C$2,"",IF(F356="股票期权",IFERROR(LOOKUP(G356,计划参数!$D$12:$D$15,计划参数!$C$12:$C$15),""),IF(F356="限制性股票",计划参数!$C$10,""))))</f>
        <v/>
      </c>
      <c r="L356" s="15" t="str">
        <f>IF(AND(E356=计划参数!$C$2,F356="限制性股票",G356&gt;=计划参数!$D$9),计划参数!$C$9,"")</f>
        <v/>
      </c>
      <c r="M356" s="9"/>
      <c r="N356" s="14"/>
      <c r="O356" s="14"/>
      <c r="P356" s="13"/>
      <c r="Q356" s="9"/>
      <c r="R356" s="13"/>
      <c r="S356" s="15" t="str">
        <f t="shared" si="77"/>
        <v/>
      </c>
      <c r="T356" s="15" t="str">
        <f t="shared" si="78"/>
        <v/>
      </c>
      <c r="U356" s="15" t="str">
        <f t="shared" si="79"/>
        <v/>
      </c>
      <c r="V356" s="15" t="str">
        <f t="shared" si="80"/>
        <v/>
      </c>
      <c r="W356" s="16" t="str">
        <f>IF(V356="","",VLOOKUP(V356,税率及规则!$A$2:$C$8,2,TRUE))</f>
        <v/>
      </c>
      <c r="X356" s="15" t="str">
        <f>IF(V356="","",VLOOKUP(V356,税率及规则!$A$2:$C$8,3,TRUE))</f>
        <v/>
      </c>
      <c r="Y356" s="15" t="str">
        <f t="shared" si="81"/>
        <v/>
      </c>
      <c r="Z356" s="15" t="str">
        <f>IF(U356="","",MAX(0,U356*VLOOKUP(U356,税率及规则!$A$2:$C$8,2,TRUE)-VLOOKUP(U356,税率及规则!$A$2:$C$8,3,TRUE)))</f>
        <v/>
      </c>
      <c r="AA356" s="15" t="str">
        <f t="shared" si="82"/>
        <v/>
      </c>
      <c r="AB356" s="17" t="str">
        <f t="shared" si="83"/>
        <v/>
      </c>
      <c r="AC356" s="17" t="str">
        <f t="shared" si="84"/>
        <v/>
      </c>
      <c r="AD356" s="4" t="str">
        <f>IF(A356="","",IF(COUNTIF($A$2:$A$501,A356)&gt;1,"异常：事件编号重复",IF(OR(C356="",D356="",E356="",F356="",G356=""),"异常：必填项缺失",IF(AND(F356="其他股权激励",O356=""),"异常：其他股权激励所得缺失",IF(AND(F356&lt;&gt;"其他股权激励",OR(I356="",J356="")),"异常：数量或市场价缺失",IF(AND(F356&lt;&gt;"其他股权激励",OR(I356&lt;=0,J356&lt;0)),"异常：数量或价格无效",IF(AND(F356="限制性股票",OR(M356&lt;=0,N356&lt;0,I356&gt;M356)),"异常：个人获授或出资数据无效",IF(AND(IFERROR(INDEX(计划参数!$J$2:$J$501,MATCH(C356,计划参数!$I$2:$I$501,0)),"")&lt;&gt;"",D356&lt;&gt;IFERROR(INDEX(计划参数!$J$2:$J$501,MATCH(C356,计划参数!$I$2:$I$501,0)),"")),"异常：姓名与员工主数据不一致",IF(S356&lt;0,"异常：原始所得为负，已按0计税",IF(OR(AND(F356="股票期权",K356=""),AND(F356="限制性股票",OR(K356="",L356=""))),"异常：计划参数缺失",IF(COUNTIF(计划参数!$I$2:$I$501,C356)=0,"提示：员工编号未在主数据",IF(Q356&lt;&gt;"已备案","提示：未确认备案","正常"))))))))))))</f>
        <v/>
      </c>
      <c r="AE356" s="9"/>
      <c r="AF356" s="4" t="str">
        <f>IF(C356="","",IF(COUNTIF($C$2:C356,C356)=1,MAX($AF$1:AF355)+1,""))</f>
        <v/>
      </c>
      <c r="AG356" s="4" t="str">
        <f>IF(C356="","",COUNTIF($C$2:C356,C356))</f>
        <v/>
      </c>
      <c r="AH356" s="4" t="str">
        <f t="shared" si="85"/>
        <v/>
      </c>
      <c r="AI356" s="4" t="str">
        <f t="shared" si="86"/>
        <v/>
      </c>
      <c r="AJ356" s="4" t="str">
        <f t="shared" si="87"/>
        <v/>
      </c>
      <c r="AK356" s="15" t="str">
        <f>IF(A356="","",SUMIFS(分期缴税台账!$K$2:$K$501,分期缴税台账!$T$2:$T$501,A356,分期缴税台账!$Q$2:$Q$501,"有效"))</f>
        <v/>
      </c>
      <c r="AL356" s="15" t="str">
        <f t="shared" si="88"/>
        <v/>
      </c>
      <c r="AM356" s="4" t="str">
        <f t="shared" si="89"/>
        <v/>
      </c>
    </row>
    <row r="357" spans="1:39" x14ac:dyDescent="0.3">
      <c r="A357" s="9"/>
      <c r="B357" s="4" t="str">
        <f t="shared" si="75"/>
        <v/>
      </c>
      <c r="C357" s="9"/>
      <c r="D357" s="9"/>
      <c r="E357" s="9"/>
      <c r="F357" s="9"/>
      <c r="G357" s="13"/>
      <c r="H357" s="4" t="str">
        <f t="shared" si="76"/>
        <v/>
      </c>
      <c r="I357" s="9"/>
      <c r="J357" s="14"/>
      <c r="K357" s="15" t="str">
        <f>IF(OR(E357="",F357="",G357=""),"",IF(E357&lt;&gt;计划参数!$C$2,"",IF(F357="股票期权",IFERROR(LOOKUP(G357,计划参数!$D$12:$D$15,计划参数!$C$12:$C$15),""),IF(F357="限制性股票",计划参数!$C$10,""))))</f>
        <v/>
      </c>
      <c r="L357" s="15" t="str">
        <f>IF(AND(E357=计划参数!$C$2,F357="限制性股票",G357&gt;=计划参数!$D$9),计划参数!$C$9,"")</f>
        <v/>
      </c>
      <c r="M357" s="9"/>
      <c r="N357" s="14"/>
      <c r="O357" s="14"/>
      <c r="P357" s="13"/>
      <c r="Q357" s="9"/>
      <c r="R357" s="13"/>
      <c r="S357" s="15" t="str">
        <f t="shared" si="77"/>
        <v/>
      </c>
      <c r="T357" s="15" t="str">
        <f t="shared" si="78"/>
        <v/>
      </c>
      <c r="U357" s="15" t="str">
        <f t="shared" si="79"/>
        <v/>
      </c>
      <c r="V357" s="15" t="str">
        <f t="shared" si="80"/>
        <v/>
      </c>
      <c r="W357" s="16" t="str">
        <f>IF(V357="","",VLOOKUP(V357,税率及规则!$A$2:$C$8,2,TRUE))</f>
        <v/>
      </c>
      <c r="X357" s="15" t="str">
        <f>IF(V357="","",VLOOKUP(V357,税率及规则!$A$2:$C$8,3,TRUE))</f>
        <v/>
      </c>
      <c r="Y357" s="15" t="str">
        <f t="shared" si="81"/>
        <v/>
      </c>
      <c r="Z357" s="15" t="str">
        <f>IF(U357="","",MAX(0,U357*VLOOKUP(U357,税率及规则!$A$2:$C$8,2,TRUE)-VLOOKUP(U357,税率及规则!$A$2:$C$8,3,TRUE)))</f>
        <v/>
      </c>
      <c r="AA357" s="15" t="str">
        <f t="shared" si="82"/>
        <v/>
      </c>
      <c r="AB357" s="17" t="str">
        <f t="shared" si="83"/>
        <v/>
      </c>
      <c r="AC357" s="17" t="str">
        <f t="shared" si="84"/>
        <v/>
      </c>
      <c r="AD357" s="4" t="str">
        <f>IF(A357="","",IF(COUNTIF($A$2:$A$501,A357)&gt;1,"异常：事件编号重复",IF(OR(C357="",D357="",E357="",F357="",G357=""),"异常：必填项缺失",IF(AND(F357="其他股权激励",O357=""),"异常：其他股权激励所得缺失",IF(AND(F357&lt;&gt;"其他股权激励",OR(I357="",J357="")),"异常：数量或市场价缺失",IF(AND(F357&lt;&gt;"其他股权激励",OR(I357&lt;=0,J357&lt;0)),"异常：数量或价格无效",IF(AND(F357="限制性股票",OR(M357&lt;=0,N357&lt;0,I357&gt;M357)),"异常：个人获授或出资数据无效",IF(AND(IFERROR(INDEX(计划参数!$J$2:$J$501,MATCH(C357,计划参数!$I$2:$I$501,0)),"")&lt;&gt;"",D357&lt;&gt;IFERROR(INDEX(计划参数!$J$2:$J$501,MATCH(C357,计划参数!$I$2:$I$501,0)),"")),"异常：姓名与员工主数据不一致",IF(S357&lt;0,"异常：原始所得为负，已按0计税",IF(OR(AND(F357="股票期权",K357=""),AND(F357="限制性股票",OR(K357="",L357=""))),"异常：计划参数缺失",IF(COUNTIF(计划参数!$I$2:$I$501,C357)=0,"提示：员工编号未在主数据",IF(Q357&lt;&gt;"已备案","提示：未确认备案","正常"))))))))))))</f>
        <v/>
      </c>
      <c r="AE357" s="9"/>
      <c r="AF357" s="4" t="str">
        <f>IF(C357="","",IF(COUNTIF($C$2:C357,C357)=1,MAX($AF$1:AF356)+1,""))</f>
        <v/>
      </c>
      <c r="AG357" s="4" t="str">
        <f>IF(C357="","",COUNTIF($C$2:C357,C357))</f>
        <v/>
      </c>
      <c r="AH357" s="4" t="str">
        <f t="shared" si="85"/>
        <v/>
      </c>
      <c r="AI357" s="4" t="str">
        <f t="shared" si="86"/>
        <v/>
      </c>
      <c r="AJ357" s="4" t="str">
        <f t="shared" si="87"/>
        <v/>
      </c>
      <c r="AK357" s="15" t="str">
        <f>IF(A357="","",SUMIFS(分期缴税台账!$K$2:$K$501,分期缴税台账!$T$2:$T$501,A357,分期缴税台账!$Q$2:$Q$501,"有效"))</f>
        <v/>
      </c>
      <c r="AL357" s="15" t="str">
        <f t="shared" si="88"/>
        <v/>
      </c>
      <c r="AM357" s="4" t="str">
        <f t="shared" si="89"/>
        <v/>
      </c>
    </row>
    <row r="358" spans="1:39" x14ac:dyDescent="0.3">
      <c r="A358" s="9"/>
      <c r="B358" s="4" t="str">
        <f t="shared" si="75"/>
        <v/>
      </c>
      <c r="C358" s="9"/>
      <c r="D358" s="9"/>
      <c r="E358" s="9"/>
      <c r="F358" s="9"/>
      <c r="G358" s="13"/>
      <c r="H358" s="4" t="str">
        <f t="shared" si="76"/>
        <v/>
      </c>
      <c r="I358" s="9"/>
      <c r="J358" s="14"/>
      <c r="K358" s="15" t="str">
        <f>IF(OR(E358="",F358="",G358=""),"",IF(E358&lt;&gt;计划参数!$C$2,"",IF(F358="股票期权",IFERROR(LOOKUP(G358,计划参数!$D$12:$D$15,计划参数!$C$12:$C$15),""),IF(F358="限制性股票",计划参数!$C$10,""))))</f>
        <v/>
      </c>
      <c r="L358" s="15" t="str">
        <f>IF(AND(E358=计划参数!$C$2,F358="限制性股票",G358&gt;=计划参数!$D$9),计划参数!$C$9,"")</f>
        <v/>
      </c>
      <c r="M358" s="9"/>
      <c r="N358" s="14"/>
      <c r="O358" s="14"/>
      <c r="P358" s="13"/>
      <c r="Q358" s="9"/>
      <c r="R358" s="13"/>
      <c r="S358" s="15" t="str">
        <f t="shared" si="77"/>
        <v/>
      </c>
      <c r="T358" s="15" t="str">
        <f t="shared" si="78"/>
        <v/>
      </c>
      <c r="U358" s="15" t="str">
        <f t="shared" si="79"/>
        <v/>
      </c>
      <c r="V358" s="15" t="str">
        <f t="shared" si="80"/>
        <v/>
      </c>
      <c r="W358" s="16" t="str">
        <f>IF(V358="","",VLOOKUP(V358,税率及规则!$A$2:$C$8,2,TRUE))</f>
        <v/>
      </c>
      <c r="X358" s="15" t="str">
        <f>IF(V358="","",VLOOKUP(V358,税率及规则!$A$2:$C$8,3,TRUE))</f>
        <v/>
      </c>
      <c r="Y358" s="15" t="str">
        <f t="shared" si="81"/>
        <v/>
      </c>
      <c r="Z358" s="15" t="str">
        <f>IF(U358="","",MAX(0,U358*VLOOKUP(U358,税率及规则!$A$2:$C$8,2,TRUE)-VLOOKUP(U358,税率及规则!$A$2:$C$8,3,TRUE)))</f>
        <v/>
      </c>
      <c r="AA358" s="15" t="str">
        <f t="shared" si="82"/>
        <v/>
      </c>
      <c r="AB358" s="17" t="str">
        <f t="shared" si="83"/>
        <v/>
      </c>
      <c r="AC358" s="17" t="str">
        <f t="shared" si="84"/>
        <v/>
      </c>
      <c r="AD358" s="4" t="str">
        <f>IF(A358="","",IF(COUNTIF($A$2:$A$501,A358)&gt;1,"异常：事件编号重复",IF(OR(C358="",D358="",E358="",F358="",G358=""),"异常：必填项缺失",IF(AND(F358="其他股权激励",O358=""),"异常：其他股权激励所得缺失",IF(AND(F358&lt;&gt;"其他股权激励",OR(I358="",J358="")),"异常：数量或市场价缺失",IF(AND(F358&lt;&gt;"其他股权激励",OR(I358&lt;=0,J358&lt;0)),"异常：数量或价格无效",IF(AND(F358="限制性股票",OR(M358&lt;=0,N358&lt;0,I358&gt;M358)),"异常：个人获授或出资数据无效",IF(AND(IFERROR(INDEX(计划参数!$J$2:$J$501,MATCH(C358,计划参数!$I$2:$I$501,0)),"")&lt;&gt;"",D358&lt;&gt;IFERROR(INDEX(计划参数!$J$2:$J$501,MATCH(C358,计划参数!$I$2:$I$501,0)),"")),"异常：姓名与员工主数据不一致",IF(S358&lt;0,"异常：原始所得为负，已按0计税",IF(OR(AND(F358="股票期权",K358=""),AND(F358="限制性股票",OR(K358="",L358=""))),"异常：计划参数缺失",IF(COUNTIF(计划参数!$I$2:$I$501,C358)=0,"提示：员工编号未在主数据",IF(Q358&lt;&gt;"已备案","提示：未确认备案","正常"))))))))))))</f>
        <v/>
      </c>
      <c r="AE358" s="9"/>
      <c r="AF358" s="4" t="str">
        <f>IF(C358="","",IF(COUNTIF($C$2:C358,C358)=1,MAX($AF$1:AF357)+1,""))</f>
        <v/>
      </c>
      <c r="AG358" s="4" t="str">
        <f>IF(C358="","",COUNTIF($C$2:C358,C358))</f>
        <v/>
      </c>
      <c r="AH358" s="4" t="str">
        <f t="shared" si="85"/>
        <v/>
      </c>
      <c r="AI358" s="4" t="str">
        <f t="shared" si="86"/>
        <v/>
      </c>
      <c r="AJ358" s="4" t="str">
        <f t="shared" si="87"/>
        <v/>
      </c>
      <c r="AK358" s="15" t="str">
        <f>IF(A358="","",SUMIFS(分期缴税台账!$K$2:$K$501,分期缴税台账!$T$2:$T$501,A358,分期缴税台账!$Q$2:$Q$501,"有效"))</f>
        <v/>
      </c>
      <c r="AL358" s="15" t="str">
        <f t="shared" si="88"/>
        <v/>
      </c>
      <c r="AM358" s="4" t="str">
        <f t="shared" si="89"/>
        <v/>
      </c>
    </row>
    <row r="359" spans="1:39" x14ac:dyDescent="0.3">
      <c r="A359" s="9"/>
      <c r="B359" s="4" t="str">
        <f t="shared" si="75"/>
        <v/>
      </c>
      <c r="C359" s="9"/>
      <c r="D359" s="9"/>
      <c r="E359" s="9"/>
      <c r="F359" s="9"/>
      <c r="G359" s="13"/>
      <c r="H359" s="4" t="str">
        <f t="shared" si="76"/>
        <v/>
      </c>
      <c r="I359" s="9"/>
      <c r="J359" s="14"/>
      <c r="K359" s="15" t="str">
        <f>IF(OR(E359="",F359="",G359=""),"",IF(E359&lt;&gt;计划参数!$C$2,"",IF(F359="股票期权",IFERROR(LOOKUP(G359,计划参数!$D$12:$D$15,计划参数!$C$12:$C$15),""),IF(F359="限制性股票",计划参数!$C$10,""))))</f>
        <v/>
      </c>
      <c r="L359" s="15" t="str">
        <f>IF(AND(E359=计划参数!$C$2,F359="限制性股票",G359&gt;=计划参数!$D$9),计划参数!$C$9,"")</f>
        <v/>
      </c>
      <c r="M359" s="9"/>
      <c r="N359" s="14"/>
      <c r="O359" s="14"/>
      <c r="P359" s="13"/>
      <c r="Q359" s="9"/>
      <c r="R359" s="13"/>
      <c r="S359" s="15" t="str">
        <f t="shared" si="77"/>
        <v/>
      </c>
      <c r="T359" s="15" t="str">
        <f t="shared" si="78"/>
        <v/>
      </c>
      <c r="U359" s="15" t="str">
        <f t="shared" si="79"/>
        <v/>
      </c>
      <c r="V359" s="15" t="str">
        <f t="shared" si="80"/>
        <v/>
      </c>
      <c r="W359" s="16" t="str">
        <f>IF(V359="","",VLOOKUP(V359,税率及规则!$A$2:$C$8,2,TRUE))</f>
        <v/>
      </c>
      <c r="X359" s="15" t="str">
        <f>IF(V359="","",VLOOKUP(V359,税率及规则!$A$2:$C$8,3,TRUE))</f>
        <v/>
      </c>
      <c r="Y359" s="15" t="str">
        <f t="shared" si="81"/>
        <v/>
      </c>
      <c r="Z359" s="15" t="str">
        <f>IF(U359="","",MAX(0,U359*VLOOKUP(U359,税率及规则!$A$2:$C$8,2,TRUE)-VLOOKUP(U359,税率及规则!$A$2:$C$8,3,TRUE)))</f>
        <v/>
      </c>
      <c r="AA359" s="15" t="str">
        <f t="shared" si="82"/>
        <v/>
      </c>
      <c r="AB359" s="17" t="str">
        <f t="shared" si="83"/>
        <v/>
      </c>
      <c r="AC359" s="17" t="str">
        <f t="shared" si="84"/>
        <v/>
      </c>
      <c r="AD359" s="4" t="str">
        <f>IF(A359="","",IF(COUNTIF($A$2:$A$501,A359)&gt;1,"异常：事件编号重复",IF(OR(C359="",D359="",E359="",F359="",G359=""),"异常：必填项缺失",IF(AND(F359="其他股权激励",O359=""),"异常：其他股权激励所得缺失",IF(AND(F359&lt;&gt;"其他股权激励",OR(I359="",J359="")),"异常：数量或市场价缺失",IF(AND(F359&lt;&gt;"其他股权激励",OR(I359&lt;=0,J359&lt;0)),"异常：数量或价格无效",IF(AND(F359="限制性股票",OR(M359&lt;=0,N359&lt;0,I359&gt;M359)),"异常：个人获授或出资数据无效",IF(AND(IFERROR(INDEX(计划参数!$J$2:$J$501,MATCH(C359,计划参数!$I$2:$I$501,0)),"")&lt;&gt;"",D359&lt;&gt;IFERROR(INDEX(计划参数!$J$2:$J$501,MATCH(C359,计划参数!$I$2:$I$501,0)),"")),"异常：姓名与员工主数据不一致",IF(S359&lt;0,"异常：原始所得为负，已按0计税",IF(OR(AND(F359="股票期权",K359=""),AND(F359="限制性股票",OR(K359="",L359=""))),"异常：计划参数缺失",IF(COUNTIF(计划参数!$I$2:$I$501,C359)=0,"提示：员工编号未在主数据",IF(Q359&lt;&gt;"已备案","提示：未确认备案","正常"))))))))))))</f>
        <v/>
      </c>
      <c r="AE359" s="9"/>
      <c r="AF359" s="4" t="str">
        <f>IF(C359="","",IF(COUNTIF($C$2:C359,C359)=1,MAX($AF$1:AF358)+1,""))</f>
        <v/>
      </c>
      <c r="AG359" s="4" t="str">
        <f>IF(C359="","",COUNTIF($C$2:C359,C359))</f>
        <v/>
      </c>
      <c r="AH359" s="4" t="str">
        <f t="shared" si="85"/>
        <v/>
      </c>
      <c r="AI359" s="4" t="str">
        <f t="shared" si="86"/>
        <v/>
      </c>
      <c r="AJ359" s="4" t="str">
        <f t="shared" si="87"/>
        <v/>
      </c>
      <c r="AK359" s="15" t="str">
        <f>IF(A359="","",SUMIFS(分期缴税台账!$K$2:$K$501,分期缴税台账!$T$2:$T$501,A359,分期缴税台账!$Q$2:$Q$501,"有效"))</f>
        <v/>
      </c>
      <c r="AL359" s="15" t="str">
        <f t="shared" si="88"/>
        <v/>
      </c>
      <c r="AM359" s="4" t="str">
        <f t="shared" si="89"/>
        <v/>
      </c>
    </row>
    <row r="360" spans="1:39" x14ac:dyDescent="0.3">
      <c r="A360" s="9"/>
      <c r="B360" s="4" t="str">
        <f t="shared" si="75"/>
        <v/>
      </c>
      <c r="C360" s="9"/>
      <c r="D360" s="9"/>
      <c r="E360" s="9"/>
      <c r="F360" s="9"/>
      <c r="G360" s="13"/>
      <c r="H360" s="4" t="str">
        <f t="shared" si="76"/>
        <v/>
      </c>
      <c r="I360" s="9"/>
      <c r="J360" s="14"/>
      <c r="K360" s="15" t="str">
        <f>IF(OR(E360="",F360="",G360=""),"",IF(E360&lt;&gt;计划参数!$C$2,"",IF(F360="股票期权",IFERROR(LOOKUP(G360,计划参数!$D$12:$D$15,计划参数!$C$12:$C$15),""),IF(F360="限制性股票",计划参数!$C$10,""))))</f>
        <v/>
      </c>
      <c r="L360" s="15" t="str">
        <f>IF(AND(E360=计划参数!$C$2,F360="限制性股票",G360&gt;=计划参数!$D$9),计划参数!$C$9,"")</f>
        <v/>
      </c>
      <c r="M360" s="9"/>
      <c r="N360" s="14"/>
      <c r="O360" s="14"/>
      <c r="P360" s="13"/>
      <c r="Q360" s="9"/>
      <c r="R360" s="13"/>
      <c r="S360" s="15" t="str">
        <f t="shared" si="77"/>
        <v/>
      </c>
      <c r="T360" s="15" t="str">
        <f t="shared" si="78"/>
        <v/>
      </c>
      <c r="U360" s="15" t="str">
        <f t="shared" si="79"/>
        <v/>
      </c>
      <c r="V360" s="15" t="str">
        <f t="shared" si="80"/>
        <v/>
      </c>
      <c r="W360" s="16" t="str">
        <f>IF(V360="","",VLOOKUP(V360,税率及规则!$A$2:$C$8,2,TRUE))</f>
        <v/>
      </c>
      <c r="X360" s="15" t="str">
        <f>IF(V360="","",VLOOKUP(V360,税率及规则!$A$2:$C$8,3,TRUE))</f>
        <v/>
      </c>
      <c r="Y360" s="15" t="str">
        <f t="shared" si="81"/>
        <v/>
      </c>
      <c r="Z360" s="15" t="str">
        <f>IF(U360="","",MAX(0,U360*VLOOKUP(U360,税率及规则!$A$2:$C$8,2,TRUE)-VLOOKUP(U360,税率及规则!$A$2:$C$8,3,TRUE)))</f>
        <v/>
      </c>
      <c r="AA360" s="15" t="str">
        <f t="shared" si="82"/>
        <v/>
      </c>
      <c r="AB360" s="17" t="str">
        <f t="shared" si="83"/>
        <v/>
      </c>
      <c r="AC360" s="17" t="str">
        <f t="shared" si="84"/>
        <v/>
      </c>
      <c r="AD360" s="4" t="str">
        <f>IF(A360="","",IF(COUNTIF($A$2:$A$501,A360)&gt;1,"异常：事件编号重复",IF(OR(C360="",D360="",E360="",F360="",G360=""),"异常：必填项缺失",IF(AND(F360="其他股权激励",O360=""),"异常：其他股权激励所得缺失",IF(AND(F360&lt;&gt;"其他股权激励",OR(I360="",J360="")),"异常：数量或市场价缺失",IF(AND(F360&lt;&gt;"其他股权激励",OR(I360&lt;=0,J360&lt;0)),"异常：数量或价格无效",IF(AND(F360="限制性股票",OR(M360&lt;=0,N360&lt;0,I360&gt;M360)),"异常：个人获授或出资数据无效",IF(AND(IFERROR(INDEX(计划参数!$J$2:$J$501,MATCH(C360,计划参数!$I$2:$I$501,0)),"")&lt;&gt;"",D360&lt;&gt;IFERROR(INDEX(计划参数!$J$2:$J$501,MATCH(C360,计划参数!$I$2:$I$501,0)),"")),"异常：姓名与员工主数据不一致",IF(S360&lt;0,"异常：原始所得为负，已按0计税",IF(OR(AND(F360="股票期权",K360=""),AND(F360="限制性股票",OR(K360="",L360=""))),"异常：计划参数缺失",IF(COUNTIF(计划参数!$I$2:$I$501,C360)=0,"提示：员工编号未在主数据",IF(Q360&lt;&gt;"已备案","提示：未确认备案","正常"))))))))))))</f>
        <v/>
      </c>
      <c r="AE360" s="9"/>
      <c r="AF360" s="4" t="str">
        <f>IF(C360="","",IF(COUNTIF($C$2:C360,C360)=1,MAX($AF$1:AF359)+1,""))</f>
        <v/>
      </c>
      <c r="AG360" s="4" t="str">
        <f>IF(C360="","",COUNTIF($C$2:C360,C360))</f>
        <v/>
      </c>
      <c r="AH360" s="4" t="str">
        <f t="shared" si="85"/>
        <v/>
      </c>
      <c r="AI360" s="4" t="str">
        <f t="shared" si="86"/>
        <v/>
      </c>
      <c r="AJ360" s="4" t="str">
        <f t="shared" si="87"/>
        <v/>
      </c>
      <c r="AK360" s="15" t="str">
        <f>IF(A360="","",SUMIFS(分期缴税台账!$K$2:$K$501,分期缴税台账!$T$2:$T$501,A360,分期缴税台账!$Q$2:$Q$501,"有效"))</f>
        <v/>
      </c>
      <c r="AL360" s="15" t="str">
        <f t="shared" si="88"/>
        <v/>
      </c>
      <c r="AM360" s="4" t="str">
        <f t="shared" si="89"/>
        <v/>
      </c>
    </row>
    <row r="361" spans="1:39" x14ac:dyDescent="0.3">
      <c r="A361" s="9"/>
      <c r="B361" s="4" t="str">
        <f t="shared" si="75"/>
        <v/>
      </c>
      <c r="C361" s="9"/>
      <c r="D361" s="9"/>
      <c r="E361" s="9"/>
      <c r="F361" s="9"/>
      <c r="G361" s="13"/>
      <c r="H361" s="4" t="str">
        <f t="shared" si="76"/>
        <v/>
      </c>
      <c r="I361" s="9"/>
      <c r="J361" s="14"/>
      <c r="K361" s="15" t="str">
        <f>IF(OR(E361="",F361="",G361=""),"",IF(E361&lt;&gt;计划参数!$C$2,"",IF(F361="股票期权",IFERROR(LOOKUP(G361,计划参数!$D$12:$D$15,计划参数!$C$12:$C$15),""),IF(F361="限制性股票",计划参数!$C$10,""))))</f>
        <v/>
      </c>
      <c r="L361" s="15" t="str">
        <f>IF(AND(E361=计划参数!$C$2,F361="限制性股票",G361&gt;=计划参数!$D$9),计划参数!$C$9,"")</f>
        <v/>
      </c>
      <c r="M361" s="9"/>
      <c r="N361" s="14"/>
      <c r="O361" s="14"/>
      <c r="P361" s="13"/>
      <c r="Q361" s="9"/>
      <c r="R361" s="13"/>
      <c r="S361" s="15" t="str">
        <f t="shared" si="77"/>
        <v/>
      </c>
      <c r="T361" s="15" t="str">
        <f t="shared" si="78"/>
        <v/>
      </c>
      <c r="U361" s="15" t="str">
        <f t="shared" si="79"/>
        <v/>
      </c>
      <c r="V361" s="15" t="str">
        <f t="shared" si="80"/>
        <v/>
      </c>
      <c r="W361" s="16" t="str">
        <f>IF(V361="","",VLOOKUP(V361,税率及规则!$A$2:$C$8,2,TRUE))</f>
        <v/>
      </c>
      <c r="X361" s="15" t="str">
        <f>IF(V361="","",VLOOKUP(V361,税率及规则!$A$2:$C$8,3,TRUE))</f>
        <v/>
      </c>
      <c r="Y361" s="15" t="str">
        <f t="shared" si="81"/>
        <v/>
      </c>
      <c r="Z361" s="15" t="str">
        <f>IF(U361="","",MAX(0,U361*VLOOKUP(U361,税率及规则!$A$2:$C$8,2,TRUE)-VLOOKUP(U361,税率及规则!$A$2:$C$8,3,TRUE)))</f>
        <v/>
      </c>
      <c r="AA361" s="15" t="str">
        <f t="shared" si="82"/>
        <v/>
      </c>
      <c r="AB361" s="17" t="str">
        <f t="shared" si="83"/>
        <v/>
      </c>
      <c r="AC361" s="17" t="str">
        <f t="shared" si="84"/>
        <v/>
      </c>
      <c r="AD361" s="4" t="str">
        <f>IF(A361="","",IF(COUNTIF($A$2:$A$501,A361)&gt;1,"异常：事件编号重复",IF(OR(C361="",D361="",E361="",F361="",G361=""),"异常：必填项缺失",IF(AND(F361="其他股权激励",O361=""),"异常：其他股权激励所得缺失",IF(AND(F361&lt;&gt;"其他股权激励",OR(I361="",J361="")),"异常：数量或市场价缺失",IF(AND(F361&lt;&gt;"其他股权激励",OR(I361&lt;=0,J361&lt;0)),"异常：数量或价格无效",IF(AND(F361="限制性股票",OR(M361&lt;=0,N361&lt;0,I361&gt;M361)),"异常：个人获授或出资数据无效",IF(AND(IFERROR(INDEX(计划参数!$J$2:$J$501,MATCH(C361,计划参数!$I$2:$I$501,0)),"")&lt;&gt;"",D361&lt;&gt;IFERROR(INDEX(计划参数!$J$2:$J$501,MATCH(C361,计划参数!$I$2:$I$501,0)),"")),"异常：姓名与员工主数据不一致",IF(S361&lt;0,"异常：原始所得为负，已按0计税",IF(OR(AND(F361="股票期权",K361=""),AND(F361="限制性股票",OR(K361="",L361=""))),"异常：计划参数缺失",IF(COUNTIF(计划参数!$I$2:$I$501,C361)=0,"提示：员工编号未在主数据",IF(Q361&lt;&gt;"已备案","提示：未确认备案","正常"))))))))))))</f>
        <v/>
      </c>
      <c r="AE361" s="9"/>
      <c r="AF361" s="4" t="str">
        <f>IF(C361="","",IF(COUNTIF($C$2:C361,C361)=1,MAX($AF$1:AF360)+1,""))</f>
        <v/>
      </c>
      <c r="AG361" s="4" t="str">
        <f>IF(C361="","",COUNTIF($C$2:C361,C361))</f>
        <v/>
      </c>
      <c r="AH361" s="4" t="str">
        <f t="shared" si="85"/>
        <v/>
      </c>
      <c r="AI361" s="4" t="str">
        <f t="shared" si="86"/>
        <v/>
      </c>
      <c r="AJ361" s="4" t="str">
        <f t="shared" si="87"/>
        <v/>
      </c>
      <c r="AK361" s="15" t="str">
        <f>IF(A361="","",SUMIFS(分期缴税台账!$K$2:$K$501,分期缴税台账!$T$2:$T$501,A361,分期缴税台账!$Q$2:$Q$501,"有效"))</f>
        <v/>
      </c>
      <c r="AL361" s="15" t="str">
        <f t="shared" si="88"/>
        <v/>
      </c>
      <c r="AM361" s="4" t="str">
        <f t="shared" si="89"/>
        <v/>
      </c>
    </row>
    <row r="362" spans="1:39" x14ac:dyDescent="0.3">
      <c r="A362" s="9"/>
      <c r="B362" s="4" t="str">
        <f t="shared" si="75"/>
        <v/>
      </c>
      <c r="C362" s="9"/>
      <c r="D362" s="9"/>
      <c r="E362" s="9"/>
      <c r="F362" s="9"/>
      <c r="G362" s="13"/>
      <c r="H362" s="4" t="str">
        <f t="shared" si="76"/>
        <v/>
      </c>
      <c r="I362" s="9"/>
      <c r="J362" s="14"/>
      <c r="K362" s="15" t="str">
        <f>IF(OR(E362="",F362="",G362=""),"",IF(E362&lt;&gt;计划参数!$C$2,"",IF(F362="股票期权",IFERROR(LOOKUP(G362,计划参数!$D$12:$D$15,计划参数!$C$12:$C$15),""),IF(F362="限制性股票",计划参数!$C$10,""))))</f>
        <v/>
      </c>
      <c r="L362" s="15" t="str">
        <f>IF(AND(E362=计划参数!$C$2,F362="限制性股票",G362&gt;=计划参数!$D$9),计划参数!$C$9,"")</f>
        <v/>
      </c>
      <c r="M362" s="9"/>
      <c r="N362" s="14"/>
      <c r="O362" s="14"/>
      <c r="P362" s="13"/>
      <c r="Q362" s="9"/>
      <c r="R362" s="13"/>
      <c r="S362" s="15" t="str">
        <f t="shared" si="77"/>
        <v/>
      </c>
      <c r="T362" s="15" t="str">
        <f t="shared" si="78"/>
        <v/>
      </c>
      <c r="U362" s="15" t="str">
        <f t="shared" si="79"/>
        <v/>
      </c>
      <c r="V362" s="15" t="str">
        <f t="shared" si="80"/>
        <v/>
      </c>
      <c r="W362" s="16" t="str">
        <f>IF(V362="","",VLOOKUP(V362,税率及规则!$A$2:$C$8,2,TRUE))</f>
        <v/>
      </c>
      <c r="X362" s="15" t="str">
        <f>IF(V362="","",VLOOKUP(V362,税率及规则!$A$2:$C$8,3,TRUE))</f>
        <v/>
      </c>
      <c r="Y362" s="15" t="str">
        <f t="shared" si="81"/>
        <v/>
      </c>
      <c r="Z362" s="15" t="str">
        <f>IF(U362="","",MAX(0,U362*VLOOKUP(U362,税率及规则!$A$2:$C$8,2,TRUE)-VLOOKUP(U362,税率及规则!$A$2:$C$8,3,TRUE)))</f>
        <v/>
      </c>
      <c r="AA362" s="15" t="str">
        <f t="shared" si="82"/>
        <v/>
      </c>
      <c r="AB362" s="17" t="str">
        <f t="shared" si="83"/>
        <v/>
      </c>
      <c r="AC362" s="17" t="str">
        <f t="shared" si="84"/>
        <v/>
      </c>
      <c r="AD362" s="4" t="str">
        <f>IF(A362="","",IF(COUNTIF($A$2:$A$501,A362)&gt;1,"异常：事件编号重复",IF(OR(C362="",D362="",E362="",F362="",G362=""),"异常：必填项缺失",IF(AND(F362="其他股权激励",O362=""),"异常：其他股权激励所得缺失",IF(AND(F362&lt;&gt;"其他股权激励",OR(I362="",J362="")),"异常：数量或市场价缺失",IF(AND(F362&lt;&gt;"其他股权激励",OR(I362&lt;=0,J362&lt;0)),"异常：数量或价格无效",IF(AND(F362="限制性股票",OR(M362&lt;=0,N362&lt;0,I362&gt;M362)),"异常：个人获授或出资数据无效",IF(AND(IFERROR(INDEX(计划参数!$J$2:$J$501,MATCH(C362,计划参数!$I$2:$I$501,0)),"")&lt;&gt;"",D362&lt;&gt;IFERROR(INDEX(计划参数!$J$2:$J$501,MATCH(C362,计划参数!$I$2:$I$501,0)),"")),"异常：姓名与员工主数据不一致",IF(S362&lt;0,"异常：原始所得为负，已按0计税",IF(OR(AND(F362="股票期权",K362=""),AND(F362="限制性股票",OR(K362="",L362=""))),"异常：计划参数缺失",IF(COUNTIF(计划参数!$I$2:$I$501,C362)=0,"提示：员工编号未在主数据",IF(Q362&lt;&gt;"已备案","提示：未确认备案","正常"))))))))))))</f>
        <v/>
      </c>
      <c r="AE362" s="9"/>
      <c r="AF362" s="4" t="str">
        <f>IF(C362="","",IF(COUNTIF($C$2:C362,C362)=1,MAX($AF$1:AF361)+1,""))</f>
        <v/>
      </c>
      <c r="AG362" s="4" t="str">
        <f>IF(C362="","",COUNTIF($C$2:C362,C362))</f>
        <v/>
      </c>
      <c r="AH362" s="4" t="str">
        <f t="shared" si="85"/>
        <v/>
      </c>
      <c r="AI362" s="4" t="str">
        <f t="shared" si="86"/>
        <v/>
      </c>
      <c r="AJ362" s="4" t="str">
        <f t="shared" si="87"/>
        <v/>
      </c>
      <c r="AK362" s="15" t="str">
        <f>IF(A362="","",SUMIFS(分期缴税台账!$K$2:$K$501,分期缴税台账!$T$2:$T$501,A362,分期缴税台账!$Q$2:$Q$501,"有效"))</f>
        <v/>
      </c>
      <c r="AL362" s="15" t="str">
        <f t="shared" si="88"/>
        <v/>
      </c>
      <c r="AM362" s="4" t="str">
        <f t="shared" si="89"/>
        <v/>
      </c>
    </row>
    <row r="363" spans="1:39" x14ac:dyDescent="0.3">
      <c r="A363" s="9"/>
      <c r="B363" s="4" t="str">
        <f t="shared" si="75"/>
        <v/>
      </c>
      <c r="C363" s="9"/>
      <c r="D363" s="9"/>
      <c r="E363" s="9"/>
      <c r="F363" s="9"/>
      <c r="G363" s="13"/>
      <c r="H363" s="4" t="str">
        <f t="shared" si="76"/>
        <v/>
      </c>
      <c r="I363" s="9"/>
      <c r="J363" s="14"/>
      <c r="K363" s="15" t="str">
        <f>IF(OR(E363="",F363="",G363=""),"",IF(E363&lt;&gt;计划参数!$C$2,"",IF(F363="股票期权",IFERROR(LOOKUP(G363,计划参数!$D$12:$D$15,计划参数!$C$12:$C$15),""),IF(F363="限制性股票",计划参数!$C$10,""))))</f>
        <v/>
      </c>
      <c r="L363" s="15" t="str">
        <f>IF(AND(E363=计划参数!$C$2,F363="限制性股票",G363&gt;=计划参数!$D$9),计划参数!$C$9,"")</f>
        <v/>
      </c>
      <c r="M363" s="9"/>
      <c r="N363" s="14"/>
      <c r="O363" s="14"/>
      <c r="P363" s="13"/>
      <c r="Q363" s="9"/>
      <c r="R363" s="13"/>
      <c r="S363" s="15" t="str">
        <f t="shared" si="77"/>
        <v/>
      </c>
      <c r="T363" s="15" t="str">
        <f t="shared" si="78"/>
        <v/>
      </c>
      <c r="U363" s="15" t="str">
        <f t="shared" si="79"/>
        <v/>
      </c>
      <c r="V363" s="15" t="str">
        <f t="shared" si="80"/>
        <v/>
      </c>
      <c r="W363" s="16" t="str">
        <f>IF(V363="","",VLOOKUP(V363,税率及规则!$A$2:$C$8,2,TRUE))</f>
        <v/>
      </c>
      <c r="X363" s="15" t="str">
        <f>IF(V363="","",VLOOKUP(V363,税率及规则!$A$2:$C$8,3,TRUE))</f>
        <v/>
      </c>
      <c r="Y363" s="15" t="str">
        <f t="shared" si="81"/>
        <v/>
      </c>
      <c r="Z363" s="15" t="str">
        <f>IF(U363="","",MAX(0,U363*VLOOKUP(U363,税率及规则!$A$2:$C$8,2,TRUE)-VLOOKUP(U363,税率及规则!$A$2:$C$8,3,TRUE)))</f>
        <v/>
      </c>
      <c r="AA363" s="15" t="str">
        <f t="shared" si="82"/>
        <v/>
      </c>
      <c r="AB363" s="17" t="str">
        <f t="shared" si="83"/>
        <v/>
      </c>
      <c r="AC363" s="17" t="str">
        <f t="shared" si="84"/>
        <v/>
      </c>
      <c r="AD363" s="4" t="str">
        <f>IF(A363="","",IF(COUNTIF($A$2:$A$501,A363)&gt;1,"异常：事件编号重复",IF(OR(C363="",D363="",E363="",F363="",G363=""),"异常：必填项缺失",IF(AND(F363="其他股权激励",O363=""),"异常：其他股权激励所得缺失",IF(AND(F363&lt;&gt;"其他股权激励",OR(I363="",J363="")),"异常：数量或市场价缺失",IF(AND(F363&lt;&gt;"其他股权激励",OR(I363&lt;=0,J363&lt;0)),"异常：数量或价格无效",IF(AND(F363="限制性股票",OR(M363&lt;=0,N363&lt;0,I363&gt;M363)),"异常：个人获授或出资数据无效",IF(AND(IFERROR(INDEX(计划参数!$J$2:$J$501,MATCH(C363,计划参数!$I$2:$I$501,0)),"")&lt;&gt;"",D363&lt;&gt;IFERROR(INDEX(计划参数!$J$2:$J$501,MATCH(C363,计划参数!$I$2:$I$501,0)),"")),"异常：姓名与员工主数据不一致",IF(S363&lt;0,"异常：原始所得为负，已按0计税",IF(OR(AND(F363="股票期权",K363=""),AND(F363="限制性股票",OR(K363="",L363=""))),"异常：计划参数缺失",IF(COUNTIF(计划参数!$I$2:$I$501,C363)=0,"提示：员工编号未在主数据",IF(Q363&lt;&gt;"已备案","提示：未确认备案","正常"))))))))))))</f>
        <v/>
      </c>
      <c r="AE363" s="9"/>
      <c r="AF363" s="4" t="str">
        <f>IF(C363="","",IF(COUNTIF($C$2:C363,C363)=1,MAX($AF$1:AF362)+1,""))</f>
        <v/>
      </c>
      <c r="AG363" s="4" t="str">
        <f>IF(C363="","",COUNTIF($C$2:C363,C363))</f>
        <v/>
      </c>
      <c r="AH363" s="4" t="str">
        <f t="shared" si="85"/>
        <v/>
      </c>
      <c r="AI363" s="4" t="str">
        <f t="shared" si="86"/>
        <v/>
      </c>
      <c r="AJ363" s="4" t="str">
        <f t="shared" si="87"/>
        <v/>
      </c>
      <c r="AK363" s="15" t="str">
        <f>IF(A363="","",SUMIFS(分期缴税台账!$K$2:$K$501,分期缴税台账!$T$2:$T$501,A363,分期缴税台账!$Q$2:$Q$501,"有效"))</f>
        <v/>
      </c>
      <c r="AL363" s="15" t="str">
        <f t="shared" si="88"/>
        <v/>
      </c>
      <c r="AM363" s="4" t="str">
        <f t="shared" si="89"/>
        <v/>
      </c>
    </row>
    <row r="364" spans="1:39" x14ac:dyDescent="0.3">
      <c r="A364" s="9"/>
      <c r="B364" s="4" t="str">
        <f t="shared" si="75"/>
        <v/>
      </c>
      <c r="C364" s="9"/>
      <c r="D364" s="9"/>
      <c r="E364" s="9"/>
      <c r="F364" s="9"/>
      <c r="G364" s="13"/>
      <c r="H364" s="4" t="str">
        <f t="shared" si="76"/>
        <v/>
      </c>
      <c r="I364" s="9"/>
      <c r="J364" s="14"/>
      <c r="K364" s="15" t="str">
        <f>IF(OR(E364="",F364="",G364=""),"",IF(E364&lt;&gt;计划参数!$C$2,"",IF(F364="股票期权",IFERROR(LOOKUP(G364,计划参数!$D$12:$D$15,计划参数!$C$12:$C$15),""),IF(F364="限制性股票",计划参数!$C$10,""))))</f>
        <v/>
      </c>
      <c r="L364" s="15" t="str">
        <f>IF(AND(E364=计划参数!$C$2,F364="限制性股票",G364&gt;=计划参数!$D$9),计划参数!$C$9,"")</f>
        <v/>
      </c>
      <c r="M364" s="9"/>
      <c r="N364" s="14"/>
      <c r="O364" s="14"/>
      <c r="P364" s="13"/>
      <c r="Q364" s="9"/>
      <c r="R364" s="13"/>
      <c r="S364" s="15" t="str">
        <f t="shared" si="77"/>
        <v/>
      </c>
      <c r="T364" s="15" t="str">
        <f t="shared" si="78"/>
        <v/>
      </c>
      <c r="U364" s="15" t="str">
        <f t="shared" si="79"/>
        <v/>
      </c>
      <c r="V364" s="15" t="str">
        <f t="shared" si="80"/>
        <v/>
      </c>
      <c r="W364" s="16" t="str">
        <f>IF(V364="","",VLOOKUP(V364,税率及规则!$A$2:$C$8,2,TRUE))</f>
        <v/>
      </c>
      <c r="X364" s="15" t="str">
        <f>IF(V364="","",VLOOKUP(V364,税率及规则!$A$2:$C$8,3,TRUE))</f>
        <v/>
      </c>
      <c r="Y364" s="15" t="str">
        <f t="shared" si="81"/>
        <v/>
      </c>
      <c r="Z364" s="15" t="str">
        <f>IF(U364="","",MAX(0,U364*VLOOKUP(U364,税率及规则!$A$2:$C$8,2,TRUE)-VLOOKUP(U364,税率及规则!$A$2:$C$8,3,TRUE)))</f>
        <v/>
      </c>
      <c r="AA364" s="15" t="str">
        <f t="shared" si="82"/>
        <v/>
      </c>
      <c r="AB364" s="17" t="str">
        <f t="shared" si="83"/>
        <v/>
      </c>
      <c r="AC364" s="17" t="str">
        <f t="shared" si="84"/>
        <v/>
      </c>
      <c r="AD364" s="4" t="str">
        <f>IF(A364="","",IF(COUNTIF($A$2:$A$501,A364)&gt;1,"异常：事件编号重复",IF(OR(C364="",D364="",E364="",F364="",G364=""),"异常：必填项缺失",IF(AND(F364="其他股权激励",O364=""),"异常：其他股权激励所得缺失",IF(AND(F364&lt;&gt;"其他股权激励",OR(I364="",J364="")),"异常：数量或市场价缺失",IF(AND(F364&lt;&gt;"其他股权激励",OR(I364&lt;=0,J364&lt;0)),"异常：数量或价格无效",IF(AND(F364="限制性股票",OR(M364&lt;=0,N364&lt;0,I364&gt;M364)),"异常：个人获授或出资数据无效",IF(AND(IFERROR(INDEX(计划参数!$J$2:$J$501,MATCH(C364,计划参数!$I$2:$I$501,0)),"")&lt;&gt;"",D364&lt;&gt;IFERROR(INDEX(计划参数!$J$2:$J$501,MATCH(C364,计划参数!$I$2:$I$501,0)),"")),"异常：姓名与员工主数据不一致",IF(S364&lt;0,"异常：原始所得为负，已按0计税",IF(OR(AND(F364="股票期权",K364=""),AND(F364="限制性股票",OR(K364="",L364=""))),"异常：计划参数缺失",IF(COUNTIF(计划参数!$I$2:$I$501,C364)=0,"提示：员工编号未在主数据",IF(Q364&lt;&gt;"已备案","提示：未确认备案","正常"))))))))))))</f>
        <v/>
      </c>
      <c r="AE364" s="9"/>
      <c r="AF364" s="4" t="str">
        <f>IF(C364="","",IF(COUNTIF($C$2:C364,C364)=1,MAX($AF$1:AF363)+1,""))</f>
        <v/>
      </c>
      <c r="AG364" s="4" t="str">
        <f>IF(C364="","",COUNTIF($C$2:C364,C364))</f>
        <v/>
      </c>
      <c r="AH364" s="4" t="str">
        <f t="shared" si="85"/>
        <v/>
      </c>
      <c r="AI364" s="4" t="str">
        <f t="shared" si="86"/>
        <v/>
      </c>
      <c r="AJ364" s="4" t="str">
        <f t="shared" si="87"/>
        <v/>
      </c>
      <c r="AK364" s="15" t="str">
        <f>IF(A364="","",SUMIFS(分期缴税台账!$K$2:$K$501,分期缴税台账!$T$2:$T$501,A364,分期缴税台账!$Q$2:$Q$501,"有效"))</f>
        <v/>
      </c>
      <c r="AL364" s="15" t="str">
        <f t="shared" si="88"/>
        <v/>
      </c>
      <c r="AM364" s="4" t="str">
        <f t="shared" si="89"/>
        <v/>
      </c>
    </row>
    <row r="365" spans="1:39" x14ac:dyDescent="0.3">
      <c r="A365" s="9"/>
      <c r="B365" s="4" t="str">
        <f t="shared" si="75"/>
        <v/>
      </c>
      <c r="C365" s="9"/>
      <c r="D365" s="9"/>
      <c r="E365" s="9"/>
      <c r="F365" s="9"/>
      <c r="G365" s="13"/>
      <c r="H365" s="4" t="str">
        <f t="shared" si="76"/>
        <v/>
      </c>
      <c r="I365" s="9"/>
      <c r="J365" s="14"/>
      <c r="K365" s="15" t="str">
        <f>IF(OR(E365="",F365="",G365=""),"",IF(E365&lt;&gt;计划参数!$C$2,"",IF(F365="股票期权",IFERROR(LOOKUP(G365,计划参数!$D$12:$D$15,计划参数!$C$12:$C$15),""),IF(F365="限制性股票",计划参数!$C$10,""))))</f>
        <v/>
      </c>
      <c r="L365" s="15" t="str">
        <f>IF(AND(E365=计划参数!$C$2,F365="限制性股票",G365&gt;=计划参数!$D$9),计划参数!$C$9,"")</f>
        <v/>
      </c>
      <c r="M365" s="9"/>
      <c r="N365" s="14"/>
      <c r="O365" s="14"/>
      <c r="P365" s="13"/>
      <c r="Q365" s="9"/>
      <c r="R365" s="13"/>
      <c r="S365" s="15" t="str">
        <f t="shared" si="77"/>
        <v/>
      </c>
      <c r="T365" s="15" t="str">
        <f t="shared" si="78"/>
        <v/>
      </c>
      <c r="U365" s="15" t="str">
        <f t="shared" si="79"/>
        <v/>
      </c>
      <c r="V365" s="15" t="str">
        <f t="shared" si="80"/>
        <v/>
      </c>
      <c r="W365" s="16" t="str">
        <f>IF(V365="","",VLOOKUP(V365,税率及规则!$A$2:$C$8,2,TRUE))</f>
        <v/>
      </c>
      <c r="X365" s="15" t="str">
        <f>IF(V365="","",VLOOKUP(V365,税率及规则!$A$2:$C$8,3,TRUE))</f>
        <v/>
      </c>
      <c r="Y365" s="15" t="str">
        <f t="shared" si="81"/>
        <v/>
      </c>
      <c r="Z365" s="15" t="str">
        <f>IF(U365="","",MAX(0,U365*VLOOKUP(U365,税率及规则!$A$2:$C$8,2,TRUE)-VLOOKUP(U365,税率及规则!$A$2:$C$8,3,TRUE)))</f>
        <v/>
      </c>
      <c r="AA365" s="15" t="str">
        <f t="shared" si="82"/>
        <v/>
      </c>
      <c r="AB365" s="17" t="str">
        <f t="shared" si="83"/>
        <v/>
      </c>
      <c r="AC365" s="17" t="str">
        <f t="shared" si="84"/>
        <v/>
      </c>
      <c r="AD365" s="4" t="str">
        <f>IF(A365="","",IF(COUNTIF($A$2:$A$501,A365)&gt;1,"异常：事件编号重复",IF(OR(C365="",D365="",E365="",F365="",G365=""),"异常：必填项缺失",IF(AND(F365="其他股权激励",O365=""),"异常：其他股权激励所得缺失",IF(AND(F365&lt;&gt;"其他股权激励",OR(I365="",J365="")),"异常：数量或市场价缺失",IF(AND(F365&lt;&gt;"其他股权激励",OR(I365&lt;=0,J365&lt;0)),"异常：数量或价格无效",IF(AND(F365="限制性股票",OR(M365&lt;=0,N365&lt;0,I365&gt;M365)),"异常：个人获授或出资数据无效",IF(AND(IFERROR(INDEX(计划参数!$J$2:$J$501,MATCH(C365,计划参数!$I$2:$I$501,0)),"")&lt;&gt;"",D365&lt;&gt;IFERROR(INDEX(计划参数!$J$2:$J$501,MATCH(C365,计划参数!$I$2:$I$501,0)),"")),"异常：姓名与员工主数据不一致",IF(S365&lt;0,"异常：原始所得为负，已按0计税",IF(OR(AND(F365="股票期权",K365=""),AND(F365="限制性股票",OR(K365="",L365=""))),"异常：计划参数缺失",IF(COUNTIF(计划参数!$I$2:$I$501,C365)=0,"提示：员工编号未在主数据",IF(Q365&lt;&gt;"已备案","提示：未确认备案","正常"))))))))))))</f>
        <v/>
      </c>
      <c r="AE365" s="9"/>
      <c r="AF365" s="4" t="str">
        <f>IF(C365="","",IF(COUNTIF($C$2:C365,C365)=1,MAX($AF$1:AF364)+1,""))</f>
        <v/>
      </c>
      <c r="AG365" s="4" t="str">
        <f>IF(C365="","",COUNTIF($C$2:C365,C365))</f>
        <v/>
      </c>
      <c r="AH365" s="4" t="str">
        <f t="shared" si="85"/>
        <v/>
      </c>
      <c r="AI365" s="4" t="str">
        <f t="shared" si="86"/>
        <v/>
      </c>
      <c r="AJ365" s="4" t="str">
        <f t="shared" si="87"/>
        <v/>
      </c>
      <c r="AK365" s="15" t="str">
        <f>IF(A365="","",SUMIFS(分期缴税台账!$K$2:$K$501,分期缴税台账!$T$2:$T$501,A365,分期缴税台账!$Q$2:$Q$501,"有效"))</f>
        <v/>
      </c>
      <c r="AL365" s="15" t="str">
        <f t="shared" si="88"/>
        <v/>
      </c>
      <c r="AM365" s="4" t="str">
        <f t="shared" si="89"/>
        <v/>
      </c>
    </row>
    <row r="366" spans="1:39" x14ac:dyDescent="0.3">
      <c r="A366" s="9"/>
      <c r="B366" s="4" t="str">
        <f t="shared" si="75"/>
        <v/>
      </c>
      <c r="C366" s="9"/>
      <c r="D366" s="9"/>
      <c r="E366" s="9"/>
      <c r="F366" s="9"/>
      <c r="G366" s="13"/>
      <c r="H366" s="4" t="str">
        <f t="shared" si="76"/>
        <v/>
      </c>
      <c r="I366" s="9"/>
      <c r="J366" s="14"/>
      <c r="K366" s="15" t="str">
        <f>IF(OR(E366="",F366="",G366=""),"",IF(E366&lt;&gt;计划参数!$C$2,"",IF(F366="股票期权",IFERROR(LOOKUP(G366,计划参数!$D$12:$D$15,计划参数!$C$12:$C$15),""),IF(F366="限制性股票",计划参数!$C$10,""))))</f>
        <v/>
      </c>
      <c r="L366" s="15" t="str">
        <f>IF(AND(E366=计划参数!$C$2,F366="限制性股票",G366&gt;=计划参数!$D$9),计划参数!$C$9,"")</f>
        <v/>
      </c>
      <c r="M366" s="9"/>
      <c r="N366" s="14"/>
      <c r="O366" s="14"/>
      <c r="P366" s="13"/>
      <c r="Q366" s="9"/>
      <c r="R366" s="13"/>
      <c r="S366" s="15" t="str">
        <f t="shared" si="77"/>
        <v/>
      </c>
      <c r="T366" s="15" t="str">
        <f t="shared" si="78"/>
        <v/>
      </c>
      <c r="U366" s="15" t="str">
        <f t="shared" si="79"/>
        <v/>
      </c>
      <c r="V366" s="15" t="str">
        <f t="shared" si="80"/>
        <v/>
      </c>
      <c r="W366" s="16" t="str">
        <f>IF(V366="","",VLOOKUP(V366,税率及规则!$A$2:$C$8,2,TRUE))</f>
        <v/>
      </c>
      <c r="X366" s="15" t="str">
        <f>IF(V366="","",VLOOKUP(V366,税率及规则!$A$2:$C$8,3,TRUE))</f>
        <v/>
      </c>
      <c r="Y366" s="15" t="str">
        <f t="shared" si="81"/>
        <v/>
      </c>
      <c r="Z366" s="15" t="str">
        <f>IF(U366="","",MAX(0,U366*VLOOKUP(U366,税率及规则!$A$2:$C$8,2,TRUE)-VLOOKUP(U366,税率及规则!$A$2:$C$8,3,TRUE)))</f>
        <v/>
      </c>
      <c r="AA366" s="15" t="str">
        <f t="shared" si="82"/>
        <v/>
      </c>
      <c r="AB366" s="17" t="str">
        <f t="shared" si="83"/>
        <v/>
      </c>
      <c r="AC366" s="17" t="str">
        <f t="shared" si="84"/>
        <v/>
      </c>
      <c r="AD366" s="4" t="str">
        <f>IF(A366="","",IF(COUNTIF($A$2:$A$501,A366)&gt;1,"异常：事件编号重复",IF(OR(C366="",D366="",E366="",F366="",G366=""),"异常：必填项缺失",IF(AND(F366="其他股权激励",O366=""),"异常：其他股权激励所得缺失",IF(AND(F366&lt;&gt;"其他股权激励",OR(I366="",J366="")),"异常：数量或市场价缺失",IF(AND(F366&lt;&gt;"其他股权激励",OR(I366&lt;=0,J366&lt;0)),"异常：数量或价格无效",IF(AND(F366="限制性股票",OR(M366&lt;=0,N366&lt;0,I366&gt;M366)),"异常：个人获授或出资数据无效",IF(AND(IFERROR(INDEX(计划参数!$J$2:$J$501,MATCH(C366,计划参数!$I$2:$I$501,0)),"")&lt;&gt;"",D366&lt;&gt;IFERROR(INDEX(计划参数!$J$2:$J$501,MATCH(C366,计划参数!$I$2:$I$501,0)),"")),"异常：姓名与员工主数据不一致",IF(S366&lt;0,"异常：原始所得为负，已按0计税",IF(OR(AND(F366="股票期权",K366=""),AND(F366="限制性股票",OR(K366="",L366=""))),"异常：计划参数缺失",IF(COUNTIF(计划参数!$I$2:$I$501,C366)=0,"提示：员工编号未在主数据",IF(Q366&lt;&gt;"已备案","提示：未确认备案","正常"))))))))))))</f>
        <v/>
      </c>
      <c r="AE366" s="9"/>
      <c r="AF366" s="4" t="str">
        <f>IF(C366="","",IF(COUNTIF($C$2:C366,C366)=1,MAX($AF$1:AF365)+1,""))</f>
        <v/>
      </c>
      <c r="AG366" s="4" t="str">
        <f>IF(C366="","",COUNTIF($C$2:C366,C366))</f>
        <v/>
      </c>
      <c r="AH366" s="4" t="str">
        <f t="shared" si="85"/>
        <v/>
      </c>
      <c r="AI366" s="4" t="str">
        <f t="shared" si="86"/>
        <v/>
      </c>
      <c r="AJ366" s="4" t="str">
        <f t="shared" si="87"/>
        <v/>
      </c>
      <c r="AK366" s="15" t="str">
        <f>IF(A366="","",SUMIFS(分期缴税台账!$K$2:$K$501,分期缴税台账!$T$2:$T$501,A366,分期缴税台账!$Q$2:$Q$501,"有效"))</f>
        <v/>
      </c>
      <c r="AL366" s="15" t="str">
        <f t="shared" si="88"/>
        <v/>
      </c>
      <c r="AM366" s="4" t="str">
        <f t="shared" si="89"/>
        <v/>
      </c>
    </row>
    <row r="367" spans="1:39" x14ac:dyDescent="0.3">
      <c r="A367" s="9"/>
      <c r="B367" s="4" t="str">
        <f t="shared" si="75"/>
        <v/>
      </c>
      <c r="C367" s="9"/>
      <c r="D367" s="9"/>
      <c r="E367" s="9"/>
      <c r="F367" s="9"/>
      <c r="G367" s="13"/>
      <c r="H367" s="4" t="str">
        <f t="shared" si="76"/>
        <v/>
      </c>
      <c r="I367" s="9"/>
      <c r="J367" s="14"/>
      <c r="K367" s="15" t="str">
        <f>IF(OR(E367="",F367="",G367=""),"",IF(E367&lt;&gt;计划参数!$C$2,"",IF(F367="股票期权",IFERROR(LOOKUP(G367,计划参数!$D$12:$D$15,计划参数!$C$12:$C$15),""),IF(F367="限制性股票",计划参数!$C$10,""))))</f>
        <v/>
      </c>
      <c r="L367" s="15" t="str">
        <f>IF(AND(E367=计划参数!$C$2,F367="限制性股票",G367&gt;=计划参数!$D$9),计划参数!$C$9,"")</f>
        <v/>
      </c>
      <c r="M367" s="9"/>
      <c r="N367" s="14"/>
      <c r="O367" s="14"/>
      <c r="P367" s="13"/>
      <c r="Q367" s="9"/>
      <c r="R367" s="13"/>
      <c r="S367" s="15" t="str">
        <f t="shared" si="77"/>
        <v/>
      </c>
      <c r="T367" s="15" t="str">
        <f t="shared" si="78"/>
        <v/>
      </c>
      <c r="U367" s="15" t="str">
        <f t="shared" si="79"/>
        <v/>
      </c>
      <c r="V367" s="15" t="str">
        <f t="shared" si="80"/>
        <v/>
      </c>
      <c r="W367" s="16" t="str">
        <f>IF(V367="","",VLOOKUP(V367,税率及规则!$A$2:$C$8,2,TRUE))</f>
        <v/>
      </c>
      <c r="X367" s="15" t="str">
        <f>IF(V367="","",VLOOKUP(V367,税率及规则!$A$2:$C$8,3,TRUE))</f>
        <v/>
      </c>
      <c r="Y367" s="15" t="str">
        <f t="shared" si="81"/>
        <v/>
      </c>
      <c r="Z367" s="15" t="str">
        <f>IF(U367="","",MAX(0,U367*VLOOKUP(U367,税率及规则!$A$2:$C$8,2,TRUE)-VLOOKUP(U367,税率及规则!$A$2:$C$8,3,TRUE)))</f>
        <v/>
      </c>
      <c r="AA367" s="15" t="str">
        <f t="shared" si="82"/>
        <v/>
      </c>
      <c r="AB367" s="17" t="str">
        <f t="shared" si="83"/>
        <v/>
      </c>
      <c r="AC367" s="17" t="str">
        <f t="shared" si="84"/>
        <v/>
      </c>
      <c r="AD367" s="4" t="str">
        <f>IF(A367="","",IF(COUNTIF($A$2:$A$501,A367)&gt;1,"异常：事件编号重复",IF(OR(C367="",D367="",E367="",F367="",G367=""),"异常：必填项缺失",IF(AND(F367="其他股权激励",O367=""),"异常：其他股权激励所得缺失",IF(AND(F367&lt;&gt;"其他股权激励",OR(I367="",J367="")),"异常：数量或市场价缺失",IF(AND(F367&lt;&gt;"其他股权激励",OR(I367&lt;=0,J367&lt;0)),"异常：数量或价格无效",IF(AND(F367="限制性股票",OR(M367&lt;=0,N367&lt;0,I367&gt;M367)),"异常：个人获授或出资数据无效",IF(AND(IFERROR(INDEX(计划参数!$J$2:$J$501,MATCH(C367,计划参数!$I$2:$I$501,0)),"")&lt;&gt;"",D367&lt;&gt;IFERROR(INDEX(计划参数!$J$2:$J$501,MATCH(C367,计划参数!$I$2:$I$501,0)),"")),"异常：姓名与员工主数据不一致",IF(S367&lt;0,"异常：原始所得为负，已按0计税",IF(OR(AND(F367="股票期权",K367=""),AND(F367="限制性股票",OR(K367="",L367=""))),"异常：计划参数缺失",IF(COUNTIF(计划参数!$I$2:$I$501,C367)=0,"提示：员工编号未在主数据",IF(Q367&lt;&gt;"已备案","提示：未确认备案","正常"))))))))))))</f>
        <v/>
      </c>
      <c r="AE367" s="9"/>
      <c r="AF367" s="4" t="str">
        <f>IF(C367="","",IF(COUNTIF($C$2:C367,C367)=1,MAX($AF$1:AF366)+1,""))</f>
        <v/>
      </c>
      <c r="AG367" s="4" t="str">
        <f>IF(C367="","",COUNTIF($C$2:C367,C367))</f>
        <v/>
      </c>
      <c r="AH367" s="4" t="str">
        <f t="shared" si="85"/>
        <v/>
      </c>
      <c r="AI367" s="4" t="str">
        <f t="shared" si="86"/>
        <v/>
      </c>
      <c r="AJ367" s="4" t="str">
        <f t="shared" si="87"/>
        <v/>
      </c>
      <c r="AK367" s="15" t="str">
        <f>IF(A367="","",SUMIFS(分期缴税台账!$K$2:$K$501,分期缴税台账!$T$2:$T$501,A367,分期缴税台账!$Q$2:$Q$501,"有效"))</f>
        <v/>
      </c>
      <c r="AL367" s="15" t="str">
        <f t="shared" si="88"/>
        <v/>
      </c>
      <c r="AM367" s="4" t="str">
        <f t="shared" si="89"/>
        <v/>
      </c>
    </row>
    <row r="368" spans="1:39" x14ac:dyDescent="0.3">
      <c r="A368" s="9"/>
      <c r="B368" s="4" t="str">
        <f t="shared" si="75"/>
        <v/>
      </c>
      <c r="C368" s="9"/>
      <c r="D368" s="9"/>
      <c r="E368" s="9"/>
      <c r="F368" s="9"/>
      <c r="G368" s="13"/>
      <c r="H368" s="4" t="str">
        <f t="shared" si="76"/>
        <v/>
      </c>
      <c r="I368" s="9"/>
      <c r="J368" s="14"/>
      <c r="K368" s="15" t="str">
        <f>IF(OR(E368="",F368="",G368=""),"",IF(E368&lt;&gt;计划参数!$C$2,"",IF(F368="股票期权",IFERROR(LOOKUP(G368,计划参数!$D$12:$D$15,计划参数!$C$12:$C$15),""),IF(F368="限制性股票",计划参数!$C$10,""))))</f>
        <v/>
      </c>
      <c r="L368" s="15" t="str">
        <f>IF(AND(E368=计划参数!$C$2,F368="限制性股票",G368&gt;=计划参数!$D$9),计划参数!$C$9,"")</f>
        <v/>
      </c>
      <c r="M368" s="9"/>
      <c r="N368" s="14"/>
      <c r="O368" s="14"/>
      <c r="P368" s="13"/>
      <c r="Q368" s="9"/>
      <c r="R368" s="13"/>
      <c r="S368" s="15" t="str">
        <f t="shared" si="77"/>
        <v/>
      </c>
      <c r="T368" s="15" t="str">
        <f t="shared" si="78"/>
        <v/>
      </c>
      <c r="U368" s="15" t="str">
        <f t="shared" si="79"/>
        <v/>
      </c>
      <c r="V368" s="15" t="str">
        <f t="shared" si="80"/>
        <v/>
      </c>
      <c r="W368" s="16" t="str">
        <f>IF(V368="","",VLOOKUP(V368,税率及规则!$A$2:$C$8,2,TRUE))</f>
        <v/>
      </c>
      <c r="X368" s="15" t="str">
        <f>IF(V368="","",VLOOKUP(V368,税率及规则!$A$2:$C$8,3,TRUE))</f>
        <v/>
      </c>
      <c r="Y368" s="15" t="str">
        <f t="shared" si="81"/>
        <v/>
      </c>
      <c r="Z368" s="15" t="str">
        <f>IF(U368="","",MAX(0,U368*VLOOKUP(U368,税率及规则!$A$2:$C$8,2,TRUE)-VLOOKUP(U368,税率及规则!$A$2:$C$8,3,TRUE)))</f>
        <v/>
      </c>
      <c r="AA368" s="15" t="str">
        <f t="shared" si="82"/>
        <v/>
      </c>
      <c r="AB368" s="17" t="str">
        <f t="shared" si="83"/>
        <v/>
      </c>
      <c r="AC368" s="17" t="str">
        <f t="shared" si="84"/>
        <v/>
      </c>
      <c r="AD368" s="4" t="str">
        <f>IF(A368="","",IF(COUNTIF($A$2:$A$501,A368)&gt;1,"异常：事件编号重复",IF(OR(C368="",D368="",E368="",F368="",G368=""),"异常：必填项缺失",IF(AND(F368="其他股权激励",O368=""),"异常：其他股权激励所得缺失",IF(AND(F368&lt;&gt;"其他股权激励",OR(I368="",J368="")),"异常：数量或市场价缺失",IF(AND(F368&lt;&gt;"其他股权激励",OR(I368&lt;=0,J368&lt;0)),"异常：数量或价格无效",IF(AND(F368="限制性股票",OR(M368&lt;=0,N368&lt;0,I368&gt;M368)),"异常：个人获授或出资数据无效",IF(AND(IFERROR(INDEX(计划参数!$J$2:$J$501,MATCH(C368,计划参数!$I$2:$I$501,0)),"")&lt;&gt;"",D368&lt;&gt;IFERROR(INDEX(计划参数!$J$2:$J$501,MATCH(C368,计划参数!$I$2:$I$501,0)),"")),"异常：姓名与员工主数据不一致",IF(S368&lt;0,"异常：原始所得为负，已按0计税",IF(OR(AND(F368="股票期权",K368=""),AND(F368="限制性股票",OR(K368="",L368=""))),"异常：计划参数缺失",IF(COUNTIF(计划参数!$I$2:$I$501,C368)=0,"提示：员工编号未在主数据",IF(Q368&lt;&gt;"已备案","提示：未确认备案","正常"))))))))))))</f>
        <v/>
      </c>
      <c r="AE368" s="9"/>
      <c r="AF368" s="4" t="str">
        <f>IF(C368="","",IF(COUNTIF($C$2:C368,C368)=1,MAX($AF$1:AF367)+1,""))</f>
        <v/>
      </c>
      <c r="AG368" s="4" t="str">
        <f>IF(C368="","",COUNTIF($C$2:C368,C368))</f>
        <v/>
      </c>
      <c r="AH368" s="4" t="str">
        <f t="shared" si="85"/>
        <v/>
      </c>
      <c r="AI368" s="4" t="str">
        <f t="shared" si="86"/>
        <v/>
      </c>
      <c r="AJ368" s="4" t="str">
        <f t="shared" si="87"/>
        <v/>
      </c>
      <c r="AK368" s="15" t="str">
        <f>IF(A368="","",SUMIFS(分期缴税台账!$K$2:$K$501,分期缴税台账!$T$2:$T$501,A368,分期缴税台账!$Q$2:$Q$501,"有效"))</f>
        <v/>
      </c>
      <c r="AL368" s="15" t="str">
        <f t="shared" si="88"/>
        <v/>
      </c>
      <c r="AM368" s="4" t="str">
        <f t="shared" si="89"/>
        <v/>
      </c>
    </row>
    <row r="369" spans="1:39" x14ac:dyDescent="0.3">
      <c r="A369" s="9"/>
      <c r="B369" s="4" t="str">
        <f t="shared" si="75"/>
        <v/>
      </c>
      <c r="C369" s="9"/>
      <c r="D369" s="9"/>
      <c r="E369" s="9"/>
      <c r="F369" s="9"/>
      <c r="G369" s="13"/>
      <c r="H369" s="4" t="str">
        <f t="shared" si="76"/>
        <v/>
      </c>
      <c r="I369" s="9"/>
      <c r="J369" s="14"/>
      <c r="K369" s="15" t="str">
        <f>IF(OR(E369="",F369="",G369=""),"",IF(E369&lt;&gt;计划参数!$C$2,"",IF(F369="股票期权",IFERROR(LOOKUP(G369,计划参数!$D$12:$D$15,计划参数!$C$12:$C$15),""),IF(F369="限制性股票",计划参数!$C$10,""))))</f>
        <v/>
      </c>
      <c r="L369" s="15" t="str">
        <f>IF(AND(E369=计划参数!$C$2,F369="限制性股票",G369&gt;=计划参数!$D$9),计划参数!$C$9,"")</f>
        <v/>
      </c>
      <c r="M369" s="9"/>
      <c r="N369" s="14"/>
      <c r="O369" s="14"/>
      <c r="P369" s="13"/>
      <c r="Q369" s="9"/>
      <c r="R369" s="13"/>
      <c r="S369" s="15" t="str">
        <f t="shared" si="77"/>
        <v/>
      </c>
      <c r="T369" s="15" t="str">
        <f t="shared" si="78"/>
        <v/>
      </c>
      <c r="U369" s="15" t="str">
        <f t="shared" si="79"/>
        <v/>
      </c>
      <c r="V369" s="15" t="str">
        <f t="shared" si="80"/>
        <v/>
      </c>
      <c r="W369" s="16" t="str">
        <f>IF(V369="","",VLOOKUP(V369,税率及规则!$A$2:$C$8,2,TRUE))</f>
        <v/>
      </c>
      <c r="X369" s="15" t="str">
        <f>IF(V369="","",VLOOKUP(V369,税率及规则!$A$2:$C$8,3,TRUE))</f>
        <v/>
      </c>
      <c r="Y369" s="15" t="str">
        <f t="shared" si="81"/>
        <v/>
      </c>
      <c r="Z369" s="15" t="str">
        <f>IF(U369="","",MAX(0,U369*VLOOKUP(U369,税率及规则!$A$2:$C$8,2,TRUE)-VLOOKUP(U369,税率及规则!$A$2:$C$8,3,TRUE)))</f>
        <v/>
      </c>
      <c r="AA369" s="15" t="str">
        <f t="shared" si="82"/>
        <v/>
      </c>
      <c r="AB369" s="17" t="str">
        <f t="shared" si="83"/>
        <v/>
      </c>
      <c r="AC369" s="17" t="str">
        <f t="shared" si="84"/>
        <v/>
      </c>
      <c r="AD369" s="4" t="str">
        <f>IF(A369="","",IF(COUNTIF($A$2:$A$501,A369)&gt;1,"异常：事件编号重复",IF(OR(C369="",D369="",E369="",F369="",G369=""),"异常：必填项缺失",IF(AND(F369="其他股权激励",O369=""),"异常：其他股权激励所得缺失",IF(AND(F369&lt;&gt;"其他股权激励",OR(I369="",J369="")),"异常：数量或市场价缺失",IF(AND(F369&lt;&gt;"其他股权激励",OR(I369&lt;=0,J369&lt;0)),"异常：数量或价格无效",IF(AND(F369="限制性股票",OR(M369&lt;=0,N369&lt;0,I369&gt;M369)),"异常：个人获授或出资数据无效",IF(AND(IFERROR(INDEX(计划参数!$J$2:$J$501,MATCH(C369,计划参数!$I$2:$I$501,0)),"")&lt;&gt;"",D369&lt;&gt;IFERROR(INDEX(计划参数!$J$2:$J$501,MATCH(C369,计划参数!$I$2:$I$501,0)),"")),"异常：姓名与员工主数据不一致",IF(S369&lt;0,"异常：原始所得为负，已按0计税",IF(OR(AND(F369="股票期权",K369=""),AND(F369="限制性股票",OR(K369="",L369=""))),"异常：计划参数缺失",IF(COUNTIF(计划参数!$I$2:$I$501,C369)=0,"提示：员工编号未在主数据",IF(Q369&lt;&gt;"已备案","提示：未确认备案","正常"))))))))))))</f>
        <v/>
      </c>
      <c r="AE369" s="9"/>
      <c r="AF369" s="4" t="str">
        <f>IF(C369="","",IF(COUNTIF($C$2:C369,C369)=1,MAX($AF$1:AF368)+1,""))</f>
        <v/>
      </c>
      <c r="AG369" s="4" t="str">
        <f>IF(C369="","",COUNTIF($C$2:C369,C369))</f>
        <v/>
      </c>
      <c r="AH369" s="4" t="str">
        <f t="shared" si="85"/>
        <v/>
      </c>
      <c r="AI369" s="4" t="str">
        <f t="shared" si="86"/>
        <v/>
      </c>
      <c r="AJ369" s="4" t="str">
        <f t="shared" si="87"/>
        <v/>
      </c>
      <c r="AK369" s="15" t="str">
        <f>IF(A369="","",SUMIFS(分期缴税台账!$K$2:$K$501,分期缴税台账!$T$2:$T$501,A369,分期缴税台账!$Q$2:$Q$501,"有效"))</f>
        <v/>
      </c>
      <c r="AL369" s="15" t="str">
        <f t="shared" si="88"/>
        <v/>
      </c>
      <c r="AM369" s="4" t="str">
        <f t="shared" si="89"/>
        <v/>
      </c>
    </row>
    <row r="370" spans="1:39" x14ac:dyDescent="0.3">
      <c r="A370" s="9"/>
      <c r="B370" s="4" t="str">
        <f t="shared" si="75"/>
        <v/>
      </c>
      <c r="C370" s="9"/>
      <c r="D370" s="9"/>
      <c r="E370" s="9"/>
      <c r="F370" s="9"/>
      <c r="G370" s="13"/>
      <c r="H370" s="4" t="str">
        <f t="shared" si="76"/>
        <v/>
      </c>
      <c r="I370" s="9"/>
      <c r="J370" s="14"/>
      <c r="K370" s="15" t="str">
        <f>IF(OR(E370="",F370="",G370=""),"",IF(E370&lt;&gt;计划参数!$C$2,"",IF(F370="股票期权",IFERROR(LOOKUP(G370,计划参数!$D$12:$D$15,计划参数!$C$12:$C$15),""),IF(F370="限制性股票",计划参数!$C$10,""))))</f>
        <v/>
      </c>
      <c r="L370" s="15" t="str">
        <f>IF(AND(E370=计划参数!$C$2,F370="限制性股票",G370&gt;=计划参数!$D$9),计划参数!$C$9,"")</f>
        <v/>
      </c>
      <c r="M370" s="9"/>
      <c r="N370" s="14"/>
      <c r="O370" s="14"/>
      <c r="P370" s="13"/>
      <c r="Q370" s="9"/>
      <c r="R370" s="13"/>
      <c r="S370" s="15" t="str">
        <f t="shared" si="77"/>
        <v/>
      </c>
      <c r="T370" s="15" t="str">
        <f t="shared" si="78"/>
        <v/>
      </c>
      <c r="U370" s="15" t="str">
        <f t="shared" si="79"/>
        <v/>
      </c>
      <c r="V370" s="15" t="str">
        <f t="shared" si="80"/>
        <v/>
      </c>
      <c r="W370" s="16" t="str">
        <f>IF(V370="","",VLOOKUP(V370,税率及规则!$A$2:$C$8,2,TRUE))</f>
        <v/>
      </c>
      <c r="X370" s="15" t="str">
        <f>IF(V370="","",VLOOKUP(V370,税率及规则!$A$2:$C$8,3,TRUE))</f>
        <v/>
      </c>
      <c r="Y370" s="15" t="str">
        <f t="shared" si="81"/>
        <v/>
      </c>
      <c r="Z370" s="15" t="str">
        <f>IF(U370="","",MAX(0,U370*VLOOKUP(U370,税率及规则!$A$2:$C$8,2,TRUE)-VLOOKUP(U370,税率及规则!$A$2:$C$8,3,TRUE)))</f>
        <v/>
      </c>
      <c r="AA370" s="15" t="str">
        <f t="shared" si="82"/>
        <v/>
      </c>
      <c r="AB370" s="17" t="str">
        <f t="shared" si="83"/>
        <v/>
      </c>
      <c r="AC370" s="17" t="str">
        <f t="shared" si="84"/>
        <v/>
      </c>
      <c r="AD370" s="4" t="str">
        <f>IF(A370="","",IF(COUNTIF($A$2:$A$501,A370)&gt;1,"异常：事件编号重复",IF(OR(C370="",D370="",E370="",F370="",G370=""),"异常：必填项缺失",IF(AND(F370="其他股权激励",O370=""),"异常：其他股权激励所得缺失",IF(AND(F370&lt;&gt;"其他股权激励",OR(I370="",J370="")),"异常：数量或市场价缺失",IF(AND(F370&lt;&gt;"其他股权激励",OR(I370&lt;=0,J370&lt;0)),"异常：数量或价格无效",IF(AND(F370="限制性股票",OR(M370&lt;=0,N370&lt;0,I370&gt;M370)),"异常：个人获授或出资数据无效",IF(AND(IFERROR(INDEX(计划参数!$J$2:$J$501,MATCH(C370,计划参数!$I$2:$I$501,0)),"")&lt;&gt;"",D370&lt;&gt;IFERROR(INDEX(计划参数!$J$2:$J$501,MATCH(C370,计划参数!$I$2:$I$501,0)),"")),"异常：姓名与员工主数据不一致",IF(S370&lt;0,"异常：原始所得为负，已按0计税",IF(OR(AND(F370="股票期权",K370=""),AND(F370="限制性股票",OR(K370="",L370=""))),"异常：计划参数缺失",IF(COUNTIF(计划参数!$I$2:$I$501,C370)=0,"提示：员工编号未在主数据",IF(Q370&lt;&gt;"已备案","提示：未确认备案","正常"))))))))))))</f>
        <v/>
      </c>
      <c r="AE370" s="9"/>
      <c r="AF370" s="4" t="str">
        <f>IF(C370="","",IF(COUNTIF($C$2:C370,C370)=1,MAX($AF$1:AF369)+1,""))</f>
        <v/>
      </c>
      <c r="AG370" s="4" t="str">
        <f>IF(C370="","",COUNTIF($C$2:C370,C370))</f>
        <v/>
      </c>
      <c r="AH370" s="4" t="str">
        <f t="shared" si="85"/>
        <v/>
      </c>
      <c r="AI370" s="4" t="str">
        <f t="shared" si="86"/>
        <v/>
      </c>
      <c r="AJ370" s="4" t="str">
        <f t="shared" si="87"/>
        <v/>
      </c>
      <c r="AK370" s="15" t="str">
        <f>IF(A370="","",SUMIFS(分期缴税台账!$K$2:$K$501,分期缴税台账!$T$2:$T$501,A370,分期缴税台账!$Q$2:$Q$501,"有效"))</f>
        <v/>
      </c>
      <c r="AL370" s="15" t="str">
        <f t="shared" si="88"/>
        <v/>
      </c>
      <c r="AM370" s="4" t="str">
        <f t="shared" si="89"/>
        <v/>
      </c>
    </row>
    <row r="371" spans="1:39" x14ac:dyDescent="0.3">
      <c r="A371" s="9"/>
      <c r="B371" s="4" t="str">
        <f t="shared" si="75"/>
        <v/>
      </c>
      <c r="C371" s="9"/>
      <c r="D371" s="9"/>
      <c r="E371" s="9"/>
      <c r="F371" s="9"/>
      <c r="G371" s="13"/>
      <c r="H371" s="4" t="str">
        <f t="shared" si="76"/>
        <v/>
      </c>
      <c r="I371" s="9"/>
      <c r="J371" s="14"/>
      <c r="K371" s="15" t="str">
        <f>IF(OR(E371="",F371="",G371=""),"",IF(E371&lt;&gt;计划参数!$C$2,"",IF(F371="股票期权",IFERROR(LOOKUP(G371,计划参数!$D$12:$D$15,计划参数!$C$12:$C$15),""),IF(F371="限制性股票",计划参数!$C$10,""))))</f>
        <v/>
      </c>
      <c r="L371" s="15" t="str">
        <f>IF(AND(E371=计划参数!$C$2,F371="限制性股票",G371&gt;=计划参数!$D$9),计划参数!$C$9,"")</f>
        <v/>
      </c>
      <c r="M371" s="9"/>
      <c r="N371" s="14"/>
      <c r="O371" s="14"/>
      <c r="P371" s="13"/>
      <c r="Q371" s="9"/>
      <c r="R371" s="13"/>
      <c r="S371" s="15" t="str">
        <f t="shared" si="77"/>
        <v/>
      </c>
      <c r="T371" s="15" t="str">
        <f t="shared" si="78"/>
        <v/>
      </c>
      <c r="U371" s="15" t="str">
        <f t="shared" si="79"/>
        <v/>
      </c>
      <c r="V371" s="15" t="str">
        <f t="shared" si="80"/>
        <v/>
      </c>
      <c r="W371" s="16" t="str">
        <f>IF(V371="","",VLOOKUP(V371,税率及规则!$A$2:$C$8,2,TRUE))</f>
        <v/>
      </c>
      <c r="X371" s="15" t="str">
        <f>IF(V371="","",VLOOKUP(V371,税率及规则!$A$2:$C$8,3,TRUE))</f>
        <v/>
      </c>
      <c r="Y371" s="15" t="str">
        <f t="shared" si="81"/>
        <v/>
      </c>
      <c r="Z371" s="15" t="str">
        <f>IF(U371="","",MAX(0,U371*VLOOKUP(U371,税率及规则!$A$2:$C$8,2,TRUE)-VLOOKUP(U371,税率及规则!$A$2:$C$8,3,TRUE)))</f>
        <v/>
      </c>
      <c r="AA371" s="15" t="str">
        <f t="shared" si="82"/>
        <v/>
      </c>
      <c r="AB371" s="17" t="str">
        <f t="shared" si="83"/>
        <v/>
      </c>
      <c r="AC371" s="17" t="str">
        <f t="shared" si="84"/>
        <v/>
      </c>
      <c r="AD371" s="4" t="str">
        <f>IF(A371="","",IF(COUNTIF($A$2:$A$501,A371)&gt;1,"异常：事件编号重复",IF(OR(C371="",D371="",E371="",F371="",G371=""),"异常：必填项缺失",IF(AND(F371="其他股权激励",O371=""),"异常：其他股权激励所得缺失",IF(AND(F371&lt;&gt;"其他股权激励",OR(I371="",J371="")),"异常：数量或市场价缺失",IF(AND(F371&lt;&gt;"其他股权激励",OR(I371&lt;=0,J371&lt;0)),"异常：数量或价格无效",IF(AND(F371="限制性股票",OR(M371&lt;=0,N371&lt;0,I371&gt;M371)),"异常：个人获授或出资数据无效",IF(AND(IFERROR(INDEX(计划参数!$J$2:$J$501,MATCH(C371,计划参数!$I$2:$I$501,0)),"")&lt;&gt;"",D371&lt;&gt;IFERROR(INDEX(计划参数!$J$2:$J$501,MATCH(C371,计划参数!$I$2:$I$501,0)),"")),"异常：姓名与员工主数据不一致",IF(S371&lt;0,"异常：原始所得为负，已按0计税",IF(OR(AND(F371="股票期权",K371=""),AND(F371="限制性股票",OR(K371="",L371=""))),"异常：计划参数缺失",IF(COUNTIF(计划参数!$I$2:$I$501,C371)=0,"提示：员工编号未在主数据",IF(Q371&lt;&gt;"已备案","提示：未确认备案","正常"))))))))))))</f>
        <v/>
      </c>
      <c r="AE371" s="9"/>
      <c r="AF371" s="4" t="str">
        <f>IF(C371="","",IF(COUNTIF($C$2:C371,C371)=1,MAX($AF$1:AF370)+1,""))</f>
        <v/>
      </c>
      <c r="AG371" s="4" t="str">
        <f>IF(C371="","",COUNTIF($C$2:C371,C371))</f>
        <v/>
      </c>
      <c r="AH371" s="4" t="str">
        <f t="shared" si="85"/>
        <v/>
      </c>
      <c r="AI371" s="4" t="str">
        <f t="shared" si="86"/>
        <v/>
      </c>
      <c r="AJ371" s="4" t="str">
        <f t="shared" si="87"/>
        <v/>
      </c>
      <c r="AK371" s="15" t="str">
        <f>IF(A371="","",SUMIFS(分期缴税台账!$K$2:$K$501,分期缴税台账!$T$2:$T$501,A371,分期缴税台账!$Q$2:$Q$501,"有效"))</f>
        <v/>
      </c>
      <c r="AL371" s="15" t="str">
        <f t="shared" si="88"/>
        <v/>
      </c>
      <c r="AM371" s="4" t="str">
        <f t="shared" si="89"/>
        <v/>
      </c>
    </row>
    <row r="372" spans="1:39" x14ac:dyDescent="0.3">
      <c r="A372" s="9"/>
      <c r="B372" s="4" t="str">
        <f t="shared" si="75"/>
        <v/>
      </c>
      <c r="C372" s="9"/>
      <c r="D372" s="9"/>
      <c r="E372" s="9"/>
      <c r="F372" s="9"/>
      <c r="G372" s="13"/>
      <c r="H372" s="4" t="str">
        <f t="shared" si="76"/>
        <v/>
      </c>
      <c r="I372" s="9"/>
      <c r="J372" s="14"/>
      <c r="K372" s="15" t="str">
        <f>IF(OR(E372="",F372="",G372=""),"",IF(E372&lt;&gt;计划参数!$C$2,"",IF(F372="股票期权",IFERROR(LOOKUP(G372,计划参数!$D$12:$D$15,计划参数!$C$12:$C$15),""),IF(F372="限制性股票",计划参数!$C$10,""))))</f>
        <v/>
      </c>
      <c r="L372" s="15" t="str">
        <f>IF(AND(E372=计划参数!$C$2,F372="限制性股票",G372&gt;=计划参数!$D$9),计划参数!$C$9,"")</f>
        <v/>
      </c>
      <c r="M372" s="9"/>
      <c r="N372" s="14"/>
      <c r="O372" s="14"/>
      <c r="P372" s="13"/>
      <c r="Q372" s="9"/>
      <c r="R372" s="13"/>
      <c r="S372" s="15" t="str">
        <f t="shared" si="77"/>
        <v/>
      </c>
      <c r="T372" s="15" t="str">
        <f t="shared" si="78"/>
        <v/>
      </c>
      <c r="U372" s="15" t="str">
        <f t="shared" si="79"/>
        <v/>
      </c>
      <c r="V372" s="15" t="str">
        <f t="shared" si="80"/>
        <v/>
      </c>
      <c r="W372" s="16" t="str">
        <f>IF(V372="","",VLOOKUP(V372,税率及规则!$A$2:$C$8,2,TRUE))</f>
        <v/>
      </c>
      <c r="X372" s="15" t="str">
        <f>IF(V372="","",VLOOKUP(V372,税率及规则!$A$2:$C$8,3,TRUE))</f>
        <v/>
      </c>
      <c r="Y372" s="15" t="str">
        <f t="shared" si="81"/>
        <v/>
      </c>
      <c r="Z372" s="15" t="str">
        <f>IF(U372="","",MAX(0,U372*VLOOKUP(U372,税率及规则!$A$2:$C$8,2,TRUE)-VLOOKUP(U372,税率及规则!$A$2:$C$8,3,TRUE)))</f>
        <v/>
      </c>
      <c r="AA372" s="15" t="str">
        <f t="shared" si="82"/>
        <v/>
      </c>
      <c r="AB372" s="17" t="str">
        <f t="shared" si="83"/>
        <v/>
      </c>
      <c r="AC372" s="17" t="str">
        <f t="shared" si="84"/>
        <v/>
      </c>
      <c r="AD372" s="4" t="str">
        <f>IF(A372="","",IF(COUNTIF($A$2:$A$501,A372)&gt;1,"异常：事件编号重复",IF(OR(C372="",D372="",E372="",F372="",G372=""),"异常：必填项缺失",IF(AND(F372="其他股权激励",O372=""),"异常：其他股权激励所得缺失",IF(AND(F372&lt;&gt;"其他股权激励",OR(I372="",J372="")),"异常：数量或市场价缺失",IF(AND(F372&lt;&gt;"其他股权激励",OR(I372&lt;=0,J372&lt;0)),"异常：数量或价格无效",IF(AND(F372="限制性股票",OR(M372&lt;=0,N372&lt;0,I372&gt;M372)),"异常：个人获授或出资数据无效",IF(AND(IFERROR(INDEX(计划参数!$J$2:$J$501,MATCH(C372,计划参数!$I$2:$I$501,0)),"")&lt;&gt;"",D372&lt;&gt;IFERROR(INDEX(计划参数!$J$2:$J$501,MATCH(C372,计划参数!$I$2:$I$501,0)),"")),"异常：姓名与员工主数据不一致",IF(S372&lt;0,"异常：原始所得为负，已按0计税",IF(OR(AND(F372="股票期权",K372=""),AND(F372="限制性股票",OR(K372="",L372=""))),"异常：计划参数缺失",IF(COUNTIF(计划参数!$I$2:$I$501,C372)=0,"提示：员工编号未在主数据",IF(Q372&lt;&gt;"已备案","提示：未确认备案","正常"))))))))))))</f>
        <v/>
      </c>
      <c r="AE372" s="9"/>
      <c r="AF372" s="4" t="str">
        <f>IF(C372="","",IF(COUNTIF($C$2:C372,C372)=1,MAX($AF$1:AF371)+1,""))</f>
        <v/>
      </c>
      <c r="AG372" s="4" t="str">
        <f>IF(C372="","",COUNTIF($C$2:C372,C372))</f>
        <v/>
      </c>
      <c r="AH372" s="4" t="str">
        <f t="shared" si="85"/>
        <v/>
      </c>
      <c r="AI372" s="4" t="str">
        <f t="shared" si="86"/>
        <v/>
      </c>
      <c r="AJ372" s="4" t="str">
        <f t="shared" si="87"/>
        <v/>
      </c>
      <c r="AK372" s="15" t="str">
        <f>IF(A372="","",SUMIFS(分期缴税台账!$K$2:$K$501,分期缴税台账!$T$2:$T$501,A372,分期缴税台账!$Q$2:$Q$501,"有效"))</f>
        <v/>
      </c>
      <c r="AL372" s="15" t="str">
        <f t="shared" si="88"/>
        <v/>
      </c>
      <c r="AM372" s="4" t="str">
        <f t="shared" si="89"/>
        <v/>
      </c>
    </row>
    <row r="373" spans="1:39" x14ac:dyDescent="0.3">
      <c r="A373" s="9"/>
      <c r="B373" s="4" t="str">
        <f t="shared" si="75"/>
        <v/>
      </c>
      <c r="C373" s="9"/>
      <c r="D373" s="9"/>
      <c r="E373" s="9"/>
      <c r="F373" s="9"/>
      <c r="G373" s="13"/>
      <c r="H373" s="4" t="str">
        <f t="shared" si="76"/>
        <v/>
      </c>
      <c r="I373" s="9"/>
      <c r="J373" s="14"/>
      <c r="K373" s="15" t="str">
        <f>IF(OR(E373="",F373="",G373=""),"",IF(E373&lt;&gt;计划参数!$C$2,"",IF(F373="股票期权",IFERROR(LOOKUP(G373,计划参数!$D$12:$D$15,计划参数!$C$12:$C$15),""),IF(F373="限制性股票",计划参数!$C$10,""))))</f>
        <v/>
      </c>
      <c r="L373" s="15" t="str">
        <f>IF(AND(E373=计划参数!$C$2,F373="限制性股票",G373&gt;=计划参数!$D$9),计划参数!$C$9,"")</f>
        <v/>
      </c>
      <c r="M373" s="9"/>
      <c r="N373" s="14"/>
      <c r="O373" s="14"/>
      <c r="P373" s="13"/>
      <c r="Q373" s="9"/>
      <c r="R373" s="13"/>
      <c r="S373" s="15" t="str">
        <f t="shared" si="77"/>
        <v/>
      </c>
      <c r="T373" s="15" t="str">
        <f t="shared" si="78"/>
        <v/>
      </c>
      <c r="U373" s="15" t="str">
        <f t="shared" si="79"/>
        <v/>
      </c>
      <c r="V373" s="15" t="str">
        <f t="shared" si="80"/>
        <v/>
      </c>
      <c r="W373" s="16" t="str">
        <f>IF(V373="","",VLOOKUP(V373,税率及规则!$A$2:$C$8,2,TRUE))</f>
        <v/>
      </c>
      <c r="X373" s="15" t="str">
        <f>IF(V373="","",VLOOKUP(V373,税率及规则!$A$2:$C$8,3,TRUE))</f>
        <v/>
      </c>
      <c r="Y373" s="15" t="str">
        <f t="shared" si="81"/>
        <v/>
      </c>
      <c r="Z373" s="15" t="str">
        <f>IF(U373="","",MAX(0,U373*VLOOKUP(U373,税率及规则!$A$2:$C$8,2,TRUE)-VLOOKUP(U373,税率及规则!$A$2:$C$8,3,TRUE)))</f>
        <v/>
      </c>
      <c r="AA373" s="15" t="str">
        <f t="shared" si="82"/>
        <v/>
      </c>
      <c r="AB373" s="17" t="str">
        <f t="shared" si="83"/>
        <v/>
      </c>
      <c r="AC373" s="17" t="str">
        <f t="shared" si="84"/>
        <v/>
      </c>
      <c r="AD373" s="4" t="str">
        <f>IF(A373="","",IF(COUNTIF($A$2:$A$501,A373)&gt;1,"异常：事件编号重复",IF(OR(C373="",D373="",E373="",F373="",G373=""),"异常：必填项缺失",IF(AND(F373="其他股权激励",O373=""),"异常：其他股权激励所得缺失",IF(AND(F373&lt;&gt;"其他股权激励",OR(I373="",J373="")),"异常：数量或市场价缺失",IF(AND(F373&lt;&gt;"其他股权激励",OR(I373&lt;=0,J373&lt;0)),"异常：数量或价格无效",IF(AND(F373="限制性股票",OR(M373&lt;=0,N373&lt;0,I373&gt;M373)),"异常：个人获授或出资数据无效",IF(AND(IFERROR(INDEX(计划参数!$J$2:$J$501,MATCH(C373,计划参数!$I$2:$I$501,0)),"")&lt;&gt;"",D373&lt;&gt;IFERROR(INDEX(计划参数!$J$2:$J$501,MATCH(C373,计划参数!$I$2:$I$501,0)),"")),"异常：姓名与员工主数据不一致",IF(S373&lt;0,"异常：原始所得为负，已按0计税",IF(OR(AND(F373="股票期权",K373=""),AND(F373="限制性股票",OR(K373="",L373=""))),"异常：计划参数缺失",IF(COUNTIF(计划参数!$I$2:$I$501,C373)=0,"提示：员工编号未在主数据",IF(Q373&lt;&gt;"已备案","提示：未确认备案","正常"))))))))))))</f>
        <v/>
      </c>
      <c r="AE373" s="9"/>
      <c r="AF373" s="4" t="str">
        <f>IF(C373="","",IF(COUNTIF($C$2:C373,C373)=1,MAX($AF$1:AF372)+1,""))</f>
        <v/>
      </c>
      <c r="AG373" s="4" t="str">
        <f>IF(C373="","",COUNTIF($C$2:C373,C373))</f>
        <v/>
      </c>
      <c r="AH373" s="4" t="str">
        <f t="shared" si="85"/>
        <v/>
      </c>
      <c r="AI373" s="4" t="str">
        <f t="shared" si="86"/>
        <v/>
      </c>
      <c r="AJ373" s="4" t="str">
        <f t="shared" si="87"/>
        <v/>
      </c>
      <c r="AK373" s="15" t="str">
        <f>IF(A373="","",SUMIFS(分期缴税台账!$K$2:$K$501,分期缴税台账!$T$2:$T$501,A373,分期缴税台账!$Q$2:$Q$501,"有效"))</f>
        <v/>
      </c>
      <c r="AL373" s="15" t="str">
        <f t="shared" si="88"/>
        <v/>
      </c>
      <c r="AM373" s="4" t="str">
        <f t="shared" si="89"/>
        <v/>
      </c>
    </row>
    <row r="374" spans="1:39" x14ac:dyDescent="0.3">
      <c r="A374" s="9"/>
      <c r="B374" s="4" t="str">
        <f t="shared" si="75"/>
        <v/>
      </c>
      <c r="C374" s="9"/>
      <c r="D374" s="9"/>
      <c r="E374" s="9"/>
      <c r="F374" s="9"/>
      <c r="G374" s="13"/>
      <c r="H374" s="4" t="str">
        <f t="shared" si="76"/>
        <v/>
      </c>
      <c r="I374" s="9"/>
      <c r="J374" s="14"/>
      <c r="K374" s="15" t="str">
        <f>IF(OR(E374="",F374="",G374=""),"",IF(E374&lt;&gt;计划参数!$C$2,"",IF(F374="股票期权",IFERROR(LOOKUP(G374,计划参数!$D$12:$D$15,计划参数!$C$12:$C$15),""),IF(F374="限制性股票",计划参数!$C$10,""))))</f>
        <v/>
      </c>
      <c r="L374" s="15" t="str">
        <f>IF(AND(E374=计划参数!$C$2,F374="限制性股票",G374&gt;=计划参数!$D$9),计划参数!$C$9,"")</f>
        <v/>
      </c>
      <c r="M374" s="9"/>
      <c r="N374" s="14"/>
      <c r="O374" s="14"/>
      <c r="P374" s="13"/>
      <c r="Q374" s="9"/>
      <c r="R374" s="13"/>
      <c r="S374" s="15" t="str">
        <f t="shared" si="77"/>
        <v/>
      </c>
      <c r="T374" s="15" t="str">
        <f t="shared" si="78"/>
        <v/>
      </c>
      <c r="U374" s="15" t="str">
        <f t="shared" si="79"/>
        <v/>
      </c>
      <c r="V374" s="15" t="str">
        <f t="shared" si="80"/>
        <v/>
      </c>
      <c r="W374" s="16" t="str">
        <f>IF(V374="","",VLOOKUP(V374,税率及规则!$A$2:$C$8,2,TRUE))</f>
        <v/>
      </c>
      <c r="X374" s="15" t="str">
        <f>IF(V374="","",VLOOKUP(V374,税率及规则!$A$2:$C$8,3,TRUE))</f>
        <v/>
      </c>
      <c r="Y374" s="15" t="str">
        <f t="shared" si="81"/>
        <v/>
      </c>
      <c r="Z374" s="15" t="str">
        <f>IF(U374="","",MAX(0,U374*VLOOKUP(U374,税率及规则!$A$2:$C$8,2,TRUE)-VLOOKUP(U374,税率及规则!$A$2:$C$8,3,TRUE)))</f>
        <v/>
      </c>
      <c r="AA374" s="15" t="str">
        <f t="shared" si="82"/>
        <v/>
      </c>
      <c r="AB374" s="17" t="str">
        <f t="shared" si="83"/>
        <v/>
      </c>
      <c r="AC374" s="17" t="str">
        <f t="shared" si="84"/>
        <v/>
      </c>
      <c r="AD374" s="4" t="str">
        <f>IF(A374="","",IF(COUNTIF($A$2:$A$501,A374)&gt;1,"异常：事件编号重复",IF(OR(C374="",D374="",E374="",F374="",G374=""),"异常：必填项缺失",IF(AND(F374="其他股权激励",O374=""),"异常：其他股权激励所得缺失",IF(AND(F374&lt;&gt;"其他股权激励",OR(I374="",J374="")),"异常：数量或市场价缺失",IF(AND(F374&lt;&gt;"其他股权激励",OR(I374&lt;=0,J374&lt;0)),"异常：数量或价格无效",IF(AND(F374="限制性股票",OR(M374&lt;=0,N374&lt;0,I374&gt;M374)),"异常：个人获授或出资数据无效",IF(AND(IFERROR(INDEX(计划参数!$J$2:$J$501,MATCH(C374,计划参数!$I$2:$I$501,0)),"")&lt;&gt;"",D374&lt;&gt;IFERROR(INDEX(计划参数!$J$2:$J$501,MATCH(C374,计划参数!$I$2:$I$501,0)),"")),"异常：姓名与员工主数据不一致",IF(S374&lt;0,"异常：原始所得为负，已按0计税",IF(OR(AND(F374="股票期权",K374=""),AND(F374="限制性股票",OR(K374="",L374=""))),"异常：计划参数缺失",IF(COUNTIF(计划参数!$I$2:$I$501,C374)=0,"提示：员工编号未在主数据",IF(Q374&lt;&gt;"已备案","提示：未确认备案","正常"))))))))))))</f>
        <v/>
      </c>
      <c r="AE374" s="9"/>
      <c r="AF374" s="4" t="str">
        <f>IF(C374="","",IF(COUNTIF($C$2:C374,C374)=1,MAX($AF$1:AF373)+1,""))</f>
        <v/>
      </c>
      <c r="AG374" s="4" t="str">
        <f>IF(C374="","",COUNTIF($C$2:C374,C374))</f>
        <v/>
      </c>
      <c r="AH374" s="4" t="str">
        <f t="shared" si="85"/>
        <v/>
      </c>
      <c r="AI374" s="4" t="str">
        <f t="shared" si="86"/>
        <v/>
      </c>
      <c r="AJ374" s="4" t="str">
        <f t="shared" si="87"/>
        <v/>
      </c>
      <c r="AK374" s="15" t="str">
        <f>IF(A374="","",SUMIFS(分期缴税台账!$K$2:$K$501,分期缴税台账!$T$2:$T$501,A374,分期缴税台账!$Q$2:$Q$501,"有效"))</f>
        <v/>
      </c>
      <c r="AL374" s="15" t="str">
        <f t="shared" si="88"/>
        <v/>
      </c>
      <c r="AM374" s="4" t="str">
        <f t="shared" si="89"/>
        <v/>
      </c>
    </row>
    <row r="375" spans="1:39" x14ac:dyDescent="0.3">
      <c r="A375" s="9"/>
      <c r="B375" s="4" t="str">
        <f t="shared" si="75"/>
        <v/>
      </c>
      <c r="C375" s="9"/>
      <c r="D375" s="9"/>
      <c r="E375" s="9"/>
      <c r="F375" s="9"/>
      <c r="G375" s="13"/>
      <c r="H375" s="4" t="str">
        <f t="shared" si="76"/>
        <v/>
      </c>
      <c r="I375" s="9"/>
      <c r="J375" s="14"/>
      <c r="K375" s="15" t="str">
        <f>IF(OR(E375="",F375="",G375=""),"",IF(E375&lt;&gt;计划参数!$C$2,"",IF(F375="股票期权",IFERROR(LOOKUP(G375,计划参数!$D$12:$D$15,计划参数!$C$12:$C$15),""),IF(F375="限制性股票",计划参数!$C$10,""))))</f>
        <v/>
      </c>
      <c r="L375" s="15" t="str">
        <f>IF(AND(E375=计划参数!$C$2,F375="限制性股票",G375&gt;=计划参数!$D$9),计划参数!$C$9,"")</f>
        <v/>
      </c>
      <c r="M375" s="9"/>
      <c r="N375" s="14"/>
      <c r="O375" s="14"/>
      <c r="P375" s="13"/>
      <c r="Q375" s="9"/>
      <c r="R375" s="13"/>
      <c r="S375" s="15" t="str">
        <f t="shared" si="77"/>
        <v/>
      </c>
      <c r="T375" s="15" t="str">
        <f t="shared" si="78"/>
        <v/>
      </c>
      <c r="U375" s="15" t="str">
        <f t="shared" si="79"/>
        <v/>
      </c>
      <c r="V375" s="15" t="str">
        <f t="shared" si="80"/>
        <v/>
      </c>
      <c r="W375" s="16" t="str">
        <f>IF(V375="","",VLOOKUP(V375,税率及规则!$A$2:$C$8,2,TRUE))</f>
        <v/>
      </c>
      <c r="X375" s="15" t="str">
        <f>IF(V375="","",VLOOKUP(V375,税率及规则!$A$2:$C$8,3,TRUE))</f>
        <v/>
      </c>
      <c r="Y375" s="15" t="str">
        <f t="shared" si="81"/>
        <v/>
      </c>
      <c r="Z375" s="15" t="str">
        <f>IF(U375="","",MAX(0,U375*VLOOKUP(U375,税率及规则!$A$2:$C$8,2,TRUE)-VLOOKUP(U375,税率及规则!$A$2:$C$8,3,TRUE)))</f>
        <v/>
      </c>
      <c r="AA375" s="15" t="str">
        <f t="shared" si="82"/>
        <v/>
      </c>
      <c r="AB375" s="17" t="str">
        <f t="shared" si="83"/>
        <v/>
      </c>
      <c r="AC375" s="17" t="str">
        <f t="shared" si="84"/>
        <v/>
      </c>
      <c r="AD375" s="4" t="str">
        <f>IF(A375="","",IF(COUNTIF($A$2:$A$501,A375)&gt;1,"异常：事件编号重复",IF(OR(C375="",D375="",E375="",F375="",G375=""),"异常：必填项缺失",IF(AND(F375="其他股权激励",O375=""),"异常：其他股权激励所得缺失",IF(AND(F375&lt;&gt;"其他股权激励",OR(I375="",J375="")),"异常：数量或市场价缺失",IF(AND(F375&lt;&gt;"其他股权激励",OR(I375&lt;=0,J375&lt;0)),"异常：数量或价格无效",IF(AND(F375="限制性股票",OR(M375&lt;=0,N375&lt;0,I375&gt;M375)),"异常：个人获授或出资数据无效",IF(AND(IFERROR(INDEX(计划参数!$J$2:$J$501,MATCH(C375,计划参数!$I$2:$I$501,0)),"")&lt;&gt;"",D375&lt;&gt;IFERROR(INDEX(计划参数!$J$2:$J$501,MATCH(C375,计划参数!$I$2:$I$501,0)),"")),"异常：姓名与员工主数据不一致",IF(S375&lt;0,"异常：原始所得为负，已按0计税",IF(OR(AND(F375="股票期权",K375=""),AND(F375="限制性股票",OR(K375="",L375=""))),"异常：计划参数缺失",IF(COUNTIF(计划参数!$I$2:$I$501,C375)=0,"提示：员工编号未在主数据",IF(Q375&lt;&gt;"已备案","提示：未确认备案","正常"))))))))))))</f>
        <v/>
      </c>
      <c r="AE375" s="9"/>
      <c r="AF375" s="4" t="str">
        <f>IF(C375="","",IF(COUNTIF($C$2:C375,C375)=1,MAX($AF$1:AF374)+1,""))</f>
        <v/>
      </c>
      <c r="AG375" s="4" t="str">
        <f>IF(C375="","",COUNTIF($C$2:C375,C375))</f>
        <v/>
      </c>
      <c r="AH375" s="4" t="str">
        <f t="shared" si="85"/>
        <v/>
      </c>
      <c r="AI375" s="4" t="str">
        <f t="shared" si="86"/>
        <v/>
      </c>
      <c r="AJ375" s="4" t="str">
        <f t="shared" si="87"/>
        <v/>
      </c>
      <c r="AK375" s="15" t="str">
        <f>IF(A375="","",SUMIFS(分期缴税台账!$K$2:$K$501,分期缴税台账!$T$2:$T$501,A375,分期缴税台账!$Q$2:$Q$501,"有效"))</f>
        <v/>
      </c>
      <c r="AL375" s="15" t="str">
        <f t="shared" si="88"/>
        <v/>
      </c>
      <c r="AM375" s="4" t="str">
        <f t="shared" si="89"/>
        <v/>
      </c>
    </row>
    <row r="376" spans="1:39" x14ac:dyDescent="0.3">
      <c r="A376" s="9"/>
      <c r="B376" s="4" t="str">
        <f t="shared" si="75"/>
        <v/>
      </c>
      <c r="C376" s="9"/>
      <c r="D376" s="9"/>
      <c r="E376" s="9"/>
      <c r="F376" s="9"/>
      <c r="G376" s="13"/>
      <c r="H376" s="4" t="str">
        <f t="shared" si="76"/>
        <v/>
      </c>
      <c r="I376" s="9"/>
      <c r="J376" s="14"/>
      <c r="K376" s="15" t="str">
        <f>IF(OR(E376="",F376="",G376=""),"",IF(E376&lt;&gt;计划参数!$C$2,"",IF(F376="股票期权",IFERROR(LOOKUP(G376,计划参数!$D$12:$D$15,计划参数!$C$12:$C$15),""),IF(F376="限制性股票",计划参数!$C$10,""))))</f>
        <v/>
      </c>
      <c r="L376" s="15" t="str">
        <f>IF(AND(E376=计划参数!$C$2,F376="限制性股票",G376&gt;=计划参数!$D$9),计划参数!$C$9,"")</f>
        <v/>
      </c>
      <c r="M376" s="9"/>
      <c r="N376" s="14"/>
      <c r="O376" s="14"/>
      <c r="P376" s="13"/>
      <c r="Q376" s="9"/>
      <c r="R376" s="13"/>
      <c r="S376" s="15" t="str">
        <f t="shared" si="77"/>
        <v/>
      </c>
      <c r="T376" s="15" t="str">
        <f t="shared" si="78"/>
        <v/>
      </c>
      <c r="U376" s="15" t="str">
        <f t="shared" si="79"/>
        <v/>
      </c>
      <c r="V376" s="15" t="str">
        <f t="shared" si="80"/>
        <v/>
      </c>
      <c r="W376" s="16" t="str">
        <f>IF(V376="","",VLOOKUP(V376,税率及规则!$A$2:$C$8,2,TRUE))</f>
        <v/>
      </c>
      <c r="X376" s="15" t="str">
        <f>IF(V376="","",VLOOKUP(V376,税率及规则!$A$2:$C$8,3,TRUE))</f>
        <v/>
      </c>
      <c r="Y376" s="15" t="str">
        <f t="shared" si="81"/>
        <v/>
      </c>
      <c r="Z376" s="15" t="str">
        <f>IF(U376="","",MAX(0,U376*VLOOKUP(U376,税率及规则!$A$2:$C$8,2,TRUE)-VLOOKUP(U376,税率及规则!$A$2:$C$8,3,TRUE)))</f>
        <v/>
      </c>
      <c r="AA376" s="15" t="str">
        <f t="shared" si="82"/>
        <v/>
      </c>
      <c r="AB376" s="17" t="str">
        <f t="shared" si="83"/>
        <v/>
      </c>
      <c r="AC376" s="17" t="str">
        <f t="shared" si="84"/>
        <v/>
      </c>
      <c r="AD376" s="4" t="str">
        <f>IF(A376="","",IF(COUNTIF($A$2:$A$501,A376)&gt;1,"异常：事件编号重复",IF(OR(C376="",D376="",E376="",F376="",G376=""),"异常：必填项缺失",IF(AND(F376="其他股权激励",O376=""),"异常：其他股权激励所得缺失",IF(AND(F376&lt;&gt;"其他股权激励",OR(I376="",J376="")),"异常：数量或市场价缺失",IF(AND(F376&lt;&gt;"其他股权激励",OR(I376&lt;=0,J376&lt;0)),"异常：数量或价格无效",IF(AND(F376="限制性股票",OR(M376&lt;=0,N376&lt;0,I376&gt;M376)),"异常：个人获授或出资数据无效",IF(AND(IFERROR(INDEX(计划参数!$J$2:$J$501,MATCH(C376,计划参数!$I$2:$I$501,0)),"")&lt;&gt;"",D376&lt;&gt;IFERROR(INDEX(计划参数!$J$2:$J$501,MATCH(C376,计划参数!$I$2:$I$501,0)),"")),"异常：姓名与员工主数据不一致",IF(S376&lt;0,"异常：原始所得为负，已按0计税",IF(OR(AND(F376="股票期权",K376=""),AND(F376="限制性股票",OR(K376="",L376=""))),"异常：计划参数缺失",IF(COUNTIF(计划参数!$I$2:$I$501,C376)=0,"提示：员工编号未在主数据",IF(Q376&lt;&gt;"已备案","提示：未确认备案","正常"))))))))))))</f>
        <v/>
      </c>
      <c r="AE376" s="9"/>
      <c r="AF376" s="4" t="str">
        <f>IF(C376="","",IF(COUNTIF($C$2:C376,C376)=1,MAX($AF$1:AF375)+1,""))</f>
        <v/>
      </c>
      <c r="AG376" s="4" t="str">
        <f>IF(C376="","",COUNTIF($C$2:C376,C376))</f>
        <v/>
      </c>
      <c r="AH376" s="4" t="str">
        <f t="shared" si="85"/>
        <v/>
      </c>
      <c r="AI376" s="4" t="str">
        <f t="shared" si="86"/>
        <v/>
      </c>
      <c r="AJ376" s="4" t="str">
        <f t="shared" si="87"/>
        <v/>
      </c>
      <c r="AK376" s="15" t="str">
        <f>IF(A376="","",SUMIFS(分期缴税台账!$K$2:$K$501,分期缴税台账!$T$2:$T$501,A376,分期缴税台账!$Q$2:$Q$501,"有效"))</f>
        <v/>
      </c>
      <c r="AL376" s="15" t="str">
        <f t="shared" si="88"/>
        <v/>
      </c>
      <c r="AM376" s="4" t="str">
        <f t="shared" si="89"/>
        <v/>
      </c>
    </row>
    <row r="377" spans="1:39" x14ac:dyDescent="0.3">
      <c r="A377" s="9"/>
      <c r="B377" s="4" t="str">
        <f t="shared" si="75"/>
        <v/>
      </c>
      <c r="C377" s="9"/>
      <c r="D377" s="9"/>
      <c r="E377" s="9"/>
      <c r="F377" s="9"/>
      <c r="G377" s="13"/>
      <c r="H377" s="4" t="str">
        <f t="shared" si="76"/>
        <v/>
      </c>
      <c r="I377" s="9"/>
      <c r="J377" s="14"/>
      <c r="K377" s="15" t="str">
        <f>IF(OR(E377="",F377="",G377=""),"",IF(E377&lt;&gt;计划参数!$C$2,"",IF(F377="股票期权",IFERROR(LOOKUP(G377,计划参数!$D$12:$D$15,计划参数!$C$12:$C$15),""),IF(F377="限制性股票",计划参数!$C$10,""))))</f>
        <v/>
      </c>
      <c r="L377" s="15" t="str">
        <f>IF(AND(E377=计划参数!$C$2,F377="限制性股票",G377&gt;=计划参数!$D$9),计划参数!$C$9,"")</f>
        <v/>
      </c>
      <c r="M377" s="9"/>
      <c r="N377" s="14"/>
      <c r="O377" s="14"/>
      <c r="P377" s="13"/>
      <c r="Q377" s="9"/>
      <c r="R377" s="13"/>
      <c r="S377" s="15" t="str">
        <f t="shared" si="77"/>
        <v/>
      </c>
      <c r="T377" s="15" t="str">
        <f t="shared" si="78"/>
        <v/>
      </c>
      <c r="U377" s="15" t="str">
        <f t="shared" si="79"/>
        <v/>
      </c>
      <c r="V377" s="15" t="str">
        <f t="shared" si="80"/>
        <v/>
      </c>
      <c r="W377" s="16" t="str">
        <f>IF(V377="","",VLOOKUP(V377,税率及规则!$A$2:$C$8,2,TRUE))</f>
        <v/>
      </c>
      <c r="X377" s="15" t="str">
        <f>IF(V377="","",VLOOKUP(V377,税率及规则!$A$2:$C$8,3,TRUE))</f>
        <v/>
      </c>
      <c r="Y377" s="15" t="str">
        <f t="shared" si="81"/>
        <v/>
      </c>
      <c r="Z377" s="15" t="str">
        <f>IF(U377="","",MAX(0,U377*VLOOKUP(U377,税率及规则!$A$2:$C$8,2,TRUE)-VLOOKUP(U377,税率及规则!$A$2:$C$8,3,TRUE)))</f>
        <v/>
      </c>
      <c r="AA377" s="15" t="str">
        <f t="shared" si="82"/>
        <v/>
      </c>
      <c r="AB377" s="17" t="str">
        <f t="shared" si="83"/>
        <v/>
      </c>
      <c r="AC377" s="17" t="str">
        <f t="shared" si="84"/>
        <v/>
      </c>
      <c r="AD377" s="4" t="str">
        <f>IF(A377="","",IF(COUNTIF($A$2:$A$501,A377)&gt;1,"异常：事件编号重复",IF(OR(C377="",D377="",E377="",F377="",G377=""),"异常：必填项缺失",IF(AND(F377="其他股权激励",O377=""),"异常：其他股权激励所得缺失",IF(AND(F377&lt;&gt;"其他股权激励",OR(I377="",J377="")),"异常：数量或市场价缺失",IF(AND(F377&lt;&gt;"其他股权激励",OR(I377&lt;=0,J377&lt;0)),"异常：数量或价格无效",IF(AND(F377="限制性股票",OR(M377&lt;=0,N377&lt;0,I377&gt;M377)),"异常：个人获授或出资数据无效",IF(AND(IFERROR(INDEX(计划参数!$J$2:$J$501,MATCH(C377,计划参数!$I$2:$I$501,0)),"")&lt;&gt;"",D377&lt;&gt;IFERROR(INDEX(计划参数!$J$2:$J$501,MATCH(C377,计划参数!$I$2:$I$501,0)),"")),"异常：姓名与员工主数据不一致",IF(S377&lt;0,"异常：原始所得为负，已按0计税",IF(OR(AND(F377="股票期权",K377=""),AND(F377="限制性股票",OR(K377="",L377=""))),"异常：计划参数缺失",IF(COUNTIF(计划参数!$I$2:$I$501,C377)=0,"提示：员工编号未在主数据",IF(Q377&lt;&gt;"已备案","提示：未确认备案","正常"))))))))))))</f>
        <v/>
      </c>
      <c r="AE377" s="9"/>
      <c r="AF377" s="4" t="str">
        <f>IF(C377="","",IF(COUNTIF($C$2:C377,C377)=1,MAX($AF$1:AF376)+1,""))</f>
        <v/>
      </c>
      <c r="AG377" s="4" t="str">
        <f>IF(C377="","",COUNTIF($C$2:C377,C377))</f>
        <v/>
      </c>
      <c r="AH377" s="4" t="str">
        <f t="shared" si="85"/>
        <v/>
      </c>
      <c r="AI377" s="4" t="str">
        <f t="shared" si="86"/>
        <v/>
      </c>
      <c r="AJ377" s="4" t="str">
        <f t="shared" si="87"/>
        <v/>
      </c>
      <c r="AK377" s="15" t="str">
        <f>IF(A377="","",SUMIFS(分期缴税台账!$K$2:$K$501,分期缴税台账!$T$2:$T$501,A377,分期缴税台账!$Q$2:$Q$501,"有效"))</f>
        <v/>
      </c>
      <c r="AL377" s="15" t="str">
        <f t="shared" si="88"/>
        <v/>
      </c>
      <c r="AM377" s="4" t="str">
        <f t="shared" si="89"/>
        <v/>
      </c>
    </row>
    <row r="378" spans="1:39" x14ac:dyDescent="0.3">
      <c r="A378" s="9"/>
      <c r="B378" s="4" t="str">
        <f t="shared" si="75"/>
        <v/>
      </c>
      <c r="C378" s="9"/>
      <c r="D378" s="9"/>
      <c r="E378" s="9"/>
      <c r="F378" s="9"/>
      <c r="G378" s="13"/>
      <c r="H378" s="4" t="str">
        <f t="shared" si="76"/>
        <v/>
      </c>
      <c r="I378" s="9"/>
      <c r="J378" s="14"/>
      <c r="K378" s="15" t="str">
        <f>IF(OR(E378="",F378="",G378=""),"",IF(E378&lt;&gt;计划参数!$C$2,"",IF(F378="股票期权",IFERROR(LOOKUP(G378,计划参数!$D$12:$D$15,计划参数!$C$12:$C$15),""),IF(F378="限制性股票",计划参数!$C$10,""))))</f>
        <v/>
      </c>
      <c r="L378" s="15" t="str">
        <f>IF(AND(E378=计划参数!$C$2,F378="限制性股票",G378&gt;=计划参数!$D$9),计划参数!$C$9,"")</f>
        <v/>
      </c>
      <c r="M378" s="9"/>
      <c r="N378" s="14"/>
      <c r="O378" s="14"/>
      <c r="P378" s="13"/>
      <c r="Q378" s="9"/>
      <c r="R378" s="13"/>
      <c r="S378" s="15" t="str">
        <f t="shared" si="77"/>
        <v/>
      </c>
      <c r="T378" s="15" t="str">
        <f t="shared" si="78"/>
        <v/>
      </c>
      <c r="U378" s="15" t="str">
        <f t="shared" si="79"/>
        <v/>
      </c>
      <c r="V378" s="15" t="str">
        <f t="shared" si="80"/>
        <v/>
      </c>
      <c r="W378" s="16" t="str">
        <f>IF(V378="","",VLOOKUP(V378,税率及规则!$A$2:$C$8,2,TRUE))</f>
        <v/>
      </c>
      <c r="X378" s="15" t="str">
        <f>IF(V378="","",VLOOKUP(V378,税率及规则!$A$2:$C$8,3,TRUE))</f>
        <v/>
      </c>
      <c r="Y378" s="15" t="str">
        <f t="shared" si="81"/>
        <v/>
      </c>
      <c r="Z378" s="15" t="str">
        <f>IF(U378="","",MAX(0,U378*VLOOKUP(U378,税率及规则!$A$2:$C$8,2,TRUE)-VLOOKUP(U378,税率及规则!$A$2:$C$8,3,TRUE)))</f>
        <v/>
      </c>
      <c r="AA378" s="15" t="str">
        <f t="shared" si="82"/>
        <v/>
      </c>
      <c r="AB378" s="17" t="str">
        <f t="shared" si="83"/>
        <v/>
      </c>
      <c r="AC378" s="17" t="str">
        <f t="shared" si="84"/>
        <v/>
      </c>
      <c r="AD378" s="4" t="str">
        <f>IF(A378="","",IF(COUNTIF($A$2:$A$501,A378)&gt;1,"异常：事件编号重复",IF(OR(C378="",D378="",E378="",F378="",G378=""),"异常：必填项缺失",IF(AND(F378="其他股权激励",O378=""),"异常：其他股权激励所得缺失",IF(AND(F378&lt;&gt;"其他股权激励",OR(I378="",J378="")),"异常：数量或市场价缺失",IF(AND(F378&lt;&gt;"其他股权激励",OR(I378&lt;=0,J378&lt;0)),"异常：数量或价格无效",IF(AND(F378="限制性股票",OR(M378&lt;=0,N378&lt;0,I378&gt;M378)),"异常：个人获授或出资数据无效",IF(AND(IFERROR(INDEX(计划参数!$J$2:$J$501,MATCH(C378,计划参数!$I$2:$I$501,0)),"")&lt;&gt;"",D378&lt;&gt;IFERROR(INDEX(计划参数!$J$2:$J$501,MATCH(C378,计划参数!$I$2:$I$501,0)),"")),"异常：姓名与员工主数据不一致",IF(S378&lt;0,"异常：原始所得为负，已按0计税",IF(OR(AND(F378="股票期权",K378=""),AND(F378="限制性股票",OR(K378="",L378=""))),"异常：计划参数缺失",IF(COUNTIF(计划参数!$I$2:$I$501,C378)=0,"提示：员工编号未在主数据",IF(Q378&lt;&gt;"已备案","提示：未确认备案","正常"))))))))))))</f>
        <v/>
      </c>
      <c r="AE378" s="9"/>
      <c r="AF378" s="4" t="str">
        <f>IF(C378="","",IF(COUNTIF($C$2:C378,C378)=1,MAX($AF$1:AF377)+1,""))</f>
        <v/>
      </c>
      <c r="AG378" s="4" t="str">
        <f>IF(C378="","",COUNTIF($C$2:C378,C378))</f>
        <v/>
      </c>
      <c r="AH378" s="4" t="str">
        <f t="shared" si="85"/>
        <v/>
      </c>
      <c r="AI378" s="4" t="str">
        <f t="shared" si="86"/>
        <v/>
      </c>
      <c r="AJ378" s="4" t="str">
        <f t="shared" si="87"/>
        <v/>
      </c>
      <c r="AK378" s="15" t="str">
        <f>IF(A378="","",SUMIFS(分期缴税台账!$K$2:$K$501,分期缴税台账!$T$2:$T$501,A378,分期缴税台账!$Q$2:$Q$501,"有效"))</f>
        <v/>
      </c>
      <c r="AL378" s="15" t="str">
        <f t="shared" si="88"/>
        <v/>
      </c>
      <c r="AM378" s="4" t="str">
        <f t="shared" si="89"/>
        <v/>
      </c>
    </row>
    <row r="379" spans="1:39" x14ac:dyDescent="0.3">
      <c r="A379" s="9"/>
      <c r="B379" s="4" t="str">
        <f t="shared" si="75"/>
        <v/>
      </c>
      <c r="C379" s="9"/>
      <c r="D379" s="9"/>
      <c r="E379" s="9"/>
      <c r="F379" s="9"/>
      <c r="G379" s="13"/>
      <c r="H379" s="4" t="str">
        <f t="shared" si="76"/>
        <v/>
      </c>
      <c r="I379" s="9"/>
      <c r="J379" s="14"/>
      <c r="K379" s="15" t="str">
        <f>IF(OR(E379="",F379="",G379=""),"",IF(E379&lt;&gt;计划参数!$C$2,"",IF(F379="股票期权",IFERROR(LOOKUP(G379,计划参数!$D$12:$D$15,计划参数!$C$12:$C$15),""),IF(F379="限制性股票",计划参数!$C$10,""))))</f>
        <v/>
      </c>
      <c r="L379" s="15" t="str">
        <f>IF(AND(E379=计划参数!$C$2,F379="限制性股票",G379&gt;=计划参数!$D$9),计划参数!$C$9,"")</f>
        <v/>
      </c>
      <c r="M379" s="9"/>
      <c r="N379" s="14"/>
      <c r="O379" s="14"/>
      <c r="P379" s="13"/>
      <c r="Q379" s="9"/>
      <c r="R379" s="13"/>
      <c r="S379" s="15" t="str">
        <f t="shared" si="77"/>
        <v/>
      </c>
      <c r="T379" s="15" t="str">
        <f t="shared" si="78"/>
        <v/>
      </c>
      <c r="U379" s="15" t="str">
        <f t="shared" si="79"/>
        <v/>
      </c>
      <c r="V379" s="15" t="str">
        <f t="shared" si="80"/>
        <v/>
      </c>
      <c r="W379" s="16" t="str">
        <f>IF(V379="","",VLOOKUP(V379,税率及规则!$A$2:$C$8,2,TRUE))</f>
        <v/>
      </c>
      <c r="X379" s="15" t="str">
        <f>IF(V379="","",VLOOKUP(V379,税率及规则!$A$2:$C$8,3,TRUE))</f>
        <v/>
      </c>
      <c r="Y379" s="15" t="str">
        <f t="shared" si="81"/>
        <v/>
      </c>
      <c r="Z379" s="15" t="str">
        <f>IF(U379="","",MAX(0,U379*VLOOKUP(U379,税率及规则!$A$2:$C$8,2,TRUE)-VLOOKUP(U379,税率及规则!$A$2:$C$8,3,TRUE)))</f>
        <v/>
      </c>
      <c r="AA379" s="15" t="str">
        <f t="shared" si="82"/>
        <v/>
      </c>
      <c r="AB379" s="17" t="str">
        <f t="shared" si="83"/>
        <v/>
      </c>
      <c r="AC379" s="17" t="str">
        <f t="shared" si="84"/>
        <v/>
      </c>
      <c r="AD379" s="4" t="str">
        <f>IF(A379="","",IF(COUNTIF($A$2:$A$501,A379)&gt;1,"异常：事件编号重复",IF(OR(C379="",D379="",E379="",F379="",G379=""),"异常：必填项缺失",IF(AND(F379="其他股权激励",O379=""),"异常：其他股权激励所得缺失",IF(AND(F379&lt;&gt;"其他股权激励",OR(I379="",J379="")),"异常：数量或市场价缺失",IF(AND(F379&lt;&gt;"其他股权激励",OR(I379&lt;=0,J379&lt;0)),"异常：数量或价格无效",IF(AND(F379="限制性股票",OR(M379&lt;=0,N379&lt;0,I379&gt;M379)),"异常：个人获授或出资数据无效",IF(AND(IFERROR(INDEX(计划参数!$J$2:$J$501,MATCH(C379,计划参数!$I$2:$I$501,0)),"")&lt;&gt;"",D379&lt;&gt;IFERROR(INDEX(计划参数!$J$2:$J$501,MATCH(C379,计划参数!$I$2:$I$501,0)),"")),"异常：姓名与员工主数据不一致",IF(S379&lt;0,"异常：原始所得为负，已按0计税",IF(OR(AND(F379="股票期权",K379=""),AND(F379="限制性股票",OR(K379="",L379=""))),"异常：计划参数缺失",IF(COUNTIF(计划参数!$I$2:$I$501,C379)=0,"提示：员工编号未在主数据",IF(Q379&lt;&gt;"已备案","提示：未确认备案","正常"))))))))))))</f>
        <v/>
      </c>
      <c r="AE379" s="9"/>
      <c r="AF379" s="4" t="str">
        <f>IF(C379="","",IF(COUNTIF($C$2:C379,C379)=1,MAX($AF$1:AF378)+1,""))</f>
        <v/>
      </c>
      <c r="AG379" s="4" t="str">
        <f>IF(C379="","",COUNTIF($C$2:C379,C379))</f>
        <v/>
      </c>
      <c r="AH379" s="4" t="str">
        <f t="shared" si="85"/>
        <v/>
      </c>
      <c r="AI379" s="4" t="str">
        <f t="shared" si="86"/>
        <v/>
      </c>
      <c r="AJ379" s="4" t="str">
        <f t="shared" si="87"/>
        <v/>
      </c>
      <c r="AK379" s="15" t="str">
        <f>IF(A379="","",SUMIFS(分期缴税台账!$K$2:$K$501,分期缴税台账!$T$2:$T$501,A379,分期缴税台账!$Q$2:$Q$501,"有效"))</f>
        <v/>
      </c>
      <c r="AL379" s="15" t="str">
        <f t="shared" si="88"/>
        <v/>
      </c>
      <c r="AM379" s="4" t="str">
        <f t="shared" si="89"/>
        <v/>
      </c>
    </row>
    <row r="380" spans="1:39" x14ac:dyDescent="0.3">
      <c r="A380" s="9"/>
      <c r="B380" s="4" t="str">
        <f t="shared" si="75"/>
        <v/>
      </c>
      <c r="C380" s="9"/>
      <c r="D380" s="9"/>
      <c r="E380" s="9"/>
      <c r="F380" s="9"/>
      <c r="G380" s="13"/>
      <c r="H380" s="4" t="str">
        <f t="shared" si="76"/>
        <v/>
      </c>
      <c r="I380" s="9"/>
      <c r="J380" s="14"/>
      <c r="K380" s="15" t="str">
        <f>IF(OR(E380="",F380="",G380=""),"",IF(E380&lt;&gt;计划参数!$C$2,"",IF(F380="股票期权",IFERROR(LOOKUP(G380,计划参数!$D$12:$D$15,计划参数!$C$12:$C$15),""),IF(F380="限制性股票",计划参数!$C$10,""))))</f>
        <v/>
      </c>
      <c r="L380" s="15" t="str">
        <f>IF(AND(E380=计划参数!$C$2,F380="限制性股票",G380&gt;=计划参数!$D$9),计划参数!$C$9,"")</f>
        <v/>
      </c>
      <c r="M380" s="9"/>
      <c r="N380" s="14"/>
      <c r="O380" s="14"/>
      <c r="P380" s="13"/>
      <c r="Q380" s="9"/>
      <c r="R380" s="13"/>
      <c r="S380" s="15" t="str">
        <f t="shared" si="77"/>
        <v/>
      </c>
      <c r="T380" s="15" t="str">
        <f t="shared" si="78"/>
        <v/>
      </c>
      <c r="U380" s="15" t="str">
        <f t="shared" si="79"/>
        <v/>
      </c>
      <c r="V380" s="15" t="str">
        <f t="shared" si="80"/>
        <v/>
      </c>
      <c r="W380" s="16" t="str">
        <f>IF(V380="","",VLOOKUP(V380,税率及规则!$A$2:$C$8,2,TRUE))</f>
        <v/>
      </c>
      <c r="X380" s="15" t="str">
        <f>IF(V380="","",VLOOKUP(V380,税率及规则!$A$2:$C$8,3,TRUE))</f>
        <v/>
      </c>
      <c r="Y380" s="15" t="str">
        <f t="shared" si="81"/>
        <v/>
      </c>
      <c r="Z380" s="15" t="str">
        <f>IF(U380="","",MAX(0,U380*VLOOKUP(U380,税率及规则!$A$2:$C$8,2,TRUE)-VLOOKUP(U380,税率及规则!$A$2:$C$8,3,TRUE)))</f>
        <v/>
      </c>
      <c r="AA380" s="15" t="str">
        <f t="shared" si="82"/>
        <v/>
      </c>
      <c r="AB380" s="17" t="str">
        <f t="shared" si="83"/>
        <v/>
      </c>
      <c r="AC380" s="17" t="str">
        <f t="shared" si="84"/>
        <v/>
      </c>
      <c r="AD380" s="4" t="str">
        <f>IF(A380="","",IF(COUNTIF($A$2:$A$501,A380)&gt;1,"异常：事件编号重复",IF(OR(C380="",D380="",E380="",F380="",G380=""),"异常：必填项缺失",IF(AND(F380="其他股权激励",O380=""),"异常：其他股权激励所得缺失",IF(AND(F380&lt;&gt;"其他股权激励",OR(I380="",J380="")),"异常：数量或市场价缺失",IF(AND(F380&lt;&gt;"其他股权激励",OR(I380&lt;=0,J380&lt;0)),"异常：数量或价格无效",IF(AND(F380="限制性股票",OR(M380&lt;=0,N380&lt;0,I380&gt;M380)),"异常：个人获授或出资数据无效",IF(AND(IFERROR(INDEX(计划参数!$J$2:$J$501,MATCH(C380,计划参数!$I$2:$I$501,0)),"")&lt;&gt;"",D380&lt;&gt;IFERROR(INDEX(计划参数!$J$2:$J$501,MATCH(C380,计划参数!$I$2:$I$501,0)),"")),"异常：姓名与员工主数据不一致",IF(S380&lt;0,"异常：原始所得为负，已按0计税",IF(OR(AND(F380="股票期权",K380=""),AND(F380="限制性股票",OR(K380="",L380=""))),"异常：计划参数缺失",IF(COUNTIF(计划参数!$I$2:$I$501,C380)=0,"提示：员工编号未在主数据",IF(Q380&lt;&gt;"已备案","提示：未确认备案","正常"))))))))))))</f>
        <v/>
      </c>
      <c r="AE380" s="9"/>
      <c r="AF380" s="4" t="str">
        <f>IF(C380="","",IF(COUNTIF($C$2:C380,C380)=1,MAX($AF$1:AF379)+1,""))</f>
        <v/>
      </c>
      <c r="AG380" s="4" t="str">
        <f>IF(C380="","",COUNTIF($C$2:C380,C380))</f>
        <v/>
      </c>
      <c r="AH380" s="4" t="str">
        <f t="shared" si="85"/>
        <v/>
      </c>
      <c r="AI380" s="4" t="str">
        <f t="shared" si="86"/>
        <v/>
      </c>
      <c r="AJ380" s="4" t="str">
        <f t="shared" si="87"/>
        <v/>
      </c>
      <c r="AK380" s="15" t="str">
        <f>IF(A380="","",SUMIFS(分期缴税台账!$K$2:$K$501,分期缴税台账!$T$2:$T$501,A380,分期缴税台账!$Q$2:$Q$501,"有效"))</f>
        <v/>
      </c>
      <c r="AL380" s="15" t="str">
        <f t="shared" si="88"/>
        <v/>
      </c>
      <c r="AM380" s="4" t="str">
        <f t="shared" si="89"/>
        <v/>
      </c>
    </row>
    <row r="381" spans="1:39" x14ac:dyDescent="0.3">
      <c r="A381" s="9"/>
      <c r="B381" s="4" t="str">
        <f t="shared" si="75"/>
        <v/>
      </c>
      <c r="C381" s="9"/>
      <c r="D381" s="9"/>
      <c r="E381" s="9"/>
      <c r="F381" s="9"/>
      <c r="G381" s="13"/>
      <c r="H381" s="4" t="str">
        <f t="shared" si="76"/>
        <v/>
      </c>
      <c r="I381" s="9"/>
      <c r="J381" s="14"/>
      <c r="K381" s="15" t="str">
        <f>IF(OR(E381="",F381="",G381=""),"",IF(E381&lt;&gt;计划参数!$C$2,"",IF(F381="股票期权",IFERROR(LOOKUP(G381,计划参数!$D$12:$D$15,计划参数!$C$12:$C$15),""),IF(F381="限制性股票",计划参数!$C$10,""))))</f>
        <v/>
      </c>
      <c r="L381" s="15" t="str">
        <f>IF(AND(E381=计划参数!$C$2,F381="限制性股票",G381&gt;=计划参数!$D$9),计划参数!$C$9,"")</f>
        <v/>
      </c>
      <c r="M381" s="9"/>
      <c r="N381" s="14"/>
      <c r="O381" s="14"/>
      <c r="P381" s="13"/>
      <c r="Q381" s="9"/>
      <c r="R381" s="13"/>
      <c r="S381" s="15" t="str">
        <f t="shared" si="77"/>
        <v/>
      </c>
      <c r="T381" s="15" t="str">
        <f t="shared" si="78"/>
        <v/>
      </c>
      <c r="U381" s="15" t="str">
        <f t="shared" si="79"/>
        <v/>
      </c>
      <c r="V381" s="15" t="str">
        <f t="shared" si="80"/>
        <v/>
      </c>
      <c r="W381" s="16" t="str">
        <f>IF(V381="","",VLOOKUP(V381,税率及规则!$A$2:$C$8,2,TRUE))</f>
        <v/>
      </c>
      <c r="X381" s="15" t="str">
        <f>IF(V381="","",VLOOKUP(V381,税率及规则!$A$2:$C$8,3,TRUE))</f>
        <v/>
      </c>
      <c r="Y381" s="15" t="str">
        <f t="shared" si="81"/>
        <v/>
      </c>
      <c r="Z381" s="15" t="str">
        <f>IF(U381="","",MAX(0,U381*VLOOKUP(U381,税率及规则!$A$2:$C$8,2,TRUE)-VLOOKUP(U381,税率及规则!$A$2:$C$8,3,TRUE)))</f>
        <v/>
      </c>
      <c r="AA381" s="15" t="str">
        <f t="shared" si="82"/>
        <v/>
      </c>
      <c r="AB381" s="17" t="str">
        <f t="shared" si="83"/>
        <v/>
      </c>
      <c r="AC381" s="17" t="str">
        <f t="shared" si="84"/>
        <v/>
      </c>
      <c r="AD381" s="4" t="str">
        <f>IF(A381="","",IF(COUNTIF($A$2:$A$501,A381)&gt;1,"异常：事件编号重复",IF(OR(C381="",D381="",E381="",F381="",G381=""),"异常：必填项缺失",IF(AND(F381="其他股权激励",O381=""),"异常：其他股权激励所得缺失",IF(AND(F381&lt;&gt;"其他股权激励",OR(I381="",J381="")),"异常：数量或市场价缺失",IF(AND(F381&lt;&gt;"其他股权激励",OR(I381&lt;=0,J381&lt;0)),"异常：数量或价格无效",IF(AND(F381="限制性股票",OR(M381&lt;=0,N381&lt;0,I381&gt;M381)),"异常：个人获授或出资数据无效",IF(AND(IFERROR(INDEX(计划参数!$J$2:$J$501,MATCH(C381,计划参数!$I$2:$I$501,0)),"")&lt;&gt;"",D381&lt;&gt;IFERROR(INDEX(计划参数!$J$2:$J$501,MATCH(C381,计划参数!$I$2:$I$501,0)),"")),"异常：姓名与员工主数据不一致",IF(S381&lt;0,"异常：原始所得为负，已按0计税",IF(OR(AND(F381="股票期权",K381=""),AND(F381="限制性股票",OR(K381="",L381=""))),"异常：计划参数缺失",IF(COUNTIF(计划参数!$I$2:$I$501,C381)=0,"提示：员工编号未在主数据",IF(Q381&lt;&gt;"已备案","提示：未确认备案","正常"))))))))))))</f>
        <v/>
      </c>
      <c r="AE381" s="9"/>
      <c r="AF381" s="4" t="str">
        <f>IF(C381="","",IF(COUNTIF($C$2:C381,C381)=1,MAX($AF$1:AF380)+1,""))</f>
        <v/>
      </c>
      <c r="AG381" s="4" t="str">
        <f>IF(C381="","",COUNTIF($C$2:C381,C381))</f>
        <v/>
      </c>
      <c r="AH381" s="4" t="str">
        <f t="shared" si="85"/>
        <v/>
      </c>
      <c r="AI381" s="4" t="str">
        <f t="shared" si="86"/>
        <v/>
      </c>
      <c r="AJ381" s="4" t="str">
        <f t="shared" si="87"/>
        <v/>
      </c>
      <c r="AK381" s="15" t="str">
        <f>IF(A381="","",SUMIFS(分期缴税台账!$K$2:$K$501,分期缴税台账!$T$2:$T$501,A381,分期缴税台账!$Q$2:$Q$501,"有效"))</f>
        <v/>
      </c>
      <c r="AL381" s="15" t="str">
        <f t="shared" si="88"/>
        <v/>
      </c>
      <c r="AM381" s="4" t="str">
        <f t="shared" si="89"/>
        <v/>
      </c>
    </row>
    <row r="382" spans="1:39" x14ac:dyDescent="0.3">
      <c r="A382" s="9"/>
      <c r="B382" s="4" t="str">
        <f t="shared" si="75"/>
        <v/>
      </c>
      <c r="C382" s="9"/>
      <c r="D382" s="9"/>
      <c r="E382" s="9"/>
      <c r="F382" s="9"/>
      <c r="G382" s="13"/>
      <c r="H382" s="4" t="str">
        <f t="shared" si="76"/>
        <v/>
      </c>
      <c r="I382" s="9"/>
      <c r="J382" s="14"/>
      <c r="K382" s="15" t="str">
        <f>IF(OR(E382="",F382="",G382=""),"",IF(E382&lt;&gt;计划参数!$C$2,"",IF(F382="股票期权",IFERROR(LOOKUP(G382,计划参数!$D$12:$D$15,计划参数!$C$12:$C$15),""),IF(F382="限制性股票",计划参数!$C$10,""))))</f>
        <v/>
      </c>
      <c r="L382" s="15" t="str">
        <f>IF(AND(E382=计划参数!$C$2,F382="限制性股票",G382&gt;=计划参数!$D$9),计划参数!$C$9,"")</f>
        <v/>
      </c>
      <c r="M382" s="9"/>
      <c r="N382" s="14"/>
      <c r="O382" s="14"/>
      <c r="P382" s="13"/>
      <c r="Q382" s="9"/>
      <c r="R382" s="13"/>
      <c r="S382" s="15" t="str">
        <f t="shared" si="77"/>
        <v/>
      </c>
      <c r="T382" s="15" t="str">
        <f t="shared" si="78"/>
        <v/>
      </c>
      <c r="U382" s="15" t="str">
        <f t="shared" si="79"/>
        <v/>
      </c>
      <c r="V382" s="15" t="str">
        <f t="shared" si="80"/>
        <v/>
      </c>
      <c r="W382" s="16" t="str">
        <f>IF(V382="","",VLOOKUP(V382,税率及规则!$A$2:$C$8,2,TRUE))</f>
        <v/>
      </c>
      <c r="X382" s="15" t="str">
        <f>IF(V382="","",VLOOKUP(V382,税率及规则!$A$2:$C$8,3,TRUE))</f>
        <v/>
      </c>
      <c r="Y382" s="15" t="str">
        <f t="shared" si="81"/>
        <v/>
      </c>
      <c r="Z382" s="15" t="str">
        <f>IF(U382="","",MAX(0,U382*VLOOKUP(U382,税率及规则!$A$2:$C$8,2,TRUE)-VLOOKUP(U382,税率及规则!$A$2:$C$8,3,TRUE)))</f>
        <v/>
      </c>
      <c r="AA382" s="15" t="str">
        <f t="shared" si="82"/>
        <v/>
      </c>
      <c r="AB382" s="17" t="str">
        <f t="shared" si="83"/>
        <v/>
      </c>
      <c r="AC382" s="17" t="str">
        <f t="shared" si="84"/>
        <v/>
      </c>
      <c r="AD382" s="4" t="str">
        <f>IF(A382="","",IF(COUNTIF($A$2:$A$501,A382)&gt;1,"异常：事件编号重复",IF(OR(C382="",D382="",E382="",F382="",G382=""),"异常：必填项缺失",IF(AND(F382="其他股权激励",O382=""),"异常：其他股权激励所得缺失",IF(AND(F382&lt;&gt;"其他股权激励",OR(I382="",J382="")),"异常：数量或市场价缺失",IF(AND(F382&lt;&gt;"其他股权激励",OR(I382&lt;=0,J382&lt;0)),"异常：数量或价格无效",IF(AND(F382="限制性股票",OR(M382&lt;=0,N382&lt;0,I382&gt;M382)),"异常：个人获授或出资数据无效",IF(AND(IFERROR(INDEX(计划参数!$J$2:$J$501,MATCH(C382,计划参数!$I$2:$I$501,0)),"")&lt;&gt;"",D382&lt;&gt;IFERROR(INDEX(计划参数!$J$2:$J$501,MATCH(C382,计划参数!$I$2:$I$501,0)),"")),"异常：姓名与员工主数据不一致",IF(S382&lt;0,"异常：原始所得为负，已按0计税",IF(OR(AND(F382="股票期权",K382=""),AND(F382="限制性股票",OR(K382="",L382=""))),"异常：计划参数缺失",IF(COUNTIF(计划参数!$I$2:$I$501,C382)=0,"提示：员工编号未在主数据",IF(Q382&lt;&gt;"已备案","提示：未确认备案","正常"))))))))))))</f>
        <v/>
      </c>
      <c r="AE382" s="9"/>
      <c r="AF382" s="4" t="str">
        <f>IF(C382="","",IF(COUNTIF($C$2:C382,C382)=1,MAX($AF$1:AF381)+1,""))</f>
        <v/>
      </c>
      <c r="AG382" s="4" t="str">
        <f>IF(C382="","",COUNTIF($C$2:C382,C382))</f>
        <v/>
      </c>
      <c r="AH382" s="4" t="str">
        <f t="shared" si="85"/>
        <v/>
      </c>
      <c r="AI382" s="4" t="str">
        <f t="shared" si="86"/>
        <v/>
      </c>
      <c r="AJ382" s="4" t="str">
        <f t="shared" si="87"/>
        <v/>
      </c>
      <c r="AK382" s="15" t="str">
        <f>IF(A382="","",SUMIFS(分期缴税台账!$K$2:$K$501,分期缴税台账!$T$2:$T$501,A382,分期缴税台账!$Q$2:$Q$501,"有效"))</f>
        <v/>
      </c>
      <c r="AL382" s="15" t="str">
        <f t="shared" si="88"/>
        <v/>
      </c>
      <c r="AM382" s="4" t="str">
        <f t="shared" si="89"/>
        <v/>
      </c>
    </row>
    <row r="383" spans="1:39" x14ac:dyDescent="0.3">
      <c r="A383" s="9"/>
      <c r="B383" s="4" t="str">
        <f t="shared" si="75"/>
        <v/>
      </c>
      <c r="C383" s="9"/>
      <c r="D383" s="9"/>
      <c r="E383" s="9"/>
      <c r="F383" s="9"/>
      <c r="G383" s="13"/>
      <c r="H383" s="4" t="str">
        <f t="shared" si="76"/>
        <v/>
      </c>
      <c r="I383" s="9"/>
      <c r="J383" s="14"/>
      <c r="K383" s="15" t="str">
        <f>IF(OR(E383="",F383="",G383=""),"",IF(E383&lt;&gt;计划参数!$C$2,"",IF(F383="股票期权",IFERROR(LOOKUP(G383,计划参数!$D$12:$D$15,计划参数!$C$12:$C$15),""),IF(F383="限制性股票",计划参数!$C$10,""))))</f>
        <v/>
      </c>
      <c r="L383" s="15" t="str">
        <f>IF(AND(E383=计划参数!$C$2,F383="限制性股票",G383&gt;=计划参数!$D$9),计划参数!$C$9,"")</f>
        <v/>
      </c>
      <c r="M383" s="9"/>
      <c r="N383" s="14"/>
      <c r="O383" s="14"/>
      <c r="P383" s="13"/>
      <c r="Q383" s="9"/>
      <c r="R383" s="13"/>
      <c r="S383" s="15" t="str">
        <f t="shared" si="77"/>
        <v/>
      </c>
      <c r="T383" s="15" t="str">
        <f t="shared" si="78"/>
        <v/>
      </c>
      <c r="U383" s="15" t="str">
        <f t="shared" si="79"/>
        <v/>
      </c>
      <c r="V383" s="15" t="str">
        <f t="shared" si="80"/>
        <v/>
      </c>
      <c r="W383" s="16" t="str">
        <f>IF(V383="","",VLOOKUP(V383,税率及规则!$A$2:$C$8,2,TRUE))</f>
        <v/>
      </c>
      <c r="X383" s="15" t="str">
        <f>IF(V383="","",VLOOKUP(V383,税率及规则!$A$2:$C$8,3,TRUE))</f>
        <v/>
      </c>
      <c r="Y383" s="15" t="str">
        <f t="shared" si="81"/>
        <v/>
      </c>
      <c r="Z383" s="15" t="str">
        <f>IF(U383="","",MAX(0,U383*VLOOKUP(U383,税率及规则!$A$2:$C$8,2,TRUE)-VLOOKUP(U383,税率及规则!$A$2:$C$8,3,TRUE)))</f>
        <v/>
      </c>
      <c r="AA383" s="15" t="str">
        <f t="shared" si="82"/>
        <v/>
      </c>
      <c r="AB383" s="17" t="str">
        <f t="shared" si="83"/>
        <v/>
      </c>
      <c r="AC383" s="17" t="str">
        <f t="shared" si="84"/>
        <v/>
      </c>
      <c r="AD383" s="4" t="str">
        <f>IF(A383="","",IF(COUNTIF($A$2:$A$501,A383)&gt;1,"异常：事件编号重复",IF(OR(C383="",D383="",E383="",F383="",G383=""),"异常：必填项缺失",IF(AND(F383="其他股权激励",O383=""),"异常：其他股权激励所得缺失",IF(AND(F383&lt;&gt;"其他股权激励",OR(I383="",J383="")),"异常：数量或市场价缺失",IF(AND(F383&lt;&gt;"其他股权激励",OR(I383&lt;=0,J383&lt;0)),"异常：数量或价格无效",IF(AND(F383="限制性股票",OR(M383&lt;=0,N383&lt;0,I383&gt;M383)),"异常：个人获授或出资数据无效",IF(AND(IFERROR(INDEX(计划参数!$J$2:$J$501,MATCH(C383,计划参数!$I$2:$I$501,0)),"")&lt;&gt;"",D383&lt;&gt;IFERROR(INDEX(计划参数!$J$2:$J$501,MATCH(C383,计划参数!$I$2:$I$501,0)),"")),"异常：姓名与员工主数据不一致",IF(S383&lt;0,"异常：原始所得为负，已按0计税",IF(OR(AND(F383="股票期权",K383=""),AND(F383="限制性股票",OR(K383="",L383=""))),"异常：计划参数缺失",IF(COUNTIF(计划参数!$I$2:$I$501,C383)=0,"提示：员工编号未在主数据",IF(Q383&lt;&gt;"已备案","提示：未确认备案","正常"))))))))))))</f>
        <v/>
      </c>
      <c r="AE383" s="9"/>
      <c r="AF383" s="4" t="str">
        <f>IF(C383="","",IF(COUNTIF($C$2:C383,C383)=1,MAX($AF$1:AF382)+1,""))</f>
        <v/>
      </c>
      <c r="AG383" s="4" t="str">
        <f>IF(C383="","",COUNTIF($C$2:C383,C383))</f>
        <v/>
      </c>
      <c r="AH383" s="4" t="str">
        <f t="shared" si="85"/>
        <v/>
      </c>
      <c r="AI383" s="4" t="str">
        <f t="shared" si="86"/>
        <v/>
      </c>
      <c r="AJ383" s="4" t="str">
        <f t="shared" si="87"/>
        <v/>
      </c>
      <c r="AK383" s="15" t="str">
        <f>IF(A383="","",SUMIFS(分期缴税台账!$K$2:$K$501,分期缴税台账!$T$2:$T$501,A383,分期缴税台账!$Q$2:$Q$501,"有效"))</f>
        <v/>
      </c>
      <c r="AL383" s="15" t="str">
        <f t="shared" si="88"/>
        <v/>
      </c>
      <c r="AM383" s="4" t="str">
        <f t="shared" si="89"/>
        <v/>
      </c>
    </row>
    <row r="384" spans="1:39" x14ac:dyDescent="0.3">
      <c r="A384" s="9"/>
      <c r="B384" s="4" t="str">
        <f t="shared" si="75"/>
        <v/>
      </c>
      <c r="C384" s="9"/>
      <c r="D384" s="9"/>
      <c r="E384" s="9"/>
      <c r="F384" s="9"/>
      <c r="G384" s="13"/>
      <c r="H384" s="4" t="str">
        <f t="shared" si="76"/>
        <v/>
      </c>
      <c r="I384" s="9"/>
      <c r="J384" s="14"/>
      <c r="K384" s="15" t="str">
        <f>IF(OR(E384="",F384="",G384=""),"",IF(E384&lt;&gt;计划参数!$C$2,"",IF(F384="股票期权",IFERROR(LOOKUP(G384,计划参数!$D$12:$D$15,计划参数!$C$12:$C$15),""),IF(F384="限制性股票",计划参数!$C$10,""))))</f>
        <v/>
      </c>
      <c r="L384" s="15" t="str">
        <f>IF(AND(E384=计划参数!$C$2,F384="限制性股票",G384&gt;=计划参数!$D$9),计划参数!$C$9,"")</f>
        <v/>
      </c>
      <c r="M384" s="9"/>
      <c r="N384" s="14"/>
      <c r="O384" s="14"/>
      <c r="P384" s="13"/>
      <c r="Q384" s="9"/>
      <c r="R384" s="13"/>
      <c r="S384" s="15" t="str">
        <f t="shared" si="77"/>
        <v/>
      </c>
      <c r="T384" s="15" t="str">
        <f t="shared" si="78"/>
        <v/>
      </c>
      <c r="U384" s="15" t="str">
        <f t="shared" si="79"/>
        <v/>
      </c>
      <c r="V384" s="15" t="str">
        <f t="shared" si="80"/>
        <v/>
      </c>
      <c r="W384" s="16" t="str">
        <f>IF(V384="","",VLOOKUP(V384,税率及规则!$A$2:$C$8,2,TRUE))</f>
        <v/>
      </c>
      <c r="X384" s="15" t="str">
        <f>IF(V384="","",VLOOKUP(V384,税率及规则!$A$2:$C$8,3,TRUE))</f>
        <v/>
      </c>
      <c r="Y384" s="15" t="str">
        <f t="shared" si="81"/>
        <v/>
      </c>
      <c r="Z384" s="15" t="str">
        <f>IF(U384="","",MAX(0,U384*VLOOKUP(U384,税率及规则!$A$2:$C$8,2,TRUE)-VLOOKUP(U384,税率及规则!$A$2:$C$8,3,TRUE)))</f>
        <v/>
      </c>
      <c r="AA384" s="15" t="str">
        <f t="shared" si="82"/>
        <v/>
      </c>
      <c r="AB384" s="17" t="str">
        <f t="shared" si="83"/>
        <v/>
      </c>
      <c r="AC384" s="17" t="str">
        <f t="shared" si="84"/>
        <v/>
      </c>
      <c r="AD384" s="4" t="str">
        <f>IF(A384="","",IF(COUNTIF($A$2:$A$501,A384)&gt;1,"异常：事件编号重复",IF(OR(C384="",D384="",E384="",F384="",G384=""),"异常：必填项缺失",IF(AND(F384="其他股权激励",O384=""),"异常：其他股权激励所得缺失",IF(AND(F384&lt;&gt;"其他股权激励",OR(I384="",J384="")),"异常：数量或市场价缺失",IF(AND(F384&lt;&gt;"其他股权激励",OR(I384&lt;=0,J384&lt;0)),"异常：数量或价格无效",IF(AND(F384="限制性股票",OR(M384&lt;=0,N384&lt;0,I384&gt;M384)),"异常：个人获授或出资数据无效",IF(AND(IFERROR(INDEX(计划参数!$J$2:$J$501,MATCH(C384,计划参数!$I$2:$I$501,0)),"")&lt;&gt;"",D384&lt;&gt;IFERROR(INDEX(计划参数!$J$2:$J$501,MATCH(C384,计划参数!$I$2:$I$501,0)),"")),"异常：姓名与员工主数据不一致",IF(S384&lt;0,"异常：原始所得为负，已按0计税",IF(OR(AND(F384="股票期权",K384=""),AND(F384="限制性股票",OR(K384="",L384=""))),"异常：计划参数缺失",IF(COUNTIF(计划参数!$I$2:$I$501,C384)=0,"提示：员工编号未在主数据",IF(Q384&lt;&gt;"已备案","提示：未确认备案","正常"))))))))))))</f>
        <v/>
      </c>
      <c r="AE384" s="9"/>
      <c r="AF384" s="4" t="str">
        <f>IF(C384="","",IF(COUNTIF($C$2:C384,C384)=1,MAX($AF$1:AF383)+1,""))</f>
        <v/>
      </c>
      <c r="AG384" s="4" t="str">
        <f>IF(C384="","",COUNTIF($C$2:C384,C384))</f>
        <v/>
      </c>
      <c r="AH384" s="4" t="str">
        <f t="shared" si="85"/>
        <v/>
      </c>
      <c r="AI384" s="4" t="str">
        <f t="shared" si="86"/>
        <v/>
      </c>
      <c r="AJ384" s="4" t="str">
        <f t="shared" si="87"/>
        <v/>
      </c>
      <c r="AK384" s="15" t="str">
        <f>IF(A384="","",SUMIFS(分期缴税台账!$K$2:$K$501,分期缴税台账!$T$2:$T$501,A384,分期缴税台账!$Q$2:$Q$501,"有效"))</f>
        <v/>
      </c>
      <c r="AL384" s="15" t="str">
        <f t="shared" si="88"/>
        <v/>
      </c>
      <c r="AM384" s="4" t="str">
        <f t="shared" si="89"/>
        <v/>
      </c>
    </row>
    <row r="385" spans="1:39" x14ac:dyDescent="0.3">
      <c r="A385" s="9"/>
      <c r="B385" s="4" t="str">
        <f t="shared" si="75"/>
        <v/>
      </c>
      <c r="C385" s="9"/>
      <c r="D385" s="9"/>
      <c r="E385" s="9"/>
      <c r="F385" s="9"/>
      <c r="G385" s="13"/>
      <c r="H385" s="4" t="str">
        <f t="shared" si="76"/>
        <v/>
      </c>
      <c r="I385" s="9"/>
      <c r="J385" s="14"/>
      <c r="K385" s="15" t="str">
        <f>IF(OR(E385="",F385="",G385=""),"",IF(E385&lt;&gt;计划参数!$C$2,"",IF(F385="股票期权",IFERROR(LOOKUP(G385,计划参数!$D$12:$D$15,计划参数!$C$12:$C$15),""),IF(F385="限制性股票",计划参数!$C$10,""))))</f>
        <v/>
      </c>
      <c r="L385" s="15" t="str">
        <f>IF(AND(E385=计划参数!$C$2,F385="限制性股票",G385&gt;=计划参数!$D$9),计划参数!$C$9,"")</f>
        <v/>
      </c>
      <c r="M385" s="9"/>
      <c r="N385" s="14"/>
      <c r="O385" s="14"/>
      <c r="P385" s="13"/>
      <c r="Q385" s="9"/>
      <c r="R385" s="13"/>
      <c r="S385" s="15" t="str">
        <f t="shared" si="77"/>
        <v/>
      </c>
      <c r="T385" s="15" t="str">
        <f t="shared" si="78"/>
        <v/>
      </c>
      <c r="U385" s="15" t="str">
        <f t="shared" si="79"/>
        <v/>
      </c>
      <c r="V385" s="15" t="str">
        <f t="shared" si="80"/>
        <v/>
      </c>
      <c r="W385" s="16" t="str">
        <f>IF(V385="","",VLOOKUP(V385,税率及规则!$A$2:$C$8,2,TRUE))</f>
        <v/>
      </c>
      <c r="X385" s="15" t="str">
        <f>IF(V385="","",VLOOKUP(V385,税率及规则!$A$2:$C$8,3,TRUE))</f>
        <v/>
      </c>
      <c r="Y385" s="15" t="str">
        <f t="shared" si="81"/>
        <v/>
      </c>
      <c r="Z385" s="15" t="str">
        <f>IF(U385="","",MAX(0,U385*VLOOKUP(U385,税率及规则!$A$2:$C$8,2,TRUE)-VLOOKUP(U385,税率及规则!$A$2:$C$8,3,TRUE)))</f>
        <v/>
      </c>
      <c r="AA385" s="15" t="str">
        <f t="shared" si="82"/>
        <v/>
      </c>
      <c r="AB385" s="17" t="str">
        <f t="shared" si="83"/>
        <v/>
      </c>
      <c r="AC385" s="17" t="str">
        <f t="shared" si="84"/>
        <v/>
      </c>
      <c r="AD385" s="4" t="str">
        <f>IF(A385="","",IF(COUNTIF($A$2:$A$501,A385)&gt;1,"异常：事件编号重复",IF(OR(C385="",D385="",E385="",F385="",G385=""),"异常：必填项缺失",IF(AND(F385="其他股权激励",O385=""),"异常：其他股权激励所得缺失",IF(AND(F385&lt;&gt;"其他股权激励",OR(I385="",J385="")),"异常：数量或市场价缺失",IF(AND(F385&lt;&gt;"其他股权激励",OR(I385&lt;=0,J385&lt;0)),"异常：数量或价格无效",IF(AND(F385="限制性股票",OR(M385&lt;=0,N385&lt;0,I385&gt;M385)),"异常：个人获授或出资数据无效",IF(AND(IFERROR(INDEX(计划参数!$J$2:$J$501,MATCH(C385,计划参数!$I$2:$I$501,0)),"")&lt;&gt;"",D385&lt;&gt;IFERROR(INDEX(计划参数!$J$2:$J$501,MATCH(C385,计划参数!$I$2:$I$501,0)),"")),"异常：姓名与员工主数据不一致",IF(S385&lt;0,"异常：原始所得为负，已按0计税",IF(OR(AND(F385="股票期权",K385=""),AND(F385="限制性股票",OR(K385="",L385=""))),"异常：计划参数缺失",IF(COUNTIF(计划参数!$I$2:$I$501,C385)=0,"提示：员工编号未在主数据",IF(Q385&lt;&gt;"已备案","提示：未确认备案","正常"))))))))))))</f>
        <v/>
      </c>
      <c r="AE385" s="9"/>
      <c r="AF385" s="4" t="str">
        <f>IF(C385="","",IF(COUNTIF($C$2:C385,C385)=1,MAX($AF$1:AF384)+1,""))</f>
        <v/>
      </c>
      <c r="AG385" s="4" t="str">
        <f>IF(C385="","",COUNTIF($C$2:C385,C385))</f>
        <v/>
      </c>
      <c r="AH385" s="4" t="str">
        <f t="shared" si="85"/>
        <v/>
      </c>
      <c r="AI385" s="4" t="str">
        <f t="shared" si="86"/>
        <v/>
      </c>
      <c r="AJ385" s="4" t="str">
        <f t="shared" si="87"/>
        <v/>
      </c>
      <c r="AK385" s="15" t="str">
        <f>IF(A385="","",SUMIFS(分期缴税台账!$K$2:$K$501,分期缴税台账!$T$2:$T$501,A385,分期缴税台账!$Q$2:$Q$501,"有效"))</f>
        <v/>
      </c>
      <c r="AL385" s="15" t="str">
        <f t="shared" si="88"/>
        <v/>
      </c>
      <c r="AM385" s="4" t="str">
        <f t="shared" si="89"/>
        <v/>
      </c>
    </row>
    <row r="386" spans="1:39" x14ac:dyDescent="0.3">
      <c r="A386" s="9"/>
      <c r="B386" s="4" t="str">
        <f t="shared" ref="B386:B449" si="90">IF(A386="","",A386&amp;"-TAX")</f>
        <v/>
      </c>
      <c r="C386" s="9"/>
      <c r="D386" s="9"/>
      <c r="E386" s="9"/>
      <c r="F386" s="9"/>
      <c r="G386" s="13"/>
      <c r="H386" s="4" t="str">
        <f t="shared" ref="H386:H449" si="91">IF(G386="","",YEAR(G386))</f>
        <v/>
      </c>
      <c r="I386" s="9"/>
      <c r="J386" s="14"/>
      <c r="K386" s="15" t="str">
        <f>IF(OR(E386="",F386="",G386=""),"",IF(E386&lt;&gt;计划参数!$C$2,"",IF(F386="股票期权",IFERROR(LOOKUP(G386,计划参数!$D$12:$D$15,计划参数!$C$12:$C$15),""),IF(F386="限制性股票",计划参数!$C$10,""))))</f>
        <v/>
      </c>
      <c r="L386" s="15" t="str">
        <f>IF(AND(E386=计划参数!$C$2,F386="限制性股票",G386&gt;=计划参数!$D$9),计划参数!$C$9,"")</f>
        <v/>
      </c>
      <c r="M386" s="9"/>
      <c r="N386" s="14"/>
      <c r="O386" s="14"/>
      <c r="P386" s="13"/>
      <c r="Q386" s="9"/>
      <c r="R386" s="13"/>
      <c r="S386" s="15" t="str">
        <f t="shared" ref="S386:S449" si="92">IF(OR(A386="",C386="",F386="",G386=""),"",IF(F386="股票期权",IF(OR(I386="",J386="",K386=""),"",(J386-K386)*I386),IF(F386="限制性股票",IF(OR(L386="",M386="",M386&lt;=0,N386=""),"",((L386+J386)/2)*I386-N386*I386/M386),IF(F386="其他股权激励",IF(O386="","",O386),""))))</f>
        <v/>
      </c>
      <c r="T386" s="15" t="str">
        <f t="shared" ref="T386:T449" si="93">IF(S386="","",MAX(0,S386))</f>
        <v/>
      </c>
      <c r="U386" s="15" t="str">
        <f t="shared" ref="U386:U449" si="94">IF(T386="","",SUMIFS($T$2:$T$501,$C$2:$C$501,C386,$H$2:$H$501,H386,$G$2:$G$501,"&lt;"&amp;G386)+SUMIFS($T$2:$T$501,$C$2:$C$501,C386,$H$2:$H$501,H386,$G$2:$G$501,G386,$A$2:$A$501,"&lt;"&amp;A386))</f>
        <v/>
      </c>
      <c r="V386" s="15" t="str">
        <f t="shared" ref="V386:V449" si="95">IF(T386="","",U386+T386)</f>
        <v/>
      </c>
      <c r="W386" s="16" t="str">
        <f>IF(V386="","",VLOOKUP(V386,税率及规则!$A$2:$C$8,2,TRUE))</f>
        <v/>
      </c>
      <c r="X386" s="15" t="str">
        <f>IF(V386="","",VLOOKUP(V386,税率及规则!$A$2:$C$8,3,TRUE))</f>
        <v/>
      </c>
      <c r="Y386" s="15" t="str">
        <f t="shared" ref="Y386:Y449" si="96">IF(V386="","",MAX(0,V386*W386-X386))</f>
        <v/>
      </c>
      <c r="Z386" s="15" t="str">
        <f>IF(U386="","",MAX(0,U386*VLOOKUP(U386,税率及规则!$A$2:$C$8,2,TRUE)-VLOOKUP(U386,税率及规则!$A$2:$C$8,3,TRUE)))</f>
        <v/>
      </c>
      <c r="AA386" s="15" t="str">
        <f t="shared" ref="AA386:AA449" si="97">IF(Y386="","",MAX(0,Y386-Z386))</f>
        <v/>
      </c>
      <c r="AB386" s="17" t="str">
        <f t="shared" ref="AB386:AB449" si="98">IF(G386="","",G386)</f>
        <v/>
      </c>
      <c r="AC386" s="17" t="str">
        <f t="shared" ref="AC386:AC449" si="99">IF(AB386="","",IF(DAY(AB386)=DAY(EOMONTH(AB386,0)),EOMONTH(EDATE(AB386,36),0),EDATE(AB386,36)))</f>
        <v/>
      </c>
      <c r="AD386" s="4" t="str">
        <f>IF(A386="","",IF(COUNTIF($A$2:$A$501,A386)&gt;1,"异常：事件编号重复",IF(OR(C386="",D386="",E386="",F386="",G386=""),"异常：必填项缺失",IF(AND(F386="其他股权激励",O386=""),"异常：其他股权激励所得缺失",IF(AND(F386&lt;&gt;"其他股权激励",OR(I386="",J386="")),"异常：数量或市场价缺失",IF(AND(F386&lt;&gt;"其他股权激励",OR(I386&lt;=0,J386&lt;0)),"异常：数量或价格无效",IF(AND(F386="限制性股票",OR(M386&lt;=0,N386&lt;0,I386&gt;M386)),"异常：个人获授或出资数据无效",IF(AND(IFERROR(INDEX(计划参数!$J$2:$J$501,MATCH(C386,计划参数!$I$2:$I$501,0)),"")&lt;&gt;"",D386&lt;&gt;IFERROR(INDEX(计划参数!$J$2:$J$501,MATCH(C386,计划参数!$I$2:$I$501,0)),"")),"异常：姓名与员工主数据不一致",IF(S386&lt;0,"异常：原始所得为负，已按0计税",IF(OR(AND(F386="股票期权",K386=""),AND(F386="限制性股票",OR(K386="",L386=""))),"异常：计划参数缺失",IF(COUNTIF(计划参数!$I$2:$I$501,C386)=0,"提示：员工编号未在主数据",IF(Q386&lt;&gt;"已备案","提示：未确认备案","正常"))))))))))))</f>
        <v/>
      </c>
      <c r="AE386" s="9"/>
      <c r="AF386" s="4" t="str">
        <f>IF(C386="","",IF(COUNTIF($C$2:C386,C386)=1,MAX($AF$1:AF385)+1,""))</f>
        <v/>
      </c>
      <c r="AG386" s="4" t="str">
        <f>IF(C386="","",COUNTIF($C$2:C386,C386))</f>
        <v/>
      </c>
      <c r="AH386" s="4" t="str">
        <f t="shared" ref="AH386:AH449" si="100">IF(C386="","",C386&amp;"|"&amp;AG386)</f>
        <v/>
      </c>
      <c r="AI386" s="4" t="str">
        <f t="shared" ref="AI386:AI449" si="101">IF(OR(A386="",AA386&lt;=0),"",C386&amp;"|"&amp;H386&amp;"|"&amp;(COUNTIFS($C$2:$C$501,C386,$H$2:$H$501,H386,$AA$2:$AA$501,"&gt;0",$AC$2:$AC$501,"&lt;"&amp;AC386)+COUNTIFS($C$2:$C$501,C386,$H$2:$H$501,H386,$AA$2:$AA$501,"&gt;0",$AC$2:$AC$501,AC386,$A$2:$A$501,"&lt;="&amp;A386)))</f>
        <v/>
      </c>
      <c r="AJ386" s="4" t="str">
        <f t="shared" ref="AJ386:AJ449" si="102">IF(OR(A386="",AA386&lt;=0),"",C386&amp;"|"&amp;(COUNTIFS($C$2:$C$501,C386,$AA$2:$AA$501,"&gt;0",$AC$2:$AC$501,"&lt;"&amp;AC386)+COUNTIFS($C$2:$C$501,C386,$AA$2:$AA$501,"&gt;0",$AC$2:$AC$501,AC386,$A$2:$A$501,"&lt;="&amp;A386)))</f>
        <v/>
      </c>
      <c r="AK386" s="15" t="str">
        <f>IF(A386="","",SUMIFS(分期缴税台账!$K$2:$K$501,分期缴税台账!$T$2:$T$501,A386,分期缴税台账!$Q$2:$Q$501,"有效"))</f>
        <v/>
      </c>
      <c r="AL386" s="15" t="str">
        <f t="shared" ref="AL386:AL449" si="103">IF(AA386="","",MAX(0,AA386-AK386))</f>
        <v/>
      </c>
      <c r="AM386" s="4" t="str">
        <f t="shared" ref="AM386:AM449" si="104">IF(OR(A386="",AL386&lt;=0),"",C386&amp;"|"&amp;H386&amp;"|"&amp;(COUNTIFS($C$2:$C$501,C386,$H$2:$H$501,H386,$AL$2:$AL$501,"&gt;0",$AC$2:$AC$501,"&lt;"&amp;AC386)+COUNTIFS($C$2:$C$501,C386,$H$2:$H$501,H386,$AL$2:$AL$501,"&gt;0",$AC$2:$AC$501,AC386,$A$2:$A$501,"&lt;="&amp;A386)))</f>
        <v/>
      </c>
    </row>
    <row r="387" spans="1:39" x14ac:dyDescent="0.3">
      <c r="A387" s="9"/>
      <c r="B387" s="4" t="str">
        <f t="shared" si="90"/>
        <v/>
      </c>
      <c r="C387" s="9"/>
      <c r="D387" s="9"/>
      <c r="E387" s="9"/>
      <c r="F387" s="9"/>
      <c r="G387" s="13"/>
      <c r="H387" s="4" t="str">
        <f t="shared" si="91"/>
        <v/>
      </c>
      <c r="I387" s="9"/>
      <c r="J387" s="14"/>
      <c r="K387" s="15" t="str">
        <f>IF(OR(E387="",F387="",G387=""),"",IF(E387&lt;&gt;计划参数!$C$2,"",IF(F387="股票期权",IFERROR(LOOKUP(G387,计划参数!$D$12:$D$15,计划参数!$C$12:$C$15),""),IF(F387="限制性股票",计划参数!$C$10,""))))</f>
        <v/>
      </c>
      <c r="L387" s="15" t="str">
        <f>IF(AND(E387=计划参数!$C$2,F387="限制性股票",G387&gt;=计划参数!$D$9),计划参数!$C$9,"")</f>
        <v/>
      </c>
      <c r="M387" s="9"/>
      <c r="N387" s="14"/>
      <c r="O387" s="14"/>
      <c r="P387" s="13"/>
      <c r="Q387" s="9"/>
      <c r="R387" s="13"/>
      <c r="S387" s="15" t="str">
        <f t="shared" si="92"/>
        <v/>
      </c>
      <c r="T387" s="15" t="str">
        <f t="shared" si="93"/>
        <v/>
      </c>
      <c r="U387" s="15" t="str">
        <f t="shared" si="94"/>
        <v/>
      </c>
      <c r="V387" s="15" t="str">
        <f t="shared" si="95"/>
        <v/>
      </c>
      <c r="W387" s="16" t="str">
        <f>IF(V387="","",VLOOKUP(V387,税率及规则!$A$2:$C$8,2,TRUE))</f>
        <v/>
      </c>
      <c r="X387" s="15" t="str">
        <f>IF(V387="","",VLOOKUP(V387,税率及规则!$A$2:$C$8,3,TRUE))</f>
        <v/>
      </c>
      <c r="Y387" s="15" t="str">
        <f t="shared" si="96"/>
        <v/>
      </c>
      <c r="Z387" s="15" t="str">
        <f>IF(U387="","",MAX(0,U387*VLOOKUP(U387,税率及规则!$A$2:$C$8,2,TRUE)-VLOOKUP(U387,税率及规则!$A$2:$C$8,3,TRUE)))</f>
        <v/>
      </c>
      <c r="AA387" s="15" t="str">
        <f t="shared" si="97"/>
        <v/>
      </c>
      <c r="AB387" s="17" t="str">
        <f t="shared" si="98"/>
        <v/>
      </c>
      <c r="AC387" s="17" t="str">
        <f t="shared" si="99"/>
        <v/>
      </c>
      <c r="AD387" s="4" t="str">
        <f>IF(A387="","",IF(COUNTIF($A$2:$A$501,A387)&gt;1,"异常：事件编号重复",IF(OR(C387="",D387="",E387="",F387="",G387=""),"异常：必填项缺失",IF(AND(F387="其他股权激励",O387=""),"异常：其他股权激励所得缺失",IF(AND(F387&lt;&gt;"其他股权激励",OR(I387="",J387="")),"异常：数量或市场价缺失",IF(AND(F387&lt;&gt;"其他股权激励",OR(I387&lt;=0,J387&lt;0)),"异常：数量或价格无效",IF(AND(F387="限制性股票",OR(M387&lt;=0,N387&lt;0,I387&gt;M387)),"异常：个人获授或出资数据无效",IF(AND(IFERROR(INDEX(计划参数!$J$2:$J$501,MATCH(C387,计划参数!$I$2:$I$501,0)),"")&lt;&gt;"",D387&lt;&gt;IFERROR(INDEX(计划参数!$J$2:$J$501,MATCH(C387,计划参数!$I$2:$I$501,0)),"")),"异常：姓名与员工主数据不一致",IF(S387&lt;0,"异常：原始所得为负，已按0计税",IF(OR(AND(F387="股票期权",K387=""),AND(F387="限制性股票",OR(K387="",L387=""))),"异常：计划参数缺失",IF(COUNTIF(计划参数!$I$2:$I$501,C387)=0,"提示：员工编号未在主数据",IF(Q387&lt;&gt;"已备案","提示：未确认备案","正常"))))))))))))</f>
        <v/>
      </c>
      <c r="AE387" s="9"/>
      <c r="AF387" s="4" t="str">
        <f>IF(C387="","",IF(COUNTIF($C$2:C387,C387)=1,MAX($AF$1:AF386)+1,""))</f>
        <v/>
      </c>
      <c r="AG387" s="4" t="str">
        <f>IF(C387="","",COUNTIF($C$2:C387,C387))</f>
        <v/>
      </c>
      <c r="AH387" s="4" t="str">
        <f t="shared" si="100"/>
        <v/>
      </c>
      <c r="AI387" s="4" t="str">
        <f t="shared" si="101"/>
        <v/>
      </c>
      <c r="AJ387" s="4" t="str">
        <f t="shared" si="102"/>
        <v/>
      </c>
      <c r="AK387" s="15" t="str">
        <f>IF(A387="","",SUMIFS(分期缴税台账!$K$2:$K$501,分期缴税台账!$T$2:$T$501,A387,分期缴税台账!$Q$2:$Q$501,"有效"))</f>
        <v/>
      </c>
      <c r="AL387" s="15" t="str">
        <f t="shared" si="103"/>
        <v/>
      </c>
      <c r="AM387" s="4" t="str">
        <f t="shared" si="104"/>
        <v/>
      </c>
    </row>
    <row r="388" spans="1:39" x14ac:dyDescent="0.3">
      <c r="A388" s="9"/>
      <c r="B388" s="4" t="str">
        <f t="shared" si="90"/>
        <v/>
      </c>
      <c r="C388" s="9"/>
      <c r="D388" s="9"/>
      <c r="E388" s="9"/>
      <c r="F388" s="9"/>
      <c r="G388" s="13"/>
      <c r="H388" s="4" t="str">
        <f t="shared" si="91"/>
        <v/>
      </c>
      <c r="I388" s="9"/>
      <c r="J388" s="14"/>
      <c r="K388" s="15" t="str">
        <f>IF(OR(E388="",F388="",G388=""),"",IF(E388&lt;&gt;计划参数!$C$2,"",IF(F388="股票期权",IFERROR(LOOKUP(G388,计划参数!$D$12:$D$15,计划参数!$C$12:$C$15),""),IF(F388="限制性股票",计划参数!$C$10,""))))</f>
        <v/>
      </c>
      <c r="L388" s="15" t="str">
        <f>IF(AND(E388=计划参数!$C$2,F388="限制性股票",G388&gt;=计划参数!$D$9),计划参数!$C$9,"")</f>
        <v/>
      </c>
      <c r="M388" s="9"/>
      <c r="N388" s="14"/>
      <c r="O388" s="14"/>
      <c r="P388" s="13"/>
      <c r="Q388" s="9"/>
      <c r="R388" s="13"/>
      <c r="S388" s="15" t="str">
        <f t="shared" si="92"/>
        <v/>
      </c>
      <c r="T388" s="15" t="str">
        <f t="shared" si="93"/>
        <v/>
      </c>
      <c r="U388" s="15" t="str">
        <f t="shared" si="94"/>
        <v/>
      </c>
      <c r="V388" s="15" t="str">
        <f t="shared" si="95"/>
        <v/>
      </c>
      <c r="W388" s="16" t="str">
        <f>IF(V388="","",VLOOKUP(V388,税率及规则!$A$2:$C$8,2,TRUE))</f>
        <v/>
      </c>
      <c r="X388" s="15" t="str">
        <f>IF(V388="","",VLOOKUP(V388,税率及规则!$A$2:$C$8,3,TRUE))</f>
        <v/>
      </c>
      <c r="Y388" s="15" t="str">
        <f t="shared" si="96"/>
        <v/>
      </c>
      <c r="Z388" s="15" t="str">
        <f>IF(U388="","",MAX(0,U388*VLOOKUP(U388,税率及规则!$A$2:$C$8,2,TRUE)-VLOOKUP(U388,税率及规则!$A$2:$C$8,3,TRUE)))</f>
        <v/>
      </c>
      <c r="AA388" s="15" t="str">
        <f t="shared" si="97"/>
        <v/>
      </c>
      <c r="AB388" s="17" t="str">
        <f t="shared" si="98"/>
        <v/>
      </c>
      <c r="AC388" s="17" t="str">
        <f t="shared" si="99"/>
        <v/>
      </c>
      <c r="AD388" s="4" t="str">
        <f>IF(A388="","",IF(COUNTIF($A$2:$A$501,A388)&gt;1,"异常：事件编号重复",IF(OR(C388="",D388="",E388="",F388="",G388=""),"异常：必填项缺失",IF(AND(F388="其他股权激励",O388=""),"异常：其他股权激励所得缺失",IF(AND(F388&lt;&gt;"其他股权激励",OR(I388="",J388="")),"异常：数量或市场价缺失",IF(AND(F388&lt;&gt;"其他股权激励",OR(I388&lt;=0,J388&lt;0)),"异常：数量或价格无效",IF(AND(F388="限制性股票",OR(M388&lt;=0,N388&lt;0,I388&gt;M388)),"异常：个人获授或出资数据无效",IF(AND(IFERROR(INDEX(计划参数!$J$2:$J$501,MATCH(C388,计划参数!$I$2:$I$501,0)),"")&lt;&gt;"",D388&lt;&gt;IFERROR(INDEX(计划参数!$J$2:$J$501,MATCH(C388,计划参数!$I$2:$I$501,0)),"")),"异常：姓名与员工主数据不一致",IF(S388&lt;0,"异常：原始所得为负，已按0计税",IF(OR(AND(F388="股票期权",K388=""),AND(F388="限制性股票",OR(K388="",L388=""))),"异常：计划参数缺失",IF(COUNTIF(计划参数!$I$2:$I$501,C388)=0,"提示：员工编号未在主数据",IF(Q388&lt;&gt;"已备案","提示：未确认备案","正常"))))))))))))</f>
        <v/>
      </c>
      <c r="AE388" s="9"/>
      <c r="AF388" s="4" t="str">
        <f>IF(C388="","",IF(COUNTIF($C$2:C388,C388)=1,MAX($AF$1:AF387)+1,""))</f>
        <v/>
      </c>
      <c r="AG388" s="4" t="str">
        <f>IF(C388="","",COUNTIF($C$2:C388,C388))</f>
        <v/>
      </c>
      <c r="AH388" s="4" t="str">
        <f t="shared" si="100"/>
        <v/>
      </c>
      <c r="AI388" s="4" t="str">
        <f t="shared" si="101"/>
        <v/>
      </c>
      <c r="AJ388" s="4" t="str">
        <f t="shared" si="102"/>
        <v/>
      </c>
      <c r="AK388" s="15" t="str">
        <f>IF(A388="","",SUMIFS(分期缴税台账!$K$2:$K$501,分期缴税台账!$T$2:$T$501,A388,分期缴税台账!$Q$2:$Q$501,"有效"))</f>
        <v/>
      </c>
      <c r="AL388" s="15" t="str">
        <f t="shared" si="103"/>
        <v/>
      </c>
      <c r="AM388" s="4" t="str">
        <f t="shared" si="104"/>
        <v/>
      </c>
    </row>
    <row r="389" spans="1:39" x14ac:dyDescent="0.3">
      <c r="A389" s="9"/>
      <c r="B389" s="4" t="str">
        <f t="shared" si="90"/>
        <v/>
      </c>
      <c r="C389" s="9"/>
      <c r="D389" s="9"/>
      <c r="E389" s="9"/>
      <c r="F389" s="9"/>
      <c r="G389" s="13"/>
      <c r="H389" s="4" t="str">
        <f t="shared" si="91"/>
        <v/>
      </c>
      <c r="I389" s="9"/>
      <c r="J389" s="14"/>
      <c r="K389" s="15" t="str">
        <f>IF(OR(E389="",F389="",G389=""),"",IF(E389&lt;&gt;计划参数!$C$2,"",IF(F389="股票期权",IFERROR(LOOKUP(G389,计划参数!$D$12:$D$15,计划参数!$C$12:$C$15),""),IF(F389="限制性股票",计划参数!$C$10,""))))</f>
        <v/>
      </c>
      <c r="L389" s="15" t="str">
        <f>IF(AND(E389=计划参数!$C$2,F389="限制性股票",G389&gt;=计划参数!$D$9),计划参数!$C$9,"")</f>
        <v/>
      </c>
      <c r="M389" s="9"/>
      <c r="N389" s="14"/>
      <c r="O389" s="14"/>
      <c r="P389" s="13"/>
      <c r="Q389" s="9"/>
      <c r="R389" s="13"/>
      <c r="S389" s="15" t="str">
        <f t="shared" si="92"/>
        <v/>
      </c>
      <c r="T389" s="15" t="str">
        <f t="shared" si="93"/>
        <v/>
      </c>
      <c r="U389" s="15" t="str">
        <f t="shared" si="94"/>
        <v/>
      </c>
      <c r="V389" s="15" t="str">
        <f t="shared" si="95"/>
        <v/>
      </c>
      <c r="W389" s="16" t="str">
        <f>IF(V389="","",VLOOKUP(V389,税率及规则!$A$2:$C$8,2,TRUE))</f>
        <v/>
      </c>
      <c r="X389" s="15" t="str">
        <f>IF(V389="","",VLOOKUP(V389,税率及规则!$A$2:$C$8,3,TRUE))</f>
        <v/>
      </c>
      <c r="Y389" s="15" t="str">
        <f t="shared" si="96"/>
        <v/>
      </c>
      <c r="Z389" s="15" t="str">
        <f>IF(U389="","",MAX(0,U389*VLOOKUP(U389,税率及规则!$A$2:$C$8,2,TRUE)-VLOOKUP(U389,税率及规则!$A$2:$C$8,3,TRUE)))</f>
        <v/>
      </c>
      <c r="AA389" s="15" t="str">
        <f t="shared" si="97"/>
        <v/>
      </c>
      <c r="AB389" s="17" t="str">
        <f t="shared" si="98"/>
        <v/>
      </c>
      <c r="AC389" s="17" t="str">
        <f t="shared" si="99"/>
        <v/>
      </c>
      <c r="AD389" s="4" t="str">
        <f>IF(A389="","",IF(COUNTIF($A$2:$A$501,A389)&gt;1,"异常：事件编号重复",IF(OR(C389="",D389="",E389="",F389="",G389=""),"异常：必填项缺失",IF(AND(F389="其他股权激励",O389=""),"异常：其他股权激励所得缺失",IF(AND(F389&lt;&gt;"其他股权激励",OR(I389="",J389="")),"异常：数量或市场价缺失",IF(AND(F389&lt;&gt;"其他股权激励",OR(I389&lt;=0,J389&lt;0)),"异常：数量或价格无效",IF(AND(F389="限制性股票",OR(M389&lt;=0,N389&lt;0,I389&gt;M389)),"异常：个人获授或出资数据无效",IF(AND(IFERROR(INDEX(计划参数!$J$2:$J$501,MATCH(C389,计划参数!$I$2:$I$501,0)),"")&lt;&gt;"",D389&lt;&gt;IFERROR(INDEX(计划参数!$J$2:$J$501,MATCH(C389,计划参数!$I$2:$I$501,0)),"")),"异常：姓名与员工主数据不一致",IF(S389&lt;0,"异常：原始所得为负，已按0计税",IF(OR(AND(F389="股票期权",K389=""),AND(F389="限制性股票",OR(K389="",L389=""))),"异常：计划参数缺失",IF(COUNTIF(计划参数!$I$2:$I$501,C389)=0,"提示：员工编号未在主数据",IF(Q389&lt;&gt;"已备案","提示：未确认备案","正常"))))))))))))</f>
        <v/>
      </c>
      <c r="AE389" s="9"/>
      <c r="AF389" s="4" t="str">
        <f>IF(C389="","",IF(COUNTIF($C$2:C389,C389)=1,MAX($AF$1:AF388)+1,""))</f>
        <v/>
      </c>
      <c r="AG389" s="4" t="str">
        <f>IF(C389="","",COUNTIF($C$2:C389,C389))</f>
        <v/>
      </c>
      <c r="AH389" s="4" t="str">
        <f t="shared" si="100"/>
        <v/>
      </c>
      <c r="AI389" s="4" t="str">
        <f t="shared" si="101"/>
        <v/>
      </c>
      <c r="AJ389" s="4" t="str">
        <f t="shared" si="102"/>
        <v/>
      </c>
      <c r="AK389" s="15" t="str">
        <f>IF(A389="","",SUMIFS(分期缴税台账!$K$2:$K$501,分期缴税台账!$T$2:$T$501,A389,分期缴税台账!$Q$2:$Q$501,"有效"))</f>
        <v/>
      </c>
      <c r="AL389" s="15" t="str">
        <f t="shared" si="103"/>
        <v/>
      </c>
      <c r="AM389" s="4" t="str">
        <f t="shared" si="104"/>
        <v/>
      </c>
    </row>
    <row r="390" spans="1:39" x14ac:dyDescent="0.3">
      <c r="A390" s="9"/>
      <c r="B390" s="4" t="str">
        <f t="shared" si="90"/>
        <v/>
      </c>
      <c r="C390" s="9"/>
      <c r="D390" s="9"/>
      <c r="E390" s="9"/>
      <c r="F390" s="9"/>
      <c r="G390" s="13"/>
      <c r="H390" s="4" t="str">
        <f t="shared" si="91"/>
        <v/>
      </c>
      <c r="I390" s="9"/>
      <c r="J390" s="14"/>
      <c r="K390" s="15" t="str">
        <f>IF(OR(E390="",F390="",G390=""),"",IF(E390&lt;&gt;计划参数!$C$2,"",IF(F390="股票期权",IFERROR(LOOKUP(G390,计划参数!$D$12:$D$15,计划参数!$C$12:$C$15),""),IF(F390="限制性股票",计划参数!$C$10,""))))</f>
        <v/>
      </c>
      <c r="L390" s="15" t="str">
        <f>IF(AND(E390=计划参数!$C$2,F390="限制性股票",G390&gt;=计划参数!$D$9),计划参数!$C$9,"")</f>
        <v/>
      </c>
      <c r="M390" s="9"/>
      <c r="N390" s="14"/>
      <c r="O390" s="14"/>
      <c r="P390" s="13"/>
      <c r="Q390" s="9"/>
      <c r="R390" s="13"/>
      <c r="S390" s="15" t="str">
        <f t="shared" si="92"/>
        <v/>
      </c>
      <c r="T390" s="15" t="str">
        <f t="shared" si="93"/>
        <v/>
      </c>
      <c r="U390" s="15" t="str">
        <f t="shared" si="94"/>
        <v/>
      </c>
      <c r="V390" s="15" t="str">
        <f t="shared" si="95"/>
        <v/>
      </c>
      <c r="W390" s="16" t="str">
        <f>IF(V390="","",VLOOKUP(V390,税率及规则!$A$2:$C$8,2,TRUE))</f>
        <v/>
      </c>
      <c r="X390" s="15" t="str">
        <f>IF(V390="","",VLOOKUP(V390,税率及规则!$A$2:$C$8,3,TRUE))</f>
        <v/>
      </c>
      <c r="Y390" s="15" t="str">
        <f t="shared" si="96"/>
        <v/>
      </c>
      <c r="Z390" s="15" t="str">
        <f>IF(U390="","",MAX(0,U390*VLOOKUP(U390,税率及规则!$A$2:$C$8,2,TRUE)-VLOOKUP(U390,税率及规则!$A$2:$C$8,3,TRUE)))</f>
        <v/>
      </c>
      <c r="AA390" s="15" t="str">
        <f t="shared" si="97"/>
        <v/>
      </c>
      <c r="AB390" s="17" t="str">
        <f t="shared" si="98"/>
        <v/>
      </c>
      <c r="AC390" s="17" t="str">
        <f t="shared" si="99"/>
        <v/>
      </c>
      <c r="AD390" s="4" t="str">
        <f>IF(A390="","",IF(COUNTIF($A$2:$A$501,A390)&gt;1,"异常：事件编号重复",IF(OR(C390="",D390="",E390="",F390="",G390=""),"异常：必填项缺失",IF(AND(F390="其他股权激励",O390=""),"异常：其他股权激励所得缺失",IF(AND(F390&lt;&gt;"其他股权激励",OR(I390="",J390="")),"异常：数量或市场价缺失",IF(AND(F390&lt;&gt;"其他股权激励",OR(I390&lt;=0,J390&lt;0)),"异常：数量或价格无效",IF(AND(F390="限制性股票",OR(M390&lt;=0,N390&lt;0,I390&gt;M390)),"异常：个人获授或出资数据无效",IF(AND(IFERROR(INDEX(计划参数!$J$2:$J$501,MATCH(C390,计划参数!$I$2:$I$501,0)),"")&lt;&gt;"",D390&lt;&gt;IFERROR(INDEX(计划参数!$J$2:$J$501,MATCH(C390,计划参数!$I$2:$I$501,0)),"")),"异常：姓名与员工主数据不一致",IF(S390&lt;0,"异常：原始所得为负，已按0计税",IF(OR(AND(F390="股票期权",K390=""),AND(F390="限制性股票",OR(K390="",L390=""))),"异常：计划参数缺失",IF(COUNTIF(计划参数!$I$2:$I$501,C390)=0,"提示：员工编号未在主数据",IF(Q390&lt;&gt;"已备案","提示：未确认备案","正常"))))))))))))</f>
        <v/>
      </c>
      <c r="AE390" s="9"/>
      <c r="AF390" s="4" t="str">
        <f>IF(C390="","",IF(COUNTIF($C$2:C390,C390)=1,MAX($AF$1:AF389)+1,""))</f>
        <v/>
      </c>
      <c r="AG390" s="4" t="str">
        <f>IF(C390="","",COUNTIF($C$2:C390,C390))</f>
        <v/>
      </c>
      <c r="AH390" s="4" t="str">
        <f t="shared" si="100"/>
        <v/>
      </c>
      <c r="AI390" s="4" t="str">
        <f t="shared" si="101"/>
        <v/>
      </c>
      <c r="AJ390" s="4" t="str">
        <f t="shared" si="102"/>
        <v/>
      </c>
      <c r="AK390" s="15" t="str">
        <f>IF(A390="","",SUMIFS(分期缴税台账!$K$2:$K$501,分期缴税台账!$T$2:$T$501,A390,分期缴税台账!$Q$2:$Q$501,"有效"))</f>
        <v/>
      </c>
      <c r="AL390" s="15" t="str">
        <f t="shared" si="103"/>
        <v/>
      </c>
      <c r="AM390" s="4" t="str">
        <f t="shared" si="104"/>
        <v/>
      </c>
    </row>
    <row r="391" spans="1:39" x14ac:dyDescent="0.3">
      <c r="A391" s="9"/>
      <c r="B391" s="4" t="str">
        <f t="shared" si="90"/>
        <v/>
      </c>
      <c r="C391" s="9"/>
      <c r="D391" s="9"/>
      <c r="E391" s="9"/>
      <c r="F391" s="9"/>
      <c r="G391" s="13"/>
      <c r="H391" s="4" t="str">
        <f t="shared" si="91"/>
        <v/>
      </c>
      <c r="I391" s="9"/>
      <c r="J391" s="14"/>
      <c r="K391" s="15" t="str">
        <f>IF(OR(E391="",F391="",G391=""),"",IF(E391&lt;&gt;计划参数!$C$2,"",IF(F391="股票期权",IFERROR(LOOKUP(G391,计划参数!$D$12:$D$15,计划参数!$C$12:$C$15),""),IF(F391="限制性股票",计划参数!$C$10,""))))</f>
        <v/>
      </c>
      <c r="L391" s="15" t="str">
        <f>IF(AND(E391=计划参数!$C$2,F391="限制性股票",G391&gt;=计划参数!$D$9),计划参数!$C$9,"")</f>
        <v/>
      </c>
      <c r="M391" s="9"/>
      <c r="N391" s="14"/>
      <c r="O391" s="14"/>
      <c r="P391" s="13"/>
      <c r="Q391" s="9"/>
      <c r="R391" s="13"/>
      <c r="S391" s="15" t="str">
        <f t="shared" si="92"/>
        <v/>
      </c>
      <c r="T391" s="15" t="str">
        <f t="shared" si="93"/>
        <v/>
      </c>
      <c r="U391" s="15" t="str">
        <f t="shared" si="94"/>
        <v/>
      </c>
      <c r="V391" s="15" t="str">
        <f t="shared" si="95"/>
        <v/>
      </c>
      <c r="W391" s="16" t="str">
        <f>IF(V391="","",VLOOKUP(V391,税率及规则!$A$2:$C$8,2,TRUE))</f>
        <v/>
      </c>
      <c r="X391" s="15" t="str">
        <f>IF(V391="","",VLOOKUP(V391,税率及规则!$A$2:$C$8,3,TRUE))</f>
        <v/>
      </c>
      <c r="Y391" s="15" t="str">
        <f t="shared" si="96"/>
        <v/>
      </c>
      <c r="Z391" s="15" t="str">
        <f>IF(U391="","",MAX(0,U391*VLOOKUP(U391,税率及规则!$A$2:$C$8,2,TRUE)-VLOOKUP(U391,税率及规则!$A$2:$C$8,3,TRUE)))</f>
        <v/>
      </c>
      <c r="AA391" s="15" t="str">
        <f t="shared" si="97"/>
        <v/>
      </c>
      <c r="AB391" s="17" t="str">
        <f t="shared" si="98"/>
        <v/>
      </c>
      <c r="AC391" s="17" t="str">
        <f t="shared" si="99"/>
        <v/>
      </c>
      <c r="AD391" s="4" t="str">
        <f>IF(A391="","",IF(COUNTIF($A$2:$A$501,A391)&gt;1,"异常：事件编号重复",IF(OR(C391="",D391="",E391="",F391="",G391=""),"异常：必填项缺失",IF(AND(F391="其他股权激励",O391=""),"异常：其他股权激励所得缺失",IF(AND(F391&lt;&gt;"其他股权激励",OR(I391="",J391="")),"异常：数量或市场价缺失",IF(AND(F391&lt;&gt;"其他股权激励",OR(I391&lt;=0,J391&lt;0)),"异常：数量或价格无效",IF(AND(F391="限制性股票",OR(M391&lt;=0,N391&lt;0,I391&gt;M391)),"异常：个人获授或出资数据无效",IF(AND(IFERROR(INDEX(计划参数!$J$2:$J$501,MATCH(C391,计划参数!$I$2:$I$501,0)),"")&lt;&gt;"",D391&lt;&gt;IFERROR(INDEX(计划参数!$J$2:$J$501,MATCH(C391,计划参数!$I$2:$I$501,0)),"")),"异常：姓名与员工主数据不一致",IF(S391&lt;0,"异常：原始所得为负，已按0计税",IF(OR(AND(F391="股票期权",K391=""),AND(F391="限制性股票",OR(K391="",L391=""))),"异常：计划参数缺失",IF(COUNTIF(计划参数!$I$2:$I$501,C391)=0,"提示：员工编号未在主数据",IF(Q391&lt;&gt;"已备案","提示：未确认备案","正常"))))))))))))</f>
        <v/>
      </c>
      <c r="AE391" s="9"/>
      <c r="AF391" s="4" t="str">
        <f>IF(C391="","",IF(COUNTIF($C$2:C391,C391)=1,MAX($AF$1:AF390)+1,""))</f>
        <v/>
      </c>
      <c r="AG391" s="4" t="str">
        <f>IF(C391="","",COUNTIF($C$2:C391,C391))</f>
        <v/>
      </c>
      <c r="AH391" s="4" t="str">
        <f t="shared" si="100"/>
        <v/>
      </c>
      <c r="AI391" s="4" t="str">
        <f t="shared" si="101"/>
        <v/>
      </c>
      <c r="AJ391" s="4" t="str">
        <f t="shared" si="102"/>
        <v/>
      </c>
      <c r="AK391" s="15" t="str">
        <f>IF(A391="","",SUMIFS(分期缴税台账!$K$2:$K$501,分期缴税台账!$T$2:$T$501,A391,分期缴税台账!$Q$2:$Q$501,"有效"))</f>
        <v/>
      </c>
      <c r="AL391" s="15" t="str">
        <f t="shared" si="103"/>
        <v/>
      </c>
      <c r="AM391" s="4" t="str">
        <f t="shared" si="104"/>
        <v/>
      </c>
    </row>
    <row r="392" spans="1:39" x14ac:dyDescent="0.3">
      <c r="A392" s="9"/>
      <c r="B392" s="4" t="str">
        <f t="shared" si="90"/>
        <v/>
      </c>
      <c r="C392" s="9"/>
      <c r="D392" s="9"/>
      <c r="E392" s="9"/>
      <c r="F392" s="9"/>
      <c r="G392" s="13"/>
      <c r="H392" s="4" t="str">
        <f t="shared" si="91"/>
        <v/>
      </c>
      <c r="I392" s="9"/>
      <c r="J392" s="14"/>
      <c r="K392" s="15" t="str">
        <f>IF(OR(E392="",F392="",G392=""),"",IF(E392&lt;&gt;计划参数!$C$2,"",IF(F392="股票期权",IFERROR(LOOKUP(G392,计划参数!$D$12:$D$15,计划参数!$C$12:$C$15),""),IF(F392="限制性股票",计划参数!$C$10,""))))</f>
        <v/>
      </c>
      <c r="L392" s="15" t="str">
        <f>IF(AND(E392=计划参数!$C$2,F392="限制性股票",G392&gt;=计划参数!$D$9),计划参数!$C$9,"")</f>
        <v/>
      </c>
      <c r="M392" s="9"/>
      <c r="N392" s="14"/>
      <c r="O392" s="14"/>
      <c r="P392" s="13"/>
      <c r="Q392" s="9"/>
      <c r="R392" s="13"/>
      <c r="S392" s="15" t="str">
        <f t="shared" si="92"/>
        <v/>
      </c>
      <c r="T392" s="15" t="str">
        <f t="shared" si="93"/>
        <v/>
      </c>
      <c r="U392" s="15" t="str">
        <f t="shared" si="94"/>
        <v/>
      </c>
      <c r="V392" s="15" t="str">
        <f t="shared" si="95"/>
        <v/>
      </c>
      <c r="W392" s="16" t="str">
        <f>IF(V392="","",VLOOKUP(V392,税率及规则!$A$2:$C$8,2,TRUE))</f>
        <v/>
      </c>
      <c r="X392" s="15" t="str">
        <f>IF(V392="","",VLOOKUP(V392,税率及规则!$A$2:$C$8,3,TRUE))</f>
        <v/>
      </c>
      <c r="Y392" s="15" t="str">
        <f t="shared" si="96"/>
        <v/>
      </c>
      <c r="Z392" s="15" t="str">
        <f>IF(U392="","",MAX(0,U392*VLOOKUP(U392,税率及规则!$A$2:$C$8,2,TRUE)-VLOOKUP(U392,税率及规则!$A$2:$C$8,3,TRUE)))</f>
        <v/>
      </c>
      <c r="AA392" s="15" t="str">
        <f t="shared" si="97"/>
        <v/>
      </c>
      <c r="AB392" s="17" t="str">
        <f t="shared" si="98"/>
        <v/>
      </c>
      <c r="AC392" s="17" t="str">
        <f t="shared" si="99"/>
        <v/>
      </c>
      <c r="AD392" s="4" t="str">
        <f>IF(A392="","",IF(COUNTIF($A$2:$A$501,A392)&gt;1,"异常：事件编号重复",IF(OR(C392="",D392="",E392="",F392="",G392=""),"异常：必填项缺失",IF(AND(F392="其他股权激励",O392=""),"异常：其他股权激励所得缺失",IF(AND(F392&lt;&gt;"其他股权激励",OR(I392="",J392="")),"异常：数量或市场价缺失",IF(AND(F392&lt;&gt;"其他股权激励",OR(I392&lt;=0,J392&lt;0)),"异常：数量或价格无效",IF(AND(F392="限制性股票",OR(M392&lt;=0,N392&lt;0,I392&gt;M392)),"异常：个人获授或出资数据无效",IF(AND(IFERROR(INDEX(计划参数!$J$2:$J$501,MATCH(C392,计划参数!$I$2:$I$501,0)),"")&lt;&gt;"",D392&lt;&gt;IFERROR(INDEX(计划参数!$J$2:$J$501,MATCH(C392,计划参数!$I$2:$I$501,0)),"")),"异常：姓名与员工主数据不一致",IF(S392&lt;0,"异常：原始所得为负，已按0计税",IF(OR(AND(F392="股票期权",K392=""),AND(F392="限制性股票",OR(K392="",L392=""))),"异常：计划参数缺失",IF(COUNTIF(计划参数!$I$2:$I$501,C392)=0,"提示：员工编号未在主数据",IF(Q392&lt;&gt;"已备案","提示：未确认备案","正常"))))))))))))</f>
        <v/>
      </c>
      <c r="AE392" s="9"/>
      <c r="AF392" s="4" t="str">
        <f>IF(C392="","",IF(COUNTIF($C$2:C392,C392)=1,MAX($AF$1:AF391)+1,""))</f>
        <v/>
      </c>
      <c r="AG392" s="4" t="str">
        <f>IF(C392="","",COUNTIF($C$2:C392,C392))</f>
        <v/>
      </c>
      <c r="AH392" s="4" t="str">
        <f t="shared" si="100"/>
        <v/>
      </c>
      <c r="AI392" s="4" t="str">
        <f t="shared" si="101"/>
        <v/>
      </c>
      <c r="AJ392" s="4" t="str">
        <f t="shared" si="102"/>
        <v/>
      </c>
      <c r="AK392" s="15" t="str">
        <f>IF(A392="","",SUMIFS(分期缴税台账!$K$2:$K$501,分期缴税台账!$T$2:$T$501,A392,分期缴税台账!$Q$2:$Q$501,"有效"))</f>
        <v/>
      </c>
      <c r="AL392" s="15" t="str">
        <f t="shared" si="103"/>
        <v/>
      </c>
      <c r="AM392" s="4" t="str">
        <f t="shared" si="104"/>
        <v/>
      </c>
    </row>
    <row r="393" spans="1:39" x14ac:dyDescent="0.3">
      <c r="A393" s="9"/>
      <c r="B393" s="4" t="str">
        <f t="shared" si="90"/>
        <v/>
      </c>
      <c r="C393" s="9"/>
      <c r="D393" s="9"/>
      <c r="E393" s="9"/>
      <c r="F393" s="9"/>
      <c r="G393" s="13"/>
      <c r="H393" s="4" t="str">
        <f t="shared" si="91"/>
        <v/>
      </c>
      <c r="I393" s="9"/>
      <c r="J393" s="14"/>
      <c r="K393" s="15" t="str">
        <f>IF(OR(E393="",F393="",G393=""),"",IF(E393&lt;&gt;计划参数!$C$2,"",IF(F393="股票期权",IFERROR(LOOKUP(G393,计划参数!$D$12:$D$15,计划参数!$C$12:$C$15),""),IF(F393="限制性股票",计划参数!$C$10,""))))</f>
        <v/>
      </c>
      <c r="L393" s="15" t="str">
        <f>IF(AND(E393=计划参数!$C$2,F393="限制性股票",G393&gt;=计划参数!$D$9),计划参数!$C$9,"")</f>
        <v/>
      </c>
      <c r="M393" s="9"/>
      <c r="N393" s="14"/>
      <c r="O393" s="14"/>
      <c r="P393" s="13"/>
      <c r="Q393" s="9"/>
      <c r="R393" s="13"/>
      <c r="S393" s="15" t="str">
        <f t="shared" si="92"/>
        <v/>
      </c>
      <c r="T393" s="15" t="str">
        <f t="shared" si="93"/>
        <v/>
      </c>
      <c r="U393" s="15" t="str">
        <f t="shared" si="94"/>
        <v/>
      </c>
      <c r="V393" s="15" t="str">
        <f t="shared" si="95"/>
        <v/>
      </c>
      <c r="W393" s="16" t="str">
        <f>IF(V393="","",VLOOKUP(V393,税率及规则!$A$2:$C$8,2,TRUE))</f>
        <v/>
      </c>
      <c r="X393" s="15" t="str">
        <f>IF(V393="","",VLOOKUP(V393,税率及规则!$A$2:$C$8,3,TRUE))</f>
        <v/>
      </c>
      <c r="Y393" s="15" t="str">
        <f t="shared" si="96"/>
        <v/>
      </c>
      <c r="Z393" s="15" t="str">
        <f>IF(U393="","",MAX(0,U393*VLOOKUP(U393,税率及规则!$A$2:$C$8,2,TRUE)-VLOOKUP(U393,税率及规则!$A$2:$C$8,3,TRUE)))</f>
        <v/>
      </c>
      <c r="AA393" s="15" t="str">
        <f t="shared" si="97"/>
        <v/>
      </c>
      <c r="AB393" s="17" t="str">
        <f t="shared" si="98"/>
        <v/>
      </c>
      <c r="AC393" s="17" t="str">
        <f t="shared" si="99"/>
        <v/>
      </c>
      <c r="AD393" s="4" t="str">
        <f>IF(A393="","",IF(COUNTIF($A$2:$A$501,A393)&gt;1,"异常：事件编号重复",IF(OR(C393="",D393="",E393="",F393="",G393=""),"异常：必填项缺失",IF(AND(F393="其他股权激励",O393=""),"异常：其他股权激励所得缺失",IF(AND(F393&lt;&gt;"其他股权激励",OR(I393="",J393="")),"异常：数量或市场价缺失",IF(AND(F393&lt;&gt;"其他股权激励",OR(I393&lt;=0,J393&lt;0)),"异常：数量或价格无效",IF(AND(F393="限制性股票",OR(M393&lt;=0,N393&lt;0,I393&gt;M393)),"异常：个人获授或出资数据无效",IF(AND(IFERROR(INDEX(计划参数!$J$2:$J$501,MATCH(C393,计划参数!$I$2:$I$501,0)),"")&lt;&gt;"",D393&lt;&gt;IFERROR(INDEX(计划参数!$J$2:$J$501,MATCH(C393,计划参数!$I$2:$I$501,0)),"")),"异常：姓名与员工主数据不一致",IF(S393&lt;0,"异常：原始所得为负，已按0计税",IF(OR(AND(F393="股票期权",K393=""),AND(F393="限制性股票",OR(K393="",L393=""))),"异常：计划参数缺失",IF(COUNTIF(计划参数!$I$2:$I$501,C393)=0,"提示：员工编号未在主数据",IF(Q393&lt;&gt;"已备案","提示：未确认备案","正常"))))))))))))</f>
        <v/>
      </c>
      <c r="AE393" s="9"/>
      <c r="AF393" s="4" t="str">
        <f>IF(C393="","",IF(COUNTIF($C$2:C393,C393)=1,MAX($AF$1:AF392)+1,""))</f>
        <v/>
      </c>
      <c r="AG393" s="4" t="str">
        <f>IF(C393="","",COUNTIF($C$2:C393,C393))</f>
        <v/>
      </c>
      <c r="AH393" s="4" t="str">
        <f t="shared" si="100"/>
        <v/>
      </c>
      <c r="AI393" s="4" t="str">
        <f t="shared" si="101"/>
        <v/>
      </c>
      <c r="AJ393" s="4" t="str">
        <f t="shared" si="102"/>
        <v/>
      </c>
      <c r="AK393" s="15" t="str">
        <f>IF(A393="","",SUMIFS(分期缴税台账!$K$2:$K$501,分期缴税台账!$T$2:$T$501,A393,分期缴税台账!$Q$2:$Q$501,"有效"))</f>
        <v/>
      </c>
      <c r="AL393" s="15" t="str">
        <f t="shared" si="103"/>
        <v/>
      </c>
      <c r="AM393" s="4" t="str">
        <f t="shared" si="104"/>
        <v/>
      </c>
    </row>
    <row r="394" spans="1:39" x14ac:dyDescent="0.3">
      <c r="A394" s="9"/>
      <c r="B394" s="4" t="str">
        <f t="shared" si="90"/>
        <v/>
      </c>
      <c r="C394" s="9"/>
      <c r="D394" s="9"/>
      <c r="E394" s="9"/>
      <c r="F394" s="9"/>
      <c r="G394" s="13"/>
      <c r="H394" s="4" t="str">
        <f t="shared" si="91"/>
        <v/>
      </c>
      <c r="I394" s="9"/>
      <c r="J394" s="14"/>
      <c r="K394" s="15" t="str">
        <f>IF(OR(E394="",F394="",G394=""),"",IF(E394&lt;&gt;计划参数!$C$2,"",IF(F394="股票期权",IFERROR(LOOKUP(G394,计划参数!$D$12:$D$15,计划参数!$C$12:$C$15),""),IF(F394="限制性股票",计划参数!$C$10,""))))</f>
        <v/>
      </c>
      <c r="L394" s="15" t="str">
        <f>IF(AND(E394=计划参数!$C$2,F394="限制性股票",G394&gt;=计划参数!$D$9),计划参数!$C$9,"")</f>
        <v/>
      </c>
      <c r="M394" s="9"/>
      <c r="N394" s="14"/>
      <c r="O394" s="14"/>
      <c r="P394" s="13"/>
      <c r="Q394" s="9"/>
      <c r="R394" s="13"/>
      <c r="S394" s="15" t="str">
        <f t="shared" si="92"/>
        <v/>
      </c>
      <c r="T394" s="15" t="str">
        <f t="shared" si="93"/>
        <v/>
      </c>
      <c r="U394" s="15" t="str">
        <f t="shared" si="94"/>
        <v/>
      </c>
      <c r="V394" s="15" t="str">
        <f t="shared" si="95"/>
        <v/>
      </c>
      <c r="W394" s="16" t="str">
        <f>IF(V394="","",VLOOKUP(V394,税率及规则!$A$2:$C$8,2,TRUE))</f>
        <v/>
      </c>
      <c r="X394" s="15" t="str">
        <f>IF(V394="","",VLOOKUP(V394,税率及规则!$A$2:$C$8,3,TRUE))</f>
        <v/>
      </c>
      <c r="Y394" s="15" t="str">
        <f t="shared" si="96"/>
        <v/>
      </c>
      <c r="Z394" s="15" t="str">
        <f>IF(U394="","",MAX(0,U394*VLOOKUP(U394,税率及规则!$A$2:$C$8,2,TRUE)-VLOOKUP(U394,税率及规则!$A$2:$C$8,3,TRUE)))</f>
        <v/>
      </c>
      <c r="AA394" s="15" t="str">
        <f t="shared" si="97"/>
        <v/>
      </c>
      <c r="AB394" s="17" t="str">
        <f t="shared" si="98"/>
        <v/>
      </c>
      <c r="AC394" s="17" t="str">
        <f t="shared" si="99"/>
        <v/>
      </c>
      <c r="AD394" s="4" t="str">
        <f>IF(A394="","",IF(COUNTIF($A$2:$A$501,A394)&gt;1,"异常：事件编号重复",IF(OR(C394="",D394="",E394="",F394="",G394=""),"异常：必填项缺失",IF(AND(F394="其他股权激励",O394=""),"异常：其他股权激励所得缺失",IF(AND(F394&lt;&gt;"其他股权激励",OR(I394="",J394="")),"异常：数量或市场价缺失",IF(AND(F394&lt;&gt;"其他股权激励",OR(I394&lt;=0,J394&lt;0)),"异常：数量或价格无效",IF(AND(F394="限制性股票",OR(M394&lt;=0,N394&lt;0,I394&gt;M394)),"异常：个人获授或出资数据无效",IF(AND(IFERROR(INDEX(计划参数!$J$2:$J$501,MATCH(C394,计划参数!$I$2:$I$501,0)),"")&lt;&gt;"",D394&lt;&gt;IFERROR(INDEX(计划参数!$J$2:$J$501,MATCH(C394,计划参数!$I$2:$I$501,0)),"")),"异常：姓名与员工主数据不一致",IF(S394&lt;0,"异常：原始所得为负，已按0计税",IF(OR(AND(F394="股票期权",K394=""),AND(F394="限制性股票",OR(K394="",L394=""))),"异常：计划参数缺失",IF(COUNTIF(计划参数!$I$2:$I$501,C394)=0,"提示：员工编号未在主数据",IF(Q394&lt;&gt;"已备案","提示：未确认备案","正常"))))))))))))</f>
        <v/>
      </c>
      <c r="AE394" s="9"/>
      <c r="AF394" s="4" t="str">
        <f>IF(C394="","",IF(COUNTIF($C$2:C394,C394)=1,MAX($AF$1:AF393)+1,""))</f>
        <v/>
      </c>
      <c r="AG394" s="4" t="str">
        <f>IF(C394="","",COUNTIF($C$2:C394,C394))</f>
        <v/>
      </c>
      <c r="AH394" s="4" t="str">
        <f t="shared" si="100"/>
        <v/>
      </c>
      <c r="AI394" s="4" t="str">
        <f t="shared" si="101"/>
        <v/>
      </c>
      <c r="AJ394" s="4" t="str">
        <f t="shared" si="102"/>
        <v/>
      </c>
      <c r="AK394" s="15" t="str">
        <f>IF(A394="","",SUMIFS(分期缴税台账!$K$2:$K$501,分期缴税台账!$T$2:$T$501,A394,分期缴税台账!$Q$2:$Q$501,"有效"))</f>
        <v/>
      </c>
      <c r="AL394" s="15" t="str">
        <f t="shared" si="103"/>
        <v/>
      </c>
      <c r="AM394" s="4" t="str">
        <f t="shared" si="104"/>
        <v/>
      </c>
    </row>
    <row r="395" spans="1:39" x14ac:dyDescent="0.3">
      <c r="A395" s="9"/>
      <c r="B395" s="4" t="str">
        <f t="shared" si="90"/>
        <v/>
      </c>
      <c r="C395" s="9"/>
      <c r="D395" s="9"/>
      <c r="E395" s="9"/>
      <c r="F395" s="9"/>
      <c r="G395" s="13"/>
      <c r="H395" s="4" t="str">
        <f t="shared" si="91"/>
        <v/>
      </c>
      <c r="I395" s="9"/>
      <c r="J395" s="14"/>
      <c r="K395" s="15" t="str">
        <f>IF(OR(E395="",F395="",G395=""),"",IF(E395&lt;&gt;计划参数!$C$2,"",IF(F395="股票期权",IFERROR(LOOKUP(G395,计划参数!$D$12:$D$15,计划参数!$C$12:$C$15),""),IF(F395="限制性股票",计划参数!$C$10,""))))</f>
        <v/>
      </c>
      <c r="L395" s="15" t="str">
        <f>IF(AND(E395=计划参数!$C$2,F395="限制性股票",G395&gt;=计划参数!$D$9),计划参数!$C$9,"")</f>
        <v/>
      </c>
      <c r="M395" s="9"/>
      <c r="N395" s="14"/>
      <c r="O395" s="14"/>
      <c r="P395" s="13"/>
      <c r="Q395" s="9"/>
      <c r="R395" s="13"/>
      <c r="S395" s="15" t="str">
        <f t="shared" si="92"/>
        <v/>
      </c>
      <c r="T395" s="15" t="str">
        <f t="shared" si="93"/>
        <v/>
      </c>
      <c r="U395" s="15" t="str">
        <f t="shared" si="94"/>
        <v/>
      </c>
      <c r="V395" s="15" t="str">
        <f t="shared" si="95"/>
        <v/>
      </c>
      <c r="W395" s="16" t="str">
        <f>IF(V395="","",VLOOKUP(V395,税率及规则!$A$2:$C$8,2,TRUE))</f>
        <v/>
      </c>
      <c r="X395" s="15" t="str">
        <f>IF(V395="","",VLOOKUP(V395,税率及规则!$A$2:$C$8,3,TRUE))</f>
        <v/>
      </c>
      <c r="Y395" s="15" t="str">
        <f t="shared" si="96"/>
        <v/>
      </c>
      <c r="Z395" s="15" t="str">
        <f>IF(U395="","",MAX(0,U395*VLOOKUP(U395,税率及规则!$A$2:$C$8,2,TRUE)-VLOOKUP(U395,税率及规则!$A$2:$C$8,3,TRUE)))</f>
        <v/>
      </c>
      <c r="AA395" s="15" t="str">
        <f t="shared" si="97"/>
        <v/>
      </c>
      <c r="AB395" s="17" t="str">
        <f t="shared" si="98"/>
        <v/>
      </c>
      <c r="AC395" s="17" t="str">
        <f t="shared" si="99"/>
        <v/>
      </c>
      <c r="AD395" s="4" t="str">
        <f>IF(A395="","",IF(COUNTIF($A$2:$A$501,A395)&gt;1,"异常：事件编号重复",IF(OR(C395="",D395="",E395="",F395="",G395=""),"异常：必填项缺失",IF(AND(F395="其他股权激励",O395=""),"异常：其他股权激励所得缺失",IF(AND(F395&lt;&gt;"其他股权激励",OR(I395="",J395="")),"异常：数量或市场价缺失",IF(AND(F395&lt;&gt;"其他股权激励",OR(I395&lt;=0,J395&lt;0)),"异常：数量或价格无效",IF(AND(F395="限制性股票",OR(M395&lt;=0,N395&lt;0,I395&gt;M395)),"异常：个人获授或出资数据无效",IF(AND(IFERROR(INDEX(计划参数!$J$2:$J$501,MATCH(C395,计划参数!$I$2:$I$501,0)),"")&lt;&gt;"",D395&lt;&gt;IFERROR(INDEX(计划参数!$J$2:$J$501,MATCH(C395,计划参数!$I$2:$I$501,0)),"")),"异常：姓名与员工主数据不一致",IF(S395&lt;0,"异常：原始所得为负，已按0计税",IF(OR(AND(F395="股票期权",K395=""),AND(F395="限制性股票",OR(K395="",L395=""))),"异常：计划参数缺失",IF(COUNTIF(计划参数!$I$2:$I$501,C395)=0,"提示：员工编号未在主数据",IF(Q395&lt;&gt;"已备案","提示：未确认备案","正常"))))))))))))</f>
        <v/>
      </c>
      <c r="AE395" s="9"/>
      <c r="AF395" s="4" t="str">
        <f>IF(C395="","",IF(COUNTIF($C$2:C395,C395)=1,MAX($AF$1:AF394)+1,""))</f>
        <v/>
      </c>
      <c r="AG395" s="4" t="str">
        <f>IF(C395="","",COUNTIF($C$2:C395,C395))</f>
        <v/>
      </c>
      <c r="AH395" s="4" t="str">
        <f t="shared" si="100"/>
        <v/>
      </c>
      <c r="AI395" s="4" t="str">
        <f t="shared" si="101"/>
        <v/>
      </c>
      <c r="AJ395" s="4" t="str">
        <f t="shared" si="102"/>
        <v/>
      </c>
      <c r="AK395" s="15" t="str">
        <f>IF(A395="","",SUMIFS(分期缴税台账!$K$2:$K$501,分期缴税台账!$T$2:$T$501,A395,分期缴税台账!$Q$2:$Q$501,"有效"))</f>
        <v/>
      </c>
      <c r="AL395" s="15" t="str">
        <f t="shared" si="103"/>
        <v/>
      </c>
      <c r="AM395" s="4" t="str">
        <f t="shared" si="104"/>
        <v/>
      </c>
    </row>
    <row r="396" spans="1:39" x14ac:dyDescent="0.3">
      <c r="A396" s="9"/>
      <c r="B396" s="4" t="str">
        <f t="shared" si="90"/>
        <v/>
      </c>
      <c r="C396" s="9"/>
      <c r="D396" s="9"/>
      <c r="E396" s="9"/>
      <c r="F396" s="9"/>
      <c r="G396" s="13"/>
      <c r="H396" s="4" t="str">
        <f t="shared" si="91"/>
        <v/>
      </c>
      <c r="I396" s="9"/>
      <c r="J396" s="14"/>
      <c r="K396" s="15" t="str">
        <f>IF(OR(E396="",F396="",G396=""),"",IF(E396&lt;&gt;计划参数!$C$2,"",IF(F396="股票期权",IFERROR(LOOKUP(G396,计划参数!$D$12:$D$15,计划参数!$C$12:$C$15),""),IF(F396="限制性股票",计划参数!$C$10,""))))</f>
        <v/>
      </c>
      <c r="L396" s="15" t="str">
        <f>IF(AND(E396=计划参数!$C$2,F396="限制性股票",G396&gt;=计划参数!$D$9),计划参数!$C$9,"")</f>
        <v/>
      </c>
      <c r="M396" s="9"/>
      <c r="N396" s="14"/>
      <c r="O396" s="14"/>
      <c r="P396" s="13"/>
      <c r="Q396" s="9"/>
      <c r="R396" s="13"/>
      <c r="S396" s="15" t="str">
        <f t="shared" si="92"/>
        <v/>
      </c>
      <c r="T396" s="15" t="str">
        <f t="shared" si="93"/>
        <v/>
      </c>
      <c r="U396" s="15" t="str">
        <f t="shared" si="94"/>
        <v/>
      </c>
      <c r="V396" s="15" t="str">
        <f t="shared" si="95"/>
        <v/>
      </c>
      <c r="W396" s="16" t="str">
        <f>IF(V396="","",VLOOKUP(V396,税率及规则!$A$2:$C$8,2,TRUE))</f>
        <v/>
      </c>
      <c r="X396" s="15" t="str">
        <f>IF(V396="","",VLOOKUP(V396,税率及规则!$A$2:$C$8,3,TRUE))</f>
        <v/>
      </c>
      <c r="Y396" s="15" t="str">
        <f t="shared" si="96"/>
        <v/>
      </c>
      <c r="Z396" s="15" t="str">
        <f>IF(U396="","",MAX(0,U396*VLOOKUP(U396,税率及规则!$A$2:$C$8,2,TRUE)-VLOOKUP(U396,税率及规则!$A$2:$C$8,3,TRUE)))</f>
        <v/>
      </c>
      <c r="AA396" s="15" t="str">
        <f t="shared" si="97"/>
        <v/>
      </c>
      <c r="AB396" s="17" t="str">
        <f t="shared" si="98"/>
        <v/>
      </c>
      <c r="AC396" s="17" t="str">
        <f t="shared" si="99"/>
        <v/>
      </c>
      <c r="AD396" s="4" t="str">
        <f>IF(A396="","",IF(COUNTIF($A$2:$A$501,A396)&gt;1,"异常：事件编号重复",IF(OR(C396="",D396="",E396="",F396="",G396=""),"异常：必填项缺失",IF(AND(F396="其他股权激励",O396=""),"异常：其他股权激励所得缺失",IF(AND(F396&lt;&gt;"其他股权激励",OR(I396="",J396="")),"异常：数量或市场价缺失",IF(AND(F396&lt;&gt;"其他股权激励",OR(I396&lt;=0,J396&lt;0)),"异常：数量或价格无效",IF(AND(F396="限制性股票",OR(M396&lt;=0,N396&lt;0,I396&gt;M396)),"异常：个人获授或出资数据无效",IF(AND(IFERROR(INDEX(计划参数!$J$2:$J$501,MATCH(C396,计划参数!$I$2:$I$501,0)),"")&lt;&gt;"",D396&lt;&gt;IFERROR(INDEX(计划参数!$J$2:$J$501,MATCH(C396,计划参数!$I$2:$I$501,0)),"")),"异常：姓名与员工主数据不一致",IF(S396&lt;0,"异常：原始所得为负，已按0计税",IF(OR(AND(F396="股票期权",K396=""),AND(F396="限制性股票",OR(K396="",L396=""))),"异常：计划参数缺失",IF(COUNTIF(计划参数!$I$2:$I$501,C396)=0,"提示：员工编号未在主数据",IF(Q396&lt;&gt;"已备案","提示：未确认备案","正常"))))))))))))</f>
        <v/>
      </c>
      <c r="AE396" s="9"/>
      <c r="AF396" s="4" t="str">
        <f>IF(C396="","",IF(COUNTIF($C$2:C396,C396)=1,MAX($AF$1:AF395)+1,""))</f>
        <v/>
      </c>
      <c r="AG396" s="4" t="str">
        <f>IF(C396="","",COUNTIF($C$2:C396,C396))</f>
        <v/>
      </c>
      <c r="AH396" s="4" t="str">
        <f t="shared" si="100"/>
        <v/>
      </c>
      <c r="AI396" s="4" t="str">
        <f t="shared" si="101"/>
        <v/>
      </c>
      <c r="AJ396" s="4" t="str">
        <f t="shared" si="102"/>
        <v/>
      </c>
      <c r="AK396" s="15" t="str">
        <f>IF(A396="","",SUMIFS(分期缴税台账!$K$2:$K$501,分期缴税台账!$T$2:$T$501,A396,分期缴税台账!$Q$2:$Q$501,"有效"))</f>
        <v/>
      </c>
      <c r="AL396" s="15" t="str">
        <f t="shared" si="103"/>
        <v/>
      </c>
      <c r="AM396" s="4" t="str">
        <f t="shared" si="104"/>
        <v/>
      </c>
    </row>
    <row r="397" spans="1:39" x14ac:dyDescent="0.3">
      <c r="A397" s="9"/>
      <c r="B397" s="4" t="str">
        <f t="shared" si="90"/>
        <v/>
      </c>
      <c r="C397" s="9"/>
      <c r="D397" s="9"/>
      <c r="E397" s="9"/>
      <c r="F397" s="9"/>
      <c r="G397" s="13"/>
      <c r="H397" s="4" t="str">
        <f t="shared" si="91"/>
        <v/>
      </c>
      <c r="I397" s="9"/>
      <c r="J397" s="14"/>
      <c r="K397" s="15" t="str">
        <f>IF(OR(E397="",F397="",G397=""),"",IF(E397&lt;&gt;计划参数!$C$2,"",IF(F397="股票期权",IFERROR(LOOKUP(G397,计划参数!$D$12:$D$15,计划参数!$C$12:$C$15),""),IF(F397="限制性股票",计划参数!$C$10,""))))</f>
        <v/>
      </c>
      <c r="L397" s="15" t="str">
        <f>IF(AND(E397=计划参数!$C$2,F397="限制性股票",G397&gt;=计划参数!$D$9),计划参数!$C$9,"")</f>
        <v/>
      </c>
      <c r="M397" s="9"/>
      <c r="N397" s="14"/>
      <c r="O397" s="14"/>
      <c r="P397" s="13"/>
      <c r="Q397" s="9"/>
      <c r="R397" s="13"/>
      <c r="S397" s="15" t="str">
        <f t="shared" si="92"/>
        <v/>
      </c>
      <c r="T397" s="15" t="str">
        <f t="shared" si="93"/>
        <v/>
      </c>
      <c r="U397" s="15" t="str">
        <f t="shared" si="94"/>
        <v/>
      </c>
      <c r="V397" s="15" t="str">
        <f t="shared" si="95"/>
        <v/>
      </c>
      <c r="W397" s="16" t="str">
        <f>IF(V397="","",VLOOKUP(V397,税率及规则!$A$2:$C$8,2,TRUE))</f>
        <v/>
      </c>
      <c r="X397" s="15" t="str">
        <f>IF(V397="","",VLOOKUP(V397,税率及规则!$A$2:$C$8,3,TRUE))</f>
        <v/>
      </c>
      <c r="Y397" s="15" t="str">
        <f t="shared" si="96"/>
        <v/>
      </c>
      <c r="Z397" s="15" t="str">
        <f>IF(U397="","",MAX(0,U397*VLOOKUP(U397,税率及规则!$A$2:$C$8,2,TRUE)-VLOOKUP(U397,税率及规则!$A$2:$C$8,3,TRUE)))</f>
        <v/>
      </c>
      <c r="AA397" s="15" t="str">
        <f t="shared" si="97"/>
        <v/>
      </c>
      <c r="AB397" s="17" t="str">
        <f t="shared" si="98"/>
        <v/>
      </c>
      <c r="AC397" s="17" t="str">
        <f t="shared" si="99"/>
        <v/>
      </c>
      <c r="AD397" s="4" t="str">
        <f>IF(A397="","",IF(COUNTIF($A$2:$A$501,A397)&gt;1,"异常：事件编号重复",IF(OR(C397="",D397="",E397="",F397="",G397=""),"异常：必填项缺失",IF(AND(F397="其他股权激励",O397=""),"异常：其他股权激励所得缺失",IF(AND(F397&lt;&gt;"其他股权激励",OR(I397="",J397="")),"异常：数量或市场价缺失",IF(AND(F397&lt;&gt;"其他股权激励",OR(I397&lt;=0,J397&lt;0)),"异常：数量或价格无效",IF(AND(F397="限制性股票",OR(M397&lt;=0,N397&lt;0,I397&gt;M397)),"异常：个人获授或出资数据无效",IF(AND(IFERROR(INDEX(计划参数!$J$2:$J$501,MATCH(C397,计划参数!$I$2:$I$501,0)),"")&lt;&gt;"",D397&lt;&gt;IFERROR(INDEX(计划参数!$J$2:$J$501,MATCH(C397,计划参数!$I$2:$I$501,0)),"")),"异常：姓名与员工主数据不一致",IF(S397&lt;0,"异常：原始所得为负，已按0计税",IF(OR(AND(F397="股票期权",K397=""),AND(F397="限制性股票",OR(K397="",L397=""))),"异常：计划参数缺失",IF(COUNTIF(计划参数!$I$2:$I$501,C397)=0,"提示：员工编号未在主数据",IF(Q397&lt;&gt;"已备案","提示：未确认备案","正常"))))))))))))</f>
        <v/>
      </c>
      <c r="AE397" s="9"/>
      <c r="AF397" s="4" t="str">
        <f>IF(C397="","",IF(COUNTIF($C$2:C397,C397)=1,MAX($AF$1:AF396)+1,""))</f>
        <v/>
      </c>
      <c r="AG397" s="4" t="str">
        <f>IF(C397="","",COUNTIF($C$2:C397,C397))</f>
        <v/>
      </c>
      <c r="AH397" s="4" t="str">
        <f t="shared" si="100"/>
        <v/>
      </c>
      <c r="AI397" s="4" t="str">
        <f t="shared" si="101"/>
        <v/>
      </c>
      <c r="AJ397" s="4" t="str">
        <f t="shared" si="102"/>
        <v/>
      </c>
      <c r="AK397" s="15" t="str">
        <f>IF(A397="","",SUMIFS(分期缴税台账!$K$2:$K$501,分期缴税台账!$T$2:$T$501,A397,分期缴税台账!$Q$2:$Q$501,"有效"))</f>
        <v/>
      </c>
      <c r="AL397" s="15" t="str">
        <f t="shared" si="103"/>
        <v/>
      </c>
      <c r="AM397" s="4" t="str">
        <f t="shared" si="104"/>
        <v/>
      </c>
    </row>
    <row r="398" spans="1:39" x14ac:dyDescent="0.3">
      <c r="A398" s="9"/>
      <c r="B398" s="4" t="str">
        <f t="shared" si="90"/>
        <v/>
      </c>
      <c r="C398" s="9"/>
      <c r="D398" s="9"/>
      <c r="E398" s="9"/>
      <c r="F398" s="9"/>
      <c r="G398" s="13"/>
      <c r="H398" s="4" t="str">
        <f t="shared" si="91"/>
        <v/>
      </c>
      <c r="I398" s="9"/>
      <c r="J398" s="14"/>
      <c r="K398" s="15" t="str">
        <f>IF(OR(E398="",F398="",G398=""),"",IF(E398&lt;&gt;计划参数!$C$2,"",IF(F398="股票期权",IFERROR(LOOKUP(G398,计划参数!$D$12:$D$15,计划参数!$C$12:$C$15),""),IF(F398="限制性股票",计划参数!$C$10,""))))</f>
        <v/>
      </c>
      <c r="L398" s="15" t="str">
        <f>IF(AND(E398=计划参数!$C$2,F398="限制性股票",G398&gt;=计划参数!$D$9),计划参数!$C$9,"")</f>
        <v/>
      </c>
      <c r="M398" s="9"/>
      <c r="N398" s="14"/>
      <c r="O398" s="14"/>
      <c r="P398" s="13"/>
      <c r="Q398" s="9"/>
      <c r="R398" s="13"/>
      <c r="S398" s="15" t="str">
        <f t="shared" si="92"/>
        <v/>
      </c>
      <c r="T398" s="15" t="str">
        <f t="shared" si="93"/>
        <v/>
      </c>
      <c r="U398" s="15" t="str">
        <f t="shared" si="94"/>
        <v/>
      </c>
      <c r="V398" s="15" t="str">
        <f t="shared" si="95"/>
        <v/>
      </c>
      <c r="W398" s="16" t="str">
        <f>IF(V398="","",VLOOKUP(V398,税率及规则!$A$2:$C$8,2,TRUE))</f>
        <v/>
      </c>
      <c r="X398" s="15" t="str">
        <f>IF(V398="","",VLOOKUP(V398,税率及规则!$A$2:$C$8,3,TRUE))</f>
        <v/>
      </c>
      <c r="Y398" s="15" t="str">
        <f t="shared" si="96"/>
        <v/>
      </c>
      <c r="Z398" s="15" t="str">
        <f>IF(U398="","",MAX(0,U398*VLOOKUP(U398,税率及规则!$A$2:$C$8,2,TRUE)-VLOOKUP(U398,税率及规则!$A$2:$C$8,3,TRUE)))</f>
        <v/>
      </c>
      <c r="AA398" s="15" t="str">
        <f t="shared" si="97"/>
        <v/>
      </c>
      <c r="AB398" s="17" t="str">
        <f t="shared" si="98"/>
        <v/>
      </c>
      <c r="AC398" s="17" t="str">
        <f t="shared" si="99"/>
        <v/>
      </c>
      <c r="AD398" s="4" t="str">
        <f>IF(A398="","",IF(COUNTIF($A$2:$A$501,A398)&gt;1,"异常：事件编号重复",IF(OR(C398="",D398="",E398="",F398="",G398=""),"异常：必填项缺失",IF(AND(F398="其他股权激励",O398=""),"异常：其他股权激励所得缺失",IF(AND(F398&lt;&gt;"其他股权激励",OR(I398="",J398="")),"异常：数量或市场价缺失",IF(AND(F398&lt;&gt;"其他股权激励",OR(I398&lt;=0,J398&lt;0)),"异常：数量或价格无效",IF(AND(F398="限制性股票",OR(M398&lt;=0,N398&lt;0,I398&gt;M398)),"异常：个人获授或出资数据无效",IF(AND(IFERROR(INDEX(计划参数!$J$2:$J$501,MATCH(C398,计划参数!$I$2:$I$501,0)),"")&lt;&gt;"",D398&lt;&gt;IFERROR(INDEX(计划参数!$J$2:$J$501,MATCH(C398,计划参数!$I$2:$I$501,0)),"")),"异常：姓名与员工主数据不一致",IF(S398&lt;0,"异常：原始所得为负，已按0计税",IF(OR(AND(F398="股票期权",K398=""),AND(F398="限制性股票",OR(K398="",L398=""))),"异常：计划参数缺失",IF(COUNTIF(计划参数!$I$2:$I$501,C398)=0,"提示：员工编号未在主数据",IF(Q398&lt;&gt;"已备案","提示：未确认备案","正常"))))))))))))</f>
        <v/>
      </c>
      <c r="AE398" s="9"/>
      <c r="AF398" s="4" t="str">
        <f>IF(C398="","",IF(COUNTIF($C$2:C398,C398)=1,MAX($AF$1:AF397)+1,""))</f>
        <v/>
      </c>
      <c r="AG398" s="4" t="str">
        <f>IF(C398="","",COUNTIF($C$2:C398,C398))</f>
        <v/>
      </c>
      <c r="AH398" s="4" t="str">
        <f t="shared" si="100"/>
        <v/>
      </c>
      <c r="AI398" s="4" t="str">
        <f t="shared" si="101"/>
        <v/>
      </c>
      <c r="AJ398" s="4" t="str">
        <f t="shared" si="102"/>
        <v/>
      </c>
      <c r="AK398" s="15" t="str">
        <f>IF(A398="","",SUMIFS(分期缴税台账!$K$2:$K$501,分期缴税台账!$T$2:$T$501,A398,分期缴税台账!$Q$2:$Q$501,"有效"))</f>
        <v/>
      </c>
      <c r="AL398" s="15" t="str">
        <f t="shared" si="103"/>
        <v/>
      </c>
      <c r="AM398" s="4" t="str">
        <f t="shared" si="104"/>
        <v/>
      </c>
    </row>
    <row r="399" spans="1:39" x14ac:dyDescent="0.3">
      <c r="A399" s="9"/>
      <c r="B399" s="4" t="str">
        <f t="shared" si="90"/>
        <v/>
      </c>
      <c r="C399" s="9"/>
      <c r="D399" s="9"/>
      <c r="E399" s="9"/>
      <c r="F399" s="9"/>
      <c r="G399" s="13"/>
      <c r="H399" s="4" t="str">
        <f t="shared" si="91"/>
        <v/>
      </c>
      <c r="I399" s="9"/>
      <c r="J399" s="14"/>
      <c r="K399" s="15" t="str">
        <f>IF(OR(E399="",F399="",G399=""),"",IF(E399&lt;&gt;计划参数!$C$2,"",IF(F399="股票期权",IFERROR(LOOKUP(G399,计划参数!$D$12:$D$15,计划参数!$C$12:$C$15),""),IF(F399="限制性股票",计划参数!$C$10,""))))</f>
        <v/>
      </c>
      <c r="L399" s="15" t="str">
        <f>IF(AND(E399=计划参数!$C$2,F399="限制性股票",G399&gt;=计划参数!$D$9),计划参数!$C$9,"")</f>
        <v/>
      </c>
      <c r="M399" s="9"/>
      <c r="N399" s="14"/>
      <c r="O399" s="14"/>
      <c r="P399" s="13"/>
      <c r="Q399" s="9"/>
      <c r="R399" s="13"/>
      <c r="S399" s="15" t="str">
        <f t="shared" si="92"/>
        <v/>
      </c>
      <c r="T399" s="15" t="str">
        <f t="shared" si="93"/>
        <v/>
      </c>
      <c r="U399" s="15" t="str">
        <f t="shared" si="94"/>
        <v/>
      </c>
      <c r="V399" s="15" t="str">
        <f t="shared" si="95"/>
        <v/>
      </c>
      <c r="W399" s="16" t="str">
        <f>IF(V399="","",VLOOKUP(V399,税率及规则!$A$2:$C$8,2,TRUE))</f>
        <v/>
      </c>
      <c r="X399" s="15" t="str">
        <f>IF(V399="","",VLOOKUP(V399,税率及规则!$A$2:$C$8,3,TRUE))</f>
        <v/>
      </c>
      <c r="Y399" s="15" t="str">
        <f t="shared" si="96"/>
        <v/>
      </c>
      <c r="Z399" s="15" t="str">
        <f>IF(U399="","",MAX(0,U399*VLOOKUP(U399,税率及规则!$A$2:$C$8,2,TRUE)-VLOOKUP(U399,税率及规则!$A$2:$C$8,3,TRUE)))</f>
        <v/>
      </c>
      <c r="AA399" s="15" t="str">
        <f t="shared" si="97"/>
        <v/>
      </c>
      <c r="AB399" s="17" t="str">
        <f t="shared" si="98"/>
        <v/>
      </c>
      <c r="AC399" s="17" t="str">
        <f t="shared" si="99"/>
        <v/>
      </c>
      <c r="AD399" s="4" t="str">
        <f>IF(A399="","",IF(COUNTIF($A$2:$A$501,A399)&gt;1,"异常：事件编号重复",IF(OR(C399="",D399="",E399="",F399="",G399=""),"异常：必填项缺失",IF(AND(F399="其他股权激励",O399=""),"异常：其他股权激励所得缺失",IF(AND(F399&lt;&gt;"其他股权激励",OR(I399="",J399="")),"异常：数量或市场价缺失",IF(AND(F399&lt;&gt;"其他股权激励",OR(I399&lt;=0,J399&lt;0)),"异常：数量或价格无效",IF(AND(F399="限制性股票",OR(M399&lt;=0,N399&lt;0,I399&gt;M399)),"异常：个人获授或出资数据无效",IF(AND(IFERROR(INDEX(计划参数!$J$2:$J$501,MATCH(C399,计划参数!$I$2:$I$501,0)),"")&lt;&gt;"",D399&lt;&gt;IFERROR(INDEX(计划参数!$J$2:$J$501,MATCH(C399,计划参数!$I$2:$I$501,0)),"")),"异常：姓名与员工主数据不一致",IF(S399&lt;0,"异常：原始所得为负，已按0计税",IF(OR(AND(F399="股票期权",K399=""),AND(F399="限制性股票",OR(K399="",L399=""))),"异常：计划参数缺失",IF(COUNTIF(计划参数!$I$2:$I$501,C399)=0,"提示：员工编号未在主数据",IF(Q399&lt;&gt;"已备案","提示：未确认备案","正常"))))))))))))</f>
        <v/>
      </c>
      <c r="AE399" s="9"/>
      <c r="AF399" s="4" t="str">
        <f>IF(C399="","",IF(COUNTIF($C$2:C399,C399)=1,MAX($AF$1:AF398)+1,""))</f>
        <v/>
      </c>
      <c r="AG399" s="4" t="str">
        <f>IF(C399="","",COUNTIF($C$2:C399,C399))</f>
        <v/>
      </c>
      <c r="AH399" s="4" t="str">
        <f t="shared" si="100"/>
        <v/>
      </c>
      <c r="AI399" s="4" t="str">
        <f t="shared" si="101"/>
        <v/>
      </c>
      <c r="AJ399" s="4" t="str">
        <f t="shared" si="102"/>
        <v/>
      </c>
      <c r="AK399" s="15" t="str">
        <f>IF(A399="","",SUMIFS(分期缴税台账!$K$2:$K$501,分期缴税台账!$T$2:$T$501,A399,分期缴税台账!$Q$2:$Q$501,"有效"))</f>
        <v/>
      </c>
      <c r="AL399" s="15" t="str">
        <f t="shared" si="103"/>
        <v/>
      </c>
      <c r="AM399" s="4" t="str">
        <f t="shared" si="104"/>
        <v/>
      </c>
    </row>
    <row r="400" spans="1:39" x14ac:dyDescent="0.3">
      <c r="A400" s="9"/>
      <c r="B400" s="4" t="str">
        <f t="shared" si="90"/>
        <v/>
      </c>
      <c r="C400" s="9"/>
      <c r="D400" s="9"/>
      <c r="E400" s="9"/>
      <c r="F400" s="9"/>
      <c r="G400" s="13"/>
      <c r="H400" s="4" t="str">
        <f t="shared" si="91"/>
        <v/>
      </c>
      <c r="I400" s="9"/>
      <c r="J400" s="14"/>
      <c r="K400" s="15" t="str">
        <f>IF(OR(E400="",F400="",G400=""),"",IF(E400&lt;&gt;计划参数!$C$2,"",IF(F400="股票期权",IFERROR(LOOKUP(G400,计划参数!$D$12:$D$15,计划参数!$C$12:$C$15),""),IF(F400="限制性股票",计划参数!$C$10,""))))</f>
        <v/>
      </c>
      <c r="L400" s="15" t="str">
        <f>IF(AND(E400=计划参数!$C$2,F400="限制性股票",G400&gt;=计划参数!$D$9),计划参数!$C$9,"")</f>
        <v/>
      </c>
      <c r="M400" s="9"/>
      <c r="N400" s="14"/>
      <c r="O400" s="14"/>
      <c r="P400" s="13"/>
      <c r="Q400" s="9"/>
      <c r="R400" s="13"/>
      <c r="S400" s="15" t="str">
        <f t="shared" si="92"/>
        <v/>
      </c>
      <c r="T400" s="15" t="str">
        <f t="shared" si="93"/>
        <v/>
      </c>
      <c r="U400" s="15" t="str">
        <f t="shared" si="94"/>
        <v/>
      </c>
      <c r="V400" s="15" t="str">
        <f t="shared" si="95"/>
        <v/>
      </c>
      <c r="W400" s="16" t="str">
        <f>IF(V400="","",VLOOKUP(V400,税率及规则!$A$2:$C$8,2,TRUE))</f>
        <v/>
      </c>
      <c r="X400" s="15" t="str">
        <f>IF(V400="","",VLOOKUP(V400,税率及规则!$A$2:$C$8,3,TRUE))</f>
        <v/>
      </c>
      <c r="Y400" s="15" t="str">
        <f t="shared" si="96"/>
        <v/>
      </c>
      <c r="Z400" s="15" t="str">
        <f>IF(U400="","",MAX(0,U400*VLOOKUP(U400,税率及规则!$A$2:$C$8,2,TRUE)-VLOOKUP(U400,税率及规则!$A$2:$C$8,3,TRUE)))</f>
        <v/>
      </c>
      <c r="AA400" s="15" t="str">
        <f t="shared" si="97"/>
        <v/>
      </c>
      <c r="AB400" s="17" t="str">
        <f t="shared" si="98"/>
        <v/>
      </c>
      <c r="AC400" s="17" t="str">
        <f t="shared" si="99"/>
        <v/>
      </c>
      <c r="AD400" s="4" t="str">
        <f>IF(A400="","",IF(COUNTIF($A$2:$A$501,A400)&gt;1,"异常：事件编号重复",IF(OR(C400="",D400="",E400="",F400="",G400=""),"异常：必填项缺失",IF(AND(F400="其他股权激励",O400=""),"异常：其他股权激励所得缺失",IF(AND(F400&lt;&gt;"其他股权激励",OR(I400="",J400="")),"异常：数量或市场价缺失",IF(AND(F400&lt;&gt;"其他股权激励",OR(I400&lt;=0,J400&lt;0)),"异常：数量或价格无效",IF(AND(F400="限制性股票",OR(M400&lt;=0,N400&lt;0,I400&gt;M400)),"异常：个人获授或出资数据无效",IF(AND(IFERROR(INDEX(计划参数!$J$2:$J$501,MATCH(C400,计划参数!$I$2:$I$501,0)),"")&lt;&gt;"",D400&lt;&gt;IFERROR(INDEX(计划参数!$J$2:$J$501,MATCH(C400,计划参数!$I$2:$I$501,0)),"")),"异常：姓名与员工主数据不一致",IF(S400&lt;0,"异常：原始所得为负，已按0计税",IF(OR(AND(F400="股票期权",K400=""),AND(F400="限制性股票",OR(K400="",L400=""))),"异常：计划参数缺失",IF(COUNTIF(计划参数!$I$2:$I$501,C400)=0,"提示：员工编号未在主数据",IF(Q400&lt;&gt;"已备案","提示：未确认备案","正常"))))))))))))</f>
        <v/>
      </c>
      <c r="AE400" s="9"/>
      <c r="AF400" s="4" t="str">
        <f>IF(C400="","",IF(COUNTIF($C$2:C400,C400)=1,MAX($AF$1:AF399)+1,""))</f>
        <v/>
      </c>
      <c r="AG400" s="4" t="str">
        <f>IF(C400="","",COUNTIF($C$2:C400,C400))</f>
        <v/>
      </c>
      <c r="AH400" s="4" t="str">
        <f t="shared" si="100"/>
        <v/>
      </c>
      <c r="AI400" s="4" t="str">
        <f t="shared" si="101"/>
        <v/>
      </c>
      <c r="AJ400" s="4" t="str">
        <f t="shared" si="102"/>
        <v/>
      </c>
      <c r="AK400" s="15" t="str">
        <f>IF(A400="","",SUMIFS(分期缴税台账!$K$2:$K$501,分期缴税台账!$T$2:$T$501,A400,分期缴税台账!$Q$2:$Q$501,"有效"))</f>
        <v/>
      </c>
      <c r="AL400" s="15" t="str">
        <f t="shared" si="103"/>
        <v/>
      </c>
      <c r="AM400" s="4" t="str">
        <f t="shared" si="104"/>
        <v/>
      </c>
    </row>
    <row r="401" spans="1:39" x14ac:dyDescent="0.3">
      <c r="A401" s="9"/>
      <c r="B401" s="4" t="str">
        <f t="shared" si="90"/>
        <v/>
      </c>
      <c r="C401" s="9"/>
      <c r="D401" s="9"/>
      <c r="E401" s="9"/>
      <c r="F401" s="9"/>
      <c r="G401" s="13"/>
      <c r="H401" s="4" t="str">
        <f t="shared" si="91"/>
        <v/>
      </c>
      <c r="I401" s="9"/>
      <c r="J401" s="14"/>
      <c r="K401" s="15" t="str">
        <f>IF(OR(E401="",F401="",G401=""),"",IF(E401&lt;&gt;计划参数!$C$2,"",IF(F401="股票期权",IFERROR(LOOKUP(G401,计划参数!$D$12:$D$15,计划参数!$C$12:$C$15),""),IF(F401="限制性股票",计划参数!$C$10,""))))</f>
        <v/>
      </c>
      <c r="L401" s="15" t="str">
        <f>IF(AND(E401=计划参数!$C$2,F401="限制性股票",G401&gt;=计划参数!$D$9),计划参数!$C$9,"")</f>
        <v/>
      </c>
      <c r="M401" s="9"/>
      <c r="N401" s="14"/>
      <c r="O401" s="14"/>
      <c r="P401" s="13"/>
      <c r="Q401" s="9"/>
      <c r="R401" s="13"/>
      <c r="S401" s="15" t="str">
        <f t="shared" si="92"/>
        <v/>
      </c>
      <c r="T401" s="15" t="str">
        <f t="shared" si="93"/>
        <v/>
      </c>
      <c r="U401" s="15" t="str">
        <f t="shared" si="94"/>
        <v/>
      </c>
      <c r="V401" s="15" t="str">
        <f t="shared" si="95"/>
        <v/>
      </c>
      <c r="W401" s="16" t="str">
        <f>IF(V401="","",VLOOKUP(V401,税率及规则!$A$2:$C$8,2,TRUE))</f>
        <v/>
      </c>
      <c r="X401" s="15" t="str">
        <f>IF(V401="","",VLOOKUP(V401,税率及规则!$A$2:$C$8,3,TRUE))</f>
        <v/>
      </c>
      <c r="Y401" s="15" t="str">
        <f t="shared" si="96"/>
        <v/>
      </c>
      <c r="Z401" s="15" t="str">
        <f>IF(U401="","",MAX(0,U401*VLOOKUP(U401,税率及规则!$A$2:$C$8,2,TRUE)-VLOOKUP(U401,税率及规则!$A$2:$C$8,3,TRUE)))</f>
        <v/>
      </c>
      <c r="AA401" s="15" t="str">
        <f t="shared" si="97"/>
        <v/>
      </c>
      <c r="AB401" s="17" t="str">
        <f t="shared" si="98"/>
        <v/>
      </c>
      <c r="AC401" s="17" t="str">
        <f t="shared" si="99"/>
        <v/>
      </c>
      <c r="AD401" s="4" t="str">
        <f>IF(A401="","",IF(COUNTIF($A$2:$A$501,A401)&gt;1,"异常：事件编号重复",IF(OR(C401="",D401="",E401="",F401="",G401=""),"异常：必填项缺失",IF(AND(F401="其他股权激励",O401=""),"异常：其他股权激励所得缺失",IF(AND(F401&lt;&gt;"其他股权激励",OR(I401="",J401="")),"异常：数量或市场价缺失",IF(AND(F401&lt;&gt;"其他股权激励",OR(I401&lt;=0,J401&lt;0)),"异常：数量或价格无效",IF(AND(F401="限制性股票",OR(M401&lt;=0,N401&lt;0,I401&gt;M401)),"异常：个人获授或出资数据无效",IF(AND(IFERROR(INDEX(计划参数!$J$2:$J$501,MATCH(C401,计划参数!$I$2:$I$501,0)),"")&lt;&gt;"",D401&lt;&gt;IFERROR(INDEX(计划参数!$J$2:$J$501,MATCH(C401,计划参数!$I$2:$I$501,0)),"")),"异常：姓名与员工主数据不一致",IF(S401&lt;0,"异常：原始所得为负，已按0计税",IF(OR(AND(F401="股票期权",K401=""),AND(F401="限制性股票",OR(K401="",L401=""))),"异常：计划参数缺失",IF(COUNTIF(计划参数!$I$2:$I$501,C401)=0,"提示：员工编号未在主数据",IF(Q401&lt;&gt;"已备案","提示：未确认备案","正常"))))))))))))</f>
        <v/>
      </c>
      <c r="AE401" s="9"/>
      <c r="AF401" s="4" t="str">
        <f>IF(C401="","",IF(COUNTIF($C$2:C401,C401)=1,MAX($AF$1:AF400)+1,""))</f>
        <v/>
      </c>
      <c r="AG401" s="4" t="str">
        <f>IF(C401="","",COUNTIF($C$2:C401,C401))</f>
        <v/>
      </c>
      <c r="AH401" s="4" t="str">
        <f t="shared" si="100"/>
        <v/>
      </c>
      <c r="AI401" s="4" t="str">
        <f t="shared" si="101"/>
        <v/>
      </c>
      <c r="AJ401" s="4" t="str">
        <f t="shared" si="102"/>
        <v/>
      </c>
      <c r="AK401" s="15" t="str">
        <f>IF(A401="","",SUMIFS(分期缴税台账!$K$2:$K$501,分期缴税台账!$T$2:$T$501,A401,分期缴税台账!$Q$2:$Q$501,"有效"))</f>
        <v/>
      </c>
      <c r="AL401" s="15" t="str">
        <f t="shared" si="103"/>
        <v/>
      </c>
      <c r="AM401" s="4" t="str">
        <f t="shared" si="104"/>
        <v/>
      </c>
    </row>
    <row r="402" spans="1:39" x14ac:dyDescent="0.3">
      <c r="A402" s="9"/>
      <c r="B402" s="4" t="str">
        <f t="shared" si="90"/>
        <v/>
      </c>
      <c r="C402" s="9"/>
      <c r="D402" s="9"/>
      <c r="E402" s="9"/>
      <c r="F402" s="9"/>
      <c r="G402" s="13"/>
      <c r="H402" s="4" t="str">
        <f t="shared" si="91"/>
        <v/>
      </c>
      <c r="I402" s="9"/>
      <c r="J402" s="14"/>
      <c r="K402" s="15" t="str">
        <f>IF(OR(E402="",F402="",G402=""),"",IF(E402&lt;&gt;计划参数!$C$2,"",IF(F402="股票期权",IFERROR(LOOKUP(G402,计划参数!$D$12:$D$15,计划参数!$C$12:$C$15),""),IF(F402="限制性股票",计划参数!$C$10,""))))</f>
        <v/>
      </c>
      <c r="L402" s="15" t="str">
        <f>IF(AND(E402=计划参数!$C$2,F402="限制性股票",G402&gt;=计划参数!$D$9),计划参数!$C$9,"")</f>
        <v/>
      </c>
      <c r="M402" s="9"/>
      <c r="N402" s="14"/>
      <c r="O402" s="14"/>
      <c r="P402" s="13"/>
      <c r="Q402" s="9"/>
      <c r="R402" s="13"/>
      <c r="S402" s="15" t="str">
        <f t="shared" si="92"/>
        <v/>
      </c>
      <c r="T402" s="15" t="str">
        <f t="shared" si="93"/>
        <v/>
      </c>
      <c r="U402" s="15" t="str">
        <f t="shared" si="94"/>
        <v/>
      </c>
      <c r="V402" s="15" t="str">
        <f t="shared" si="95"/>
        <v/>
      </c>
      <c r="W402" s="16" t="str">
        <f>IF(V402="","",VLOOKUP(V402,税率及规则!$A$2:$C$8,2,TRUE))</f>
        <v/>
      </c>
      <c r="X402" s="15" t="str">
        <f>IF(V402="","",VLOOKUP(V402,税率及规则!$A$2:$C$8,3,TRUE))</f>
        <v/>
      </c>
      <c r="Y402" s="15" t="str">
        <f t="shared" si="96"/>
        <v/>
      </c>
      <c r="Z402" s="15" t="str">
        <f>IF(U402="","",MAX(0,U402*VLOOKUP(U402,税率及规则!$A$2:$C$8,2,TRUE)-VLOOKUP(U402,税率及规则!$A$2:$C$8,3,TRUE)))</f>
        <v/>
      </c>
      <c r="AA402" s="15" t="str">
        <f t="shared" si="97"/>
        <v/>
      </c>
      <c r="AB402" s="17" t="str">
        <f t="shared" si="98"/>
        <v/>
      </c>
      <c r="AC402" s="17" t="str">
        <f t="shared" si="99"/>
        <v/>
      </c>
      <c r="AD402" s="4" t="str">
        <f>IF(A402="","",IF(COUNTIF($A$2:$A$501,A402)&gt;1,"异常：事件编号重复",IF(OR(C402="",D402="",E402="",F402="",G402=""),"异常：必填项缺失",IF(AND(F402="其他股权激励",O402=""),"异常：其他股权激励所得缺失",IF(AND(F402&lt;&gt;"其他股权激励",OR(I402="",J402="")),"异常：数量或市场价缺失",IF(AND(F402&lt;&gt;"其他股权激励",OR(I402&lt;=0,J402&lt;0)),"异常：数量或价格无效",IF(AND(F402="限制性股票",OR(M402&lt;=0,N402&lt;0,I402&gt;M402)),"异常：个人获授或出资数据无效",IF(AND(IFERROR(INDEX(计划参数!$J$2:$J$501,MATCH(C402,计划参数!$I$2:$I$501,0)),"")&lt;&gt;"",D402&lt;&gt;IFERROR(INDEX(计划参数!$J$2:$J$501,MATCH(C402,计划参数!$I$2:$I$501,0)),"")),"异常：姓名与员工主数据不一致",IF(S402&lt;0,"异常：原始所得为负，已按0计税",IF(OR(AND(F402="股票期权",K402=""),AND(F402="限制性股票",OR(K402="",L402=""))),"异常：计划参数缺失",IF(COUNTIF(计划参数!$I$2:$I$501,C402)=0,"提示：员工编号未在主数据",IF(Q402&lt;&gt;"已备案","提示：未确认备案","正常"))))))))))))</f>
        <v/>
      </c>
      <c r="AE402" s="9"/>
      <c r="AF402" s="4" t="str">
        <f>IF(C402="","",IF(COUNTIF($C$2:C402,C402)=1,MAX($AF$1:AF401)+1,""))</f>
        <v/>
      </c>
      <c r="AG402" s="4" t="str">
        <f>IF(C402="","",COUNTIF($C$2:C402,C402))</f>
        <v/>
      </c>
      <c r="AH402" s="4" t="str">
        <f t="shared" si="100"/>
        <v/>
      </c>
      <c r="AI402" s="4" t="str">
        <f t="shared" si="101"/>
        <v/>
      </c>
      <c r="AJ402" s="4" t="str">
        <f t="shared" si="102"/>
        <v/>
      </c>
      <c r="AK402" s="15" t="str">
        <f>IF(A402="","",SUMIFS(分期缴税台账!$K$2:$K$501,分期缴税台账!$T$2:$T$501,A402,分期缴税台账!$Q$2:$Q$501,"有效"))</f>
        <v/>
      </c>
      <c r="AL402" s="15" t="str">
        <f t="shared" si="103"/>
        <v/>
      </c>
      <c r="AM402" s="4" t="str">
        <f t="shared" si="104"/>
        <v/>
      </c>
    </row>
    <row r="403" spans="1:39" x14ac:dyDescent="0.3">
      <c r="A403" s="9"/>
      <c r="B403" s="4" t="str">
        <f t="shared" si="90"/>
        <v/>
      </c>
      <c r="C403" s="9"/>
      <c r="D403" s="9"/>
      <c r="E403" s="9"/>
      <c r="F403" s="9"/>
      <c r="G403" s="13"/>
      <c r="H403" s="4" t="str">
        <f t="shared" si="91"/>
        <v/>
      </c>
      <c r="I403" s="9"/>
      <c r="J403" s="14"/>
      <c r="K403" s="15" t="str">
        <f>IF(OR(E403="",F403="",G403=""),"",IF(E403&lt;&gt;计划参数!$C$2,"",IF(F403="股票期权",IFERROR(LOOKUP(G403,计划参数!$D$12:$D$15,计划参数!$C$12:$C$15),""),IF(F403="限制性股票",计划参数!$C$10,""))))</f>
        <v/>
      </c>
      <c r="L403" s="15" t="str">
        <f>IF(AND(E403=计划参数!$C$2,F403="限制性股票",G403&gt;=计划参数!$D$9),计划参数!$C$9,"")</f>
        <v/>
      </c>
      <c r="M403" s="9"/>
      <c r="N403" s="14"/>
      <c r="O403" s="14"/>
      <c r="P403" s="13"/>
      <c r="Q403" s="9"/>
      <c r="R403" s="13"/>
      <c r="S403" s="15" t="str">
        <f t="shared" si="92"/>
        <v/>
      </c>
      <c r="T403" s="15" t="str">
        <f t="shared" si="93"/>
        <v/>
      </c>
      <c r="U403" s="15" t="str">
        <f t="shared" si="94"/>
        <v/>
      </c>
      <c r="V403" s="15" t="str">
        <f t="shared" si="95"/>
        <v/>
      </c>
      <c r="W403" s="16" t="str">
        <f>IF(V403="","",VLOOKUP(V403,税率及规则!$A$2:$C$8,2,TRUE))</f>
        <v/>
      </c>
      <c r="X403" s="15" t="str">
        <f>IF(V403="","",VLOOKUP(V403,税率及规则!$A$2:$C$8,3,TRUE))</f>
        <v/>
      </c>
      <c r="Y403" s="15" t="str">
        <f t="shared" si="96"/>
        <v/>
      </c>
      <c r="Z403" s="15" t="str">
        <f>IF(U403="","",MAX(0,U403*VLOOKUP(U403,税率及规则!$A$2:$C$8,2,TRUE)-VLOOKUP(U403,税率及规则!$A$2:$C$8,3,TRUE)))</f>
        <v/>
      </c>
      <c r="AA403" s="15" t="str">
        <f t="shared" si="97"/>
        <v/>
      </c>
      <c r="AB403" s="17" t="str">
        <f t="shared" si="98"/>
        <v/>
      </c>
      <c r="AC403" s="17" t="str">
        <f t="shared" si="99"/>
        <v/>
      </c>
      <c r="AD403" s="4" t="str">
        <f>IF(A403="","",IF(COUNTIF($A$2:$A$501,A403)&gt;1,"异常：事件编号重复",IF(OR(C403="",D403="",E403="",F403="",G403=""),"异常：必填项缺失",IF(AND(F403="其他股权激励",O403=""),"异常：其他股权激励所得缺失",IF(AND(F403&lt;&gt;"其他股权激励",OR(I403="",J403="")),"异常：数量或市场价缺失",IF(AND(F403&lt;&gt;"其他股权激励",OR(I403&lt;=0,J403&lt;0)),"异常：数量或价格无效",IF(AND(F403="限制性股票",OR(M403&lt;=0,N403&lt;0,I403&gt;M403)),"异常：个人获授或出资数据无效",IF(AND(IFERROR(INDEX(计划参数!$J$2:$J$501,MATCH(C403,计划参数!$I$2:$I$501,0)),"")&lt;&gt;"",D403&lt;&gt;IFERROR(INDEX(计划参数!$J$2:$J$501,MATCH(C403,计划参数!$I$2:$I$501,0)),"")),"异常：姓名与员工主数据不一致",IF(S403&lt;0,"异常：原始所得为负，已按0计税",IF(OR(AND(F403="股票期权",K403=""),AND(F403="限制性股票",OR(K403="",L403=""))),"异常：计划参数缺失",IF(COUNTIF(计划参数!$I$2:$I$501,C403)=0,"提示：员工编号未在主数据",IF(Q403&lt;&gt;"已备案","提示：未确认备案","正常"))))))))))))</f>
        <v/>
      </c>
      <c r="AE403" s="9"/>
      <c r="AF403" s="4" t="str">
        <f>IF(C403="","",IF(COUNTIF($C$2:C403,C403)=1,MAX($AF$1:AF402)+1,""))</f>
        <v/>
      </c>
      <c r="AG403" s="4" t="str">
        <f>IF(C403="","",COUNTIF($C$2:C403,C403))</f>
        <v/>
      </c>
      <c r="AH403" s="4" t="str">
        <f t="shared" si="100"/>
        <v/>
      </c>
      <c r="AI403" s="4" t="str">
        <f t="shared" si="101"/>
        <v/>
      </c>
      <c r="AJ403" s="4" t="str">
        <f t="shared" si="102"/>
        <v/>
      </c>
      <c r="AK403" s="15" t="str">
        <f>IF(A403="","",SUMIFS(分期缴税台账!$K$2:$K$501,分期缴税台账!$T$2:$T$501,A403,分期缴税台账!$Q$2:$Q$501,"有效"))</f>
        <v/>
      </c>
      <c r="AL403" s="15" t="str">
        <f t="shared" si="103"/>
        <v/>
      </c>
      <c r="AM403" s="4" t="str">
        <f t="shared" si="104"/>
        <v/>
      </c>
    </row>
    <row r="404" spans="1:39" x14ac:dyDescent="0.3">
      <c r="A404" s="9"/>
      <c r="B404" s="4" t="str">
        <f t="shared" si="90"/>
        <v/>
      </c>
      <c r="C404" s="9"/>
      <c r="D404" s="9"/>
      <c r="E404" s="9"/>
      <c r="F404" s="9"/>
      <c r="G404" s="13"/>
      <c r="H404" s="4" t="str">
        <f t="shared" si="91"/>
        <v/>
      </c>
      <c r="I404" s="9"/>
      <c r="J404" s="14"/>
      <c r="K404" s="15" t="str">
        <f>IF(OR(E404="",F404="",G404=""),"",IF(E404&lt;&gt;计划参数!$C$2,"",IF(F404="股票期权",IFERROR(LOOKUP(G404,计划参数!$D$12:$D$15,计划参数!$C$12:$C$15),""),IF(F404="限制性股票",计划参数!$C$10,""))))</f>
        <v/>
      </c>
      <c r="L404" s="15" t="str">
        <f>IF(AND(E404=计划参数!$C$2,F404="限制性股票",G404&gt;=计划参数!$D$9),计划参数!$C$9,"")</f>
        <v/>
      </c>
      <c r="M404" s="9"/>
      <c r="N404" s="14"/>
      <c r="O404" s="14"/>
      <c r="P404" s="13"/>
      <c r="Q404" s="9"/>
      <c r="R404" s="13"/>
      <c r="S404" s="15" t="str">
        <f t="shared" si="92"/>
        <v/>
      </c>
      <c r="T404" s="15" t="str">
        <f t="shared" si="93"/>
        <v/>
      </c>
      <c r="U404" s="15" t="str">
        <f t="shared" si="94"/>
        <v/>
      </c>
      <c r="V404" s="15" t="str">
        <f t="shared" si="95"/>
        <v/>
      </c>
      <c r="W404" s="16" t="str">
        <f>IF(V404="","",VLOOKUP(V404,税率及规则!$A$2:$C$8,2,TRUE))</f>
        <v/>
      </c>
      <c r="X404" s="15" t="str">
        <f>IF(V404="","",VLOOKUP(V404,税率及规则!$A$2:$C$8,3,TRUE))</f>
        <v/>
      </c>
      <c r="Y404" s="15" t="str">
        <f t="shared" si="96"/>
        <v/>
      </c>
      <c r="Z404" s="15" t="str">
        <f>IF(U404="","",MAX(0,U404*VLOOKUP(U404,税率及规则!$A$2:$C$8,2,TRUE)-VLOOKUP(U404,税率及规则!$A$2:$C$8,3,TRUE)))</f>
        <v/>
      </c>
      <c r="AA404" s="15" t="str">
        <f t="shared" si="97"/>
        <v/>
      </c>
      <c r="AB404" s="17" t="str">
        <f t="shared" si="98"/>
        <v/>
      </c>
      <c r="AC404" s="17" t="str">
        <f t="shared" si="99"/>
        <v/>
      </c>
      <c r="AD404" s="4" t="str">
        <f>IF(A404="","",IF(COUNTIF($A$2:$A$501,A404)&gt;1,"异常：事件编号重复",IF(OR(C404="",D404="",E404="",F404="",G404=""),"异常：必填项缺失",IF(AND(F404="其他股权激励",O404=""),"异常：其他股权激励所得缺失",IF(AND(F404&lt;&gt;"其他股权激励",OR(I404="",J404="")),"异常：数量或市场价缺失",IF(AND(F404&lt;&gt;"其他股权激励",OR(I404&lt;=0,J404&lt;0)),"异常：数量或价格无效",IF(AND(F404="限制性股票",OR(M404&lt;=0,N404&lt;0,I404&gt;M404)),"异常：个人获授或出资数据无效",IF(AND(IFERROR(INDEX(计划参数!$J$2:$J$501,MATCH(C404,计划参数!$I$2:$I$501,0)),"")&lt;&gt;"",D404&lt;&gt;IFERROR(INDEX(计划参数!$J$2:$J$501,MATCH(C404,计划参数!$I$2:$I$501,0)),"")),"异常：姓名与员工主数据不一致",IF(S404&lt;0,"异常：原始所得为负，已按0计税",IF(OR(AND(F404="股票期权",K404=""),AND(F404="限制性股票",OR(K404="",L404=""))),"异常：计划参数缺失",IF(COUNTIF(计划参数!$I$2:$I$501,C404)=0,"提示：员工编号未在主数据",IF(Q404&lt;&gt;"已备案","提示：未确认备案","正常"))))))))))))</f>
        <v/>
      </c>
      <c r="AE404" s="9"/>
      <c r="AF404" s="4" t="str">
        <f>IF(C404="","",IF(COUNTIF($C$2:C404,C404)=1,MAX($AF$1:AF403)+1,""))</f>
        <v/>
      </c>
      <c r="AG404" s="4" t="str">
        <f>IF(C404="","",COUNTIF($C$2:C404,C404))</f>
        <v/>
      </c>
      <c r="AH404" s="4" t="str">
        <f t="shared" si="100"/>
        <v/>
      </c>
      <c r="AI404" s="4" t="str">
        <f t="shared" si="101"/>
        <v/>
      </c>
      <c r="AJ404" s="4" t="str">
        <f t="shared" si="102"/>
        <v/>
      </c>
      <c r="AK404" s="15" t="str">
        <f>IF(A404="","",SUMIFS(分期缴税台账!$K$2:$K$501,分期缴税台账!$T$2:$T$501,A404,分期缴税台账!$Q$2:$Q$501,"有效"))</f>
        <v/>
      </c>
      <c r="AL404" s="15" t="str">
        <f t="shared" si="103"/>
        <v/>
      </c>
      <c r="AM404" s="4" t="str">
        <f t="shared" si="104"/>
        <v/>
      </c>
    </row>
    <row r="405" spans="1:39" x14ac:dyDescent="0.3">
      <c r="A405" s="9"/>
      <c r="B405" s="4" t="str">
        <f t="shared" si="90"/>
        <v/>
      </c>
      <c r="C405" s="9"/>
      <c r="D405" s="9"/>
      <c r="E405" s="9"/>
      <c r="F405" s="9"/>
      <c r="G405" s="13"/>
      <c r="H405" s="4" t="str">
        <f t="shared" si="91"/>
        <v/>
      </c>
      <c r="I405" s="9"/>
      <c r="J405" s="14"/>
      <c r="K405" s="15" t="str">
        <f>IF(OR(E405="",F405="",G405=""),"",IF(E405&lt;&gt;计划参数!$C$2,"",IF(F405="股票期权",IFERROR(LOOKUP(G405,计划参数!$D$12:$D$15,计划参数!$C$12:$C$15),""),IF(F405="限制性股票",计划参数!$C$10,""))))</f>
        <v/>
      </c>
      <c r="L405" s="15" t="str">
        <f>IF(AND(E405=计划参数!$C$2,F405="限制性股票",G405&gt;=计划参数!$D$9),计划参数!$C$9,"")</f>
        <v/>
      </c>
      <c r="M405" s="9"/>
      <c r="N405" s="14"/>
      <c r="O405" s="14"/>
      <c r="P405" s="13"/>
      <c r="Q405" s="9"/>
      <c r="R405" s="13"/>
      <c r="S405" s="15" t="str">
        <f t="shared" si="92"/>
        <v/>
      </c>
      <c r="T405" s="15" t="str">
        <f t="shared" si="93"/>
        <v/>
      </c>
      <c r="U405" s="15" t="str">
        <f t="shared" si="94"/>
        <v/>
      </c>
      <c r="V405" s="15" t="str">
        <f t="shared" si="95"/>
        <v/>
      </c>
      <c r="W405" s="16" t="str">
        <f>IF(V405="","",VLOOKUP(V405,税率及规则!$A$2:$C$8,2,TRUE))</f>
        <v/>
      </c>
      <c r="X405" s="15" t="str">
        <f>IF(V405="","",VLOOKUP(V405,税率及规则!$A$2:$C$8,3,TRUE))</f>
        <v/>
      </c>
      <c r="Y405" s="15" t="str">
        <f t="shared" si="96"/>
        <v/>
      </c>
      <c r="Z405" s="15" t="str">
        <f>IF(U405="","",MAX(0,U405*VLOOKUP(U405,税率及规则!$A$2:$C$8,2,TRUE)-VLOOKUP(U405,税率及规则!$A$2:$C$8,3,TRUE)))</f>
        <v/>
      </c>
      <c r="AA405" s="15" t="str">
        <f t="shared" si="97"/>
        <v/>
      </c>
      <c r="AB405" s="17" t="str">
        <f t="shared" si="98"/>
        <v/>
      </c>
      <c r="AC405" s="17" t="str">
        <f t="shared" si="99"/>
        <v/>
      </c>
      <c r="AD405" s="4" t="str">
        <f>IF(A405="","",IF(COUNTIF($A$2:$A$501,A405)&gt;1,"异常：事件编号重复",IF(OR(C405="",D405="",E405="",F405="",G405=""),"异常：必填项缺失",IF(AND(F405="其他股权激励",O405=""),"异常：其他股权激励所得缺失",IF(AND(F405&lt;&gt;"其他股权激励",OR(I405="",J405="")),"异常：数量或市场价缺失",IF(AND(F405&lt;&gt;"其他股权激励",OR(I405&lt;=0,J405&lt;0)),"异常：数量或价格无效",IF(AND(F405="限制性股票",OR(M405&lt;=0,N405&lt;0,I405&gt;M405)),"异常：个人获授或出资数据无效",IF(AND(IFERROR(INDEX(计划参数!$J$2:$J$501,MATCH(C405,计划参数!$I$2:$I$501,0)),"")&lt;&gt;"",D405&lt;&gt;IFERROR(INDEX(计划参数!$J$2:$J$501,MATCH(C405,计划参数!$I$2:$I$501,0)),"")),"异常：姓名与员工主数据不一致",IF(S405&lt;0,"异常：原始所得为负，已按0计税",IF(OR(AND(F405="股票期权",K405=""),AND(F405="限制性股票",OR(K405="",L405=""))),"异常：计划参数缺失",IF(COUNTIF(计划参数!$I$2:$I$501,C405)=0,"提示：员工编号未在主数据",IF(Q405&lt;&gt;"已备案","提示：未确认备案","正常"))))))))))))</f>
        <v/>
      </c>
      <c r="AE405" s="9"/>
      <c r="AF405" s="4" t="str">
        <f>IF(C405="","",IF(COUNTIF($C$2:C405,C405)=1,MAX($AF$1:AF404)+1,""))</f>
        <v/>
      </c>
      <c r="AG405" s="4" t="str">
        <f>IF(C405="","",COUNTIF($C$2:C405,C405))</f>
        <v/>
      </c>
      <c r="AH405" s="4" t="str">
        <f t="shared" si="100"/>
        <v/>
      </c>
      <c r="AI405" s="4" t="str">
        <f t="shared" si="101"/>
        <v/>
      </c>
      <c r="AJ405" s="4" t="str">
        <f t="shared" si="102"/>
        <v/>
      </c>
      <c r="AK405" s="15" t="str">
        <f>IF(A405="","",SUMIFS(分期缴税台账!$K$2:$K$501,分期缴税台账!$T$2:$T$501,A405,分期缴税台账!$Q$2:$Q$501,"有效"))</f>
        <v/>
      </c>
      <c r="AL405" s="15" t="str">
        <f t="shared" si="103"/>
        <v/>
      </c>
      <c r="AM405" s="4" t="str">
        <f t="shared" si="104"/>
        <v/>
      </c>
    </row>
    <row r="406" spans="1:39" x14ac:dyDescent="0.3">
      <c r="A406" s="9"/>
      <c r="B406" s="4" t="str">
        <f t="shared" si="90"/>
        <v/>
      </c>
      <c r="C406" s="9"/>
      <c r="D406" s="9"/>
      <c r="E406" s="9"/>
      <c r="F406" s="9"/>
      <c r="G406" s="13"/>
      <c r="H406" s="4" t="str">
        <f t="shared" si="91"/>
        <v/>
      </c>
      <c r="I406" s="9"/>
      <c r="J406" s="14"/>
      <c r="K406" s="15" t="str">
        <f>IF(OR(E406="",F406="",G406=""),"",IF(E406&lt;&gt;计划参数!$C$2,"",IF(F406="股票期权",IFERROR(LOOKUP(G406,计划参数!$D$12:$D$15,计划参数!$C$12:$C$15),""),IF(F406="限制性股票",计划参数!$C$10,""))))</f>
        <v/>
      </c>
      <c r="L406" s="15" t="str">
        <f>IF(AND(E406=计划参数!$C$2,F406="限制性股票",G406&gt;=计划参数!$D$9),计划参数!$C$9,"")</f>
        <v/>
      </c>
      <c r="M406" s="9"/>
      <c r="N406" s="14"/>
      <c r="O406" s="14"/>
      <c r="P406" s="13"/>
      <c r="Q406" s="9"/>
      <c r="R406" s="13"/>
      <c r="S406" s="15" t="str">
        <f t="shared" si="92"/>
        <v/>
      </c>
      <c r="T406" s="15" t="str">
        <f t="shared" si="93"/>
        <v/>
      </c>
      <c r="U406" s="15" t="str">
        <f t="shared" si="94"/>
        <v/>
      </c>
      <c r="V406" s="15" t="str">
        <f t="shared" si="95"/>
        <v/>
      </c>
      <c r="W406" s="16" t="str">
        <f>IF(V406="","",VLOOKUP(V406,税率及规则!$A$2:$C$8,2,TRUE))</f>
        <v/>
      </c>
      <c r="X406" s="15" t="str">
        <f>IF(V406="","",VLOOKUP(V406,税率及规则!$A$2:$C$8,3,TRUE))</f>
        <v/>
      </c>
      <c r="Y406" s="15" t="str">
        <f t="shared" si="96"/>
        <v/>
      </c>
      <c r="Z406" s="15" t="str">
        <f>IF(U406="","",MAX(0,U406*VLOOKUP(U406,税率及规则!$A$2:$C$8,2,TRUE)-VLOOKUP(U406,税率及规则!$A$2:$C$8,3,TRUE)))</f>
        <v/>
      </c>
      <c r="AA406" s="15" t="str">
        <f t="shared" si="97"/>
        <v/>
      </c>
      <c r="AB406" s="17" t="str">
        <f t="shared" si="98"/>
        <v/>
      </c>
      <c r="AC406" s="17" t="str">
        <f t="shared" si="99"/>
        <v/>
      </c>
      <c r="AD406" s="4" t="str">
        <f>IF(A406="","",IF(COUNTIF($A$2:$A$501,A406)&gt;1,"异常：事件编号重复",IF(OR(C406="",D406="",E406="",F406="",G406=""),"异常：必填项缺失",IF(AND(F406="其他股权激励",O406=""),"异常：其他股权激励所得缺失",IF(AND(F406&lt;&gt;"其他股权激励",OR(I406="",J406="")),"异常：数量或市场价缺失",IF(AND(F406&lt;&gt;"其他股权激励",OR(I406&lt;=0,J406&lt;0)),"异常：数量或价格无效",IF(AND(F406="限制性股票",OR(M406&lt;=0,N406&lt;0,I406&gt;M406)),"异常：个人获授或出资数据无效",IF(AND(IFERROR(INDEX(计划参数!$J$2:$J$501,MATCH(C406,计划参数!$I$2:$I$501,0)),"")&lt;&gt;"",D406&lt;&gt;IFERROR(INDEX(计划参数!$J$2:$J$501,MATCH(C406,计划参数!$I$2:$I$501,0)),"")),"异常：姓名与员工主数据不一致",IF(S406&lt;0,"异常：原始所得为负，已按0计税",IF(OR(AND(F406="股票期权",K406=""),AND(F406="限制性股票",OR(K406="",L406=""))),"异常：计划参数缺失",IF(COUNTIF(计划参数!$I$2:$I$501,C406)=0,"提示：员工编号未在主数据",IF(Q406&lt;&gt;"已备案","提示：未确认备案","正常"))))))))))))</f>
        <v/>
      </c>
      <c r="AE406" s="9"/>
      <c r="AF406" s="4" t="str">
        <f>IF(C406="","",IF(COUNTIF($C$2:C406,C406)=1,MAX($AF$1:AF405)+1,""))</f>
        <v/>
      </c>
      <c r="AG406" s="4" t="str">
        <f>IF(C406="","",COUNTIF($C$2:C406,C406))</f>
        <v/>
      </c>
      <c r="AH406" s="4" t="str">
        <f t="shared" si="100"/>
        <v/>
      </c>
      <c r="AI406" s="4" t="str">
        <f t="shared" si="101"/>
        <v/>
      </c>
      <c r="AJ406" s="4" t="str">
        <f t="shared" si="102"/>
        <v/>
      </c>
      <c r="AK406" s="15" t="str">
        <f>IF(A406="","",SUMIFS(分期缴税台账!$K$2:$K$501,分期缴税台账!$T$2:$T$501,A406,分期缴税台账!$Q$2:$Q$501,"有效"))</f>
        <v/>
      </c>
      <c r="AL406" s="15" t="str">
        <f t="shared" si="103"/>
        <v/>
      </c>
      <c r="AM406" s="4" t="str">
        <f t="shared" si="104"/>
        <v/>
      </c>
    </row>
    <row r="407" spans="1:39" x14ac:dyDescent="0.3">
      <c r="A407" s="9"/>
      <c r="B407" s="4" t="str">
        <f t="shared" si="90"/>
        <v/>
      </c>
      <c r="C407" s="9"/>
      <c r="D407" s="9"/>
      <c r="E407" s="9"/>
      <c r="F407" s="9"/>
      <c r="G407" s="13"/>
      <c r="H407" s="4" t="str">
        <f t="shared" si="91"/>
        <v/>
      </c>
      <c r="I407" s="9"/>
      <c r="J407" s="14"/>
      <c r="K407" s="15" t="str">
        <f>IF(OR(E407="",F407="",G407=""),"",IF(E407&lt;&gt;计划参数!$C$2,"",IF(F407="股票期权",IFERROR(LOOKUP(G407,计划参数!$D$12:$D$15,计划参数!$C$12:$C$15),""),IF(F407="限制性股票",计划参数!$C$10,""))))</f>
        <v/>
      </c>
      <c r="L407" s="15" t="str">
        <f>IF(AND(E407=计划参数!$C$2,F407="限制性股票",G407&gt;=计划参数!$D$9),计划参数!$C$9,"")</f>
        <v/>
      </c>
      <c r="M407" s="9"/>
      <c r="N407" s="14"/>
      <c r="O407" s="14"/>
      <c r="P407" s="13"/>
      <c r="Q407" s="9"/>
      <c r="R407" s="13"/>
      <c r="S407" s="15" t="str">
        <f t="shared" si="92"/>
        <v/>
      </c>
      <c r="T407" s="15" t="str">
        <f t="shared" si="93"/>
        <v/>
      </c>
      <c r="U407" s="15" t="str">
        <f t="shared" si="94"/>
        <v/>
      </c>
      <c r="V407" s="15" t="str">
        <f t="shared" si="95"/>
        <v/>
      </c>
      <c r="W407" s="16" t="str">
        <f>IF(V407="","",VLOOKUP(V407,税率及规则!$A$2:$C$8,2,TRUE))</f>
        <v/>
      </c>
      <c r="X407" s="15" t="str">
        <f>IF(V407="","",VLOOKUP(V407,税率及规则!$A$2:$C$8,3,TRUE))</f>
        <v/>
      </c>
      <c r="Y407" s="15" t="str">
        <f t="shared" si="96"/>
        <v/>
      </c>
      <c r="Z407" s="15" t="str">
        <f>IF(U407="","",MAX(0,U407*VLOOKUP(U407,税率及规则!$A$2:$C$8,2,TRUE)-VLOOKUP(U407,税率及规则!$A$2:$C$8,3,TRUE)))</f>
        <v/>
      </c>
      <c r="AA407" s="15" t="str">
        <f t="shared" si="97"/>
        <v/>
      </c>
      <c r="AB407" s="17" t="str">
        <f t="shared" si="98"/>
        <v/>
      </c>
      <c r="AC407" s="17" t="str">
        <f t="shared" si="99"/>
        <v/>
      </c>
      <c r="AD407" s="4" t="str">
        <f>IF(A407="","",IF(COUNTIF($A$2:$A$501,A407)&gt;1,"异常：事件编号重复",IF(OR(C407="",D407="",E407="",F407="",G407=""),"异常：必填项缺失",IF(AND(F407="其他股权激励",O407=""),"异常：其他股权激励所得缺失",IF(AND(F407&lt;&gt;"其他股权激励",OR(I407="",J407="")),"异常：数量或市场价缺失",IF(AND(F407&lt;&gt;"其他股权激励",OR(I407&lt;=0,J407&lt;0)),"异常：数量或价格无效",IF(AND(F407="限制性股票",OR(M407&lt;=0,N407&lt;0,I407&gt;M407)),"异常：个人获授或出资数据无效",IF(AND(IFERROR(INDEX(计划参数!$J$2:$J$501,MATCH(C407,计划参数!$I$2:$I$501,0)),"")&lt;&gt;"",D407&lt;&gt;IFERROR(INDEX(计划参数!$J$2:$J$501,MATCH(C407,计划参数!$I$2:$I$501,0)),"")),"异常：姓名与员工主数据不一致",IF(S407&lt;0,"异常：原始所得为负，已按0计税",IF(OR(AND(F407="股票期权",K407=""),AND(F407="限制性股票",OR(K407="",L407=""))),"异常：计划参数缺失",IF(COUNTIF(计划参数!$I$2:$I$501,C407)=0,"提示：员工编号未在主数据",IF(Q407&lt;&gt;"已备案","提示：未确认备案","正常"))))))))))))</f>
        <v/>
      </c>
      <c r="AE407" s="9"/>
      <c r="AF407" s="4" t="str">
        <f>IF(C407="","",IF(COUNTIF($C$2:C407,C407)=1,MAX($AF$1:AF406)+1,""))</f>
        <v/>
      </c>
      <c r="AG407" s="4" t="str">
        <f>IF(C407="","",COUNTIF($C$2:C407,C407))</f>
        <v/>
      </c>
      <c r="AH407" s="4" t="str">
        <f t="shared" si="100"/>
        <v/>
      </c>
      <c r="AI407" s="4" t="str">
        <f t="shared" si="101"/>
        <v/>
      </c>
      <c r="AJ407" s="4" t="str">
        <f t="shared" si="102"/>
        <v/>
      </c>
      <c r="AK407" s="15" t="str">
        <f>IF(A407="","",SUMIFS(分期缴税台账!$K$2:$K$501,分期缴税台账!$T$2:$T$501,A407,分期缴税台账!$Q$2:$Q$501,"有效"))</f>
        <v/>
      </c>
      <c r="AL407" s="15" t="str">
        <f t="shared" si="103"/>
        <v/>
      </c>
      <c r="AM407" s="4" t="str">
        <f t="shared" si="104"/>
        <v/>
      </c>
    </row>
    <row r="408" spans="1:39" x14ac:dyDescent="0.3">
      <c r="A408" s="9"/>
      <c r="B408" s="4" t="str">
        <f t="shared" si="90"/>
        <v/>
      </c>
      <c r="C408" s="9"/>
      <c r="D408" s="9"/>
      <c r="E408" s="9"/>
      <c r="F408" s="9"/>
      <c r="G408" s="13"/>
      <c r="H408" s="4" t="str">
        <f t="shared" si="91"/>
        <v/>
      </c>
      <c r="I408" s="9"/>
      <c r="J408" s="14"/>
      <c r="K408" s="15" t="str">
        <f>IF(OR(E408="",F408="",G408=""),"",IF(E408&lt;&gt;计划参数!$C$2,"",IF(F408="股票期权",IFERROR(LOOKUP(G408,计划参数!$D$12:$D$15,计划参数!$C$12:$C$15),""),IF(F408="限制性股票",计划参数!$C$10,""))))</f>
        <v/>
      </c>
      <c r="L408" s="15" t="str">
        <f>IF(AND(E408=计划参数!$C$2,F408="限制性股票",G408&gt;=计划参数!$D$9),计划参数!$C$9,"")</f>
        <v/>
      </c>
      <c r="M408" s="9"/>
      <c r="N408" s="14"/>
      <c r="O408" s="14"/>
      <c r="P408" s="13"/>
      <c r="Q408" s="9"/>
      <c r="R408" s="13"/>
      <c r="S408" s="15" t="str">
        <f t="shared" si="92"/>
        <v/>
      </c>
      <c r="T408" s="15" t="str">
        <f t="shared" si="93"/>
        <v/>
      </c>
      <c r="U408" s="15" t="str">
        <f t="shared" si="94"/>
        <v/>
      </c>
      <c r="V408" s="15" t="str">
        <f t="shared" si="95"/>
        <v/>
      </c>
      <c r="W408" s="16" t="str">
        <f>IF(V408="","",VLOOKUP(V408,税率及规则!$A$2:$C$8,2,TRUE))</f>
        <v/>
      </c>
      <c r="X408" s="15" t="str">
        <f>IF(V408="","",VLOOKUP(V408,税率及规则!$A$2:$C$8,3,TRUE))</f>
        <v/>
      </c>
      <c r="Y408" s="15" t="str">
        <f t="shared" si="96"/>
        <v/>
      </c>
      <c r="Z408" s="15" t="str">
        <f>IF(U408="","",MAX(0,U408*VLOOKUP(U408,税率及规则!$A$2:$C$8,2,TRUE)-VLOOKUP(U408,税率及规则!$A$2:$C$8,3,TRUE)))</f>
        <v/>
      </c>
      <c r="AA408" s="15" t="str">
        <f t="shared" si="97"/>
        <v/>
      </c>
      <c r="AB408" s="17" t="str">
        <f t="shared" si="98"/>
        <v/>
      </c>
      <c r="AC408" s="17" t="str">
        <f t="shared" si="99"/>
        <v/>
      </c>
      <c r="AD408" s="4" t="str">
        <f>IF(A408="","",IF(COUNTIF($A$2:$A$501,A408)&gt;1,"异常：事件编号重复",IF(OR(C408="",D408="",E408="",F408="",G408=""),"异常：必填项缺失",IF(AND(F408="其他股权激励",O408=""),"异常：其他股权激励所得缺失",IF(AND(F408&lt;&gt;"其他股权激励",OR(I408="",J408="")),"异常：数量或市场价缺失",IF(AND(F408&lt;&gt;"其他股权激励",OR(I408&lt;=0,J408&lt;0)),"异常：数量或价格无效",IF(AND(F408="限制性股票",OR(M408&lt;=0,N408&lt;0,I408&gt;M408)),"异常：个人获授或出资数据无效",IF(AND(IFERROR(INDEX(计划参数!$J$2:$J$501,MATCH(C408,计划参数!$I$2:$I$501,0)),"")&lt;&gt;"",D408&lt;&gt;IFERROR(INDEX(计划参数!$J$2:$J$501,MATCH(C408,计划参数!$I$2:$I$501,0)),"")),"异常：姓名与员工主数据不一致",IF(S408&lt;0,"异常：原始所得为负，已按0计税",IF(OR(AND(F408="股票期权",K408=""),AND(F408="限制性股票",OR(K408="",L408=""))),"异常：计划参数缺失",IF(COUNTIF(计划参数!$I$2:$I$501,C408)=0,"提示：员工编号未在主数据",IF(Q408&lt;&gt;"已备案","提示：未确认备案","正常"))))))))))))</f>
        <v/>
      </c>
      <c r="AE408" s="9"/>
      <c r="AF408" s="4" t="str">
        <f>IF(C408="","",IF(COUNTIF($C$2:C408,C408)=1,MAX($AF$1:AF407)+1,""))</f>
        <v/>
      </c>
      <c r="AG408" s="4" t="str">
        <f>IF(C408="","",COUNTIF($C$2:C408,C408))</f>
        <v/>
      </c>
      <c r="AH408" s="4" t="str">
        <f t="shared" si="100"/>
        <v/>
      </c>
      <c r="AI408" s="4" t="str">
        <f t="shared" si="101"/>
        <v/>
      </c>
      <c r="AJ408" s="4" t="str">
        <f t="shared" si="102"/>
        <v/>
      </c>
      <c r="AK408" s="15" t="str">
        <f>IF(A408="","",SUMIFS(分期缴税台账!$K$2:$K$501,分期缴税台账!$T$2:$T$501,A408,分期缴税台账!$Q$2:$Q$501,"有效"))</f>
        <v/>
      </c>
      <c r="AL408" s="15" t="str">
        <f t="shared" si="103"/>
        <v/>
      </c>
      <c r="AM408" s="4" t="str">
        <f t="shared" si="104"/>
        <v/>
      </c>
    </row>
    <row r="409" spans="1:39" x14ac:dyDescent="0.3">
      <c r="A409" s="9"/>
      <c r="B409" s="4" t="str">
        <f t="shared" si="90"/>
        <v/>
      </c>
      <c r="C409" s="9"/>
      <c r="D409" s="9"/>
      <c r="E409" s="9"/>
      <c r="F409" s="9"/>
      <c r="G409" s="13"/>
      <c r="H409" s="4" t="str">
        <f t="shared" si="91"/>
        <v/>
      </c>
      <c r="I409" s="9"/>
      <c r="J409" s="14"/>
      <c r="K409" s="15" t="str">
        <f>IF(OR(E409="",F409="",G409=""),"",IF(E409&lt;&gt;计划参数!$C$2,"",IF(F409="股票期权",IFERROR(LOOKUP(G409,计划参数!$D$12:$D$15,计划参数!$C$12:$C$15),""),IF(F409="限制性股票",计划参数!$C$10,""))))</f>
        <v/>
      </c>
      <c r="L409" s="15" t="str">
        <f>IF(AND(E409=计划参数!$C$2,F409="限制性股票",G409&gt;=计划参数!$D$9),计划参数!$C$9,"")</f>
        <v/>
      </c>
      <c r="M409" s="9"/>
      <c r="N409" s="14"/>
      <c r="O409" s="14"/>
      <c r="P409" s="13"/>
      <c r="Q409" s="9"/>
      <c r="R409" s="13"/>
      <c r="S409" s="15" t="str">
        <f t="shared" si="92"/>
        <v/>
      </c>
      <c r="T409" s="15" t="str">
        <f t="shared" si="93"/>
        <v/>
      </c>
      <c r="U409" s="15" t="str">
        <f t="shared" si="94"/>
        <v/>
      </c>
      <c r="V409" s="15" t="str">
        <f t="shared" si="95"/>
        <v/>
      </c>
      <c r="W409" s="16" t="str">
        <f>IF(V409="","",VLOOKUP(V409,税率及规则!$A$2:$C$8,2,TRUE))</f>
        <v/>
      </c>
      <c r="X409" s="15" t="str">
        <f>IF(V409="","",VLOOKUP(V409,税率及规则!$A$2:$C$8,3,TRUE))</f>
        <v/>
      </c>
      <c r="Y409" s="15" t="str">
        <f t="shared" si="96"/>
        <v/>
      </c>
      <c r="Z409" s="15" t="str">
        <f>IF(U409="","",MAX(0,U409*VLOOKUP(U409,税率及规则!$A$2:$C$8,2,TRUE)-VLOOKUP(U409,税率及规则!$A$2:$C$8,3,TRUE)))</f>
        <v/>
      </c>
      <c r="AA409" s="15" t="str">
        <f t="shared" si="97"/>
        <v/>
      </c>
      <c r="AB409" s="17" t="str">
        <f t="shared" si="98"/>
        <v/>
      </c>
      <c r="AC409" s="17" t="str">
        <f t="shared" si="99"/>
        <v/>
      </c>
      <c r="AD409" s="4" t="str">
        <f>IF(A409="","",IF(COUNTIF($A$2:$A$501,A409)&gt;1,"异常：事件编号重复",IF(OR(C409="",D409="",E409="",F409="",G409=""),"异常：必填项缺失",IF(AND(F409="其他股权激励",O409=""),"异常：其他股权激励所得缺失",IF(AND(F409&lt;&gt;"其他股权激励",OR(I409="",J409="")),"异常：数量或市场价缺失",IF(AND(F409&lt;&gt;"其他股权激励",OR(I409&lt;=0,J409&lt;0)),"异常：数量或价格无效",IF(AND(F409="限制性股票",OR(M409&lt;=0,N409&lt;0,I409&gt;M409)),"异常：个人获授或出资数据无效",IF(AND(IFERROR(INDEX(计划参数!$J$2:$J$501,MATCH(C409,计划参数!$I$2:$I$501,0)),"")&lt;&gt;"",D409&lt;&gt;IFERROR(INDEX(计划参数!$J$2:$J$501,MATCH(C409,计划参数!$I$2:$I$501,0)),"")),"异常：姓名与员工主数据不一致",IF(S409&lt;0,"异常：原始所得为负，已按0计税",IF(OR(AND(F409="股票期权",K409=""),AND(F409="限制性股票",OR(K409="",L409=""))),"异常：计划参数缺失",IF(COUNTIF(计划参数!$I$2:$I$501,C409)=0,"提示：员工编号未在主数据",IF(Q409&lt;&gt;"已备案","提示：未确认备案","正常"))))))))))))</f>
        <v/>
      </c>
      <c r="AE409" s="9"/>
      <c r="AF409" s="4" t="str">
        <f>IF(C409="","",IF(COUNTIF($C$2:C409,C409)=1,MAX($AF$1:AF408)+1,""))</f>
        <v/>
      </c>
      <c r="AG409" s="4" t="str">
        <f>IF(C409="","",COUNTIF($C$2:C409,C409))</f>
        <v/>
      </c>
      <c r="AH409" s="4" t="str">
        <f t="shared" si="100"/>
        <v/>
      </c>
      <c r="AI409" s="4" t="str">
        <f t="shared" si="101"/>
        <v/>
      </c>
      <c r="AJ409" s="4" t="str">
        <f t="shared" si="102"/>
        <v/>
      </c>
      <c r="AK409" s="15" t="str">
        <f>IF(A409="","",SUMIFS(分期缴税台账!$K$2:$K$501,分期缴税台账!$T$2:$T$501,A409,分期缴税台账!$Q$2:$Q$501,"有效"))</f>
        <v/>
      </c>
      <c r="AL409" s="15" t="str">
        <f t="shared" si="103"/>
        <v/>
      </c>
      <c r="AM409" s="4" t="str">
        <f t="shared" si="104"/>
        <v/>
      </c>
    </row>
    <row r="410" spans="1:39" x14ac:dyDescent="0.3">
      <c r="A410" s="9"/>
      <c r="B410" s="4" t="str">
        <f t="shared" si="90"/>
        <v/>
      </c>
      <c r="C410" s="9"/>
      <c r="D410" s="9"/>
      <c r="E410" s="9"/>
      <c r="F410" s="9"/>
      <c r="G410" s="13"/>
      <c r="H410" s="4" t="str">
        <f t="shared" si="91"/>
        <v/>
      </c>
      <c r="I410" s="9"/>
      <c r="J410" s="14"/>
      <c r="K410" s="15" t="str">
        <f>IF(OR(E410="",F410="",G410=""),"",IF(E410&lt;&gt;计划参数!$C$2,"",IF(F410="股票期权",IFERROR(LOOKUP(G410,计划参数!$D$12:$D$15,计划参数!$C$12:$C$15),""),IF(F410="限制性股票",计划参数!$C$10,""))))</f>
        <v/>
      </c>
      <c r="L410" s="15" t="str">
        <f>IF(AND(E410=计划参数!$C$2,F410="限制性股票",G410&gt;=计划参数!$D$9),计划参数!$C$9,"")</f>
        <v/>
      </c>
      <c r="M410" s="9"/>
      <c r="N410" s="14"/>
      <c r="O410" s="14"/>
      <c r="P410" s="13"/>
      <c r="Q410" s="9"/>
      <c r="R410" s="13"/>
      <c r="S410" s="15" t="str">
        <f t="shared" si="92"/>
        <v/>
      </c>
      <c r="T410" s="15" t="str">
        <f t="shared" si="93"/>
        <v/>
      </c>
      <c r="U410" s="15" t="str">
        <f t="shared" si="94"/>
        <v/>
      </c>
      <c r="V410" s="15" t="str">
        <f t="shared" si="95"/>
        <v/>
      </c>
      <c r="W410" s="16" t="str">
        <f>IF(V410="","",VLOOKUP(V410,税率及规则!$A$2:$C$8,2,TRUE))</f>
        <v/>
      </c>
      <c r="X410" s="15" t="str">
        <f>IF(V410="","",VLOOKUP(V410,税率及规则!$A$2:$C$8,3,TRUE))</f>
        <v/>
      </c>
      <c r="Y410" s="15" t="str">
        <f t="shared" si="96"/>
        <v/>
      </c>
      <c r="Z410" s="15" t="str">
        <f>IF(U410="","",MAX(0,U410*VLOOKUP(U410,税率及规则!$A$2:$C$8,2,TRUE)-VLOOKUP(U410,税率及规则!$A$2:$C$8,3,TRUE)))</f>
        <v/>
      </c>
      <c r="AA410" s="15" t="str">
        <f t="shared" si="97"/>
        <v/>
      </c>
      <c r="AB410" s="17" t="str">
        <f t="shared" si="98"/>
        <v/>
      </c>
      <c r="AC410" s="17" t="str">
        <f t="shared" si="99"/>
        <v/>
      </c>
      <c r="AD410" s="4" t="str">
        <f>IF(A410="","",IF(COUNTIF($A$2:$A$501,A410)&gt;1,"异常：事件编号重复",IF(OR(C410="",D410="",E410="",F410="",G410=""),"异常：必填项缺失",IF(AND(F410="其他股权激励",O410=""),"异常：其他股权激励所得缺失",IF(AND(F410&lt;&gt;"其他股权激励",OR(I410="",J410="")),"异常：数量或市场价缺失",IF(AND(F410&lt;&gt;"其他股权激励",OR(I410&lt;=0,J410&lt;0)),"异常：数量或价格无效",IF(AND(F410="限制性股票",OR(M410&lt;=0,N410&lt;0,I410&gt;M410)),"异常：个人获授或出资数据无效",IF(AND(IFERROR(INDEX(计划参数!$J$2:$J$501,MATCH(C410,计划参数!$I$2:$I$501,0)),"")&lt;&gt;"",D410&lt;&gt;IFERROR(INDEX(计划参数!$J$2:$J$501,MATCH(C410,计划参数!$I$2:$I$501,0)),"")),"异常：姓名与员工主数据不一致",IF(S410&lt;0,"异常：原始所得为负，已按0计税",IF(OR(AND(F410="股票期权",K410=""),AND(F410="限制性股票",OR(K410="",L410=""))),"异常：计划参数缺失",IF(COUNTIF(计划参数!$I$2:$I$501,C410)=0,"提示：员工编号未在主数据",IF(Q410&lt;&gt;"已备案","提示：未确认备案","正常"))))))))))))</f>
        <v/>
      </c>
      <c r="AE410" s="9"/>
      <c r="AF410" s="4" t="str">
        <f>IF(C410="","",IF(COUNTIF($C$2:C410,C410)=1,MAX($AF$1:AF409)+1,""))</f>
        <v/>
      </c>
      <c r="AG410" s="4" t="str">
        <f>IF(C410="","",COUNTIF($C$2:C410,C410))</f>
        <v/>
      </c>
      <c r="AH410" s="4" t="str">
        <f t="shared" si="100"/>
        <v/>
      </c>
      <c r="AI410" s="4" t="str">
        <f t="shared" si="101"/>
        <v/>
      </c>
      <c r="AJ410" s="4" t="str">
        <f t="shared" si="102"/>
        <v/>
      </c>
      <c r="AK410" s="15" t="str">
        <f>IF(A410="","",SUMIFS(分期缴税台账!$K$2:$K$501,分期缴税台账!$T$2:$T$501,A410,分期缴税台账!$Q$2:$Q$501,"有效"))</f>
        <v/>
      </c>
      <c r="AL410" s="15" t="str">
        <f t="shared" si="103"/>
        <v/>
      </c>
      <c r="AM410" s="4" t="str">
        <f t="shared" si="104"/>
        <v/>
      </c>
    </row>
    <row r="411" spans="1:39" x14ac:dyDescent="0.3">
      <c r="A411" s="9"/>
      <c r="B411" s="4" t="str">
        <f t="shared" si="90"/>
        <v/>
      </c>
      <c r="C411" s="9"/>
      <c r="D411" s="9"/>
      <c r="E411" s="9"/>
      <c r="F411" s="9"/>
      <c r="G411" s="13"/>
      <c r="H411" s="4" t="str">
        <f t="shared" si="91"/>
        <v/>
      </c>
      <c r="I411" s="9"/>
      <c r="J411" s="14"/>
      <c r="K411" s="15" t="str">
        <f>IF(OR(E411="",F411="",G411=""),"",IF(E411&lt;&gt;计划参数!$C$2,"",IF(F411="股票期权",IFERROR(LOOKUP(G411,计划参数!$D$12:$D$15,计划参数!$C$12:$C$15),""),IF(F411="限制性股票",计划参数!$C$10,""))))</f>
        <v/>
      </c>
      <c r="L411" s="15" t="str">
        <f>IF(AND(E411=计划参数!$C$2,F411="限制性股票",G411&gt;=计划参数!$D$9),计划参数!$C$9,"")</f>
        <v/>
      </c>
      <c r="M411" s="9"/>
      <c r="N411" s="14"/>
      <c r="O411" s="14"/>
      <c r="P411" s="13"/>
      <c r="Q411" s="9"/>
      <c r="R411" s="13"/>
      <c r="S411" s="15" t="str">
        <f t="shared" si="92"/>
        <v/>
      </c>
      <c r="T411" s="15" t="str">
        <f t="shared" si="93"/>
        <v/>
      </c>
      <c r="U411" s="15" t="str">
        <f t="shared" si="94"/>
        <v/>
      </c>
      <c r="V411" s="15" t="str">
        <f t="shared" si="95"/>
        <v/>
      </c>
      <c r="W411" s="16" t="str">
        <f>IF(V411="","",VLOOKUP(V411,税率及规则!$A$2:$C$8,2,TRUE))</f>
        <v/>
      </c>
      <c r="X411" s="15" t="str">
        <f>IF(V411="","",VLOOKUP(V411,税率及规则!$A$2:$C$8,3,TRUE))</f>
        <v/>
      </c>
      <c r="Y411" s="15" t="str">
        <f t="shared" si="96"/>
        <v/>
      </c>
      <c r="Z411" s="15" t="str">
        <f>IF(U411="","",MAX(0,U411*VLOOKUP(U411,税率及规则!$A$2:$C$8,2,TRUE)-VLOOKUP(U411,税率及规则!$A$2:$C$8,3,TRUE)))</f>
        <v/>
      </c>
      <c r="AA411" s="15" t="str">
        <f t="shared" si="97"/>
        <v/>
      </c>
      <c r="AB411" s="17" t="str">
        <f t="shared" si="98"/>
        <v/>
      </c>
      <c r="AC411" s="17" t="str">
        <f t="shared" si="99"/>
        <v/>
      </c>
      <c r="AD411" s="4" t="str">
        <f>IF(A411="","",IF(COUNTIF($A$2:$A$501,A411)&gt;1,"异常：事件编号重复",IF(OR(C411="",D411="",E411="",F411="",G411=""),"异常：必填项缺失",IF(AND(F411="其他股权激励",O411=""),"异常：其他股权激励所得缺失",IF(AND(F411&lt;&gt;"其他股权激励",OR(I411="",J411="")),"异常：数量或市场价缺失",IF(AND(F411&lt;&gt;"其他股权激励",OR(I411&lt;=0,J411&lt;0)),"异常：数量或价格无效",IF(AND(F411="限制性股票",OR(M411&lt;=0,N411&lt;0,I411&gt;M411)),"异常：个人获授或出资数据无效",IF(AND(IFERROR(INDEX(计划参数!$J$2:$J$501,MATCH(C411,计划参数!$I$2:$I$501,0)),"")&lt;&gt;"",D411&lt;&gt;IFERROR(INDEX(计划参数!$J$2:$J$501,MATCH(C411,计划参数!$I$2:$I$501,0)),"")),"异常：姓名与员工主数据不一致",IF(S411&lt;0,"异常：原始所得为负，已按0计税",IF(OR(AND(F411="股票期权",K411=""),AND(F411="限制性股票",OR(K411="",L411=""))),"异常：计划参数缺失",IF(COUNTIF(计划参数!$I$2:$I$501,C411)=0,"提示：员工编号未在主数据",IF(Q411&lt;&gt;"已备案","提示：未确认备案","正常"))))))))))))</f>
        <v/>
      </c>
      <c r="AE411" s="9"/>
      <c r="AF411" s="4" t="str">
        <f>IF(C411="","",IF(COUNTIF($C$2:C411,C411)=1,MAX($AF$1:AF410)+1,""))</f>
        <v/>
      </c>
      <c r="AG411" s="4" t="str">
        <f>IF(C411="","",COUNTIF($C$2:C411,C411))</f>
        <v/>
      </c>
      <c r="AH411" s="4" t="str">
        <f t="shared" si="100"/>
        <v/>
      </c>
      <c r="AI411" s="4" t="str">
        <f t="shared" si="101"/>
        <v/>
      </c>
      <c r="AJ411" s="4" t="str">
        <f t="shared" si="102"/>
        <v/>
      </c>
      <c r="AK411" s="15" t="str">
        <f>IF(A411="","",SUMIFS(分期缴税台账!$K$2:$K$501,分期缴税台账!$T$2:$T$501,A411,分期缴税台账!$Q$2:$Q$501,"有效"))</f>
        <v/>
      </c>
      <c r="AL411" s="15" t="str">
        <f t="shared" si="103"/>
        <v/>
      </c>
      <c r="AM411" s="4" t="str">
        <f t="shared" si="104"/>
        <v/>
      </c>
    </row>
    <row r="412" spans="1:39" x14ac:dyDescent="0.3">
      <c r="A412" s="9"/>
      <c r="B412" s="4" t="str">
        <f t="shared" si="90"/>
        <v/>
      </c>
      <c r="C412" s="9"/>
      <c r="D412" s="9"/>
      <c r="E412" s="9"/>
      <c r="F412" s="9"/>
      <c r="G412" s="13"/>
      <c r="H412" s="4" t="str">
        <f t="shared" si="91"/>
        <v/>
      </c>
      <c r="I412" s="9"/>
      <c r="J412" s="14"/>
      <c r="K412" s="15" t="str">
        <f>IF(OR(E412="",F412="",G412=""),"",IF(E412&lt;&gt;计划参数!$C$2,"",IF(F412="股票期权",IFERROR(LOOKUP(G412,计划参数!$D$12:$D$15,计划参数!$C$12:$C$15),""),IF(F412="限制性股票",计划参数!$C$10,""))))</f>
        <v/>
      </c>
      <c r="L412" s="15" t="str">
        <f>IF(AND(E412=计划参数!$C$2,F412="限制性股票",G412&gt;=计划参数!$D$9),计划参数!$C$9,"")</f>
        <v/>
      </c>
      <c r="M412" s="9"/>
      <c r="N412" s="14"/>
      <c r="O412" s="14"/>
      <c r="P412" s="13"/>
      <c r="Q412" s="9"/>
      <c r="R412" s="13"/>
      <c r="S412" s="15" t="str">
        <f t="shared" si="92"/>
        <v/>
      </c>
      <c r="T412" s="15" t="str">
        <f t="shared" si="93"/>
        <v/>
      </c>
      <c r="U412" s="15" t="str">
        <f t="shared" si="94"/>
        <v/>
      </c>
      <c r="V412" s="15" t="str">
        <f t="shared" si="95"/>
        <v/>
      </c>
      <c r="W412" s="16" t="str">
        <f>IF(V412="","",VLOOKUP(V412,税率及规则!$A$2:$C$8,2,TRUE))</f>
        <v/>
      </c>
      <c r="X412" s="15" t="str">
        <f>IF(V412="","",VLOOKUP(V412,税率及规则!$A$2:$C$8,3,TRUE))</f>
        <v/>
      </c>
      <c r="Y412" s="15" t="str">
        <f t="shared" si="96"/>
        <v/>
      </c>
      <c r="Z412" s="15" t="str">
        <f>IF(U412="","",MAX(0,U412*VLOOKUP(U412,税率及规则!$A$2:$C$8,2,TRUE)-VLOOKUP(U412,税率及规则!$A$2:$C$8,3,TRUE)))</f>
        <v/>
      </c>
      <c r="AA412" s="15" t="str">
        <f t="shared" si="97"/>
        <v/>
      </c>
      <c r="AB412" s="17" t="str">
        <f t="shared" si="98"/>
        <v/>
      </c>
      <c r="AC412" s="17" t="str">
        <f t="shared" si="99"/>
        <v/>
      </c>
      <c r="AD412" s="4" t="str">
        <f>IF(A412="","",IF(COUNTIF($A$2:$A$501,A412)&gt;1,"异常：事件编号重复",IF(OR(C412="",D412="",E412="",F412="",G412=""),"异常：必填项缺失",IF(AND(F412="其他股权激励",O412=""),"异常：其他股权激励所得缺失",IF(AND(F412&lt;&gt;"其他股权激励",OR(I412="",J412="")),"异常：数量或市场价缺失",IF(AND(F412&lt;&gt;"其他股权激励",OR(I412&lt;=0,J412&lt;0)),"异常：数量或价格无效",IF(AND(F412="限制性股票",OR(M412&lt;=0,N412&lt;0,I412&gt;M412)),"异常：个人获授或出资数据无效",IF(AND(IFERROR(INDEX(计划参数!$J$2:$J$501,MATCH(C412,计划参数!$I$2:$I$501,0)),"")&lt;&gt;"",D412&lt;&gt;IFERROR(INDEX(计划参数!$J$2:$J$501,MATCH(C412,计划参数!$I$2:$I$501,0)),"")),"异常：姓名与员工主数据不一致",IF(S412&lt;0,"异常：原始所得为负，已按0计税",IF(OR(AND(F412="股票期权",K412=""),AND(F412="限制性股票",OR(K412="",L412=""))),"异常：计划参数缺失",IF(COUNTIF(计划参数!$I$2:$I$501,C412)=0,"提示：员工编号未在主数据",IF(Q412&lt;&gt;"已备案","提示：未确认备案","正常"))))))))))))</f>
        <v/>
      </c>
      <c r="AE412" s="9"/>
      <c r="AF412" s="4" t="str">
        <f>IF(C412="","",IF(COUNTIF($C$2:C412,C412)=1,MAX($AF$1:AF411)+1,""))</f>
        <v/>
      </c>
      <c r="AG412" s="4" t="str">
        <f>IF(C412="","",COUNTIF($C$2:C412,C412))</f>
        <v/>
      </c>
      <c r="AH412" s="4" t="str">
        <f t="shared" si="100"/>
        <v/>
      </c>
      <c r="AI412" s="4" t="str">
        <f t="shared" si="101"/>
        <v/>
      </c>
      <c r="AJ412" s="4" t="str">
        <f t="shared" si="102"/>
        <v/>
      </c>
      <c r="AK412" s="15" t="str">
        <f>IF(A412="","",SUMIFS(分期缴税台账!$K$2:$K$501,分期缴税台账!$T$2:$T$501,A412,分期缴税台账!$Q$2:$Q$501,"有效"))</f>
        <v/>
      </c>
      <c r="AL412" s="15" t="str">
        <f t="shared" si="103"/>
        <v/>
      </c>
      <c r="AM412" s="4" t="str">
        <f t="shared" si="104"/>
        <v/>
      </c>
    </row>
    <row r="413" spans="1:39" x14ac:dyDescent="0.3">
      <c r="A413" s="9"/>
      <c r="B413" s="4" t="str">
        <f t="shared" si="90"/>
        <v/>
      </c>
      <c r="C413" s="9"/>
      <c r="D413" s="9"/>
      <c r="E413" s="9"/>
      <c r="F413" s="9"/>
      <c r="G413" s="13"/>
      <c r="H413" s="4" t="str">
        <f t="shared" si="91"/>
        <v/>
      </c>
      <c r="I413" s="9"/>
      <c r="J413" s="14"/>
      <c r="K413" s="15" t="str">
        <f>IF(OR(E413="",F413="",G413=""),"",IF(E413&lt;&gt;计划参数!$C$2,"",IF(F413="股票期权",IFERROR(LOOKUP(G413,计划参数!$D$12:$D$15,计划参数!$C$12:$C$15),""),IF(F413="限制性股票",计划参数!$C$10,""))))</f>
        <v/>
      </c>
      <c r="L413" s="15" t="str">
        <f>IF(AND(E413=计划参数!$C$2,F413="限制性股票",G413&gt;=计划参数!$D$9),计划参数!$C$9,"")</f>
        <v/>
      </c>
      <c r="M413" s="9"/>
      <c r="N413" s="14"/>
      <c r="O413" s="14"/>
      <c r="P413" s="13"/>
      <c r="Q413" s="9"/>
      <c r="R413" s="13"/>
      <c r="S413" s="15" t="str">
        <f t="shared" si="92"/>
        <v/>
      </c>
      <c r="T413" s="15" t="str">
        <f t="shared" si="93"/>
        <v/>
      </c>
      <c r="U413" s="15" t="str">
        <f t="shared" si="94"/>
        <v/>
      </c>
      <c r="V413" s="15" t="str">
        <f t="shared" si="95"/>
        <v/>
      </c>
      <c r="W413" s="16" t="str">
        <f>IF(V413="","",VLOOKUP(V413,税率及规则!$A$2:$C$8,2,TRUE))</f>
        <v/>
      </c>
      <c r="X413" s="15" t="str">
        <f>IF(V413="","",VLOOKUP(V413,税率及规则!$A$2:$C$8,3,TRUE))</f>
        <v/>
      </c>
      <c r="Y413" s="15" t="str">
        <f t="shared" si="96"/>
        <v/>
      </c>
      <c r="Z413" s="15" t="str">
        <f>IF(U413="","",MAX(0,U413*VLOOKUP(U413,税率及规则!$A$2:$C$8,2,TRUE)-VLOOKUP(U413,税率及规则!$A$2:$C$8,3,TRUE)))</f>
        <v/>
      </c>
      <c r="AA413" s="15" t="str">
        <f t="shared" si="97"/>
        <v/>
      </c>
      <c r="AB413" s="17" t="str">
        <f t="shared" si="98"/>
        <v/>
      </c>
      <c r="AC413" s="17" t="str">
        <f t="shared" si="99"/>
        <v/>
      </c>
      <c r="AD413" s="4" t="str">
        <f>IF(A413="","",IF(COUNTIF($A$2:$A$501,A413)&gt;1,"异常：事件编号重复",IF(OR(C413="",D413="",E413="",F413="",G413=""),"异常：必填项缺失",IF(AND(F413="其他股权激励",O413=""),"异常：其他股权激励所得缺失",IF(AND(F413&lt;&gt;"其他股权激励",OR(I413="",J413="")),"异常：数量或市场价缺失",IF(AND(F413&lt;&gt;"其他股权激励",OR(I413&lt;=0,J413&lt;0)),"异常：数量或价格无效",IF(AND(F413="限制性股票",OR(M413&lt;=0,N413&lt;0,I413&gt;M413)),"异常：个人获授或出资数据无效",IF(AND(IFERROR(INDEX(计划参数!$J$2:$J$501,MATCH(C413,计划参数!$I$2:$I$501,0)),"")&lt;&gt;"",D413&lt;&gt;IFERROR(INDEX(计划参数!$J$2:$J$501,MATCH(C413,计划参数!$I$2:$I$501,0)),"")),"异常：姓名与员工主数据不一致",IF(S413&lt;0,"异常：原始所得为负，已按0计税",IF(OR(AND(F413="股票期权",K413=""),AND(F413="限制性股票",OR(K413="",L413=""))),"异常：计划参数缺失",IF(COUNTIF(计划参数!$I$2:$I$501,C413)=0,"提示：员工编号未在主数据",IF(Q413&lt;&gt;"已备案","提示：未确认备案","正常"))))))))))))</f>
        <v/>
      </c>
      <c r="AE413" s="9"/>
      <c r="AF413" s="4" t="str">
        <f>IF(C413="","",IF(COUNTIF($C$2:C413,C413)=1,MAX($AF$1:AF412)+1,""))</f>
        <v/>
      </c>
      <c r="AG413" s="4" t="str">
        <f>IF(C413="","",COUNTIF($C$2:C413,C413))</f>
        <v/>
      </c>
      <c r="AH413" s="4" t="str">
        <f t="shared" si="100"/>
        <v/>
      </c>
      <c r="AI413" s="4" t="str">
        <f t="shared" si="101"/>
        <v/>
      </c>
      <c r="AJ413" s="4" t="str">
        <f t="shared" si="102"/>
        <v/>
      </c>
      <c r="AK413" s="15" t="str">
        <f>IF(A413="","",SUMIFS(分期缴税台账!$K$2:$K$501,分期缴税台账!$T$2:$T$501,A413,分期缴税台账!$Q$2:$Q$501,"有效"))</f>
        <v/>
      </c>
      <c r="AL413" s="15" t="str">
        <f t="shared" si="103"/>
        <v/>
      </c>
      <c r="AM413" s="4" t="str">
        <f t="shared" si="104"/>
        <v/>
      </c>
    </row>
    <row r="414" spans="1:39" x14ac:dyDescent="0.3">
      <c r="A414" s="9"/>
      <c r="B414" s="4" t="str">
        <f t="shared" si="90"/>
        <v/>
      </c>
      <c r="C414" s="9"/>
      <c r="D414" s="9"/>
      <c r="E414" s="9"/>
      <c r="F414" s="9"/>
      <c r="G414" s="13"/>
      <c r="H414" s="4" t="str">
        <f t="shared" si="91"/>
        <v/>
      </c>
      <c r="I414" s="9"/>
      <c r="J414" s="14"/>
      <c r="K414" s="15" t="str">
        <f>IF(OR(E414="",F414="",G414=""),"",IF(E414&lt;&gt;计划参数!$C$2,"",IF(F414="股票期权",IFERROR(LOOKUP(G414,计划参数!$D$12:$D$15,计划参数!$C$12:$C$15),""),IF(F414="限制性股票",计划参数!$C$10,""))))</f>
        <v/>
      </c>
      <c r="L414" s="15" t="str">
        <f>IF(AND(E414=计划参数!$C$2,F414="限制性股票",G414&gt;=计划参数!$D$9),计划参数!$C$9,"")</f>
        <v/>
      </c>
      <c r="M414" s="9"/>
      <c r="N414" s="14"/>
      <c r="O414" s="14"/>
      <c r="P414" s="13"/>
      <c r="Q414" s="9"/>
      <c r="R414" s="13"/>
      <c r="S414" s="15" t="str">
        <f t="shared" si="92"/>
        <v/>
      </c>
      <c r="T414" s="15" t="str">
        <f t="shared" si="93"/>
        <v/>
      </c>
      <c r="U414" s="15" t="str">
        <f t="shared" si="94"/>
        <v/>
      </c>
      <c r="V414" s="15" t="str">
        <f t="shared" si="95"/>
        <v/>
      </c>
      <c r="W414" s="16" t="str">
        <f>IF(V414="","",VLOOKUP(V414,税率及规则!$A$2:$C$8,2,TRUE))</f>
        <v/>
      </c>
      <c r="X414" s="15" t="str">
        <f>IF(V414="","",VLOOKUP(V414,税率及规则!$A$2:$C$8,3,TRUE))</f>
        <v/>
      </c>
      <c r="Y414" s="15" t="str">
        <f t="shared" si="96"/>
        <v/>
      </c>
      <c r="Z414" s="15" t="str">
        <f>IF(U414="","",MAX(0,U414*VLOOKUP(U414,税率及规则!$A$2:$C$8,2,TRUE)-VLOOKUP(U414,税率及规则!$A$2:$C$8,3,TRUE)))</f>
        <v/>
      </c>
      <c r="AA414" s="15" t="str">
        <f t="shared" si="97"/>
        <v/>
      </c>
      <c r="AB414" s="17" t="str">
        <f t="shared" si="98"/>
        <v/>
      </c>
      <c r="AC414" s="17" t="str">
        <f t="shared" si="99"/>
        <v/>
      </c>
      <c r="AD414" s="4" t="str">
        <f>IF(A414="","",IF(COUNTIF($A$2:$A$501,A414)&gt;1,"异常：事件编号重复",IF(OR(C414="",D414="",E414="",F414="",G414=""),"异常：必填项缺失",IF(AND(F414="其他股权激励",O414=""),"异常：其他股权激励所得缺失",IF(AND(F414&lt;&gt;"其他股权激励",OR(I414="",J414="")),"异常：数量或市场价缺失",IF(AND(F414&lt;&gt;"其他股权激励",OR(I414&lt;=0,J414&lt;0)),"异常：数量或价格无效",IF(AND(F414="限制性股票",OR(M414&lt;=0,N414&lt;0,I414&gt;M414)),"异常：个人获授或出资数据无效",IF(AND(IFERROR(INDEX(计划参数!$J$2:$J$501,MATCH(C414,计划参数!$I$2:$I$501,0)),"")&lt;&gt;"",D414&lt;&gt;IFERROR(INDEX(计划参数!$J$2:$J$501,MATCH(C414,计划参数!$I$2:$I$501,0)),"")),"异常：姓名与员工主数据不一致",IF(S414&lt;0,"异常：原始所得为负，已按0计税",IF(OR(AND(F414="股票期权",K414=""),AND(F414="限制性股票",OR(K414="",L414=""))),"异常：计划参数缺失",IF(COUNTIF(计划参数!$I$2:$I$501,C414)=0,"提示：员工编号未在主数据",IF(Q414&lt;&gt;"已备案","提示：未确认备案","正常"))))))))))))</f>
        <v/>
      </c>
      <c r="AE414" s="9"/>
      <c r="AF414" s="4" t="str">
        <f>IF(C414="","",IF(COUNTIF($C$2:C414,C414)=1,MAX($AF$1:AF413)+1,""))</f>
        <v/>
      </c>
      <c r="AG414" s="4" t="str">
        <f>IF(C414="","",COUNTIF($C$2:C414,C414))</f>
        <v/>
      </c>
      <c r="AH414" s="4" t="str">
        <f t="shared" si="100"/>
        <v/>
      </c>
      <c r="AI414" s="4" t="str">
        <f t="shared" si="101"/>
        <v/>
      </c>
      <c r="AJ414" s="4" t="str">
        <f t="shared" si="102"/>
        <v/>
      </c>
      <c r="AK414" s="15" t="str">
        <f>IF(A414="","",SUMIFS(分期缴税台账!$K$2:$K$501,分期缴税台账!$T$2:$T$501,A414,分期缴税台账!$Q$2:$Q$501,"有效"))</f>
        <v/>
      </c>
      <c r="AL414" s="15" t="str">
        <f t="shared" si="103"/>
        <v/>
      </c>
      <c r="AM414" s="4" t="str">
        <f t="shared" si="104"/>
        <v/>
      </c>
    </row>
    <row r="415" spans="1:39" x14ac:dyDescent="0.3">
      <c r="A415" s="9"/>
      <c r="B415" s="4" t="str">
        <f t="shared" si="90"/>
        <v/>
      </c>
      <c r="C415" s="9"/>
      <c r="D415" s="9"/>
      <c r="E415" s="9"/>
      <c r="F415" s="9"/>
      <c r="G415" s="13"/>
      <c r="H415" s="4" t="str">
        <f t="shared" si="91"/>
        <v/>
      </c>
      <c r="I415" s="9"/>
      <c r="J415" s="14"/>
      <c r="K415" s="15" t="str">
        <f>IF(OR(E415="",F415="",G415=""),"",IF(E415&lt;&gt;计划参数!$C$2,"",IF(F415="股票期权",IFERROR(LOOKUP(G415,计划参数!$D$12:$D$15,计划参数!$C$12:$C$15),""),IF(F415="限制性股票",计划参数!$C$10,""))))</f>
        <v/>
      </c>
      <c r="L415" s="15" t="str">
        <f>IF(AND(E415=计划参数!$C$2,F415="限制性股票",G415&gt;=计划参数!$D$9),计划参数!$C$9,"")</f>
        <v/>
      </c>
      <c r="M415" s="9"/>
      <c r="N415" s="14"/>
      <c r="O415" s="14"/>
      <c r="P415" s="13"/>
      <c r="Q415" s="9"/>
      <c r="R415" s="13"/>
      <c r="S415" s="15" t="str">
        <f t="shared" si="92"/>
        <v/>
      </c>
      <c r="T415" s="15" t="str">
        <f t="shared" si="93"/>
        <v/>
      </c>
      <c r="U415" s="15" t="str">
        <f t="shared" si="94"/>
        <v/>
      </c>
      <c r="V415" s="15" t="str">
        <f t="shared" si="95"/>
        <v/>
      </c>
      <c r="W415" s="16" t="str">
        <f>IF(V415="","",VLOOKUP(V415,税率及规则!$A$2:$C$8,2,TRUE))</f>
        <v/>
      </c>
      <c r="X415" s="15" t="str">
        <f>IF(V415="","",VLOOKUP(V415,税率及规则!$A$2:$C$8,3,TRUE))</f>
        <v/>
      </c>
      <c r="Y415" s="15" t="str">
        <f t="shared" si="96"/>
        <v/>
      </c>
      <c r="Z415" s="15" t="str">
        <f>IF(U415="","",MAX(0,U415*VLOOKUP(U415,税率及规则!$A$2:$C$8,2,TRUE)-VLOOKUP(U415,税率及规则!$A$2:$C$8,3,TRUE)))</f>
        <v/>
      </c>
      <c r="AA415" s="15" t="str">
        <f t="shared" si="97"/>
        <v/>
      </c>
      <c r="AB415" s="17" t="str">
        <f t="shared" si="98"/>
        <v/>
      </c>
      <c r="AC415" s="17" t="str">
        <f t="shared" si="99"/>
        <v/>
      </c>
      <c r="AD415" s="4" t="str">
        <f>IF(A415="","",IF(COUNTIF($A$2:$A$501,A415)&gt;1,"异常：事件编号重复",IF(OR(C415="",D415="",E415="",F415="",G415=""),"异常：必填项缺失",IF(AND(F415="其他股权激励",O415=""),"异常：其他股权激励所得缺失",IF(AND(F415&lt;&gt;"其他股权激励",OR(I415="",J415="")),"异常：数量或市场价缺失",IF(AND(F415&lt;&gt;"其他股权激励",OR(I415&lt;=0,J415&lt;0)),"异常：数量或价格无效",IF(AND(F415="限制性股票",OR(M415&lt;=0,N415&lt;0,I415&gt;M415)),"异常：个人获授或出资数据无效",IF(AND(IFERROR(INDEX(计划参数!$J$2:$J$501,MATCH(C415,计划参数!$I$2:$I$501,0)),"")&lt;&gt;"",D415&lt;&gt;IFERROR(INDEX(计划参数!$J$2:$J$501,MATCH(C415,计划参数!$I$2:$I$501,0)),"")),"异常：姓名与员工主数据不一致",IF(S415&lt;0,"异常：原始所得为负，已按0计税",IF(OR(AND(F415="股票期权",K415=""),AND(F415="限制性股票",OR(K415="",L415=""))),"异常：计划参数缺失",IF(COUNTIF(计划参数!$I$2:$I$501,C415)=0,"提示：员工编号未在主数据",IF(Q415&lt;&gt;"已备案","提示：未确认备案","正常"))))))))))))</f>
        <v/>
      </c>
      <c r="AE415" s="9"/>
      <c r="AF415" s="4" t="str">
        <f>IF(C415="","",IF(COUNTIF($C$2:C415,C415)=1,MAX($AF$1:AF414)+1,""))</f>
        <v/>
      </c>
      <c r="AG415" s="4" t="str">
        <f>IF(C415="","",COUNTIF($C$2:C415,C415))</f>
        <v/>
      </c>
      <c r="AH415" s="4" t="str">
        <f t="shared" si="100"/>
        <v/>
      </c>
      <c r="AI415" s="4" t="str">
        <f t="shared" si="101"/>
        <v/>
      </c>
      <c r="AJ415" s="4" t="str">
        <f t="shared" si="102"/>
        <v/>
      </c>
      <c r="AK415" s="15" t="str">
        <f>IF(A415="","",SUMIFS(分期缴税台账!$K$2:$K$501,分期缴税台账!$T$2:$T$501,A415,分期缴税台账!$Q$2:$Q$501,"有效"))</f>
        <v/>
      </c>
      <c r="AL415" s="15" t="str">
        <f t="shared" si="103"/>
        <v/>
      </c>
      <c r="AM415" s="4" t="str">
        <f t="shared" si="104"/>
        <v/>
      </c>
    </row>
    <row r="416" spans="1:39" x14ac:dyDescent="0.3">
      <c r="A416" s="9"/>
      <c r="B416" s="4" t="str">
        <f t="shared" si="90"/>
        <v/>
      </c>
      <c r="C416" s="9"/>
      <c r="D416" s="9"/>
      <c r="E416" s="9"/>
      <c r="F416" s="9"/>
      <c r="G416" s="13"/>
      <c r="H416" s="4" t="str">
        <f t="shared" si="91"/>
        <v/>
      </c>
      <c r="I416" s="9"/>
      <c r="J416" s="14"/>
      <c r="K416" s="15" t="str">
        <f>IF(OR(E416="",F416="",G416=""),"",IF(E416&lt;&gt;计划参数!$C$2,"",IF(F416="股票期权",IFERROR(LOOKUP(G416,计划参数!$D$12:$D$15,计划参数!$C$12:$C$15),""),IF(F416="限制性股票",计划参数!$C$10,""))))</f>
        <v/>
      </c>
      <c r="L416" s="15" t="str">
        <f>IF(AND(E416=计划参数!$C$2,F416="限制性股票",G416&gt;=计划参数!$D$9),计划参数!$C$9,"")</f>
        <v/>
      </c>
      <c r="M416" s="9"/>
      <c r="N416" s="14"/>
      <c r="O416" s="14"/>
      <c r="P416" s="13"/>
      <c r="Q416" s="9"/>
      <c r="R416" s="13"/>
      <c r="S416" s="15" t="str">
        <f t="shared" si="92"/>
        <v/>
      </c>
      <c r="T416" s="15" t="str">
        <f t="shared" si="93"/>
        <v/>
      </c>
      <c r="U416" s="15" t="str">
        <f t="shared" si="94"/>
        <v/>
      </c>
      <c r="V416" s="15" t="str">
        <f t="shared" si="95"/>
        <v/>
      </c>
      <c r="W416" s="16" t="str">
        <f>IF(V416="","",VLOOKUP(V416,税率及规则!$A$2:$C$8,2,TRUE))</f>
        <v/>
      </c>
      <c r="X416" s="15" t="str">
        <f>IF(V416="","",VLOOKUP(V416,税率及规则!$A$2:$C$8,3,TRUE))</f>
        <v/>
      </c>
      <c r="Y416" s="15" t="str">
        <f t="shared" si="96"/>
        <v/>
      </c>
      <c r="Z416" s="15" t="str">
        <f>IF(U416="","",MAX(0,U416*VLOOKUP(U416,税率及规则!$A$2:$C$8,2,TRUE)-VLOOKUP(U416,税率及规则!$A$2:$C$8,3,TRUE)))</f>
        <v/>
      </c>
      <c r="AA416" s="15" t="str">
        <f t="shared" si="97"/>
        <v/>
      </c>
      <c r="AB416" s="17" t="str">
        <f t="shared" si="98"/>
        <v/>
      </c>
      <c r="AC416" s="17" t="str">
        <f t="shared" si="99"/>
        <v/>
      </c>
      <c r="AD416" s="4" t="str">
        <f>IF(A416="","",IF(COUNTIF($A$2:$A$501,A416)&gt;1,"异常：事件编号重复",IF(OR(C416="",D416="",E416="",F416="",G416=""),"异常：必填项缺失",IF(AND(F416="其他股权激励",O416=""),"异常：其他股权激励所得缺失",IF(AND(F416&lt;&gt;"其他股权激励",OR(I416="",J416="")),"异常：数量或市场价缺失",IF(AND(F416&lt;&gt;"其他股权激励",OR(I416&lt;=0,J416&lt;0)),"异常：数量或价格无效",IF(AND(F416="限制性股票",OR(M416&lt;=0,N416&lt;0,I416&gt;M416)),"异常：个人获授或出资数据无效",IF(AND(IFERROR(INDEX(计划参数!$J$2:$J$501,MATCH(C416,计划参数!$I$2:$I$501,0)),"")&lt;&gt;"",D416&lt;&gt;IFERROR(INDEX(计划参数!$J$2:$J$501,MATCH(C416,计划参数!$I$2:$I$501,0)),"")),"异常：姓名与员工主数据不一致",IF(S416&lt;0,"异常：原始所得为负，已按0计税",IF(OR(AND(F416="股票期权",K416=""),AND(F416="限制性股票",OR(K416="",L416=""))),"异常：计划参数缺失",IF(COUNTIF(计划参数!$I$2:$I$501,C416)=0,"提示：员工编号未在主数据",IF(Q416&lt;&gt;"已备案","提示：未确认备案","正常"))))))))))))</f>
        <v/>
      </c>
      <c r="AE416" s="9"/>
      <c r="AF416" s="4" t="str">
        <f>IF(C416="","",IF(COUNTIF($C$2:C416,C416)=1,MAX($AF$1:AF415)+1,""))</f>
        <v/>
      </c>
      <c r="AG416" s="4" t="str">
        <f>IF(C416="","",COUNTIF($C$2:C416,C416))</f>
        <v/>
      </c>
      <c r="AH416" s="4" t="str">
        <f t="shared" si="100"/>
        <v/>
      </c>
      <c r="AI416" s="4" t="str">
        <f t="shared" si="101"/>
        <v/>
      </c>
      <c r="AJ416" s="4" t="str">
        <f t="shared" si="102"/>
        <v/>
      </c>
      <c r="AK416" s="15" t="str">
        <f>IF(A416="","",SUMIFS(分期缴税台账!$K$2:$K$501,分期缴税台账!$T$2:$T$501,A416,分期缴税台账!$Q$2:$Q$501,"有效"))</f>
        <v/>
      </c>
      <c r="AL416" s="15" t="str">
        <f t="shared" si="103"/>
        <v/>
      </c>
      <c r="AM416" s="4" t="str">
        <f t="shared" si="104"/>
        <v/>
      </c>
    </row>
    <row r="417" spans="1:39" x14ac:dyDescent="0.3">
      <c r="A417" s="9"/>
      <c r="B417" s="4" t="str">
        <f t="shared" si="90"/>
        <v/>
      </c>
      <c r="C417" s="9"/>
      <c r="D417" s="9"/>
      <c r="E417" s="9"/>
      <c r="F417" s="9"/>
      <c r="G417" s="13"/>
      <c r="H417" s="4" t="str">
        <f t="shared" si="91"/>
        <v/>
      </c>
      <c r="I417" s="9"/>
      <c r="J417" s="14"/>
      <c r="K417" s="15" t="str">
        <f>IF(OR(E417="",F417="",G417=""),"",IF(E417&lt;&gt;计划参数!$C$2,"",IF(F417="股票期权",IFERROR(LOOKUP(G417,计划参数!$D$12:$D$15,计划参数!$C$12:$C$15),""),IF(F417="限制性股票",计划参数!$C$10,""))))</f>
        <v/>
      </c>
      <c r="L417" s="15" t="str">
        <f>IF(AND(E417=计划参数!$C$2,F417="限制性股票",G417&gt;=计划参数!$D$9),计划参数!$C$9,"")</f>
        <v/>
      </c>
      <c r="M417" s="9"/>
      <c r="N417" s="14"/>
      <c r="O417" s="14"/>
      <c r="P417" s="13"/>
      <c r="Q417" s="9"/>
      <c r="R417" s="13"/>
      <c r="S417" s="15" t="str">
        <f t="shared" si="92"/>
        <v/>
      </c>
      <c r="T417" s="15" t="str">
        <f t="shared" si="93"/>
        <v/>
      </c>
      <c r="U417" s="15" t="str">
        <f t="shared" si="94"/>
        <v/>
      </c>
      <c r="V417" s="15" t="str">
        <f t="shared" si="95"/>
        <v/>
      </c>
      <c r="W417" s="16" t="str">
        <f>IF(V417="","",VLOOKUP(V417,税率及规则!$A$2:$C$8,2,TRUE))</f>
        <v/>
      </c>
      <c r="X417" s="15" t="str">
        <f>IF(V417="","",VLOOKUP(V417,税率及规则!$A$2:$C$8,3,TRUE))</f>
        <v/>
      </c>
      <c r="Y417" s="15" t="str">
        <f t="shared" si="96"/>
        <v/>
      </c>
      <c r="Z417" s="15" t="str">
        <f>IF(U417="","",MAX(0,U417*VLOOKUP(U417,税率及规则!$A$2:$C$8,2,TRUE)-VLOOKUP(U417,税率及规则!$A$2:$C$8,3,TRUE)))</f>
        <v/>
      </c>
      <c r="AA417" s="15" t="str">
        <f t="shared" si="97"/>
        <v/>
      </c>
      <c r="AB417" s="17" t="str">
        <f t="shared" si="98"/>
        <v/>
      </c>
      <c r="AC417" s="17" t="str">
        <f t="shared" si="99"/>
        <v/>
      </c>
      <c r="AD417" s="4" t="str">
        <f>IF(A417="","",IF(COUNTIF($A$2:$A$501,A417)&gt;1,"异常：事件编号重复",IF(OR(C417="",D417="",E417="",F417="",G417=""),"异常：必填项缺失",IF(AND(F417="其他股权激励",O417=""),"异常：其他股权激励所得缺失",IF(AND(F417&lt;&gt;"其他股权激励",OR(I417="",J417="")),"异常：数量或市场价缺失",IF(AND(F417&lt;&gt;"其他股权激励",OR(I417&lt;=0,J417&lt;0)),"异常：数量或价格无效",IF(AND(F417="限制性股票",OR(M417&lt;=0,N417&lt;0,I417&gt;M417)),"异常：个人获授或出资数据无效",IF(AND(IFERROR(INDEX(计划参数!$J$2:$J$501,MATCH(C417,计划参数!$I$2:$I$501,0)),"")&lt;&gt;"",D417&lt;&gt;IFERROR(INDEX(计划参数!$J$2:$J$501,MATCH(C417,计划参数!$I$2:$I$501,0)),"")),"异常：姓名与员工主数据不一致",IF(S417&lt;0,"异常：原始所得为负，已按0计税",IF(OR(AND(F417="股票期权",K417=""),AND(F417="限制性股票",OR(K417="",L417=""))),"异常：计划参数缺失",IF(COUNTIF(计划参数!$I$2:$I$501,C417)=0,"提示：员工编号未在主数据",IF(Q417&lt;&gt;"已备案","提示：未确认备案","正常"))))))))))))</f>
        <v/>
      </c>
      <c r="AE417" s="9"/>
      <c r="AF417" s="4" t="str">
        <f>IF(C417="","",IF(COUNTIF($C$2:C417,C417)=1,MAX($AF$1:AF416)+1,""))</f>
        <v/>
      </c>
      <c r="AG417" s="4" t="str">
        <f>IF(C417="","",COUNTIF($C$2:C417,C417))</f>
        <v/>
      </c>
      <c r="AH417" s="4" t="str">
        <f t="shared" si="100"/>
        <v/>
      </c>
      <c r="AI417" s="4" t="str">
        <f t="shared" si="101"/>
        <v/>
      </c>
      <c r="AJ417" s="4" t="str">
        <f t="shared" si="102"/>
        <v/>
      </c>
      <c r="AK417" s="15" t="str">
        <f>IF(A417="","",SUMIFS(分期缴税台账!$K$2:$K$501,分期缴税台账!$T$2:$T$501,A417,分期缴税台账!$Q$2:$Q$501,"有效"))</f>
        <v/>
      </c>
      <c r="AL417" s="15" t="str">
        <f t="shared" si="103"/>
        <v/>
      </c>
      <c r="AM417" s="4" t="str">
        <f t="shared" si="104"/>
        <v/>
      </c>
    </row>
    <row r="418" spans="1:39" x14ac:dyDescent="0.3">
      <c r="A418" s="9"/>
      <c r="B418" s="4" t="str">
        <f t="shared" si="90"/>
        <v/>
      </c>
      <c r="C418" s="9"/>
      <c r="D418" s="9"/>
      <c r="E418" s="9"/>
      <c r="F418" s="9"/>
      <c r="G418" s="13"/>
      <c r="H418" s="4" t="str">
        <f t="shared" si="91"/>
        <v/>
      </c>
      <c r="I418" s="9"/>
      <c r="J418" s="14"/>
      <c r="K418" s="15" t="str">
        <f>IF(OR(E418="",F418="",G418=""),"",IF(E418&lt;&gt;计划参数!$C$2,"",IF(F418="股票期权",IFERROR(LOOKUP(G418,计划参数!$D$12:$D$15,计划参数!$C$12:$C$15),""),IF(F418="限制性股票",计划参数!$C$10,""))))</f>
        <v/>
      </c>
      <c r="L418" s="15" t="str">
        <f>IF(AND(E418=计划参数!$C$2,F418="限制性股票",G418&gt;=计划参数!$D$9),计划参数!$C$9,"")</f>
        <v/>
      </c>
      <c r="M418" s="9"/>
      <c r="N418" s="14"/>
      <c r="O418" s="14"/>
      <c r="P418" s="13"/>
      <c r="Q418" s="9"/>
      <c r="R418" s="13"/>
      <c r="S418" s="15" t="str">
        <f t="shared" si="92"/>
        <v/>
      </c>
      <c r="T418" s="15" t="str">
        <f t="shared" si="93"/>
        <v/>
      </c>
      <c r="U418" s="15" t="str">
        <f t="shared" si="94"/>
        <v/>
      </c>
      <c r="V418" s="15" t="str">
        <f t="shared" si="95"/>
        <v/>
      </c>
      <c r="W418" s="16" t="str">
        <f>IF(V418="","",VLOOKUP(V418,税率及规则!$A$2:$C$8,2,TRUE))</f>
        <v/>
      </c>
      <c r="X418" s="15" t="str">
        <f>IF(V418="","",VLOOKUP(V418,税率及规则!$A$2:$C$8,3,TRUE))</f>
        <v/>
      </c>
      <c r="Y418" s="15" t="str">
        <f t="shared" si="96"/>
        <v/>
      </c>
      <c r="Z418" s="15" t="str">
        <f>IF(U418="","",MAX(0,U418*VLOOKUP(U418,税率及规则!$A$2:$C$8,2,TRUE)-VLOOKUP(U418,税率及规则!$A$2:$C$8,3,TRUE)))</f>
        <v/>
      </c>
      <c r="AA418" s="15" t="str">
        <f t="shared" si="97"/>
        <v/>
      </c>
      <c r="AB418" s="17" t="str">
        <f t="shared" si="98"/>
        <v/>
      </c>
      <c r="AC418" s="17" t="str">
        <f t="shared" si="99"/>
        <v/>
      </c>
      <c r="AD418" s="4" t="str">
        <f>IF(A418="","",IF(COUNTIF($A$2:$A$501,A418)&gt;1,"异常：事件编号重复",IF(OR(C418="",D418="",E418="",F418="",G418=""),"异常：必填项缺失",IF(AND(F418="其他股权激励",O418=""),"异常：其他股权激励所得缺失",IF(AND(F418&lt;&gt;"其他股权激励",OR(I418="",J418="")),"异常：数量或市场价缺失",IF(AND(F418&lt;&gt;"其他股权激励",OR(I418&lt;=0,J418&lt;0)),"异常：数量或价格无效",IF(AND(F418="限制性股票",OR(M418&lt;=0,N418&lt;0,I418&gt;M418)),"异常：个人获授或出资数据无效",IF(AND(IFERROR(INDEX(计划参数!$J$2:$J$501,MATCH(C418,计划参数!$I$2:$I$501,0)),"")&lt;&gt;"",D418&lt;&gt;IFERROR(INDEX(计划参数!$J$2:$J$501,MATCH(C418,计划参数!$I$2:$I$501,0)),"")),"异常：姓名与员工主数据不一致",IF(S418&lt;0,"异常：原始所得为负，已按0计税",IF(OR(AND(F418="股票期权",K418=""),AND(F418="限制性股票",OR(K418="",L418=""))),"异常：计划参数缺失",IF(COUNTIF(计划参数!$I$2:$I$501,C418)=0,"提示：员工编号未在主数据",IF(Q418&lt;&gt;"已备案","提示：未确认备案","正常"))))))))))))</f>
        <v/>
      </c>
      <c r="AE418" s="9"/>
      <c r="AF418" s="4" t="str">
        <f>IF(C418="","",IF(COUNTIF($C$2:C418,C418)=1,MAX($AF$1:AF417)+1,""))</f>
        <v/>
      </c>
      <c r="AG418" s="4" t="str">
        <f>IF(C418="","",COUNTIF($C$2:C418,C418))</f>
        <v/>
      </c>
      <c r="AH418" s="4" t="str">
        <f t="shared" si="100"/>
        <v/>
      </c>
      <c r="AI418" s="4" t="str">
        <f t="shared" si="101"/>
        <v/>
      </c>
      <c r="AJ418" s="4" t="str">
        <f t="shared" si="102"/>
        <v/>
      </c>
      <c r="AK418" s="15" t="str">
        <f>IF(A418="","",SUMIFS(分期缴税台账!$K$2:$K$501,分期缴税台账!$T$2:$T$501,A418,分期缴税台账!$Q$2:$Q$501,"有效"))</f>
        <v/>
      </c>
      <c r="AL418" s="15" t="str">
        <f t="shared" si="103"/>
        <v/>
      </c>
      <c r="AM418" s="4" t="str">
        <f t="shared" si="104"/>
        <v/>
      </c>
    </row>
    <row r="419" spans="1:39" x14ac:dyDescent="0.3">
      <c r="A419" s="9"/>
      <c r="B419" s="4" t="str">
        <f t="shared" si="90"/>
        <v/>
      </c>
      <c r="C419" s="9"/>
      <c r="D419" s="9"/>
      <c r="E419" s="9"/>
      <c r="F419" s="9"/>
      <c r="G419" s="13"/>
      <c r="H419" s="4" t="str">
        <f t="shared" si="91"/>
        <v/>
      </c>
      <c r="I419" s="9"/>
      <c r="J419" s="14"/>
      <c r="K419" s="15" t="str">
        <f>IF(OR(E419="",F419="",G419=""),"",IF(E419&lt;&gt;计划参数!$C$2,"",IF(F419="股票期权",IFERROR(LOOKUP(G419,计划参数!$D$12:$D$15,计划参数!$C$12:$C$15),""),IF(F419="限制性股票",计划参数!$C$10,""))))</f>
        <v/>
      </c>
      <c r="L419" s="15" t="str">
        <f>IF(AND(E419=计划参数!$C$2,F419="限制性股票",G419&gt;=计划参数!$D$9),计划参数!$C$9,"")</f>
        <v/>
      </c>
      <c r="M419" s="9"/>
      <c r="N419" s="14"/>
      <c r="O419" s="14"/>
      <c r="P419" s="13"/>
      <c r="Q419" s="9"/>
      <c r="R419" s="13"/>
      <c r="S419" s="15" t="str">
        <f t="shared" si="92"/>
        <v/>
      </c>
      <c r="T419" s="15" t="str">
        <f t="shared" si="93"/>
        <v/>
      </c>
      <c r="U419" s="15" t="str">
        <f t="shared" si="94"/>
        <v/>
      </c>
      <c r="V419" s="15" t="str">
        <f t="shared" si="95"/>
        <v/>
      </c>
      <c r="W419" s="16" t="str">
        <f>IF(V419="","",VLOOKUP(V419,税率及规则!$A$2:$C$8,2,TRUE))</f>
        <v/>
      </c>
      <c r="X419" s="15" t="str">
        <f>IF(V419="","",VLOOKUP(V419,税率及规则!$A$2:$C$8,3,TRUE))</f>
        <v/>
      </c>
      <c r="Y419" s="15" t="str">
        <f t="shared" si="96"/>
        <v/>
      </c>
      <c r="Z419" s="15" t="str">
        <f>IF(U419="","",MAX(0,U419*VLOOKUP(U419,税率及规则!$A$2:$C$8,2,TRUE)-VLOOKUP(U419,税率及规则!$A$2:$C$8,3,TRUE)))</f>
        <v/>
      </c>
      <c r="AA419" s="15" t="str">
        <f t="shared" si="97"/>
        <v/>
      </c>
      <c r="AB419" s="17" t="str">
        <f t="shared" si="98"/>
        <v/>
      </c>
      <c r="AC419" s="17" t="str">
        <f t="shared" si="99"/>
        <v/>
      </c>
      <c r="AD419" s="4" t="str">
        <f>IF(A419="","",IF(COUNTIF($A$2:$A$501,A419)&gt;1,"异常：事件编号重复",IF(OR(C419="",D419="",E419="",F419="",G419=""),"异常：必填项缺失",IF(AND(F419="其他股权激励",O419=""),"异常：其他股权激励所得缺失",IF(AND(F419&lt;&gt;"其他股权激励",OR(I419="",J419="")),"异常：数量或市场价缺失",IF(AND(F419&lt;&gt;"其他股权激励",OR(I419&lt;=0,J419&lt;0)),"异常：数量或价格无效",IF(AND(F419="限制性股票",OR(M419&lt;=0,N419&lt;0,I419&gt;M419)),"异常：个人获授或出资数据无效",IF(AND(IFERROR(INDEX(计划参数!$J$2:$J$501,MATCH(C419,计划参数!$I$2:$I$501,0)),"")&lt;&gt;"",D419&lt;&gt;IFERROR(INDEX(计划参数!$J$2:$J$501,MATCH(C419,计划参数!$I$2:$I$501,0)),"")),"异常：姓名与员工主数据不一致",IF(S419&lt;0,"异常：原始所得为负，已按0计税",IF(OR(AND(F419="股票期权",K419=""),AND(F419="限制性股票",OR(K419="",L419=""))),"异常：计划参数缺失",IF(COUNTIF(计划参数!$I$2:$I$501,C419)=0,"提示：员工编号未在主数据",IF(Q419&lt;&gt;"已备案","提示：未确认备案","正常"))))))))))))</f>
        <v/>
      </c>
      <c r="AE419" s="9"/>
      <c r="AF419" s="4" t="str">
        <f>IF(C419="","",IF(COUNTIF($C$2:C419,C419)=1,MAX($AF$1:AF418)+1,""))</f>
        <v/>
      </c>
      <c r="AG419" s="4" t="str">
        <f>IF(C419="","",COUNTIF($C$2:C419,C419))</f>
        <v/>
      </c>
      <c r="AH419" s="4" t="str">
        <f t="shared" si="100"/>
        <v/>
      </c>
      <c r="AI419" s="4" t="str">
        <f t="shared" si="101"/>
        <v/>
      </c>
      <c r="AJ419" s="4" t="str">
        <f t="shared" si="102"/>
        <v/>
      </c>
      <c r="AK419" s="15" t="str">
        <f>IF(A419="","",SUMIFS(分期缴税台账!$K$2:$K$501,分期缴税台账!$T$2:$T$501,A419,分期缴税台账!$Q$2:$Q$501,"有效"))</f>
        <v/>
      </c>
      <c r="AL419" s="15" t="str">
        <f t="shared" si="103"/>
        <v/>
      </c>
      <c r="AM419" s="4" t="str">
        <f t="shared" si="104"/>
        <v/>
      </c>
    </row>
    <row r="420" spans="1:39" x14ac:dyDescent="0.3">
      <c r="A420" s="9"/>
      <c r="B420" s="4" t="str">
        <f t="shared" si="90"/>
        <v/>
      </c>
      <c r="C420" s="9"/>
      <c r="D420" s="9"/>
      <c r="E420" s="9"/>
      <c r="F420" s="9"/>
      <c r="G420" s="13"/>
      <c r="H420" s="4" t="str">
        <f t="shared" si="91"/>
        <v/>
      </c>
      <c r="I420" s="9"/>
      <c r="J420" s="14"/>
      <c r="K420" s="15" t="str">
        <f>IF(OR(E420="",F420="",G420=""),"",IF(E420&lt;&gt;计划参数!$C$2,"",IF(F420="股票期权",IFERROR(LOOKUP(G420,计划参数!$D$12:$D$15,计划参数!$C$12:$C$15),""),IF(F420="限制性股票",计划参数!$C$10,""))))</f>
        <v/>
      </c>
      <c r="L420" s="15" t="str">
        <f>IF(AND(E420=计划参数!$C$2,F420="限制性股票",G420&gt;=计划参数!$D$9),计划参数!$C$9,"")</f>
        <v/>
      </c>
      <c r="M420" s="9"/>
      <c r="N420" s="14"/>
      <c r="O420" s="14"/>
      <c r="P420" s="13"/>
      <c r="Q420" s="9"/>
      <c r="R420" s="13"/>
      <c r="S420" s="15" t="str">
        <f t="shared" si="92"/>
        <v/>
      </c>
      <c r="T420" s="15" t="str">
        <f t="shared" si="93"/>
        <v/>
      </c>
      <c r="U420" s="15" t="str">
        <f t="shared" si="94"/>
        <v/>
      </c>
      <c r="V420" s="15" t="str">
        <f t="shared" si="95"/>
        <v/>
      </c>
      <c r="W420" s="16" t="str">
        <f>IF(V420="","",VLOOKUP(V420,税率及规则!$A$2:$C$8,2,TRUE))</f>
        <v/>
      </c>
      <c r="X420" s="15" t="str">
        <f>IF(V420="","",VLOOKUP(V420,税率及规则!$A$2:$C$8,3,TRUE))</f>
        <v/>
      </c>
      <c r="Y420" s="15" t="str">
        <f t="shared" si="96"/>
        <v/>
      </c>
      <c r="Z420" s="15" t="str">
        <f>IF(U420="","",MAX(0,U420*VLOOKUP(U420,税率及规则!$A$2:$C$8,2,TRUE)-VLOOKUP(U420,税率及规则!$A$2:$C$8,3,TRUE)))</f>
        <v/>
      </c>
      <c r="AA420" s="15" t="str">
        <f t="shared" si="97"/>
        <v/>
      </c>
      <c r="AB420" s="17" t="str">
        <f t="shared" si="98"/>
        <v/>
      </c>
      <c r="AC420" s="17" t="str">
        <f t="shared" si="99"/>
        <v/>
      </c>
      <c r="AD420" s="4" t="str">
        <f>IF(A420="","",IF(COUNTIF($A$2:$A$501,A420)&gt;1,"异常：事件编号重复",IF(OR(C420="",D420="",E420="",F420="",G420=""),"异常：必填项缺失",IF(AND(F420="其他股权激励",O420=""),"异常：其他股权激励所得缺失",IF(AND(F420&lt;&gt;"其他股权激励",OR(I420="",J420="")),"异常：数量或市场价缺失",IF(AND(F420&lt;&gt;"其他股权激励",OR(I420&lt;=0,J420&lt;0)),"异常：数量或价格无效",IF(AND(F420="限制性股票",OR(M420&lt;=0,N420&lt;0,I420&gt;M420)),"异常：个人获授或出资数据无效",IF(AND(IFERROR(INDEX(计划参数!$J$2:$J$501,MATCH(C420,计划参数!$I$2:$I$501,0)),"")&lt;&gt;"",D420&lt;&gt;IFERROR(INDEX(计划参数!$J$2:$J$501,MATCH(C420,计划参数!$I$2:$I$501,0)),"")),"异常：姓名与员工主数据不一致",IF(S420&lt;0,"异常：原始所得为负，已按0计税",IF(OR(AND(F420="股票期权",K420=""),AND(F420="限制性股票",OR(K420="",L420=""))),"异常：计划参数缺失",IF(COUNTIF(计划参数!$I$2:$I$501,C420)=0,"提示：员工编号未在主数据",IF(Q420&lt;&gt;"已备案","提示：未确认备案","正常"))))))))))))</f>
        <v/>
      </c>
      <c r="AE420" s="9"/>
      <c r="AF420" s="4" t="str">
        <f>IF(C420="","",IF(COUNTIF($C$2:C420,C420)=1,MAX($AF$1:AF419)+1,""))</f>
        <v/>
      </c>
      <c r="AG420" s="4" t="str">
        <f>IF(C420="","",COUNTIF($C$2:C420,C420))</f>
        <v/>
      </c>
      <c r="AH420" s="4" t="str">
        <f t="shared" si="100"/>
        <v/>
      </c>
      <c r="AI420" s="4" t="str">
        <f t="shared" si="101"/>
        <v/>
      </c>
      <c r="AJ420" s="4" t="str">
        <f t="shared" si="102"/>
        <v/>
      </c>
      <c r="AK420" s="15" t="str">
        <f>IF(A420="","",SUMIFS(分期缴税台账!$K$2:$K$501,分期缴税台账!$T$2:$T$501,A420,分期缴税台账!$Q$2:$Q$501,"有效"))</f>
        <v/>
      </c>
      <c r="AL420" s="15" t="str">
        <f t="shared" si="103"/>
        <v/>
      </c>
      <c r="AM420" s="4" t="str">
        <f t="shared" si="104"/>
        <v/>
      </c>
    </row>
    <row r="421" spans="1:39" x14ac:dyDescent="0.3">
      <c r="A421" s="9"/>
      <c r="B421" s="4" t="str">
        <f t="shared" si="90"/>
        <v/>
      </c>
      <c r="C421" s="9"/>
      <c r="D421" s="9"/>
      <c r="E421" s="9"/>
      <c r="F421" s="9"/>
      <c r="G421" s="13"/>
      <c r="H421" s="4" t="str">
        <f t="shared" si="91"/>
        <v/>
      </c>
      <c r="I421" s="9"/>
      <c r="J421" s="14"/>
      <c r="K421" s="15" t="str">
        <f>IF(OR(E421="",F421="",G421=""),"",IF(E421&lt;&gt;计划参数!$C$2,"",IF(F421="股票期权",IFERROR(LOOKUP(G421,计划参数!$D$12:$D$15,计划参数!$C$12:$C$15),""),IF(F421="限制性股票",计划参数!$C$10,""))))</f>
        <v/>
      </c>
      <c r="L421" s="15" t="str">
        <f>IF(AND(E421=计划参数!$C$2,F421="限制性股票",G421&gt;=计划参数!$D$9),计划参数!$C$9,"")</f>
        <v/>
      </c>
      <c r="M421" s="9"/>
      <c r="N421" s="14"/>
      <c r="O421" s="14"/>
      <c r="P421" s="13"/>
      <c r="Q421" s="9"/>
      <c r="R421" s="13"/>
      <c r="S421" s="15" t="str">
        <f t="shared" si="92"/>
        <v/>
      </c>
      <c r="T421" s="15" t="str">
        <f t="shared" si="93"/>
        <v/>
      </c>
      <c r="U421" s="15" t="str">
        <f t="shared" si="94"/>
        <v/>
      </c>
      <c r="V421" s="15" t="str">
        <f t="shared" si="95"/>
        <v/>
      </c>
      <c r="W421" s="16" t="str">
        <f>IF(V421="","",VLOOKUP(V421,税率及规则!$A$2:$C$8,2,TRUE))</f>
        <v/>
      </c>
      <c r="X421" s="15" t="str">
        <f>IF(V421="","",VLOOKUP(V421,税率及规则!$A$2:$C$8,3,TRUE))</f>
        <v/>
      </c>
      <c r="Y421" s="15" t="str">
        <f t="shared" si="96"/>
        <v/>
      </c>
      <c r="Z421" s="15" t="str">
        <f>IF(U421="","",MAX(0,U421*VLOOKUP(U421,税率及规则!$A$2:$C$8,2,TRUE)-VLOOKUP(U421,税率及规则!$A$2:$C$8,3,TRUE)))</f>
        <v/>
      </c>
      <c r="AA421" s="15" t="str">
        <f t="shared" si="97"/>
        <v/>
      </c>
      <c r="AB421" s="17" t="str">
        <f t="shared" si="98"/>
        <v/>
      </c>
      <c r="AC421" s="17" t="str">
        <f t="shared" si="99"/>
        <v/>
      </c>
      <c r="AD421" s="4" t="str">
        <f>IF(A421="","",IF(COUNTIF($A$2:$A$501,A421)&gt;1,"异常：事件编号重复",IF(OR(C421="",D421="",E421="",F421="",G421=""),"异常：必填项缺失",IF(AND(F421="其他股权激励",O421=""),"异常：其他股权激励所得缺失",IF(AND(F421&lt;&gt;"其他股权激励",OR(I421="",J421="")),"异常：数量或市场价缺失",IF(AND(F421&lt;&gt;"其他股权激励",OR(I421&lt;=0,J421&lt;0)),"异常：数量或价格无效",IF(AND(F421="限制性股票",OR(M421&lt;=0,N421&lt;0,I421&gt;M421)),"异常：个人获授或出资数据无效",IF(AND(IFERROR(INDEX(计划参数!$J$2:$J$501,MATCH(C421,计划参数!$I$2:$I$501,0)),"")&lt;&gt;"",D421&lt;&gt;IFERROR(INDEX(计划参数!$J$2:$J$501,MATCH(C421,计划参数!$I$2:$I$501,0)),"")),"异常：姓名与员工主数据不一致",IF(S421&lt;0,"异常：原始所得为负，已按0计税",IF(OR(AND(F421="股票期权",K421=""),AND(F421="限制性股票",OR(K421="",L421=""))),"异常：计划参数缺失",IF(COUNTIF(计划参数!$I$2:$I$501,C421)=0,"提示：员工编号未在主数据",IF(Q421&lt;&gt;"已备案","提示：未确认备案","正常"))))))))))))</f>
        <v/>
      </c>
      <c r="AE421" s="9"/>
      <c r="AF421" s="4" t="str">
        <f>IF(C421="","",IF(COUNTIF($C$2:C421,C421)=1,MAX($AF$1:AF420)+1,""))</f>
        <v/>
      </c>
      <c r="AG421" s="4" t="str">
        <f>IF(C421="","",COUNTIF($C$2:C421,C421))</f>
        <v/>
      </c>
      <c r="AH421" s="4" t="str">
        <f t="shared" si="100"/>
        <v/>
      </c>
      <c r="AI421" s="4" t="str">
        <f t="shared" si="101"/>
        <v/>
      </c>
      <c r="AJ421" s="4" t="str">
        <f t="shared" si="102"/>
        <v/>
      </c>
      <c r="AK421" s="15" t="str">
        <f>IF(A421="","",SUMIFS(分期缴税台账!$K$2:$K$501,分期缴税台账!$T$2:$T$501,A421,分期缴税台账!$Q$2:$Q$501,"有效"))</f>
        <v/>
      </c>
      <c r="AL421" s="15" t="str">
        <f t="shared" si="103"/>
        <v/>
      </c>
      <c r="AM421" s="4" t="str">
        <f t="shared" si="104"/>
        <v/>
      </c>
    </row>
    <row r="422" spans="1:39" x14ac:dyDescent="0.3">
      <c r="A422" s="9"/>
      <c r="B422" s="4" t="str">
        <f t="shared" si="90"/>
        <v/>
      </c>
      <c r="C422" s="9"/>
      <c r="D422" s="9"/>
      <c r="E422" s="9"/>
      <c r="F422" s="9"/>
      <c r="G422" s="13"/>
      <c r="H422" s="4" t="str">
        <f t="shared" si="91"/>
        <v/>
      </c>
      <c r="I422" s="9"/>
      <c r="J422" s="14"/>
      <c r="K422" s="15" t="str">
        <f>IF(OR(E422="",F422="",G422=""),"",IF(E422&lt;&gt;计划参数!$C$2,"",IF(F422="股票期权",IFERROR(LOOKUP(G422,计划参数!$D$12:$D$15,计划参数!$C$12:$C$15),""),IF(F422="限制性股票",计划参数!$C$10,""))))</f>
        <v/>
      </c>
      <c r="L422" s="15" t="str">
        <f>IF(AND(E422=计划参数!$C$2,F422="限制性股票",G422&gt;=计划参数!$D$9),计划参数!$C$9,"")</f>
        <v/>
      </c>
      <c r="M422" s="9"/>
      <c r="N422" s="14"/>
      <c r="O422" s="14"/>
      <c r="P422" s="13"/>
      <c r="Q422" s="9"/>
      <c r="R422" s="13"/>
      <c r="S422" s="15" t="str">
        <f t="shared" si="92"/>
        <v/>
      </c>
      <c r="T422" s="15" t="str">
        <f t="shared" si="93"/>
        <v/>
      </c>
      <c r="U422" s="15" t="str">
        <f t="shared" si="94"/>
        <v/>
      </c>
      <c r="V422" s="15" t="str">
        <f t="shared" si="95"/>
        <v/>
      </c>
      <c r="W422" s="16" t="str">
        <f>IF(V422="","",VLOOKUP(V422,税率及规则!$A$2:$C$8,2,TRUE))</f>
        <v/>
      </c>
      <c r="X422" s="15" t="str">
        <f>IF(V422="","",VLOOKUP(V422,税率及规则!$A$2:$C$8,3,TRUE))</f>
        <v/>
      </c>
      <c r="Y422" s="15" t="str">
        <f t="shared" si="96"/>
        <v/>
      </c>
      <c r="Z422" s="15" t="str">
        <f>IF(U422="","",MAX(0,U422*VLOOKUP(U422,税率及规则!$A$2:$C$8,2,TRUE)-VLOOKUP(U422,税率及规则!$A$2:$C$8,3,TRUE)))</f>
        <v/>
      </c>
      <c r="AA422" s="15" t="str">
        <f t="shared" si="97"/>
        <v/>
      </c>
      <c r="AB422" s="17" t="str">
        <f t="shared" si="98"/>
        <v/>
      </c>
      <c r="AC422" s="17" t="str">
        <f t="shared" si="99"/>
        <v/>
      </c>
      <c r="AD422" s="4" t="str">
        <f>IF(A422="","",IF(COUNTIF($A$2:$A$501,A422)&gt;1,"异常：事件编号重复",IF(OR(C422="",D422="",E422="",F422="",G422=""),"异常：必填项缺失",IF(AND(F422="其他股权激励",O422=""),"异常：其他股权激励所得缺失",IF(AND(F422&lt;&gt;"其他股权激励",OR(I422="",J422="")),"异常：数量或市场价缺失",IF(AND(F422&lt;&gt;"其他股权激励",OR(I422&lt;=0,J422&lt;0)),"异常：数量或价格无效",IF(AND(F422="限制性股票",OR(M422&lt;=0,N422&lt;0,I422&gt;M422)),"异常：个人获授或出资数据无效",IF(AND(IFERROR(INDEX(计划参数!$J$2:$J$501,MATCH(C422,计划参数!$I$2:$I$501,0)),"")&lt;&gt;"",D422&lt;&gt;IFERROR(INDEX(计划参数!$J$2:$J$501,MATCH(C422,计划参数!$I$2:$I$501,0)),"")),"异常：姓名与员工主数据不一致",IF(S422&lt;0,"异常：原始所得为负，已按0计税",IF(OR(AND(F422="股票期权",K422=""),AND(F422="限制性股票",OR(K422="",L422=""))),"异常：计划参数缺失",IF(COUNTIF(计划参数!$I$2:$I$501,C422)=0,"提示：员工编号未在主数据",IF(Q422&lt;&gt;"已备案","提示：未确认备案","正常"))))))))))))</f>
        <v/>
      </c>
      <c r="AE422" s="9"/>
      <c r="AF422" s="4" t="str">
        <f>IF(C422="","",IF(COUNTIF($C$2:C422,C422)=1,MAX($AF$1:AF421)+1,""))</f>
        <v/>
      </c>
      <c r="AG422" s="4" t="str">
        <f>IF(C422="","",COUNTIF($C$2:C422,C422))</f>
        <v/>
      </c>
      <c r="AH422" s="4" t="str">
        <f t="shared" si="100"/>
        <v/>
      </c>
      <c r="AI422" s="4" t="str">
        <f t="shared" si="101"/>
        <v/>
      </c>
      <c r="AJ422" s="4" t="str">
        <f t="shared" si="102"/>
        <v/>
      </c>
      <c r="AK422" s="15" t="str">
        <f>IF(A422="","",SUMIFS(分期缴税台账!$K$2:$K$501,分期缴税台账!$T$2:$T$501,A422,分期缴税台账!$Q$2:$Q$501,"有效"))</f>
        <v/>
      </c>
      <c r="AL422" s="15" t="str">
        <f t="shared" si="103"/>
        <v/>
      </c>
      <c r="AM422" s="4" t="str">
        <f t="shared" si="104"/>
        <v/>
      </c>
    </row>
    <row r="423" spans="1:39" x14ac:dyDescent="0.3">
      <c r="A423" s="9"/>
      <c r="B423" s="4" t="str">
        <f t="shared" si="90"/>
        <v/>
      </c>
      <c r="C423" s="9"/>
      <c r="D423" s="9"/>
      <c r="E423" s="9"/>
      <c r="F423" s="9"/>
      <c r="G423" s="13"/>
      <c r="H423" s="4" t="str">
        <f t="shared" si="91"/>
        <v/>
      </c>
      <c r="I423" s="9"/>
      <c r="J423" s="14"/>
      <c r="K423" s="15" t="str">
        <f>IF(OR(E423="",F423="",G423=""),"",IF(E423&lt;&gt;计划参数!$C$2,"",IF(F423="股票期权",IFERROR(LOOKUP(G423,计划参数!$D$12:$D$15,计划参数!$C$12:$C$15),""),IF(F423="限制性股票",计划参数!$C$10,""))))</f>
        <v/>
      </c>
      <c r="L423" s="15" t="str">
        <f>IF(AND(E423=计划参数!$C$2,F423="限制性股票",G423&gt;=计划参数!$D$9),计划参数!$C$9,"")</f>
        <v/>
      </c>
      <c r="M423" s="9"/>
      <c r="N423" s="14"/>
      <c r="O423" s="14"/>
      <c r="P423" s="13"/>
      <c r="Q423" s="9"/>
      <c r="R423" s="13"/>
      <c r="S423" s="15" t="str">
        <f t="shared" si="92"/>
        <v/>
      </c>
      <c r="T423" s="15" t="str">
        <f t="shared" si="93"/>
        <v/>
      </c>
      <c r="U423" s="15" t="str">
        <f t="shared" si="94"/>
        <v/>
      </c>
      <c r="V423" s="15" t="str">
        <f t="shared" si="95"/>
        <v/>
      </c>
      <c r="W423" s="16" t="str">
        <f>IF(V423="","",VLOOKUP(V423,税率及规则!$A$2:$C$8,2,TRUE))</f>
        <v/>
      </c>
      <c r="X423" s="15" t="str">
        <f>IF(V423="","",VLOOKUP(V423,税率及规则!$A$2:$C$8,3,TRUE))</f>
        <v/>
      </c>
      <c r="Y423" s="15" t="str">
        <f t="shared" si="96"/>
        <v/>
      </c>
      <c r="Z423" s="15" t="str">
        <f>IF(U423="","",MAX(0,U423*VLOOKUP(U423,税率及规则!$A$2:$C$8,2,TRUE)-VLOOKUP(U423,税率及规则!$A$2:$C$8,3,TRUE)))</f>
        <v/>
      </c>
      <c r="AA423" s="15" t="str">
        <f t="shared" si="97"/>
        <v/>
      </c>
      <c r="AB423" s="17" t="str">
        <f t="shared" si="98"/>
        <v/>
      </c>
      <c r="AC423" s="17" t="str">
        <f t="shared" si="99"/>
        <v/>
      </c>
      <c r="AD423" s="4" t="str">
        <f>IF(A423="","",IF(COUNTIF($A$2:$A$501,A423)&gt;1,"异常：事件编号重复",IF(OR(C423="",D423="",E423="",F423="",G423=""),"异常：必填项缺失",IF(AND(F423="其他股权激励",O423=""),"异常：其他股权激励所得缺失",IF(AND(F423&lt;&gt;"其他股权激励",OR(I423="",J423="")),"异常：数量或市场价缺失",IF(AND(F423&lt;&gt;"其他股权激励",OR(I423&lt;=0,J423&lt;0)),"异常：数量或价格无效",IF(AND(F423="限制性股票",OR(M423&lt;=0,N423&lt;0,I423&gt;M423)),"异常：个人获授或出资数据无效",IF(AND(IFERROR(INDEX(计划参数!$J$2:$J$501,MATCH(C423,计划参数!$I$2:$I$501,0)),"")&lt;&gt;"",D423&lt;&gt;IFERROR(INDEX(计划参数!$J$2:$J$501,MATCH(C423,计划参数!$I$2:$I$501,0)),"")),"异常：姓名与员工主数据不一致",IF(S423&lt;0,"异常：原始所得为负，已按0计税",IF(OR(AND(F423="股票期权",K423=""),AND(F423="限制性股票",OR(K423="",L423=""))),"异常：计划参数缺失",IF(COUNTIF(计划参数!$I$2:$I$501,C423)=0,"提示：员工编号未在主数据",IF(Q423&lt;&gt;"已备案","提示：未确认备案","正常"))))))))))))</f>
        <v/>
      </c>
      <c r="AE423" s="9"/>
      <c r="AF423" s="4" t="str">
        <f>IF(C423="","",IF(COUNTIF($C$2:C423,C423)=1,MAX($AF$1:AF422)+1,""))</f>
        <v/>
      </c>
      <c r="AG423" s="4" t="str">
        <f>IF(C423="","",COUNTIF($C$2:C423,C423))</f>
        <v/>
      </c>
      <c r="AH423" s="4" t="str">
        <f t="shared" si="100"/>
        <v/>
      </c>
      <c r="AI423" s="4" t="str">
        <f t="shared" si="101"/>
        <v/>
      </c>
      <c r="AJ423" s="4" t="str">
        <f t="shared" si="102"/>
        <v/>
      </c>
      <c r="AK423" s="15" t="str">
        <f>IF(A423="","",SUMIFS(分期缴税台账!$K$2:$K$501,分期缴税台账!$T$2:$T$501,A423,分期缴税台账!$Q$2:$Q$501,"有效"))</f>
        <v/>
      </c>
      <c r="AL423" s="15" t="str">
        <f t="shared" si="103"/>
        <v/>
      </c>
      <c r="AM423" s="4" t="str">
        <f t="shared" si="104"/>
        <v/>
      </c>
    </row>
    <row r="424" spans="1:39" x14ac:dyDescent="0.3">
      <c r="A424" s="9"/>
      <c r="B424" s="4" t="str">
        <f t="shared" si="90"/>
        <v/>
      </c>
      <c r="C424" s="9"/>
      <c r="D424" s="9"/>
      <c r="E424" s="9"/>
      <c r="F424" s="9"/>
      <c r="G424" s="13"/>
      <c r="H424" s="4" t="str">
        <f t="shared" si="91"/>
        <v/>
      </c>
      <c r="I424" s="9"/>
      <c r="J424" s="14"/>
      <c r="K424" s="15" t="str">
        <f>IF(OR(E424="",F424="",G424=""),"",IF(E424&lt;&gt;计划参数!$C$2,"",IF(F424="股票期权",IFERROR(LOOKUP(G424,计划参数!$D$12:$D$15,计划参数!$C$12:$C$15),""),IF(F424="限制性股票",计划参数!$C$10,""))))</f>
        <v/>
      </c>
      <c r="L424" s="15" t="str">
        <f>IF(AND(E424=计划参数!$C$2,F424="限制性股票",G424&gt;=计划参数!$D$9),计划参数!$C$9,"")</f>
        <v/>
      </c>
      <c r="M424" s="9"/>
      <c r="N424" s="14"/>
      <c r="O424" s="14"/>
      <c r="P424" s="13"/>
      <c r="Q424" s="9"/>
      <c r="R424" s="13"/>
      <c r="S424" s="15" t="str">
        <f t="shared" si="92"/>
        <v/>
      </c>
      <c r="T424" s="15" t="str">
        <f t="shared" si="93"/>
        <v/>
      </c>
      <c r="U424" s="15" t="str">
        <f t="shared" si="94"/>
        <v/>
      </c>
      <c r="V424" s="15" t="str">
        <f t="shared" si="95"/>
        <v/>
      </c>
      <c r="W424" s="16" t="str">
        <f>IF(V424="","",VLOOKUP(V424,税率及规则!$A$2:$C$8,2,TRUE))</f>
        <v/>
      </c>
      <c r="X424" s="15" t="str">
        <f>IF(V424="","",VLOOKUP(V424,税率及规则!$A$2:$C$8,3,TRUE))</f>
        <v/>
      </c>
      <c r="Y424" s="15" t="str">
        <f t="shared" si="96"/>
        <v/>
      </c>
      <c r="Z424" s="15" t="str">
        <f>IF(U424="","",MAX(0,U424*VLOOKUP(U424,税率及规则!$A$2:$C$8,2,TRUE)-VLOOKUP(U424,税率及规则!$A$2:$C$8,3,TRUE)))</f>
        <v/>
      </c>
      <c r="AA424" s="15" t="str">
        <f t="shared" si="97"/>
        <v/>
      </c>
      <c r="AB424" s="17" t="str">
        <f t="shared" si="98"/>
        <v/>
      </c>
      <c r="AC424" s="17" t="str">
        <f t="shared" si="99"/>
        <v/>
      </c>
      <c r="AD424" s="4" t="str">
        <f>IF(A424="","",IF(COUNTIF($A$2:$A$501,A424)&gt;1,"异常：事件编号重复",IF(OR(C424="",D424="",E424="",F424="",G424=""),"异常：必填项缺失",IF(AND(F424="其他股权激励",O424=""),"异常：其他股权激励所得缺失",IF(AND(F424&lt;&gt;"其他股权激励",OR(I424="",J424="")),"异常：数量或市场价缺失",IF(AND(F424&lt;&gt;"其他股权激励",OR(I424&lt;=0,J424&lt;0)),"异常：数量或价格无效",IF(AND(F424="限制性股票",OR(M424&lt;=0,N424&lt;0,I424&gt;M424)),"异常：个人获授或出资数据无效",IF(AND(IFERROR(INDEX(计划参数!$J$2:$J$501,MATCH(C424,计划参数!$I$2:$I$501,0)),"")&lt;&gt;"",D424&lt;&gt;IFERROR(INDEX(计划参数!$J$2:$J$501,MATCH(C424,计划参数!$I$2:$I$501,0)),"")),"异常：姓名与员工主数据不一致",IF(S424&lt;0,"异常：原始所得为负，已按0计税",IF(OR(AND(F424="股票期权",K424=""),AND(F424="限制性股票",OR(K424="",L424=""))),"异常：计划参数缺失",IF(COUNTIF(计划参数!$I$2:$I$501,C424)=0,"提示：员工编号未在主数据",IF(Q424&lt;&gt;"已备案","提示：未确认备案","正常"))))))))))))</f>
        <v/>
      </c>
      <c r="AE424" s="9"/>
      <c r="AF424" s="4" t="str">
        <f>IF(C424="","",IF(COUNTIF($C$2:C424,C424)=1,MAX($AF$1:AF423)+1,""))</f>
        <v/>
      </c>
      <c r="AG424" s="4" t="str">
        <f>IF(C424="","",COUNTIF($C$2:C424,C424))</f>
        <v/>
      </c>
      <c r="AH424" s="4" t="str">
        <f t="shared" si="100"/>
        <v/>
      </c>
      <c r="AI424" s="4" t="str">
        <f t="shared" si="101"/>
        <v/>
      </c>
      <c r="AJ424" s="4" t="str">
        <f t="shared" si="102"/>
        <v/>
      </c>
      <c r="AK424" s="15" t="str">
        <f>IF(A424="","",SUMIFS(分期缴税台账!$K$2:$K$501,分期缴税台账!$T$2:$T$501,A424,分期缴税台账!$Q$2:$Q$501,"有效"))</f>
        <v/>
      </c>
      <c r="AL424" s="15" t="str">
        <f t="shared" si="103"/>
        <v/>
      </c>
      <c r="AM424" s="4" t="str">
        <f t="shared" si="104"/>
        <v/>
      </c>
    </row>
    <row r="425" spans="1:39" x14ac:dyDescent="0.3">
      <c r="A425" s="9"/>
      <c r="B425" s="4" t="str">
        <f t="shared" si="90"/>
        <v/>
      </c>
      <c r="C425" s="9"/>
      <c r="D425" s="9"/>
      <c r="E425" s="9"/>
      <c r="F425" s="9"/>
      <c r="G425" s="13"/>
      <c r="H425" s="4" t="str">
        <f t="shared" si="91"/>
        <v/>
      </c>
      <c r="I425" s="9"/>
      <c r="J425" s="14"/>
      <c r="K425" s="15" t="str">
        <f>IF(OR(E425="",F425="",G425=""),"",IF(E425&lt;&gt;计划参数!$C$2,"",IF(F425="股票期权",IFERROR(LOOKUP(G425,计划参数!$D$12:$D$15,计划参数!$C$12:$C$15),""),IF(F425="限制性股票",计划参数!$C$10,""))))</f>
        <v/>
      </c>
      <c r="L425" s="15" t="str">
        <f>IF(AND(E425=计划参数!$C$2,F425="限制性股票",G425&gt;=计划参数!$D$9),计划参数!$C$9,"")</f>
        <v/>
      </c>
      <c r="M425" s="9"/>
      <c r="N425" s="14"/>
      <c r="O425" s="14"/>
      <c r="P425" s="13"/>
      <c r="Q425" s="9"/>
      <c r="R425" s="13"/>
      <c r="S425" s="15" t="str">
        <f t="shared" si="92"/>
        <v/>
      </c>
      <c r="T425" s="15" t="str">
        <f t="shared" si="93"/>
        <v/>
      </c>
      <c r="U425" s="15" t="str">
        <f t="shared" si="94"/>
        <v/>
      </c>
      <c r="V425" s="15" t="str">
        <f t="shared" si="95"/>
        <v/>
      </c>
      <c r="W425" s="16" t="str">
        <f>IF(V425="","",VLOOKUP(V425,税率及规则!$A$2:$C$8,2,TRUE))</f>
        <v/>
      </c>
      <c r="X425" s="15" t="str">
        <f>IF(V425="","",VLOOKUP(V425,税率及规则!$A$2:$C$8,3,TRUE))</f>
        <v/>
      </c>
      <c r="Y425" s="15" t="str">
        <f t="shared" si="96"/>
        <v/>
      </c>
      <c r="Z425" s="15" t="str">
        <f>IF(U425="","",MAX(0,U425*VLOOKUP(U425,税率及规则!$A$2:$C$8,2,TRUE)-VLOOKUP(U425,税率及规则!$A$2:$C$8,3,TRUE)))</f>
        <v/>
      </c>
      <c r="AA425" s="15" t="str">
        <f t="shared" si="97"/>
        <v/>
      </c>
      <c r="AB425" s="17" t="str">
        <f t="shared" si="98"/>
        <v/>
      </c>
      <c r="AC425" s="17" t="str">
        <f t="shared" si="99"/>
        <v/>
      </c>
      <c r="AD425" s="4" t="str">
        <f>IF(A425="","",IF(COUNTIF($A$2:$A$501,A425)&gt;1,"异常：事件编号重复",IF(OR(C425="",D425="",E425="",F425="",G425=""),"异常：必填项缺失",IF(AND(F425="其他股权激励",O425=""),"异常：其他股权激励所得缺失",IF(AND(F425&lt;&gt;"其他股权激励",OR(I425="",J425="")),"异常：数量或市场价缺失",IF(AND(F425&lt;&gt;"其他股权激励",OR(I425&lt;=0,J425&lt;0)),"异常：数量或价格无效",IF(AND(F425="限制性股票",OR(M425&lt;=0,N425&lt;0,I425&gt;M425)),"异常：个人获授或出资数据无效",IF(AND(IFERROR(INDEX(计划参数!$J$2:$J$501,MATCH(C425,计划参数!$I$2:$I$501,0)),"")&lt;&gt;"",D425&lt;&gt;IFERROR(INDEX(计划参数!$J$2:$J$501,MATCH(C425,计划参数!$I$2:$I$501,0)),"")),"异常：姓名与员工主数据不一致",IF(S425&lt;0,"异常：原始所得为负，已按0计税",IF(OR(AND(F425="股票期权",K425=""),AND(F425="限制性股票",OR(K425="",L425=""))),"异常：计划参数缺失",IF(COUNTIF(计划参数!$I$2:$I$501,C425)=0,"提示：员工编号未在主数据",IF(Q425&lt;&gt;"已备案","提示：未确认备案","正常"))))))))))))</f>
        <v/>
      </c>
      <c r="AE425" s="9"/>
      <c r="AF425" s="4" t="str">
        <f>IF(C425="","",IF(COUNTIF($C$2:C425,C425)=1,MAX($AF$1:AF424)+1,""))</f>
        <v/>
      </c>
      <c r="AG425" s="4" t="str">
        <f>IF(C425="","",COUNTIF($C$2:C425,C425))</f>
        <v/>
      </c>
      <c r="AH425" s="4" t="str">
        <f t="shared" si="100"/>
        <v/>
      </c>
      <c r="AI425" s="4" t="str">
        <f t="shared" si="101"/>
        <v/>
      </c>
      <c r="AJ425" s="4" t="str">
        <f t="shared" si="102"/>
        <v/>
      </c>
      <c r="AK425" s="15" t="str">
        <f>IF(A425="","",SUMIFS(分期缴税台账!$K$2:$K$501,分期缴税台账!$T$2:$T$501,A425,分期缴税台账!$Q$2:$Q$501,"有效"))</f>
        <v/>
      </c>
      <c r="AL425" s="15" t="str">
        <f t="shared" si="103"/>
        <v/>
      </c>
      <c r="AM425" s="4" t="str">
        <f t="shared" si="104"/>
        <v/>
      </c>
    </row>
    <row r="426" spans="1:39" x14ac:dyDescent="0.3">
      <c r="A426" s="9"/>
      <c r="B426" s="4" t="str">
        <f t="shared" si="90"/>
        <v/>
      </c>
      <c r="C426" s="9"/>
      <c r="D426" s="9"/>
      <c r="E426" s="9"/>
      <c r="F426" s="9"/>
      <c r="G426" s="13"/>
      <c r="H426" s="4" t="str">
        <f t="shared" si="91"/>
        <v/>
      </c>
      <c r="I426" s="9"/>
      <c r="J426" s="14"/>
      <c r="K426" s="15" t="str">
        <f>IF(OR(E426="",F426="",G426=""),"",IF(E426&lt;&gt;计划参数!$C$2,"",IF(F426="股票期权",IFERROR(LOOKUP(G426,计划参数!$D$12:$D$15,计划参数!$C$12:$C$15),""),IF(F426="限制性股票",计划参数!$C$10,""))))</f>
        <v/>
      </c>
      <c r="L426" s="15" t="str">
        <f>IF(AND(E426=计划参数!$C$2,F426="限制性股票",G426&gt;=计划参数!$D$9),计划参数!$C$9,"")</f>
        <v/>
      </c>
      <c r="M426" s="9"/>
      <c r="N426" s="14"/>
      <c r="O426" s="14"/>
      <c r="P426" s="13"/>
      <c r="Q426" s="9"/>
      <c r="R426" s="13"/>
      <c r="S426" s="15" t="str">
        <f t="shared" si="92"/>
        <v/>
      </c>
      <c r="T426" s="15" t="str">
        <f t="shared" si="93"/>
        <v/>
      </c>
      <c r="U426" s="15" t="str">
        <f t="shared" si="94"/>
        <v/>
      </c>
      <c r="V426" s="15" t="str">
        <f t="shared" si="95"/>
        <v/>
      </c>
      <c r="W426" s="16" t="str">
        <f>IF(V426="","",VLOOKUP(V426,税率及规则!$A$2:$C$8,2,TRUE))</f>
        <v/>
      </c>
      <c r="X426" s="15" t="str">
        <f>IF(V426="","",VLOOKUP(V426,税率及规则!$A$2:$C$8,3,TRUE))</f>
        <v/>
      </c>
      <c r="Y426" s="15" t="str">
        <f t="shared" si="96"/>
        <v/>
      </c>
      <c r="Z426" s="15" t="str">
        <f>IF(U426="","",MAX(0,U426*VLOOKUP(U426,税率及规则!$A$2:$C$8,2,TRUE)-VLOOKUP(U426,税率及规则!$A$2:$C$8,3,TRUE)))</f>
        <v/>
      </c>
      <c r="AA426" s="15" t="str">
        <f t="shared" si="97"/>
        <v/>
      </c>
      <c r="AB426" s="17" t="str">
        <f t="shared" si="98"/>
        <v/>
      </c>
      <c r="AC426" s="17" t="str">
        <f t="shared" si="99"/>
        <v/>
      </c>
      <c r="AD426" s="4" t="str">
        <f>IF(A426="","",IF(COUNTIF($A$2:$A$501,A426)&gt;1,"异常：事件编号重复",IF(OR(C426="",D426="",E426="",F426="",G426=""),"异常：必填项缺失",IF(AND(F426="其他股权激励",O426=""),"异常：其他股权激励所得缺失",IF(AND(F426&lt;&gt;"其他股权激励",OR(I426="",J426="")),"异常：数量或市场价缺失",IF(AND(F426&lt;&gt;"其他股权激励",OR(I426&lt;=0,J426&lt;0)),"异常：数量或价格无效",IF(AND(F426="限制性股票",OR(M426&lt;=0,N426&lt;0,I426&gt;M426)),"异常：个人获授或出资数据无效",IF(AND(IFERROR(INDEX(计划参数!$J$2:$J$501,MATCH(C426,计划参数!$I$2:$I$501,0)),"")&lt;&gt;"",D426&lt;&gt;IFERROR(INDEX(计划参数!$J$2:$J$501,MATCH(C426,计划参数!$I$2:$I$501,0)),"")),"异常：姓名与员工主数据不一致",IF(S426&lt;0,"异常：原始所得为负，已按0计税",IF(OR(AND(F426="股票期权",K426=""),AND(F426="限制性股票",OR(K426="",L426=""))),"异常：计划参数缺失",IF(COUNTIF(计划参数!$I$2:$I$501,C426)=0,"提示：员工编号未在主数据",IF(Q426&lt;&gt;"已备案","提示：未确认备案","正常"))))))))))))</f>
        <v/>
      </c>
      <c r="AE426" s="9"/>
      <c r="AF426" s="4" t="str">
        <f>IF(C426="","",IF(COUNTIF($C$2:C426,C426)=1,MAX($AF$1:AF425)+1,""))</f>
        <v/>
      </c>
      <c r="AG426" s="4" t="str">
        <f>IF(C426="","",COUNTIF($C$2:C426,C426))</f>
        <v/>
      </c>
      <c r="AH426" s="4" t="str">
        <f t="shared" si="100"/>
        <v/>
      </c>
      <c r="AI426" s="4" t="str">
        <f t="shared" si="101"/>
        <v/>
      </c>
      <c r="AJ426" s="4" t="str">
        <f t="shared" si="102"/>
        <v/>
      </c>
      <c r="AK426" s="15" t="str">
        <f>IF(A426="","",SUMIFS(分期缴税台账!$K$2:$K$501,分期缴税台账!$T$2:$T$501,A426,分期缴税台账!$Q$2:$Q$501,"有效"))</f>
        <v/>
      </c>
      <c r="AL426" s="15" t="str">
        <f t="shared" si="103"/>
        <v/>
      </c>
      <c r="AM426" s="4" t="str">
        <f t="shared" si="104"/>
        <v/>
      </c>
    </row>
    <row r="427" spans="1:39" x14ac:dyDescent="0.3">
      <c r="A427" s="9"/>
      <c r="B427" s="4" t="str">
        <f t="shared" si="90"/>
        <v/>
      </c>
      <c r="C427" s="9"/>
      <c r="D427" s="9"/>
      <c r="E427" s="9"/>
      <c r="F427" s="9"/>
      <c r="G427" s="13"/>
      <c r="H427" s="4" t="str">
        <f t="shared" si="91"/>
        <v/>
      </c>
      <c r="I427" s="9"/>
      <c r="J427" s="14"/>
      <c r="K427" s="15" t="str">
        <f>IF(OR(E427="",F427="",G427=""),"",IF(E427&lt;&gt;计划参数!$C$2,"",IF(F427="股票期权",IFERROR(LOOKUP(G427,计划参数!$D$12:$D$15,计划参数!$C$12:$C$15),""),IF(F427="限制性股票",计划参数!$C$10,""))))</f>
        <v/>
      </c>
      <c r="L427" s="15" t="str">
        <f>IF(AND(E427=计划参数!$C$2,F427="限制性股票",G427&gt;=计划参数!$D$9),计划参数!$C$9,"")</f>
        <v/>
      </c>
      <c r="M427" s="9"/>
      <c r="N427" s="14"/>
      <c r="O427" s="14"/>
      <c r="P427" s="13"/>
      <c r="Q427" s="9"/>
      <c r="R427" s="13"/>
      <c r="S427" s="15" t="str">
        <f t="shared" si="92"/>
        <v/>
      </c>
      <c r="T427" s="15" t="str">
        <f t="shared" si="93"/>
        <v/>
      </c>
      <c r="U427" s="15" t="str">
        <f t="shared" si="94"/>
        <v/>
      </c>
      <c r="V427" s="15" t="str">
        <f t="shared" si="95"/>
        <v/>
      </c>
      <c r="W427" s="16" t="str">
        <f>IF(V427="","",VLOOKUP(V427,税率及规则!$A$2:$C$8,2,TRUE))</f>
        <v/>
      </c>
      <c r="X427" s="15" t="str">
        <f>IF(V427="","",VLOOKUP(V427,税率及规则!$A$2:$C$8,3,TRUE))</f>
        <v/>
      </c>
      <c r="Y427" s="15" t="str">
        <f t="shared" si="96"/>
        <v/>
      </c>
      <c r="Z427" s="15" t="str">
        <f>IF(U427="","",MAX(0,U427*VLOOKUP(U427,税率及规则!$A$2:$C$8,2,TRUE)-VLOOKUP(U427,税率及规则!$A$2:$C$8,3,TRUE)))</f>
        <v/>
      </c>
      <c r="AA427" s="15" t="str">
        <f t="shared" si="97"/>
        <v/>
      </c>
      <c r="AB427" s="17" t="str">
        <f t="shared" si="98"/>
        <v/>
      </c>
      <c r="AC427" s="17" t="str">
        <f t="shared" si="99"/>
        <v/>
      </c>
      <c r="AD427" s="4" t="str">
        <f>IF(A427="","",IF(COUNTIF($A$2:$A$501,A427)&gt;1,"异常：事件编号重复",IF(OR(C427="",D427="",E427="",F427="",G427=""),"异常：必填项缺失",IF(AND(F427="其他股权激励",O427=""),"异常：其他股权激励所得缺失",IF(AND(F427&lt;&gt;"其他股权激励",OR(I427="",J427="")),"异常：数量或市场价缺失",IF(AND(F427&lt;&gt;"其他股权激励",OR(I427&lt;=0,J427&lt;0)),"异常：数量或价格无效",IF(AND(F427="限制性股票",OR(M427&lt;=0,N427&lt;0,I427&gt;M427)),"异常：个人获授或出资数据无效",IF(AND(IFERROR(INDEX(计划参数!$J$2:$J$501,MATCH(C427,计划参数!$I$2:$I$501,0)),"")&lt;&gt;"",D427&lt;&gt;IFERROR(INDEX(计划参数!$J$2:$J$501,MATCH(C427,计划参数!$I$2:$I$501,0)),"")),"异常：姓名与员工主数据不一致",IF(S427&lt;0,"异常：原始所得为负，已按0计税",IF(OR(AND(F427="股票期权",K427=""),AND(F427="限制性股票",OR(K427="",L427=""))),"异常：计划参数缺失",IF(COUNTIF(计划参数!$I$2:$I$501,C427)=0,"提示：员工编号未在主数据",IF(Q427&lt;&gt;"已备案","提示：未确认备案","正常"))))))))))))</f>
        <v/>
      </c>
      <c r="AE427" s="9"/>
      <c r="AF427" s="4" t="str">
        <f>IF(C427="","",IF(COUNTIF($C$2:C427,C427)=1,MAX($AF$1:AF426)+1,""))</f>
        <v/>
      </c>
      <c r="AG427" s="4" t="str">
        <f>IF(C427="","",COUNTIF($C$2:C427,C427))</f>
        <v/>
      </c>
      <c r="AH427" s="4" t="str">
        <f t="shared" si="100"/>
        <v/>
      </c>
      <c r="AI427" s="4" t="str">
        <f t="shared" si="101"/>
        <v/>
      </c>
      <c r="AJ427" s="4" t="str">
        <f t="shared" si="102"/>
        <v/>
      </c>
      <c r="AK427" s="15" t="str">
        <f>IF(A427="","",SUMIFS(分期缴税台账!$K$2:$K$501,分期缴税台账!$T$2:$T$501,A427,分期缴税台账!$Q$2:$Q$501,"有效"))</f>
        <v/>
      </c>
      <c r="AL427" s="15" t="str">
        <f t="shared" si="103"/>
        <v/>
      </c>
      <c r="AM427" s="4" t="str">
        <f t="shared" si="104"/>
        <v/>
      </c>
    </row>
    <row r="428" spans="1:39" x14ac:dyDescent="0.3">
      <c r="A428" s="9"/>
      <c r="B428" s="4" t="str">
        <f t="shared" si="90"/>
        <v/>
      </c>
      <c r="C428" s="9"/>
      <c r="D428" s="9"/>
      <c r="E428" s="9"/>
      <c r="F428" s="9"/>
      <c r="G428" s="13"/>
      <c r="H428" s="4" t="str">
        <f t="shared" si="91"/>
        <v/>
      </c>
      <c r="I428" s="9"/>
      <c r="J428" s="14"/>
      <c r="K428" s="15" t="str">
        <f>IF(OR(E428="",F428="",G428=""),"",IF(E428&lt;&gt;计划参数!$C$2,"",IF(F428="股票期权",IFERROR(LOOKUP(G428,计划参数!$D$12:$D$15,计划参数!$C$12:$C$15),""),IF(F428="限制性股票",计划参数!$C$10,""))))</f>
        <v/>
      </c>
      <c r="L428" s="15" t="str">
        <f>IF(AND(E428=计划参数!$C$2,F428="限制性股票",G428&gt;=计划参数!$D$9),计划参数!$C$9,"")</f>
        <v/>
      </c>
      <c r="M428" s="9"/>
      <c r="N428" s="14"/>
      <c r="O428" s="14"/>
      <c r="P428" s="13"/>
      <c r="Q428" s="9"/>
      <c r="R428" s="13"/>
      <c r="S428" s="15" t="str">
        <f t="shared" si="92"/>
        <v/>
      </c>
      <c r="T428" s="15" t="str">
        <f t="shared" si="93"/>
        <v/>
      </c>
      <c r="U428" s="15" t="str">
        <f t="shared" si="94"/>
        <v/>
      </c>
      <c r="V428" s="15" t="str">
        <f t="shared" si="95"/>
        <v/>
      </c>
      <c r="W428" s="16" t="str">
        <f>IF(V428="","",VLOOKUP(V428,税率及规则!$A$2:$C$8,2,TRUE))</f>
        <v/>
      </c>
      <c r="X428" s="15" t="str">
        <f>IF(V428="","",VLOOKUP(V428,税率及规则!$A$2:$C$8,3,TRUE))</f>
        <v/>
      </c>
      <c r="Y428" s="15" t="str">
        <f t="shared" si="96"/>
        <v/>
      </c>
      <c r="Z428" s="15" t="str">
        <f>IF(U428="","",MAX(0,U428*VLOOKUP(U428,税率及规则!$A$2:$C$8,2,TRUE)-VLOOKUP(U428,税率及规则!$A$2:$C$8,3,TRUE)))</f>
        <v/>
      </c>
      <c r="AA428" s="15" t="str">
        <f t="shared" si="97"/>
        <v/>
      </c>
      <c r="AB428" s="17" t="str">
        <f t="shared" si="98"/>
        <v/>
      </c>
      <c r="AC428" s="17" t="str">
        <f t="shared" si="99"/>
        <v/>
      </c>
      <c r="AD428" s="4" t="str">
        <f>IF(A428="","",IF(COUNTIF($A$2:$A$501,A428)&gt;1,"异常：事件编号重复",IF(OR(C428="",D428="",E428="",F428="",G428=""),"异常：必填项缺失",IF(AND(F428="其他股权激励",O428=""),"异常：其他股权激励所得缺失",IF(AND(F428&lt;&gt;"其他股权激励",OR(I428="",J428="")),"异常：数量或市场价缺失",IF(AND(F428&lt;&gt;"其他股权激励",OR(I428&lt;=0,J428&lt;0)),"异常：数量或价格无效",IF(AND(F428="限制性股票",OR(M428&lt;=0,N428&lt;0,I428&gt;M428)),"异常：个人获授或出资数据无效",IF(AND(IFERROR(INDEX(计划参数!$J$2:$J$501,MATCH(C428,计划参数!$I$2:$I$501,0)),"")&lt;&gt;"",D428&lt;&gt;IFERROR(INDEX(计划参数!$J$2:$J$501,MATCH(C428,计划参数!$I$2:$I$501,0)),"")),"异常：姓名与员工主数据不一致",IF(S428&lt;0,"异常：原始所得为负，已按0计税",IF(OR(AND(F428="股票期权",K428=""),AND(F428="限制性股票",OR(K428="",L428=""))),"异常：计划参数缺失",IF(COUNTIF(计划参数!$I$2:$I$501,C428)=0,"提示：员工编号未在主数据",IF(Q428&lt;&gt;"已备案","提示：未确认备案","正常"))))))))))))</f>
        <v/>
      </c>
      <c r="AE428" s="9"/>
      <c r="AF428" s="4" t="str">
        <f>IF(C428="","",IF(COUNTIF($C$2:C428,C428)=1,MAX($AF$1:AF427)+1,""))</f>
        <v/>
      </c>
      <c r="AG428" s="4" t="str">
        <f>IF(C428="","",COUNTIF($C$2:C428,C428))</f>
        <v/>
      </c>
      <c r="AH428" s="4" t="str">
        <f t="shared" si="100"/>
        <v/>
      </c>
      <c r="AI428" s="4" t="str">
        <f t="shared" si="101"/>
        <v/>
      </c>
      <c r="AJ428" s="4" t="str">
        <f t="shared" si="102"/>
        <v/>
      </c>
      <c r="AK428" s="15" t="str">
        <f>IF(A428="","",SUMIFS(分期缴税台账!$K$2:$K$501,分期缴税台账!$T$2:$T$501,A428,分期缴税台账!$Q$2:$Q$501,"有效"))</f>
        <v/>
      </c>
      <c r="AL428" s="15" t="str">
        <f t="shared" si="103"/>
        <v/>
      </c>
      <c r="AM428" s="4" t="str">
        <f t="shared" si="104"/>
        <v/>
      </c>
    </row>
    <row r="429" spans="1:39" x14ac:dyDescent="0.3">
      <c r="A429" s="9"/>
      <c r="B429" s="4" t="str">
        <f t="shared" si="90"/>
        <v/>
      </c>
      <c r="C429" s="9"/>
      <c r="D429" s="9"/>
      <c r="E429" s="9"/>
      <c r="F429" s="9"/>
      <c r="G429" s="13"/>
      <c r="H429" s="4" t="str">
        <f t="shared" si="91"/>
        <v/>
      </c>
      <c r="I429" s="9"/>
      <c r="J429" s="14"/>
      <c r="K429" s="15" t="str">
        <f>IF(OR(E429="",F429="",G429=""),"",IF(E429&lt;&gt;计划参数!$C$2,"",IF(F429="股票期权",IFERROR(LOOKUP(G429,计划参数!$D$12:$D$15,计划参数!$C$12:$C$15),""),IF(F429="限制性股票",计划参数!$C$10,""))))</f>
        <v/>
      </c>
      <c r="L429" s="15" t="str">
        <f>IF(AND(E429=计划参数!$C$2,F429="限制性股票",G429&gt;=计划参数!$D$9),计划参数!$C$9,"")</f>
        <v/>
      </c>
      <c r="M429" s="9"/>
      <c r="N429" s="14"/>
      <c r="O429" s="14"/>
      <c r="P429" s="13"/>
      <c r="Q429" s="9"/>
      <c r="R429" s="13"/>
      <c r="S429" s="15" t="str">
        <f t="shared" si="92"/>
        <v/>
      </c>
      <c r="T429" s="15" t="str">
        <f t="shared" si="93"/>
        <v/>
      </c>
      <c r="U429" s="15" t="str">
        <f t="shared" si="94"/>
        <v/>
      </c>
      <c r="V429" s="15" t="str">
        <f t="shared" si="95"/>
        <v/>
      </c>
      <c r="W429" s="16" t="str">
        <f>IF(V429="","",VLOOKUP(V429,税率及规则!$A$2:$C$8,2,TRUE))</f>
        <v/>
      </c>
      <c r="X429" s="15" t="str">
        <f>IF(V429="","",VLOOKUP(V429,税率及规则!$A$2:$C$8,3,TRUE))</f>
        <v/>
      </c>
      <c r="Y429" s="15" t="str">
        <f t="shared" si="96"/>
        <v/>
      </c>
      <c r="Z429" s="15" t="str">
        <f>IF(U429="","",MAX(0,U429*VLOOKUP(U429,税率及规则!$A$2:$C$8,2,TRUE)-VLOOKUP(U429,税率及规则!$A$2:$C$8,3,TRUE)))</f>
        <v/>
      </c>
      <c r="AA429" s="15" t="str">
        <f t="shared" si="97"/>
        <v/>
      </c>
      <c r="AB429" s="17" t="str">
        <f t="shared" si="98"/>
        <v/>
      </c>
      <c r="AC429" s="17" t="str">
        <f t="shared" si="99"/>
        <v/>
      </c>
      <c r="AD429" s="4" t="str">
        <f>IF(A429="","",IF(COUNTIF($A$2:$A$501,A429)&gt;1,"异常：事件编号重复",IF(OR(C429="",D429="",E429="",F429="",G429=""),"异常：必填项缺失",IF(AND(F429="其他股权激励",O429=""),"异常：其他股权激励所得缺失",IF(AND(F429&lt;&gt;"其他股权激励",OR(I429="",J429="")),"异常：数量或市场价缺失",IF(AND(F429&lt;&gt;"其他股权激励",OR(I429&lt;=0,J429&lt;0)),"异常：数量或价格无效",IF(AND(F429="限制性股票",OR(M429&lt;=0,N429&lt;0,I429&gt;M429)),"异常：个人获授或出资数据无效",IF(AND(IFERROR(INDEX(计划参数!$J$2:$J$501,MATCH(C429,计划参数!$I$2:$I$501,0)),"")&lt;&gt;"",D429&lt;&gt;IFERROR(INDEX(计划参数!$J$2:$J$501,MATCH(C429,计划参数!$I$2:$I$501,0)),"")),"异常：姓名与员工主数据不一致",IF(S429&lt;0,"异常：原始所得为负，已按0计税",IF(OR(AND(F429="股票期权",K429=""),AND(F429="限制性股票",OR(K429="",L429=""))),"异常：计划参数缺失",IF(COUNTIF(计划参数!$I$2:$I$501,C429)=0,"提示：员工编号未在主数据",IF(Q429&lt;&gt;"已备案","提示：未确认备案","正常"))))))))))))</f>
        <v/>
      </c>
      <c r="AE429" s="9"/>
      <c r="AF429" s="4" t="str">
        <f>IF(C429="","",IF(COUNTIF($C$2:C429,C429)=1,MAX($AF$1:AF428)+1,""))</f>
        <v/>
      </c>
      <c r="AG429" s="4" t="str">
        <f>IF(C429="","",COUNTIF($C$2:C429,C429))</f>
        <v/>
      </c>
      <c r="AH429" s="4" t="str">
        <f t="shared" si="100"/>
        <v/>
      </c>
      <c r="AI429" s="4" t="str">
        <f t="shared" si="101"/>
        <v/>
      </c>
      <c r="AJ429" s="4" t="str">
        <f t="shared" si="102"/>
        <v/>
      </c>
      <c r="AK429" s="15" t="str">
        <f>IF(A429="","",SUMIFS(分期缴税台账!$K$2:$K$501,分期缴税台账!$T$2:$T$501,A429,分期缴税台账!$Q$2:$Q$501,"有效"))</f>
        <v/>
      </c>
      <c r="AL429" s="15" t="str">
        <f t="shared" si="103"/>
        <v/>
      </c>
      <c r="AM429" s="4" t="str">
        <f t="shared" si="104"/>
        <v/>
      </c>
    </row>
    <row r="430" spans="1:39" x14ac:dyDescent="0.3">
      <c r="A430" s="9"/>
      <c r="B430" s="4" t="str">
        <f t="shared" si="90"/>
        <v/>
      </c>
      <c r="C430" s="9"/>
      <c r="D430" s="9"/>
      <c r="E430" s="9"/>
      <c r="F430" s="9"/>
      <c r="G430" s="13"/>
      <c r="H430" s="4" t="str">
        <f t="shared" si="91"/>
        <v/>
      </c>
      <c r="I430" s="9"/>
      <c r="J430" s="14"/>
      <c r="K430" s="15" t="str">
        <f>IF(OR(E430="",F430="",G430=""),"",IF(E430&lt;&gt;计划参数!$C$2,"",IF(F430="股票期权",IFERROR(LOOKUP(G430,计划参数!$D$12:$D$15,计划参数!$C$12:$C$15),""),IF(F430="限制性股票",计划参数!$C$10,""))))</f>
        <v/>
      </c>
      <c r="L430" s="15" t="str">
        <f>IF(AND(E430=计划参数!$C$2,F430="限制性股票",G430&gt;=计划参数!$D$9),计划参数!$C$9,"")</f>
        <v/>
      </c>
      <c r="M430" s="9"/>
      <c r="N430" s="14"/>
      <c r="O430" s="14"/>
      <c r="P430" s="13"/>
      <c r="Q430" s="9"/>
      <c r="R430" s="13"/>
      <c r="S430" s="15" t="str">
        <f t="shared" si="92"/>
        <v/>
      </c>
      <c r="T430" s="15" t="str">
        <f t="shared" si="93"/>
        <v/>
      </c>
      <c r="U430" s="15" t="str">
        <f t="shared" si="94"/>
        <v/>
      </c>
      <c r="V430" s="15" t="str">
        <f t="shared" si="95"/>
        <v/>
      </c>
      <c r="W430" s="16" t="str">
        <f>IF(V430="","",VLOOKUP(V430,税率及规则!$A$2:$C$8,2,TRUE))</f>
        <v/>
      </c>
      <c r="X430" s="15" t="str">
        <f>IF(V430="","",VLOOKUP(V430,税率及规则!$A$2:$C$8,3,TRUE))</f>
        <v/>
      </c>
      <c r="Y430" s="15" t="str">
        <f t="shared" si="96"/>
        <v/>
      </c>
      <c r="Z430" s="15" t="str">
        <f>IF(U430="","",MAX(0,U430*VLOOKUP(U430,税率及规则!$A$2:$C$8,2,TRUE)-VLOOKUP(U430,税率及规则!$A$2:$C$8,3,TRUE)))</f>
        <v/>
      </c>
      <c r="AA430" s="15" t="str">
        <f t="shared" si="97"/>
        <v/>
      </c>
      <c r="AB430" s="17" t="str">
        <f t="shared" si="98"/>
        <v/>
      </c>
      <c r="AC430" s="17" t="str">
        <f t="shared" si="99"/>
        <v/>
      </c>
      <c r="AD430" s="4" t="str">
        <f>IF(A430="","",IF(COUNTIF($A$2:$A$501,A430)&gt;1,"异常：事件编号重复",IF(OR(C430="",D430="",E430="",F430="",G430=""),"异常：必填项缺失",IF(AND(F430="其他股权激励",O430=""),"异常：其他股权激励所得缺失",IF(AND(F430&lt;&gt;"其他股权激励",OR(I430="",J430="")),"异常：数量或市场价缺失",IF(AND(F430&lt;&gt;"其他股权激励",OR(I430&lt;=0,J430&lt;0)),"异常：数量或价格无效",IF(AND(F430="限制性股票",OR(M430&lt;=0,N430&lt;0,I430&gt;M430)),"异常：个人获授或出资数据无效",IF(AND(IFERROR(INDEX(计划参数!$J$2:$J$501,MATCH(C430,计划参数!$I$2:$I$501,0)),"")&lt;&gt;"",D430&lt;&gt;IFERROR(INDEX(计划参数!$J$2:$J$501,MATCH(C430,计划参数!$I$2:$I$501,0)),"")),"异常：姓名与员工主数据不一致",IF(S430&lt;0,"异常：原始所得为负，已按0计税",IF(OR(AND(F430="股票期权",K430=""),AND(F430="限制性股票",OR(K430="",L430=""))),"异常：计划参数缺失",IF(COUNTIF(计划参数!$I$2:$I$501,C430)=0,"提示：员工编号未在主数据",IF(Q430&lt;&gt;"已备案","提示：未确认备案","正常"))))))))))))</f>
        <v/>
      </c>
      <c r="AE430" s="9"/>
      <c r="AF430" s="4" t="str">
        <f>IF(C430="","",IF(COUNTIF($C$2:C430,C430)=1,MAX($AF$1:AF429)+1,""))</f>
        <v/>
      </c>
      <c r="AG430" s="4" t="str">
        <f>IF(C430="","",COUNTIF($C$2:C430,C430))</f>
        <v/>
      </c>
      <c r="AH430" s="4" t="str">
        <f t="shared" si="100"/>
        <v/>
      </c>
      <c r="AI430" s="4" t="str">
        <f t="shared" si="101"/>
        <v/>
      </c>
      <c r="AJ430" s="4" t="str">
        <f t="shared" si="102"/>
        <v/>
      </c>
      <c r="AK430" s="15" t="str">
        <f>IF(A430="","",SUMIFS(分期缴税台账!$K$2:$K$501,分期缴税台账!$T$2:$T$501,A430,分期缴税台账!$Q$2:$Q$501,"有效"))</f>
        <v/>
      </c>
      <c r="AL430" s="15" t="str">
        <f t="shared" si="103"/>
        <v/>
      </c>
      <c r="AM430" s="4" t="str">
        <f t="shared" si="104"/>
        <v/>
      </c>
    </row>
    <row r="431" spans="1:39" x14ac:dyDescent="0.3">
      <c r="A431" s="9"/>
      <c r="B431" s="4" t="str">
        <f t="shared" si="90"/>
        <v/>
      </c>
      <c r="C431" s="9"/>
      <c r="D431" s="9"/>
      <c r="E431" s="9"/>
      <c r="F431" s="9"/>
      <c r="G431" s="13"/>
      <c r="H431" s="4" t="str">
        <f t="shared" si="91"/>
        <v/>
      </c>
      <c r="I431" s="9"/>
      <c r="J431" s="14"/>
      <c r="K431" s="15" t="str">
        <f>IF(OR(E431="",F431="",G431=""),"",IF(E431&lt;&gt;计划参数!$C$2,"",IF(F431="股票期权",IFERROR(LOOKUP(G431,计划参数!$D$12:$D$15,计划参数!$C$12:$C$15),""),IF(F431="限制性股票",计划参数!$C$10,""))))</f>
        <v/>
      </c>
      <c r="L431" s="15" t="str">
        <f>IF(AND(E431=计划参数!$C$2,F431="限制性股票",G431&gt;=计划参数!$D$9),计划参数!$C$9,"")</f>
        <v/>
      </c>
      <c r="M431" s="9"/>
      <c r="N431" s="14"/>
      <c r="O431" s="14"/>
      <c r="P431" s="13"/>
      <c r="Q431" s="9"/>
      <c r="R431" s="13"/>
      <c r="S431" s="15" t="str">
        <f t="shared" si="92"/>
        <v/>
      </c>
      <c r="T431" s="15" t="str">
        <f t="shared" si="93"/>
        <v/>
      </c>
      <c r="U431" s="15" t="str">
        <f t="shared" si="94"/>
        <v/>
      </c>
      <c r="V431" s="15" t="str">
        <f t="shared" si="95"/>
        <v/>
      </c>
      <c r="W431" s="16" t="str">
        <f>IF(V431="","",VLOOKUP(V431,税率及规则!$A$2:$C$8,2,TRUE))</f>
        <v/>
      </c>
      <c r="X431" s="15" t="str">
        <f>IF(V431="","",VLOOKUP(V431,税率及规则!$A$2:$C$8,3,TRUE))</f>
        <v/>
      </c>
      <c r="Y431" s="15" t="str">
        <f t="shared" si="96"/>
        <v/>
      </c>
      <c r="Z431" s="15" t="str">
        <f>IF(U431="","",MAX(0,U431*VLOOKUP(U431,税率及规则!$A$2:$C$8,2,TRUE)-VLOOKUP(U431,税率及规则!$A$2:$C$8,3,TRUE)))</f>
        <v/>
      </c>
      <c r="AA431" s="15" t="str">
        <f t="shared" si="97"/>
        <v/>
      </c>
      <c r="AB431" s="17" t="str">
        <f t="shared" si="98"/>
        <v/>
      </c>
      <c r="AC431" s="17" t="str">
        <f t="shared" si="99"/>
        <v/>
      </c>
      <c r="AD431" s="4" t="str">
        <f>IF(A431="","",IF(COUNTIF($A$2:$A$501,A431)&gt;1,"异常：事件编号重复",IF(OR(C431="",D431="",E431="",F431="",G431=""),"异常：必填项缺失",IF(AND(F431="其他股权激励",O431=""),"异常：其他股权激励所得缺失",IF(AND(F431&lt;&gt;"其他股权激励",OR(I431="",J431="")),"异常：数量或市场价缺失",IF(AND(F431&lt;&gt;"其他股权激励",OR(I431&lt;=0,J431&lt;0)),"异常：数量或价格无效",IF(AND(F431="限制性股票",OR(M431&lt;=0,N431&lt;0,I431&gt;M431)),"异常：个人获授或出资数据无效",IF(AND(IFERROR(INDEX(计划参数!$J$2:$J$501,MATCH(C431,计划参数!$I$2:$I$501,0)),"")&lt;&gt;"",D431&lt;&gt;IFERROR(INDEX(计划参数!$J$2:$J$501,MATCH(C431,计划参数!$I$2:$I$501,0)),"")),"异常：姓名与员工主数据不一致",IF(S431&lt;0,"异常：原始所得为负，已按0计税",IF(OR(AND(F431="股票期权",K431=""),AND(F431="限制性股票",OR(K431="",L431=""))),"异常：计划参数缺失",IF(COUNTIF(计划参数!$I$2:$I$501,C431)=0,"提示：员工编号未在主数据",IF(Q431&lt;&gt;"已备案","提示：未确认备案","正常"))))))))))))</f>
        <v/>
      </c>
      <c r="AE431" s="9"/>
      <c r="AF431" s="4" t="str">
        <f>IF(C431="","",IF(COUNTIF($C$2:C431,C431)=1,MAX($AF$1:AF430)+1,""))</f>
        <v/>
      </c>
      <c r="AG431" s="4" t="str">
        <f>IF(C431="","",COUNTIF($C$2:C431,C431))</f>
        <v/>
      </c>
      <c r="AH431" s="4" t="str">
        <f t="shared" si="100"/>
        <v/>
      </c>
      <c r="AI431" s="4" t="str">
        <f t="shared" si="101"/>
        <v/>
      </c>
      <c r="AJ431" s="4" t="str">
        <f t="shared" si="102"/>
        <v/>
      </c>
      <c r="AK431" s="15" t="str">
        <f>IF(A431="","",SUMIFS(分期缴税台账!$K$2:$K$501,分期缴税台账!$T$2:$T$501,A431,分期缴税台账!$Q$2:$Q$501,"有效"))</f>
        <v/>
      </c>
      <c r="AL431" s="15" t="str">
        <f t="shared" si="103"/>
        <v/>
      </c>
      <c r="AM431" s="4" t="str">
        <f t="shared" si="104"/>
        <v/>
      </c>
    </row>
    <row r="432" spans="1:39" x14ac:dyDescent="0.3">
      <c r="A432" s="9"/>
      <c r="B432" s="4" t="str">
        <f t="shared" si="90"/>
        <v/>
      </c>
      <c r="C432" s="9"/>
      <c r="D432" s="9"/>
      <c r="E432" s="9"/>
      <c r="F432" s="9"/>
      <c r="G432" s="13"/>
      <c r="H432" s="4" t="str">
        <f t="shared" si="91"/>
        <v/>
      </c>
      <c r="I432" s="9"/>
      <c r="J432" s="14"/>
      <c r="K432" s="15" t="str">
        <f>IF(OR(E432="",F432="",G432=""),"",IF(E432&lt;&gt;计划参数!$C$2,"",IF(F432="股票期权",IFERROR(LOOKUP(G432,计划参数!$D$12:$D$15,计划参数!$C$12:$C$15),""),IF(F432="限制性股票",计划参数!$C$10,""))))</f>
        <v/>
      </c>
      <c r="L432" s="15" t="str">
        <f>IF(AND(E432=计划参数!$C$2,F432="限制性股票",G432&gt;=计划参数!$D$9),计划参数!$C$9,"")</f>
        <v/>
      </c>
      <c r="M432" s="9"/>
      <c r="N432" s="14"/>
      <c r="O432" s="14"/>
      <c r="P432" s="13"/>
      <c r="Q432" s="9"/>
      <c r="R432" s="13"/>
      <c r="S432" s="15" t="str">
        <f t="shared" si="92"/>
        <v/>
      </c>
      <c r="T432" s="15" t="str">
        <f t="shared" si="93"/>
        <v/>
      </c>
      <c r="U432" s="15" t="str">
        <f t="shared" si="94"/>
        <v/>
      </c>
      <c r="V432" s="15" t="str">
        <f t="shared" si="95"/>
        <v/>
      </c>
      <c r="W432" s="16" t="str">
        <f>IF(V432="","",VLOOKUP(V432,税率及规则!$A$2:$C$8,2,TRUE))</f>
        <v/>
      </c>
      <c r="X432" s="15" t="str">
        <f>IF(V432="","",VLOOKUP(V432,税率及规则!$A$2:$C$8,3,TRUE))</f>
        <v/>
      </c>
      <c r="Y432" s="15" t="str">
        <f t="shared" si="96"/>
        <v/>
      </c>
      <c r="Z432" s="15" t="str">
        <f>IF(U432="","",MAX(0,U432*VLOOKUP(U432,税率及规则!$A$2:$C$8,2,TRUE)-VLOOKUP(U432,税率及规则!$A$2:$C$8,3,TRUE)))</f>
        <v/>
      </c>
      <c r="AA432" s="15" t="str">
        <f t="shared" si="97"/>
        <v/>
      </c>
      <c r="AB432" s="17" t="str">
        <f t="shared" si="98"/>
        <v/>
      </c>
      <c r="AC432" s="17" t="str">
        <f t="shared" si="99"/>
        <v/>
      </c>
      <c r="AD432" s="4" t="str">
        <f>IF(A432="","",IF(COUNTIF($A$2:$A$501,A432)&gt;1,"异常：事件编号重复",IF(OR(C432="",D432="",E432="",F432="",G432=""),"异常：必填项缺失",IF(AND(F432="其他股权激励",O432=""),"异常：其他股权激励所得缺失",IF(AND(F432&lt;&gt;"其他股权激励",OR(I432="",J432="")),"异常：数量或市场价缺失",IF(AND(F432&lt;&gt;"其他股权激励",OR(I432&lt;=0,J432&lt;0)),"异常：数量或价格无效",IF(AND(F432="限制性股票",OR(M432&lt;=0,N432&lt;0,I432&gt;M432)),"异常：个人获授或出资数据无效",IF(AND(IFERROR(INDEX(计划参数!$J$2:$J$501,MATCH(C432,计划参数!$I$2:$I$501,0)),"")&lt;&gt;"",D432&lt;&gt;IFERROR(INDEX(计划参数!$J$2:$J$501,MATCH(C432,计划参数!$I$2:$I$501,0)),"")),"异常：姓名与员工主数据不一致",IF(S432&lt;0,"异常：原始所得为负，已按0计税",IF(OR(AND(F432="股票期权",K432=""),AND(F432="限制性股票",OR(K432="",L432=""))),"异常：计划参数缺失",IF(COUNTIF(计划参数!$I$2:$I$501,C432)=0,"提示：员工编号未在主数据",IF(Q432&lt;&gt;"已备案","提示：未确认备案","正常"))))))))))))</f>
        <v/>
      </c>
      <c r="AE432" s="9"/>
      <c r="AF432" s="4" t="str">
        <f>IF(C432="","",IF(COUNTIF($C$2:C432,C432)=1,MAX($AF$1:AF431)+1,""))</f>
        <v/>
      </c>
      <c r="AG432" s="4" t="str">
        <f>IF(C432="","",COUNTIF($C$2:C432,C432))</f>
        <v/>
      </c>
      <c r="AH432" s="4" t="str">
        <f t="shared" si="100"/>
        <v/>
      </c>
      <c r="AI432" s="4" t="str">
        <f t="shared" si="101"/>
        <v/>
      </c>
      <c r="AJ432" s="4" t="str">
        <f t="shared" si="102"/>
        <v/>
      </c>
      <c r="AK432" s="15" t="str">
        <f>IF(A432="","",SUMIFS(分期缴税台账!$K$2:$K$501,分期缴税台账!$T$2:$T$501,A432,分期缴税台账!$Q$2:$Q$501,"有效"))</f>
        <v/>
      </c>
      <c r="AL432" s="15" t="str">
        <f t="shared" si="103"/>
        <v/>
      </c>
      <c r="AM432" s="4" t="str">
        <f t="shared" si="104"/>
        <v/>
      </c>
    </row>
    <row r="433" spans="1:39" x14ac:dyDescent="0.3">
      <c r="A433" s="9"/>
      <c r="B433" s="4" t="str">
        <f t="shared" si="90"/>
        <v/>
      </c>
      <c r="C433" s="9"/>
      <c r="D433" s="9"/>
      <c r="E433" s="9"/>
      <c r="F433" s="9"/>
      <c r="G433" s="13"/>
      <c r="H433" s="4" t="str">
        <f t="shared" si="91"/>
        <v/>
      </c>
      <c r="I433" s="9"/>
      <c r="J433" s="14"/>
      <c r="K433" s="15" t="str">
        <f>IF(OR(E433="",F433="",G433=""),"",IF(E433&lt;&gt;计划参数!$C$2,"",IF(F433="股票期权",IFERROR(LOOKUP(G433,计划参数!$D$12:$D$15,计划参数!$C$12:$C$15),""),IF(F433="限制性股票",计划参数!$C$10,""))))</f>
        <v/>
      </c>
      <c r="L433" s="15" t="str">
        <f>IF(AND(E433=计划参数!$C$2,F433="限制性股票",G433&gt;=计划参数!$D$9),计划参数!$C$9,"")</f>
        <v/>
      </c>
      <c r="M433" s="9"/>
      <c r="N433" s="14"/>
      <c r="O433" s="14"/>
      <c r="P433" s="13"/>
      <c r="Q433" s="9"/>
      <c r="R433" s="13"/>
      <c r="S433" s="15" t="str">
        <f t="shared" si="92"/>
        <v/>
      </c>
      <c r="T433" s="15" t="str">
        <f t="shared" si="93"/>
        <v/>
      </c>
      <c r="U433" s="15" t="str">
        <f t="shared" si="94"/>
        <v/>
      </c>
      <c r="V433" s="15" t="str">
        <f t="shared" si="95"/>
        <v/>
      </c>
      <c r="W433" s="16" t="str">
        <f>IF(V433="","",VLOOKUP(V433,税率及规则!$A$2:$C$8,2,TRUE))</f>
        <v/>
      </c>
      <c r="X433" s="15" t="str">
        <f>IF(V433="","",VLOOKUP(V433,税率及规则!$A$2:$C$8,3,TRUE))</f>
        <v/>
      </c>
      <c r="Y433" s="15" t="str">
        <f t="shared" si="96"/>
        <v/>
      </c>
      <c r="Z433" s="15" t="str">
        <f>IF(U433="","",MAX(0,U433*VLOOKUP(U433,税率及规则!$A$2:$C$8,2,TRUE)-VLOOKUP(U433,税率及规则!$A$2:$C$8,3,TRUE)))</f>
        <v/>
      </c>
      <c r="AA433" s="15" t="str">
        <f t="shared" si="97"/>
        <v/>
      </c>
      <c r="AB433" s="17" t="str">
        <f t="shared" si="98"/>
        <v/>
      </c>
      <c r="AC433" s="17" t="str">
        <f t="shared" si="99"/>
        <v/>
      </c>
      <c r="AD433" s="4" t="str">
        <f>IF(A433="","",IF(COUNTIF($A$2:$A$501,A433)&gt;1,"异常：事件编号重复",IF(OR(C433="",D433="",E433="",F433="",G433=""),"异常：必填项缺失",IF(AND(F433="其他股权激励",O433=""),"异常：其他股权激励所得缺失",IF(AND(F433&lt;&gt;"其他股权激励",OR(I433="",J433="")),"异常：数量或市场价缺失",IF(AND(F433&lt;&gt;"其他股权激励",OR(I433&lt;=0,J433&lt;0)),"异常：数量或价格无效",IF(AND(F433="限制性股票",OR(M433&lt;=0,N433&lt;0,I433&gt;M433)),"异常：个人获授或出资数据无效",IF(AND(IFERROR(INDEX(计划参数!$J$2:$J$501,MATCH(C433,计划参数!$I$2:$I$501,0)),"")&lt;&gt;"",D433&lt;&gt;IFERROR(INDEX(计划参数!$J$2:$J$501,MATCH(C433,计划参数!$I$2:$I$501,0)),"")),"异常：姓名与员工主数据不一致",IF(S433&lt;0,"异常：原始所得为负，已按0计税",IF(OR(AND(F433="股票期权",K433=""),AND(F433="限制性股票",OR(K433="",L433=""))),"异常：计划参数缺失",IF(COUNTIF(计划参数!$I$2:$I$501,C433)=0,"提示：员工编号未在主数据",IF(Q433&lt;&gt;"已备案","提示：未确认备案","正常"))))))))))))</f>
        <v/>
      </c>
      <c r="AE433" s="9"/>
      <c r="AF433" s="4" t="str">
        <f>IF(C433="","",IF(COUNTIF($C$2:C433,C433)=1,MAX($AF$1:AF432)+1,""))</f>
        <v/>
      </c>
      <c r="AG433" s="4" t="str">
        <f>IF(C433="","",COUNTIF($C$2:C433,C433))</f>
        <v/>
      </c>
      <c r="AH433" s="4" t="str">
        <f t="shared" si="100"/>
        <v/>
      </c>
      <c r="AI433" s="4" t="str">
        <f t="shared" si="101"/>
        <v/>
      </c>
      <c r="AJ433" s="4" t="str">
        <f t="shared" si="102"/>
        <v/>
      </c>
      <c r="AK433" s="15" t="str">
        <f>IF(A433="","",SUMIFS(分期缴税台账!$K$2:$K$501,分期缴税台账!$T$2:$T$501,A433,分期缴税台账!$Q$2:$Q$501,"有效"))</f>
        <v/>
      </c>
      <c r="AL433" s="15" t="str">
        <f t="shared" si="103"/>
        <v/>
      </c>
      <c r="AM433" s="4" t="str">
        <f t="shared" si="104"/>
        <v/>
      </c>
    </row>
    <row r="434" spans="1:39" x14ac:dyDescent="0.3">
      <c r="A434" s="9"/>
      <c r="B434" s="4" t="str">
        <f t="shared" si="90"/>
        <v/>
      </c>
      <c r="C434" s="9"/>
      <c r="D434" s="9"/>
      <c r="E434" s="9"/>
      <c r="F434" s="9"/>
      <c r="G434" s="13"/>
      <c r="H434" s="4" t="str">
        <f t="shared" si="91"/>
        <v/>
      </c>
      <c r="I434" s="9"/>
      <c r="J434" s="14"/>
      <c r="K434" s="15" t="str">
        <f>IF(OR(E434="",F434="",G434=""),"",IF(E434&lt;&gt;计划参数!$C$2,"",IF(F434="股票期权",IFERROR(LOOKUP(G434,计划参数!$D$12:$D$15,计划参数!$C$12:$C$15),""),IF(F434="限制性股票",计划参数!$C$10,""))))</f>
        <v/>
      </c>
      <c r="L434" s="15" t="str">
        <f>IF(AND(E434=计划参数!$C$2,F434="限制性股票",G434&gt;=计划参数!$D$9),计划参数!$C$9,"")</f>
        <v/>
      </c>
      <c r="M434" s="9"/>
      <c r="N434" s="14"/>
      <c r="O434" s="14"/>
      <c r="P434" s="13"/>
      <c r="Q434" s="9"/>
      <c r="R434" s="13"/>
      <c r="S434" s="15" t="str">
        <f t="shared" si="92"/>
        <v/>
      </c>
      <c r="T434" s="15" t="str">
        <f t="shared" si="93"/>
        <v/>
      </c>
      <c r="U434" s="15" t="str">
        <f t="shared" si="94"/>
        <v/>
      </c>
      <c r="V434" s="15" t="str">
        <f t="shared" si="95"/>
        <v/>
      </c>
      <c r="W434" s="16" t="str">
        <f>IF(V434="","",VLOOKUP(V434,税率及规则!$A$2:$C$8,2,TRUE))</f>
        <v/>
      </c>
      <c r="X434" s="15" t="str">
        <f>IF(V434="","",VLOOKUP(V434,税率及规则!$A$2:$C$8,3,TRUE))</f>
        <v/>
      </c>
      <c r="Y434" s="15" t="str">
        <f t="shared" si="96"/>
        <v/>
      </c>
      <c r="Z434" s="15" t="str">
        <f>IF(U434="","",MAX(0,U434*VLOOKUP(U434,税率及规则!$A$2:$C$8,2,TRUE)-VLOOKUP(U434,税率及规则!$A$2:$C$8,3,TRUE)))</f>
        <v/>
      </c>
      <c r="AA434" s="15" t="str">
        <f t="shared" si="97"/>
        <v/>
      </c>
      <c r="AB434" s="17" t="str">
        <f t="shared" si="98"/>
        <v/>
      </c>
      <c r="AC434" s="17" t="str">
        <f t="shared" si="99"/>
        <v/>
      </c>
      <c r="AD434" s="4" t="str">
        <f>IF(A434="","",IF(COUNTIF($A$2:$A$501,A434)&gt;1,"异常：事件编号重复",IF(OR(C434="",D434="",E434="",F434="",G434=""),"异常：必填项缺失",IF(AND(F434="其他股权激励",O434=""),"异常：其他股权激励所得缺失",IF(AND(F434&lt;&gt;"其他股权激励",OR(I434="",J434="")),"异常：数量或市场价缺失",IF(AND(F434&lt;&gt;"其他股权激励",OR(I434&lt;=0,J434&lt;0)),"异常：数量或价格无效",IF(AND(F434="限制性股票",OR(M434&lt;=0,N434&lt;0,I434&gt;M434)),"异常：个人获授或出资数据无效",IF(AND(IFERROR(INDEX(计划参数!$J$2:$J$501,MATCH(C434,计划参数!$I$2:$I$501,0)),"")&lt;&gt;"",D434&lt;&gt;IFERROR(INDEX(计划参数!$J$2:$J$501,MATCH(C434,计划参数!$I$2:$I$501,0)),"")),"异常：姓名与员工主数据不一致",IF(S434&lt;0,"异常：原始所得为负，已按0计税",IF(OR(AND(F434="股票期权",K434=""),AND(F434="限制性股票",OR(K434="",L434=""))),"异常：计划参数缺失",IF(COUNTIF(计划参数!$I$2:$I$501,C434)=0,"提示：员工编号未在主数据",IF(Q434&lt;&gt;"已备案","提示：未确认备案","正常"))))))))))))</f>
        <v/>
      </c>
      <c r="AE434" s="9"/>
      <c r="AF434" s="4" t="str">
        <f>IF(C434="","",IF(COUNTIF($C$2:C434,C434)=1,MAX($AF$1:AF433)+1,""))</f>
        <v/>
      </c>
      <c r="AG434" s="4" t="str">
        <f>IF(C434="","",COUNTIF($C$2:C434,C434))</f>
        <v/>
      </c>
      <c r="AH434" s="4" t="str">
        <f t="shared" si="100"/>
        <v/>
      </c>
      <c r="AI434" s="4" t="str">
        <f t="shared" si="101"/>
        <v/>
      </c>
      <c r="AJ434" s="4" t="str">
        <f t="shared" si="102"/>
        <v/>
      </c>
      <c r="AK434" s="15" t="str">
        <f>IF(A434="","",SUMIFS(分期缴税台账!$K$2:$K$501,分期缴税台账!$T$2:$T$501,A434,分期缴税台账!$Q$2:$Q$501,"有效"))</f>
        <v/>
      </c>
      <c r="AL434" s="15" t="str">
        <f t="shared" si="103"/>
        <v/>
      </c>
      <c r="AM434" s="4" t="str">
        <f t="shared" si="104"/>
        <v/>
      </c>
    </row>
    <row r="435" spans="1:39" x14ac:dyDescent="0.3">
      <c r="A435" s="9"/>
      <c r="B435" s="4" t="str">
        <f t="shared" si="90"/>
        <v/>
      </c>
      <c r="C435" s="9"/>
      <c r="D435" s="9"/>
      <c r="E435" s="9"/>
      <c r="F435" s="9"/>
      <c r="G435" s="13"/>
      <c r="H435" s="4" t="str">
        <f t="shared" si="91"/>
        <v/>
      </c>
      <c r="I435" s="9"/>
      <c r="J435" s="14"/>
      <c r="K435" s="15" t="str">
        <f>IF(OR(E435="",F435="",G435=""),"",IF(E435&lt;&gt;计划参数!$C$2,"",IF(F435="股票期权",IFERROR(LOOKUP(G435,计划参数!$D$12:$D$15,计划参数!$C$12:$C$15),""),IF(F435="限制性股票",计划参数!$C$10,""))))</f>
        <v/>
      </c>
      <c r="L435" s="15" t="str">
        <f>IF(AND(E435=计划参数!$C$2,F435="限制性股票",G435&gt;=计划参数!$D$9),计划参数!$C$9,"")</f>
        <v/>
      </c>
      <c r="M435" s="9"/>
      <c r="N435" s="14"/>
      <c r="O435" s="14"/>
      <c r="P435" s="13"/>
      <c r="Q435" s="9"/>
      <c r="R435" s="13"/>
      <c r="S435" s="15" t="str">
        <f t="shared" si="92"/>
        <v/>
      </c>
      <c r="T435" s="15" t="str">
        <f t="shared" si="93"/>
        <v/>
      </c>
      <c r="U435" s="15" t="str">
        <f t="shared" si="94"/>
        <v/>
      </c>
      <c r="V435" s="15" t="str">
        <f t="shared" si="95"/>
        <v/>
      </c>
      <c r="W435" s="16" t="str">
        <f>IF(V435="","",VLOOKUP(V435,税率及规则!$A$2:$C$8,2,TRUE))</f>
        <v/>
      </c>
      <c r="X435" s="15" t="str">
        <f>IF(V435="","",VLOOKUP(V435,税率及规则!$A$2:$C$8,3,TRUE))</f>
        <v/>
      </c>
      <c r="Y435" s="15" t="str">
        <f t="shared" si="96"/>
        <v/>
      </c>
      <c r="Z435" s="15" t="str">
        <f>IF(U435="","",MAX(0,U435*VLOOKUP(U435,税率及规则!$A$2:$C$8,2,TRUE)-VLOOKUP(U435,税率及规则!$A$2:$C$8,3,TRUE)))</f>
        <v/>
      </c>
      <c r="AA435" s="15" t="str">
        <f t="shared" si="97"/>
        <v/>
      </c>
      <c r="AB435" s="17" t="str">
        <f t="shared" si="98"/>
        <v/>
      </c>
      <c r="AC435" s="17" t="str">
        <f t="shared" si="99"/>
        <v/>
      </c>
      <c r="AD435" s="4" t="str">
        <f>IF(A435="","",IF(COUNTIF($A$2:$A$501,A435)&gt;1,"异常：事件编号重复",IF(OR(C435="",D435="",E435="",F435="",G435=""),"异常：必填项缺失",IF(AND(F435="其他股权激励",O435=""),"异常：其他股权激励所得缺失",IF(AND(F435&lt;&gt;"其他股权激励",OR(I435="",J435="")),"异常：数量或市场价缺失",IF(AND(F435&lt;&gt;"其他股权激励",OR(I435&lt;=0,J435&lt;0)),"异常：数量或价格无效",IF(AND(F435="限制性股票",OR(M435&lt;=0,N435&lt;0,I435&gt;M435)),"异常：个人获授或出资数据无效",IF(AND(IFERROR(INDEX(计划参数!$J$2:$J$501,MATCH(C435,计划参数!$I$2:$I$501,0)),"")&lt;&gt;"",D435&lt;&gt;IFERROR(INDEX(计划参数!$J$2:$J$501,MATCH(C435,计划参数!$I$2:$I$501,0)),"")),"异常：姓名与员工主数据不一致",IF(S435&lt;0,"异常：原始所得为负，已按0计税",IF(OR(AND(F435="股票期权",K435=""),AND(F435="限制性股票",OR(K435="",L435=""))),"异常：计划参数缺失",IF(COUNTIF(计划参数!$I$2:$I$501,C435)=0,"提示：员工编号未在主数据",IF(Q435&lt;&gt;"已备案","提示：未确认备案","正常"))))))))))))</f>
        <v/>
      </c>
      <c r="AE435" s="9"/>
      <c r="AF435" s="4" t="str">
        <f>IF(C435="","",IF(COUNTIF($C$2:C435,C435)=1,MAX($AF$1:AF434)+1,""))</f>
        <v/>
      </c>
      <c r="AG435" s="4" t="str">
        <f>IF(C435="","",COUNTIF($C$2:C435,C435))</f>
        <v/>
      </c>
      <c r="AH435" s="4" t="str">
        <f t="shared" si="100"/>
        <v/>
      </c>
      <c r="AI435" s="4" t="str">
        <f t="shared" si="101"/>
        <v/>
      </c>
      <c r="AJ435" s="4" t="str">
        <f t="shared" si="102"/>
        <v/>
      </c>
      <c r="AK435" s="15" t="str">
        <f>IF(A435="","",SUMIFS(分期缴税台账!$K$2:$K$501,分期缴税台账!$T$2:$T$501,A435,分期缴税台账!$Q$2:$Q$501,"有效"))</f>
        <v/>
      </c>
      <c r="AL435" s="15" t="str">
        <f t="shared" si="103"/>
        <v/>
      </c>
      <c r="AM435" s="4" t="str">
        <f t="shared" si="104"/>
        <v/>
      </c>
    </row>
    <row r="436" spans="1:39" x14ac:dyDescent="0.3">
      <c r="A436" s="9"/>
      <c r="B436" s="4" t="str">
        <f t="shared" si="90"/>
        <v/>
      </c>
      <c r="C436" s="9"/>
      <c r="D436" s="9"/>
      <c r="E436" s="9"/>
      <c r="F436" s="9"/>
      <c r="G436" s="13"/>
      <c r="H436" s="4" t="str">
        <f t="shared" si="91"/>
        <v/>
      </c>
      <c r="I436" s="9"/>
      <c r="J436" s="14"/>
      <c r="K436" s="15" t="str">
        <f>IF(OR(E436="",F436="",G436=""),"",IF(E436&lt;&gt;计划参数!$C$2,"",IF(F436="股票期权",IFERROR(LOOKUP(G436,计划参数!$D$12:$D$15,计划参数!$C$12:$C$15),""),IF(F436="限制性股票",计划参数!$C$10,""))))</f>
        <v/>
      </c>
      <c r="L436" s="15" t="str">
        <f>IF(AND(E436=计划参数!$C$2,F436="限制性股票",G436&gt;=计划参数!$D$9),计划参数!$C$9,"")</f>
        <v/>
      </c>
      <c r="M436" s="9"/>
      <c r="N436" s="14"/>
      <c r="O436" s="14"/>
      <c r="P436" s="13"/>
      <c r="Q436" s="9"/>
      <c r="R436" s="13"/>
      <c r="S436" s="15" t="str">
        <f t="shared" si="92"/>
        <v/>
      </c>
      <c r="T436" s="15" t="str">
        <f t="shared" si="93"/>
        <v/>
      </c>
      <c r="U436" s="15" t="str">
        <f t="shared" si="94"/>
        <v/>
      </c>
      <c r="V436" s="15" t="str">
        <f t="shared" si="95"/>
        <v/>
      </c>
      <c r="W436" s="16" t="str">
        <f>IF(V436="","",VLOOKUP(V436,税率及规则!$A$2:$C$8,2,TRUE))</f>
        <v/>
      </c>
      <c r="X436" s="15" t="str">
        <f>IF(V436="","",VLOOKUP(V436,税率及规则!$A$2:$C$8,3,TRUE))</f>
        <v/>
      </c>
      <c r="Y436" s="15" t="str">
        <f t="shared" si="96"/>
        <v/>
      </c>
      <c r="Z436" s="15" t="str">
        <f>IF(U436="","",MAX(0,U436*VLOOKUP(U436,税率及规则!$A$2:$C$8,2,TRUE)-VLOOKUP(U436,税率及规则!$A$2:$C$8,3,TRUE)))</f>
        <v/>
      </c>
      <c r="AA436" s="15" t="str">
        <f t="shared" si="97"/>
        <v/>
      </c>
      <c r="AB436" s="17" t="str">
        <f t="shared" si="98"/>
        <v/>
      </c>
      <c r="AC436" s="17" t="str">
        <f t="shared" si="99"/>
        <v/>
      </c>
      <c r="AD436" s="4" t="str">
        <f>IF(A436="","",IF(COUNTIF($A$2:$A$501,A436)&gt;1,"异常：事件编号重复",IF(OR(C436="",D436="",E436="",F436="",G436=""),"异常：必填项缺失",IF(AND(F436="其他股权激励",O436=""),"异常：其他股权激励所得缺失",IF(AND(F436&lt;&gt;"其他股权激励",OR(I436="",J436="")),"异常：数量或市场价缺失",IF(AND(F436&lt;&gt;"其他股权激励",OR(I436&lt;=0,J436&lt;0)),"异常：数量或价格无效",IF(AND(F436="限制性股票",OR(M436&lt;=0,N436&lt;0,I436&gt;M436)),"异常：个人获授或出资数据无效",IF(AND(IFERROR(INDEX(计划参数!$J$2:$J$501,MATCH(C436,计划参数!$I$2:$I$501,0)),"")&lt;&gt;"",D436&lt;&gt;IFERROR(INDEX(计划参数!$J$2:$J$501,MATCH(C436,计划参数!$I$2:$I$501,0)),"")),"异常：姓名与员工主数据不一致",IF(S436&lt;0,"异常：原始所得为负，已按0计税",IF(OR(AND(F436="股票期权",K436=""),AND(F436="限制性股票",OR(K436="",L436=""))),"异常：计划参数缺失",IF(COUNTIF(计划参数!$I$2:$I$501,C436)=0,"提示：员工编号未在主数据",IF(Q436&lt;&gt;"已备案","提示：未确认备案","正常"))))))))))))</f>
        <v/>
      </c>
      <c r="AE436" s="9"/>
      <c r="AF436" s="4" t="str">
        <f>IF(C436="","",IF(COUNTIF($C$2:C436,C436)=1,MAX($AF$1:AF435)+1,""))</f>
        <v/>
      </c>
      <c r="AG436" s="4" t="str">
        <f>IF(C436="","",COUNTIF($C$2:C436,C436))</f>
        <v/>
      </c>
      <c r="AH436" s="4" t="str">
        <f t="shared" si="100"/>
        <v/>
      </c>
      <c r="AI436" s="4" t="str">
        <f t="shared" si="101"/>
        <v/>
      </c>
      <c r="AJ436" s="4" t="str">
        <f t="shared" si="102"/>
        <v/>
      </c>
      <c r="AK436" s="15" t="str">
        <f>IF(A436="","",SUMIFS(分期缴税台账!$K$2:$K$501,分期缴税台账!$T$2:$T$501,A436,分期缴税台账!$Q$2:$Q$501,"有效"))</f>
        <v/>
      </c>
      <c r="AL436" s="15" t="str">
        <f t="shared" si="103"/>
        <v/>
      </c>
      <c r="AM436" s="4" t="str">
        <f t="shared" si="104"/>
        <v/>
      </c>
    </row>
    <row r="437" spans="1:39" x14ac:dyDescent="0.3">
      <c r="A437" s="9"/>
      <c r="B437" s="4" t="str">
        <f t="shared" si="90"/>
        <v/>
      </c>
      <c r="C437" s="9"/>
      <c r="D437" s="9"/>
      <c r="E437" s="9"/>
      <c r="F437" s="9"/>
      <c r="G437" s="13"/>
      <c r="H437" s="4" t="str">
        <f t="shared" si="91"/>
        <v/>
      </c>
      <c r="I437" s="9"/>
      <c r="J437" s="14"/>
      <c r="K437" s="15" t="str">
        <f>IF(OR(E437="",F437="",G437=""),"",IF(E437&lt;&gt;计划参数!$C$2,"",IF(F437="股票期权",IFERROR(LOOKUP(G437,计划参数!$D$12:$D$15,计划参数!$C$12:$C$15),""),IF(F437="限制性股票",计划参数!$C$10,""))))</f>
        <v/>
      </c>
      <c r="L437" s="15" t="str">
        <f>IF(AND(E437=计划参数!$C$2,F437="限制性股票",G437&gt;=计划参数!$D$9),计划参数!$C$9,"")</f>
        <v/>
      </c>
      <c r="M437" s="9"/>
      <c r="N437" s="14"/>
      <c r="O437" s="14"/>
      <c r="P437" s="13"/>
      <c r="Q437" s="9"/>
      <c r="R437" s="13"/>
      <c r="S437" s="15" t="str">
        <f t="shared" si="92"/>
        <v/>
      </c>
      <c r="T437" s="15" t="str">
        <f t="shared" si="93"/>
        <v/>
      </c>
      <c r="U437" s="15" t="str">
        <f t="shared" si="94"/>
        <v/>
      </c>
      <c r="V437" s="15" t="str">
        <f t="shared" si="95"/>
        <v/>
      </c>
      <c r="W437" s="16" t="str">
        <f>IF(V437="","",VLOOKUP(V437,税率及规则!$A$2:$C$8,2,TRUE))</f>
        <v/>
      </c>
      <c r="X437" s="15" t="str">
        <f>IF(V437="","",VLOOKUP(V437,税率及规则!$A$2:$C$8,3,TRUE))</f>
        <v/>
      </c>
      <c r="Y437" s="15" t="str">
        <f t="shared" si="96"/>
        <v/>
      </c>
      <c r="Z437" s="15" t="str">
        <f>IF(U437="","",MAX(0,U437*VLOOKUP(U437,税率及规则!$A$2:$C$8,2,TRUE)-VLOOKUP(U437,税率及规则!$A$2:$C$8,3,TRUE)))</f>
        <v/>
      </c>
      <c r="AA437" s="15" t="str">
        <f t="shared" si="97"/>
        <v/>
      </c>
      <c r="AB437" s="17" t="str">
        <f t="shared" si="98"/>
        <v/>
      </c>
      <c r="AC437" s="17" t="str">
        <f t="shared" si="99"/>
        <v/>
      </c>
      <c r="AD437" s="4" t="str">
        <f>IF(A437="","",IF(COUNTIF($A$2:$A$501,A437)&gt;1,"异常：事件编号重复",IF(OR(C437="",D437="",E437="",F437="",G437=""),"异常：必填项缺失",IF(AND(F437="其他股权激励",O437=""),"异常：其他股权激励所得缺失",IF(AND(F437&lt;&gt;"其他股权激励",OR(I437="",J437="")),"异常：数量或市场价缺失",IF(AND(F437&lt;&gt;"其他股权激励",OR(I437&lt;=0,J437&lt;0)),"异常：数量或价格无效",IF(AND(F437="限制性股票",OR(M437&lt;=0,N437&lt;0,I437&gt;M437)),"异常：个人获授或出资数据无效",IF(AND(IFERROR(INDEX(计划参数!$J$2:$J$501,MATCH(C437,计划参数!$I$2:$I$501,0)),"")&lt;&gt;"",D437&lt;&gt;IFERROR(INDEX(计划参数!$J$2:$J$501,MATCH(C437,计划参数!$I$2:$I$501,0)),"")),"异常：姓名与员工主数据不一致",IF(S437&lt;0,"异常：原始所得为负，已按0计税",IF(OR(AND(F437="股票期权",K437=""),AND(F437="限制性股票",OR(K437="",L437=""))),"异常：计划参数缺失",IF(COUNTIF(计划参数!$I$2:$I$501,C437)=0,"提示：员工编号未在主数据",IF(Q437&lt;&gt;"已备案","提示：未确认备案","正常"))))))))))))</f>
        <v/>
      </c>
      <c r="AE437" s="9"/>
      <c r="AF437" s="4" t="str">
        <f>IF(C437="","",IF(COUNTIF($C$2:C437,C437)=1,MAX($AF$1:AF436)+1,""))</f>
        <v/>
      </c>
      <c r="AG437" s="4" t="str">
        <f>IF(C437="","",COUNTIF($C$2:C437,C437))</f>
        <v/>
      </c>
      <c r="AH437" s="4" t="str">
        <f t="shared" si="100"/>
        <v/>
      </c>
      <c r="AI437" s="4" t="str">
        <f t="shared" si="101"/>
        <v/>
      </c>
      <c r="AJ437" s="4" t="str">
        <f t="shared" si="102"/>
        <v/>
      </c>
      <c r="AK437" s="15" t="str">
        <f>IF(A437="","",SUMIFS(分期缴税台账!$K$2:$K$501,分期缴税台账!$T$2:$T$501,A437,分期缴税台账!$Q$2:$Q$501,"有效"))</f>
        <v/>
      </c>
      <c r="AL437" s="15" t="str">
        <f t="shared" si="103"/>
        <v/>
      </c>
      <c r="AM437" s="4" t="str">
        <f t="shared" si="104"/>
        <v/>
      </c>
    </row>
    <row r="438" spans="1:39" x14ac:dyDescent="0.3">
      <c r="A438" s="9"/>
      <c r="B438" s="4" t="str">
        <f t="shared" si="90"/>
        <v/>
      </c>
      <c r="C438" s="9"/>
      <c r="D438" s="9"/>
      <c r="E438" s="9"/>
      <c r="F438" s="9"/>
      <c r="G438" s="13"/>
      <c r="H438" s="4" t="str">
        <f t="shared" si="91"/>
        <v/>
      </c>
      <c r="I438" s="9"/>
      <c r="J438" s="14"/>
      <c r="K438" s="15" t="str">
        <f>IF(OR(E438="",F438="",G438=""),"",IF(E438&lt;&gt;计划参数!$C$2,"",IF(F438="股票期权",IFERROR(LOOKUP(G438,计划参数!$D$12:$D$15,计划参数!$C$12:$C$15),""),IF(F438="限制性股票",计划参数!$C$10,""))))</f>
        <v/>
      </c>
      <c r="L438" s="15" t="str">
        <f>IF(AND(E438=计划参数!$C$2,F438="限制性股票",G438&gt;=计划参数!$D$9),计划参数!$C$9,"")</f>
        <v/>
      </c>
      <c r="M438" s="9"/>
      <c r="N438" s="14"/>
      <c r="O438" s="14"/>
      <c r="P438" s="13"/>
      <c r="Q438" s="9"/>
      <c r="R438" s="13"/>
      <c r="S438" s="15" t="str">
        <f t="shared" si="92"/>
        <v/>
      </c>
      <c r="T438" s="15" t="str">
        <f t="shared" si="93"/>
        <v/>
      </c>
      <c r="U438" s="15" t="str">
        <f t="shared" si="94"/>
        <v/>
      </c>
      <c r="V438" s="15" t="str">
        <f t="shared" si="95"/>
        <v/>
      </c>
      <c r="W438" s="16" t="str">
        <f>IF(V438="","",VLOOKUP(V438,税率及规则!$A$2:$C$8,2,TRUE))</f>
        <v/>
      </c>
      <c r="X438" s="15" t="str">
        <f>IF(V438="","",VLOOKUP(V438,税率及规则!$A$2:$C$8,3,TRUE))</f>
        <v/>
      </c>
      <c r="Y438" s="15" t="str">
        <f t="shared" si="96"/>
        <v/>
      </c>
      <c r="Z438" s="15" t="str">
        <f>IF(U438="","",MAX(0,U438*VLOOKUP(U438,税率及规则!$A$2:$C$8,2,TRUE)-VLOOKUP(U438,税率及规则!$A$2:$C$8,3,TRUE)))</f>
        <v/>
      </c>
      <c r="AA438" s="15" t="str">
        <f t="shared" si="97"/>
        <v/>
      </c>
      <c r="AB438" s="17" t="str">
        <f t="shared" si="98"/>
        <v/>
      </c>
      <c r="AC438" s="17" t="str">
        <f t="shared" si="99"/>
        <v/>
      </c>
      <c r="AD438" s="4" t="str">
        <f>IF(A438="","",IF(COUNTIF($A$2:$A$501,A438)&gt;1,"异常：事件编号重复",IF(OR(C438="",D438="",E438="",F438="",G438=""),"异常：必填项缺失",IF(AND(F438="其他股权激励",O438=""),"异常：其他股权激励所得缺失",IF(AND(F438&lt;&gt;"其他股权激励",OR(I438="",J438="")),"异常：数量或市场价缺失",IF(AND(F438&lt;&gt;"其他股权激励",OR(I438&lt;=0,J438&lt;0)),"异常：数量或价格无效",IF(AND(F438="限制性股票",OR(M438&lt;=0,N438&lt;0,I438&gt;M438)),"异常：个人获授或出资数据无效",IF(AND(IFERROR(INDEX(计划参数!$J$2:$J$501,MATCH(C438,计划参数!$I$2:$I$501,0)),"")&lt;&gt;"",D438&lt;&gt;IFERROR(INDEX(计划参数!$J$2:$J$501,MATCH(C438,计划参数!$I$2:$I$501,0)),"")),"异常：姓名与员工主数据不一致",IF(S438&lt;0,"异常：原始所得为负，已按0计税",IF(OR(AND(F438="股票期权",K438=""),AND(F438="限制性股票",OR(K438="",L438=""))),"异常：计划参数缺失",IF(COUNTIF(计划参数!$I$2:$I$501,C438)=0,"提示：员工编号未在主数据",IF(Q438&lt;&gt;"已备案","提示：未确认备案","正常"))))))))))))</f>
        <v/>
      </c>
      <c r="AE438" s="9"/>
      <c r="AF438" s="4" t="str">
        <f>IF(C438="","",IF(COUNTIF($C$2:C438,C438)=1,MAX($AF$1:AF437)+1,""))</f>
        <v/>
      </c>
      <c r="AG438" s="4" t="str">
        <f>IF(C438="","",COUNTIF($C$2:C438,C438))</f>
        <v/>
      </c>
      <c r="AH438" s="4" t="str">
        <f t="shared" si="100"/>
        <v/>
      </c>
      <c r="AI438" s="4" t="str">
        <f t="shared" si="101"/>
        <v/>
      </c>
      <c r="AJ438" s="4" t="str">
        <f t="shared" si="102"/>
        <v/>
      </c>
      <c r="AK438" s="15" t="str">
        <f>IF(A438="","",SUMIFS(分期缴税台账!$K$2:$K$501,分期缴税台账!$T$2:$T$501,A438,分期缴税台账!$Q$2:$Q$501,"有效"))</f>
        <v/>
      </c>
      <c r="AL438" s="15" t="str">
        <f t="shared" si="103"/>
        <v/>
      </c>
      <c r="AM438" s="4" t="str">
        <f t="shared" si="104"/>
        <v/>
      </c>
    </row>
    <row r="439" spans="1:39" x14ac:dyDescent="0.3">
      <c r="A439" s="9"/>
      <c r="B439" s="4" t="str">
        <f t="shared" si="90"/>
        <v/>
      </c>
      <c r="C439" s="9"/>
      <c r="D439" s="9"/>
      <c r="E439" s="9"/>
      <c r="F439" s="9"/>
      <c r="G439" s="13"/>
      <c r="H439" s="4" t="str">
        <f t="shared" si="91"/>
        <v/>
      </c>
      <c r="I439" s="9"/>
      <c r="J439" s="14"/>
      <c r="K439" s="15" t="str">
        <f>IF(OR(E439="",F439="",G439=""),"",IF(E439&lt;&gt;计划参数!$C$2,"",IF(F439="股票期权",IFERROR(LOOKUP(G439,计划参数!$D$12:$D$15,计划参数!$C$12:$C$15),""),IF(F439="限制性股票",计划参数!$C$10,""))))</f>
        <v/>
      </c>
      <c r="L439" s="15" t="str">
        <f>IF(AND(E439=计划参数!$C$2,F439="限制性股票",G439&gt;=计划参数!$D$9),计划参数!$C$9,"")</f>
        <v/>
      </c>
      <c r="M439" s="9"/>
      <c r="N439" s="14"/>
      <c r="O439" s="14"/>
      <c r="P439" s="13"/>
      <c r="Q439" s="9"/>
      <c r="R439" s="13"/>
      <c r="S439" s="15" t="str">
        <f t="shared" si="92"/>
        <v/>
      </c>
      <c r="T439" s="15" t="str">
        <f t="shared" si="93"/>
        <v/>
      </c>
      <c r="U439" s="15" t="str">
        <f t="shared" si="94"/>
        <v/>
      </c>
      <c r="V439" s="15" t="str">
        <f t="shared" si="95"/>
        <v/>
      </c>
      <c r="W439" s="16" t="str">
        <f>IF(V439="","",VLOOKUP(V439,税率及规则!$A$2:$C$8,2,TRUE))</f>
        <v/>
      </c>
      <c r="X439" s="15" t="str">
        <f>IF(V439="","",VLOOKUP(V439,税率及规则!$A$2:$C$8,3,TRUE))</f>
        <v/>
      </c>
      <c r="Y439" s="15" t="str">
        <f t="shared" si="96"/>
        <v/>
      </c>
      <c r="Z439" s="15" t="str">
        <f>IF(U439="","",MAX(0,U439*VLOOKUP(U439,税率及规则!$A$2:$C$8,2,TRUE)-VLOOKUP(U439,税率及规则!$A$2:$C$8,3,TRUE)))</f>
        <v/>
      </c>
      <c r="AA439" s="15" t="str">
        <f t="shared" si="97"/>
        <v/>
      </c>
      <c r="AB439" s="17" t="str">
        <f t="shared" si="98"/>
        <v/>
      </c>
      <c r="AC439" s="17" t="str">
        <f t="shared" si="99"/>
        <v/>
      </c>
      <c r="AD439" s="4" t="str">
        <f>IF(A439="","",IF(COUNTIF($A$2:$A$501,A439)&gt;1,"异常：事件编号重复",IF(OR(C439="",D439="",E439="",F439="",G439=""),"异常：必填项缺失",IF(AND(F439="其他股权激励",O439=""),"异常：其他股权激励所得缺失",IF(AND(F439&lt;&gt;"其他股权激励",OR(I439="",J439="")),"异常：数量或市场价缺失",IF(AND(F439&lt;&gt;"其他股权激励",OR(I439&lt;=0,J439&lt;0)),"异常：数量或价格无效",IF(AND(F439="限制性股票",OR(M439&lt;=0,N439&lt;0,I439&gt;M439)),"异常：个人获授或出资数据无效",IF(AND(IFERROR(INDEX(计划参数!$J$2:$J$501,MATCH(C439,计划参数!$I$2:$I$501,0)),"")&lt;&gt;"",D439&lt;&gt;IFERROR(INDEX(计划参数!$J$2:$J$501,MATCH(C439,计划参数!$I$2:$I$501,0)),"")),"异常：姓名与员工主数据不一致",IF(S439&lt;0,"异常：原始所得为负，已按0计税",IF(OR(AND(F439="股票期权",K439=""),AND(F439="限制性股票",OR(K439="",L439=""))),"异常：计划参数缺失",IF(COUNTIF(计划参数!$I$2:$I$501,C439)=0,"提示：员工编号未在主数据",IF(Q439&lt;&gt;"已备案","提示：未确认备案","正常"))))))))))))</f>
        <v/>
      </c>
      <c r="AE439" s="9"/>
      <c r="AF439" s="4" t="str">
        <f>IF(C439="","",IF(COUNTIF($C$2:C439,C439)=1,MAX($AF$1:AF438)+1,""))</f>
        <v/>
      </c>
      <c r="AG439" s="4" t="str">
        <f>IF(C439="","",COUNTIF($C$2:C439,C439))</f>
        <v/>
      </c>
      <c r="AH439" s="4" t="str">
        <f t="shared" si="100"/>
        <v/>
      </c>
      <c r="AI439" s="4" t="str">
        <f t="shared" si="101"/>
        <v/>
      </c>
      <c r="AJ439" s="4" t="str">
        <f t="shared" si="102"/>
        <v/>
      </c>
      <c r="AK439" s="15" t="str">
        <f>IF(A439="","",SUMIFS(分期缴税台账!$K$2:$K$501,分期缴税台账!$T$2:$T$501,A439,分期缴税台账!$Q$2:$Q$501,"有效"))</f>
        <v/>
      </c>
      <c r="AL439" s="15" t="str">
        <f t="shared" si="103"/>
        <v/>
      </c>
      <c r="AM439" s="4" t="str">
        <f t="shared" si="104"/>
        <v/>
      </c>
    </row>
    <row r="440" spans="1:39" x14ac:dyDescent="0.3">
      <c r="A440" s="9"/>
      <c r="B440" s="4" t="str">
        <f t="shared" si="90"/>
        <v/>
      </c>
      <c r="C440" s="9"/>
      <c r="D440" s="9"/>
      <c r="E440" s="9"/>
      <c r="F440" s="9"/>
      <c r="G440" s="13"/>
      <c r="H440" s="4" t="str">
        <f t="shared" si="91"/>
        <v/>
      </c>
      <c r="I440" s="9"/>
      <c r="J440" s="14"/>
      <c r="K440" s="15" t="str">
        <f>IF(OR(E440="",F440="",G440=""),"",IF(E440&lt;&gt;计划参数!$C$2,"",IF(F440="股票期权",IFERROR(LOOKUP(G440,计划参数!$D$12:$D$15,计划参数!$C$12:$C$15),""),IF(F440="限制性股票",计划参数!$C$10,""))))</f>
        <v/>
      </c>
      <c r="L440" s="15" t="str">
        <f>IF(AND(E440=计划参数!$C$2,F440="限制性股票",G440&gt;=计划参数!$D$9),计划参数!$C$9,"")</f>
        <v/>
      </c>
      <c r="M440" s="9"/>
      <c r="N440" s="14"/>
      <c r="O440" s="14"/>
      <c r="P440" s="13"/>
      <c r="Q440" s="9"/>
      <c r="R440" s="13"/>
      <c r="S440" s="15" t="str">
        <f t="shared" si="92"/>
        <v/>
      </c>
      <c r="T440" s="15" t="str">
        <f t="shared" si="93"/>
        <v/>
      </c>
      <c r="U440" s="15" t="str">
        <f t="shared" si="94"/>
        <v/>
      </c>
      <c r="V440" s="15" t="str">
        <f t="shared" si="95"/>
        <v/>
      </c>
      <c r="W440" s="16" t="str">
        <f>IF(V440="","",VLOOKUP(V440,税率及规则!$A$2:$C$8,2,TRUE))</f>
        <v/>
      </c>
      <c r="X440" s="15" t="str">
        <f>IF(V440="","",VLOOKUP(V440,税率及规则!$A$2:$C$8,3,TRUE))</f>
        <v/>
      </c>
      <c r="Y440" s="15" t="str">
        <f t="shared" si="96"/>
        <v/>
      </c>
      <c r="Z440" s="15" t="str">
        <f>IF(U440="","",MAX(0,U440*VLOOKUP(U440,税率及规则!$A$2:$C$8,2,TRUE)-VLOOKUP(U440,税率及规则!$A$2:$C$8,3,TRUE)))</f>
        <v/>
      </c>
      <c r="AA440" s="15" t="str">
        <f t="shared" si="97"/>
        <v/>
      </c>
      <c r="AB440" s="17" t="str">
        <f t="shared" si="98"/>
        <v/>
      </c>
      <c r="AC440" s="17" t="str">
        <f t="shared" si="99"/>
        <v/>
      </c>
      <c r="AD440" s="4" t="str">
        <f>IF(A440="","",IF(COUNTIF($A$2:$A$501,A440)&gt;1,"异常：事件编号重复",IF(OR(C440="",D440="",E440="",F440="",G440=""),"异常：必填项缺失",IF(AND(F440="其他股权激励",O440=""),"异常：其他股权激励所得缺失",IF(AND(F440&lt;&gt;"其他股权激励",OR(I440="",J440="")),"异常：数量或市场价缺失",IF(AND(F440&lt;&gt;"其他股权激励",OR(I440&lt;=0,J440&lt;0)),"异常：数量或价格无效",IF(AND(F440="限制性股票",OR(M440&lt;=0,N440&lt;0,I440&gt;M440)),"异常：个人获授或出资数据无效",IF(AND(IFERROR(INDEX(计划参数!$J$2:$J$501,MATCH(C440,计划参数!$I$2:$I$501,0)),"")&lt;&gt;"",D440&lt;&gt;IFERROR(INDEX(计划参数!$J$2:$J$501,MATCH(C440,计划参数!$I$2:$I$501,0)),"")),"异常：姓名与员工主数据不一致",IF(S440&lt;0,"异常：原始所得为负，已按0计税",IF(OR(AND(F440="股票期权",K440=""),AND(F440="限制性股票",OR(K440="",L440=""))),"异常：计划参数缺失",IF(COUNTIF(计划参数!$I$2:$I$501,C440)=0,"提示：员工编号未在主数据",IF(Q440&lt;&gt;"已备案","提示：未确认备案","正常"))))))))))))</f>
        <v/>
      </c>
      <c r="AE440" s="9"/>
      <c r="AF440" s="4" t="str">
        <f>IF(C440="","",IF(COUNTIF($C$2:C440,C440)=1,MAX($AF$1:AF439)+1,""))</f>
        <v/>
      </c>
      <c r="AG440" s="4" t="str">
        <f>IF(C440="","",COUNTIF($C$2:C440,C440))</f>
        <v/>
      </c>
      <c r="AH440" s="4" t="str">
        <f t="shared" si="100"/>
        <v/>
      </c>
      <c r="AI440" s="4" t="str">
        <f t="shared" si="101"/>
        <v/>
      </c>
      <c r="AJ440" s="4" t="str">
        <f t="shared" si="102"/>
        <v/>
      </c>
      <c r="AK440" s="15" t="str">
        <f>IF(A440="","",SUMIFS(分期缴税台账!$K$2:$K$501,分期缴税台账!$T$2:$T$501,A440,分期缴税台账!$Q$2:$Q$501,"有效"))</f>
        <v/>
      </c>
      <c r="AL440" s="15" t="str">
        <f t="shared" si="103"/>
        <v/>
      </c>
      <c r="AM440" s="4" t="str">
        <f t="shared" si="104"/>
        <v/>
      </c>
    </row>
    <row r="441" spans="1:39" x14ac:dyDescent="0.3">
      <c r="A441" s="9"/>
      <c r="B441" s="4" t="str">
        <f t="shared" si="90"/>
        <v/>
      </c>
      <c r="C441" s="9"/>
      <c r="D441" s="9"/>
      <c r="E441" s="9"/>
      <c r="F441" s="9"/>
      <c r="G441" s="13"/>
      <c r="H441" s="4" t="str">
        <f t="shared" si="91"/>
        <v/>
      </c>
      <c r="I441" s="9"/>
      <c r="J441" s="14"/>
      <c r="K441" s="15" t="str">
        <f>IF(OR(E441="",F441="",G441=""),"",IF(E441&lt;&gt;计划参数!$C$2,"",IF(F441="股票期权",IFERROR(LOOKUP(G441,计划参数!$D$12:$D$15,计划参数!$C$12:$C$15),""),IF(F441="限制性股票",计划参数!$C$10,""))))</f>
        <v/>
      </c>
      <c r="L441" s="15" t="str">
        <f>IF(AND(E441=计划参数!$C$2,F441="限制性股票",G441&gt;=计划参数!$D$9),计划参数!$C$9,"")</f>
        <v/>
      </c>
      <c r="M441" s="9"/>
      <c r="N441" s="14"/>
      <c r="O441" s="14"/>
      <c r="P441" s="13"/>
      <c r="Q441" s="9"/>
      <c r="R441" s="13"/>
      <c r="S441" s="15" t="str">
        <f t="shared" si="92"/>
        <v/>
      </c>
      <c r="T441" s="15" t="str">
        <f t="shared" si="93"/>
        <v/>
      </c>
      <c r="U441" s="15" t="str">
        <f t="shared" si="94"/>
        <v/>
      </c>
      <c r="V441" s="15" t="str">
        <f t="shared" si="95"/>
        <v/>
      </c>
      <c r="W441" s="16" t="str">
        <f>IF(V441="","",VLOOKUP(V441,税率及规则!$A$2:$C$8,2,TRUE))</f>
        <v/>
      </c>
      <c r="X441" s="15" t="str">
        <f>IF(V441="","",VLOOKUP(V441,税率及规则!$A$2:$C$8,3,TRUE))</f>
        <v/>
      </c>
      <c r="Y441" s="15" t="str">
        <f t="shared" si="96"/>
        <v/>
      </c>
      <c r="Z441" s="15" t="str">
        <f>IF(U441="","",MAX(0,U441*VLOOKUP(U441,税率及规则!$A$2:$C$8,2,TRUE)-VLOOKUP(U441,税率及规则!$A$2:$C$8,3,TRUE)))</f>
        <v/>
      </c>
      <c r="AA441" s="15" t="str">
        <f t="shared" si="97"/>
        <v/>
      </c>
      <c r="AB441" s="17" t="str">
        <f t="shared" si="98"/>
        <v/>
      </c>
      <c r="AC441" s="17" t="str">
        <f t="shared" si="99"/>
        <v/>
      </c>
      <c r="AD441" s="4" t="str">
        <f>IF(A441="","",IF(COUNTIF($A$2:$A$501,A441)&gt;1,"异常：事件编号重复",IF(OR(C441="",D441="",E441="",F441="",G441=""),"异常：必填项缺失",IF(AND(F441="其他股权激励",O441=""),"异常：其他股权激励所得缺失",IF(AND(F441&lt;&gt;"其他股权激励",OR(I441="",J441="")),"异常：数量或市场价缺失",IF(AND(F441&lt;&gt;"其他股权激励",OR(I441&lt;=0,J441&lt;0)),"异常：数量或价格无效",IF(AND(F441="限制性股票",OR(M441&lt;=0,N441&lt;0,I441&gt;M441)),"异常：个人获授或出资数据无效",IF(AND(IFERROR(INDEX(计划参数!$J$2:$J$501,MATCH(C441,计划参数!$I$2:$I$501,0)),"")&lt;&gt;"",D441&lt;&gt;IFERROR(INDEX(计划参数!$J$2:$J$501,MATCH(C441,计划参数!$I$2:$I$501,0)),"")),"异常：姓名与员工主数据不一致",IF(S441&lt;0,"异常：原始所得为负，已按0计税",IF(OR(AND(F441="股票期权",K441=""),AND(F441="限制性股票",OR(K441="",L441=""))),"异常：计划参数缺失",IF(COUNTIF(计划参数!$I$2:$I$501,C441)=0,"提示：员工编号未在主数据",IF(Q441&lt;&gt;"已备案","提示：未确认备案","正常"))))))))))))</f>
        <v/>
      </c>
      <c r="AE441" s="9"/>
      <c r="AF441" s="4" t="str">
        <f>IF(C441="","",IF(COUNTIF($C$2:C441,C441)=1,MAX($AF$1:AF440)+1,""))</f>
        <v/>
      </c>
      <c r="AG441" s="4" t="str">
        <f>IF(C441="","",COUNTIF($C$2:C441,C441))</f>
        <v/>
      </c>
      <c r="AH441" s="4" t="str">
        <f t="shared" si="100"/>
        <v/>
      </c>
      <c r="AI441" s="4" t="str">
        <f t="shared" si="101"/>
        <v/>
      </c>
      <c r="AJ441" s="4" t="str">
        <f t="shared" si="102"/>
        <v/>
      </c>
      <c r="AK441" s="15" t="str">
        <f>IF(A441="","",SUMIFS(分期缴税台账!$K$2:$K$501,分期缴税台账!$T$2:$T$501,A441,分期缴税台账!$Q$2:$Q$501,"有效"))</f>
        <v/>
      </c>
      <c r="AL441" s="15" t="str">
        <f t="shared" si="103"/>
        <v/>
      </c>
      <c r="AM441" s="4" t="str">
        <f t="shared" si="104"/>
        <v/>
      </c>
    </row>
    <row r="442" spans="1:39" x14ac:dyDescent="0.3">
      <c r="A442" s="9"/>
      <c r="B442" s="4" t="str">
        <f t="shared" si="90"/>
        <v/>
      </c>
      <c r="C442" s="9"/>
      <c r="D442" s="9"/>
      <c r="E442" s="9"/>
      <c r="F442" s="9"/>
      <c r="G442" s="13"/>
      <c r="H442" s="4" t="str">
        <f t="shared" si="91"/>
        <v/>
      </c>
      <c r="I442" s="9"/>
      <c r="J442" s="14"/>
      <c r="K442" s="15" t="str">
        <f>IF(OR(E442="",F442="",G442=""),"",IF(E442&lt;&gt;计划参数!$C$2,"",IF(F442="股票期权",IFERROR(LOOKUP(G442,计划参数!$D$12:$D$15,计划参数!$C$12:$C$15),""),IF(F442="限制性股票",计划参数!$C$10,""))))</f>
        <v/>
      </c>
      <c r="L442" s="15" t="str">
        <f>IF(AND(E442=计划参数!$C$2,F442="限制性股票",G442&gt;=计划参数!$D$9),计划参数!$C$9,"")</f>
        <v/>
      </c>
      <c r="M442" s="9"/>
      <c r="N442" s="14"/>
      <c r="O442" s="14"/>
      <c r="P442" s="13"/>
      <c r="Q442" s="9"/>
      <c r="R442" s="13"/>
      <c r="S442" s="15" t="str">
        <f t="shared" si="92"/>
        <v/>
      </c>
      <c r="T442" s="15" t="str">
        <f t="shared" si="93"/>
        <v/>
      </c>
      <c r="U442" s="15" t="str">
        <f t="shared" si="94"/>
        <v/>
      </c>
      <c r="V442" s="15" t="str">
        <f t="shared" si="95"/>
        <v/>
      </c>
      <c r="W442" s="16" t="str">
        <f>IF(V442="","",VLOOKUP(V442,税率及规则!$A$2:$C$8,2,TRUE))</f>
        <v/>
      </c>
      <c r="X442" s="15" t="str">
        <f>IF(V442="","",VLOOKUP(V442,税率及规则!$A$2:$C$8,3,TRUE))</f>
        <v/>
      </c>
      <c r="Y442" s="15" t="str">
        <f t="shared" si="96"/>
        <v/>
      </c>
      <c r="Z442" s="15" t="str">
        <f>IF(U442="","",MAX(0,U442*VLOOKUP(U442,税率及规则!$A$2:$C$8,2,TRUE)-VLOOKUP(U442,税率及规则!$A$2:$C$8,3,TRUE)))</f>
        <v/>
      </c>
      <c r="AA442" s="15" t="str">
        <f t="shared" si="97"/>
        <v/>
      </c>
      <c r="AB442" s="17" t="str">
        <f t="shared" si="98"/>
        <v/>
      </c>
      <c r="AC442" s="17" t="str">
        <f t="shared" si="99"/>
        <v/>
      </c>
      <c r="AD442" s="4" t="str">
        <f>IF(A442="","",IF(COUNTIF($A$2:$A$501,A442)&gt;1,"异常：事件编号重复",IF(OR(C442="",D442="",E442="",F442="",G442=""),"异常：必填项缺失",IF(AND(F442="其他股权激励",O442=""),"异常：其他股权激励所得缺失",IF(AND(F442&lt;&gt;"其他股权激励",OR(I442="",J442="")),"异常：数量或市场价缺失",IF(AND(F442&lt;&gt;"其他股权激励",OR(I442&lt;=0,J442&lt;0)),"异常：数量或价格无效",IF(AND(F442="限制性股票",OR(M442&lt;=0,N442&lt;0,I442&gt;M442)),"异常：个人获授或出资数据无效",IF(AND(IFERROR(INDEX(计划参数!$J$2:$J$501,MATCH(C442,计划参数!$I$2:$I$501,0)),"")&lt;&gt;"",D442&lt;&gt;IFERROR(INDEX(计划参数!$J$2:$J$501,MATCH(C442,计划参数!$I$2:$I$501,0)),"")),"异常：姓名与员工主数据不一致",IF(S442&lt;0,"异常：原始所得为负，已按0计税",IF(OR(AND(F442="股票期权",K442=""),AND(F442="限制性股票",OR(K442="",L442=""))),"异常：计划参数缺失",IF(COUNTIF(计划参数!$I$2:$I$501,C442)=0,"提示：员工编号未在主数据",IF(Q442&lt;&gt;"已备案","提示：未确认备案","正常"))))))))))))</f>
        <v/>
      </c>
      <c r="AE442" s="9"/>
      <c r="AF442" s="4" t="str">
        <f>IF(C442="","",IF(COUNTIF($C$2:C442,C442)=1,MAX($AF$1:AF441)+1,""))</f>
        <v/>
      </c>
      <c r="AG442" s="4" t="str">
        <f>IF(C442="","",COUNTIF($C$2:C442,C442))</f>
        <v/>
      </c>
      <c r="AH442" s="4" t="str">
        <f t="shared" si="100"/>
        <v/>
      </c>
      <c r="AI442" s="4" t="str">
        <f t="shared" si="101"/>
        <v/>
      </c>
      <c r="AJ442" s="4" t="str">
        <f t="shared" si="102"/>
        <v/>
      </c>
      <c r="AK442" s="15" t="str">
        <f>IF(A442="","",SUMIFS(分期缴税台账!$K$2:$K$501,分期缴税台账!$T$2:$T$501,A442,分期缴税台账!$Q$2:$Q$501,"有效"))</f>
        <v/>
      </c>
      <c r="AL442" s="15" t="str">
        <f t="shared" si="103"/>
        <v/>
      </c>
      <c r="AM442" s="4" t="str">
        <f t="shared" si="104"/>
        <v/>
      </c>
    </row>
    <row r="443" spans="1:39" x14ac:dyDescent="0.3">
      <c r="A443" s="9"/>
      <c r="B443" s="4" t="str">
        <f t="shared" si="90"/>
        <v/>
      </c>
      <c r="C443" s="9"/>
      <c r="D443" s="9"/>
      <c r="E443" s="9"/>
      <c r="F443" s="9"/>
      <c r="G443" s="13"/>
      <c r="H443" s="4" t="str">
        <f t="shared" si="91"/>
        <v/>
      </c>
      <c r="I443" s="9"/>
      <c r="J443" s="14"/>
      <c r="K443" s="15" t="str">
        <f>IF(OR(E443="",F443="",G443=""),"",IF(E443&lt;&gt;计划参数!$C$2,"",IF(F443="股票期权",IFERROR(LOOKUP(G443,计划参数!$D$12:$D$15,计划参数!$C$12:$C$15),""),IF(F443="限制性股票",计划参数!$C$10,""))))</f>
        <v/>
      </c>
      <c r="L443" s="15" t="str">
        <f>IF(AND(E443=计划参数!$C$2,F443="限制性股票",G443&gt;=计划参数!$D$9),计划参数!$C$9,"")</f>
        <v/>
      </c>
      <c r="M443" s="9"/>
      <c r="N443" s="14"/>
      <c r="O443" s="14"/>
      <c r="P443" s="13"/>
      <c r="Q443" s="9"/>
      <c r="R443" s="13"/>
      <c r="S443" s="15" t="str">
        <f t="shared" si="92"/>
        <v/>
      </c>
      <c r="T443" s="15" t="str">
        <f t="shared" si="93"/>
        <v/>
      </c>
      <c r="U443" s="15" t="str">
        <f t="shared" si="94"/>
        <v/>
      </c>
      <c r="V443" s="15" t="str">
        <f t="shared" si="95"/>
        <v/>
      </c>
      <c r="W443" s="16" t="str">
        <f>IF(V443="","",VLOOKUP(V443,税率及规则!$A$2:$C$8,2,TRUE))</f>
        <v/>
      </c>
      <c r="X443" s="15" t="str">
        <f>IF(V443="","",VLOOKUP(V443,税率及规则!$A$2:$C$8,3,TRUE))</f>
        <v/>
      </c>
      <c r="Y443" s="15" t="str">
        <f t="shared" si="96"/>
        <v/>
      </c>
      <c r="Z443" s="15" t="str">
        <f>IF(U443="","",MAX(0,U443*VLOOKUP(U443,税率及规则!$A$2:$C$8,2,TRUE)-VLOOKUP(U443,税率及规则!$A$2:$C$8,3,TRUE)))</f>
        <v/>
      </c>
      <c r="AA443" s="15" t="str">
        <f t="shared" si="97"/>
        <v/>
      </c>
      <c r="AB443" s="17" t="str">
        <f t="shared" si="98"/>
        <v/>
      </c>
      <c r="AC443" s="17" t="str">
        <f t="shared" si="99"/>
        <v/>
      </c>
      <c r="AD443" s="4" t="str">
        <f>IF(A443="","",IF(COUNTIF($A$2:$A$501,A443)&gt;1,"异常：事件编号重复",IF(OR(C443="",D443="",E443="",F443="",G443=""),"异常：必填项缺失",IF(AND(F443="其他股权激励",O443=""),"异常：其他股权激励所得缺失",IF(AND(F443&lt;&gt;"其他股权激励",OR(I443="",J443="")),"异常：数量或市场价缺失",IF(AND(F443&lt;&gt;"其他股权激励",OR(I443&lt;=0,J443&lt;0)),"异常：数量或价格无效",IF(AND(F443="限制性股票",OR(M443&lt;=0,N443&lt;0,I443&gt;M443)),"异常：个人获授或出资数据无效",IF(AND(IFERROR(INDEX(计划参数!$J$2:$J$501,MATCH(C443,计划参数!$I$2:$I$501,0)),"")&lt;&gt;"",D443&lt;&gt;IFERROR(INDEX(计划参数!$J$2:$J$501,MATCH(C443,计划参数!$I$2:$I$501,0)),"")),"异常：姓名与员工主数据不一致",IF(S443&lt;0,"异常：原始所得为负，已按0计税",IF(OR(AND(F443="股票期权",K443=""),AND(F443="限制性股票",OR(K443="",L443=""))),"异常：计划参数缺失",IF(COUNTIF(计划参数!$I$2:$I$501,C443)=0,"提示：员工编号未在主数据",IF(Q443&lt;&gt;"已备案","提示：未确认备案","正常"))))))))))))</f>
        <v/>
      </c>
      <c r="AE443" s="9"/>
      <c r="AF443" s="4" t="str">
        <f>IF(C443="","",IF(COUNTIF($C$2:C443,C443)=1,MAX($AF$1:AF442)+1,""))</f>
        <v/>
      </c>
      <c r="AG443" s="4" t="str">
        <f>IF(C443="","",COUNTIF($C$2:C443,C443))</f>
        <v/>
      </c>
      <c r="AH443" s="4" t="str">
        <f t="shared" si="100"/>
        <v/>
      </c>
      <c r="AI443" s="4" t="str">
        <f t="shared" si="101"/>
        <v/>
      </c>
      <c r="AJ443" s="4" t="str">
        <f t="shared" si="102"/>
        <v/>
      </c>
      <c r="AK443" s="15" t="str">
        <f>IF(A443="","",SUMIFS(分期缴税台账!$K$2:$K$501,分期缴税台账!$T$2:$T$501,A443,分期缴税台账!$Q$2:$Q$501,"有效"))</f>
        <v/>
      </c>
      <c r="AL443" s="15" t="str">
        <f t="shared" si="103"/>
        <v/>
      </c>
      <c r="AM443" s="4" t="str">
        <f t="shared" si="104"/>
        <v/>
      </c>
    </row>
    <row r="444" spans="1:39" x14ac:dyDescent="0.3">
      <c r="A444" s="9"/>
      <c r="B444" s="4" t="str">
        <f t="shared" si="90"/>
        <v/>
      </c>
      <c r="C444" s="9"/>
      <c r="D444" s="9"/>
      <c r="E444" s="9"/>
      <c r="F444" s="9"/>
      <c r="G444" s="13"/>
      <c r="H444" s="4" t="str">
        <f t="shared" si="91"/>
        <v/>
      </c>
      <c r="I444" s="9"/>
      <c r="J444" s="14"/>
      <c r="K444" s="15" t="str">
        <f>IF(OR(E444="",F444="",G444=""),"",IF(E444&lt;&gt;计划参数!$C$2,"",IF(F444="股票期权",IFERROR(LOOKUP(G444,计划参数!$D$12:$D$15,计划参数!$C$12:$C$15),""),IF(F444="限制性股票",计划参数!$C$10,""))))</f>
        <v/>
      </c>
      <c r="L444" s="15" t="str">
        <f>IF(AND(E444=计划参数!$C$2,F444="限制性股票",G444&gt;=计划参数!$D$9),计划参数!$C$9,"")</f>
        <v/>
      </c>
      <c r="M444" s="9"/>
      <c r="N444" s="14"/>
      <c r="O444" s="14"/>
      <c r="P444" s="13"/>
      <c r="Q444" s="9"/>
      <c r="R444" s="13"/>
      <c r="S444" s="15" t="str">
        <f t="shared" si="92"/>
        <v/>
      </c>
      <c r="T444" s="15" t="str">
        <f t="shared" si="93"/>
        <v/>
      </c>
      <c r="U444" s="15" t="str">
        <f t="shared" si="94"/>
        <v/>
      </c>
      <c r="V444" s="15" t="str">
        <f t="shared" si="95"/>
        <v/>
      </c>
      <c r="W444" s="16" t="str">
        <f>IF(V444="","",VLOOKUP(V444,税率及规则!$A$2:$C$8,2,TRUE))</f>
        <v/>
      </c>
      <c r="X444" s="15" t="str">
        <f>IF(V444="","",VLOOKUP(V444,税率及规则!$A$2:$C$8,3,TRUE))</f>
        <v/>
      </c>
      <c r="Y444" s="15" t="str">
        <f t="shared" si="96"/>
        <v/>
      </c>
      <c r="Z444" s="15" t="str">
        <f>IF(U444="","",MAX(0,U444*VLOOKUP(U444,税率及规则!$A$2:$C$8,2,TRUE)-VLOOKUP(U444,税率及规则!$A$2:$C$8,3,TRUE)))</f>
        <v/>
      </c>
      <c r="AA444" s="15" t="str">
        <f t="shared" si="97"/>
        <v/>
      </c>
      <c r="AB444" s="17" t="str">
        <f t="shared" si="98"/>
        <v/>
      </c>
      <c r="AC444" s="17" t="str">
        <f t="shared" si="99"/>
        <v/>
      </c>
      <c r="AD444" s="4" t="str">
        <f>IF(A444="","",IF(COUNTIF($A$2:$A$501,A444)&gt;1,"异常：事件编号重复",IF(OR(C444="",D444="",E444="",F444="",G444=""),"异常：必填项缺失",IF(AND(F444="其他股权激励",O444=""),"异常：其他股权激励所得缺失",IF(AND(F444&lt;&gt;"其他股权激励",OR(I444="",J444="")),"异常：数量或市场价缺失",IF(AND(F444&lt;&gt;"其他股权激励",OR(I444&lt;=0,J444&lt;0)),"异常：数量或价格无效",IF(AND(F444="限制性股票",OR(M444&lt;=0,N444&lt;0,I444&gt;M444)),"异常：个人获授或出资数据无效",IF(AND(IFERROR(INDEX(计划参数!$J$2:$J$501,MATCH(C444,计划参数!$I$2:$I$501,0)),"")&lt;&gt;"",D444&lt;&gt;IFERROR(INDEX(计划参数!$J$2:$J$501,MATCH(C444,计划参数!$I$2:$I$501,0)),"")),"异常：姓名与员工主数据不一致",IF(S444&lt;0,"异常：原始所得为负，已按0计税",IF(OR(AND(F444="股票期权",K444=""),AND(F444="限制性股票",OR(K444="",L444=""))),"异常：计划参数缺失",IF(COUNTIF(计划参数!$I$2:$I$501,C444)=0,"提示：员工编号未在主数据",IF(Q444&lt;&gt;"已备案","提示：未确认备案","正常"))))))))))))</f>
        <v/>
      </c>
      <c r="AE444" s="9"/>
      <c r="AF444" s="4" t="str">
        <f>IF(C444="","",IF(COUNTIF($C$2:C444,C444)=1,MAX($AF$1:AF443)+1,""))</f>
        <v/>
      </c>
      <c r="AG444" s="4" t="str">
        <f>IF(C444="","",COUNTIF($C$2:C444,C444))</f>
        <v/>
      </c>
      <c r="AH444" s="4" t="str">
        <f t="shared" si="100"/>
        <v/>
      </c>
      <c r="AI444" s="4" t="str">
        <f t="shared" si="101"/>
        <v/>
      </c>
      <c r="AJ444" s="4" t="str">
        <f t="shared" si="102"/>
        <v/>
      </c>
      <c r="AK444" s="15" t="str">
        <f>IF(A444="","",SUMIFS(分期缴税台账!$K$2:$K$501,分期缴税台账!$T$2:$T$501,A444,分期缴税台账!$Q$2:$Q$501,"有效"))</f>
        <v/>
      </c>
      <c r="AL444" s="15" t="str">
        <f t="shared" si="103"/>
        <v/>
      </c>
      <c r="AM444" s="4" t="str">
        <f t="shared" si="104"/>
        <v/>
      </c>
    </row>
    <row r="445" spans="1:39" x14ac:dyDescent="0.3">
      <c r="A445" s="9"/>
      <c r="B445" s="4" t="str">
        <f t="shared" si="90"/>
        <v/>
      </c>
      <c r="C445" s="9"/>
      <c r="D445" s="9"/>
      <c r="E445" s="9"/>
      <c r="F445" s="9"/>
      <c r="G445" s="13"/>
      <c r="H445" s="4" t="str">
        <f t="shared" si="91"/>
        <v/>
      </c>
      <c r="I445" s="9"/>
      <c r="J445" s="14"/>
      <c r="K445" s="15" t="str">
        <f>IF(OR(E445="",F445="",G445=""),"",IF(E445&lt;&gt;计划参数!$C$2,"",IF(F445="股票期权",IFERROR(LOOKUP(G445,计划参数!$D$12:$D$15,计划参数!$C$12:$C$15),""),IF(F445="限制性股票",计划参数!$C$10,""))))</f>
        <v/>
      </c>
      <c r="L445" s="15" t="str">
        <f>IF(AND(E445=计划参数!$C$2,F445="限制性股票",G445&gt;=计划参数!$D$9),计划参数!$C$9,"")</f>
        <v/>
      </c>
      <c r="M445" s="9"/>
      <c r="N445" s="14"/>
      <c r="O445" s="14"/>
      <c r="P445" s="13"/>
      <c r="Q445" s="9"/>
      <c r="R445" s="13"/>
      <c r="S445" s="15" t="str">
        <f t="shared" si="92"/>
        <v/>
      </c>
      <c r="T445" s="15" t="str">
        <f t="shared" si="93"/>
        <v/>
      </c>
      <c r="U445" s="15" t="str">
        <f t="shared" si="94"/>
        <v/>
      </c>
      <c r="V445" s="15" t="str">
        <f t="shared" si="95"/>
        <v/>
      </c>
      <c r="W445" s="16" t="str">
        <f>IF(V445="","",VLOOKUP(V445,税率及规则!$A$2:$C$8,2,TRUE))</f>
        <v/>
      </c>
      <c r="X445" s="15" t="str">
        <f>IF(V445="","",VLOOKUP(V445,税率及规则!$A$2:$C$8,3,TRUE))</f>
        <v/>
      </c>
      <c r="Y445" s="15" t="str">
        <f t="shared" si="96"/>
        <v/>
      </c>
      <c r="Z445" s="15" t="str">
        <f>IF(U445="","",MAX(0,U445*VLOOKUP(U445,税率及规则!$A$2:$C$8,2,TRUE)-VLOOKUP(U445,税率及规则!$A$2:$C$8,3,TRUE)))</f>
        <v/>
      </c>
      <c r="AA445" s="15" t="str">
        <f t="shared" si="97"/>
        <v/>
      </c>
      <c r="AB445" s="17" t="str">
        <f t="shared" si="98"/>
        <v/>
      </c>
      <c r="AC445" s="17" t="str">
        <f t="shared" si="99"/>
        <v/>
      </c>
      <c r="AD445" s="4" t="str">
        <f>IF(A445="","",IF(COUNTIF($A$2:$A$501,A445)&gt;1,"异常：事件编号重复",IF(OR(C445="",D445="",E445="",F445="",G445=""),"异常：必填项缺失",IF(AND(F445="其他股权激励",O445=""),"异常：其他股权激励所得缺失",IF(AND(F445&lt;&gt;"其他股权激励",OR(I445="",J445="")),"异常：数量或市场价缺失",IF(AND(F445&lt;&gt;"其他股权激励",OR(I445&lt;=0,J445&lt;0)),"异常：数量或价格无效",IF(AND(F445="限制性股票",OR(M445&lt;=0,N445&lt;0,I445&gt;M445)),"异常：个人获授或出资数据无效",IF(AND(IFERROR(INDEX(计划参数!$J$2:$J$501,MATCH(C445,计划参数!$I$2:$I$501,0)),"")&lt;&gt;"",D445&lt;&gt;IFERROR(INDEX(计划参数!$J$2:$J$501,MATCH(C445,计划参数!$I$2:$I$501,0)),"")),"异常：姓名与员工主数据不一致",IF(S445&lt;0,"异常：原始所得为负，已按0计税",IF(OR(AND(F445="股票期权",K445=""),AND(F445="限制性股票",OR(K445="",L445=""))),"异常：计划参数缺失",IF(COUNTIF(计划参数!$I$2:$I$501,C445)=0,"提示：员工编号未在主数据",IF(Q445&lt;&gt;"已备案","提示：未确认备案","正常"))))))))))))</f>
        <v/>
      </c>
      <c r="AE445" s="9"/>
      <c r="AF445" s="4" t="str">
        <f>IF(C445="","",IF(COUNTIF($C$2:C445,C445)=1,MAX($AF$1:AF444)+1,""))</f>
        <v/>
      </c>
      <c r="AG445" s="4" t="str">
        <f>IF(C445="","",COUNTIF($C$2:C445,C445))</f>
        <v/>
      </c>
      <c r="AH445" s="4" t="str">
        <f t="shared" si="100"/>
        <v/>
      </c>
      <c r="AI445" s="4" t="str">
        <f t="shared" si="101"/>
        <v/>
      </c>
      <c r="AJ445" s="4" t="str">
        <f t="shared" si="102"/>
        <v/>
      </c>
      <c r="AK445" s="15" t="str">
        <f>IF(A445="","",SUMIFS(分期缴税台账!$K$2:$K$501,分期缴税台账!$T$2:$T$501,A445,分期缴税台账!$Q$2:$Q$501,"有效"))</f>
        <v/>
      </c>
      <c r="AL445" s="15" t="str">
        <f t="shared" si="103"/>
        <v/>
      </c>
      <c r="AM445" s="4" t="str">
        <f t="shared" si="104"/>
        <v/>
      </c>
    </row>
    <row r="446" spans="1:39" x14ac:dyDescent="0.3">
      <c r="A446" s="9"/>
      <c r="B446" s="4" t="str">
        <f t="shared" si="90"/>
        <v/>
      </c>
      <c r="C446" s="9"/>
      <c r="D446" s="9"/>
      <c r="E446" s="9"/>
      <c r="F446" s="9"/>
      <c r="G446" s="13"/>
      <c r="H446" s="4" t="str">
        <f t="shared" si="91"/>
        <v/>
      </c>
      <c r="I446" s="9"/>
      <c r="J446" s="14"/>
      <c r="K446" s="15" t="str">
        <f>IF(OR(E446="",F446="",G446=""),"",IF(E446&lt;&gt;计划参数!$C$2,"",IF(F446="股票期权",IFERROR(LOOKUP(G446,计划参数!$D$12:$D$15,计划参数!$C$12:$C$15),""),IF(F446="限制性股票",计划参数!$C$10,""))))</f>
        <v/>
      </c>
      <c r="L446" s="15" t="str">
        <f>IF(AND(E446=计划参数!$C$2,F446="限制性股票",G446&gt;=计划参数!$D$9),计划参数!$C$9,"")</f>
        <v/>
      </c>
      <c r="M446" s="9"/>
      <c r="N446" s="14"/>
      <c r="O446" s="14"/>
      <c r="P446" s="13"/>
      <c r="Q446" s="9"/>
      <c r="R446" s="13"/>
      <c r="S446" s="15" t="str">
        <f t="shared" si="92"/>
        <v/>
      </c>
      <c r="T446" s="15" t="str">
        <f t="shared" si="93"/>
        <v/>
      </c>
      <c r="U446" s="15" t="str">
        <f t="shared" si="94"/>
        <v/>
      </c>
      <c r="V446" s="15" t="str">
        <f t="shared" si="95"/>
        <v/>
      </c>
      <c r="W446" s="16" t="str">
        <f>IF(V446="","",VLOOKUP(V446,税率及规则!$A$2:$C$8,2,TRUE))</f>
        <v/>
      </c>
      <c r="X446" s="15" t="str">
        <f>IF(V446="","",VLOOKUP(V446,税率及规则!$A$2:$C$8,3,TRUE))</f>
        <v/>
      </c>
      <c r="Y446" s="15" t="str">
        <f t="shared" si="96"/>
        <v/>
      </c>
      <c r="Z446" s="15" t="str">
        <f>IF(U446="","",MAX(0,U446*VLOOKUP(U446,税率及规则!$A$2:$C$8,2,TRUE)-VLOOKUP(U446,税率及规则!$A$2:$C$8,3,TRUE)))</f>
        <v/>
      </c>
      <c r="AA446" s="15" t="str">
        <f t="shared" si="97"/>
        <v/>
      </c>
      <c r="AB446" s="17" t="str">
        <f t="shared" si="98"/>
        <v/>
      </c>
      <c r="AC446" s="17" t="str">
        <f t="shared" si="99"/>
        <v/>
      </c>
      <c r="AD446" s="4" t="str">
        <f>IF(A446="","",IF(COUNTIF($A$2:$A$501,A446)&gt;1,"异常：事件编号重复",IF(OR(C446="",D446="",E446="",F446="",G446=""),"异常：必填项缺失",IF(AND(F446="其他股权激励",O446=""),"异常：其他股权激励所得缺失",IF(AND(F446&lt;&gt;"其他股权激励",OR(I446="",J446="")),"异常：数量或市场价缺失",IF(AND(F446&lt;&gt;"其他股权激励",OR(I446&lt;=0,J446&lt;0)),"异常：数量或价格无效",IF(AND(F446="限制性股票",OR(M446&lt;=0,N446&lt;0,I446&gt;M446)),"异常：个人获授或出资数据无效",IF(AND(IFERROR(INDEX(计划参数!$J$2:$J$501,MATCH(C446,计划参数!$I$2:$I$501,0)),"")&lt;&gt;"",D446&lt;&gt;IFERROR(INDEX(计划参数!$J$2:$J$501,MATCH(C446,计划参数!$I$2:$I$501,0)),"")),"异常：姓名与员工主数据不一致",IF(S446&lt;0,"异常：原始所得为负，已按0计税",IF(OR(AND(F446="股票期权",K446=""),AND(F446="限制性股票",OR(K446="",L446=""))),"异常：计划参数缺失",IF(COUNTIF(计划参数!$I$2:$I$501,C446)=0,"提示：员工编号未在主数据",IF(Q446&lt;&gt;"已备案","提示：未确认备案","正常"))))))))))))</f>
        <v/>
      </c>
      <c r="AE446" s="9"/>
      <c r="AF446" s="4" t="str">
        <f>IF(C446="","",IF(COUNTIF($C$2:C446,C446)=1,MAX($AF$1:AF445)+1,""))</f>
        <v/>
      </c>
      <c r="AG446" s="4" t="str">
        <f>IF(C446="","",COUNTIF($C$2:C446,C446))</f>
        <v/>
      </c>
      <c r="AH446" s="4" t="str">
        <f t="shared" si="100"/>
        <v/>
      </c>
      <c r="AI446" s="4" t="str">
        <f t="shared" si="101"/>
        <v/>
      </c>
      <c r="AJ446" s="4" t="str">
        <f t="shared" si="102"/>
        <v/>
      </c>
      <c r="AK446" s="15" t="str">
        <f>IF(A446="","",SUMIFS(分期缴税台账!$K$2:$K$501,分期缴税台账!$T$2:$T$501,A446,分期缴税台账!$Q$2:$Q$501,"有效"))</f>
        <v/>
      </c>
      <c r="AL446" s="15" t="str">
        <f t="shared" si="103"/>
        <v/>
      </c>
      <c r="AM446" s="4" t="str">
        <f t="shared" si="104"/>
        <v/>
      </c>
    </row>
    <row r="447" spans="1:39" x14ac:dyDescent="0.3">
      <c r="A447" s="9"/>
      <c r="B447" s="4" t="str">
        <f t="shared" si="90"/>
        <v/>
      </c>
      <c r="C447" s="9"/>
      <c r="D447" s="9"/>
      <c r="E447" s="9"/>
      <c r="F447" s="9"/>
      <c r="G447" s="13"/>
      <c r="H447" s="4" t="str">
        <f t="shared" si="91"/>
        <v/>
      </c>
      <c r="I447" s="9"/>
      <c r="J447" s="14"/>
      <c r="K447" s="15" t="str">
        <f>IF(OR(E447="",F447="",G447=""),"",IF(E447&lt;&gt;计划参数!$C$2,"",IF(F447="股票期权",IFERROR(LOOKUP(G447,计划参数!$D$12:$D$15,计划参数!$C$12:$C$15),""),IF(F447="限制性股票",计划参数!$C$10,""))))</f>
        <v/>
      </c>
      <c r="L447" s="15" t="str">
        <f>IF(AND(E447=计划参数!$C$2,F447="限制性股票",G447&gt;=计划参数!$D$9),计划参数!$C$9,"")</f>
        <v/>
      </c>
      <c r="M447" s="9"/>
      <c r="N447" s="14"/>
      <c r="O447" s="14"/>
      <c r="P447" s="13"/>
      <c r="Q447" s="9"/>
      <c r="R447" s="13"/>
      <c r="S447" s="15" t="str">
        <f t="shared" si="92"/>
        <v/>
      </c>
      <c r="T447" s="15" t="str">
        <f t="shared" si="93"/>
        <v/>
      </c>
      <c r="U447" s="15" t="str">
        <f t="shared" si="94"/>
        <v/>
      </c>
      <c r="V447" s="15" t="str">
        <f t="shared" si="95"/>
        <v/>
      </c>
      <c r="W447" s="16" t="str">
        <f>IF(V447="","",VLOOKUP(V447,税率及规则!$A$2:$C$8,2,TRUE))</f>
        <v/>
      </c>
      <c r="X447" s="15" t="str">
        <f>IF(V447="","",VLOOKUP(V447,税率及规则!$A$2:$C$8,3,TRUE))</f>
        <v/>
      </c>
      <c r="Y447" s="15" t="str">
        <f t="shared" si="96"/>
        <v/>
      </c>
      <c r="Z447" s="15" t="str">
        <f>IF(U447="","",MAX(0,U447*VLOOKUP(U447,税率及规则!$A$2:$C$8,2,TRUE)-VLOOKUP(U447,税率及规则!$A$2:$C$8,3,TRUE)))</f>
        <v/>
      </c>
      <c r="AA447" s="15" t="str">
        <f t="shared" si="97"/>
        <v/>
      </c>
      <c r="AB447" s="17" t="str">
        <f t="shared" si="98"/>
        <v/>
      </c>
      <c r="AC447" s="17" t="str">
        <f t="shared" si="99"/>
        <v/>
      </c>
      <c r="AD447" s="4" t="str">
        <f>IF(A447="","",IF(COUNTIF($A$2:$A$501,A447)&gt;1,"异常：事件编号重复",IF(OR(C447="",D447="",E447="",F447="",G447=""),"异常：必填项缺失",IF(AND(F447="其他股权激励",O447=""),"异常：其他股权激励所得缺失",IF(AND(F447&lt;&gt;"其他股权激励",OR(I447="",J447="")),"异常：数量或市场价缺失",IF(AND(F447&lt;&gt;"其他股权激励",OR(I447&lt;=0,J447&lt;0)),"异常：数量或价格无效",IF(AND(F447="限制性股票",OR(M447&lt;=0,N447&lt;0,I447&gt;M447)),"异常：个人获授或出资数据无效",IF(AND(IFERROR(INDEX(计划参数!$J$2:$J$501,MATCH(C447,计划参数!$I$2:$I$501,0)),"")&lt;&gt;"",D447&lt;&gt;IFERROR(INDEX(计划参数!$J$2:$J$501,MATCH(C447,计划参数!$I$2:$I$501,0)),"")),"异常：姓名与员工主数据不一致",IF(S447&lt;0,"异常：原始所得为负，已按0计税",IF(OR(AND(F447="股票期权",K447=""),AND(F447="限制性股票",OR(K447="",L447=""))),"异常：计划参数缺失",IF(COUNTIF(计划参数!$I$2:$I$501,C447)=0,"提示：员工编号未在主数据",IF(Q447&lt;&gt;"已备案","提示：未确认备案","正常"))))))))))))</f>
        <v/>
      </c>
      <c r="AE447" s="9"/>
      <c r="AF447" s="4" t="str">
        <f>IF(C447="","",IF(COUNTIF($C$2:C447,C447)=1,MAX($AF$1:AF446)+1,""))</f>
        <v/>
      </c>
      <c r="AG447" s="4" t="str">
        <f>IF(C447="","",COUNTIF($C$2:C447,C447))</f>
        <v/>
      </c>
      <c r="AH447" s="4" t="str">
        <f t="shared" si="100"/>
        <v/>
      </c>
      <c r="AI447" s="4" t="str">
        <f t="shared" si="101"/>
        <v/>
      </c>
      <c r="AJ447" s="4" t="str">
        <f t="shared" si="102"/>
        <v/>
      </c>
      <c r="AK447" s="15" t="str">
        <f>IF(A447="","",SUMIFS(分期缴税台账!$K$2:$K$501,分期缴税台账!$T$2:$T$501,A447,分期缴税台账!$Q$2:$Q$501,"有效"))</f>
        <v/>
      </c>
      <c r="AL447" s="15" t="str">
        <f t="shared" si="103"/>
        <v/>
      </c>
      <c r="AM447" s="4" t="str">
        <f t="shared" si="104"/>
        <v/>
      </c>
    </row>
    <row r="448" spans="1:39" x14ac:dyDescent="0.3">
      <c r="A448" s="9"/>
      <c r="B448" s="4" t="str">
        <f t="shared" si="90"/>
        <v/>
      </c>
      <c r="C448" s="9"/>
      <c r="D448" s="9"/>
      <c r="E448" s="9"/>
      <c r="F448" s="9"/>
      <c r="G448" s="13"/>
      <c r="H448" s="4" t="str">
        <f t="shared" si="91"/>
        <v/>
      </c>
      <c r="I448" s="9"/>
      <c r="J448" s="14"/>
      <c r="K448" s="15" t="str">
        <f>IF(OR(E448="",F448="",G448=""),"",IF(E448&lt;&gt;计划参数!$C$2,"",IF(F448="股票期权",IFERROR(LOOKUP(G448,计划参数!$D$12:$D$15,计划参数!$C$12:$C$15),""),IF(F448="限制性股票",计划参数!$C$10,""))))</f>
        <v/>
      </c>
      <c r="L448" s="15" t="str">
        <f>IF(AND(E448=计划参数!$C$2,F448="限制性股票",G448&gt;=计划参数!$D$9),计划参数!$C$9,"")</f>
        <v/>
      </c>
      <c r="M448" s="9"/>
      <c r="N448" s="14"/>
      <c r="O448" s="14"/>
      <c r="P448" s="13"/>
      <c r="Q448" s="9"/>
      <c r="R448" s="13"/>
      <c r="S448" s="15" t="str">
        <f t="shared" si="92"/>
        <v/>
      </c>
      <c r="T448" s="15" t="str">
        <f t="shared" si="93"/>
        <v/>
      </c>
      <c r="U448" s="15" t="str">
        <f t="shared" si="94"/>
        <v/>
      </c>
      <c r="V448" s="15" t="str">
        <f t="shared" si="95"/>
        <v/>
      </c>
      <c r="W448" s="16" t="str">
        <f>IF(V448="","",VLOOKUP(V448,税率及规则!$A$2:$C$8,2,TRUE))</f>
        <v/>
      </c>
      <c r="X448" s="15" t="str">
        <f>IF(V448="","",VLOOKUP(V448,税率及规则!$A$2:$C$8,3,TRUE))</f>
        <v/>
      </c>
      <c r="Y448" s="15" t="str">
        <f t="shared" si="96"/>
        <v/>
      </c>
      <c r="Z448" s="15" t="str">
        <f>IF(U448="","",MAX(0,U448*VLOOKUP(U448,税率及规则!$A$2:$C$8,2,TRUE)-VLOOKUP(U448,税率及规则!$A$2:$C$8,3,TRUE)))</f>
        <v/>
      </c>
      <c r="AA448" s="15" t="str">
        <f t="shared" si="97"/>
        <v/>
      </c>
      <c r="AB448" s="17" t="str">
        <f t="shared" si="98"/>
        <v/>
      </c>
      <c r="AC448" s="17" t="str">
        <f t="shared" si="99"/>
        <v/>
      </c>
      <c r="AD448" s="4" t="str">
        <f>IF(A448="","",IF(COUNTIF($A$2:$A$501,A448)&gt;1,"异常：事件编号重复",IF(OR(C448="",D448="",E448="",F448="",G448=""),"异常：必填项缺失",IF(AND(F448="其他股权激励",O448=""),"异常：其他股权激励所得缺失",IF(AND(F448&lt;&gt;"其他股权激励",OR(I448="",J448="")),"异常：数量或市场价缺失",IF(AND(F448&lt;&gt;"其他股权激励",OR(I448&lt;=0,J448&lt;0)),"异常：数量或价格无效",IF(AND(F448="限制性股票",OR(M448&lt;=0,N448&lt;0,I448&gt;M448)),"异常：个人获授或出资数据无效",IF(AND(IFERROR(INDEX(计划参数!$J$2:$J$501,MATCH(C448,计划参数!$I$2:$I$501,0)),"")&lt;&gt;"",D448&lt;&gt;IFERROR(INDEX(计划参数!$J$2:$J$501,MATCH(C448,计划参数!$I$2:$I$501,0)),"")),"异常：姓名与员工主数据不一致",IF(S448&lt;0,"异常：原始所得为负，已按0计税",IF(OR(AND(F448="股票期权",K448=""),AND(F448="限制性股票",OR(K448="",L448=""))),"异常：计划参数缺失",IF(COUNTIF(计划参数!$I$2:$I$501,C448)=0,"提示：员工编号未在主数据",IF(Q448&lt;&gt;"已备案","提示：未确认备案","正常"))))))))))))</f>
        <v/>
      </c>
      <c r="AE448" s="9"/>
      <c r="AF448" s="4" t="str">
        <f>IF(C448="","",IF(COUNTIF($C$2:C448,C448)=1,MAX($AF$1:AF447)+1,""))</f>
        <v/>
      </c>
      <c r="AG448" s="4" t="str">
        <f>IF(C448="","",COUNTIF($C$2:C448,C448))</f>
        <v/>
      </c>
      <c r="AH448" s="4" t="str">
        <f t="shared" si="100"/>
        <v/>
      </c>
      <c r="AI448" s="4" t="str">
        <f t="shared" si="101"/>
        <v/>
      </c>
      <c r="AJ448" s="4" t="str">
        <f t="shared" si="102"/>
        <v/>
      </c>
      <c r="AK448" s="15" t="str">
        <f>IF(A448="","",SUMIFS(分期缴税台账!$K$2:$K$501,分期缴税台账!$T$2:$T$501,A448,分期缴税台账!$Q$2:$Q$501,"有效"))</f>
        <v/>
      </c>
      <c r="AL448" s="15" t="str">
        <f t="shared" si="103"/>
        <v/>
      </c>
      <c r="AM448" s="4" t="str">
        <f t="shared" si="104"/>
        <v/>
      </c>
    </row>
    <row r="449" spans="1:39" x14ac:dyDescent="0.3">
      <c r="A449" s="9"/>
      <c r="B449" s="4" t="str">
        <f t="shared" si="90"/>
        <v/>
      </c>
      <c r="C449" s="9"/>
      <c r="D449" s="9"/>
      <c r="E449" s="9"/>
      <c r="F449" s="9"/>
      <c r="G449" s="13"/>
      <c r="H449" s="4" t="str">
        <f t="shared" si="91"/>
        <v/>
      </c>
      <c r="I449" s="9"/>
      <c r="J449" s="14"/>
      <c r="K449" s="15" t="str">
        <f>IF(OR(E449="",F449="",G449=""),"",IF(E449&lt;&gt;计划参数!$C$2,"",IF(F449="股票期权",IFERROR(LOOKUP(G449,计划参数!$D$12:$D$15,计划参数!$C$12:$C$15),""),IF(F449="限制性股票",计划参数!$C$10,""))))</f>
        <v/>
      </c>
      <c r="L449" s="15" t="str">
        <f>IF(AND(E449=计划参数!$C$2,F449="限制性股票",G449&gt;=计划参数!$D$9),计划参数!$C$9,"")</f>
        <v/>
      </c>
      <c r="M449" s="9"/>
      <c r="N449" s="14"/>
      <c r="O449" s="14"/>
      <c r="P449" s="13"/>
      <c r="Q449" s="9"/>
      <c r="R449" s="13"/>
      <c r="S449" s="15" t="str">
        <f t="shared" si="92"/>
        <v/>
      </c>
      <c r="T449" s="15" t="str">
        <f t="shared" si="93"/>
        <v/>
      </c>
      <c r="U449" s="15" t="str">
        <f t="shared" si="94"/>
        <v/>
      </c>
      <c r="V449" s="15" t="str">
        <f t="shared" si="95"/>
        <v/>
      </c>
      <c r="W449" s="16" t="str">
        <f>IF(V449="","",VLOOKUP(V449,税率及规则!$A$2:$C$8,2,TRUE))</f>
        <v/>
      </c>
      <c r="X449" s="15" t="str">
        <f>IF(V449="","",VLOOKUP(V449,税率及规则!$A$2:$C$8,3,TRUE))</f>
        <v/>
      </c>
      <c r="Y449" s="15" t="str">
        <f t="shared" si="96"/>
        <v/>
      </c>
      <c r="Z449" s="15" t="str">
        <f>IF(U449="","",MAX(0,U449*VLOOKUP(U449,税率及规则!$A$2:$C$8,2,TRUE)-VLOOKUP(U449,税率及规则!$A$2:$C$8,3,TRUE)))</f>
        <v/>
      </c>
      <c r="AA449" s="15" t="str">
        <f t="shared" si="97"/>
        <v/>
      </c>
      <c r="AB449" s="17" t="str">
        <f t="shared" si="98"/>
        <v/>
      </c>
      <c r="AC449" s="17" t="str">
        <f t="shared" si="99"/>
        <v/>
      </c>
      <c r="AD449" s="4" t="str">
        <f>IF(A449="","",IF(COUNTIF($A$2:$A$501,A449)&gt;1,"异常：事件编号重复",IF(OR(C449="",D449="",E449="",F449="",G449=""),"异常：必填项缺失",IF(AND(F449="其他股权激励",O449=""),"异常：其他股权激励所得缺失",IF(AND(F449&lt;&gt;"其他股权激励",OR(I449="",J449="")),"异常：数量或市场价缺失",IF(AND(F449&lt;&gt;"其他股权激励",OR(I449&lt;=0,J449&lt;0)),"异常：数量或价格无效",IF(AND(F449="限制性股票",OR(M449&lt;=0,N449&lt;0,I449&gt;M449)),"异常：个人获授或出资数据无效",IF(AND(IFERROR(INDEX(计划参数!$J$2:$J$501,MATCH(C449,计划参数!$I$2:$I$501,0)),"")&lt;&gt;"",D449&lt;&gt;IFERROR(INDEX(计划参数!$J$2:$J$501,MATCH(C449,计划参数!$I$2:$I$501,0)),"")),"异常：姓名与员工主数据不一致",IF(S449&lt;0,"异常：原始所得为负，已按0计税",IF(OR(AND(F449="股票期权",K449=""),AND(F449="限制性股票",OR(K449="",L449=""))),"异常：计划参数缺失",IF(COUNTIF(计划参数!$I$2:$I$501,C449)=0,"提示：员工编号未在主数据",IF(Q449&lt;&gt;"已备案","提示：未确认备案","正常"))))))))))))</f>
        <v/>
      </c>
      <c r="AE449" s="9"/>
      <c r="AF449" s="4" t="str">
        <f>IF(C449="","",IF(COUNTIF($C$2:C449,C449)=1,MAX($AF$1:AF448)+1,""))</f>
        <v/>
      </c>
      <c r="AG449" s="4" t="str">
        <f>IF(C449="","",COUNTIF($C$2:C449,C449))</f>
        <v/>
      </c>
      <c r="AH449" s="4" t="str">
        <f t="shared" si="100"/>
        <v/>
      </c>
      <c r="AI449" s="4" t="str">
        <f t="shared" si="101"/>
        <v/>
      </c>
      <c r="AJ449" s="4" t="str">
        <f t="shared" si="102"/>
        <v/>
      </c>
      <c r="AK449" s="15" t="str">
        <f>IF(A449="","",SUMIFS(分期缴税台账!$K$2:$K$501,分期缴税台账!$T$2:$T$501,A449,分期缴税台账!$Q$2:$Q$501,"有效"))</f>
        <v/>
      </c>
      <c r="AL449" s="15" t="str">
        <f t="shared" si="103"/>
        <v/>
      </c>
      <c r="AM449" s="4" t="str">
        <f t="shared" si="104"/>
        <v/>
      </c>
    </row>
    <row r="450" spans="1:39" x14ac:dyDescent="0.3">
      <c r="A450" s="9"/>
      <c r="B450" s="4" t="str">
        <f t="shared" ref="B450:B513" si="105">IF(A450="","",A450&amp;"-TAX")</f>
        <v/>
      </c>
      <c r="C450" s="9"/>
      <c r="D450" s="9"/>
      <c r="E450" s="9"/>
      <c r="F450" s="9"/>
      <c r="G450" s="13"/>
      <c r="H450" s="4" t="str">
        <f t="shared" ref="H450:H513" si="106">IF(G450="","",YEAR(G450))</f>
        <v/>
      </c>
      <c r="I450" s="9"/>
      <c r="J450" s="14"/>
      <c r="K450" s="15" t="str">
        <f>IF(OR(E450="",F450="",G450=""),"",IF(E450&lt;&gt;计划参数!$C$2,"",IF(F450="股票期权",IFERROR(LOOKUP(G450,计划参数!$D$12:$D$15,计划参数!$C$12:$C$15),""),IF(F450="限制性股票",计划参数!$C$10,""))))</f>
        <v/>
      </c>
      <c r="L450" s="15" t="str">
        <f>IF(AND(E450=计划参数!$C$2,F450="限制性股票",G450&gt;=计划参数!$D$9),计划参数!$C$9,"")</f>
        <v/>
      </c>
      <c r="M450" s="9"/>
      <c r="N450" s="14"/>
      <c r="O450" s="14"/>
      <c r="P450" s="13"/>
      <c r="Q450" s="9"/>
      <c r="R450" s="13"/>
      <c r="S450" s="15" t="str">
        <f t="shared" ref="S450:S501" si="107">IF(OR(A450="",C450="",F450="",G450=""),"",IF(F450="股票期权",IF(OR(I450="",J450="",K450=""),"",(J450-K450)*I450),IF(F450="限制性股票",IF(OR(L450="",M450="",M450&lt;=0,N450=""),"",((L450+J450)/2)*I450-N450*I450/M450),IF(F450="其他股权激励",IF(O450="","",O450),""))))</f>
        <v/>
      </c>
      <c r="T450" s="15" t="str">
        <f t="shared" ref="T450:T513" si="108">IF(S450="","",MAX(0,S450))</f>
        <v/>
      </c>
      <c r="U450" s="15" t="str">
        <f t="shared" ref="U450:U513" si="109">IF(T450="","",SUMIFS($T$2:$T$501,$C$2:$C$501,C450,$H$2:$H$501,H450,$G$2:$G$501,"&lt;"&amp;G450)+SUMIFS($T$2:$T$501,$C$2:$C$501,C450,$H$2:$H$501,H450,$G$2:$G$501,G450,$A$2:$A$501,"&lt;"&amp;A450))</f>
        <v/>
      </c>
      <c r="V450" s="15" t="str">
        <f t="shared" ref="V450:V513" si="110">IF(T450="","",U450+T450)</f>
        <v/>
      </c>
      <c r="W450" s="16" t="str">
        <f>IF(V450="","",VLOOKUP(V450,税率及规则!$A$2:$C$8,2,TRUE))</f>
        <v/>
      </c>
      <c r="X450" s="15" t="str">
        <f>IF(V450="","",VLOOKUP(V450,税率及规则!$A$2:$C$8,3,TRUE))</f>
        <v/>
      </c>
      <c r="Y450" s="15" t="str">
        <f t="shared" ref="Y450:Y513" si="111">IF(V450="","",MAX(0,V450*W450-X450))</f>
        <v/>
      </c>
      <c r="Z450" s="15" t="str">
        <f>IF(U450="","",MAX(0,U450*VLOOKUP(U450,税率及规则!$A$2:$C$8,2,TRUE)-VLOOKUP(U450,税率及规则!$A$2:$C$8,3,TRUE)))</f>
        <v/>
      </c>
      <c r="AA450" s="15" t="str">
        <f t="shared" ref="AA450:AA513" si="112">IF(Y450="","",MAX(0,Y450-Z450))</f>
        <v/>
      </c>
      <c r="AB450" s="17" t="str">
        <f t="shared" ref="AB450:AB501" si="113">IF(G450="","",G450)</f>
        <v/>
      </c>
      <c r="AC450" s="17" t="str">
        <f t="shared" ref="AC450:AC513" si="114">IF(AB450="","",IF(DAY(AB450)=DAY(EOMONTH(AB450,0)),EOMONTH(EDATE(AB450,36),0),EDATE(AB450,36)))</f>
        <v/>
      </c>
      <c r="AD450" s="4" t="str">
        <f>IF(A450="","",IF(COUNTIF($A$2:$A$501,A450)&gt;1,"异常：事件编号重复",IF(OR(C450="",D450="",E450="",F450="",G450=""),"异常：必填项缺失",IF(AND(F450="其他股权激励",O450=""),"异常：其他股权激励所得缺失",IF(AND(F450&lt;&gt;"其他股权激励",OR(I450="",J450="")),"异常：数量或市场价缺失",IF(AND(F450&lt;&gt;"其他股权激励",OR(I450&lt;=0,J450&lt;0)),"异常：数量或价格无效",IF(AND(F450="限制性股票",OR(M450&lt;=0,N450&lt;0,I450&gt;M450)),"异常：个人获授或出资数据无效",IF(AND(IFERROR(INDEX(计划参数!$J$2:$J$501,MATCH(C450,计划参数!$I$2:$I$501,0)),"")&lt;&gt;"",D450&lt;&gt;IFERROR(INDEX(计划参数!$J$2:$J$501,MATCH(C450,计划参数!$I$2:$I$501,0)),"")),"异常：姓名与员工主数据不一致",IF(S450&lt;0,"异常：原始所得为负，已按0计税",IF(OR(AND(F450="股票期权",K450=""),AND(F450="限制性股票",OR(K450="",L450=""))),"异常：计划参数缺失",IF(COUNTIF(计划参数!$I$2:$I$501,C450)=0,"提示：员工编号未在主数据",IF(Q450&lt;&gt;"已备案","提示：未确认备案","正常"))))))))))))</f>
        <v/>
      </c>
      <c r="AE450" s="9"/>
      <c r="AF450" s="4" t="str">
        <f>IF(C450="","",IF(COUNTIF($C$2:C450,C450)=1,MAX($AF$1:AF449)+1,""))</f>
        <v/>
      </c>
      <c r="AG450" s="4" t="str">
        <f>IF(C450="","",COUNTIF($C$2:C450,C450))</f>
        <v/>
      </c>
      <c r="AH450" s="4" t="str">
        <f t="shared" ref="AH450:AH513" si="115">IF(C450="","",C450&amp;"|"&amp;AG450)</f>
        <v/>
      </c>
      <c r="AI450" s="4" t="str">
        <f t="shared" ref="AI450:AI501" si="116">IF(OR(A450="",AA450&lt;=0),"",C450&amp;"|"&amp;H450&amp;"|"&amp;(COUNTIFS($C$2:$C$501,C450,$H$2:$H$501,H450,$AA$2:$AA$501,"&gt;0",$AC$2:$AC$501,"&lt;"&amp;AC450)+COUNTIFS($C$2:$C$501,C450,$H$2:$H$501,H450,$AA$2:$AA$501,"&gt;0",$AC$2:$AC$501,AC450,$A$2:$A$501,"&lt;="&amp;A450)))</f>
        <v/>
      </c>
      <c r="AJ450" s="4" t="str">
        <f t="shared" ref="AJ450:AJ501" si="117">IF(OR(A450="",AA450&lt;=0),"",C450&amp;"|"&amp;(COUNTIFS($C$2:$C$501,C450,$AA$2:$AA$501,"&gt;0",$AC$2:$AC$501,"&lt;"&amp;AC450)+COUNTIFS($C$2:$C$501,C450,$AA$2:$AA$501,"&gt;0",$AC$2:$AC$501,AC450,$A$2:$A$501,"&lt;="&amp;A450)))</f>
        <v/>
      </c>
      <c r="AK450" s="15" t="str">
        <f>IF(A450="","",SUMIFS(分期缴税台账!$K$2:$K$501,分期缴税台账!$T$2:$T$501,A450,分期缴税台账!$Q$2:$Q$501,"有效"))</f>
        <v/>
      </c>
      <c r="AL450" s="15" t="str">
        <f t="shared" ref="AL450:AL513" si="118">IF(AA450="","",MAX(0,AA450-AK450))</f>
        <v/>
      </c>
      <c r="AM450" s="4" t="str">
        <f t="shared" ref="AM450:AM513" si="119">IF(OR(A450="",AL450&lt;=0),"",C450&amp;"|"&amp;H450&amp;"|"&amp;(COUNTIFS($C$2:$C$501,C450,$H$2:$H$501,H450,$AL$2:$AL$501,"&gt;0",$AC$2:$AC$501,"&lt;"&amp;AC450)+COUNTIFS($C$2:$C$501,C450,$H$2:$H$501,H450,$AL$2:$AL$501,"&gt;0",$AC$2:$AC$501,AC450,$A$2:$A$501,"&lt;="&amp;A450)))</f>
        <v/>
      </c>
    </row>
    <row r="451" spans="1:39" x14ac:dyDescent="0.3">
      <c r="A451" s="9"/>
      <c r="B451" s="4" t="str">
        <f t="shared" si="105"/>
        <v/>
      </c>
      <c r="C451" s="9"/>
      <c r="D451" s="9"/>
      <c r="E451" s="9"/>
      <c r="F451" s="9"/>
      <c r="G451" s="13"/>
      <c r="H451" s="4" t="str">
        <f t="shared" si="106"/>
        <v/>
      </c>
      <c r="I451" s="9"/>
      <c r="J451" s="14"/>
      <c r="K451" s="15" t="str">
        <f>IF(OR(E451="",F451="",G451=""),"",IF(E451&lt;&gt;计划参数!$C$2,"",IF(F451="股票期权",IFERROR(LOOKUP(G451,计划参数!$D$12:$D$15,计划参数!$C$12:$C$15),""),IF(F451="限制性股票",计划参数!$C$10,""))))</f>
        <v/>
      </c>
      <c r="L451" s="15" t="str">
        <f>IF(AND(E451=计划参数!$C$2,F451="限制性股票",G451&gt;=计划参数!$D$9),计划参数!$C$9,"")</f>
        <v/>
      </c>
      <c r="M451" s="9"/>
      <c r="N451" s="14"/>
      <c r="O451" s="14"/>
      <c r="P451" s="13"/>
      <c r="Q451" s="9"/>
      <c r="R451" s="13"/>
      <c r="S451" s="15" t="str">
        <f t="shared" si="107"/>
        <v/>
      </c>
      <c r="T451" s="15" t="str">
        <f t="shared" si="108"/>
        <v/>
      </c>
      <c r="U451" s="15" t="str">
        <f t="shared" si="109"/>
        <v/>
      </c>
      <c r="V451" s="15" t="str">
        <f t="shared" si="110"/>
        <v/>
      </c>
      <c r="W451" s="16" t="str">
        <f>IF(V451="","",VLOOKUP(V451,税率及规则!$A$2:$C$8,2,TRUE))</f>
        <v/>
      </c>
      <c r="X451" s="15" t="str">
        <f>IF(V451="","",VLOOKUP(V451,税率及规则!$A$2:$C$8,3,TRUE))</f>
        <v/>
      </c>
      <c r="Y451" s="15" t="str">
        <f t="shared" si="111"/>
        <v/>
      </c>
      <c r="Z451" s="15" t="str">
        <f>IF(U451="","",MAX(0,U451*VLOOKUP(U451,税率及规则!$A$2:$C$8,2,TRUE)-VLOOKUP(U451,税率及规则!$A$2:$C$8,3,TRUE)))</f>
        <v/>
      </c>
      <c r="AA451" s="15" t="str">
        <f t="shared" si="112"/>
        <v/>
      </c>
      <c r="AB451" s="17" t="str">
        <f t="shared" si="113"/>
        <v/>
      </c>
      <c r="AC451" s="17" t="str">
        <f t="shared" si="114"/>
        <v/>
      </c>
      <c r="AD451" s="4" t="str">
        <f>IF(A451="","",IF(COUNTIF($A$2:$A$501,A451)&gt;1,"异常：事件编号重复",IF(OR(C451="",D451="",E451="",F451="",G451=""),"异常：必填项缺失",IF(AND(F451="其他股权激励",O451=""),"异常：其他股权激励所得缺失",IF(AND(F451&lt;&gt;"其他股权激励",OR(I451="",J451="")),"异常：数量或市场价缺失",IF(AND(F451&lt;&gt;"其他股权激励",OR(I451&lt;=0,J451&lt;0)),"异常：数量或价格无效",IF(AND(F451="限制性股票",OR(M451&lt;=0,N451&lt;0,I451&gt;M451)),"异常：个人获授或出资数据无效",IF(AND(IFERROR(INDEX(计划参数!$J$2:$J$501,MATCH(C451,计划参数!$I$2:$I$501,0)),"")&lt;&gt;"",D451&lt;&gt;IFERROR(INDEX(计划参数!$J$2:$J$501,MATCH(C451,计划参数!$I$2:$I$501,0)),"")),"异常：姓名与员工主数据不一致",IF(S451&lt;0,"异常：原始所得为负，已按0计税",IF(OR(AND(F451="股票期权",K451=""),AND(F451="限制性股票",OR(K451="",L451=""))),"异常：计划参数缺失",IF(COUNTIF(计划参数!$I$2:$I$501,C451)=0,"提示：员工编号未在主数据",IF(Q451&lt;&gt;"已备案","提示：未确认备案","正常"))))))))))))</f>
        <v/>
      </c>
      <c r="AE451" s="9"/>
      <c r="AF451" s="4" t="str">
        <f>IF(C451="","",IF(COUNTIF($C$2:C451,C451)=1,MAX($AF$1:AF450)+1,""))</f>
        <v/>
      </c>
      <c r="AG451" s="4" t="str">
        <f>IF(C451="","",COUNTIF($C$2:C451,C451))</f>
        <v/>
      </c>
      <c r="AH451" s="4" t="str">
        <f t="shared" si="115"/>
        <v/>
      </c>
      <c r="AI451" s="4" t="str">
        <f t="shared" si="116"/>
        <v/>
      </c>
      <c r="AJ451" s="4" t="str">
        <f t="shared" si="117"/>
        <v/>
      </c>
      <c r="AK451" s="15" t="str">
        <f>IF(A451="","",SUMIFS(分期缴税台账!$K$2:$K$501,分期缴税台账!$T$2:$T$501,A451,分期缴税台账!$Q$2:$Q$501,"有效"))</f>
        <v/>
      </c>
      <c r="AL451" s="15" t="str">
        <f t="shared" si="118"/>
        <v/>
      </c>
      <c r="AM451" s="4" t="str">
        <f t="shared" si="119"/>
        <v/>
      </c>
    </row>
    <row r="452" spans="1:39" x14ac:dyDescent="0.3">
      <c r="A452" s="9"/>
      <c r="B452" s="4" t="str">
        <f t="shared" si="105"/>
        <v/>
      </c>
      <c r="C452" s="9"/>
      <c r="D452" s="9"/>
      <c r="E452" s="9"/>
      <c r="F452" s="9"/>
      <c r="G452" s="13"/>
      <c r="H452" s="4" t="str">
        <f t="shared" si="106"/>
        <v/>
      </c>
      <c r="I452" s="9"/>
      <c r="J452" s="14"/>
      <c r="K452" s="15" t="str">
        <f>IF(OR(E452="",F452="",G452=""),"",IF(E452&lt;&gt;计划参数!$C$2,"",IF(F452="股票期权",IFERROR(LOOKUP(G452,计划参数!$D$12:$D$15,计划参数!$C$12:$C$15),""),IF(F452="限制性股票",计划参数!$C$10,""))))</f>
        <v/>
      </c>
      <c r="L452" s="15" t="str">
        <f>IF(AND(E452=计划参数!$C$2,F452="限制性股票",G452&gt;=计划参数!$D$9),计划参数!$C$9,"")</f>
        <v/>
      </c>
      <c r="M452" s="9"/>
      <c r="N452" s="14"/>
      <c r="O452" s="14"/>
      <c r="P452" s="13"/>
      <c r="Q452" s="9"/>
      <c r="R452" s="13"/>
      <c r="S452" s="15" t="str">
        <f t="shared" si="107"/>
        <v/>
      </c>
      <c r="T452" s="15" t="str">
        <f t="shared" si="108"/>
        <v/>
      </c>
      <c r="U452" s="15" t="str">
        <f t="shared" si="109"/>
        <v/>
      </c>
      <c r="V452" s="15" t="str">
        <f t="shared" si="110"/>
        <v/>
      </c>
      <c r="W452" s="16" t="str">
        <f>IF(V452="","",VLOOKUP(V452,税率及规则!$A$2:$C$8,2,TRUE))</f>
        <v/>
      </c>
      <c r="X452" s="15" t="str">
        <f>IF(V452="","",VLOOKUP(V452,税率及规则!$A$2:$C$8,3,TRUE))</f>
        <v/>
      </c>
      <c r="Y452" s="15" t="str">
        <f t="shared" si="111"/>
        <v/>
      </c>
      <c r="Z452" s="15" t="str">
        <f>IF(U452="","",MAX(0,U452*VLOOKUP(U452,税率及规则!$A$2:$C$8,2,TRUE)-VLOOKUP(U452,税率及规则!$A$2:$C$8,3,TRUE)))</f>
        <v/>
      </c>
      <c r="AA452" s="15" t="str">
        <f t="shared" si="112"/>
        <v/>
      </c>
      <c r="AB452" s="17" t="str">
        <f t="shared" si="113"/>
        <v/>
      </c>
      <c r="AC452" s="17" t="str">
        <f t="shared" si="114"/>
        <v/>
      </c>
      <c r="AD452" s="4" t="str">
        <f>IF(A452="","",IF(COUNTIF($A$2:$A$501,A452)&gt;1,"异常：事件编号重复",IF(OR(C452="",D452="",E452="",F452="",G452=""),"异常：必填项缺失",IF(AND(F452="其他股权激励",O452=""),"异常：其他股权激励所得缺失",IF(AND(F452&lt;&gt;"其他股权激励",OR(I452="",J452="")),"异常：数量或市场价缺失",IF(AND(F452&lt;&gt;"其他股权激励",OR(I452&lt;=0,J452&lt;0)),"异常：数量或价格无效",IF(AND(F452="限制性股票",OR(M452&lt;=0,N452&lt;0,I452&gt;M452)),"异常：个人获授或出资数据无效",IF(AND(IFERROR(INDEX(计划参数!$J$2:$J$501,MATCH(C452,计划参数!$I$2:$I$501,0)),"")&lt;&gt;"",D452&lt;&gt;IFERROR(INDEX(计划参数!$J$2:$J$501,MATCH(C452,计划参数!$I$2:$I$501,0)),"")),"异常：姓名与员工主数据不一致",IF(S452&lt;0,"异常：原始所得为负，已按0计税",IF(OR(AND(F452="股票期权",K452=""),AND(F452="限制性股票",OR(K452="",L452=""))),"异常：计划参数缺失",IF(COUNTIF(计划参数!$I$2:$I$501,C452)=0,"提示：员工编号未在主数据",IF(Q452&lt;&gt;"已备案","提示：未确认备案","正常"))))))))))))</f>
        <v/>
      </c>
      <c r="AE452" s="9"/>
      <c r="AF452" s="4" t="str">
        <f>IF(C452="","",IF(COUNTIF($C$2:C452,C452)=1,MAX($AF$1:AF451)+1,""))</f>
        <v/>
      </c>
      <c r="AG452" s="4" t="str">
        <f>IF(C452="","",COUNTIF($C$2:C452,C452))</f>
        <v/>
      </c>
      <c r="AH452" s="4" t="str">
        <f t="shared" si="115"/>
        <v/>
      </c>
      <c r="AI452" s="4" t="str">
        <f t="shared" si="116"/>
        <v/>
      </c>
      <c r="AJ452" s="4" t="str">
        <f t="shared" si="117"/>
        <v/>
      </c>
      <c r="AK452" s="15" t="str">
        <f>IF(A452="","",SUMIFS(分期缴税台账!$K$2:$K$501,分期缴税台账!$T$2:$T$501,A452,分期缴税台账!$Q$2:$Q$501,"有效"))</f>
        <v/>
      </c>
      <c r="AL452" s="15" t="str">
        <f t="shared" si="118"/>
        <v/>
      </c>
      <c r="AM452" s="4" t="str">
        <f t="shared" si="119"/>
        <v/>
      </c>
    </row>
    <row r="453" spans="1:39" x14ac:dyDescent="0.3">
      <c r="A453" s="9"/>
      <c r="B453" s="4" t="str">
        <f t="shared" si="105"/>
        <v/>
      </c>
      <c r="C453" s="9"/>
      <c r="D453" s="9"/>
      <c r="E453" s="9"/>
      <c r="F453" s="9"/>
      <c r="G453" s="13"/>
      <c r="H453" s="4" t="str">
        <f t="shared" si="106"/>
        <v/>
      </c>
      <c r="I453" s="9"/>
      <c r="J453" s="14"/>
      <c r="K453" s="15" t="str">
        <f>IF(OR(E453="",F453="",G453=""),"",IF(E453&lt;&gt;计划参数!$C$2,"",IF(F453="股票期权",IFERROR(LOOKUP(G453,计划参数!$D$12:$D$15,计划参数!$C$12:$C$15),""),IF(F453="限制性股票",计划参数!$C$10,""))))</f>
        <v/>
      </c>
      <c r="L453" s="15" t="str">
        <f>IF(AND(E453=计划参数!$C$2,F453="限制性股票",G453&gt;=计划参数!$D$9),计划参数!$C$9,"")</f>
        <v/>
      </c>
      <c r="M453" s="9"/>
      <c r="N453" s="14"/>
      <c r="O453" s="14"/>
      <c r="P453" s="13"/>
      <c r="Q453" s="9"/>
      <c r="R453" s="13"/>
      <c r="S453" s="15" t="str">
        <f t="shared" si="107"/>
        <v/>
      </c>
      <c r="T453" s="15" t="str">
        <f t="shared" si="108"/>
        <v/>
      </c>
      <c r="U453" s="15" t="str">
        <f t="shared" si="109"/>
        <v/>
      </c>
      <c r="V453" s="15" t="str">
        <f t="shared" si="110"/>
        <v/>
      </c>
      <c r="W453" s="16" t="str">
        <f>IF(V453="","",VLOOKUP(V453,税率及规则!$A$2:$C$8,2,TRUE))</f>
        <v/>
      </c>
      <c r="X453" s="15" t="str">
        <f>IF(V453="","",VLOOKUP(V453,税率及规则!$A$2:$C$8,3,TRUE))</f>
        <v/>
      </c>
      <c r="Y453" s="15" t="str">
        <f t="shared" si="111"/>
        <v/>
      </c>
      <c r="Z453" s="15" t="str">
        <f>IF(U453="","",MAX(0,U453*VLOOKUP(U453,税率及规则!$A$2:$C$8,2,TRUE)-VLOOKUP(U453,税率及规则!$A$2:$C$8,3,TRUE)))</f>
        <v/>
      </c>
      <c r="AA453" s="15" t="str">
        <f t="shared" si="112"/>
        <v/>
      </c>
      <c r="AB453" s="17" t="str">
        <f t="shared" si="113"/>
        <v/>
      </c>
      <c r="AC453" s="17" t="str">
        <f t="shared" si="114"/>
        <v/>
      </c>
      <c r="AD453" s="4" t="str">
        <f>IF(A453="","",IF(COUNTIF($A$2:$A$501,A453)&gt;1,"异常：事件编号重复",IF(OR(C453="",D453="",E453="",F453="",G453=""),"异常：必填项缺失",IF(AND(F453="其他股权激励",O453=""),"异常：其他股权激励所得缺失",IF(AND(F453&lt;&gt;"其他股权激励",OR(I453="",J453="")),"异常：数量或市场价缺失",IF(AND(F453&lt;&gt;"其他股权激励",OR(I453&lt;=0,J453&lt;0)),"异常：数量或价格无效",IF(AND(F453="限制性股票",OR(M453&lt;=0,N453&lt;0,I453&gt;M453)),"异常：个人获授或出资数据无效",IF(AND(IFERROR(INDEX(计划参数!$J$2:$J$501,MATCH(C453,计划参数!$I$2:$I$501,0)),"")&lt;&gt;"",D453&lt;&gt;IFERROR(INDEX(计划参数!$J$2:$J$501,MATCH(C453,计划参数!$I$2:$I$501,0)),"")),"异常：姓名与员工主数据不一致",IF(S453&lt;0,"异常：原始所得为负，已按0计税",IF(OR(AND(F453="股票期权",K453=""),AND(F453="限制性股票",OR(K453="",L453=""))),"异常：计划参数缺失",IF(COUNTIF(计划参数!$I$2:$I$501,C453)=0,"提示：员工编号未在主数据",IF(Q453&lt;&gt;"已备案","提示：未确认备案","正常"))))))))))))</f>
        <v/>
      </c>
      <c r="AE453" s="9"/>
      <c r="AF453" s="4" t="str">
        <f>IF(C453="","",IF(COUNTIF($C$2:C453,C453)=1,MAX($AF$1:AF452)+1,""))</f>
        <v/>
      </c>
      <c r="AG453" s="4" t="str">
        <f>IF(C453="","",COUNTIF($C$2:C453,C453))</f>
        <v/>
      </c>
      <c r="AH453" s="4" t="str">
        <f t="shared" si="115"/>
        <v/>
      </c>
      <c r="AI453" s="4" t="str">
        <f t="shared" si="116"/>
        <v/>
      </c>
      <c r="AJ453" s="4" t="str">
        <f t="shared" si="117"/>
        <v/>
      </c>
      <c r="AK453" s="15" t="str">
        <f>IF(A453="","",SUMIFS(分期缴税台账!$K$2:$K$501,分期缴税台账!$T$2:$T$501,A453,分期缴税台账!$Q$2:$Q$501,"有效"))</f>
        <v/>
      </c>
      <c r="AL453" s="15" t="str">
        <f t="shared" si="118"/>
        <v/>
      </c>
      <c r="AM453" s="4" t="str">
        <f t="shared" si="119"/>
        <v/>
      </c>
    </row>
    <row r="454" spans="1:39" x14ac:dyDescent="0.3">
      <c r="A454" s="9"/>
      <c r="B454" s="4" t="str">
        <f t="shared" si="105"/>
        <v/>
      </c>
      <c r="C454" s="9"/>
      <c r="D454" s="9"/>
      <c r="E454" s="9"/>
      <c r="F454" s="9"/>
      <c r="G454" s="13"/>
      <c r="H454" s="4" t="str">
        <f t="shared" si="106"/>
        <v/>
      </c>
      <c r="I454" s="9"/>
      <c r="J454" s="14"/>
      <c r="K454" s="15" t="str">
        <f>IF(OR(E454="",F454="",G454=""),"",IF(E454&lt;&gt;计划参数!$C$2,"",IF(F454="股票期权",IFERROR(LOOKUP(G454,计划参数!$D$12:$D$15,计划参数!$C$12:$C$15),""),IF(F454="限制性股票",计划参数!$C$10,""))))</f>
        <v/>
      </c>
      <c r="L454" s="15" t="str">
        <f>IF(AND(E454=计划参数!$C$2,F454="限制性股票",G454&gt;=计划参数!$D$9),计划参数!$C$9,"")</f>
        <v/>
      </c>
      <c r="M454" s="9"/>
      <c r="N454" s="14"/>
      <c r="O454" s="14"/>
      <c r="P454" s="13"/>
      <c r="Q454" s="9"/>
      <c r="R454" s="13"/>
      <c r="S454" s="15" t="str">
        <f t="shared" si="107"/>
        <v/>
      </c>
      <c r="T454" s="15" t="str">
        <f t="shared" si="108"/>
        <v/>
      </c>
      <c r="U454" s="15" t="str">
        <f t="shared" si="109"/>
        <v/>
      </c>
      <c r="V454" s="15" t="str">
        <f t="shared" si="110"/>
        <v/>
      </c>
      <c r="W454" s="16" t="str">
        <f>IF(V454="","",VLOOKUP(V454,税率及规则!$A$2:$C$8,2,TRUE))</f>
        <v/>
      </c>
      <c r="X454" s="15" t="str">
        <f>IF(V454="","",VLOOKUP(V454,税率及规则!$A$2:$C$8,3,TRUE))</f>
        <v/>
      </c>
      <c r="Y454" s="15" t="str">
        <f t="shared" si="111"/>
        <v/>
      </c>
      <c r="Z454" s="15" t="str">
        <f>IF(U454="","",MAX(0,U454*VLOOKUP(U454,税率及规则!$A$2:$C$8,2,TRUE)-VLOOKUP(U454,税率及规则!$A$2:$C$8,3,TRUE)))</f>
        <v/>
      </c>
      <c r="AA454" s="15" t="str">
        <f t="shared" si="112"/>
        <v/>
      </c>
      <c r="AB454" s="17" t="str">
        <f t="shared" si="113"/>
        <v/>
      </c>
      <c r="AC454" s="17" t="str">
        <f t="shared" si="114"/>
        <v/>
      </c>
      <c r="AD454" s="4" t="str">
        <f>IF(A454="","",IF(COUNTIF($A$2:$A$501,A454)&gt;1,"异常：事件编号重复",IF(OR(C454="",D454="",E454="",F454="",G454=""),"异常：必填项缺失",IF(AND(F454="其他股权激励",O454=""),"异常：其他股权激励所得缺失",IF(AND(F454&lt;&gt;"其他股权激励",OR(I454="",J454="")),"异常：数量或市场价缺失",IF(AND(F454&lt;&gt;"其他股权激励",OR(I454&lt;=0,J454&lt;0)),"异常：数量或价格无效",IF(AND(F454="限制性股票",OR(M454&lt;=0,N454&lt;0,I454&gt;M454)),"异常：个人获授或出资数据无效",IF(AND(IFERROR(INDEX(计划参数!$J$2:$J$501,MATCH(C454,计划参数!$I$2:$I$501,0)),"")&lt;&gt;"",D454&lt;&gt;IFERROR(INDEX(计划参数!$J$2:$J$501,MATCH(C454,计划参数!$I$2:$I$501,0)),"")),"异常：姓名与员工主数据不一致",IF(S454&lt;0,"异常：原始所得为负，已按0计税",IF(OR(AND(F454="股票期权",K454=""),AND(F454="限制性股票",OR(K454="",L454=""))),"异常：计划参数缺失",IF(COUNTIF(计划参数!$I$2:$I$501,C454)=0,"提示：员工编号未在主数据",IF(Q454&lt;&gt;"已备案","提示：未确认备案","正常"))))))))))))</f>
        <v/>
      </c>
      <c r="AE454" s="9"/>
      <c r="AF454" s="4" t="str">
        <f>IF(C454="","",IF(COUNTIF($C$2:C454,C454)=1,MAX($AF$1:AF453)+1,""))</f>
        <v/>
      </c>
      <c r="AG454" s="4" t="str">
        <f>IF(C454="","",COUNTIF($C$2:C454,C454))</f>
        <v/>
      </c>
      <c r="AH454" s="4" t="str">
        <f t="shared" si="115"/>
        <v/>
      </c>
      <c r="AI454" s="4" t="str">
        <f t="shared" si="116"/>
        <v/>
      </c>
      <c r="AJ454" s="4" t="str">
        <f t="shared" si="117"/>
        <v/>
      </c>
      <c r="AK454" s="15" t="str">
        <f>IF(A454="","",SUMIFS(分期缴税台账!$K$2:$K$501,分期缴税台账!$T$2:$T$501,A454,分期缴税台账!$Q$2:$Q$501,"有效"))</f>
        <v/>
      </c>
      <c r="AL454" s="15" t="str">
        <f t="shared" si="118"/>
        <v/>
      </c>
      <c r="AM454" s="4" t="str">
        <f t="shared" si="119"/>
        <v/>
      </c>
    </row>
    <row r="455" spans="1:39" x14ac:dyDescent="0.3">
      <c r="A455" s="9"/>
      <c r="B455" s="4" t="str">
        <f t="shared" si="105"/>
        <v/>
      </c>
      <c r="C455" s="9"/>
      <c r="D455" s="9"/>
      <c r="E455" s="9"/>
      <c r="F455" s="9"/>
      <c r="G455" s="13"/>
      <c r="H455" s="4" t="str">
        <f t="shared" si="106"/>
        <v/>
      </c>
      <c r="I455" s="9"/>
      <c r="J455" s="14"/>
      <c r="K455" s="15" t="str">
        <f>IF(OR(E455="",F455="",G455=""),"",IF(E455&lt;&gt;计划参数!$C$2,"",IF(F455="股票期权",IFERROR(LOOKUP(G455,计划参数!$D$12:$D$15,计划参数!$C$12:$C$15),""),IF(F455="限制性股票",计划参数!$C$10,""))))</f>
        <v/>
      </c>
      <c r="L455" s="15" t="str">
        <f>IF(AND(E455=计划参数!$C$2,F455="限制性股票",G455&gt;=计划参数!$D$9),计划参数!$C$9,"")</f>
        <v/>
      </c>
      <c r="M455" s="9"/>
      <c r="N455" s="14"/>
      <c r="O455" s="14"/>
      <c r="P455" s="13"/>
      <c r="Q455" s="9"/>
      <c r="R455" s="13"/>
      <c r="S455" s="15" t="str">
        <f t="shared" si="107"/>
        <v/>
      </c>
      <c r="T455" s="15" t="str">
        <f t="shared" si="108"/>
        <v/>
      </c>
      <c r="U455" s="15" t="str">
        <f t="shared" si="109"/>
        <v/>
      </c>
      <c r="V455" s="15" t="str">
        <f t="shared" si="110"/>
        <v/>
      </c>
      <c r="W455" s="16" t="str">
        <f>IF(V455="","",VLOOKUP(V455,税率及规则!$A$2:$C$8,2,TRUE))</f>
        <v/>
      </c>
      <c r="X455" s="15" t="str">
        <f>IF(V455="","",VLOOKUP(V455,税率及规则!$A$2:$C$8,3,TRUE))</f>
        <v/>
      </c>
      <c r="Y455" s="15" t="str">
        <f t="shared" si="111"/>
        <v/>
      </c>
      <c r="Z455" s="15" t="str">
        <f>IF(U455="","",MAX(0,U455*VLOOKUP(U455,税率及规则!$A$2:$C$8,2,TRUE)-VLOOKUP(U455,税率及规则!$A$2:$C$8,3,TRUE)))</f>
        <v/>
      </c>
      <c r="AA455" s="15" t="str">
        <f t="shared" si="112"/>
        <v/>
      </c>
      <c r="AB455" s="17" t="str">
        <f t="shared" si="113"/>
        <v/>
      </c>
      <c r="AC455" s="17" t="str">
        <f t="shared" si="114"/>
        <v/>
      </c>
      <c r="AD455" s="4" t="str">
        <f>IF(A455="","",IF(COUNTIF($A$2:$A$501,A455)&gt;1,"异常：事件编号重复",IF(OR(C455="",D455="",E455="",F455="",G455=""),"异常：必填项缺失",IF(AND(F455="其他股权激励",O455=""),"异常：其他股权激励所得缺失",IF(AND(F455&lt;&gt;"其他股权激励",OR(I455="",J455="")),"异常：数量或市场价缺失",IF(AND(F455&lt;&gt;"其他股权激励",OR(I455&lt;=0,J455&lt;0)),"异常：数量或价格无效",IF(AND(F455="限制性股票",OR(M455&lt;=0,N455&lt;0,I455&gt;M455)),"异常：个人获授或出资数据无效",IF(AND(IFERROR(INDEX(计划参数!$J$2:$J$501,MATCH(C455,计划参数!$I$2:$I$501,0)),"")&lt;&gt;"",D455&lt;&gt;IFERROR(INDEX(计划参数!$J$2:$J$501,MATCH(C455,计划参数!$I$2:$I$501,0)),"")),"异常：姓名与员工主数据不一致",IF(S455&lt;0,"异常：原始所得为负，已按0计税",IF(OR(AND(F455="股票期权",K455=""),AND(F455="限制性股票",OR(K455="",L455=""))),"异常：计划参数缺失",IF(COUNTIF(计划参数!$I$2:$I$501,C455)=0,"提示：员工编号未在主数据",IF(Q455&lt;&gt;"已备案","提示：未确认备案","正常"))))))))))))</f>
        <v/>
      </c>
      <c r="AE455" s="9"/>
      <c r="AF455" s="4" t="str">
        <f>IF(C455="","",IF(COUNTIF($C$2:C455,C455)=1,MAX($AF$1:AF454)+1,""))</f>
        <v/>
      </c>
      <c r="AG455" s="4" t="str">
        <f>IF(C455="","",COUNTIF($C$2:C455,C455))</f>
        <v/>
      </c>
      <c r="AH455" s="4" t="str">
        <f t="shared" si="115"/>
        <v/>
      </c>
      <c r="AI455" s="4" t="str">
        <f t="shared" si="116"/>
        <v/>
      </c>
      <c r="AJ455" s="4" t="str">
        <f t="shared" si="117"/>
        <v/>
      </c>
      <c r="AK455" s="15" t="str">
        <f>IF(A455="","",SUMIFS(分期缴税台账!$K$2:$K$501,分期缴税台账!$T$2:$T$501,A455,分期缴税台账!$Q$2:$Q$501,"有效"))</f>
        <v/>
      </c>
      <c r="AL455" s="15" t="str">
        <f t="shared" si="118"/>
        <v/>
      </c>
      <c r="AM455" s="4" t="str">
        <f t="shared" si="119"/>
        <v/>
      </c>
    </row>
    <row r="456" spans="1:39" x14ac:dyDescent="0.3">
      <c r="A456" s="9"/>
      <c r="B456" s="4" t="str">
        <f t="shared" si="105"/>
        <v/>
      </c>
      <c r="C456" s="9"/>
      <c r="D456" s="9"/>
      <c r="E456" s="9"/>
      <c r="F456" s="9"/>
      <c r="G456" s="13"/>
      <c r="H456" s="4" t="str">
        <f t="shared" si="106"/>
        <v/>
      </c>
      <c r="I456" s="9"/>
      <c r="J456" s="14"/>
      <c r="K456" s="15" t="str">
        <f>IF(OR(E456="",F456="",G456=""),"",IF(E456&lt;&gt;计划参数!$C$2,"",IF(F456="股票期权",IFERROR(LOOKUP(G456,计划参数!$D$12:$D$15,计划参数!$C$12:$C$15),""),IF(F456="限制性股票",计划参数!$C$10,""))))</f>
        <v/>
      </c>
      <c r="L456" s="15" t="str">
        <f>IF(AND(E456=计划参数!$C$2,F456="限制性股票",G456&gt;=计划参数!$D$9),计划参数!$C$9,"")</f>
        <v/>
      </c>
      <c r="M456" s="9"/>
      <c r="N456" s="14"/>
      <c r="O456" s="14"/>
      <c r="P456" s="13"/>
      <c r="Q456" s="9"/>
      <c r="R456" s="13"/>
      <c r="S456" s="15" t="str">
        <f t="shared" si="107"/>
        <v/>
      </c>
      <c r="T456" s="15" t="str">
        <f t="shared" si="108"/>
        <v/>
      </c>
      <c r="U456" s="15" t="str">
        <f t="shared" si="109"/>
        <v/>
      </c>
      <c r="V456" s="15" t="str">
        <f t="shared" si="110"/>
        <v/>
      </c>
      <c r="W456" s="16" t="str">
        <f>IF(V456="","",VLOOKUP(V456,税率及规则!$A$2:$C$8,2,TRUE))</f>
        <v/>
      </c>
      <c r="X456" s="15" t="str">
        <f>IF(V456="","",VLOOKUP(V456,税率及规则!$A$2:$C$8,3,TRUE))</f>
        <v/>
      </c>
      <c r="Y456" s="15" t="str">
        <f t="shared" si="111"/>
        <v/>
      </c>
      <c r="Z456" s="15" t="str">
        <f>IF(U456="","",MAX(0,U456*VLOOKUP(U456,税率及规则!$A$2:$C$8,2,TRUE)-VLOOKUP(U456,税率及规则!$A$2:$C$8,3,TRUE)))</f>
        <v/>
      </c>
      <c r="AA456" s="15" t="str">
        <f t="shared" si="112"/>
        <v/>
      </c>
      <c r="AB456" s="17" t="str">
        <f t="shared" si="113"/>
        <v/>
      </c>
      <c r="AC456" s="17" t="str">
        <f t="shared" si="114"/>
        <v/>
      </c>
      <c r="AD456" s="4" t="str">
        <f>IF(A456="","",IF(COUNTIF($A$2:$A$501,A456)&gt;1,"异常：事件编号重复",IF(OR(C456="",D456="",E456="",F456="",G456=""),"异常：必填项缺失",IF(AND(F456="其他股权激励",O456=""),"异常：其他股权激励所得缺失",IF(AND(F456&lt;&gt;"其他股权激励",OR(I456="",J456="")),"异常：数量或市场价缺失",IF(AND(F456&lt;&gt;"其他股权激励",OR(I456&lt;=0,J456&lt;0)),"异常：数量或价格无效",IF(AND(F456="限制性股票",OR(M456&lt;=0,N456&lt;0,I456&gt;M456)),"异常：个人获授或出资数据无效",IF(AND(IFERROR(INDEX(计划参数!$J$2:$J$501,MATCH(C456,计划参数!$I$2:$I$501,0)),"")&lt;&gt;"",D456&lt;&gt;IFERROR(INDEX(计划参数!$J$2:$J$501,MATCH(C456,计划参数!$I$2:$I$501,0)),"")),"异常：姓名与员工主数据不一致",IF(S456&lt;0,"异常：原始所得为负，已按0计税",IF(OR(AND(F456="股票期权",K456=""),AND(F456="限制性股票",OR(K456="",L456=""))),"异常：计划参数缺失",IF(COUNTIF(计划参数!$I$2:$I$501,C456)=0,"提示：员工编号未在主数据",IF(Q456&lt;&gt;"已备案","提示：未确认备案","正常"))))))))))))</f>
        <v/>
      </c>
      <c r="AE456" s="9"/>
      <c r="AF456" s="4" t="str">
        <f>IF(C456="","",IF(COUNTIF($C$2:C456,C456)=1,MAX($AF$1:AF455)+1,""))</f>
        <v/>
      </c>
      <c r="AG456" s="4" t="str">
        <f>IF(C456="","",COUNTIF($C$2:C456,C456))</f>
        <v/>
      </c>
      <c r="AH456" s="4" t="str">
        <f t="shared" si="115"/>
        <v/>
      </c>
      <c r="AI456" s="4" t="str">
        <f t="shared" si="116"/>
        <v/>
      </c>
      <c r="AJ456" s="4" t="str">
        <f t="shared" si="117"/>
        <v/>
      </c>
      <c r="AK456" s="15" t="str">
        <f>IF(A456="","",SUMIFS(分期缴税台账!$K$2:$K$501,分期缴税台账!$T$2:$T$501,A456,分期缴税台账!$Q$2:$Q$501,"有效"))</f>
        <v/>
      </c>
      <c r="AL456" s="15" t="str">
        <f t="shared" si="118"/>
        <v/>
      </c>
      <c r="AM456" s="4" t="str">
        <f t="shared" si="119"/>
        <v/>
      </c>
    </row>
    <row r="457" spans="1:39" x14ac:dyDescent="0.3">
      <c r="A457" s="9"/>
      <c r="B457" s="4" t="str">
        <f t="shared" si="105"/>
        <v/>
      </c>
      <c r="C457" s="9"/>
      <c r="D457" s="9"/>
      <c r="E457" s="9"/>
      <c r="F457" s="9"/>
      <c r="G457" s="13"/>
      <c r="H457" s="4" t="str">
        <f t="shared" si="106"/>
        <v/>
      </c>
      <c r="I457" s="9"/>
      <c r="J457" s="14"/>
      <c r="K457" s="15" t="str">
        <f>IF(OR(E457="",F457="",G457=""),"",IF(E457&lt;&gt;计划参数!$C$2,"",IF(F457="股票期权",IFERROR(LOOKUP(G457,计划参数!$D$12:$D$15,计划参数!$C$12:$C$15),""),IF(F457="限制性股票",计划参数!$C$10,""))))</f>
        <v/>
      </c>
      <c r="L457" s="15" t="str">
        <f>IF(AND(E457=计划参数!$C$2,F457="限制性股票",G457&gt;=计划参数!$D$9),计划参数!$C$9,"")</f>
        <v/>
      </c>
      <c r="M457" s="9"/>
      <c r="N457" s="14"/>
      <c r="O457" s="14"/>
      <c r="P457" s="13"/>
      <c r="Q457" s="9"/>
      <c r="R457" s="13"/>
      <c r="S457" s="15" t="str">
        <f t="shared" si="107"/>
        <v/>
      </c>
      <c r="T457" s="15" t="str">
        <f t="shared" si="108"/>
        <v/>
      </c>
      <c r="U457" s="15" t="str">
        <f t="shared" si="109"/>
        <v/>
      </c>
      <c r="V457" s="15" t="str">
        <f t="shared" si="110"/>
        <v/>
      </c>
      <c r="W457" s="16" t="str">
        <f>IF(V457="","",VLOOKUP(V457,税率及规则!$A$2:$C$8,2,TRUE))</f>
        <v/>
      </c>
      <c r="X457" s="15" t="str">
        <f>IF(V457="","",VLOOKUP(V457,税率及规则!$A$2:$C$8,3,TRUE))</f>
        <v/>
      </c>
      <c r="Y457" s="15" t="str">
        <f t="shared" si="111"/>
        <v/>
      </c>
      <c r="Z457" s="15" t="str">
        <f>IF(U457="","",MAX(0,U457*VLOOKUP(U457,税率及规则!$A$2:$C$8,2,TRUE)-VLOOKUP(U457,税率及规则!$A$2:$C$8,3,TRUE)))</f>
        <v/>
      </c>
      <c r="AA457" s="15" t="str">
        <f t="shared" si="112"/>
        <v/>
      </c>
      <c r="AB457" s="17" t="str">
        <f t="shared" si="113"/>
        <v/>
      </c>
      <c r="AC457" s="17" t="str">
        <f t="shared" si="114"/>
        <v/>
      </c>
      <c r="AD457" s="4" t="str">
        <f>IF(A457="","",IF(COUNTIF($A$2:$A$501,A457)&gt;1,"异常：事件编号重复",IF(OR(C457="",D457="",E457="",F457="",G457=""),"异常：必填项缺失",IF(AND(F457="其他股权激励",O457=""),"异常：其他股权激励所得缺失",IF(AND(F457&lt;&gt;"其他股权激励",OR(I457="",J457="")),"异常：数量或市场价缺失",IF(AND(F457&lt;&gt;"其他股权激励",OR(I457&lt;=0,J457&lt;0)),"异常：数量或价格无效",IF(AND(F457="限制性股票",OR(M457&lt;=0,N457&lt;0,I457&gt;M457)),"异常：个人获授或出资数据无效",IF(AND(IFERROR(INDEX(计划参数!$J$2:$J$501,MATCH(C457,计划参数!$I$2:$I$501,0)),"")&lt;&gt;"",D457&lt;&gt;IFERROR(INDEX(计划参数!$J$2:$J$501,MATCH(C457,计划参数!$I$2:$I$501,0)),"")),"异常：姓名与员工主数据不一致",IF(S457&lt;0,"异常：原始所得为负，已按0计税",IF(OR(AND(F457="股票期权",K457=""),AND(F457="限制性股票",OR(K457="",L457=""))),"异常：计划参数缺失",IF(COUNTIF(计划参数!$I$2:$I$501,C457)=0,"提示：员工编号未在主数据",IF(Q457&lt;&gt;"已备案","提示：未确认备案","正常"))))))))))))</f>
        <v/>
      </c>
      <c r="AE457" s="9"/>
      <c r="AF457" s="4" t="str">
        <f>IF(C457="","",IF(COUNTIF($C$2:C457,C457)=1,MAX($AF$1:AF456)+1,""))</f>
        <v/>
      </c>
      <c r="AG457" s="4" t="str">
        <f>IF(C457="","",COUNTIF($C$2:C457,C457))</f>
        <v/>
      </c>
      <c r="AH457" s="4" t="str">
        <f t="shared" si="115"/>
        <v/>
      </c>
      <c r="AI457" s="4" t="str">
        <f t="shared" si="116"/>
        <v/>
      </c>
      <c r="AJ457" s="4" t="str">
        <f t="shared" si="117"/>
        <v/>
      </c>
      <c r="AK457" s="15" t="str">
        <f>IF(A457="","",SUMIFS(分期缴税台账!$K$2:$K$501,分期缴税台账!$T$2:$T$501,A457,分期缴税台账!$Q$2:$Q$501,"有效"))</f>
        <v/>
      </c>
      <c r="AL457" s="15" t="str">
        <f t="shared" si="118"/>
        <v/>
      </c>
      <c r="AM457" s="4" t="str">
        <f t="shared" si="119"/>
        <v/>
      </c>
    </row>
    <row r="458" spans="1:39" x14ac:dyDescent="0.3">
      <c r="A458" s="9"/>
      <c r="B458" s="4" t="str">
        <f t="shared" si="105"/>
        <v/>
      </c>
      <c r="C458" s="9"/>
      <c r="D458" s="9"/>
      <c r="E458" s="9"/>
      <c r="F458" s="9"/>
      <c r="G458" s="13"/>
      <c r="H458" s="4" t="str">
        <f t="shared" si="106"/>
        <v/>
      </c>
      <c r="I458" s="9"/>
      <c r="J458" s="14"/>
      <c r="K458" s="15" t="str">
        <f>IF(OR(E458="",F458="",G458=""),"",IF(E458&lt;&gt;计划参数!$C$2,"",IF(F458="股票期权",IFERROR(LOOKUP(G458,计划参数!$D$12:$D$15,计划参数!$C$12:$C$15),""),IF(F458="限制性股票",计划参数!$C$10,""))))</f>
        <v/>
      </c>
      <c r="L458" s="15" t="str">
        <f>IF(AND(E458=计划参数!$C$2,F458="限制性股票",G458&gt;=计划参数!$D$9),计划参数!$C$9,"")</f>
        <v/>
      </c>
      <c r="M458" s="9"/>
      <c r="N458" s="14"/>
      <c r="O458" s="14"/>
      <c r="P458" s="13"/>
      <c r="Q458" s="9"/>
      <c r="R458" s="13"/>
      <c r="S458" s="15" t="str">
        <f t="shared" si="107"/>
        <v/>
      </c>
      <c r="T458" s="15" t="str">
        <f t="shared" si="108"/>
        <v/>
      </c>
      <c r="U458" s="15" t="str">
        <f t="shared" si="109"/>
        <v/>
      </c>
      <c r="V458" s="15" t="str">
        <f t="shared" si="110"/>
        <v/>
      </c>
      <c r="W458" s="16" t="str">
        <f>IF(V458="","",VLOOKUP(V458,税率及规则!$A$2:$C$8,2,TRUE))</f>
        <v/>
      </c>
      <c r="X458" s="15" t="str">
        <f>IF(V458="","",VLOOKUP(V458,税率及规则!$A$2:$C$8,3,TRUE))</f>
        <v/>
      </c>
      <c r="Y458" s="15" t="str">
        <f t="shared" si="111"/>
        <v/>
      </c>
      <c r="Z458" s="15" t="str">
        <f>IF(U458="","",MAX(0,U458*VLOOKUP(U458,税率及规则!$A$2:$C$8,2,TRUE)-VLOOKUP(U458,税率及规则!$A$2:$C$8,3,TRUE)))</f>
        <v/>
      </c>
      <c r="AA458" s="15" t="str">
        <f t="shared" si="112"/>
        <v/>
      </c>
      <c r="AB458" s="17" t="str">
        <f t="shared" si="113"/>
        <v/>
      </c>
      <c r="AC458" s="17" t="str">
        <f t="shared" si="114"/>
        <v/>
      </c>
      <c r="AD458" s="4" t="str">
        <f>IF(A458="","",IF(COUNTIF($A$2:$A$501,A458)&gt;1,"异常：事件编号重复",IF(OR(C458="",D458="",E458="",F458="",G458=""),"异常：必填项缺失",IF(AND(F458="其他股权激励",O458=""),"异常：其他股权激励所得缺失",IF(AND(F458&lt;&gt;"其他股权激励",OR(I458="",J458="")),"异常：数量或市场价缺失",IF(AND(F458&lt;&gt;"其他股权激励",OR(I458&lt;=0,J458&lt;0)),"异常：数量或价格无效",IF(AND(F458="限制性股票",OR(M458&lt;=0,N458&lt;0,I458&gt;M458)),"异常：个人获授或出资数据无效",IF(AND(IFERROR(INDEX(计划参数!$J$2:$J$501,MATCH(C458,计划参数!$I$2:$I$501,0)),"")&lt;&gt;"",D458&lt;&gt;IFERROR(INDEX(计划参数!$J$2:$J$501,MATCH(C458,计划参数!$I$2:$I$501,0)),"")),"异常：姓名与员工主数据不一致",IF(S458&lt;0,"异常：原始所得为负，已按0计税",IF(OR(AND(F458="股票期权",K458=""),AND(F458="限制性股票",OR(K458="",L458=""))),"异常：计划参数缺失",IF(COUNTIF(计划参数!$I$2:$I$501,C458)=0,"提示：员工编号未在主数据",IF(Q458&lt;&gt;"已备案","提示：未确认备案","正常"))))))))))))</f>
        <v/>
      </c>
      <c r="AE458" s="9"/>
      <c r="AF458" s="4" t="str">
        <f>IF(C458="","",IF(COUNTIF($C$2:C458,C458)=1,MAX($AF$1:AF457)+1,""))</f>
        <v/>
      </c>
      <c r="AG458" s="4" t="str">
        <f>IF(C458="","",COUNTIF($C$2:C458,C458))</f>
        <v/>
      </c>
      <c r="AH458" s="4" t="str">
        <f t="shared" si="115"/>
        <v/>
      </c>
      <c r="AI458" s="4" t="str">
        <f t="shared" si="116"/>
        <v/>
      </c>
      <c r="AJ458" s="4" t="str">
        <f t="shared" si="117"/>
        <v/>
      </c>
      <c r="AK458" s="15" t="str">
        <f>IF(A458="","",SUMIFS(分期缴税台账!$K$2:$K$501,分期缴税台账!$T$2:$T$501,A458,分期缴税台账!$Q$2:$Q$501,"有效"))</f>
        <v/>
      </c>
      <c r="AL458" s="15" t="str">
        <f t="shared" si="118"/>
        <v/>
      </c>
      <c r="AM458" s="4" t="str">
        <f t="shared" si="119"/>
        <v/>
      </c>
    </row>
    <row r="459" spans="1:39" x14ac:dyDescent="0.3">
      <c r="A459" s="9"/>
      <c r="B459" s="4" t="str">
        <f t="shared" si="105"/>
        <v/>
      </c>
      <c r="C459" s="9"/>
      <c r="D459" s="9"/>
      <c r="E459" s="9"/>
      <c r="F459" s="9"/>
      <c r="G459" s="13"/>
      <c r="H459" s="4" t="str">
        <f t="shared" si="106"/>
        <v/>
      </c>
      <c r="I459" s="9"/>
      <c r="J459" s="14"/>
      <c r="K459" s="15" t="str">
        <f>IF(OR(E459="",F459="",G459=""),"",IF(E459&lt;&gt;计划参数!$C$2,"",IF(F459="股票期权",IFERROR(LOOKUP(G459,计划参数!$D$12:$D$15,计划参数!$C$12:$C$15),""),IF(F459="限制性股票",计划参数!$C$10,""))))</f>
        <v/>
      </c>
      <c r="L459" s="15" t="str">
        <f>IF(AND(E459=计划参数!$C$2,F459="限制性股票",G459&gt;=计划参数!$D$9),计划参数!$C$9,"")</f>
        <v/>
      </c>
      <c r="M459" s="9"/>
      <c r="N459" s="14"/>
      <c r="O459" s="14"/>
      <c r="P459" s="13"/>
      <c r="Q459" s="9"/>
      <c r="R459" s="13"/>
      <c r="S459" s="15" t="str">
        <f t="shared" si="107"/>
        <v/>
      </c>
      <c r="T459" s="15" t="str">
        <f t="shared" si="108"/>
        <v/>
      </c>
      <c r="U459" s="15" t="str">
        <f t="shared" si="109"/>
        <v/>
      </c>
      <c r="V459" s="15" t="str">
        <f t="shared" si="110"/>
        <v/>
      </c>
      <c r="W459" s="16" t="str">
        <f>IF(V459="","",VLOOKUP(V459,税率及规则!$A$2:$C$8,2,TRUE))</f>
        <v/>
      </c>
      <c r="X459" s="15" t="str">
        <f>IF(V459="","",VLOOKUP(V459,税率及规则!$A$2:$C$8,3,TRUE))</f>
        <v/>
      </c>
      <c r="Y459" s="15" t="str">
        <f t="shared" si="111"/>
        <v/>
      </c>
      <c r="Z459" s="15" t="str">
        <f>IF(U459="","",MAX(0,U459*VLOOKUP(U459,税率及规则!$A$2:$C$8,2,TRUE)-VLOOKUP(U459,税率及规则!$A$2:$C$8,3,TRUE)))</f>
        <v/>
      </c>
      <c r="AA459" s="15" t="str">
        <f t="shared" si="112"/>
        <v/>
      </c>
      <c r="AB459" s="17" t="str">
        <f t="shared" si="113"/>
        <v/>
      </c>
      <c r="AC459" s="17" t="str">
        <f t="shared" si="114"/>
        <v/>
      </c>
      <c r="AD459" s="4" t="str">
        <f>IF(A459="","",IF(COUNTIF($A$2:$A$501,A459)&gt;1,"异常：事件编号重复",IF(OR(C459="",D459="",E459="",F459="",G459=""),"异常：必填项缺失",IF(AND(F459="其他股权激励",O459=""),"异常：其他股权激励所得缺失",IF(AND(F459&lt;&gt;"其他股权激励",OR(I459="",J459="")),"异常：数量或市场价缺失",IF(AND(F459&lt;&gt;"其他股权激励",OR(I459&lt;=0,J459&lt;0)),"异常：数量或价格无效",IF(AND(F459="限制性股票",OR(M459&lt;=0,N459&lt;0,I459&gt;M459)),"异常：个人获授或出资数据无效",IF(AND(IFERROR(INDEX(计划参数!$J$2:$J$501,MATCH(C459,计划参数!$I$2:$I$501,0)),"")&lt;&gt;"",D459&lt;&gt;IFERROR(INDEX(计划参数!$J$2:$J$501,MATCH(C459,计划参数!$I$2:$I$501,0)),"")),"异常：姓名与员工主数据不一致",IF(S459&lt;0,"异常：原始所得为负，已按0计税",IF(OR(AND(F459="股票期权",K459=""),AND(F459="限制性股票",OR(K459="",L459=""))),"异常：计划参数缺失",IF(COUNTIF(计划参数!$I$2:$I$501,C459)=0,"提示：员工编号未在主数据",IF(Q459&lt;&gt;"已备案","提示：未确认备案","正常"))))))))))))</f>
        <v/>
      </c>
      <c r="AE459" s="9"/>
      <c r="AF459" s="4" t="str">
        <f>IF(C459="","",IF(COUNTIF($C$2:C459,C459)=1,MAX($AF$1:AF458)+1,""))</f>
        <v/>
      </c>
      <c r="AG459" s="4" t="str">
        <f>IF(C459="","",COUNTIF($C$2:C459,C459))</f>
        <v/>
      </c>
      <c r="AH459" s="4" t="str">
        <f t="shared" si="115"/>
        <v/>
      </c>
      <c r="AI459" s="4" t="str">
        <f t="shared" si="116"/>
        <v/>
      </c>
      <c r="AJ459" s="4" t="str">
        <f t="shared" si="117"/>
        <v/>
      </c>
      <c r="AK459" s="15" t="str">
        <f>IF(A459="","",SUMIFS(分期缴税台账!$K$2:$K$501,分期缴税台账!$T$2:$T$501,A459,分期缴税台账!$Q$2:$Q$501,"有效"))</f>
        <v/>
      </c>
      <c r="AL459" s="15" t="str">
        <f t="shared" si="118"/>
        <v/>
      </c>
      <c r="AM459" s="4" t="str">
        <f t="shared" si="119"/>
        <v/>
      </c>
    </row>
    <row r="460" spans="1:39" x14ac:dyDescent="0.3">
      <c r="A460" s="9"/>
      <c r="B460" s="4" t="str">
        <f t="shared" si="105"/>
        <v/>
      </c>
      <c r="C460" s="9"/>
      <c r="D460" s="9"/>
      <c r="E460" s="9"/>
      <c r="F460" s="9"/>
      <c r="G460" s="13"/>
      <c r="H460" s="4" t="str">
        <f t="shared" si="106"/>
        <v/>
      </c>
      <c r="I460" s="9"/>
      <c r="J460" s="14"/>
      <c r="K460" s="15" t="str">
        <f>IF(OR(E460="",F460="",G460=""),"",IF(E460&lt;&gt;计划参数!$C$2,"",IF(F460="股票期权",IFERROR(LOOKUP(G460,计划参数!$D$12:$D$15,计划参数!$C$12:$C$15),""),IF(F460="限制性股票",计划参数!$C$10,""))))</f>
        <v/>
      </c>
      <c r="L460" s="15" t="str">
        <f>IF(AND(E460=计划参数!$C$2,F460="限制性股票",G460&gt;=计划参数!$D$9),计划参数!$C$9,"")</f>
        <v/>
      </c>
      <c r="M460" s="9"/>
      <c r="N460" s="14"/>
      <c r="O460" s="14"/>
      <c r="P460" s="13"/>
      <c r="Q460" s="9"/>
      <c r="R460" s="13"/>
      <c r="S460" s="15" t="str">
        <f t="shared" si="107"/>
        <v/>
      </c>
      <c r="T460" s="15" t="str">
        <f t="shared" si="108"/>
        <v/>
      </c>
      <c r="U460" s="15" t="str">
        <f t="shared" si="109"/>
        <v/>
      </c>
      <c r="V460" s="15" t="str">
        <f t="shared" si="110"/>
        <v/>
      </c>
      <c r="W460" s="16" t="str">
        <f>IF(V460="","",VLOOKUP(V460,税率及规则!$A$2:$C$8,2,TRUE))</f>
        <v/>
      </c>
      <c r="X460" s="15" t="str">
        <f>IF(V460="","",VLOOKUP(V460,税率及规则!$A$2:$C$8,3,TRUE))</f>
        <v/>
      </c>
      <c r="Y460" s="15" t="str">
        <f t="shared" si="111"/>
        <v/>
      </c>
      <c r="Z460" s="15" t="str">
        <f>IF(U460="","",MAX(0,U460*VLOOKUP(U460,税率及规则!$A$2:$C$8,2,TRUE)-VLOOKUP(U460,税率及规则!$A$2:$C$8,3,TRUE)))</f>
        <v/>
      </c>
      <c r="AA460" s="15" t="str">
        <f t="shared" si="112"/>
        <v/>
      </c>
      <c r="AB460" s="17" t="str">
        <f t="shared" si="113"/>
        <v/>
      </c>
      <c r="AC460" s="17" t="str">
        <f t="shared" si="114"/>
        <v/>
      </c>
      <c r="AD460" s="4" t="str">
        <f>IF(A460="","",IF(COUNTIF($A$2:$A$501,A460)&gt;1,"异常：事件编号重复",IF(OR(C460="",D460="",E460="",F460="",G460=""),"异常：必填项缺失",IF(AND(F460="其他股权激励",O460=""),"异常：其他股权激励所得缺失",IF(AND(F460&lt;&gt;"其他股权激励",OR(I460="",J460="")),"异常：数量或市场价缺失",IF(AND(F460&lt;&gt;"其他股权激励",OR(I460&lt;=0,J460&lt;0)),"异常：数量或价格无效",IF(AND(F460="限制性股票",OR(M460&lt;=0,N460&lt;0,I460&gt;M460)),"异常：个人获授或出资数据无效",IF(AND(IFERROR(INDEX(计划参数!$J$2:$J$501,MATCH(C460,计划参数!$I$2:$I$501,0)),"")&lt;&gt;"",D460&lt;&gt;IFERROR(INDEX(计划参数!$J$2:$J$501,MATCH(C460,计划参数!$I$2:$I$501,0)),"")),"异常：姓名与员工主数据不一致",IF(S460&lt;0,"异常：原始所得为负，已按0计税",IF(OR(AND(F460="股票期权",K460=""),AND(F460="限制性股票",OR(K460="",L460=""))),"异常：计划参数缺失",IF(COUNTIF(计划参数!$I$2:$I$501,C460)=0,"提示：员工编号未在主数据",IF(Q460&lt;&gt;"已备案","提示：未确认备案","正常"))))))))))))</f>
        <v/>
      </c>
      <c r="AE460" s="9"/>
      <c r="AF460" s="4" t="str">
        <f>IF(C460="","",IF(COUNTIF($C$2:C460,C460)=1,MAX($AF$1:AF459)+1,""))</f>
        <v/>
      </c>
      <c r="AG460" s="4" t="str">
        <f>IF(C460="","",COUNTIF($C$2:C460,C460))</f>
        <v/>
      </c>
      <c r="AH460" s="4" t="str">
        <f t="shared" si="115"/>
        <v/>
      </c>
      <c r="AI460" s="4" t="str">
        <f t="shared" si="116"/>
        <v/>
      </c>
      <c r="AJ460" s="4" t="str">
        <f t="shared" si="117"/>
        <v/>
      </c>
      <c r="AK460" s="15" t="str">
        <f>IF(A460="","",SUMIFS(分期缴税台账!$K$2:$K$501,分期缴税台账!$T$2:$T$501,A460,分期缴税台账!$Q$2:$Q$501,"有效"))</f>
        <v/>
      </c>
      <c r="AL460" s="15" t="str">
        <f t="shared" si="118"/>
        <v/>
      </c>
      <c r="AM460" s="4" t="str">
        <f t="shared" si="119"/>
        <v/>
      </c>
    </row>
    <row r="461" spans="1:39" x14ac:dyDescent="0.3">
      <c r="A461" s="9"/>
      <c r="B461" s="4" t="str">
        <f t="shared" si="105"/>
        <v/>
      </c>
      <c r="C461" s="9"/>
      <c r="D461" s="9"/>
      <c r="E461" s="9"/>
      <c r="F461" s="9"/>
      <c r="G461" s="13"/>
      <c r="H461" s="4" t="str">
        <f t="shared" si="106"/>
        <v/>
      </c>
      <c r="I461" s="9"/>
      <c r="J461" s="14"/>
      <c r="K461" s="15" t="str">
        <f>IF(OR(E461="",F461="",G461=""),"",IF(E461&lt;&gt;计划参数!$C$2,"",IF(F461="股票期权",IFERROR(LOOKUP(G461,计划参数!$D$12:$D$15,计划参数!$C$12:$C$15),""),IF(F461="限制性股票",计划参数!$C$10,""))))</f>
        <v/>
      </c>
      <c r="L461" s="15" t="str">
        <f>IF(AND(E461=计划参数!$C$2,F461="限制性股票",G461&gt;=计划参数!$D$9),计划参数!$C$9,"")</f>
        <v/>
      </c>
      <c r="M461" s="9"/>
      <c r="N461" s="14"/>
      <c r="O461" s="14"/>
      <c r="P461" s="13"/>
      <c r="Q461" s="9"/>
      <c r="R461" s="13"/>
      <c r="S461" s="15" t="str">
        <f t="shared" si="107"/>
        <v/>
      </c>
      <c r="T461" s="15" t="str">
        <f t="shared" si="108"/>
        <v/>
      </c>
      <c r="U461" s="15" t="str">
        <f t="shared" si="109"/>
        <v/>
      </c>
      <c r="V461" s="15" t="str">
        <f t="shared" si="110"/>
        <v/>
      </c>
      <c r="W461" s="16" t="str">
        <f>IF(V461="","",VLOOKUP(V461,税率及规则!$A$2:$C$8,2,TRUE))</f>
        <v/>
      </c>
      <c r="X461" s="15" t="str">
        <f>IF(V461="","",VLOOKUP(V461,税率及规则!$A$2:$C$8,3,TRUE))</f>
        <v/>
      </c>
      <c r="Y461" s="15" t="str">
        <f t="shared" si="111"/>
        <v/>
      </c>
      <c r="Z461" s="15" t="str">
        <f>IF(U461="","",MAX(0,U461*VLOOKUP(U461,税率及规则!$A$2:$C$8,2,TRUE)-VLOOKUP(U461,税率及规则!$A$2:$C$8,3,TRUE)))</f>
        <v/>
      </c>
      <c r="AA461" s="15" t="str">
        <f t="shared" si="112"/>
        <v/>
      </c>
      <c r="AB461" s="17" t="str">
        <f t="shared" si="113"/>
        <v/>
      </c>
      <c r="AC461" s="17" t="str">
        <f t="shared" si="114"/>
        <v/>
      </c>
      <c r="AD461" s="4" t="str">
        <f>IF(A461="","",IF(COUNTIF($A$2:$A$501,A461)&gt;1,"异常：事件编号重复",IF(OR(C461="",D461="",E461="",F461="",G461=""),"异常：必填项缺失",IF(AND(F461="其他股权激励",O461=""),"异常：其他股权激励所得缺失",IF(AND(F461&lt;&gt;"其他股权激励",OR(I461="",J461="")),"异常：数量或市场价缺失",IF(AND(F461&lt;&gt;"其他股权激励",OR(I461&lt;=0,J461&lt;0)),"异常：数量或价格无效",IF(AND(F461="限制性股票",OR(M461&lt;=0,N461&lt;0,I461&gt;M461)),"异常：个人获授或出资数据无效",IF(AND(IFERROR(INDEX(计划参数!$J$2:$J$501,MATCH(C461,计划参数!$I$2:$I$501,0)),"")&lt;&gt;"",D461&lt;&gt;IFERROR(INDEX(计划参数!$J$2:$J$501,MATCH(C461,计划参数!$I$2:$I$501,0)),"")),"异常：姓名与员工主数据不一致",IF(S461&lt;0,"异常：原始所得为负，已按0计税",IF(OR(AND(F461="股票期权",K461=""),AND(F461="限制性股票",OR(K461="",L461=""))),"异常：计划参数缺失",IF(COUNTIF(计划参数!$I$2:$I$501,C461)=0,"提示：员工编号未在主数据",IF(Q461&lt;&gt;"已备案","提示：未确认备案","正常"))))))))))))</f>
        <v/>
      </c>
      <c r="AE461" s="9"/>
      <c r="AF461" s="4" t="str">
        <f>IF(C461="","",IF(COUNTIF($C$2:C461,C461)=1,MAX($AF$1:AF460)+1,""))</f>
        <v/>
      </c>
      <c r="AG461" s="4" t="str">
        <f>IF(C461="","",COUNTIF($C$2:C461,C461))</f>
        <v/>
      </c>
      <c r="AH461" s="4" t="str">
        <f t="shared" si="115"/>
        <v/>
      </c>
      <c r="AI461" s="4" t="str">
        <f t="shared" si="116"/>
        <v/>
      </c>
      <c r="AJ461" s="4" t="str">
        <f t="shared" si="117"/>
        <v/>
      </c>
      <c r="AK461" s="15" t="str">
        <f>IF(A461="","",SUMIFS(分期缴税台账!$K$2:$K$501,分期缴税台账!$T$2:$T$501,A461,分期缴税台账!$Q$2:$Q$501,"有效"))</f>
        <v/>
      </c>
      <c r="AL461" s="15" t="str">
        <f t="shared" si="118"/>
        <v/>
      </c>
      <c r="AM461" s="4" t="str">
        <f t="shared" si="119"/>
        <v/>
      </c>
    </row>
    <row r="462" spans="1:39" x14ac:dyDescent="0.3">
      <c r="A462" s="9"/>
      <c r="B462" s="4" t="str">
        <f t="shared" si="105"/>
        <v/>
      </c>
      <c r="C462" s="9"/>
      <c r="D462" s="9"/>
      <c r="E462" s="9"/>
      <c r="F462" s="9"/>
      <c r="G462" s="13"/>
      <c r="H462" s="4" t="str">
        <f t="shared" si="106"/>
        <v/>
      </c>
      <c r="I462" s="9"/>
      <c r="J462" s="14"/>
      <c r="K462" s="15" t="str">
        <f>IF(OR(E462="",F462="",G462=""),"",IF(E462&lt;&gt;计划参数!$C$2,"",IF(F462="股票期权",IFERROR(LOOKUP(G462,计划参数!$D$12:$D$15,计划参数!$C$12:$C$15),""),IF(F462="限制性股票",计划参数!$C$10,""))))</f>
        <v/>
      </c>
      <c r="L462" s="15" t="str">
        <f>IF(AND(E462=计划参数!$C$2,F462="限制性股票",G462&gt;=计划参数!$D$9),计划参数!$C$9,"")</f>
        <v/>
      </c>
      <c r="M462" s="9"/>
      <c r="N462" s="14"/>
      <c r="O462" s="14"/>
      <c r="P462" s="13"/>
      <c r="Q462" s="9"/>
      <c r="R462" s="13"/>
      <c r="S462" s="15" t="str">
        <f t="shared" si="107"/>
        <v/>
      </c>
      <c r="T462" s="15" t="str">
        <f t="shared" si="108"/>
        <v/>
      </c>
      <c r="U462" s="15" t="str">
        <f t="shared" si="109"/>
        <v/>
      </c>
      <c r="V462" s="15" t="str">
        <f t="shared" si="110"/>
        <v/>
      </c>
      <c r="W462" s="16" t="str">
        <f>IF(V462="","",VLOOKUP(V462,税率及规则!$A$2:$C$8,2,TRUE))</f>
        <v/>
      </c>
      <c r="X462" s="15" t="str">
        <f>IF(V462="","",VLOOKUP(V462,税率及规则!$A$2:$C$8,3,TRUE))</f>
        <v/>
      </c>
      <c r="Y462" s="15" t="str">
        <f t="shared" si="111"/>
        <v/>
      </c>
      <c r="Z462" s="15" t="str">
        <f>IF(U462="","",MAX(0,U462*VLOOKUP(U462,税率及规则!$A$2:$C$8,2,TRUE)-VLOOKUP(U462,税率及规则!$A$2:$C$8,3,TRUE)))</f>
        <v/>
      </c>
      <c r="AA462" s="15" t="str">
        <f t="shared" si="112"/>
        <v/>
      </c>
      <c r="AB462" s="17" t="str">
        <f t="shared" si="113"/>
        <v/>
      </c>
      <c r="AC462" s="17" t="str">
        <f t="shared" si="114"/>
        <v/>
      </c>
      <c r="AD462" s="4" t="str">
        <f>IF(A462="","",IF(COUNTIF($A$2:$A$501,A462)&gt;1,"异常：事件编号重复",IF(OR(C462="",D462="",E462="",F462="",G462=""),"异常：必填项缺失",IF(AND(F462="其他股权激励",O462=""),"异常：其他股权激励所得缺失",IF(AND(F462&lt;&gt;"其他股权激励",OR(I462="",J462="")),"异常：数量或市场价缺失",IF(AND(F462&lt;&gt;"其他股权激励",OR(I462&lt;=0,J462&lt;0)),"异常：数量或价格无效",IF(AND(F462="限制性股票",OR(M462&lt;=0,N462&lt;0,I462&gt;M462)),"异常：个人获授或出资数据无效",IF(AND(IFERROR(INDEX(计划参数!$J$2:$J$501,MATCH(C462,计划参数!$I$2:$I$501,0)),"")&lt;&gt;"",D462&lt;&gt;IFERROR(INDEX(计划参数!$J$2:$J$501,MATCH(C462,计划参数!$I$2:$I$501,0)),"")),"异常：姓名与员工主数据不一致",IF(S462&lt;0,"异常：原始所得为负，已按0计税",IF(OR(AND(F462="股票期权",K462=""),AND(F462="限制性股票",OR(K462="",L462=""))),"异常：计划参数缺失",IF(COUNTIF(计划参数!$I$2:$I$501,C462)=0,"提示：员工编号未在主数据",IF(Q462&lt;&gt;"已备案","提示：未确认备案","正常"))))))))))))</f>
        <v/>
      </c>
      <c r="AE462" s="9"/>
      <c r="AF462" s="4" t="str">
        <f>IF(C462="","",IF(COUNTIF($C$2:C462,C462)=1,MAX($AF$1:AF461)+1,""))</f>
        <v/>
      </c>
      <c r="AG462" s="4" t="str">
        <f>IF(C462="","",COUNTIF($C$2:C462,C462))</f>
        <v/>
      </c>
      <c r="AH462" s="4" t="str">
        <f t="shared" si="115"/>
        <v/>
      </c>
      <c r="AI462" s="4" t="str">
        <f t="shared" si="116"/>
        <v/>
      </c>
      <c r="AJ462" s="4" t="str">
        <f t="shared" si="117"/>
        <v/>
      </c>
      <c r="AK462" s="15" t="str">
        <f>IF(A462="","",SUMIFS(分期缴税台账!$K$2:$K$501,分期缴税台账!$T$2:$T$501,A462,分期缴税台账!$Q$2:$Q$501,"有效"))</f>
        <v/>
      </c>
      <c r="AL462" s="15" t="str">
        <f t="shared" si="118"/>
        <v/>
      </c>
      <c r="AM462" s="4" t="str">
        <f t="shared" si="119"/>
        <v/>
      </c>
    </row>
    <row r="463" spans="1:39" x14ac:dyDescent="0.3">
      <c r="A463" s="9"/>
      <c r="B463" s="4" t="str">
        <f t="shared" si="105"/>
        <v/>
      </c>
      <c r="C463" s="9"/>
      <c r="D463" s="9"/>
      <c r="E463" s="9"/>
      <c r="F463" s="9"/>
      <c r="G463" s="13"/>
      <c r="H463" s="4" t="str">
        <f t="shared" si="106"/>
        <v/>
      </c>
      <c r="I463" s="9"/>
      <c r="J463" s="14"/>
      <c r="K463" s="15" t="str">
        <f>IF(OR(E463="",F463="",G463=""),"",IF(E463&lt;&gt;计划参数!$C$2,"",IF(F463="股票期权",IFERROR(LOOKUP(G463,计划参数!$D$12:$D$15,计划参数!$C$12:$C$15),""),IF(F463="限制性股票",计划参数!$C$10,""))))</f>
        <v/>
      </c>
      <c r="L463" s="15" t="str">
        <f>IF(AND(E463=计划参数!$C$2,F463="限制性股票",G463&gt;=计划参数!$D$9),计划参数!$C$9,"")</f>
        <v/>
      </c>
      <c r="M463" s="9"/>
      <c r="N463" s="14"/>
      <c r="O463" s="14"/>
      <c r="P463" s="13"/>
      <c r="Q463" s="9"/>
      <c r="R463" s="13"/>
      <c r="S463" s="15" t="str">
        <f t="shared" si="107"/>
        <v/>
      </c>
      <c r="T463" s="15" t="str">
        <f t="shared" si="108"/>
        <v/>
      </c>
      <c r="U463" s="15" t="str">
        <f t="shared" si="109"/>
        <v/>
      </c>
      <c r="V463" s="15" t="str">
        <f t="shared" si="110"/>
        <v/>
      </c>
      <c r="W463" s="16" t="str">
        <f>IF(V463="","",VLOOKUP(V463,税率及规则!$A$2:$C$8,2,TRUE))</f>
        <v/>
      </c>
      <c r="X463" s="15" t="str">
        <f>IF(V463="","",VLOOKUP(V463,税率及规则!$A$2:$C$8,3,TRUE))</f>
        <v/>
      </c>
      <c r="Y463" s="15" t="str">
        <f t="shared" si="111"/>
        <v/>
      </c>
      <c r="Z463" s="15" t="str">
        <f>IF(U463="","",MAX(0,U463*VLOOKUP(U463,税率及规则!$A$2:$C$8,2,TRUE)-VLOOKUP(U463,税率及规则!$A$2:$C$8,3,TRUE)))</f>
        <v/>
      </c>
      <c r="AA463" s="15" t="str">
        <f t="shared" si="112"/>
        <v/>
      </c>
      <c r="AB463" s="17" t="str">
        <f t="shared" si="113"/>
        <v/>
      </c>
      <c r="AC463" s="17" t="str">
        <f t="shared" si="114"/>
        <v/>
      </c>
      <c r="AD463" s="4" t="str">
        <f>IF(A463="","",IF(COUNTIF($A$2:$A$501,A463)&gt;1,"异常：事件编号重复",IF(OR(C463="",D463="",E463="",F463="",G463=""),"异常：必填项缺失",IF(AND(F463="其他股权激励",O463=""),"异常：其他股权激励所得缺失",IF(AND(F463&lt;&gt;"其他股权激励",OR(I463="",J463="")),"异常：数量或市场价缺失",IF(AND(F463&lt;&gt;"其他股权激励",OR(I463&lt;=0,J463&lt;0)),"异常：数量或价格无效",IF(AND(F463="限制性股票",OR(M463&lt;=0,N463&lt;0,I463&gt;M463)),"异常：个人获授或出资数据无效",IF(AND(IFERROR(INDEX(计划参数!$J$2:$J$501,MATCH(C463,计划参数!$I$2:$I$501,0)),"")&lt;&gt;"",D463&lt;&gt;IFERROR(INDEX(计划参数!$J$2:$J$501,MATCH(C463,计划参数!$I$2:$I$501,0)),"")),"异常：姓名与员工主数据不一致",IF(S463&lt;0,"异常：原始所得为负，已按0计税",IF(OR(AND(F463="股票期权",K463=""),AND(F463="限制性股票",OR(K463="",L463=""))),"异常：计划参数缺失",IF(COUNTIF(计划参数!$I$2:$I$501,C463)=0,"提示：员工编号未在主数据",IF(Q463&lt;&gt;"已备案","提示：未确认备案","正常"))))))))))))</f>
        <v/>
      </c>
      <c r="AE463" s="9"/>
      <c r="AF463" s="4" t="str">
        <f>IF(C463="","",IF(COUNTIF($C$2:C463,C463)=1,MAX($AF$1:AF462)+1,""))</f>
        <v/>
      </c>
      <c r="AG463" s="4" t="str">
        <f>IF(C463="","",COUNTIF($C$2:C463,C463))</f>
        <v/>
      </c>
      <c r="AH463" s="4" t="str">
        <f t="shared" si="115"/>
        <v/>
      </c>
      <c r="AI463" s="4" t="str">
        <f t="shared" si="116"/>
        <v/>
      </c>
      <c r="AJ463" s="4" t="str">
        <f t="shared" si="117"/>
        <v/>
      </c>
      <c r="AK463" s="15" t="str">
        <f>IF(A463="","",SUMIFS(分期缴税台账!$K$2:$K$501,分期缴税台账!$T$2:$T$501,A463,分期缴税台账!$Q$2:$Q$501,"有效"))</f>
        <v/>
      </c>
      <c r="AL463" s="15" t="str">
        <f t="shared" si="118"/>
        <v/>
      </c>
      <c r="AM463" s="4" t="str">
        <f t="shared" si="119"/>
        <v/>
      </c>
    </row>
    <row r="464" spans="1:39" x14ac:dyDescent="0.3">
      <c r="A464" s="9"/>
      <c r="B464" s="4" t="str">
        <f t="shared" si="105"/>
        <v/>
      </c>
      <c r="C464" s="9"/>
      <c r="D464" s="9"/>
      <c r="E464" s="9"/>
      <c r="F464" s="9"/>
      <c r="G464" s="13"/>
      <c r="H464" s="4" t="str">
        <f t="shared" si="106"/>
        <v/>
      </c>
      <c r="I464" s="9"/>
      <c r="J464" s="14"/>
      <c r="K464" s="15" t="str">
        <f>IF(OR(E464="",F464="",G464=""),"",IF(E464&lt;&gt;计划参数!$C$2,"",IF(F464="股票期权",IFERROR(LOOKUP(G464,计划参数!$D$12:$D$15,计划参数!$C$12:$C$15),""),IF(F464="限制性股票",计划参数!$C$10,""))))</f>
        <v/>
      </c>
      <c r="L464" s="15" t="str">
        <f>IF(AND(E464=计划参数!$C$2,F464="限制性股票",G464&gt;=计划参数!$D$9),计划参数!$C$9,"")</f>
        <v/>
      </c>
      <c r="M464" s="9"/>
      <c r="N464" s="14"/>
      <c r="O464" s="14"/>
      <c r="P464" s="13"/>
      <c r="Q464" s="9"/>
      <c r="R464" s="13"/>
      <c r="S464" s="15" t="str">
        <f t="shared" si="107"/>
        <v/>
      </c>
      <c r="T464" s="15" t="str">
        <f t="shared" si="108"/>
        <v/>
      </c>
      <c r="U464" s="15" t="str">
        <f t="shared" si="109"/>
        <v/>
      </c>
      <c r="V464" s="15" t="str">
        <f t="shared" si="110"/>
        <v/>
      </c>
      <c r="W464" s="16" t="str">
        <f>IF(V464="","",VLOOKUP(V464,税率及规则!$A$2:$C$8,2,TRUE))</f>
        <v/>
      </c>
      <c r="X464" s="15" t="str">
        <f>IF(V464="","",VLOOKUP(V464,税率及规则!$A$2:$C$8,3,TRUE))</f>
        <v/>
      </c>
      <c r="Y464" s="15" t="str">
        <f t="shared" si="111"/>
        <v/>
      </c>
      <c r="Z464" s="15" t="str">
        <f>IF(U464="","",MAX(0,U464*VLOOKUP(U464,税率及规则!$A$2:$C$8,2,TRUE)-VLOOKUP(U464,税率及规则!$A$2:$C$8,3,TRUE)))</f>
        <v/>
      </c>
      <c r="AA464" s="15" t="str">
        <f t="shared" si="112"/>
        <v/>
      </c>
      <c r="AB464" s="17" t="str">
        <f t="shared" si="113"/>
        <v/>
      </c>
      <c r="AC464" s="17" t="str">
        <f t="shared" si="114"/>
        <v/>
      </c>
      <c r="AD464" s="4" t="str">
        <f>IF(A464="","",IF(COUNTIF($A$2:$A$501,A464)&gt;1,"异常：事件编号重复",IF(OR(C464="",D464="",E464="",F464="",G464=""),"异常：必填项缺失",IF(AND(F464="其他股权激励",O464=""),"异常：其他股权激励所得缺失",IF(AND(F464&lt;&gt;"其他股权激励",OR(I464="",J464="")),"异常：数量或市场价缺失",IF(AND(F464&lt;&gt;"其他股权激励",OR(I464&lt;=0,J464&lt;0)),"异常：数量或价格无效",IF(AND(F464="限制性股票",OR(M464&lt;=0,N464&lt;0,I464&gt;M464)),"异常：个人获授或出资数据无效",IF(AND(IFERROR(INDEX(计划参数!$J$2:$J$501,MATCH(C464,计划参数!$I$2:$I$501,0)),"")&lt;&gt;"",D464&lt;&gt;IFERROR(INDEX(计划参数!$J$2:$J$501,MATCH(C464,计划参数!$I$2:$I$501,0)),"")),"异常：姓名与员工主数据不一致",IF(S464&lt;0,"异常：原始所得为负，已按0计税",IF(OR(AND(F464="股票期权",K464=""),AND(F464="限制性股票",OR(K464="",L464=""))),"异常：计划参数缺失",IF(COUNTIF(计划参数!$I$2:$I$501,C464)=0,"提示：员工编号未在主数据",IF(Q464&lt;&gt;"已备案","提示：未确认备案","正常"))))))))))))</f>
        <v/>
      </c>
      <c r="AE464" s="9"/>
      <c r="AF464" s="4" t="str">
        <f>IF(C464="","",IF(COUNTIF($C$2:C464,C464)=1,MAX($AF$1:AF463)+1,""))</f>
        <v/>
      </c>
      <c r="AG464" s="4" t="str">
        <f>IF(C464="","",COUNTIF($C$2:C464,C464))</f>
        <v/>
      </c>
      <c r="AH464" s="4" t="str">
        <f t="shared" si="115"/>
        <v/>
      </c>
      <c r="AI464" s="4" t="str">
        <f t="shared" si="116"/>
        <v/>
      </c>
      <c r="AJ464" s="4" t="str">
        <f t="shared" si="117"/>
        <v/>
      </c>
      <c r="AK464" s="15" t="str">
        <f>IF(A464="","",SUMIFS(分期缴税台账!$K$2:$K$501,分期缴税台账!$T$2:$T$501,A464,分期缴税台账!$Q$2:$Q$501,"有效"))</f>
        <v/>
      </c>
      <c r="AL464" s="15" t="str">
        <f t="shared" si="118"/>
        <v/>
      </c>
      <c r="AM464" s="4" t="str">
        <f t="shared" si="119"/>
        <v/>
      </c>
    </row>
    <row r="465" spans="1:39" x14ac:dyDescent="0.3">
      <c r="A465" s="9"/>
      <c r="B465" s="4" t="str">
        <f t="shared" si="105"/>
        <v/>
      </c>
      <c r="C465" s="9"/>
      <c r="D465" s="9"/>
      <c r="E465" s="9"/>
      <c r="F465" s="9"/>
      <c r="G465" s="13"/>
      <c r="H465" s="4" t="str">
        <f t="shared" si="106"/>
        <v/>
      </c>
      <c r="I465" s="9"/>
      <c r="J465" s="14"/>
      <c r="K465" s="15" t="str">
        <f>IF(OR(E465="",F465="",G465=""),"",IF(E465&lt;&gt;计划参数!$C$2,"",IF(F465="股票期权",IFERROR(LOOKUP(G465,计划参数!$D$12:$D$15,计划参数!$C$12:$C$15),""),IF(F465="限制性股票",计划参数!$C$10,""))))</f>
        <v/>
      </c>
      <c r="L465" s="15" t="str">
        <f>IF(AND(E465=计划参数!$C$2,F465="限制性股票",G465&gt;=计划参数!$D$9),计划参数!$C$9,"")</f>
        <v/>
      </c>
      <c r="M465" s="9"/>
      <c r="N465" s="14"/>
      <c r="O465" s="14"/>
      <c r="P465" s="13"/>
      <c r="Q465" s="9"/>
      <c r="R465" s="13"/>
      <c r="S465" s="15" t="str">
        <f t="shared" si="107"/>
        <v/>
      </c>
      <c r="T465" s="15" t="str">
        <f t="shared" si="108"/>
        <v/>
      </c>
      <c r="U465" s="15" t="str">
        <f t="shared" si="109"/>
        <v/>
      </c>
      <c r="V465" s="15" t="str">
        <f t="shared" si="110"/>
        <v/>
      </c>
      <c r="W465" s="16" t="str">
        <f>IF(V465="","",VLOOKUP(V465,税率及规则!$A$2:$C$8,2,TRUE))</f>
        <v/>
      </c>
      <c r="X465" s="15" t="str">
        <f>IF(V465="","",VLOOKUP(V465,税率及规则!$A$2:$C$8,3,TRUE))</f>
        <v/>
      </c>
      <c r="Y465" s="15" t="str">
        <f t="shared" si="111"/>
        <v/>
      </c>
      <c r="Z465" s="15" t="str">
        <f>IF(U465="","",MAX(0,U465*VLOOKUP(U465,税率及规则!$A$2:$C$8,2,TRUE)-VLOOKUP(U465,税率及规则!$A$2:$C$8,3,TRUE)))</f>
        <v/>
      </c>
      <c r="AA465" s="15" t="str">
        <f t="shared" si="112"/>
        <v/>
      </c>
      <c r="AB465" s="17" t="str">
        <f t="shared" si="113"/>
        <v/>
      </c>
      <c r="AC465" s="17" t="str">
        <f t="shared" si="114"/>
        <v/>
      </c>
      <c r="AD465" s="4" t="str">
        <f>IF(A465="","",IF(COUNTIF($A$2:$A$501,A465)&gt;1,"异常：事件编号重复",IF(OR(C465="",D465="",E465="",F465="",G465=""),"异常：必填项缺失",IF(AND(F465="其他股权激励",O465=""),"异常：其他股权激励所得缺失",IF(AND(F465&lt;&gt;"其他股权激励",OR(I465="",J465="")),"异常：数量或市场价缺失",IF(AND(F465&lt;&gt;"其他股权激励",OR(I465&lt;=0,J465&lt;0)),"异常：数量或价格无效",IF(AND(F465="限制性股票",OR(M465&lt;=0,N465&lt;0,I465&gt;M465)),"异常：个人获授或出资数据无效",IF(AND(IFERROR(INDEX(计划参数!$J$2:$J$501,MATCH(C465,计划参数!$I$2:$I$501,0)),"")&lt;&gt;"",D465&lt;&gt;IFERROR(INDEX(计划参数!$J$2:$J$501,MATCH(C465,计划参数!$I$2:$I$501,0)),"")),"异常：姓名与员工主数据不一致",IF(S465&lt;0,"异常：原始所得为负，已按0计税",IF(OR(AND(F465="股票期权",K465=""),AND(F465="限制性股票",OR(K465="",L465=""))),"异常：计划参数缺失",IF(COUNTIF(计划参数!$I$2:$I$501,C465)=0,"提示：员工编号未在主数据",IF(Q465&lt;&gt;"已备案","提示：未确认备案","正常"))))))))))))</f>
        <v/>
      </c>
      <c r="AE465" s="9"/>
      <c r="AF465" s="4" t="str">
        <f>IF(C465="","",IF(COUNTIF($C$2:C465,C465)=1,MAX($AF$1:AF464)+1,""))</f>
        <v/>
      </c>
      <c r="AG465" s="4" t="str">
        <f>IF(C465="","",COUNTIF($C$2:C465,C465))</f>
        <v/>
      </c>
      <c r="AH465" s="4" t="str">
        <f t="shared" si="115"/>
        <v/>
      </c>
      <c r="AI465" s="4" t="str">
        <f t="shared" si="116"/>
        <v/>
      </c>
      <c r="AJ465" s="4" t="str">
        <f t="shared" si="117"/>
        <v/>
      </c>
      <c r="AK465" s="15" t="str">
        <f>IF(A465="","",SUMIFS(分期缴税台账!$K$2:$K$501,分期缴税台账!$T$2:$T$501,A465,分期缴税台账!$Q$2:$Q$501,"有效"))</f>
        <v/>
      </c>
      <c r="AL465" s="15" t="str">
        <f t="shared" si="118"/>
        <v/>
      </c>
      <c r="AM465" s="4" t="str">
        <f t="shared" si="119"/>
        <v/>
      </c>
    </row>
    <row r="466" spans="1:39" x14ac:dyDescent="0.3">
      <c r="A466" s="9"/>
      <c r="B466" s="4" t="str">
        <f t="shared" si="105"/>
        <v/>
      </c>
      <c r="C466" s="9"/>
      <c r="D466" s="9"/>
      <c r="E466" s="9"/>
      <c r="F466" s="9"/>
      <c r="G466" s="13"/>
      <c r="H466" s="4" t="str">
        <f t="shared" si="106"/>
        <v/>
      </c>
      <c r="I466" s="9"/>
      <c r="J466" s="14"/>
      <c r="K466" s="15" t="str">
        <f>IF(OR(E466="",F466="",G466=""),"",IF(E466&lt;&gt;计划参数!$C$2,"",IF(F466="股票期权",IFERROR(LOOKUP(G466,计划参数!$D$12:$D$15,计划参数!$C$12:$C$15),""),IF(F466="限制性股票",计划参数!$C$10,""))))</f>
        <v/>
      </c>
      <c r="L466" s="15" t="str">
        <f>IF(AND(E466=计划参数!$C$2,F466="限制性股票",G466&gt;=计划参数!$D$9),计划参数!$C$9,"")</f>
        <v/>
      </c>
      <c r="M466" s="9"/>
      <c r="N466" s="14"/>
      <c r="O466" s="14"/>
      <c r="P466" s="13"/>
      <c r="Q466" s="9"/>
      <c r="R466" s="13"/>
      <c r="S466" s="15" t="str">
        <f t="shared" si="107"/>
        <v/>
      </c>
      <c r="T466" s="15" t="str">
        <f t="shared" si="108"/>
        <v/>
      </c>
      <c r="U466" s="15" t="str">
        <f t="shared" si="109"/>
        <v/>
      </c>
      <c r="V466" s="15" t="str">
        <f t="shared" si="110"/>
        <v/>
      </c>
      <c r="W466" s="16" t="str">
        <f>IF(V466="","",VLOOKUP(V466,税率及规则!$A$2:$C$8,2,TRUE))</f>
        <v/>
      </c>
      <c r="X466" s="15" t="str">
        <f>IF(V466="","",VLOOKUP(V466,税率及规则!$A$2:$C$8,3,TRUE))</f>
        <v/>
      </c>
      <c r="Y466" s="15" t="str">
        <f t="shared" si="111"/>
        <v/>
      </c>
      <c r="Z466" s="15" t="str">
        <f>IF(U466="","",MAX(0,U466*VLOOKUP(U466,税率及规则!$A$2:$C$8,2,TRUE)-VLOOKUP(U466,税率及规则!$A$2:$C$8,3,TRUE)))</f>
        <v/>
      </c>
      <c r="AA466" s="15" t="str">
        <f t="shared" si="112"/>
        <v/>
      </c>
      <c r="AB466" s="17" t="str">
        <f t="shared" si="113"/>
        <v/>
      </c>
      <c r="AC466" s="17" t="str">
        <f t="shared" si="114"/>
        <v/>
      </c>
      <c r="AD466" s="4" t="str">
        <f>IF(A466="","",IF(COUNTIF($A$2:$A$501,A466)&gt;1,"异常：事件编号重复",IF(OR(C466="",D466="",E466="",F466="",G466=""),"异常：必填项缺失",IF(AND(F466="其他股权激励",O466=""),"异常：其他股权激励所得缺失",IF(AND(F466&lt;&gt;"其他股权激励",OR(I466="",J466="")),"异常：数量或市场价缺失",IF(AND(F466&lt;&gt;"其他股权激励",OR(I466&lt;=0,J466&lt;0)),"异常：数量或价格无效",IF(AND(F466="限制性股票",OR(M466&lt;=0,N466&lt;0,I466&gt;M466)),"异常：个人获授或出资数据无效",IF(AND(IFERROR(INDEX(计划参数!$J$2:$J$501,MATCH(C466,计划参数!$I$2:$I$501,0)),"")&lt;&gt;"",D466&lt;&gt;IFERROR(INDEX(计划参数!$J$2:$J$501,MATCH(C466,计划参数!$I$2:$I$501,0)),"")),"异常：姓名与员工主数据不一致",IF(S466&lt;0,"异常：原始所得为负，已按0计税",IF(OR(AND(F466="股票期权",K466=""),AND(F466="限制性股票",OR(K466="",L466=""))),"异常：计划参数缺失",IF(COUNTIF(计划参数!$I$2:$I$501,C466)=0,"提示：员工编号未在主数据",IF(Q466&lt;&gt;"已备案","提示：未确认备案","正常"))))))))))))</f>
        <v/>
      </c>
      <c r="AE466" s="9"/>
      <c r="AF466" s="4" t="str">
        <f>IF(C466="","",IF(COUNTIF($C$2:C466,C466)=1,MAX($AF$1:AF465)+1,""))</f>
        <v/>
      </c>
      <c r="AG466" s="4" t="str">
        <f>IF(C466="","",COUNTIF($C$2:C466,C466))</f>
        <v/>
      </c>
      <c r="AH466" s="4" t="str">
        <f t="shared" si="115"/>
        <v/>
      </c>
      <c r="AI466" s="4" t="str">
        <f t="shared" si="116"/>
        <v/>
      </c>
      <c r="AJ466" s="4" t="str">
        <f t="shared" si="117"/>
        <v/>
      </c>
      <c r="AK466" s="15" t="str">
        <f>IF(A466="","",SUMIFS(分期缴税台账!$K$2:$K$501,分期缴税台账!$T$2:$T$501,A466,分期缴税台账!$Q$2:$Q$501,"有效"))</f>
        <v/>
      </c>
      <c r="AL466" s="15" t="str">
        <f t="shared" si="118"/>
        <v/>
      </c>
      <c r="AM466" s="4" t="str">
        <f t="shared" si="119"/>
        <v/>
      </c>
    </row>
    <row r="467" spans="1:39" x14ac:dyDescent="0.3">
      <c r="A467" s="9"/>
      <c r="B467" s="4" t="str">
        <f t="shared" si="105"/>
        <v/>
      </c>
      <c r="C467" s="9"/>
      <c r="D467" s="9"/>
      <c r="E467" s="9"/>
      <c r="F467" s="9"/>
      <c r="G467" s="13"/>
      <c r="H467" s="4" t="str">
        <f t="shared" si="106"/>
        <v/>
      </c>
      <c r="I467" s="9"/>
      <c r="J467" s="14"/>
      <c r="K467" s="15" t="str">
        <f>IF(OR(E467="",F467="",G467=""),"",IF(E467&lt;&gt;计划参数!$C$2,"",IF(F467="股票期权",IFERROR(LOOKUP(G467,计划参数!$D$12:$D$15,计划参数!$C$12:$C$15),""),IF(F467="限制性股票",计划参数!$C$10,""))))</f>
        <v/>
      </c>
      <c r="L467" s="15" t="str">
        <f>IF(AND(E467=计划参数!$C$2,F467="限制性股票",G467&gt;=计划参数!$D$9),计划参数!$C$9,"")</f>
        <v/>
      </c>
      <c r="M467" s="9"/>
      <c r="N467" s="14"/>
      <c r="O467" s="14"/>
      <c r="P467" s="13"/>
      <c r="Q467" s="9"/>
      <c r="R467" s="13"/>
      <c r="S467" s="15" t="str">
        <f t="shared" si="107"/>
        <v/>
      </c>
      <c r="T467" s="15" t="str">
        <f t="shared" si="108"/>
        <v/>
      </c>
      <c r="U467" s="15" t="str">
        <f t="shared" si="109"/>
        <v/>
      </c>
      <c r="V467" s="15" t="str">
        <f t="shared" si="110"/>
        <v/>
      </c>
      <c r="W467" s="16" t="str">
        <f>IF(V467="","",VLOOKUP(V467,税率及规则!$A$2:$C$8,2,TRUE))</f>
        <v/>
      </c>
      <c r="X467" s="15" t="str">
        <f>IF(V467="","",VLOOKUP(V467,税率及规则!$A$2:$C$8,3,TRUE))</f>
        <v/>
      </c>
      <c r="Y467" s="15" t="str">
        <f t="shared" si="111"/>
        <v/>
      </c>
      <c r="Z467" s="15" t="str">
        <f>IF(U467="","",MAX(0,U467*VLOOKUP(U467,税率及规则!$A$2:$C$8,2,TRUE)-VLOOKUP(U467,税率及规则!$A$2:$C$8,3,TRUE)))</f>
        <v/>
      </c>
      <c r="AA467" s="15" t="str">
        <f t="shared" si="112"/>
        <v/>
      </c>
      <c r="AB467" s="17" t="str">
        <f t="shared" si="113"/>
        <v/>
      </c>
      <c r="AC467" s="17" t="str">
        <f t="shared" si="114"/>
        <v/>
      </c>
      <c r="AD467" s="4" t="str">
        <f>IF(A467="","",IF(COUNTIF($A$2:$A$501,A467)&gt;1,"异常：事件编号重复",IF(OR(C467="",D467="",E467="",F467="",G467=""),"异常：必填项缺失",IF(AND(F467="其他股权激励",O467=""),"异常：其他股权激励所得缺失",IF(AND(F467&lt;&gt;"其他股权激励",OR(I467="",J467="")),"异常：数量或市场价缺失",IF(AND(F467&lt;&gt;"其他股权激励",OR(I467&lt;=0,J467&lt;0)),"异常：数量或价格无效",IF(AND(F467="限制性股票",OR(M467&lt;=0,N467&lt;0,I467&gt;M467)),"异常：个人获授或出资数据无效",IF(AND(IFERROR(INDEX(计划参数!$J$2:$J$501,MATCH(C467,计划参数!$I$2:$I$501,0)),"")&lt;&gt;"",D467&lt;&gt;IFERROR(INDEX(计划参数!$J$2:$J$501,MATCH(C467,计划参数!$I$2:$I$501,0)),"")),"异常：姓名与员工主数据不一致",IF(S467&lt;0,"异常：原始所得为负，已按0计税",IF(OR(AND(F467="股票期权",K467=""),AND(F467="限制性股票",OR(K467="",L467=""))),"异常：计划参数缺失",IF(COUNTIF(计划参数!$I$2:$I$501,C467)=0,"提示：员工编号未在主数据",IF(Q467&lt;&gt;"已备案","提示：未确认备案","正常"))))))))))))</f>
        <v/>
      </c>
      <c r="AE467" s="9"/>
      <c r="AF467" s="4" t="str">
        <f>IF(C467="","",IF(COUNTIF($C$2:C467,C467)=1,MAX($AF$1:AF466)+1,""))</f>
        <v/>
      </c>
      <c r="AG467" s="4" t="str">
        <f>IF(C467="","",COUNTIF($C$2:C467,C467))</f>
        <v/>
      </c>
      <c r="AH467" s="4" t="str">
        <f t="shared" si="115"/>
        <v/>
      </c>
      <c r="AI467" s="4" t="str">
        <f t="shared" si="116"/>
        <v/>
      </c>
      <c r="AJ467" s="4" t="str">
        <f t="shared" si="117"/>
        <v/>
      </c>
      <c r="AK467" s="15" t="str">
        <f>IF(A467="","",SUMIFS(分期缴税台账!$K$2:$K$501,分期缴税台账!$T$2:$T$501,A467,分期缴税台账!$Q$2:$Q$501,"有效"))</f>
        <v/>
      </c>
      <c r="AL467" s="15" t="str">
        <f t="shared" si="118"/>
        <v/>
      </c>
      <c r="AM467" s="4" t="str">
        <f t="shared" si="119"/>
        <v/>
      </c>
    </row>
    <row r="468" spans="1:39" x14ac:dyDescent="0.3">
      <c r="A468" s="9"/>
      <c r="B468" s="4" t="str">
        <f t="shared" si="105"/>
        <v/>
      </c>
      <c r="C468" s="9"/>
      <c r="D468" s="9"/>
      <c r="E468" s="9"/>
      <c r="F468" s="9"/>
      <c r="G468" s="13"/>
      <c r="H468" s="4" t="str">
        <f t="shared" si="106"/>
        <v/>
      </c>
      <c r="I468" s="9"/>
      <c r="J468" s="14"/>
      <c r="K468" s="15" t="str">
        <f>IF(OR(E468="",F468="",G468=""),"",IF(E468&lt;&gt;计划参数!$C$2,"",IF(F468="股票期权",IFERROR(LOOKUP(G468,计划参数!$D$12:$D$15,计划参数!$C$12:$C$15),""),IF(F468="限制性股票",计划参数!$C$10,""))))</f>
        <v/>
      </c>
      <c r="L468" s="15" t="str">
        <f>IF(AND(E468=计划参数!$C$2,F468="限制性股票",G468&gt;=计划参数!$D$9),计划参数!$C$9,"")</f>
        <v/>
      </c>
      <c r="M468" s="9"/>
      <c r="N468" s="14"/>
      <c r="O468" s="14"/>
      <c r="P468" s="13"/>
      <c r="Q468" s="9"/>
      <c r="R468" s="13"/>
      <c r="S468" s="15" t="str">
        <f t="shared" si="107"/>
        <v/>
      </c>
      <c r="T468" s="15" t="str">
        <f t="shared" si="108"/>
        <v/>
      </c>
      <c r="U468" s="15" t="str">
        <f t="shared" si="109"/>
        <v/>
      </c>
      <c r="V468" s="15" t="str">
        <f t="shared" si="110"/>
        <v/>
      </c>
      <c r="W468" s="16" t="str">
        <f>IF(V468="","",VLOOKUP(V468,税率及规则!$A$2:$C$8,2,TRUE))</f>
        <v/>
      </c>
      <c r="X468" s="15" t="str">
        <f>IF(V468="","",VLOOKUP(V468,税率及规则!$A$2:$C$8,3,TRUE))</f>
        <v/>
      </c>
      <c r="Y468" s="15" t="str">
        <f t="shared" si="111"/>
        <v/>
      </c>
      <c r="Z468" s="15" t="str">
        <f>IF(U468="","",MAX(0,U468*VLOOKUP(U468,税率及规则!$A$2:$C$8,2,TRUE)-VLOOKUP(U468,税率及规则!$A$2:$C$8,3,TRUE)))</f>
        <v/>
      </c>
      <c r="AA468" s="15" t="str">
        <f t="shared" si="112"/>
        <v/>
      </c>
      <c r="AB468" s="17" t="str">
        <f t="shared" si="113"/>
        <v/>
      </c>
      <c r="AC468" s="17" t="str">
        <f t="shared" si="114"/>
        <v/>
      </c>
      <c r="AD468" s="4" t="str">
        <f>IF(A468="","",IF(COUNTIF($A$2:$A$501,A468)&gt;1,"异常：事件编号重复",IF(OR(C468="",D468="",E468="",F468="",G468=""),"异常：必填项缺失",IF(AND(F468="其他股权激励",O468=""),"异常：其他股权激励所得缺失",IF(AND(F468&lt;&gt;"其他股权激励",OR(I468="",J468="")),"异常：数量或市场价缺失",IF(AND(F468&lt;&gt;"其他股权激励",OR(I468&lt;=0,J468&lt;0)),"异常：数量或价格无效",IF(AND(F468="限制性股票",OR(M468&lt;=0,N468&lt;0,I468&gt;M468)),"异常：个人获授或出资数据无效",IF(AND(IFERROR(INDEX(计划参数!$J$2:$J$501,MATCH(C468,计划参数!$I$2:$I$501,0)),"")&lt;&gt;"",D468&lt;&gt;IFERROR(INDEX(计划参数!$J$2:$J$501,MATCH(C468,计划参数!$I$2:$I$501,0)),"")),"异常：姓名与员工主数据不一致",IF(S468&lt;0,"异常：原始所得为负，已按0计税",IF(OR(AND(F468="股票期权",K468=""),AND(F468="限制性股票",OR(K468="",L468=""))),"异常：计划参数缺失",IF(COUNTIF(计划参数!$I$2:$I$501,C468)=0,"提示：员工编号未在主数据",IF(Q468&lt;&gt;"已备案","提示：未确认备案","正常"))))))))))))</f>
        <v/>
      </c>
      <c r="AE468" s="9"/>
      <c r="AF468" s="4" t="str">
        <f>IF(C468="","",IF(COUNTIF($C$2:C468,C468)=1,MAX($AF$1:AF467)+1,""))</f>
        <v/>
      </c>
      <c r="AG468" s="4" t="str">
        <f>IF(C468="","",COUNTIF($C$2:C468,C468))</f>
        <v/>
      </c>
      <c r="AH468" s="4" t="str">
        <f t="shared" si="115"/>
        <v/>
      </c>
      <c r="AI468" s="4" t="str">
        <f t="shared" si="116"/>
        <v/>
      </c>
      <c r="AJ468" s="4" t="str">
        <f t="shared" si="117"/>
        <v/>
      </c>
      <c r="AK468" s="15" t="str">
        <f>IF(A468="","",SUMIFS(分期缴税台账!$K$2:$K$501,分期缴税台账!$T$2:$T$501,A468,分期缴税台账!$Q$2:$Q$501,"有效"))</f>
        <v/>
      </c>
      <c r="AL468" s="15" t="str">
        <f t="shared" si="118"/>
        <v/>
      </c>
      <c r="AM468" s="4" t="str">
        <f t="shared" si="119"/>
        <v/>
      </c>
    </row>
    <row r="469" spans="1:39" x14ac:dyDescent="0.3">
      <c r="A469" s="9"/>
      <c r="B469" s="4" t="str">
        <f t="shared" si="105"/>
        <v/>
      </c>
      <c r="C469" s="9"/>
      <c r="D469" s="9"/>
      <c r="E469" s="9"/>
      <c r="F469" s="9"/>
      <c r="G469" s="13"/>
      <c r="H469" s="4" t="str">
        <f t="shared" si="106"/>
        <v/>
      </c>
      <c r="I469" s="9"/>
      <c r="J469" s="14"/>
      <c r="K469" s="15" t="str">
        <f>IF(OR(E469="",F469="",G469=""),"",IF(E469&lt;&gt;计划参数!$C$2,"",IF(F469="股票期权",IFERROR(LOOKUP(G469,计划参数!$D$12:$D$15,计划参数!$C$12:$C$15),""),IF(F469="限制性股票",计划参数!$C$10,""))))</f>
        <v/>
      </c>
      <c r="L469" s="15" t="str">
        <f>IF(AND(E469=计划参数!$C$2,F469="限制性股票",G469&gt;=计划参数!$D$9),计划参数!$C$9,"")</f>
        <v/>
      </c>
      <c r="M469" s="9"/>
      <c r="N469" s="14"/>
      <c r="O469" s="14"/>
      <c r="P469" s="13"/>
      <c r="Q469" s="9"/>
      <c r="R469" s="13"/>
      <c r="S469" s="15" t="str">
        <f t="shared" si="107"/>
        <v/>
      </c>
      <c r="T469" s="15" t="str">
        <f t="shared" si="108"/>
        <v/>
      </c>
      <c r="U469" s="15" t="str">
        <f t="shared" si="109"/>
        <v/>
      </c>
      <c r="V469" s="15" t="str">
        <f t="shared" si="110"/>
        <v/>
      </c>
      <c r="W469" s="16" t="str">
        <f>IF(V469="","",VLOOKUP(V469,税率及规则!$A$2:$C$8,2,TRUE))</f>
        <v/>
      </c>
      <c r="X469" s="15" t="str">
        <f>IF(V469="","",VLOOKUP(V469,税率及规则!$A$2:$C$8,3,TRUE))</f>
        <v/>
      </c>
      <c r="Y469" s="15" t="str">
        <f t="shared" si="111"/>
        <v/>
      </c>
      <c r="Z469" s="15" t="str">
        <f>IF(U469="","",MAX(0,U469*VLOOKUP(U469,税率及规则!$A$2:$C$8,2,TRUE)-VLOOKUP(U469,税率及规则!$A$2:$C$8,3,TRUE)))</f>
        <v/>
      </c>
      <c r="AA469" s="15" t="str">
        <f t="shared" si="112"/>
        <v/>
      </c>
      <c r="AB469" s="17" t="str">
        <f t="shared" si="113"/>
        <v/>
      </c>
      <c r="AC469" s="17" t="str">
        <f t="shared" si="114"/>
        <v/>
      </c>
      <c r="AD469" s="4" t="str">
        <f>IF(A469="","",IF(COUNTIF($A$2:$A$501,A469)&gt;1,"异常：事件编号重复",IF(OR(C469="",D469="",E469="",F469="",G469=""),"异常：必填项缺失",IF(AND(F469="其他股权激励",O469=""),"异常：其他股权激励所得缺失",IF(AND(F469&lt;&gt;"其他股权激励",OR(I469="",J469="")),"异常：数量或市场价缺失",IF(AND(F469&lt;&gt;"其他股权激励",OR(I469&lt;=0,J469&lt;0)),"异常：数量或价格无效",IF(AND(F469="限制性股票",OR(M469&lt;=0,N469&lt;0,I469&gt;M469)),"异常：个人获授或出资数据无效",IF(AND(IFERROR(INDEX(计划参数!$J$2:$J$501,MATCH(C469,计划参数!$I$2:$I$501,0)),"")&lt;&gt;"",D469&lt;&gt;IFERROR(INDEX(计划参数!$J$2:$J$501,MATCH(C469,计划参数!$I$2:$I$501,0)),"")),"异常：姓名与员工主数据不一致",IF(S469&lt;0,"异常：原始所得为负，已按0计税",IF(OR(AND(F469="股票期权",K469=""),AND(F469="限制性股票",OR(K469="",L469=""))),"异常：计划参数缺失",IF(COUNTIF(计划参数!$I$2:$I$501,C469)=0,"提示：员工编号未在主数据",IF(Q469&lt;&gt;"已备案","提示：未确认备案","正常"))))))))))))</f>
        <v/>
      </c>
      <c r="AE469" s="9"/>
      <c r="AF469" s="4" t="str">
        <f>IF(C469="","",IF(COUNTIF($C$2:C469,C469)=1,MAX($AF$1:AF468)+1,""))</f>
        <v/>
      </c>
      <c r="AG469" s="4" t="str">
        <f>IF(C469="","",COUNTIF($C$2:C469,C469))</f>
        <v/>
      </c>
      <c r="AH469" s="4" t="str">
        <f t="shared" si="115"/>
        <v/>
      </c>
      <c r="AI469" s="4" t="str">
        <f t="shared" si="116"/>
        <v/>
      </c>
      <c r="AJ469" s="4" t="str">
        <f t="shared" si="117"/>
        <v/>
      </c>
      <c r="AK469" s="15" t="str">
        <f>IF(A469="","",SUMIFS(分期缴税台账!$K$2:$K$501,分期缴税台账!$T$2:$T$501,A469,分期缴税台账!$Q$2:$Q$501,"有效"))</f>
        <v/>
      </c>
      <c r="AL469" s="15" t="str">
        <f t="shared" si="118"/>
        <v/>
      </c>
      <c r="AM469" s="4" t="str">
        <f t="shared" si="119"/>
        <v/>
      </c>
    </row>
    <row r="470" spans="1:39" x14ac:dyDescent="0.3">
      <c r="A470" s="9"/>
      <c r="B470" s="4" t="str">
        <f t="shared" si="105"/>
        <v/>
      </c>
      <c r="C470" s="9"/>
      <c r="D470" s="9"/>
      <c r="E470" s="9"/>
      <c r="F470" s="9"/>
      <c r="G470" s="13"/>
      <c r="H470" s="4" t="str">
        <f t="shared" si="106"/>
        <v/>
      </c>
      <c r="I470" s="9"/>
      <c r="J470" s="14"/>
      <c r="K470" s="15" t="str">
        <f>IF(OR(E470="",F470="",G470=""),"",IF(E470&lt;&gt;计划参数!$C$2,"",IF(F470="股票期权",IFERROR(LOOKUP(G470,计划参数!$D$12:$D$15,计划参数!$C$12:$C$15),""),IF(F470="限制性股票",计划参数!$C$10,""))))</f>
        <v/>
      </c>
      <c r="L470" s="15" t="str">
        <f>IF(AND(E470=计划参数!$C$2,F470="限制性股票",G470&gt;=计划参数!$D$9),计划参数!$C$9,"")</f>
        <v/>
      </c>
      <c r="M470" s="9"/>
      <c r="N470" s="14"/>
      <c r="O470" s="14"/>
      <c r="P470" s="13"/>
      <c r="Q470" s="9"/>
      <c r="R470" s="13"/>
      <c r="S470" s="15" t="str">
        <f t="shared" si="107"/>
        <v/>
      </c>
      <c r="T470" s="15" t="str">
        <f t="shared" si="108"/>
        <v/>
      </c>
      <c r="U470" s="15" t="str">
        <f t="shared" si="109"/>
        <v/>
      </c>
      <c r="V470" s="15" t="str">
        <f t="shared" si="110"/>
        <v/>
      </c>
      <c r="W470" s="16" t="str">
        <f>IF(V470="","",VLOOKUP(V470,税率及规则!$A$2:$C$8,2,TRUE))</f>
        <v/>
      </c>
      <c r="X470" s="15" t="str">
        <f>IF(V470="","",VLOOKUP(V470,税率及规则!$A$2:$C$8,3,TRUE))</f>
        <v/>
      </c>
      <c r="Y470" s="15" t="str">
        <f t="shared" si="111"/>
        <v/>
      </c>
      <c r="Z470" s="15" t="str">
        <f>IF(U470="","",MAX(0,U470*VLOOKUP(U470,税率及规则!$A$2:$C$8,2,TRUE)-VLOOKUP(U470,税率及规则!$A$2:$C$8,3,TRUE)))</f>
        <v/>
      </c>
      <c r="AA470" s="15" t="str">
        <f t="shared" si="112"/>
        <v/>
      </c>
      <c r="AB470" s="17" t="str">
        <f t="shared" si="113"/>
        <v/>
      </c>
      <c r="AC470" s="17" t="str">
        <f t="shared" si="114"/>
        <v/>
      </c>
      <c r="AD470" s="4" t="str">
        <f>IF(A470="","",IF(COUNTIF($A$2:$A$501,A470)&gt;1,"异常：事件编号重复",IF(OR(C470="",D470="",E470="",F470="",G470=""),"异常：必填项缺失",IF(AND(F470="其他股权激励",O470=""),"异常：其他股权激励所得缺失",IF(AND(F470&lt;&gt;"其他股权激励",OR(I470="",J470="")),"异常：数量或市场价缺失",IF(AND(F470&lt;&gt;"其他股权激励",OR(I470&lt;=0,J470&lt;0)),"异常：数量或价格无效",IF(AND(F470="限制性股票",OR(M470&lt;=0,N470&lt;0,I470&gt;M470)),"异常：个人获授或出资数据无效",IF(AND(IFERROR(INDEX(计划参数!$J$2:$J$501,MATCH(C470,计划参数!$I$2:$I$501,0)),"")&lt;&gt;"",D470&lt;&gt;IFERROR(INDEX(计划参数!$J$2:$J$501,MATCH(C470,计划参数!$I$2:$I$501,0)),"")),"异常：姓名与员工主数据不一致",IF(S470&lt;0,"异常：原始所得为负，已按0计税",IF(OR(AND(F470="股票期权",K470=""),AND(F470="限制性股票",OR(K470="",L470=""))),"异常：计划参数缺失",IF(COUNTIF(计划参数!$I$2:$I$501,C470)=0,"提示：员工编号未在主数据",IF(Q470&lt;&gt;"已备案","提示：未确认备案","正常"))))))))))))</f>
        <v/>
      </c>
      <c r="AE470" s="9"/>
      <c r="AF470" s="4" t="str">
        <f>IF(C470="","",IF(COUNTIF($C$2:C470,C470)=1,MAX($AF$1:AF469)+1,""))</f>
        <v/>
      </c>
      <c r="AG470" s="4" t="str">
        <f>IF(C470="","",COUNTIF($C$2:C470,C470))</f>
        <v/>
      </c>
      <c r="AH470" s="4" t="str">
        <f t="shared" si="115"/>
        <v/>
      </c>
      <c r="AI470" s="4" t="str">
        <f t="shared" si="116"/>
        <v/>
      </c>
      <c r="AJ470" s="4" t="str">
        <f t="shared" si="117"/>
        <v/>
      </c>
      <c r="AK470" s="15" t="str">
        <f>IF(A470="","",SUMIFS(分期缴税台账!$K$2:$K$501,分期缴税台账!$T$2:$T$501,A470,分期缴税台账!$Q$2:$Q$501,"有效"))</f>
        <v/>
      </c>
      <c r="AL470" s="15" t="str">
        <f t="shared" si="118"/>
        <v/>
      </c>
      <c r="AM470" s="4" t="str">
        <f t="shared" si="119"/>
        <v/>
      </c>
    </row>
    <row r="471" spans="1:39" x14ac:dyDescent="0.3">
      <c r="A471" s="9"/>
      <c r="B471" s="4" t="str">
        <f t="shared" si="105"/>
        <v/>
      </c>
      <c r="C471" s="9"/>
      <c r="D471" s="9"/>
      <c r="E471" s="9"/>
      <c r="F471" s="9"/>
      <c r="G471" s="13"/>
      <c r="H471" s="4" t="str">
        <f t="shared" si="106"/>
        <v/>
      </c>
      <c r="I471" s="9"/>
      <c r="J471" s="14"/>
      <c r="K471" s="15" t="str">
        <f>IF(OR(E471="",F471="",G471=""),"",IF(E471&lt;&gt;计划参数!$C$2,"",IF(F471="股票期权",IFERROR(LOOKUP(G471,计划参数!$D$12:$D$15,计划参数!$C$12:$C$15),""),IF(F471="限制性股票",计划参数!$C$10,""))))</f>
        <v/>
      </c>
      <c r="L471" s="15" t="str">
        <f>IF(AND(E471=计划参数!$C$2,F471="限制性股票",G471&gt;=计划参数!$D$9),计划参数!$C$9,"")</f>
        <v/>
      </c>
      <c r="M471" s="9"/>
      <c r="N471" s="14"/>
      <c r="O471" s="14"/>
      <c r="P471" s="13"/>
      <c r="Q471" s="9"/>
      <c r="R471" s="13"/>
      <c r="S471" s="15" t="str">
        <f t="shared" si="107"/>
        <v/>
      </c>
      <c r="T471" s="15" t="str">
        <f t="shared" si="108"/>
        <v/>
      </c>
      <c r="U471" s="15" t="str">
        <f t="shared" si="109"/>
        <v/>
      </c>
      <c r="V471" s="15" t="str">
        <f t="shared" si="110"/>
        <v/>
      </c>
      <c r="W471" s="16" t="str">
        <f>IF(V471="","",VLOOKUP(V471,税率及规则!$A$2:$C$8,2,TRUE))</f>
        <v/>
      </c>
      <c r="X471" s="15" t="str">
        <f>IF(V471="","",VLOOKUP(V471,税率及规则!$A$2:$C$8,3,TRUE))</f>
        <v/>
      </c>
      <c r="Y471" s="15" t="str">
        <f t="shared" si="111"/>
        <v/>
      </c>
      <c r="Z471" s="15" t="str">
        <f>IF(U471="","",MAX(0,U471*VLOOKUP(U471,税率及规则!$A$2:$C$8,2,TRUE)-VLOOKUP(U471,税率及规则!$A$2:$C$8,3,TRUE)))</f>
        <v/>
      </c>
      <c r="AA471" s="15" t="str">
        <f t="shared" si="112"/>
        <v/>
      </c>
      <c r="AB471" s="17" t="str">
        <f t="shared" si="113"/>
        <v/>
      </c>
      <c r="AC471" s="17" t="str">
        <f t="shared" si="114"/>
        <v/>
      </c>
      <c r="AD471" s="4" t="str">
        <f>IF(A471="","",IF(COUNTIF($A$2:$A$501,A471)&gt;1,"异常：事件编号重复",IF(OR(C471="",D471="",E471="",F471="",G471=""),"异常：必填项缺失",IF(AND(F471="其他股权激励",O471=""),"异常：其他股权激励所得缺失",IF(AND(F471&lt;&gt;"其他股权激励",OR(I471="",J471="")),"异常：数量或市场价缺失",IF(AND(F471&lt;&gt;"其他股权激励",OR(I471&lt;=0,J471&lt;0)),"异常：数量或价格无效",IF(AND(F471="限制性股票",OR(M471&lt;=0,N471&lt;0,I471&gt;M471)),"异常：个人获授或出资数据无效",IF(AND(IFERROR(INDEX(计划参数!$J$2:$J$501,MATCH(C471,计划参数!$I$2:$I$501,0)),"")&lt;&gt;"",D471&lt;&gt;IFERROR(INDEX(计划参数!$J$2:$J$501,MATCH(C471,计划参数!$I$2:$I$501,0)),"")),"异常：姓名与员工主数据不一致",IF(S471&lt;0,"异常：原始所得为负，已按0计税",IF(OR(AND(F471="股票期权",K471=""),AND(F471="限制性股票",OR(K471="",L471=""))),"异常：计划参数缺失",IF(COUNTIF(计划参数!$I$2:$I$501,C471)=0,"提示：员工编号未在主数据",IF(Q471&lt;&gt;"已备案","提示：未确认备案","正常"))))))))))))</f>
        <v/>
      </c>
      <c r="AE471" s="9"/>
      <c r="AF471" s="4" t="str">
        <f>IF(C471="","",IF(COUNTIF($C$2:C471,C471)=1,MAX($AF$1:AF470)+1,""))</f>
        <v/>
      </c>
      <c r="AG471" s="4" t="str">
        <f>IF(C471="","",COUNTIF($C$2:C471,C471))</f>
        <v/>
      </c>
      <c r="AH471" s="4" t="str">
        <f t="shared" si="115"/>
        <v/>
      </c>
      <c r="AI471" s="4" t="str">
        <f t="shared" si="116"/>
        <v/>
      </c>
      <c r="AJ471" s="4" t="str">
        <f t="shared" si="117"/>
        <v/>
      </c>
      <c r="AK471" s="15" t="str">
        <f>IF(A471="","",SUMIFS(分期缴税台账!$K$2:$K$501,分期缴税台账!$T$2:$T$501,A471,分期缴税台账!$Q$2:$Q$501,"有效"))</f>
        <v/>
      </c>
      <c r="AL471" s="15" t="str">
        <f t="shared" si="118"/>
        <v/>
      </c>
      <c r="AM471" s="4" t="str">
        <f t="shared" si="119"/>
        <v/>
      </c>
    </row>
    <row r="472" spans="1:39" x14ac:dyDescent="0.3">
      <c r="A472" s="9"/>
      <c r="B472" s="4" t="str">
        <f t="shared" si="105"/>
        <v/>
      </c>
      <c r="C472" s="9"/>
      <c r="D472" s="9"/>
      <c r="E472" s="9"/>
      <c r="F472" s="9"/>
      <c r="G472" s="13"/>
      <c r="H472" s="4" t="str">
        <f t="shared" si="106"/>
        <v/>
      </c>
      <c r="I472" s="9"/>
      <c r="J472" s="14"/>
      <c r="K472" s="15" t="str">
        <f>IF(OR(E472="",F472="",G472=""),"",IF(E472&lt;&gt;计划参数!$C$2,"",IF(F472="股票期权",IFERROR(LOOKUP(G472,计划参数!$D$12:$D$15,计划参数!$C$12:$C$15),""),IF(F472="限制性股票",计划参数!$C$10,""))))</f>
        <v/>
      </c>
      <c r="L472" s="15" t="str">
        <f>IF(AND(E472=计划参数!$C$2,F472="限制性股票",G472&gt;=计划参数!$D$9),计划参数!$C$9,"")</f>
        <v/>
      </c>
      <c r="M472" s="9"/>
      <c r="N472" s="14"/>
      <c r="O472" s="14"/>
      <c r="P472" s="13"/>
      <c r="Q472" s="9"/>
      <c r="R472" s="13"/>
      <c r="S472" s="15" t="str">
        <f t="shared" si="107"/>
        <v/>
      </c>
      <c r="T472" s="15" t="str">
        <f t="shared" si="108"/>
        <v/>
      </c>
      <c r="U472" s="15" t="str">
        <f t="shared" si="109"/>
        <v/>
      </c>
      <c r="V472" s="15" t="str">
        <f t="shared" si="110"/>
        <v/>
      </c>
      <c r="W472" s="16" t="str">
        <f>IF(V472="","",VLOOKUP(V472,税率及规则!$A$2:$C$8,2,TRUE))</f>
        <v/>
      </c>
      <c r="X472" s="15" t="str">
        <f>IF(V472="","",VLOOKUP(V472,税率及规则!$A$2:$C$8,3,TRUE))</f>
        <v/>
      </c>
      <c r="Y472" s="15" t="str">
        <f t="shared" si="111"/>
        <v/>
      </c>
      <c r="Z472" s="15" t="str">
        <f>IF(U472="","",MAX(0,U472*VLOOKUP(U472,税率及规则!$A$2:$C$8,2,TRUE)-VLOOKUP(U472,税率及规则!$A$2:$C$8,3,TRUE)))</f>
        <v/>
      </c>
      <c r="AA472" s="15" t="str">
        <f t="shared" si="112"/>
        <v/>
      </c>
      <c r="AB472" s="17" t="str">
        <f t="shared" si="113"/>
        <v/>
      </c>
      <c r="AC472" s="17" t="str">
        <f t="shared" si="114"/>
        <v/>
      </c>
      <c r="AD472" s="4" t="str">
        <f>IF(A472="","",IF(COUNTIF($A$2:$A$501,A472)&gt;1,"异常：事件编号重复",IF(OR(C472="",D472="",E472="",F472="",G472=""),"异常：必填项缺失",IF(AND(F472="其他股权激励",O472=""),"异常：其他股权激励所得缺失",IF(AND(F472&lt;&gt;"其他股权激励",OR(I472="",J472="")),"异常：数量或市场价缺失",IF(AND(F472&lt;&gt;"其他股权激励",OR(I472&lt;=0,J472&lt;0)),"异常：数量或价格无效",IF(AND(F472="限制性股票",OR(M472&lt;=0,N472&lt;0,I472&gt;M472)),"异常：个人获授或出资数据无效",IF(AND(IFERROR(INDEX(计划参数!$J$2:$J$501,MATCH(C472,计划参数!$I$2:$I$501,0)),"")&lt;&gt;"",D472&lt;&gt;IFERROR(INDEX(计划参数!$J$2:$J$501,MATCH(C472,计划参数!$I$2:$I$501,0)),"")),"异常：姓名与员工主数据不一致",IF(S472&lt;0,"异常：原始所得为负，已按0计税",IF(OR(AND(F472="股票期权",K472=""),AND(F472="限制性股票",OR(K472="",L472=""))),"异常：计划参数缺失",IF(COUNTIF(计划参数!$I$2:$I$501,C472)=0,"提示：员工编号未在主数据",IF(Q472&lt;&gt;"已备案","提示：未确认备案","正常"))))))))))))</f>
        <v/>
      </c>
      <c r="AE472" s="9"/>
      <c r="AF472" s="4" t="str">
        <f>IF(C472="","",IF(COUNTIF($C$2:C472,C472)=1,MAX($AF$1:AF471)+1,""))</f>
        <v/>
      </c>
      <c r="AG472" s="4" t="str">
        <f>IF(C472="","",COUNTIF($C$2:C472,C472))</f>
        <v/>
      </c>
      <c r="AH472" s="4" t="str">
        <f t="shared" si="115"/>
        <v/>
      </c>
      <c r="AI472" s="4" t="str">
        <f t="shared" si="116"/>
        <v/>
      </c>
      <c r="AJ472" s="4" t="str">
        <f t="shared" si="117"/>
        <v/>
      </c>
      <c r="AK472" s="15" t="str">
        <f>IF(A472="","",SUMIFS(分期缴税台账!$K$2:$K$501,分期缴税台账!$T$2:$T$501,A472,分期缴税台账!$Q$2:$Q$501,"有效"))</f>
        <v/>
      </c>
      <c r="AL472" s="15" t="str">
        <f t="shared" si="118"/>
        <v/>
      </c>
      <c r="AM472" s="4" t="str">
        <f t="shared" si="119"/>
        <v/>
      </c>
    </row>
    <row r="473" spans="1:39" x14ac:dyDescent="0.3">
      <c r="A473" s="9"/>
      <c r="B473" s="4" t="str">
        <f t="shared" si="105"/>
        <v/>
      </c>
      <c r="C473" s="9"/>
      <c r="D473" s="9"/>
      <c r="E473" s="9"/>
      <c r="F473" s="9"/>
      <c r="G473" s="13"/>
      <c r="H473" s="4" t="str">
        <f t="shared" si="106"/>
        <v/>
      </c>
      <c r="I473" s="9"/>
      <c r="J473" s="14"/>
      <c r="K473" s="15" t="str">
        <f>IF(OR(E473="",F473="",G473=""),"",IF(E473&lt;&gt;计划参数!$C$2,"",IF(F473="股票期权",IFERROR(LOOKUP(G473,计划参数!$D$12:$D$15,计划参数!$C$12:$C$15),""),IF(F473="限制性股票",计划参数!$C$10,""))))</f>
        <v/>
      </c>
      <c r="L473" s="15" t="str">
        <f>IF(AND(E473=计划参数!$C$2,F473="限制性股票",G473&gt;=计划参数!$D$9),计划参数!$C$9,"")</f>
        <v/>
      </c>
      <c r="M473" s="9"/>
      <c r="N473" s="14"/>
      <c r="O473" s="14"/>
      <c r="P473" s="13"/>
      <c r="Q473" s="9"/>
      <c r="R473" s="13"/>
      <c r="S473" s="15" t="str">
        <f t="shared" si="107"/>
        <v/>
      </c>
      <c r="T473" s="15" t="str">
        <f t="shared" si="108"/>
        <v/>
      </c>
      <c r="U473" s="15" t="str">
        <f t="shared" si="109"/>
        <v/>
      </c>
      <c r="V473" s="15" t="str">
        <f t="shared" si="110"/>
        <v/>
      </c>
      <c r="W473" s="16" t="str">
        <f>IF(V473="","",VLOOKUP(V473,税率及规则!$A$2:$C$8,2,TRUE))</f>
        <v/>
      </c>
      <c r="X473" s="15" t="str">
        <f>IF(V473="","",VLOOKUP(V473,税率及规则!$A$2:$C$8,3,TRUE))</f>
        <v/>
      </c>
      <c r="Y473" s="15" t="str">
        <f t="shared" si="111"/>
        <v/>
      </c>
      <c r="Z473" s="15" t="str">
        <f>IF(U473="","",MAX(0,U473*VLOOKUP(U473,税率及规则!$A$2:$C$8,2,TRUE)-VLOOKUP(U473,税率及规则!$A$2:$C$8,3,TRUE)))</f>
        <v/>
      </c>
      <c r="AA473" s="15" t="str">
        <f t="shared" si="112"/>
        <v/>
      </c>
      <c r="AB473" s="17" t="str">
        <f t="shared" si="113"/>
        <v/>
      </c>
      <c r="AC473" s="17" t="str">
        <f t="shared" si="114"/>
        <v/>
      </c>
      <c r="AD473" s="4" t="str">
        <f>IF(A473="","",IF(COUNTIF($A$2:$A$501,A473)&gt;1,"异常：事件编号重复",IF(OR(C473="",D473="",E473="",F473="",G473=""),"异常：必填项缺失",IF(AND(F473="其他股权激励",O473=""),"异常：其他股权激励所得缺失",IF(AND(F473&lt;&gt;"其他股权激励",OR(I473="",J473="")),"异常：数量或市场价缺失",IF(AND(F473&lt;&gt;"其他股权激励",OR(I473&lt;=0,J473&lt;0)),"异常：数量或价格无效",IF(AND(F473="限制性股票",OR(M473&lt;=0,N473&lt;0,I473&gt;M473)),"异常：个人获授或出资数据无效",IF(AND(IFERROR(INDEX(计划参数!$J$2:$J$501,MATCH(C473,计划参数!$I$2:$I$501,0)),"")&lt;&gt;"",D473&lt;&gt;IFERROR(INDEX(计划参数!$J$2:$J$501,MATCH(C473,计划参数!$I$2:$I$501,0)),"")),"异常：姓名与员工主数据不一致",IF(S473&lt;0,"异常：原始所得为负，已按0计税",IF(OR(AND(F473="股票期权",K473=""),AND(F473="限制性股票",OR(K473="",L473=""))),"异常：计划参数缺失",IF(COUNTIF(计划参数!$I$2:$I$501,C473)=0,"提示：员工编号未在主数据",IF(Q473&lt;&gt;"已备案","提示：未确认备案","正常"))))))))))))</f>
        <v/>
      </c>
      <c r="AE473" s="9"/>
      <c r="AF473" s="4" t="str">
        <f>IF(C473="","",IF(COUNTIF($C$2:C473,C473)=1,MAX($AF$1:AF472)+1,""))</f>
        <v/>
      </c>
      <c r="AG473" s="4" t="str">
        <f>IF(C473="","",COUNTIF($C$2:C473,C473))</f>
        <v/>
      </c>
      <c r="AH473" s="4" t="str">
        <f t="shared" si="115"/>
        <v/>
      </c>
      <c r="AI473" s="4" t="str">
        <f t="shared" si="116"/>
        <v/>
      </c>
      <c r="AJ473" s="4" t="str">
        <f t="shared" si="117"/>
        <v/>
      </c>
      <c r="AK473" s="15" t="str">
        <f>IF(A473="","",SUMIFS(分期缴税台账!$K$2:$K$501,分期缴税台账!$T$2:$T$501,A473,分期缴税台账!$Q$2:$Q$501,"有效"))</f>
        <v/>
      </c>
      <c r="AL473" s="15" t="str">
        <f t="shared" si="118"/>
        <v/>
      </c>
      <c r="AM473" s="4" t="str">
        <f t="shared" si="119"/>
        <v/>
      </c>
    </row>
    <row r="474" spans="1:39" x14ac:dyDescent="0.3">
      <c r="A474" s="9"/>
      <c r="B474" s="4" t="str">
        <f t="shared" si="105"/>
        <v/>
      </c>
      <c r="C474" s="9"/>
      <c r="D474" s="9"/>
      <c r="E474" s="9"/>
      <c r="F474" s="9"/>
      <c r="G474" s="13"/>
      <c r="H474" s="4" t="str">
        <f t="shared" si="106"/>
        <v/>
      </c>
      <c r="I474" s="9"/>
      <c r="J474" s="14"/>
      <c r="K474" s="15" t="str">
        <f>IF(OR(E474="",F474="",G474=""),"",IF(E474&lt;&gt;计划参数!$C$2,"",IF(F474="股票期权",IFERROR(LOOKUP(G474,计划参数!$D$12:$D$15,计划参数!$C$12:$C$15),""),IF(F474="限制性股票",计划参数!$C$10,""))))</f>
        <v/>
      </c>
      <c r="L474" s="15" t="str">
        <f>IF(AND(E474=计划参数!$C$2,F474="限制性股票",G474&gt;=计划参数!$D$9),计划参数!$C$9,"")</f>
        <v/>
      </c>
      <c r="M474" s="9"/>
      <c r="N474" s="14"/>
      <c r="O474" s="14"/>
      <c r="P474" s="13"/>
      <c r="Q474" s="9"/>
      <c r="R474" s="13"/>
      <c r="S474" s="15" t="str">
        <f t="shared" si="107"/>
        <v/>
      </c>
      <c r="T474" s="15" t="str">
        <f t="shared" si="108"/>
        <v/>
      </c>
      <c r="U474" s="15" t="str">
        <f t="shared" si="109"/>
        <v/>
      </c>
      <c r="V474" s="15" t="str">
        <f t="shared" si="110"/>
        <v/>
      </c>
      <c r="W474" s="16" t="str">
        <f>IF(V474="","",VLOOKUP(V474,税率及规则!$A$2:$C$8,2,TRUE))</f>
        <v/>
      </c>
      <c r="X474" s="15" t="str">
        <f>IF(V474="","",VLOOKUP(V474,税率及规则!$A$2:$C$8,3,TRUE))</f>
        <v/>
      </c>
      <c r="Y474" s="15" t="str">
        <f t="shared" si="111"/>
        <v/>
      </c>
      <c r="Z474" s="15" t="str">
        <f>IF(U474="","",MAX(0,U474*VLOOKUP(U474,税率及规则!$A$2:$C$8,2,TRUE)-VLOOKUP(U474,税率及规则!$A$2:$C$8,3,TRUE)))</f>
        <v/>
      </c>
      <c r="AA474" s="15" t="str">
        <f t="shared" si="112"/>
        <v/>
      </c>
      <c r="AB474" s="17" t="str">
        <f t="shared" si="113"/>
        <v/>
      </c>
      <c r="AC474" s="17" t="str">
        <f t="shared" si="114"/>
        <v/>
      </c>
      <c r="AD474" s="4" t="str">
        <f>IF(A474="","",IF(COUNTIF($A$2:$A$501,A474)&gt;1,"异常：事件编号重复",IF(OR(C474="",D474="",E474="",F474="",G474=""),"异常：必填项缺失",IF(AND(F474="其他股权激励",O474=""),"异常：其他股权激励所得缺失",IF(AND(F474&lt;&gt;"其他股权激励",OR(I474="",J474="")),"异常：数量或市场价缺失",IF(AND(F474&lt;&gt;"其他股权激励",OR(I474&lt;=0,J474&lt;0)),"异常：数量或价格无效",IF(AND(F474="限制性股票",OR(M474&lt;=0,N474&lt;0,I474&gt;M474)),"异常：个人获授或出资数据无效",IF(AND(IFERROR(INDEX(计划参数!$J$2:$J$501,MATCH(C474,计划参数!$I$2:$I$501,0)),"")&lt;&gt;"",D474&lt;&gt;IFERROR(INDEX(计划参数!$J$2:$J$501,MATCH(C474,计划参数!$I$2:$I$501,0)),"")),"异常：姓名与员工主数据不一致",IF(S474&lt;0,"异常：原始所得为负，已按0计税",IF(OR(AND(F474="股票期权",K474=""),AND(F474="限制性股票",OR(K474="",L474=""))),"异常：计划参数缺失",IF(COUNTIF(计划参数!$I$2:$I$501,C474)=0,"提示：员工编号未在主数据",IF(Q474&lt;&gt;"已备案","提示：未确认备案","正常"))))))))))))</f>
        <v/>
      </c>
      <c r="AE474" s="9"/>
      <c r="AF474" s="4" t="str">
        <f>IF(C474="","",IF(COUNTIF($C$2:C474,C474)=1,MAX($AF$1:AF473)+1,""))</f>
        <v/>
      </c>
      <c r="AG474" s="4" t="str">
        <f>IF(C474="","",COUNTIF($C$2:C474,C474))</f>
        <v/>
      </c>
      <c r="AH474" s="4" t="str">
        <f t="shared" si="115"/>
        <v/>
      </c>
      <c r="AI474" s="4" t="str">
        <f t="shared" si="116"/>
        <v/>
      </c>
      <c r="AJ474" s="4" t="str">
        <f t="shared" si="117"/>
        <v/>
      </c>
      <c r="AK474" s="15" t="str">
        <f>IF(A474="","",SUMIFS(分期缴税台账!$K$2:$K$501,分期缴税台账!$T$2:$T$501,A474,分期缴税台账!$Q$2:$Q$501,"有效"))</f>
        <v/>
      </c>
      <c r="AL474" s="15" t="str">
        <f t="shared" si="118"/>
        <v/>
      </c>
      <c r="AM474" s="4" t="str">
        <f t="shared" si="119"/>
        <v/>
      </c>
    </row>
    <row r="475" spans="1:39" x14ac:dyDescent="0.3">
      <c r="A475" s="9"/>
      <c r="B475" s="4" t="str">
        <f t="shared" si="105"/>
        <v/>
      </c>
      <c r="C475" s="9"/>
      <c r="D475" s="9"/>
      <c r="E475" s="9"/>
      <c r="F475" s="9"/>
      <c r="G475" s="13"/>
      <c r="H475" s="4" t="str">
        <f t="shared" si="106"/>
        <v/>
      </c>
      <c r="I475" s="9"/>
      <c r="J475" s="14"/>
      <c r="K475" s="15" t="str">
        <f>IF(OR(E475="",F475="",G475=""),"",IF(E475&lt;&gt;计划参数!$C$2,"",IF(F475="股票期权",IFERROR(LOOKUP(G475,计划参数!$D$12:$D$15,计划参数!$C$12:$C$15),""),IF(F475="限制性股票",计划参数!$C$10,""))))</f>
        <v/>
      </c>
      <c r="L475" s="15" t="str">
        <f>IF(AND(E475=计划参数!$C$2,F475="限制性股票",G475&gt;=计划参数!$D$9),计划参数!$C$9,"")</f>
        <v/>
      </c>
      <c r="M475" s="9"/>
      <c r="N475" s="14"/>
      <c r="O475" s="14"/>
      <c r="P475" s="13"/>
      <c r="Q475" s="9"/>
      <c r="R475" s="13"/>
      <c r="S475" s="15" t="str">
        <f t="shared" si="107"/>
        <v/>
      </c>
      <c r="T475" s="15" t="str">
        <f t="shared" si="108"/>
        <v/>
      </c>
      <c r="U475" s="15" t="str">
        <f t="shared" si="109"/>
        <v/>
      </c>
      <c r="V475" s="15" t="str">
        <f t="shared" si="110"/>
        <v/>
      </c>
      <c r="W475" s="16" t="str">
        <f>IF(V475="","",VLOOKUP(V475,税率及规则!$A$2:$C$8,2,TRUE))</f>
        <v/>
      </c>
      <c r="X475" s="15" t="str">
        <f>IF(V475="","",VLOOKUP(V475,税率及规则!$A$2:$C$8,3,TRUE))</f>
        <v/>
      </c>
      <c r="Y475" s="15" t="str">
        <f t="shared" si="111"/>
        <v/>
      </c>
      <c r="Z475" s="15" t="str">
        <f>IF(U475="","",MAX(0,U475*VLOOKUP(U475,税率及规则!$A$2:$C$8,2,TRUE)-VLOOKUP(U475,税率及规则!$A$2:$C$8,3,TRUE)))</f>
        <v/>
      </c>
      <c r="AA475" s="15" t="str">
        <f t="shared" si="112"/>
        <v/>
      </c>
      <c r="AB475" s="17" t="str">
        <f t="shared" si="113"/>
        <v/>
      </c>
      <c r="AC475" s="17" t="str">
        <f t="shared" si="114"/>
        <v/>
      </c>
      <c r="AD475" s="4" t="str">
        <f>IF(A475="","",IF(COUNTIF($A$2:$A$501,A475)&gt;1,"异常：事件编号重复",IF(OR(C475="",D475="",E475="",F475="",G475=""),"异常：必填项缺失",IF(AND(F475="其他股权激励",O475=""),"异常：其他股权激励所得缺失",IF(AND(F475&lt;&gt;"其他股权激励",OR(I475="",J475="")),"异常：数量或市场价缺失",IF(AND(F475&lt;&gt;"其他股权激励",OR(I475&lt;=0,J475&lt;0)),"异常：数量或价格无效",IF(AND(F475="限制性股票",OR(M475&lt;=0,N475&lt;0,I475&gt;M475)),"异常：个人获授或出资数据无效",IF(AND(IFERROR(INDEX(计划参数!$J$2:$J$501,MATCH(C475,计划参数!$I$2:$I$501,0)),"")&lt;&gt;"",D475&lt;&gt;IFERROR(INDEX(计划参数!$J$2:$J$501,MATCH(C475,计划参数!$I$2:$I$501,0)),"")),"异常：姓名与员工主数据不一致",IF(S475&lt;0,"异常：原始所得为负，已按0计税",IF(OR(AND(F475="股票期权",K475=""),AND(F475="限制性股票",OR(K475="",L475=""))),"异常：计划参数缺失",IF(COUNTIF(计划参数!$I$2:$I$501,C475)=0,"提示：员工编号未在主数据",IF(Q475&lt;&gt;"已备案","提示：未确认备案","正常"))))))))))))</f>
        <v/>
      </c>
      <c r="AE475" s="9"/>
      <c r="AF475" s="4" t="str">
        <f>IF(C475="","",IF(COUNTIF($C$2:C475,C475)=1,MAX($AF$1:AF474)+1,""))</f>
        <v/>
      </c>
      <c r="AG475" s="4" t="str">
        <f>IF(C475="","",COUNTIF($C$2:C475,C475))</f>
        <v/>
      </c>
      <c r="AH475" s="4" t="str">
        <f t="shared" si="115"/>
        <v/>
      </c>
      <c r="AI475" s="4" t="str">
        <f t="shared" si="116"/>
        <v/>
      </c>
      <c r="AJ475" s="4" t="str">
        <f t="shared" si="117"/>
        <v/>
      </c>
      <c r="AK475" s="15" t="str">
        <f>IF(A475="","",SUMIFS(分期缴税台账!$K$2:$K$501,分期缴税台账!$T$2:$T$501,A475,分期缴税台账!$Q$2:$Q$501,"有效"))</f>
        <v/>
      </c>
      <c r="AL475" s="15" t="str">
        <f t="shared" si="118"/>
        <v/>
      </c>
      <c r="AM475" s="4" t="str">
        <f t="shared" si="119"/>
        <v/>
      </c>
    </row>
    <row r="476" spans="1:39" x14ac:dyDescent="0.3">
      <c r="A476" s="9"/>
      <c r="B476" s="4" t="str">
        <f t="shared" si="105"/>
        <v/>
      </c>
      <c r="C476" s="9"/>
      <c r="D476" s="9"/>
      <c r="E476" s="9"/>
      <c r="F476" s="9"/>
      <c r="G476" s="13"/>
      <c r="H476" s="4" t="str">
        <f t="shared" si="106"/>
        <v/>
      </c>
      <c r="I476" s="9"/>
      <c r="J476" s="14"/>
      <c r="K476" s="15" t="str">
        <f>IF(OR(E476="",F476="",G476=""),"",IF(E476&lt;&gt;计划参数!$C$2,"",IF(F476="股票期权",IFERROR(LOOKUP(G476,计划参数!$D$12:$D$15,计划参数!$C$12:$C$15),""),IF(F476="限制性股票",计划参数!$C$10,""))))</f>
        <v/>
      </c>
      <c r="L476" s="15" t="str">
        <f>IF(AND(E476=计划参数!$C$2,F476="限制性股票",G476&gt;=计划参数!$D$9),计划参数!$C$9,"")</f>
        <v/>
      </c>
      <c r="M476" s="9"/>
      <c r="N476" s="14"/>
      <c r="O476" s="14"/>
      <c r="P476" s="13"/>
      <c r="Q476" s="9"/>
      <c r="R476" s="13"/>
      <c r="S476" s="15" t="str">
        <f t="shared" si="107"/>
        <v/>
      </c>
      <c r="T476" s="15" t="str">
        <f t="shared" si="108"/>
        <v/>
      </c>
      <c r="U476" s="15" t="str">
        <f t="shared" si="109"/>
        <v/>
      </c>
      <c r="V476" s="15" t="str">
        <f t="shared" si="110"/>
        <v/>
      </c>
      <c r="W476" s="16" t="str">
        <f>IF(V476="","",VLOOKUP(V476,税率及规则!$A$2:$C$8,2,TRUE))</f>
        <v/>
      </c>
      <c r="X476" s="15" t="str">
        <f>IF(V476="","",VLOOKUP(V476,税率及规则!$A$2:$C$8,3,TRUE))</f>
        <v/>
      </c>
      <c r="Y476" s="15" t="str">
        <f t="shared" si="111"/>
        <v/>
      </c>
      <c r="Z476" s="15" t="str">
        <f>IF(U476="","",MAX(0,U476*VLOOKUP(U476,税率及规则!$A$2:$C$8,2,TRUE)-VLOOKUP(U476,税率及规则!$A$2:$C$8,3,TRUE)))</f>
        <v/>
      </c>
      <c r="AA476" s="15" t="str">
        <f t="shared" si="112"/>
        <v/>
      </c>
      <c r="AB476" s="17" t="str">
        <f t="shared" si="113"/>
        <v/>
      </c>
      <c r="AC476" s="17" t="str">
        <f t="shared" si="114"/>
        <v/>
      </c>
      <c r="AD476" s="4" t="str">
        <f>IF(A476="","",IF(COUNTIF($A$2:$A$501,A476)&gt;1,"异常：事件编号重复",IF(OR(C476="",D476="",E476="",F476="",G476=""),"异常：必填项缺失",IF(AND(F476="其他股权激励",O476=""),"异常：其他股权激励所得缺失",IF(AND(F476&lt;&gt;"其他股权激励",OR(I476="",J476="")),"异常：数量或市场价缺失",IF(AND(F476&lt;&gt;"其他股权激励",OR(I476&lt;=0,J476&lt;0)),"异常：数量或价格无效",IF(AND(F476="限制性股票",OR(M476&lt;=0,N476&lt;0,I476&gt;M476)),"异常：个人获授或出资数据无效",IF(AND(IFERROR(INDEX(计划参数!$J$2:$J$501,MATCH(C476,计划参数!$I$2:$I$501,0)),"")&lt;&gt;"",D476&lt;&gt;IFERROR(INDEX(计划参数!$J$2:$J$501,MATCH(C476,计划参数!$I$2:$I$501,0)),"")),"异常：姓名与员工主数据不一致",IF(S476&lt;0,"异常：原始所得为负，已按0计税",IF(OR(AND(F476="股票期权",K476=""),AND(F476="限制性股票",OR(K476="",L476=""))),"异常：计划参数缺失",IF(COUNTIF(计划参数!$I$2:$I$501,C476)=0,"提示：员工编号未在主数据",IF(Q476&lt;&gt;"已备案","提示：未确认备案","正常"))))))))))))</f>
        <v/>
      </c>
      <c r="AE476" s="9"/>
      <c r="AF476" s="4" t="str">
        <f>IF(C476="","",IF(COUNTIF($C$2:C476,C476)=1,MAX($AF$1:AF475)+1,""))</f>
        <v/>
      </c>
      <c r="AG476" s="4" t="str">
        <f>IF(C476="","",COUNTIF($C$2:C476,C476))</f>
        <v/>
      </c>
      <c r="AH476" s="4" t="str">
        <f t="shared" si="115"/>
        <v/>
      </c>
      <c r="AI476" s="4" t="str">
        <f t="shared" si="116"/>
        <v/>
      </c>
      <c r="AJ476" s="4" t="str">
        <f t="shared" si="117"/>
        <v/>
      </c>
      <c r="AK476" s="15" t="str">
        <f>IF(A476="","",SUMIFS(分期缴税台账!$K$2:$K$501,分期缴税台账!$T$2:$T$501,A476,分期缴税台账!$Q$2:$Q$501,"有效"))</f>
        <v/>
      </c>
      <c r="AL476" s="15" t="str">
        <f t="shared" si="118"/>
        <v/>
      </c>
      <c r="AM476" s="4" t="str">
        <f t="shared" si="119"/>
        <v/>
      </c>
    </row>
    <row r="477" spans="1:39" x14ac:dyDescent="0.3">
      <c r="A477" s="9"/>
      <c r="B477" s="4" t="str">
        <f t="shared" si="105"/>
        <v/>
      </c>
      <c r="C477" s="9"/>
      <c r="D477" s="9"/>
      <c r="E477" s="9"/>
      <c r="F477" s="9"/>
      <c r="G477" s="13"/>
      <c r="H477" s="4" t="str">
        <f t="shared" si="106"/>
        <v/>
      </c>
      <c r="I477" s="9"/>
      <c r="J477" s="14"/>
      <c r="K477" s="15" t="str">
        <f>IF(OR(E477="",F477="",G477=""),"",IF(E477&lt;&gt;计划参数!$C$2,"",IF(F477="股票期权",IFERROR(LOOKUP(G477,计划参数!$D$12:$D$15,计划参数!$C$12:$C$15),""),IF(F477="限制性股票",计划参数!$C$10,""))))</f>
        <v/>
      </c>
      <c r="L477" s="15" t="str">
        <f>IF(AND(E477=计划参数!$C$2,F477="限制性股票",G477&gt;=计划参数!$D$9),计划参数!$C$9,"")</f>
        <v/>
      </c>
      <c r="M477" s="9"/>
      <c r="N477" s="14"/>
      <c r="O477" s="14"/>
      <c r="P477" s="13"/>
      <c r="Q477" s="9"/>
      <c r="R477" s="13"/>
      <c r="S477" s="15" t="str">
        <f t="shared" si="107"/>
        <v/>
      </c>
      <c r="T477" s="15" t="str">
        <f t="shared" si="108"/>
        <v/>
      </c>
      <c r="U477" s="15" t="str">
        <f t="shared" si="109"/>
        <v/>
      </c>
      <c r="V477" s="15" t="str">
        <f t="shared" si="110"/>
        <v/>
      </c>
      <c r="W477" s="16" t="str">
        <f>IF(V477="","",VLOOKUP(V477,税率及规则!$A$2:$C$8,2,TRUE))</f>
        <v/>
      </c>
      <c r="X477" s="15" t="str">
        <f>IF(V477="","",VLOOKUP(V477,税率及规则!$A$2:$C$8,3,TRUE))</f>
        <v/>
      </c>
      <c r="Y477" s="15" t="str">
        <f t="shared" si="111"/>
        <v/>
      </c>
      <c r="Z477" s="15" t="str">
        <f>IF(U477="","",MAX(0,U477*VLOOKUP(U477,税率及规则!$A$2:$C$8,2,TRUE)-VLOOKUP(U477,税率及规则!$A$2:$C$8,3,TRUE)))</f>
        <v/>
      </c>
      <c r="AA477" s="15" t="str">
        <f t="shared" si="112"/>
        <v/>
      </c>
      <c r="AB477" s="17" t="str">
        <f t="shared" si="113"/>
        <v/>
      </c>
      <c r="AC477" s="17" t="str">
        <f t="shared" si="114"/>
        <v/>
      </c>
      <c r="AD477" s="4" t="str">
        <f>IF(A477="","",IF(COUNTIF($A$2:$A$501,A477)&gt;1,"异常：事件编号重复",IF(OR(C477="",D477="",E477="",F477="",G477=""),"异常：必填项缺失",IF(AND(F477="其他股权激励",O477=""),"异常：其他股权激励所得缺失",IF(AND(F477&lt;&gt;"其他股权激励",OR(I477="",J477="")),"异常：数量或市场价缺失",IF(AND(F477&lt;&gt;"其他股权激励",OR(I477&lt;=0,J477&lt;0)),"异常：数量或价格无效",IF(AND(F477="限制性股票",OR(M477&lt;=0,N477&lt;0,I477&gt;M477)),"异常：个人获授或出资数据无效",IF(AND(IFERROR(INDEX(计划参数!$J$2:$J$501,MATCH(C477,计划参数!$I$2:$I$501,0)),"")&lt;&gt;"",D477&lt;&gt;IFERROR(INDEX(计划参数!$J$2:$J$501,MATCH(C477,计划参数!$I$2:$I$501,0)),"")),"异常：姓名与员工主数据不一致",IF(S477&lt;0,"异常：原始所得为负，已按0计税",IF(OR(AND(F477="股票期权",K477=""),AND(F477="限制性股票",OR(K477="",L477=""))),"异常：计划参数缺失",IF(COUNTIF(计划参数!$I$2:$I$501,C477)=0,"提示：员工编号未在主数据",IF(Q477&lt;&gt;"已备案","提示：未确认备案","正常"))))))))))))</f>
        <v/>
      </c>
      <c r="AE477" s="9"/>
      <c r="AF477" s="4" t="str">
        <f>IF(C477="","",IF(COUNTIF($C$2:C477,C477)=1,MAX($AF$1:AF476)+1,""))</f>
        <v/>
      </c>
      <c r="AG477" s="4" t="str">
        <f>IF(C477="","",COUNTIF($C$2:C477,C477))</f>
        <v/>
      </c>
      <c r="AH477" s="4" t="str">
        <f t="shared" si="115"/>
        <v/>
      </c>
      <c r="AI477" s="4" t="str">
        <f t="shared" si="116"/>
        <v/>
      </c>
      <c r="AJ477" s="4" t="str">
        <f t="shared" si="117"/>
        <v/>
      </c>
      <c r="AK477" s="15" t="str">
        <f>IF(A477="","",SUMIFS(分期缴税台账!$K$2:$K$501,分期缴税台账!$T$2:$T$501,A477,分期缴税台账!$Q$2:$Q$501,"有效"))</f>
        <v/>
      </c>
      <c r="AL477" s="15" t="str">
        <f t="shared" si="118"/>
        <v/>
      </c>
      <c r="AM477" s="4" t="str">
        <f t="shared" si="119"/>
        <v/>
      </c>
    </row>
    <row r="478" spans="1:39" x14ac:dyDescent="0.3">
      <c r="A478" s="9"/>
      <c r="B478" s="4" t="str">
        <f t="shared" si="105"/>
        <v/>
      </c>
      <c r="C478" s="9"/>
      <c r="D478" s="9"/>
      <c r="E478" s="9"/>
      <c r="F478" s="9"/>
      <c r="G478" s="13"/>
      <c r="H478" s="4" t="str">
        <f t="shared" si="106"/>
        <v/>
      </c>
      <c r="I478" s="9"/>
      <c r="J478" s="14"/>
      <c r="K478" s="15" t="str">
        <f>IF(OR(E478="",F478="",G478=""),"",IF(E478&lt;&gt;计划参数!$C$2,"",IF(F478="股票期权",IFERROR(LOOKUP(G478,计划参数!$D$12:$D$15,计划参数!$C$12:$C$15),""),IF(F478="限制性股票",计划参数!$C$10,""))))</f>
        <v/>
      </c>
      <c r="L478" s="15" t="str">
        <f>IF(AND(E478=计划参数!$C$2,F478="限制性股票",G478&gt;=计划参数!$D$9),计划参数!$C$9,"")</f>
        <v/>
      </c>
      <c r="M478" s="9"/>
      <c r="N478" s="14"/>
      <c r="O478" s="14"/>
      <c r="P478" s="13"/>
      <c r="Q478" s="9"/>
      <c r="R478" s="13"/>
      <c r="S478" s="15" t="str">
        <f t="shared" si="107"/>
        <v/>
      </c>
      <c r="T478" s="15" t="str">
        <f t="shared" si="108"/>
        <v/>
      </c>
      <c r="U478" s="15" t="str">
        <f t="shared" si="109"/>
        <v/>
      </c>
      <c r="V478" s="15" t="str">
        <f t="shared" si="110"/>
        <v/>
      </c>
      <c r="W478" s="16" t="str">
        <f>IF(V478="","",VLOOKUP(V478,税率及规则!$A$2:$C$8,2,TRUE))</f>
        <v/>
      </c>
      <c r="X478" s="15" t="str">
        <f>IF(V478="","",VLOOKUP(V478,税率及规则!$A$2:$C$8,3,TRUE))</f>
        <v/>
      </c>
      <c r="Y478" s="15" t="str">
        <f t="shared" si="111"/>
        <v/>
      </c>
      <c r="Z478" s="15" t="str">
        <f>IF(U478="","",MAX(0,U478*VLOOKUP(U478,税率及规则!$A$2:$C$8,2,TRUE)-VLOOKUP(U478,税率及规则!$A$2:$C$8,3,TRUE)))</f>
        <v/>
      </c>
      <c r="AA478" s="15" t="str">
        <f t="shared" si="112"/>
        <v/>
      </c>
      <c r="AB478" s="17" t="str">
        <f t="shared" si="113"/>
        <v/>
      </c>
      <c r="AC478" s="17" t="str">
        <f t="shared" si="114"/>
        <v/>
      </c>
      <c r="AD478" s="4" t="str">
        <f>IF(A478="","",IF(COUNTIF($A$2:$A$501,A478)&gt;1,"异常：事件编号重复",IF(OR(C478="",D478="",E478="",F478="",G478=""),"异常：必填项缺失",IF(AND(F478="其他股权激励",O478=""),"异常：其他股权激励所得缺失",IF(AND(F478&lt;&gt;"其他股权激励",OR(I478="",J478="")),"异常：数量或市场价缺失",IF(AND(F478&lt;&gt;"其他股权激励",OR(I478&lt;=0,J478&lt;0)),"异常：数量或价格无效",IF(AND(F478="限制性股票",OR(M478&lt;=0,N478&lt;0,I478&gt;M478)),"异常：个人获授或出资数据无效",IF(AND(IFERROR(INDEX(计划参数!$J$2:$J$501,MATCH(C478,计划参数!$I$2:$I$501,0)),"")&lt;&gt;"",D478&lt;&gt;IFERROR(INDEX(计划参数!$J$2:$J$501,MATCH(C478,计划参数!$I$2:$I$501,0)),"")),"异常：姓名与员工主数据不一致",IF(S478&lt;0,"异常：原始所得为负，已按0计税",IF(OR(AND(F478="股票期权",K478=""),AND(F478="限制性股票",OR(K478="",L478=""))),"异常：计划参数缺失",IF(COUNTIF(计划参数!$I$2:$I$501,C478)=0,"提示：员工编号未在主数据",IF(Q478&lt;&gt;"已备案","提示：未确认备案","正常"))))))))))))</f>
        <v/>
      </c>
      <c r="AE478" s="9"/>
      <c r="AF478" s="4" t="str">
        <f>IF(C478="","",IF(COUNTIF($C$2:C478,C478)=1,MAX($AF$1:AF477)+1,""))</f>
        <v/>
      </c>
      <c r="AG478" s="4" t="str">
        <f>IF(C478="","",COUNTIF($C$2:C478,C478))</f>
        <v/>
      </c>
      <c r="AH478" s="4" t="str">
        <f t="shared" si="115"/>
        <v/>
      </c>
      <c r="AI478" s="4" t="str">
        <f t="shared" si="116"/>
        <v/>
      </c>
      <c r="AJ478" s="4" t="str">
        <f t="shared" si="117"/>
        <v/>
      </c>
      <c r="AK478" s="15" t="str">
        <f>IF(A478="","",SUMIFS(分期缴税台账!$K$2:$K$501,分期缴税台账!$T$2:$T$501,A478,分期缴税台账!$Q$2:$Q$501,"有效"))</f>
        <v/>
      </c>
      <c r="AL478" s="15" t="str">
        <f t="shared" si="118"/>
        <v/>
      </c>
      <c r="AM478" s="4" t="str">
        <f t="shared" si="119"/>
        <v/>
      </c>
    </row>
    <row r="479" spans="1:39" x14ac:dyDescent="0.3">
      <c r="A479" s="9"/>
      <c r="B479" s="4" t="str">
        <f t="shared" si="105"/>
        <v/>
      </c>
      <c r="C479" s="9"/>
      <c r="D479" s="9"/>
      <c r="E479" s="9"/>
      <c r="F479" s="9"/>
      <c r="G479" s="13"/>
      <c r="H479" s="4" t="str">
        <f t="shared" si="106"/>
        <v/>
      </c>
      <c r="I479" s="9"/>
      <c r="J479" s="14"/>
      <c r="K479" s="15" t="str">
        <f>IF(OR(E479="",F479="",G479=""),"",IF(E479&lt;&gt;计划参数!$C$2,"",IF(F479="股票期权",IFERROR(LOOKUP(G479,计划参数!$D$12:$D$15,计划参数!$C$12:$C$15),""),IF(F479="限制性股票",计划参数!$C$10,""))))</f>
        <v/>
      </c>
      <c r="L479" s="15" t="str">
        <f>IF(AND(E479=计划参数!$C$2,F479="限制性股票",G479&gt;=计划参数!$D$9),计划参数!$C$9,"")</f>
        <v/>
      </c>
      <c r="M479" s="9"/>
      <c r="N479" s="14"/>
      <c r="O479" s="14"/>
      <c r="P479" s="13"/>
      <c r="Q479" s="9"/>
      <c r="R479" s="13"/>
      <c r="S479" s="15" t="str">
        <f t="shared" si="107"/>
        <v/>
      </c>
      <c r="T479" s="15" t="str">
        <f t="shared" si="108"/>
        <v/>
      </c>
      <c r="U479" s="15" t="str">
        <f t="shared" si="109"/>
        <v/>
      </c>
      <c r="V479" s="15" t="str">
        <f t="shared" si="110"/>
        <v/>
      </c>
      <c r="W479" s="16" t="str">
        <f>IF(V479="","",VLOOKUP(V479,税率及规则!$A$2:$C$8,2,TRUE))</f>
        <v/>
      </c>
      <c r="X479" s="15" t="str">
        <f>IF(V479="","",VLOOKUP(V479,税率及规则!$A$2:$C$8,3,TRUE))</f>
        <v/>
      </c>
      <c r="Y479" s="15" t="str">
        <f t="shared" si="111"/>
        <v/>
      </c>
      <c r="Z479" s="15" t="str">
        <f>IF(U479="","",MAX(0,U479*VLOOKUP(U479,税率及规则!$A$2:$C$8,2,TRUE)-VLOOKUP(U479,税率及规则!$A$2:$C$8,3,TRUE)))</f>
        <v/>
      </c>
      <c r="AA479" s="15" t="str">
        <f t="shared" si="112"/>
        <v/>
      </c>
      <c r="AB479" s="17" t="str">
        <f t="shared" si="113"/>
        <v/>
      </c>
      <c r="AC479" s="17" t="str">
        <f t="shared" si="114"/>
        <v/>
      </c>
      <c r="AD479" s="4" t="str">
        <f>IF(A479="","",IF(COUNTIF($A$2:$A$501,A479)&gt;1,"异常：事件编号重复",IF(OR(C479="",D479="",E479="",F479="",G479=""),"异常：必填项缺失",IF(AND(F479="其他股权激励",O479=""),"异常：其他股权激励所得缺失",IF(AND(F479&lt;&gt;"其他股权激励",OR(I479="",J479="")),"异常：数量或市场价缺失",IF(AND(F479&lt;&gt;"其他股权激励",OR(I479&lt;=0,J479&lt;0)),"异常：数量或价格无效",IF(AND(F479="限制性股票",OR(M479&lt;=0,N479&lt;0,I479&gt;M479)),"异常：个人获授或出资数据无效",IF(AND(IFERROR(INDEX(计划参数!$J$2:$J$501,MATCH(C479,计划参数!$I$2:$I$501,0)),"")&lt;&gt;"",D479&lt;&gt;IFERROR(INDEX(计划参数!$J$2:$J$501,MATCH(C479,计划参数!$I$2:$I$501,0)),"")),"异常：姓名与员工主数据不一致",IF(S479&lt;0,"异常：原始所得为负，已按0计税",IF(OR(AND(F479="股票期权",K479=""),AND(F479="限制性股票",OR(K479="",L479=""))),"异常：计划参数缺失",IF(COUNTIF(计划参数!$I$2:$I$501,C479)=0,"提示：员工编号未在主数据",IF(Q479&lt;&gt;"已备案","提示：未确认备案","正常"))))))))))))</f>
        <v/>
      </c>
      <c r="AE479" s="9"/>
      <c r="AF479" s="4" t="str">
        <f>IF(C479="","",IF(COUNTIF($C$2:C479,C479)=1,MAX($AF$1:AF478)+1,""))</f>
        <v/>
      </c>
      <c r="AG479" s="4" t="str">
        <f>IF(C479="","",COUNTIF($C$2:C479,C479))</f>
        <v/>
      </c>
      <c r="AH479" s="4" t="str">
        <f t="shared" si="115"/>
        <v/>
      </c>
      <c r="AI479" s="4" t="str">
        <f t="shared" si="116"/>
        <v/>
      </c>
      <c r="AJ479" s="4" t="str">
        <f t="shared" si="117"/>
        <v/>
      </c>
      <c r="AK479" s="15" t="str">
        <f>IF(A479="","",SUMIFS(分期缴税台账!$K$2:$K$501,分期缴税台账!$T$2:$T$501,A479,分期缴税台账!$Q$2:$Q$501,"有效"))</f>
        <v/>
      </c>
      <c r="AL479" s="15" t="str">
        <f t="shared" si="118"/>
        <v/>
      </c>
      <c r="AM479" s="4" t="str">
        <f t="shared" si="119"/>
        <v/>
      </c>
    </row>
    <row r="480" spans="1:39" x14ac:dyDescent="0.3">
      <c r="A480" s="9"/>
      <c r="B480" s="4" t="str">
        <f t="shared" si="105"/>
        <v/>
      </c>
      <c r="C480" s="9"/>
      <c r="D480" s="9"/>
      <c r="E480" s="9"/>
      <c r="F480" s="9"/>
      <c r="G480" s="13"/>
      <c r="H480" s="4" t="str">
        <f t="shared" si="106"/>
        <v/>
      </c>
      <c r="I480" s="9"/>
      <c r="J480" s="14"/>
      <c r="K480" s="15" t="str">
        <f>IF(OR(E480="",F480="",G480=""),"",IF(E480&lt;&gt;计划参数!$C$2,"",IF(F480="股票期权",IFERROR(LOOKUP(G480,计划参数!$D$12:$D$15,计划参数!$C$12:$C$15),""),IF(F480="限制性股票",计划参数!$C$10,""))))</f>
        <v/>
      </c>
      <c r="L480" s="15" t="str">
        <f>IF(AND(E480=计划参数!$C$2,F480="限制性股票",G480&gt;=计划参数!$D$9),计划参数!$C$9,"")</f>
        <v/>
      </c>
      <c r="M480" s="9"/>
      <c r="N480" s="14"/>
      <c r="O480" s="14"/>
      <c r="P480" s="13"/>
      <c r="Q480" s="9"/>
      <c r="R480" s="13"/>
      <c r="S480" s="15" t="str">
        <f t="shared" si="107"/>
        <v/>
      </c>
      <c r="T480" s="15" t="str">
        <f t="shared" si="108"/>
        <v/>
      </c>
      <c r="U480" s="15" t="str">
        <f t="shared" si="109"/>
        <v/>
      </c>
      <c r="V480" s="15" t="str">
        <f t="shared" si="110"/>
        <v/>
      </c>
      <c r="W480" s="16" t="str">
        <f>IF(V480="","",VLOOKUP(V480,税率及规则!$A$2:$C$8,2,TRUE))</f>
        <v/>
      </c>
      <c r="X480" s="15" t="str">
        <f>IF(V480="","",VLOOKUP(V480,税率及规则!$A$2:$C$8,3,TRUE))</f>
        <v/>
      </c>
      <c r="Y480" s="15" t="str">
        <f t="shared" si="111"/>
        <v/>
      </c>
      <c r="Z480" s="15" t="str">
        <f>IF(U480="","",MAX(0,U480*VLOOKUP(U480,税率及规则!$A$2:$C$8,2,TRUE)-VLOOKUP(U480,税率及规则!$A$2:$C$8,3,TRUE)))</f>
        <v/>
      </c>
      <c r="AA480" s="15" t="str">
        <f t="shared" si="112"/>
        <v/>
      </c>
      <c r="AB480" s="17" t="str">
        <f t="shared" si="113"/>
        <v/>
      </c>
      <c r="AC480" s="17" t="str">
        <f t="shared" si="114"/>
        <v/>
      </c>
      <c r="AD480" s="4" t="str">
        <f>IF(A480="","",IF(COUNTIF($A$2:$A$501,A480)&gt;1,"异常：事件编号重复",IF(OR(C480="",D480="",E480="",F480="",G480=""),"异常：必填项缺失",IF(AND(F480="其他股权激励",O480=""),"异常：其他股权激励所得缺失",IF(AND(F480&lt;&gt;"其他股权激励",OR(I480="",J480="")),"异常：数量或市场价缺失",IF(AND(F480&lt;&gt;"其他股权激励",OR(I480&lt;=0,J480&lt;0)),"异常：数量或价格无效",IF(AND(F480="限制性股票",OR(M480&lt;=0,N480&lt;0,I480&gt;M480)),"异常：个人获授或出资数据无效",IF(AND(IFERROR(INDEX(计划参数!$J$2:$J$501,MATCH(C480,计划参数!$I$2:$I$501,0)),"")&lt;&gt;"",D480&lt;&gt;IFERROR(INDEX(计划参数!$J$2:$J$501,MATCH(C480,计划参数!$I$2:$I$501,0)),"")),"异常：姓名与员工主数据不一致",IF(S480&lt;0,"异常：原始所得为负，已按0计税",IF(OR(AND(F480="股票期权",K480=""),AND(F480="限制性股票",OR(K480="",L480=""))),"异常：计划参数缺失",IF(COUNTIF(计划参数!$I$2:$I$501,C480)=0,"提示：员工编号未在主数据",IF(Q480&lt;&gt;"已备案","提示：未确认备案","正常"))))))))))))</f>
        <v/>
      </c>
      <c r="AE480" s="9"/>
      <c r="AF480" s="4" t="str">
        <f>IF(C480="","",IF(COUNTIF($C$2:C480,C480)=1,MAX($AF$1:AF479)+1,""))</f>
        <v/>
      </c>
      <c r="AG480" s="4" t="str">
        <f>IF(C480="","",COUNTIF($C$2:C480,C480))</f>
        <v/>
      </c>
      <c r="AH480" s="4" t="str">
        <f t="shared" si="115"/>
        <v/>
      </c>
      <c r="AI480" s="4" t="str">
        <f t="shared" si="116"/>
        <v/>
      </c>
      <c r="AJ480" s="4" t="str">
        <f t="shared" si="117"/>
        <v/>
      </c>
      <c r="AK480" s="15" t="str">
        <f>IF(A480="","",SUMIFS(分期缴税台账!$K$2:$K$501,分期缴税台账!$T$2:$T$501,A480,分期缴税台账!$Q$2:$Q$501,"有效"))</f>
        <v/>
      </c>
      <c r="AL480" s="15" t="str">
        <f t="shared" si="118"/>
        <v/>
      </c>
      <c r="AM480" s="4" t="str">
        <f t="shared" si="119"/>
        <v/>
      </c>
    </row>
    <row r="481" spans="1:39" x14ac:dyDescent="0.3">
      <c r="A481" s="9"/>
      <c r="B481" s="4" t="str">
        <f t="shared" si="105"/>
        <v/>
      </c>
      <c r="C481" s="9"/>
      <c r="D481" s="9"/>
      <c r="E481" s="9"/>
      <c r="F481" s="9"/>
      <c r="G481" s="13"/>
      <c r="H481" s="4" t="str">
        <f t="shared" si="106"/>
        <v/>
      </c>
      <c r="I481" s="9"/>
      <c r="J481" s="14"/>
      <c r="K481" s="15" t="str">
        <f>IF(OR(E481="",F481="",G481=""),"",IF(E481&lt;&gt;计划参数!$C$2,"",IF(F481="股票期权",IFERROR(LOOKUP(G481,计划参数!$D$12:$D$15,计划参数!$C$12:$C$15),""),IF(F481="限制性股票",计划参数!$C$10,""))))</f>
        <v/>
      </c>
      <c r="L481" s="15" t="str">
        <f>IF(AND(E481=计划参数!$C$2,F481="限制性股票",G481&gt;=计划参数!$D$9),计划参数!$C$9,"")</f>
        <v/>
      </c>
      <c r="M481" s="9"/>
      <c r="N481" s="14"/>
      <c r="O481" s="14"/>
      <c r="P481" s="13"/>
      <c r="Q481" s="9"/>
      <c r="R481" s="13"/>
      <c r="S481" s="15" t="str">
        <f t="shared" si="107"/>
        <v/>
      </c>
      <c r="T481" s="15" t="str">
        <f t="shared" si="108"/>
        <v/>
      </c>
      <c r="U481" s="15" t="str">
        <f t="shared" si="109"/>
        <v/>
      </c>
      <c r="V481" s="15" t="str">
        <f t="shared" si="110"/>
        <v/>
      </c>
      <c r="W481" s="16" t="str">
        <f>IF(V481="","",VLOOKUP(V481,税率及规则!$A$2:$C$8,2,TRUE))</f>
        <v/>
      </c>
      <c r="X481" s="15" t="str">
        <f>IF(V481="","",VLOOKUP(V481,税率及规则!$A$2:$C$8,3,TRUE))</f>
        <v/>
      </c>
      <c r="Y481" s="15" t="str">
        <f t="shared" si="111"/>
        <v/>
      </c>
      <c r="Z481" s="15" t="str">
        <f>IF(U481="","",MAX(0,U481*VLOOKUP(U481,税率及规则!$A$2:$C$8,2,TRUE)-VLOOKUP(U481,税率及规则!$A$2:$C$8,3,TRUE)))</f>
        <v/>
      </c>
      <c r="AA481" s="15" t="str">
        <f t="shared" si="112"/>
        <v/>
      </c>
      <c r="AB481" s="17" t="str">
        <f t="shared" si="113"/>
        <v/>
      </c>
      <c r="AC481" s="17" t="str">
        <f t="shared" si="114"/>
        <v/>
      </c>
      <c r="AD481" s="4" t="str">
        <f>IF(A481="","",IF(COUNTIF($A$2:$A$501,A481)&gt;1,"异常：事件编号重复",IF(OR(C481="",D481="",E481="",F481="",G481=""),"异常：必填项缺失",IF(AND(F481="其他股权激励",O481=""),"异常：其他股权激励所得缺失",IF(AND(F481&lt;&gt;"其他股权激励",OR(I481="",J481="")),"异常：数量或市场价缺失",IF(AND(F481&lt;&gt;"其他股权激励",OR(I481&lt;=0,J481&lt;0)),"异常：数量或价格无效",IF(AND(F481="限制性股票",OR(M481&lt;=0,N481&lt;0,I481&gt;M481)),"异常：个人获授或出资数据无效",IF(AND(IFERROR(INDEX(计划参数!$J$2:$J$501,MATCH(C481,计划参数!$I$2:$I$501,0)),"")&lt;&gt;"",D481&lt;&gt;IFERROR(INDEX(计划参数!$J$2:$J$501,MATCH(C481,计划参数!$I$2:$I$501,0)),"")),"异常：姓名与员工主数据不一致",IF(S481&lt;0,"异常：原始所得为负，已按0计税",IF(OR(AND(F481="股票期权",K481=""),AND(F481="限制性股票",OR(K481="",L481=""))),"异常：计划参数缺失",IF(COUNTIF(计划参数!$I$2:$I$501,C481)=0,"提示：员工编号未在主数据",IF(Q481&lt;&gt;"已备案","提示：未确认备案","正常"))))))))))))</f>
        <v/>
      </c>
      <c r="AE481" s="9"/>
      <c r="AF481" s="4" t="str">
        <f>IF(C481="","",IF(COUNTIF($C$2:C481,C481)=1,MAX($AF$1:AF480)+1,""))</f>
        <v/>
      </c>
      <c r="AG481" s="4" t="str">
        <f>IF(C481="","",COUNTIF($C$2:C481,C481))</f>
        <v/>
      </c>
      <c r="AH481" s="4" t="str">
        <f t="shared" si="115"/>
        <v/>
      </c>
      <c r="AI481" s="4" t="str">
        <f t="shared" si="116"/>
        <v/>
      </c>
      <c r="AJ481" s="4" t="str">
        <f t="shared" si="117"/>
        <v/>
      </c>
      <c r="AK481" s="15" t="str">
        <f>IF(A481="","",SUMIFS(分期缴税台账!$K$2:$K$501,分期缴税台账!$T$2:$T$501,A481,分期缴税台账!$Q$2:$Q$501,"有效"))</f>
        <v/>
      </c>
      <c r="AL481" s="15" t="str">
        <f t="shared" si="118"/>
        <v/>
      </c>
      <c r="AM481" s="4" t="str">
        <f t="shared" si="119"/>
        <v/>
      </c>
    </row>
    <row r="482" spans="1:39" x14ac:dyDescent="0.3">
      <c r="A482" s="9"/>
      <c r="B482" s="4" t="str">
        <f t="shared" si="105"/>
        <v/>
      </c>
      <c r="C482" s="9"/>
      <c r="D482" s="9"/>
      <c r="E482" s="9"/>
      <c r="F482" s="9"/>
      <c r="G482" s="13"/>
      <c r="H482" s="4" t="str">
        <f t="shared" si="106"/>
        <v/>
      </c>
      <c r="I482" s="9"/>
      <c r="J482" s="14"/>
      <c r="K482" s="15" t="str">
        <f>IF(OR(E482="",F482="",G482=""),"",IF(E482&lt;&gt;计划参数!$C$2,"",IF(F482="股票期权",IFERROR(LOOKUP(G482,计划参数!$D$12:$D$15,计划参数!$C$12:$C$15),""),IF(F482="限制性股票",计划参数!$C$10,""))))</f>
        <v/>
      </c>
      <c r="L482" s="15" t="str">
        <f>IF(AND(E482=计划参数!$C$2,F482="限制性股票",G482&gt;=计划参数!$D$9),计划参数!$C$9,"")</f>
        <v/>
      </c>
      <c r="M482" s="9"/>
      <c r="N482" s="14"/>
      <c r="O482" s="14"/>
      <c r="P482" s="13"/>
      <c r="Q482" s="9"/>
      <c r="R482" s="13"/>
      <c r="S482" s="15" t="str">
        <f t="shared" si="107"/>
        <v/>
      </c>
      <c r="T482" s="15" t="str">
        <f t="shared" si="108"/>
        <v/>
      </c>
      <c r="U482" s="15" t="str">
        <f t="shared" si="109"/>
        <v/>
      </c>
      <c r="V482" s="15" t="str">
        <f t="shared" si="110"/>
        <v/>
      </c>
      <c r="W482" s="16" t="str">
        <f>IF(V482="","",VLOOKUP(V482,税率及规则!$A$2:$C$8,2,TRUE))</f>
        <v/>
      </c>
      <c r="X482" s="15" t="str">
        <f>IF(V482="","",VLOOKUP(V482,税率及规则!$A$2:$C$8,3,TRUE))</f>
        <v/>
      </c>
      <c r="Y482" s="15" t="str">
        <f t="shared" si="111"/>
        <v/>
      </c>
      <c r="Z482" s="15" t="str">
        <f>IF(U482="","",MAX(0,U482*VLOOKUP(U482,税率及规则!$A$2:$C$8,2,TRUE)-VLOOKUP(U482,税率及规则!$A$2:$C$8,3,TRUE)))</f>
        <v/>
      </c>
      <c r="AA482" s="15" t="str">
        <f t="shared" si="112"/>
        <v/>
      </c>
      <c r="AB482" s="17" t="str">
        <f t="shared" si="113"/>
        <v/>
      </c>
      <c r="AC482" s="17" t="str">
        <f t="shared" si="114"/>
        <v/>
      </c>
      <c r="AD482" s="4" t="str">
        <f>IF(A482="","",IF(COUNTIF($A$2:$A$501,A482)&gt;1,"异常：事件编号重复",IF(OR(C482="",D482="",E482="",F482="",G482=""),"异常：必填项缺失",IF(AND(F482="其他股权激励",O482=""),"异常：其他股权激励所得缺失",IF(AND(F482&lt;&gt;"其他股权激励",OR(I482="",J482="")),"异常：数量或市场价缺失",IF(AND(F482&lt;&gt;"其他股权激励",OR(I482&lt;=0,J482&lt;0)),"异常：数量或价格无效",IF(AND(F482="限制性股票",OR(M482&lt;=0,N482&lt;0,I482&gt;M482)),"异常：个人获授或出资数据无效",IF(AND(IFERROR(INDEX(计划参数!$J$2:$J$501,MATCH(C482,计划参数!$I$2:$I$501,0)),"")&lt;&gt;"",D482&lt;&gt;IFERROR(INDEX(计划参数!$J$2:$J$501,MATCH(C482,计划参数!$I$2:$I$501,0)),"")),"异常：姓名与员工主数据不一致",IF(S482&lt;0,"异常：原始所得为负，已按0计税",IF(OR(AND(F482="股票期权",K482=""),AND(F482="限制性股票",OR(K482="",L482=""))),"异常：计划参数缺失",IF(COUNTIF(计划参数!$I$2:$I$501,C482)=0,"提示：员工编号未在主数据",IF(Q482&lt;&gt;"已备案","提示：未确认备案","正常"))))))))))))</f>
        <v/>
      </c>
      <c r="AE482" s="9"/>
      <c r="AF482" s="4" t="str">
        <f>IF(C482="","",IF(COUNTIF($C$2:C482,C482)=1,MAX($AF$1:AF481)+1,""))</f>
        <v/>
      </c>
      <c r="AG482" s="4" t="str">
        <f>IF(C482="","",COUNTIF($C$2:C482,C482))</f>
        <v/>
      </c>
      <c r="AH482" s="4" t="str">
        <f t="shared" si="115"/>
        <v/>
      </c>
      <c r="AI482" s="4" t="str">
        <f t="shared" si="116"/>
        <v/>
      </c>
      <c r="AJ482" s="4" t="str">
        <f t="shared" si="117"/>
        <v/>
      </c>
      <c r="AK482" s="15" t="str">
        <f>IF(A482="","",SUMIFS(分期缴税台账!$K$2:$K$501,分期缴税台账!$T$2:$T$501,A482,分期缴税台账!$Q$2:$Q$501,"有效"))</f>
        <v/>
      </c>
      <c r="AL482" s="15" t="str">
        <f t="shared" si="118"/>
        <v/>
      </c>
      <c r="AM482" s="4" t="str">
        <f t="shared" si="119"/>
        <v/>
      </c>
    </row>
    <row r="483" spans="1:39" x14ac:dyDescent="0.3">
      <c r="A483" s="9"/>
      <c r="B483" s="4" t="str">
        <f t="shared" si="105"/>
        <v/>
      </c>
      <c r="C483" s="9"/>
      <c r="D483" s="9"/>
      <c r="E483" s="9"/>
      <c r="F483" s="9"/>
      <c r="G483" s="13"/>
      <c r="H483" s="4" t="str">
        <f t="shared" si="106"/>
        <v/>
      </c>
      <c r="I483" s="9"/>
      <c r="J483" s="14"/>
      <c r="K483" s="15" t="str">
        <f>IF(OR(E483="",F483="",G483=""),"",IF(E483&lt;&gt;计划参数!$C$2,"",IF(F483="股票期权",IFERROR(LOOKUP(G483,计划参数!$D$12:$D$15,计划参数!$C$12:$C$15),""),IF(F483="限制性股票",计划参数!$C$10,""))))</f>
        <v/>
      </c>
      <c r="L483" s="15" t="str">
        <f>IF(AND(E483=计划参数!$C$2,F483="限制性股票",G483&gt;=计划参数!$D$9),计划参数!$C$9,"")</f>
        <v/>
      </c>
      <c r="M483" s="9"/>
      <c r="N483" s="14"/>
      <c r="O483" s="14"/>
      <c r="P483" s="13"/>
      <c r="Q483" s="9"/>
      <c r="R483" s="13"/>
      <c r="S483" s="15" t="str">
        <f t="shared" si="107"/>
        <v/>
      </c>
      <c r="T483" s="15" t="str">
        <f t="shared" si="108"/>
        <v/>
      </c>
      <c r="U483" s="15" t="str">
        <f t="shared" si="109"/>
        <v/>
      </c>
      <c r="V483" s="15" t="str">
        <f t="shared" si="110"/>
        <v/>
      </c>
      <c r="W483" s="16" t="str">
        <f>IF(V483="","",VLOOKUP(V483,税率及规则!$A$2:$C$8,2,TRUE))</f>
        <v/>
      </c>
      <c r="X483" s="15" t="str">
        <f>IF(V483="","",VLOOKUP(V483,税率及规则!$A$2:$C$8,3,TRUE))</f>
        <v/>
      </c>
      <c r="Y483" s="15" t="str">
        <f t="shared" si="111"/>
        <v/>
      </c>
      <c r="Z483" s="15" t="str">
        <f>IF(U483="","",MAX(0,U483*VLOOKUP(U483,税率及规则!$A$2:$C$8,2,TRUE)-VLOOKUP(U483,税率及规则!$A$2:$C$8,3,TRUE)))</f>
        <v/>
      </c>
      <c r="AA483" s="15" t="str">
        <f t="shared" si="112"/>
        <v/>
      </c>
      <c r="AB483" s="17" t="str">
        <f t="shared" si="113"/>
        <v/>
      </c>
      <c r="AC483" s="17" t="str">
        <f t="shared" si="114"/>
        <v/>
      </c>
      <c r="AD483" s="4" t="str">
        <f>IF(A483="","",IF(COUNTIF($A$2:$A$501,A483)&gt;1,"异常：事件编号重复",IF(OR(C483="",D483="",E483="",F483="",G483=""),"异常：必填项缺失",IF(AND(F483="其他股权激励",O483=""),"异常：其他股权激励所得缺失",IF(AND(F483&lt;&gt;"其他股权激励",OR(I483="",J483="")),"异常：数量或市场价缺失",IF(AND(F483&lt;&gt;"其他股权激励",OR(I483&lt;=0,J483&lt;0)),"异常：数量或价格无效",IF(AND(F483="限制性股票",OR(M483&lt;=0,N483&lt;0,I483&gt;M483)),"异常：个人获授或出资数据无效",IF(AND(IFERROR(INDEX(计划参数!$J$2:$J$501,MATCH(C483,计划参数!$I$2:$I$501,0)),"")&lt;&gt;"",D483&lt;&gt;IFERROR(INDEX(计划参数!$J$2:$J$501,MATCH(C483,计划参数!$I$2:$I$501,0)),"")),"异常：姓名与员工主数据不一致",IF(S483&lt;0,"异常：原始所得为负，已按0计税",IF(OR(AND(F483="股票期权",K483=""),AND(F483="限制性股票",OR(K483="",L483=""))),"异常：计划参数缺失",IF(COUNTIF(计划参数!$I$2:$I$501,C483)=0,"提示：员工编号未在主数据",IF(Q483&lt;&gt;"已备案","提示：未确认备案","正常"))))))))))))</f>
        <v/>
      </c>
      <c r="AE483" s="9"/>
      <c r="AF483" s="4" t="str">
        <f>IF(C483="","",IF(COUNTIF($C$2:C483,C483)=1,MAX($AF$1:AF482)+1,""))</f>
        <v/>
      </c>
      <c r="AG483" s="4" t="str">
        <f>IF(C483="","",COUNTIF($C$2:C483,C483))</f>
        <v/>
      </c>
      <c r="AH483" s="4" t="str">
        <f t="shared" si="115"/>
        <v/>
      </c>
      <c r="AI483" s="4" t="str">
        <f t="shared" si="116"/>
        <v/>
      </c>
      <c r="AJ483" s="4" t="str">
        <f t="shared" si="117"/>
        <v/>
      </c>
      <c r="AK483" s="15" t="str">
        <f>IF(A483="","",SUMIFS(分期缴税台账!$K$2:$K$501,分期缴税台账!$T$2:$T$501,A483,分期缴税台账!$Q$2:$Q$501,"有效"))</f>
        <v/>
      </c>
      <c r="AL483" s="15" t="str">
        <f t="shared" si="118"/>
        <v/>
      </c>
      <c r="AM483" s="4" t="str">
        <f t="shared" si="119"/>
        <v/>
      </c>
    </row>
    <row r="484" spans="1:39" x14ac:dyDescent="0.3">
      <c r="A484" s="9"/>
      <c r="B484" s="4" t="str">
        <f t="shared" si="105"/>
        <v/>
      </c>
      <c r="C484" s="9"/>
      <c r="D484" s="9"/>
      <c r="E484" s="9"/>
      <c r="F484" s="9"/>
      <c r="G484" s="13"/>
      <c r="H484" s="4" t="str">
        <f t="shared" si="106"/>
        <v/>
      </c>
      <c r="I484" s="9"/>
      <c r="J484" s="14"/>
      <c r="K484" s="15" t="str">
        <f>IF(OR(E484="",F484="",G484=""),"",IF(E484&lt;&gt;计划参数!$C$2,"",IF(F484="股票期权",IFERROR(LOOKUP(G484,计划参数!$D$12:$D$15,计划参数!$C$12:$C$15),""),IF(F484="限制性股票",计划参数!$C$10,""))))</f>
        <v/>
      </c>
      <c r="L484" s="15" t="str">
        <f>IF(AND(E484=计划参数!$C$2,F484="限制性股票",G484&gt;=计划参数!$D$9),计划参数!$C$9,"")</f>
        <v/>
      </c>
      <c r="M484" s="9"/>
      <c r="N484" s="14"/>
      <c r="O484" s="14"/>
      <c r="P484" s="13"/>
      <c r="Q484" s="9"/>
      <c r="R484" s="13"/>
      <c r="S484" s="15" t="str">
        <f t="shared" si="107"/>
        <v/>
      </c>
      <c r="T484" s="15" t="str">
        <f t="shared" si="108"/>
        <v/>
      </c>
      <c r="U484" s="15" t="str">
        <f t="shared" si="109"/>
        <v/>
      </c>
      <c r="V484" s="15" t="str">
        <f t="shared" si="110"/>
        <v/>
      </c>
      <c r="W484" s="16" t="str">
        <f>IF(V484="","",VLOOKUP(V484,税率及规则!$A$2:$C$8,2,TRUE))</f>
        <v/>
      </c>
      <c r="X484" s="15" t="str">
        <f>IF(V484="","",VLOOKUP(V484,税率及规则!$A$2:$C$8,3,TRUE))</f>
        <v/>
      </c>
      <c r="Y484" s="15" t="str">
        <f t="shared" si="111"/>
        <v/>
      </c>
      <c r="Z484" s="15" t="str">
        <f>IF(U484="","",MAX(0,U484*VLOOKUP(U484,税率及规则!$A$2:$C$8,2,TRUE)-VLOOKUP(U484,税率及规则!$A$2:$C$8,3,TRUE)))</f>
        <v/>
      </c>
      <c r="AA484" s="15" t="str">
        <f t="shared" si="112"/>
        <v/>
      </c>
      <c r="AB484" s="17" t="str">
        <f t="shared" si="113"/>
        <v/>
      </c>
      <c r="AC484" s="17" t="str">
        <f t="shared" si="114"/>
        <v/>
      </c>
      <c r="AD484" s="4" t="str">
        <f>IF(A484="","",IF(COUNTIF($A$2:$A$501,A484)&gt;1,"异常：事件编号重复",IF(OR(C484="",D484="",E484="",F484="",G484=""),"异常：必填项缺失",IF(AND(F484="其他股权激励",O484=""),"异常：其他股权激励所得缺失",IF(AND(F484&lt;&gt;"其他股权激励",OR(I484="",J484="")),"异常：数量或市场价缺失",IF(AND(F484&lt;&gt;"其他股权激励",OR(I484&lt;=0,J484&lt;0)),"异常：数量或价格无效",IF(AND(F484="限制性股票",OR(M484&lt;=0,N484&lt;0,I484&gt;M484)),"异常：个人获授或出资数据无效",IF(AND(IFERROR(INDEX(计划参数!$J$2:$J$501,MATCH(C484,计划参数!$I$2:$I$501,0)),"")&lt;&gt;"",D484&lt;&gt;IFERROR(INDEX(计划参数!$J$2:$J$501,MATCH(C484,计划参数!$I$2:$I$501,0)),"")),"异常：姓名与员工主数据不一致",IF(S484&lt;0,"异常：原始所得为负，已按0计税",IF(OR(AND(F484="股票期权",K484=""),AND(F484="限制性股票",OR(K484="",L484=""))),"异常：计划参数缺失",IF(COUNTIF(计划参数!$I$2:$I$501,C484)=0,"提示：员工编号未在主数据",IF(Q484&lt;&gt;"已备案","提示：未确认备案","正常"))))))))))))</f>
        <v/>
      </c>
      <c r="AE484" s="9"/>
      <c r="AF484" s="4" t="str">
        <f>IF(C484="","",IF(COUNTIF($C$2:C484,C484)=1,MAX($AF$1:AF483)+1,""))</f>
        <v/>
      </c>
      <c r="AG484" s="4" t="str">
        <f>IF(C484="","",COUNTIF($C$2:C484,C484))</f>
        <v/>
      </c>
      <c r="AH484" s="4" t="str">
        <f t="shared" si="115"/>
        <v/>
      </c>
      <c r="AI484" s="4" t="str">
        <f t="shared" si="116"/>
        <v/>
      </c>
      <c r="AJ484" s="4" t="str">
        <f t="shared" si="117"/>
        <v/>
      </c>
      <c r="AK484" s="15" t="str">
        <f>IF(A484="","",SUMIFS(分期缴税台账!$K$2:$K$501,分期缴税台账!$T$2:$T$501,A484,分期缴税台账!$Q$2:$Q$501,"有效"))</f>
        <v/>
      </c>
      <c r="AL484" s="15" t="str">
        <f t="shared" si="118"/>
        <v/>
      </c>
      <c r="AM484" s="4" t="str">
        <f t="shared" si="119"/>
        <v/>
      </c>
    </row>
    <row r="485" spans="1:39" x14ac:dyDescent="0.3">
      <c r="A485" s="9"/>
      <c r="B485" s="4" t="str">
        <f t="shared" si="105"/>
        <v/>
      </c>
      <c r="C485" s="9"/>
      <c r="D485" s="9"/>
      <c r="E485" s="9"/>
      <c r="F485" s="9"/>
      <c r="G485" s="13"/>
      <c r="H485" s="4" t="str">
        <f t="shared" si="106"/>
        <v/>
      </c>
      <c r="I485" s="9"/>
      <c r="J485" s="14"/>
      <c r="K485" s="15" t="str">
        <f>IF(OR(E485="",F485="",G485=""),"",IF(E485&lt;&gt;计划参数!$C$2,"",IF(F485="股票期权",IFERROR(LOOKUP(G485,计划参数!$D$12:$D$15,计划参数!$C$12:$C$15),""),IF(F485="限制性股票",计划参数!$C$10,""))))</f>
        <v/>
      </c>
      <c r="L485" s="15" t="str">
        <f>IF(AND(E485=计划参数!$C$2,F485="限制性股票",G485&gt;=计划参数!$D$9),计划参数!$C$9,"")</f>
        <v/>
      </c>
      <c r="M485" s="9"/>
      <c r="N485" s="14"/>
      <c r="O485" s="14"/>
      <c r="P485" s="13"/>
      <c r="Q485" s="9"/>
      <c r="R485" s="13"/>
      <c r="S485" s="15" t="str">
        <f t="shared" si="107"/>
        <v/>
      </c>
      <c r="T485" s="15" t="str">
        <f t="shared" si="108"/>
        <v/>
      </c>
      <c r="U485" s="15" t="str">
        <f t="shared" si="109"/>
        <v/>
      </c>
      <c r="V485" s="15" t="str">
        <f t="shared" si="110"/>
        <v/>
      </c>
      <c r="W485" s="16" t="str">
        <f>IF(V485="","",VLOOKUP(V485,税率及规则!$A$2:$C$8,2,TRUE))</f>
        <v/>
      </c>
      <c r="X485" s="15" t="str">
        <f>IF(V485="","",VLOOKUP(V485,税率及规则!$A$2:$C$8,3,TRUE))</f>
        <v/>
      </c>
      <c r="Y485" s="15" t="str">
        <f t="shared" si="111"/>
        <v/>
      </c>
      <c r="Z485" s="15" t="str">
        <f>IF(U485="","",MAX(0,U485*VLOOKUP(U485,税率及规则!$A$2:$C$8,2,TRUE)-VLOOKUP(U485,税率及规则!$A$2:$C$8,3,TRUE)))</f>
        <v/>
      </c>
      <c r="AA485" s="15" t="str">
        <f t="shared" si="112"/>
        <v/>
      </c>
      <c r="AB485" s="17" t="str">
        <f t="shared" si="113"/>
        <v/>
      </c>
      <c r="AC485" s="17" t="str">
        <f t="shared" si="114"/>
        <v/>
      </c>
      <c r="AD485" s="4" t="str">
        <f>IF(A485="","",IF(COUNTIF($A$2:$A$501,A485)&gt;1,"异常：事件编号重复",IF(OR(C485="",D485="",E485="",F485="",G485=""),"异常：必填项缺失",IF(AND(F485="其他股权激励",O485=""),"异常：其他股权激励所得缺失",IF(AND(F485&lt;&gt;"其他股权激励",OR(I485="",J485="")),"异常：数量或市场价缺失",IF(AND(F485&lt;&gt;"其他股权激励",OR(I485&lt;=0,J485&lt;0)),"异常：数量或价格无效",IF(AND(F485="限制性股票",OR(M485&lt;=0,N485&lt;0,I485&gt;M485)),"异常：个人获授或出资数据无效",IF(AND(IFERROR(INDEX(计划参数!$J$2:$J$501,MATCH(C485,计划参数!$I$2:$I$501,0)),"")&lt;&gt;"",D485&lt;&gt;IFERROR(INDEX(计划参数!$J$2:$J$501,MATCH(C485,计划参数!$I$2:$I$501,0)),"")),"异常：姓名与员工主数据不一致",IF(S485&lt;0,"异常：原始所得为负，已按0计税",IF(OR(AND(F485="股票期权",K485=""),AND(F485="限制性股票",OR(K485="",L485=""))),"异常：计划参数缺失",IF(COUNTIF(计划参数!$I$2:$I$501,C485)=0,"提示：员工编号未在主数据",IF(Q485&lt;&gt;"已备案","提示：未确认备案","正常"))))))))))))</f>
        <v/>
      </c>
      <c r="AE485" s="9"/>
      <c r="AF485" s="4" t="str">
        <f>IF(C485="","",IF(COUNTIF($C$2:C485,C485)=1,MAX($AF$1:AF484)+1,""))</f>
        <v/>
      </c>
      <c r="AG485" s="4" t="str">
        <f>IF(C485="","",COUNTIF($C$2:C485,C485))</f>
        <v/>
      </c>
      <c r="AH485" s="4" t="str">
        <f t="shared" si="115"/>
        <v/>
      </c>
      <c r="AI485" s="4" t="str">
        <f t="shared" si="116"/>
        <v/>
      </c>
      <c r="AJ485" s="4" t="str">
        <f t="shared" si="117"/>
        <v/>
      </c>
      <c r="AK485" s="15" t="str">
        <f>IF(A485="","",SUMIFS(分期缴税台账!$K$2:$K$501,分期缴税台账!$T$2:$T$501,A485,分期缴税台账!$Q$2:$Q$501,"有效"))</f>
        <v/>
      </c>
      <c r="AL485" s="15" t="str">
        <f t="shared" si="118"/>
        <v/>
      </c>
      <c r="AM485" s="4" t="str">
        <f t="shared" si="119"/>
        <v/>
      </c>
    </row>
    <row r="486" spans="1:39" x14ac:dyDescent="0.3">
      <c r="A486" s="9"/>
      <c r="B486" s="4" t="str">
        <f t="shared" si="105"/>
        <v/>
      </c>
      <c r="C486" s="9"/>
      <c r="D486" s="9"/>
      <c r="E486" s="9"/>
      <c r="F486" s="9"/>
      <c r="G486" s="13"/>
      <c r="H486" s="4" t="str">
        <f t="shared" si="106"/>
        <v/>
      </c>
      <c r="I486" s="9"/>
      <c r="J486" s="14"/>
      <c r="K486" s="15" t="str">
        <f>IF(OR(E486="",F486="",G486=""),"",IF(E486&lt;&gt;计划参数!$C$2,"",IF(F486="股票期权",IFERROR(LOOKUP(G486,计划参数!$D$12:$D$15,计划参数!$C$12:$C$15),""),IF(F486="限制性股票",计划参数!$C$10,""))))</f>
        <v/>
      </c>
      <c r="L486" s="15" t="str">
        <f>IF(AND(E486=计划参数!$C$2,F486="限制性股票",G486&gt;=计划参数!$D$9),计划参数!$C$9,"")</f>
        <v/>
      </c>
      <c r="M486" s="9"/>
      <c r="N486" s="14"/>
      <c r="O486" s="14"/>
      <c r="P486" s="13"/>
      <c r="Q486" s="9"/>
      <c r="R486" s="13"/>
      <c r="S486" s="15" t="str">
        <f t="shared" si="107"/>
        <v/>
      </c>
      <c r="T486" s="15" t="str">
        <f t="shared" si="108"/>
        <v/>
      </c>
      <c r="U486" s="15" t="str">
        <f t="shared" si="109"/>
        <v/>
      </c>
      <c r="V486" s="15" t="str">
        <f t="shared" si="110"/>
        <v/>
      </c>
      <c r="W486" s="16" t="str">
        <f>IF(V486="","",VLOOKUP(V486,税率及规则!$A$2:$C$8,2,TRUE))</f>
        <v/>
      </c>
      <c r="X486" s="15" t="str">
        <f>IF(V486="","",VLOOKUP(V486,税率及规则!$A$2:$C$8,3,TRUE))</f>
        <v/>
      </c>
      <c r="Y486" s="15" t="str">
        <f t="shared" si="111"/>
        <v/>
      </c>
      <c r="Z486" s="15" t="str">
        <f>IF(U486="","",MAX(0,U486*VLOOKUP(U486,税率及规则!$A$2:$C$8,2,TRUE)-VLOOKUP(U486,税率及规则!$A$2:$C$8,3,TRUE)))</f>
        <v/>
      </c>
      <c r="AA486" s="15" t="str">
        <f t="shared" si="112"/>
        <v/>
      </c>
      <c r="AB486" s="17" t="str">
        <f t="shared" si="113"/>
        <v/>
      </c>
      <c r="AC486" s="17" t="str">
        <f t="shared" si="114"/>
        <v/>
      </c>
      <c r="AD486" s="4" t="str">
        <f>IF(A486="","",IF(COUNTIF($A$2:$A$501,A486)&gt;1,"异常：事件编号重复",IF(OR(C486="",D486="",E486="",F486="",G486=""),"异常：必填项缺失",IF(AND(F486="其他股权激励",O486=""),"异常：其他股权激励所得缺失",IF(AND(F486&lt;&gt;"其他股权激励",OR(I486="",J486="")),"异常：数量或市场价缺失",IF(AND(F486&lt;&gt;"其他股权激励",OR(I486&lt;=0,J486&lt;0)),"异常：数量或价格无效",IF(AND(F486="限制性股票",OR(M486&lt;=0,N486&lt;0,I486&gt;M486)),"异常：个人获授或出资数据无效",IF(AND(IFERROR(INDEX(计划参数!$J$2:$J$501,MATCH(C486,计划参数!$I$2:$I$501,0)),"")&lt;&gt;"",D486&lt;&gt;IFERROR(INDEX(计划参数!$J$2:$J$501,MATCH(C486,计划参数!$I$2:$I$501,0)),"")),"异常：姓名与员工主数据不一致",IF(S486&lt;0,"异常：原始所得为负，已按0计税",IF(OR(AND(F486="股票期权",K486=""),AND(F486="限制性股票",OR(K486="",L486=""))),"异常：计划参数缺失",IF(COUNTIF(计划参数!$I$2:$I$501,C486)=0,"提示：员工编号未在主数据",IF(Q486&lt;&gt;"已备案","提示：未确认备案","正常"))))))))))))</f>
        <v/>
      </c>
      <c r="AE486" s="9"/>
      <c r="AF486" s="4" t="str">
        <f>IF(C486="","",IF(COUNTIF($C$2:C486,C486)=1,MAX($AF$1:AF485)+1,""))</f>
        <v/>
      </c>
      <c r="AG486" s="4" t="str">
        <f>IF(C486="","",COUNTIF($C$2:C486,C486))</f>
        <v/>
      </c>
      <c r="AH486" s="4" t="str">
        <f t="shared" si="115"/>
        <v/>
      </c>
      <c r="AI486" s="4" t="str">
        <f t="shared" si="116"/>
        <v/>
      </c>
      <c r="AJ486" s="4" t="str">
        <f t="shared" si="117"/>
        <v/>
      </c>
      <c r="AK486" s="15" t="str">
        <f>IF(A486="","",SUMIFS(分期缴税台账!$K$2:$K$501,分期缴税台账!$T$2:$T$501,A486,分期缴税台账!$Q$2:$Q$501,"有效"))</f>
        <v/>
      </c>
      <c r="AL486" s="15" t="str">
        <f t="shared" si="118"/>
        <v/>
      </c>
      <c r="AM486" s="4" t="str">
        <f t="shared" si="119"/>
        <v/>
      </c>
    </row>
    <row r="487" spans="1:39" x14ac:dyDescent="0.3">
      <c r="A487" s="9"/>
      <c r="B487" s="4" t="str">
        <f t="shared" si="105"/>
        <v/>
      </c>
      <c r="C487" s="9"/>
      <c r="D487" s="9"/>
      <c r="E487" s="9"/>
      <c r="F487" s="9"/>
      <c r="G487" s="13"/>
      <c r="H487" s="4" t="str">
        <f t="shared" si="106"/>
        <v/>
      </c>
      <c r="I487" s="9"/>
      <c r="J487" s="14"/>
      <c r="K487" s="15" t="str">
        <f>IF(OR(E487="",F487="",G487=""),"",IF(E487&lt;&gt;计划参数!$C$2,"",IF(F487="股票期权",IFERROR(LOOKUP(G487,计划参数!$D$12:$D$15,计划参数!$C$12:$C$15),""),IF(F487="限制性股票",计划参数!$C$10,""))))</f>
        <v/>
      </c>
      <c r="L487" s="15" t="str">
        <f>IF(AND(E487=计划参数!$C$2,F487="限制性股票",G487&gt;=计划参数!$D$9),计划参数!$C$9,"")</f>
        <v/>
      </c>
      <c r="M487" s="9"/>
      <c r="N487" s="14"/>
      <c r="O487" s="14"/>
      <c r="P487" s="13"/>
      <c r="Q487" s="9"/>
      <c r="R487" s="13"/>
      <c r="S487" s="15" t="str">
        <f t="shared" si="107"/>
        <v/>
      </c>
      <c r="T487" s="15" t="str">
        <f t="shared" si="108"/>
        <v/>
      </c>
      <c r="U487" s="15" t="str">
        <f t="shared" si="109"/>
        <v/>
      </c>
      <c r="V487" s="15" t="str">
        <f t="shared" si="110"/>
        <v/>
      </c>
      <c r="W487" s="16" t="str">
        <f>IF(V487="","",VLOOKUP(V487,税率及规则!$A$2:$C$8,2,TRUE))</f>
        <v/>
      </c>
      <c r="X487" s="15" t="str">
        <f>IF(V487="","",VLOOKUP(V487,税率及规则!$A$2:$C$8,3,TRUE))</f>
        <v/>
      </c>
      <c r="Y487" s="15" t="str">
        <f t="shared" si="111"/>
        <v/>
      </c>
      <c r="Z487" s="15" t="str">
        <f>IF(U487="","",MAX(0,U487*VLOOKUP(U487,税率及规则!$A$2:$C$8,2,TRUE)-VLOOKUP(U487,税率及规则!$A$2:$C$8,3,TRUE)))</f>
        <v/>
      </c>
      <c r="AA487" s="15" t="str">
        <f t="shared" si="112"/>
        <v/>
      </c>
      <c r="AB487" s="17" t="str">
        <f t="shared" si="113"/>
        <v/>
      </c>
      <c r="AC487" s="17" t="str">
        <f t="shared" si="114"/>
        <v/>
      </c>
      <c r="AD487" s="4" t="str">
        <f>IF(A487="","",IF(COUNTIF($A$2:$A$501,A487)&gt;1,"异常：事件编号重复",IF(OR(C487="",D487="",E487="",F487="",G487=""),"异常：必填项缺失",IF(AND(F487="其他股权激励",O487=""),"异常：其他股权激励所得缺失",IF(AND(F487&lt;&gt;"其他股权激励",OR(I487="",J487="")),"异常：数量或市场价缺失",IF(AND(F487&lt;&gt;"其他股权激励",OR(I487&lt;=0,J487&lt;0)),"异常：数量或价格无效",IF(AND(F487="限制性股票",OR(M487&lt;=0,N487&lt;0,I487&gt;M487)),"异常：个人获授或出资数据无效",IF(AND(IFERROR(INDEX(计划参数!$J$2:$J$501,MATCH(C487,计划参数!$I$2:$I$501,0)),"")&lt;&gt;"",D487&lt;&gt;IFERROR(INDEX(计划参数!$J$2:$J$501,MATCH(C487,计划参数!$I$2:$I$501,0)),"")),"异常：姓名与员工主数据不一致",IF(S487&lt;0,"异常：原始所得为负，已按0计税",IF(OR(AND(F487="股票期权",K487=""),AND(F487="限制性股票",OR(K487="",L487=""))),"异常：计划参数缺失",IF(COUNTIF(计划参数!$I$2:$I$501,C487)=0,"提示：员工编号未在主数据",IF(Q487&lt;&gt;"已备案","提示：未确认备案","正常"))))))))))))</f>
        <v/>
      </c>
      <c r="AE487" s="9"/>
      <c r="AF487" s="4" t="str">
        <f>IF(C487="","",IF(COUNTIF($C$2:C487,C487)=1,MAX($AF$1:AF486)+1,""))</f>
        <v/>
      </c>
      <c r="AG487" s="4" t="str">
        <f>IF(C487="","",COUNTIF($C$2:C487,C487))</f>
        <v/>
      </c>
      <c r="AH487" s="4" t="str">
        <f t="shared" si="115"/>
        <v/>
      </c>
      <c r="AI487" s="4" t="str">
        <f t="shared" si="116"/>
        <v/>
      </c>
      <c r="AJ487" s="4" t="str">
        <f t="shared" si="117"/>
        <v/>
      </c>
      <c r="AK487" s="15" t="str">
        <f>IF(A487="","",SUMIFS(分期缴税台账!$K$2:$K$501,分期缴税台账!$T$2:$T$501,A487,分期缴税台账!$Q$2:$Q$501,"有效"))</f>
        <v/>
      </c>
      <c r="AL487" s="15" t="str">
        <f t="shared" si="118"/>
        <v/>
      </c>
      <c r="AM487" s="4" t="str">
        <f t="shared" si="119"/>
        <v/>
      </c>
    </row>
    <row r="488" spans="1:39" x14ac:dyDescent="0.3">
      <c r="A488" s="9"/>
      <c r="B488" s="4" t="str">
        <f t="shared" si="105"/>
        <v/>
      </c>
      <c r="C488" s="9"/>
      <c r="D488" s="9"/>
      <c r="E488" s="9"/>
      <c r="F488" s="9"/>
      <c r="G488" s="13"/>
      <c r="H488" s="4" t="str">
        <f t="shared" si="106"/>
        <v/>
      </c>
      <c r="I488" s="9"/>
      <c r="J488" s="14"/>
      <c r="K488" s="15" t="str">
        <f>IF(OR(E488="",F488="",G488=""),"",IF(E488&lt;&gt;计划参数!$C$2,"",IF(F488="股票期权",IFERROR(LOOKUP(G488,计划参数!$D$12:$D$15,计划参数!$C$12:$C$15),""),IF(F488="限制性股票",计划参数!$C$10,""))))</f>
        <v/>
      </c>
      <c r="L488" s="15" t="str">
        <f>IF(AND(E488=计划参数!$C$2,F488="限制性股票",G488&gt;=计划参数!$D$9),计划参数!$C$9,"")</f>
        <v/>
      </c>
      <c r="M488" s="9"/>
      <c r="N488" s="14"/>
      <c r="O488" s="14"/>
      <c r="P488" s="13"/>
      <c r="Q488" s="9"/>
      <c r="R488" s="13"/>
      <c r="S488" s="15" t="str">
        <f t="shared" si="107"/>
        <v/>
      </c>
      <c r="T488" s="15" t="str">
        <f t="shared" si="108"/>
        <v/>
      </c>
      <c r="U488" s="15" t="str">
        <f t="shared" si="109"/>
        <v/>
      </c>
      <c r="V488" s="15" t="str">
        <f t="shared" si="110"/>
        <v/>
      </c>
      <c r="W488" s="16" t="str">
        <f>IF(V488="","",VLOOKUP(V488,税率及规则!$A$2:$C$8,2,TRUE))</f>
        <v/>
      </c>
      <c r="X488" s="15" t="str">
        <f>IF(V488="","",VLOOKUP(V488,税率及规则!$A$2:$C$8,3,TRUE))</f>
        <v/>
      </c>
      <c r="Y488" s="15" t="str">
        <f t="shared" si="111"/>
        <v/>
      </c>
      <c r="Z488" s="15" t="str">
        <f>IF(U488="","",MAX(0,U488*VLOOKUP(U488,税率及规则!$A$2:$C$8,2,TRUE)-VLOOKUP(U488,税率及规则!$A$2:$C$8,3,TRUE)))</f>
        <v/>
      </c>
      <c r="AA488" s="15" t="str">
        <f t="shared" si="112"/>
        <v/>
      </c>
      <c r="AB488" s="17" t="str">
        <f t="shared" si="113"/>
        <v/>
      </c>
      <c r="AC488" s="17" t="str">
        <f t="shared" si="114"/>
        <v/>
      </c>
      <c r="AD488" s="4" t="str">
        <f>IF(A488="","",IF(COUNTIF($A$2:$A$501,A488)&gt;1,"异常：事件编号重复",IF(OR(C488="",D488="",E488="",F488="",G488=""),"异常：必填项缺失",IF(AND(F488="其他股权激励",O488=""),"异常：其他股权激励所得缺失",IF(AND(F488&lt;&gt;"其他股权激励",OR(I488="",J488="")),"异常：数量或市场价缺失",IF(AND(F488&lt;&gt;"其他股权激励",OR(I488&lt;=0,J488&lt;0)),"异常：数量或价格无效",IF(AND(F488="限制性股票",OR(M488&lt;=0,N488&lt;0,I488&gt;M488)),"异常：个人获授或出资数据无效",IF(AND(IFERROR(INDEX(计划参数!$J$2:$J$501,MATCH(C488,计划参数!$I$2:$I$501,0)),"")&lt;&gt;"",D488&lt;&gt;IFERROR(INDEX(计划参数!$J$2:$J$501,MATCH(C488,计划参数!$I$2:$I$501,0)),"")),"异常：姓名与员工主数据不一致",IF(S488&lt;0,"异常：原始所得为负，已按0计税",IF(OR(AND(F488="股票期权",K488=""),AND(F488="限制性股票",OR(K488="",L488=""))),"异常：计划参数缺失",IF(COUNTIF(计划参数!$I$2:$I$501,C488)=0,"提示：员工编号未在主数据",IF(Q488&lt;&gt;"已备案","提示：未确认备案","正常"))))))))))))</f>
        <v/>
      </c>
      <c r="AE488" s="9"/>
      <c r="AF488" s="4" t="str">
        <f>IF(C488="","",IF(COUNTIF($C$2:C488,C488)=1,MAX($AF$1:AF487)+1,""))</f>
        <v/>
      </c>
      <c r="AG488" s="4" t="str">
        <f>IF(C488="","",COUNTIF($C$2:C488,C488))</f>
        <v/>
      </c>
      <c r="AH488" s="4" t="str">
        <f t="shared" si="115"/>
        <v/>
      </c>
      <c r="AI488" s="4" t="str">
        <f t="shared" si="116"/>
        <v/>
      </c>
      <c r="AJ488" s="4" t="str">
        <f t="shared" si="117"/>
        <v/>
      </c>
      <c r="AK488" s="15" t="str">
        <f>IF(A488="","",SUMIFS(分期缴税台账!$K$2:$K$501,分期缴税台账!$T$2:$T$501,A488,分期缴税台账!$Q$2:$Q$501,"有效"))</f>
        <v/>
      </c>
      <c r="AL488" s="15" t="str">
        <f t="shared" si="118"/>
        <v/>
      </c>
      <c r="AM488" s="4" t="str">
        <f t="shared" si="119"/>
        <v/>
      </c>
    </row>
    <row r="489" spans="1:39" x14ac:dyDescent="0.3">
      <c r="A489" s="9"/>
      <c r="B489" s="4" t="str">
        <f t="shared" si="105"/>
        <v/>
      </c>
      <c r="C489" s="9"/>
      <c r="D489" s="9"/>
      <c r="E489" s="9"/>
      <c r="F489" s="9"/>
      <c r="G489" s="13"/>
      <c r="H489" s="4" t="str">
        <f t="shared" si="106"/>
        <v/>
      </c>
      <c r="I489" s="9"/>
      <c r="J489" s="14"/>
      <c r="K489" s="15" t="str">
        <f>IF(OR(E489="",F489="",G489=""),"",IF(E489&lt;&gt;计划参数!$C$2,"",IF(F489="股票期权",IFERROR(LOOKUP(G489,计划参数!$D$12:$D$15,计划参数!$C$12:$C$15),""),IF(F489="限制性股票",计划参数!$C$10,""))))</f>
        <v/>
      </c>
      <c r="L489" s="15" t="str">
        <f>IF(AND(E489=计划参数!$C$2,F489="限制性股票",G489&gt;=计划参数!$D$9),计划参数!$C$9,"")</f>
        <v/>
      </c>
      <c r="M489" s="9"/>
      <c r="N489" s="14"/>
      <c r="O489" s="14"/>
      <c r="P489" s="13"/>
      <c r="Q489" s="9"/>
      <c r="R489" s="13"/>
      <c r="S489" s="15" t="str">
        <f t="shared" si="107"/>
        <v/>
      </c>
      <c r="T489" s="15" t="str">
        <f t="shared" si="108"/>
        <v/>
      </c>
      <c r="U489" s="15" t="str">
        <f t="shared" si="109"/>
        <v/>
      </c>
      <c r="V489" s="15" t="str">
        <f t="shared" si="110"/>
        <v/>
      </c>
      <c r="W489" s="16" t="str">
        <f>IF(V489="","",VLOOKUP(V489,税率及规则!$A$2:$C$8,2,TRUE))</f>
        <v/>
      </c>
      <c r="X489" s="15" t="str">
        <f>IF(V489="","",VLOOKUP(V489,税率及规则!$A$2:$C$8,3,TRUE))</f>
        <v/>
      </c>
      <c r="Y489" s="15" t="str">
        <f t="shared" si="111"/>
        <v/>
      </c>
      <c r="Z489" s="15" t="str">
        <f>IF(U489="","",MAX(0,U489*VLOOKUP(U489,税率及规则!$A$2:$C$8,2,TRUE)-VLOOKUP(U489,税率及规则!$A$2:$C$8,3,TRUE)))</f>
        <v/>
      </c>
      <c r="AA489" s="15" t="str">
        <f t="shared" si="112"/>
        <v/>
      </c>
      <c r="AB489" s="17" t="str">
        <f t="shared" si="113"/>
        <v/>
      </c>
      <c r="AC489" s="17" t="str">
        <f t="shared" si="114"/>
        <v/>
      </c>
      <c r="AD489" s="4" t="str">
        <f>IF(A489="","",IF(COUNTIF($A$2:$A$501,A489)&gt;1,"异常：事件编号重复",IF(OR(C489="",D489="",E489="",F489="",G489=""),"异常：必填项缺失",IF(AND(F489="其他股权激励",O489=""),"异常：其他股权激励所得缺失",IF(AND(F489&lt;&gt;"其他股权激励",OR(I489="",J489="")),"异常：数量或市场价缺失",IF(AND(F489&lt;&gt;"其他股权激励",OR(I489&lt;=0,J489&lt;0)),"异常：数量或价格无效",IF(AND(F489="限制性股票",OR(M489&lt;=0,N489&lt;0,I489&gt;M489)),"异常：个人获授或出资数据无效",IF(AND(IFERROR(INDEX(计划参数!$J$2:$J$501,MATCH(C489,计划参数!$I$2:$I$501,0)),"")&lt;&gt;"",D489&lt;&gt;IFERROR(INDEX(计划参数!$J$2:$J$501,MATCH(C489,计划参数!$I$2:$I$501,0)),"")),"异常：姓名与员工主数据不一致",IF(S489&lt;0,"异常：原始所得为负，已按0计税",IF(OR(AND(F489="股票期权",K489=""),AND(F489="限制性股票",OR(K489="",L489=""))),"异常：计划参数缺失",IF(COUNTIF(计划参数!$I$2:$I$501,C489)=0,"提示：员工编号未在主数据",IF(Q489&lt;&gt;"已备案","提示：未确认备案","正常"))))))))))))</f>
        <v/>
      </c>
      <c r="AE489" s="9"/>
      <c r="AF489" s="4" t="str">
        <f>IF(C489="","",IF(COUNTIF($C$2:C489,C489)=1,MAX($AF$1:AF488)+1,""))</f>
        <v/>
      </c>
      <c r="AG489" s="4" t="str">
        <f>IF(C489="","",COUNTIF($C$2:C489,C489))</f>
        <v/>
      </c>
      <c r="AH489" s="4" t="str">
        <f t="shared" si="115"/>
        <v/>
      </c>
      <c r="AI489" s="4" t="str">
        <f t="shared" si="116"/>
        <v/>
      </c>
      <c r="AJ489" s="4" t="str">
        <f t="shared" si="117"/>
        <v/>
      </c>
      <c r="AK489" s="15" t="str">
        <f>IF(A489="","",SUMIFS(分期缴税台账!$K$2:$K$501,分期缴税台账!$T$2:$T$501,A489,分期缴税台账!$Q$2:$Q$501,"有效"))</f>
        <v/>
      </c>
      <c r="AL489" s="15" t="str">
        <f t="shared" si="118"/>
        <v/>
      </c>
      <c r="AM489" s="4" t="str">
        <f t="shared" si="119"/>
        <v/>
      </c>
    </row>
    <row r="490" spans="1:39" x14ac:dyDescent="0.3">
      <c r="A490" s="9"/>
      <c r="B490" s="4" t="str">
        <f t="shared" si="105"/>
        <v/>
      </c>
      <c r="C490" s="9"/>
      <c r="D490" s="9"/>
      <c r="E490" s="9"/>
      <c r="F490" s="9"/>
      <c r="G490" s="13"/>
      <c r="H490" s="4" t="str">
        <f t="shared" si="106"/>
        <v/>
      </c>
      <c r="I490" s="9"/>
      <c r="J490" s="14"/>
      <c r="K490" s="15" t="str">
        <f>IF(OR(E490="",F490="",G490=""),"",IF(E490&lt;&gt;计划参数!$C$2,"",IF(F490="股票期权",IFERROR(LOOKUP(G490,计划参数!$D$12:$D$15,计划参数!$C$12:$C$15),""),IF(F490="限制性股票",计划参数!$C$10,""))))</f>
        <v/>
      </c>
      <c r="L490" s="15" t="str">
        <f>IF(AND(E490=计划参数!$C$2,F490="限制性股票",G490&gt;=计划参数!$D$9),计划参数!$C$9,"")</f>
        <v/>
      </c>
      <c r="M490" s="9"/>
      <c r="N490" s="14"/>
      <c r="O490" s="14"/>
      <c r="P490" s="13"/>
      <c r="Q490" s="9"/>
      <c r="R490" s="13"/>
      <c r="S490" s="15" t="str">
        <f t="shared" si="107"/>
        <v/>
      </c>
      <c r="T490" s="15" t="str">
        <f t="shared" si="108"/>
        <v/>
      </c>
      <c r="U490" s="15" t="str">
        <f t="shared" si="109"/>
        <v/>
      </c>
      <c r="V490" s="15" t="str">
        <f t="shared" si="110"/>
        <v/>
      </c>
      <c r="W490" s="16" t="str">
        <f>IF(V490="","",VLOOKUP(V490,税率及规则!$A$2:$C$8,2,TRUE))</f>
        <v/>
      </c>
      <c r="X490" s="15" t="str">
        <f>IF(V490="","",VLOOKUP(V490,税率及规则!$A$2:$C$8,3,TRUE))</f>
        <v/>
      </c>
      <c r="Y490" s="15" t="str">
        <f t="shared" si="111"/>
        <v/>
      </c>
      <c r="Z490" s="15" t="str">
        <f>IF(U490="","",MAX(0,U490*VLOOKUP(U490,税率及规则!$A$2:$C$8,2,TRUE)-VLOOKUP(U490,税率及规则!$A$2:$C$8,3,TRUE)))</f>
        <v/>
      </c>
      <c r="AA490" s="15" t="str">
        <f t="shared" si="112"/>
        <v/>
      </c>
      <c r="AB490" s="17" t="str">
        <f t="shared" si="113"/>
        <v/>
      </c>
      <c r="AC490" s="17" t="str">
        <f t="shared" si="114"/>
        <v/>
      </c>
      <c r="AD490" s="4" t="str">
        <f>IF(A490="","",IF(COUNTIF($A$2:$A$501,A490)&gt;1,"异常：事件编号重复",IF(OR(C490="",D490="",E490="",F490="",G490=""),"异常：必填项缺失",IF(AND(F490="其他股权激励",O490=""),"异常：其他股权激励所得缺失",IF(AND(F490&lt;&gt;"其他股权激励",OR(I490="",J490="")),"异常：数量或市场价缺失",IF(AND(F490&lt;&gt;"其他股权激励",OR(I490&lt;=0,J490&lt;0)),"异常：数量或价格无效",IF(AND(F490="限制性股票",OR(M490&lt;=0,N490&lt;0,I490&gt;M490)),"异常：个人获授或出资数据无效",IF(AND(IFERROR(INDEX(计划参数!$J$2:$J$501,MATCH(C490,计划参数!$I$2:$I$501,0)),"")&lt;&gt;"",D490&lt;&gt;IFERROR(INDEX(计划参数!$J$2:$J$501,MATCH(C490,计划参数!$I$2:$I$501,0)),"")),"异常：姓名与员工主数据不一致",IF(S490&lt;0,"异常：原始所得为负，已按0计税",IF(OR(AND(F490="股票期权",K490=""),AND(F490="限制性股票",OR(K490="",L490=""))),"异常：计划参数缺失",IF(COUNTIF(计划参数!$I$2:$I$501,C490)=0,"提示：员工编号未在主数据",IF(Q490&lt;&gt;"已备案","提示：未确认备案","正常"))))))))))))</f>
        <v/>
      </c>
      <c r="AE490" s="9"/>
      <c r="AF490" s="4" t="str">
        <f>IF(C490="","",IF(COUNTIF($C$2:C490,C490)=1,MAX($AF$1:AF489)+1,""))</f>
        <v/>
      </c>
      <c r="AG490" s="4" t="str">
        <f>IF(C490="","",COUNTIF($C$2:C490,C490))</f>
        <v/>
      </c>
      <c r="AH490" s="4" t="str">
        <f t="shared" si="115"/>
        <v/>
      </c>
      <c r="AI490" s="4" t="str">
        <f t="shared" si="116"/>
        <v/>
      </c>
      <c r="AJ490" s="4" t="str">
        <f t="shared" si="117"/>
        <v/>
      </c>
      <c r="AK490" s="15" t="str">
        <f>IF(A490="","",SUMIFS(分期缴税台账!$K$2:$K$501,分期缴税台账!$T$2:$T$501,A490,分期缴税台账!$Q$2:$Q$501,"有效"))</f>
        <v/>
      </c>
      <c r="AL490" s="15" t="str">
        <f t="shared" si="118"/>
        <v/>
      </c>
      <c r="AM490" s="4" t="str">
        <f t="shared" si="119"/>
        <v/>
      </c>
    </row>
    <row r="491" spans="1:39" x14ac:dyDescent="0.3">
      <c r="A491" s="9"/>
      <c r="B491" s="4" t="str">
        <f t="shared" si="105"/>
        <v/>
      </c>
      <c r="C491" s="9"/>
      <c r="D491" s="9"/>
      <c r="E491" s="9"/>
      <c r="F491" s="9"/>
      <c r="G491" s="13"/>
      <c r="H491" s="4" t="str">
        <f t="shared" si="106"/>
        <v/>
      </c>
      <c r="I491" s="9"/>
      <c r="J491" s="14"/>
      <c r="K491" s="15" t="str">
        <f>IF(OR(E491="",F491="",G491=""),"",IF(E491&lt;&gt;计划参数!$C$2,"",IF(F491="股票期权",IFERROR(LOOKUP(G491,计划参数!$D$12:$D$15,计划参数!$C$12:$C$15),""),IF(F491="限制性股票",计划参数!$C$10,""))))</f>
        <v/>
      </c>
      <c r="L491" s="15" t="str">
        <f>IF(AND(E491=计划参数!$C$2,F491="限制性股票",G491&gt;=计划参数!$D$9),计划参数!$C$9,"")</f>
        <v/>
      </c>
      <c r="M491" s="9"/>
      <c r="N491" s="14"/>
      <c r="O491" s="14"/>
      <c r="P491" s="13"/>
      <c r="Q491" s="9"/>
      <c r="R491" s="13"/>
      <c r="S491" s="15" t="str">
        <f t="shared" si="107"/>
        <v/>
      </c>
      <c r="T491" s="15" t="str">
        <f t="shared" si="108"/>
        <v/>
      </c>
      <c r="U491" s="15" t="str">
        <f t="shared" si="109"/>
        <v/>
      </c>
      <c r="V491" s="15" t="str">
        <f t="shared" si="110"/>
        <v/>
      </c>
      <c r="W491" s="16" t="str">
        <f>IF(V491="","",VLOOKUP(V491,税率及规则!$A$2:$C$8,2,TRUE))</f>
        <v/>
      </c>
      <c r="X491" s="15" t="str">
        <f>IF(V491="","",VLOOKUP(V491,税率及规则!$A$2:$C$8,3,TRUE))</f>
        <v/>
      </c>
      <c r="Y491" s="15" t="str">
        <f t="shared" si="111"/>
        <v/>
      </c>
      <c r="Z491" s="15" t="str">
        <f>IF(U491="","",MAX(0,U491*VLOOKUP(U491,税率及规则!$A$2:$C$8,2,TRUE)-VLOOKUP(U491,税率及规则!$A$2:$C$8,3,TRUE)))</f>
        <v/>
      </c>
      <c r="AA491" s="15" t="str">
        <f t="shared" si="112"/>
        <v/>
      </c>
      <c r="AB491" s="17" t="str">
        <f t="shared" si="113"/>
        <v/>
      </c>
      <c r="AC491" s="17" t="str">
        <f t="shared" si="114"/>
        <v/>
      </c>
      <c r="AD491" s="4" t="str">
        <f>IF(A491="","",IF(COUNTIF($A$2:$A$501,A491)&gt;1,"异常：事件编号重复",IF(OR(C491="",D491="",E491="",F491="",G491=""),"异常：必填项缺失",IF(AND(F491="其他股权激励",O491=""),"异常：其他股权激励所得缺失",IF(AND(F491&lt;&gt;"其他股权激励",OR(I491="",J491="")),"异常：数量或市场价缺失",IF(AND(F491&lt;&gt;"其他股权激励",OR(I491&lt;=0,J491&lt;0)),"异常：数量或价格无效",IF(AND(F491="限制性股票",OR(M491&lt;=0,N491&lt;0,I491&gt;M491)),"异常：个人获授或出资数据无效",IF(AND(IFERROR(INDEX(计划参数!$J$2:$J$501,MATCH(C491,计划参数!$I$2:$I$501,0)),"")&lt;&gt;"",D491&lt;&gt;IFERROR(INDEX(计划参数!$J$2:$J$501,MATCH(C491,计划参数!$I$2:$I$501,0)),"")),"异常：姓名与员工主数据不一致",IF(S491&lt;0,"异常：原始所得为负，已按0计税",IF(OR(AND(F491="股票期权",K491=""),AND(F491="限制性股票",OR(K491="",L491=""))),"异常：计划参数缺失",IF(COUNTIF(计划参数!$I$2:$I$501,C491)=0,"提示：员工编号未在主数据",IF(Q491&lt;&gt;"已备案","提示：未确认备案","正常"))))))))))))</f>
        <v/>
      </c>
      <c r="AE491" s="9"/>
      <c r="AF491" s="4" t="str">
        <f>IF(C491="","",IF(COUNTIF($C$2:C491,C491)=1,MAX($AF$1:AF490)+1,""))</f>
        <v/>
      </c>
      <c r="AG491" s="4" t="str">
        <f>IF(C491="","",COUNTIF($C$2:C491,C491))</f>
        <v/>
      </c>
      <c r="AH491" s="4" t="str">
        <f t="shared" si="115"/>
        <v/>
      </c>
      <c r="AI491" s="4" t="str">
        <f t="shared" si="116"/>
        <v/>
      </c>
      <c r="AJ491" s="4" t="str">
        <f t="shared" si="117"/>
        <v/>
      </c>
      <c r="AK491" s="15" t="str">
        <f>IF(A491="","",SUMIFS(分期缴税台账!$K$2:$K$501,分期缴税台账!$T$2:$T$501,A491,分期缴税台账!$Q$2:$Q$501,"有效"))</f>
        <v/>
      </c>
      <c r="AL491" s="15" t="str">
        <f t="shared" si="118"/>
        <v/>
      </c>
      <c r="AM491" s="4" t="str">
        <f t="shared" si="119"/>
        <v/>
      </c>
    </row>
    <row r="492" spans="1:39" x14ac:dyDescent="0.3">
      <c r="A492" s="9"/>
      <c r="B492" s="4" t="str">
        <f t="shared" si="105"/>
        <v/>
      </c>
      <c r="C492" s="9"/>
      <c r="D492" s="9"/>
      <c r="E492" s="9"/>
      <c r="F492" s="9"/>
      <c r="G492" s="13"/>
      <c r="H492" s="4" t="str">
        <f t="shared" si="106"/>
        <v/>
      </c>
      <c r="I492" s="9"/>
      <c r="J492" s="14"/>
      <c r="K492" s="15" t="str">
        <f>IF(OR(E492="",F492="",G492=""),"",IF(E492&lt;&gt;计划参数!$C$2,"",IF(F492="股票期权",IFERROR(LOOKUP(G492,计划参数!$D$12:$D$15,计划参数!$C$12:$C$15),""),IF(F492="限制性股票",计划参数!$C$10,""))))</f>
        <v/>
      </c>
      <c r="L492" s="15" t="str">
        <f>IF(AND(E492=计划参数!$C$2,F492="限制性股票",G492&gt;=计划参数!$D$9),计划参数!$C$9,"")</f>
        <v/>
      </c>
      <c r="M492" s="9"/>
      <c r="N492" s="14"/>
      <c r="O492" s="14"/>
      <c r="P492" s="13"/>
      <c r="Q492" s="9"/>
      <c r="R492" s="13"/>
      <c r="S492" s="15" t="str">
        <f t="shared" si="107"/>
        <v/>
      </c>
      <c r="T492" s="15" t="str">
        <f t="shared" si="108"/>
        <v/>
      </c>
      <c r="U492" s="15" t="str">
        <f t="shared" si="109"/>
        <v/>
      </c>
      <c r="V492" s="15" t="str">
        <f t="shared" si="110"/>
        <v/>
      </c>
      <c r="W492" s="16" t="str">
        <f>IF(V492="","",VLOOKUP(V492,税率及规则!$A$2:$C$8,2,TRUE))</f>
        <v/>
      </c>
      <c r="X492" s="15" t="str">
        <f>IF(V492="","",VLOOKUP(V492,税率及规则!$A$2:$C$8,3,TRUE))</f>
        <v/>
      </c>
      <c r="Y492" s="15" t="str">
        <f t="shared" si="111"/>
        <v/>
      </c>
      <c r="Z492" s="15" t="str">
        <f>IF(U492="","",MAX(0,U492*VLOOKUP(U492,税率及规则!$A$2:$C$8,2,TRUE)-VLOOKUP(U492,税率及规则!$A$2:$C$8,3,TRUE)))</f>
        <v/>
      </c>
      <c r="AA492" s="15" t="str">
        <f t="shared" si="112"/>
        <v/>
      </c>
      <c r="AB492" s="17" t="str">
        <f t="shared" si="113"/>
        <v/>
      </c>
      <c r="AC492" s="17" t="str">
        <f t="shared" si="114"/>
        <v/>
      </c>
      <c r="AD492" s="4" t="str">
        <f>IF(A492="","",IF(COUNTIF($A$2:$A$501,A492)&gt;1,"异常：事件编号重复",IF(OR(C492="",D492="",E492="",F492="",G492=""),"异常：必填项缺失",IF(AND(F492="其他股权激励",O492=""),"异常：其他股权激励所得缺失",IF(AND(F492&lt;&gt;"其他股权激励",OR(I492="",J492="")),"异常：数量或市场价缺失",IF(AND(F492&lt;&gt;"其他股权激励",OR(I492&lt;=0,J492&lt;0)),"异常：数量或价格无效",IF(AND(F492="限制性股票",OR(M492&lt;=0,N492&lt;0,I492&gt;M492)),"异常：个人获授或出资数据无效",IF(AND(IFERROR(INDEX(计划参数!$J$2:$J$501,MATCH(C492,计划参数!$I$2:$I$501,0)),"")&lt;&gt;"",D492&lt;&gt;IFERROR(INDEX(计划参数!$J$2:$J$501,MATCH(C492,计划参数!$I$2:$I$501,0)),"")),"异常：姓名与员工主数据不一致",IF(S492&lt;0,"异常：原始所得为负，已按0计税",IF(OR(AND(F492="股票期权",K492=""),AND(F492="限制性股票",OR(K492="",L492=""))),"异常：计划参数缺失",IF(COUNTIF(计划参数!$I$2:$I$501,C492)=0,"提示：员工编号未在主数据",IF(Q492&lt;&gt;"已备案","提示：未确认备案","正常"))))))))))))</f>
        <v/>
      </c>
      <c r="AE492" s="9"/>
      <c r="AF492" s="4" t="str">
        <f>IF(C492="","",IF(COUNTIF($C$2:C492,C492)=1,MAX($AF$1:AF491)+1,""))</f>
        <v/>
      </c>
      <c r="AG492" s="4" t="str">
        <f>IF(C492="","",COUNTIF($C$2:C492,C492))</f>
        <v/>
      </c>
      <c r="AH492" s="4" t="str">
        <f t="shared" si="115"/>
        <v/>
      </c>
      <c r="AI492" s="4" t="str">
        <f t="shared" si="116"/>
        <v/>
      </c>
      <c r="AJ492" s="4" t="str">
        <f t="shared" si="117"/>
        <v/>
      </c>
      <c r="AK492" s="15" t="str">
        <f>IF(A492="","",SUMIFS(分期缴税台账!$K$2:$K$501,分期缴税台账!$T$2:$T$501,A492,分期缴税台账!$Q$2:$Q$501,"有效"))</f>
        <v/>
      </c>
      <c r="AL492" s="15" t="str">
        <f t="shared" si="118"/>
        <v/>
      </c>
      <c r="AM492" s="4" t="str">
        <f t="shared" si="119"/>
        <v/>
      </c>
    </row>
    <row r="493" spans="1:39" x14ac:dyDescent="0.3">
      <c r="A493" s="9"/>
      <c r="B493" s="4" t="str">
        <f t="shared" si="105"/>
        <v/>
      </c>
      <c r="C493" s="9"/>
      <c r="D493" s="9"/>
      <c r="E493" s="9"/>
      <c r="F493" s="9"/>
      <c r="G493" s="13"/>
      <c r="H493" s="4" t="str">
        <f t="shared" si="106"/>
        <v/>
      </c>
      <c r="I493" s="9"/>
      <c r="J493" s="14"/>
      <c r="K493" s="15" t="str">
        <f>IF(OR(E493="",F493="",G493=""),"",IF(E493&lt;&gt;计划参数!$C$2,"",IF(F493="股票期权",IFERROR(LOOKUP(G493,计划参数!$D$12:$D$15,计划参数!$C$12:$C$15),""),IF(F493="限制性股票",计划参数!$C$10,""))))</f>
        <v/>
      </c>
      <c r="L493" s="15" t="str">
        <f>IF(AND(E493=计划参数!$C$2,F493="限制性股票",G493&gt;=计划参数!$D$9),计划参数!$C$9,"")</f>
        <v/>
      </c>
      <c r="M493" s="9"/>
      <c r="N493" s="14"/>
      <c r="O493" s="14"/>
      <c r="P493" s="13"/>
      <c r="Q493" s="9"/>
      <c r="R493" s="13"/>
      <c r="S493" s="15" t="str">
        <f t="shared" si="107"/>
        <v/>
      </c>
      <c r="T493" s="15" t="str">
        <f t="shared" si="108"/>
        <v/>
      </c>
      <c r="U493" s="15" t="str">
        <f t="shared" si="109"/>
        <v/>
      </c>
      <c r="V493" s="15" t="str">
        <f t="shared" si="110"/>
        <v/>
      </c>
      <c r="W493" s="16" t="str">
        <f>IF(V493="","",VLOOKUP(V493,税率及规则!$A$2:$C$8,2,TRUE))</f>
        <v/>
      </c>
      <c r="X493" s="15" t="str">
        <f>IF(V493="","",VLOOKUP(V493,税率及规则!$A$2:$C$8,3,TRUE))</f>
        <v/>
      </c>
      <c r="Y493" s="15" t="str">
        <f t="shared" si="111"/>
        <v/>
      </c>
      <c r="Z493" s="15" t="str">
        <f>IF(U493="","",MAX(0,U493*VLOOKUP(U493,税率及规则!$A$2:$C$8,2,TRUE)-VLOOKUP(U493,税率及规则!$A$2:$C$8,3,TRUE)))</f>
        <v/>
      </c>
      <c r="AA493" s="15" t="str">
        <f t="shared" si="112"/>
        <v/>
      </c>
      <c r="AB493" s="17" t="str">
        <f t="shared" si="113"/>
        <v/>
      </c>
      <c r="AC493" s="17" t="str">
        <f t="shared" si="114"/>
        <v/>
      </c>
      <c r="AD493" s="4" t="str">
        <f>IF(A493="","",IF(COUNTIF($A$2:$A$501,A493)&gt;1,"异常：事件编号重复",IF(OR(C493="",D493="",E493="",F493="",G493=""),"异常：必填项缺失",IF(AND(F493="其他股权激励",O493=""),"异常：其他股权激励所得缺失",IF(AND(F493&lt;&gt;"其他股权激励",OR(I493="",J493="")),"异常：数量或市场价缺失",IF(AND(F493&lt;&gt;"其他股权激励",OR(I493&lt;=0,J493&lt;0)),"异常：数量或价格无效",IF(AND(F493="限制性股票",OR(M493&lt;=0,N493&lt;0,I493&gt;M493)),"异常：个人获授或出资数据无效",IF(AND(IFERROR(INDEX(计划参数!$J$2:$J$501,MATCH(C493,计划参数!$I$2:$I$501,0)),"")&lt;&gt;"",D493&lt;&gt;IFERROR(INDEX(计划参数!$J$2:$J$501,MATCH(C493,计划参数!$I$2:$I$501,0)),"")),"异常：姓名与员工主数据不一致",IF(S493&lt;0,"异常：原始所得为负，已按0计税",IF(OR(AND(F493="股票期权",K493=""),AND(F493="限制性股票",OR(K493="",L493=""))),"异常：计划参数缺失",IF(COUNTIF(计划参数!$I$2:$I$501,C493)=0,"提示：员工编号未在主数据",IF(Q493&lt;&gt;"已备案","提示：未确认备案","正常"))))))))))))</f>
        <v/>
      </c>
      <c r="AE493" s="9"/>
      <c r="AF493" s="4" t="str">
        <f>IF(C493="","",IF(COUNTIF($C$2:C493,C493)=1,MAX($AF$1:AF492)+1,""))</f>
        <v/>
      </c>
      <c r="AG493" s="4" t="str">
        <f>IF(C493="","",COUNTIF($C$2:C493,C493))</f>
        <v/>
      </c>
      <c r="AH493" s="4" t="str">
        <f t="shared" si="115"/>
        <v/>
      </c>
      <c r="AI493" s="4" t="str">
        <f t="shared" si="116"/>
        <v/>
      </c>
      <c r="AJ493" s="4" t="str">
        <f t="shared" si="117"/>
        <v/>
      </c>
      <c r="AK493" s="15" t="str">
        <f>IF(A493="","",SUMIFS(分期缴税台账!$K$2:$K$501,分期缴税台账!$T$2:$T$501,A493,分期缴税台账!$Q$2:$Q$501,"有效"))</f>
        <v/>
      </c>
      <c r="AL493" s="15" t="str">
        <f t="shared" si="118"/>
        <v/>
      </c>
      <c r="AM493" s="4" t="str">
        <f t="shared" si="119"/>
        <v/>
      </c>
    </row>
    <row r="494" spans="1:39" x14ac:dyDescent="0.3">
      <c r="A494" s="9"/>
      <c r="B494" s="4" t="str">
        <f t="shared" si="105"/>
        <v/>
      </c>
      <c r="C494" s="9"/>
      <c r="D494" s="9"/>
      <c r="E494" s="9"/>
      <c r="F494" s="9"/>
      <c r="G494" s="13"/>
      <c r="H494" s="4" t="str">
        <f t="shared" si="106"/>
        <v/>
      </c>
      <c r="I494" s="9"/>
      <c r="J494" s="14"/>
      <c r="K494" s="15" t="str">
        <f>IF(OR(E494="",F494="",G494=""),"",IF(E494&lt;&gt;计划参数!$C$2,"",IF(F494="股票期权",IFERROR(LOOKUP(G494,计划参数!$D$12:$D$15,计划参数!$C$12:$C$15),""),IF(F494="限制性股票",计划参数!$C$10,""))))</f>
        <v/>
      </c>
      <c r="L494" s="15" t="str">
        <f>IF(AND(E494=计划参数!$C$2,F494="限制性股票",G494&gt;=计划参数!$D$9),计划参数!$C$9,"")</f>
        <v/>
      </c>
      <c r="M494" s="9"/>
      <c r="N494" s="14"/>
      <c r="O494" s="14"/>
      <c r="P494" s="13"/>
      <c r="Q494" s="9"/>
      <c r="R494" s="13"/>
      <c r="S494" s="15" t="str">
        <f t="shared" si="107"/>
        <v/>
      </c>
      <c r="T494" s="15" t="str">
        <f t="shared" si="108"/>
        <v/>
      </c>
      <c r="U494" s="15" t="str">
        <f t="shared" si="109"/>
        <v/>
      </c>
      <c r="V494" s="15" t="str">
        <f t="shared" si="110"/>
        <v/>
      </c>
      <c r="W494" s="16" t="str">
        <f>IF(V494="","",VLOOKUP(V494,税率及规则!$A$2:$C$8,2,TRUE))</f>
        <v/>
      </c>
      <c r="X494" s="15" t="str">
        <f>IF(V494="","",VLOOKUP(V494,税率及规则!$A$2:$C$8,3,TRUE))</f>
        <v/>
      </c>
      <c r="Y494" s="15" t="str">
        <f t="shared" si="111"/>
        <v/>
      </c>
      <c r="Z494" s="15" t="str">
        <f>IF(U494="","",MAX(0,U494*VLOOKUP(U494,税率及规则!$A$2:$C$8,2,TRUE)-VLOOKUP(U494,税率及规则!$A$2:$C$8,3,TRUE)))</f>
        <v/>
      </c>
      <c r="AA494" s="15" t="str">
        <f t="shared" si="112"/>
        <v/>
      </c>
      <c r="AB494" s="17" t="str">
        <f t="shared" si="113"/>
        <v/>
      </c>
      <c r="AC494" s="17" t="str">
        <f t="shared" si="114"/>
        <v/>
      </c>
      <c r="AD494" s="4" t="str">
        <f>IF(A494="","",IF(COUNTIF($A$2:$A$501,A494)&gt;1,"异常：事件编号重复",IF(OR(C494="",D494="",E494="",F494="",G494=""),"异常：必填项缺失",IF(AND(F494="其他股权激励",O494=""),"异常：其他股权激励所得缺失",IF(AND(F494&lt;&gt;"其他股权激励",OR(I494="",J494="")),"异常：数量或市场价缺失",IF(AND(F494&lt;&gt;"其他股权激励",OR(I494&lt;=0,J494&lt;0)),"异常：数量或价格无效",IF(AND(F494="限制性股票",OR(M494&lt;=0,N494&lt;0,I494&gt;M494)),"异常：个人获授或出资数据无效",IF(AND(IFERROR(INDEX(计划参数!$J$2:$J$501,MATCH(C494,计划参数!$I$2:$I$501,0)),"")&lt;&gt;"",D494&lt;&gt;IFERROR(INDEX(计划参数!$J$2:$J$501,MATCH(C494,计划参数!$I$2:$I$501,0)),"")),"异常：姓名与员工主数据不一致",IF(S494&lt;0,"异常：原始所得为负，已按0计税",IF(OR(AND(F494="股票期权",K494=""),AND(F494="限制性股票",OR(K494="",L494=""))),"异常：计划参数缺失",IF(COUNTIF(计划参数!$I$2:$I$501,C494)=0,"提示：员工编号未在主数据",IF(Q494&lt;&gt;"已备案","提示：未确认备案","正常"))))))))))))</f>
        <v/>
      </c>
      <c r="AE494" s="9"/>
      <c r="AF494" s="4" t="str">
        <f>IF(C494="","",IF(COUNTIF($C$2:C494,C494)=1,MAX($AF$1:AF493)+1,""))</f>
        <v/>
      </c>
      <c r="AG494" s="4" t="str">
        <f>IF(C494="","",COUNTIF($C$2:C494,C494))</f>
        <v/>
      </c>
      <c r="AH494" s="4" t="str">
        <f t="shared" si="115"/>
        <v/>
      </c>
      <c r="AI494" s="4" t="str">
        <f t="shared" si="116"/>
        <v/>
      </c>
      <c r="AJ494" s="4" t="str">
        <f t="shared" si="117"/>
        <v/>
      </c>
      <c r="AK494" s="15" t="str">
        <f>IF(A494="","",SUMIFS(分期缴税台账!$K$2:$K$501,分期缴税台账!$T$2:$T$501,A494,分期缴税台账!$Q$2:$Q$501,"有效"))</f>
        <v/>
      </c>
      <c r="AL494" s="15" t="str">
        <f t="shared" si="118"/>
        <v/>
      </c>
      <c r="AM494" s="4" t="str">
        <f t="shared" si="119"/>
        <v/>
      </c>
    </row>
    <row r="495" spans="1:39" x14ac:dyDescent="0.3">
      <c r="A495" s="9"/>
      <c r="B495" s="4" t="str">
        <f t="shared" si="105"/>
        <v/>
      </c>
      <c r="C495" s="9"/>
      <c r="D495" s="9"/>
      <c r="E495" s="9"/>
      <c r="F495" s="9"/>
      <c r="G495" s="13"/>
      <c r="H495" s="4" t="str">
        <f t="shared" si="106"/>
        <v/>
      </c>
      <c r="I495" s="9"/>
      <c r="J495" s="14"/>
      <c r="K495" s="15" t="str">
        <f>IF(OR(E495="",F495="",G495=""),"",IF(E495&lt;&gt;计划参数!$C$2,"",IF(F495="股票期权",IFERROR(LOOKUP(G495,计划参数!$D$12:$D$15,计划参数!$C$12:$C$15),""),IF(F495="限制性股票",计划参数!$C$10,""))))</f>
        <v/>
      </c>
      <c r="L495" s="15" t="str">
        <f>IF(AND(E495=计划参数!$C$2,F495="限制性股票",G495&gt;=计划参数!$D$9),计划参数!$C$9,"")</f>
        <v/>
      </c>
      <c r="M495" s="9"/>
      <c r="N495" s="14"/>
      <c r="O495" s="14"/>
      <c r="P495" s="13"/>
      <c r="Q495" s="9"/>
      <c r="R495" s="13"/>
      <c r="S495" s="15" t="str">
        <f t="shared" si="107"/>
        <v/>
      </c>
      <c r="T495" s="15" t="str">
        <f t="shared" si="108"/>
        <v/>
      </c>
      <c r="U495" s="15" t="str">
        <f t="shared" si="109"/>
        <v/>
      </c>
      <c r="V495" s="15" t="str">
        <f t="shared" si="110"/>
        <v/>
      </c>
      <c r="W495" s="16" t="str">
        <f>IF(V495="","",VLOOKUP(V495,税率及规则!$A$2:$C$8,2,TRUE))</f>
        <v/>
      </c>
      <c r="X495" s="15" t="str">
        <f>IF(V495="","",VLOOKUP(V495,税率及规则!$A$2:$C$8,3,TRUE))</f>
        <v/>
      </c>
      <c r="Y495" s="15" t="str">
        <f t="shared" si="111"/>
        <v/>
      </c>
      <c r="Z495" s="15" t="str">
        <f>IF(U495="","",MAX(0,U495*VLOOKUP(U495,税率及规则!$A$2:$C$8,2,TRUE)-VLOOKUP(U495,税率及规则!$A$2:$C$8,3,TRUE)))</f>
        <v/>
      </c>
      <c r="AA495" s="15" t="str">
        <f t="shared" si="112"/>
        <v/>
      </c>
      <c r="AB495" s="17" t="str">
        <f t="shared" si="113"/>
        <v/>
      </c>
      <c r="AC495" s="17" t="str">
        <f t="shared" si="114"/>
        <v/>
      </c>
      <c r="AD495" s="4" t="str">
        <f>IF(A495="","",IF(COUNTIF($A$2:$A$501,A495)&gt;1,"异常：事件编号重复",IF(OR(C495="",D495="",E495="",F495="",G495=""),"异常：必填项缺失",IF(AND(F495="其他股权激励",O495=""),"异常：其他股权激励所得缺失",IF(AND(F495&lt;&gt;"其他股权激励",OR(I495="",J495="")),"异常：数量或市场价缺失",IF(AND(F495&lt;&gt;"其他股权激励",OR(I495&lt;=0,J495&lt;0)),"异常：数量或价格无效",IF(AND(F495="限制性股票",OR(M495&lt;=0,N495&lt;0,I495&gt;M495)),"异常：个人获授或出资数据无效",IF(AND(IFERROR(INDEX(计划参数!$J$2:$J$501,MATCH(C495,计划参数!$I$2:$I$501,0)),"")&lt;&gt;"",D495&lt;&gt;IFERROR(INDEX(计划参数!$J$2:$J$501,MATCH(C495,计划参数!$I$2:$I$501,0)),"")),"异常：姓名与员工主数据不一致",IF(S495&lt;0,"异常：原始所得为负，已按0计税",IF(OR(AND(F495="股票期权",K495=""),AND(F495="限制性股票",OR(K495="",L495=""))),"异常：计划参数缺失",IF(COUNTIF(计划参数!$I$2:$I$501,C495)=0,"提示：员工编号未在主数据",IF(Q495&lt;&gt;"已备案","提示：未确认备案","正常"))))))))))))</f>
        <v/>
      </c>
      <c r="AE495" s="9"/>
      <c r="AF495" s="4" t="str">
        <f>IF(C495="","",IF(COUNTIF($C$2:C495,C495)=1,MAX($AF$1:AF494)+1,""))</f>
        <v/>
      </c>
      <c r="AG495" s="4" t="str">
        <f>IF(C495="","",COUNTIF($C$2:C495,C495))</f>
        <v/>
      </c>
      <c r="AH495" s="4" t="str">
        <f t="shared" si="115"/>
        <v/>
      </c>
      <c r="AI495" s="4" t="str">
        <f t="shared" si="116"/>
        <v/>
      </c>
      <c r="AJ495" s="4" t="str">
        <f t="shared" si="117"/>
        <v/>
      </c>
      <c r="AK495" s="15" t="str">
        <f>IF(A495="","",SUMIFS(分期缴税台账!$K$2:$K$501,分期缴税台账!$T$2:$T$501,A495,分期缴税台账!$Q$2:$Q$501,"有效"))</f>
        <v/>
      </c>
      <c r="AL495" s="15" t="str">
        <f t="shared" si="118"/>
        <v/>
      </c>
      <c r="AM495" s="4" t="str">
        <f t="shared" si="119"/>
        <v/>
      </c>
    </row>
    <row r="496" spans="1:39" x14ac:dyDescent="0.3">
      <c r="A496" s="9"/>
      <c r="B496" s="4" t="str">
        <f t="shared" si="105"/>
        <v/>
      </c>
      <c r="C496" s="9"/>
      <c r="D496" s="9"/>
      <c r="E496" s="9"/>
      <c r="F496" s="9"/>
      <c r="G496" s="13"/>
      <c r="H496" s="4" t="str">
        <f t="shared" si="106"/>
        <v/>
      </c>
      <c r="I496" s="9"/>
      <c r="J496" s="14"/>
      <c r="K496" s="15" t="str">
        <f>IF(OR(E496="",F496="",G496=""),"",IF(E496&lt;&gt;计划参数!$C$2,"",IF(F496="股票期权",IFERROR(LOOKUP(G496,计划参数!$D$12:$D$15,计划参数!$C$12:$C$15),""),IF(F496="限制性股票",计划参数!$C$10,""))))</f>
        <v/>
      </c>
      <c r="L496" s="15" t="str">
        <f>IF(AND(E496=计划参数!$C$2,F496="限制性股票",G496&gt;=计划参数!$D$9),计划参数!$C$9,"")</f>
        <v/>
      </c>
      <c r="M496" s="9"/>
      <c r="N496" s="14"/>
      <c r="O496" s="14"/>
      <c r="P496" s="13"/>
      <c r="Q496" s="9"/>
      <c r="R496" s="13"/>
      <c r="S496" s="15" t="str">
        <f t="shared" si="107"/>
        <v/>
      </c>
      <c r="T496" s="15" t="str">
        <f t="shared" si="108"/>
        <v/>
      </c>
      <c r="U496" s="15" t="str">
        <f t="shared" si="109"/>
        <v/>
      </c>
      <c r="V496" s="15" t="str">
        <f t="shared" si="110"/>
        <v/>
      </c>
      <c r="W496" s="16" t="str">
        <f>IF(V496="","",VLOOKUP(V496,税率及规则!$A$2:$C$8,2,TRUE))</f>
        <v/>
      </c>
      <c r="X496" s="15" t="str">
        <f>IF(V496="","",VLOOKUP(V496,税率及规则!$A$2:$C$8,3,TRUE))</f>
        <v/>
      </c>
      <c r="Y496" s="15" t="str">
        <f t="shared" si="111"/>
        <v/>
      </c>
      <c r="Z496" s="15" t="str">
        <f>IF(U496="","",MAX(0,U496*VLOOKUP(U496,税率及规则!$A$2:$C$8,2,TRUE)-VLOOKUP(U496,税率及规则!$A$2:$C$8,3,TRUE)))</f>
        <v/>
      </c>
      <c r="AA496" s="15" t="str">
        <f t="shared" si="112"/>
        <v/>
      </c>
      <c r="AB496" s="17" t="str">
        <f t="shared" si="113"/>
        <v/>
      </c>
      <c r="AC496" s="17" t="str">
        <f t="shared" si="114"/>
        <v/>
      </c>
      <c r="AD496" s="4" t="str">
        <f>IF(A496="","",IF(COUNTIF($A$2:$A$501,A496)&gt;1,"异常：事件编号重复",IF(OR(C496="",D496="",E496="",F496="",G496=""),"异常：必填项缺失",IF(AND(F496="其他股权激励",O496=""),"异常：其他股权激励所得缺失",IF(AND(F496&lt;&gt;"其他股权激励",OR(I496="",J496="")),"异常：数量或市场价缺失",IF(AND(F496&lt;&gt;"其他股权激励",OR(I496&lt;=0,J496&lt;0)),"异常：数量或价格无效",IF(AND(F496="限制性股票",OR(M496&lt;=0,N496&lt;0,I496&gt;M496)),"异常：个人获授或出资数据无效",IF(AND(IFERROR(INDEX(计划参数!$J$2:$J$501,MATCH(C496,计划参数!$I$2:$I$501,0)),"")&lt;&gt;"",D496&lt;&gt;IFERROR(INDEX(计划参数!$J$2:$J$501,MATCH(C496,计划参数!$I$2:$I$501,0)),"")),"异常：姓名与员工主数据不一致",IF(S496&lt;0,"异常：原始所得为负，已按0计税",IF(OR(AND(F496="股票期权",K496=""),AND(F496="限制性股票",OR(K496="",L496=""))),"异常：计划参数缺失",IF(COUNTIF(计划参数!$I$2:$I$501,C496)=0,"提示：员工编号未在主数据",IF(Q496&lt;&gt;"已备案","提示：未确认备案","正常"))))))))))))</f>
        <v/>
      </c>
      <c r="AE496" s="9"/>
      <c r="AF496" s="4" t="str">
        <f>IF(C496="","",IF(COUNTIF($C$2:C496,C496)=1,MAX($AF$1:AF495)+1,""))</f>
        <v/>
      </c>
      <c r="AG496" s="4" t="str">
        <f>IF(C496="","",COUNTIF($C$2:C496,C496))</f>
        <v/>
      </c>
      <c r="AH496" s="4" t="str">
        <f t="shared" si="115"/>
        <v/>
      </c>
      <c r="AI496" s="4" t="str">
        <f t="shared" si="116"/>
        <v/>
      </c>
      <c r="AJ496" s="4" t="str">
        <f t="shared" si="117"/>
        <v/>
      </c>
      <c r="AK496" s="15" t="str">
        <f>IF(A496="","",SUMIFS(分期缴税台账!$K$2:$K$501,分期缴税台账!$T$2:$T$501,A496,分期缴税台账!$Q$2:$Q$501,"有效"))</f>
        <v/>
      </c>
      <c r="AL496" s="15" t="str">
        <f t="shared" si="118"/>
        <v/>
      </c>
      <c r="AM496" s="4" t="str">
        <f t="shared" si="119"/>
        <v/>
      </c>
    </row>
    <row r="497" spans="1:39" x14ac:dyDescent="0.3">
      <c r="A497" s="9"/>
      <c r="B497" s="4" t="str">
        <f t="shared" si="105"/>
        <v/>
      </c>
      <c r="C497" s="9"/>
      <c r="D497" s="9"/>
      <c r="E497" s="9"/>
      <c r="F497" s="9"/>
      <c r="G497" s="13"/>
      <c r="H497" s="4" t="str">
        <f t="shared" si="106"/>
        <v/>
      </c>
      <c r="I497" s="9"/>
      <c r="J497" s="14"/>
      <c r="K497" s="15" t="str">
        <f>IF(OR(E497="",F497="",G497=""),"",IF(E497&lt;&gt;计划参数!$C$2,"",IF(F497="股票期权",IFERROR(LOOKUP(G497,计划参数!$D$12:$D$15,计划参数!$C$12:$C$15),""),IF(F497="限制性股票",计划参数!$C$10,""))))</f>
        <v/>
      </c>
      <c r="L497" s="15" t="str">
        <f>IF(AND(E497=计划参数!$C$2,F497="限制性股票",G497&gt;=计划参数!$D$9),计划参数!$C$9,"")</f>
        <v/>
      </c>
      <c r="M497" s="9"/>
      <c r="N497" s="14"/>
      <c r="O497" s="14"/>
      <c r="P497" s="13"/>
      <c r="Q497" s="9"/>
      <c r="R497" s="13"/>
      <c r="S497" s="15" t="str">
        <f t="shared" si="107"/>
        <v/>
      </c>
      <c r="T497" s="15" t="str">
        <f t="shared" si="108"/>
        <v/>
      </c>
      <c r="U497" s="15" t="str">
        <f t="shared" si="109"/>
        <v/>
      </c>
      <c r="V497" s="15" t="str">
        <f t="shared" si="110"/>
        <v/>
      </c>
      <c r="W497" s="16" t="str">
        <f>IF(V497="","",VLOOKUP(V497,税率及规则!$A$2:$C$8,2,TRUE))</f>
        <v/>
      </c>
      <c r="X497" s="15" t="str">
        <f>IF(V497="","",VLOOKUP(V497,税率及规则!$A$2:$C$8,3,TRUE))</f>
        <v/>
      </c>
      <c r="Y497" s="15" t="str">
        <f t="shared" si="111"/>
        <v/>
      </c>
      <c r="Z497" s="15" t="str">
        <f>IF(U497="","",MAX(0,U497*VLOOKUP(U497,税率及规则!$A$2:$C$8,2,TRUE)-VLOOKUP(U497,税率及规则!$A$2:$C$8,3,TRUE)))</f>
        <v/>
      </c>
      <c r="AA497" s="15" t="str">
        <f t="shared" si="112"/>
        <v/>
      </c>
      <c r="AB497" s="17" t="str">
        <f t="shared" si="113"/>
        <v/>
      </c>
      <c r="AC497" s="17" t="str">
        <f t="shared" si="114"/>
        <v/>
      </c>
      <c r="AD497" s="4" t="str">
        <f>IF(A497="","",IF(COUNTIF($A$2:$A$501,A497)&gt;1,"异常：事件编号重复",IF(OR(C497="",D497="",E497="",F497="",G497=""),"异常：必填项缺失",IF(AND(F497="其他股权激励",O497=""),"异常：其他股权激励所得缺失",IF(AND(F497&lt;&gt;"其他股权激励",OR(I497="",J497="")),"异常：数量或市场价缺失",IF(AND(F497&lt;&gt;"其他股权激励",OR(I497&lt;=0,J497&lt;0)),"异常：数量或价格无效",IF(AND(F497="限制性股票",OR(M497&lt;=0,N497&lt;0,I497&gt;M497)),"异常：个人获授或出资数据无效",IF(AND(IFERROR(INDEX(计划参数!$J$2:$J$501,MATCH(C497,计划参数!$I$2:$I$501,0)),"")&lt;&gt;"",D497&lt;&gt;IFERROR(INDEX(计划参数!$J$2:$J$501,MATCH(C497,计划参数!$I$2:$I$501,0)),"")),"异常：姓名与员工主数据不一致",IF(S497&lt;0,"异常：原始所得为负，已按0计税",IF(OR(AND(F497="股票期权",K497=""),AND(F497="限制性股票",OR(K497="",L497=""))),"异常：计划参数缺失",IF(COUNTIF(计划参数!$I$2:$I$501,C497)=0,"提示：员工编号未在主数据",IF(Q497&lt;&gt;"已备案","提示：未确认备案","正常"))))))))))))</f>
        <v/>
      </c>
      <c r="AE497" s="9"/>
      <c r="AF497" s="4" t="str">
        <f>IF(C497="","",IF(COUNTIF($C$2:C497,C497)=1,MAX($AF$1:AF496)+1,""))</f>
        <v/>
      </c>
      <c r="AG497" s="4" t="str">
        <f>IF(C497="","",COUNTIF($C$2:C497,C497))</f>
        <v/>
      </c>
      <c r="AH497" s="4" t="str">
        <f t="shared" si="115"/>
        <v/>
      </c>
      <c r="AI497" s="4" t="str">
        <f t="shared" si="116"/>
        <v/>
      </c>
      <c r="AJ497" s="4" t="str">
        <f t="shared" si="117"/>
        <v/>
      </c>
      <c r="AK497" s="15" t="str">
        <f>IF(A497="","",SUMIFS(分期缴税台账!$K$2:$K$501,分期缴税台账!$T$2:$T$501,A497,分期缴税台账!$Q$2:$Q$501,"有效"))</f>
        <v/>
      </c>
      <c r="AL497" s="15" t="str">
        <f t="shared" si="118"/>
        <v/>
      </c>
      <c r="AM497" s="4" t="str">
        <f t="shared" si="119"/>
        <v/>
      </c>
    </row>
    <row r="498" spans="1:39" x14ac:dyDescent="0.3">
      <c r="A498" s="9"/>
      <c r="B498" s="4" t="str">
        <f t="shared" si="105"/>
        <v/>
      </c>
      <c r="C498" s="9"/>
      <c r="D498" s="9"/>
      <c r="E498" s="9"/>
      <c r="F498" s="9"/>
      <c r="G498" s="13"/>
      <c r="H498" s="4" t="str">
        <f t="shared" si="106"/>
        <v/>
      </c>
      <c r="I498" s="9"/>
      <c r="J498" s="14"/>
      <c r="K498" s="15" t="str">
        <f>IF(OR(E498="",F498="",G498=""),"",IF(E498&lt;&gt;计划参数!$C$2,"",IF(F498="股票期权",IFERROR(LOOKUP(G498,计划参数!$D$12:$D$15,计划参数!$C$12:$C$15),""),IF(F498="限制性股票",计划参数!$C$10,""))))</f>
        <v/>
      </c>
      <c r="L498" s="15" t="str">
        <f>IF(AND(E498=计划参数!$C$2,F498="限制性股票",G498&gt;=计划参数!$D$9),计划参数!$C$9,"")</f>
        <v/>
      </c>
      <c r="M498" s="9"/>
      <c r="N498" s="14"/>
      <c r="O498" s="14"/>
      <c r="P498" s="13"/>
      <c r="Q498" s="9"/>
      <c r="R498" s="13"/>
      <c r="S498" s="15" t="str">
        <f t="shared" si="107"/>
        <v/>
      </c>
      <c r="T498" s="15" t="str">
        <f t="shared" si="108"/>
        <v/>
      </c>
      <c r="U498" s="15" t="str">
        <f t="shared" si="109"/>
        <v/>
      </c>
      <c r="V498" s="15" t="str">
        <f t="shared" si="110"/>
        <v/>
      </c>
      <c r="W498" s="16" t="str">
        <f>IF(V498="","",VLOOKUP(V498,税率及规则!$A$2:$C$8,2,TRUE))</f>
        <v/>
      </c>
      <c r="X498" s="15" t="str">
        <f>IF(V498="","",VLOOKUP(V498,税率及规则!$A$2:$C$8,3,TRUE))</f>
        <v/>
      </c>
      <c r="Y498" s="15" t="str">
        <f t="shared" si="111"/>
        <v/>
      </c>
      <c r="Z498" s="15" t="str">
        <f>IF(U498="","",MAX(0,U498*VLOOKUP(U498,税率及规则!$A$2:$C$8,2,TRUE)-VLOOKUP(U498,税率及规则!$A$2:$C$8,3,TRUE)))</f>
        <v/>
      </c>
      <c r="AA498" s="15" t="str">
        <f t="shared" si="112"/>
        <v/>
      </c>
      <c r="AB498" s="17" t="str">
        <f t="shared" si="113"/>
        <v/>
      </c>
      <c r="AC498" s="17" t="str">
        <f t="shared" si="114"/>
        <v/>
      </c>
      <c r="AD498" s="4" t="str">
        <f>IF(A498="","",IF(COUNTIF($A$2:$A$501,A498)&gt;1,"异常：事件编号重复",IF(OR(C498="",D498="",E498="",F498="",G498=""),"异常：必填项缺失",IF(AND(F498="其他股权激励",O498=""),"异常：其他股权激励所得缺失",IF(AND(F498&lt;&gt;"其他股权激励",OR(I498="",J498="")),"异常：数量或市场价缺失",IF(AND(F498&lt;&gt;"其他股权激励",OR(I498&lt;=0,J498&lt;0)),"异常：数量或价格无效",IF(AND(F498="限制性股票",OR(M498&lt;=0,N498&lt;0,I498&gt;M498)),"异常：个人获授或出资数据无效",IF(AND(IFERROR(INDEX(计划参数!$J$2:$J$501,MATCH(C498,计划参数!$I$2:$I$501,0)),"")&lt;&gt;"",D498&lt;&gt;IFERROR(INDEX(计划参数!$J$2:$J$501,MATCH(C498,计划参数!$I$2:$I$501,0)),"")),"异常：姓名与员工主数据不一致",IF(S498&lt;0,"异常：原始所得为负，已按0计税",IF(OR(AND(F498="股票期权",K498=""),AND(F498="限制性股票",OR(K498="",L498=""))),"异常：计划参数缺失",IF(COUNTIF(计划参数!$I$2:$I$501,C498)=0,"提示：员工编号未在主数据",IF(Q498&lt;&gt;"已备案","提示：未确认备案","正常"))))))))))))</f>
        <v/>
      </c>
      <c r="AE498" s="9"/>
      <c r="AF498" s="4" t="str">
        <f>IF(C498="","",IF(COUNTIF($C$2:C498,C498)=1,MAX($AF$1:AF497)+1,""))</f>
        <v/>
      </c>
      <c r="AG498" s="4" t="str">
        <f>IF(C498="","",COUNTIF($C$2:C498,C498))</f>
        <v/>
      </c>
      <c r="AH498" s="4" t="str">
        <f t="shared" si="115"/>
        <v/>
      </c>
      <c r="AI498" s="4" t="str">
        <f t="shared" si="116"/>
        <v/>
      </c>
      <c r="AJ498" s="4" t="str">
        <f t="shared" si="117"/>
        <v/>
      </c>
      <c r="AK498" s="15" t="str">
        <f>IF(A498="","",SUMIFS(分期缴税台账!$K$2:$K$501,分期缴税台账!$T$2:$T$501,A498,分期缴税台账!$Q$2:$Q$501,"有效"))</f>
        <v/>
      </c>
      <c r="AL498" s="15" t="str">
        <f t="shared" si="118"/>
        <v/>
      </c>
      <c r="AM498" s="4" t="str">
        <f t="shared" si="119"/>
        <v/>
      </c>
    </row>
    <row r="499" spans="1:39" x14ac:dyDescent="0.3">
      <c r="A499" s="9"/>
      <c r="B499" s="4" t="str">
        <f t="shared" si="105"/>
        <v/>
      </c>
      <c r="C499" s="9"/>
      <c r="D499" s="9"/>
      <c r="E499" s="9"/>
      <c r="F499" s="9"/>
      <c r="G499" s="13"/>
      <c r="H499" s="4" t="str">
        <f t="shared" si="106"/>
        <v/>
      </c>
      <c r="I499" s="9"/>
      <c r="J499" s="14"/>
      <c r="K499" s="15" t="str">
        <f>IF(OR(E499="",F499="",G499=""),"",IF(E499&lt;&gt;计划参数!$C$2,"",IF(F499="股票期权",IFERROR(LOOKUP(G499,计划参数!$D$12:$D$15,计划参数!$C$12:$C$15),""),IF(F499="限制性股票",计划参数!$C$10,""))))</f>
        <v/>
      </c>
      <c r="L499" s="15" t="str">
        <f>IF(AND(E499=计划参数!$C$2,F499="限制性股票",G499&gt;=计划参数!$D$9),计划参数!$C$9,"")</f>
        <v/>
      </c>
      <c r="M499" s="9"/>
      <c r="N499" s="14"/>
      <c r="O499" s="14"/>
      <c r="P499" s="13"/>
      <c r="Q499" s="9"/>
      <c r="R499" s="13"/>
      <c r="S499" s="15" t="str">
        <f t="shared" si="107"/>
        <v/>
      </c>
      <c r="T499" s="15" t="str">
        <f t="shared" si="108"/>
        <v/>
      </c>
      <c r="U499" s="15" t="str">
        <f t="shared" si="109"/>
        <v/>
      </c>
      <c r="V499" s="15" t="str">
        <f t="shared" si="110"/>
        <v/>
      </c>
      <c r="W499" s="16" t="str">
        <f>IF(V499="","",VLOOKUP(V499,税率及规则!$A$2:$C$8,2,TRUE))</f>
        <v/>
      </c>
      <c r="X499" s="15" t="str">
        <f>IF(V499="","",VLOOKUP(V499,税率及规则!$A$2:$C$8,3,TRUE))</f>
        <v/>
      </c>
      <c r="Y499" s="15" t="str">
        <f t="shared" si="111"/>
        <v/>
      </c>
      <c r="Z499" s="15" t="str">
        <f>IF(U499="","",MAX(0,U499*VLOOKUP(U499,税率及规则!$A$2:$C$8,2,TRUE)-VLOOKUP(U499,税率及规则!$A$2:$C$8,3,TRUE)))</f>
        <v/>
      </c>
      <c r="AA499" s="15" t="str">
        <f t="shared" si="112"/>
        <v/>
      </c>
      <c r="AB499" s="17" t="str">
        <f t="shared" si="113"/>
        <v/>
      </c>
      <c r="AC499" s="17" t="str">
        <f t="shared" si="114"/>
        <v/>
      </c>
      <c r="AD499" s="4" t="str">
        <f>IF(A499="","",IF(COUNTIF($A$2:$A$501,A499)&gt;1,"异常：事件编号重复",IF(OR(C499="",D499="",E499="",F499="",G499=""),"异常：必填项缺失",IF(AND(F499="其他股权激励",O499=""),"异常：其他股权激励所得缺失",IF(AND(F499&lt;&gt;"其他股权激励",OR(I499="",J499="")),"异常：数量或市场价缺失",IF(AND(F499&lt;&gt;"其他股权激励",OR(I499&lt;=0,J499&lt;0)),"异常：数量或价格无效",IF(AND(F499="限制性股票",OR(M499&lt;=0,N499&lt;0,I499&gt;M499)),"异常：个人获授或出资数据无效",IF(AND(IFERROR(INDEX(计划参数!$J$2:$J$501,MATCH(C499,计划参数!$I$2:$I$501,0)),"")&lt;&gt;"",D499&lt;&gt;IFERROR(INDEX(计划参数!$J$2:$J$501,MATCH(C499,计划参数!$I$2:$I$501,0)),"")),"异常：姓名与员工主数据不一致",IF(S499&lt;0,"异常：原始所得为负，已按0计税",IF(OR(AND(F499="股票期权",K499=""),AND(F499="限制性股票",OR(K499="",L499=""))),"异常：计划参数缺失",IF(COUNTIF(计划参数!$I$2:$I$501,C499)=0,"提示：员工编号未在主数据",IF(Q499&lt;&gt;"已备案","提示：未确认备案","正常"))))))))))))</f>
        <v/>
      </c>
      <c r="AE499" s="9"/>
      <c r="AF499" s="4" t="str">
        <f>IF(C499="","",IF(COUNTIF($C$2:C499,C499)=1,MAX($AF$1:AF498)+1,""))</f>
        <v/>
      </c>
      <c r="AG499" s="4" t="str">
        <f>IF(C499="","",COUNTIF($C$2:C499,C499))</f>
        <v/>
      </c>
      <c r="AH499" s="4" t="str">
        <f t="shared" si="115"/>
        <v/>
      </c>
      <c r="AI499" s="4" t="str">
        <f t="shared" si="116"/>
        <v/>
      </c>
      <c r="AJ499" s="4" t="str">
        <f t="shared" si="117"/>
        <v/>
      </c>
      <c r="AK499" s="15" t="str">
        <f>IF(A499="","",SUMIFS(分期缴税台账!$K$2:$K$501,分期缴税台账!$T$2:$T$501,A499,分期缴税台账!$Q$2:$Q$501,"有效"))</f>
        <v/>
      </c>
      <c r="AL499" s="15" t="str">
        <f t="shared" si="118"/>
        <v/>
      </c>
      <c r="AM499" s="4" t="str">
        <f t="shared" si="119"/>
        <v/>
      </c>
    </row>
    <row r="500" spans="1:39" x14ac:dyDescent="0.3">
      <c r="A500" s="9"/>
      <c r="B500" s="4" t="str">
        <f t="shared" si="105"/>
        <v/>
      </c>
      <c r="C500" s="9"/>
      <c r="D500" s="9"/>
      <c r="E500" s="9"/>
      <c r="F500" s="9"/>
      <c r="G500" s="13"/>
      <c r="H500" s="4" t="str">
        <f t="shared" si="106"/>
        <v/>
      </c>
      <c r="I500" s="9"/>
      <c r="J500" s="14"/>
      <c r="K500" s="15" t="str">
        <f>IF(OR(E500="",F500="",G500=""),"",IF(E500&lt;&gt;计划参数!$C$2,"",IF(F500="股票期权",IFERROR(LOOKUP(G500,计划参数!$D$12:$D$15,计划参数!$C$12:$C$15),""),IF(F500="限制性股票",计划参数!$C$10,""))))</f>
        <v/>
      </c>
      <c r="L500" s="15" t="str">
        <f>IF(AND(E500=计划参数!$C$2,F500="限制性股票",G500&gt;=计划参数!$D$9),计划参数!$C$9,"")</f>
        <v/>
      </c>
      <c r="M500" s="9"/>
      <c r="N500" s="14"/>
      <c r="O500" s="14"/>
      <c r="P500" s="13"/>
      <c r="Q500" s="9"/>
      <c r="R500" s="13"/>
      <c r="S500" s="15" t="str">
        <f t="shared" si="107"/>
        <v/>
      </c>
      <c r="T500" s="15" t="str">
        <f t="shared" si="108"/>
        <v/>
      </c>
      <c r="U500" s="15" t="str">
        <f t="shared" si="109"/>
        <v/>
      </c>
      <c r="V500" s="15" t="str">
        <f t="shared" si="110"/>
        <v/>
      </c>
      <c r="W500" s="16" t="str">
        <f>IF(V500="","",VLOOKUP(V500,税率及规则!$A$2:$C$8,2,TRUE))</f>
        <v/>
      </c>
      <c r="X500" s="15" t="str">
        <f>IF(V500="","",VLOOKUP(V500,税率及规则!$A$2:$C$8,3,TRUE))</f>
        <v/>
      </c>
      <c r="Y500" s="15" t="str">
        <f t="shared" si="111"/>
        <v/>
      </c>
      <c r="Z500" s="15" t="str">
        <f>IF(U500="","",MAX(0,U500*VLOOKUP(U500,税率及规则!$A$2:$C$8,2,TRUE)-VLOOKUP(U500,税率及规则!$A$2:$C$8,3,TRUE)))</f>
        <v/>
      </c>
      <c r="AA500" s="15" t="str">
        <f t="shared" si="112"/>
        <v/>
      </c>
      <c r="AB500" s="17" t="str">
        <f t="shared" si="113"/>
        <v/>
      </c>
      <c r="AC500" s="17" t="str">
        <f t="shared" si="114"/>
        <v/>
      </c>
      <c r="AD500" s="4" t="str">
        <f>IF(A500="","",IF(COUNTIF($A$2:$A$501,A500)&gt;1,"异常：事件编号重复",IF(OR(C500="",D500="",E500="",F500="",G500=""),"异常：必填项缺失",IF(AND(F500="其他股权激励",O500=""),"异常：其他股权激励所得缺失",IF(AND(F500&lt;&gt;"其他股权激励",OR(I500="",J500="")),"异常：数量或市场价缺失",IF(AND(F500&lt;&gt;"其他股权激励",OR(I500&lt;=0,J500&lt;0)),"异常：数量或价格无效",IF(AND(F500="限制性股票",OR(M500&lt;=0,N500&lt;0,I500&gt;M500)),"异常：个人获授或出资数据无效",IF(AND(IFERROR(INDEX(计划参数!$J$2:$J$501,MATCH(C500,计划参数!$I$2:$I$501,0)),"")&lt;&gt;"",D500&lt;&gt;IFERROR(INDEX(计划参数!$J$2:$J$501,MATCH(C500,计划参数!$I$2:$I$501,0)),"")),"异常：姓名与员工主数据不一致",IF(S500&lt;0,"异常：原始所得为负，已按0计税",IF(OR(AND(F500="股票期权",K500=""),AND(F500="限制性股票",OR(K500="",L500=""))),"异常：计划参数缺失",IF(COUNTIF(计划参数!$I$2:$I$501,C500)=0,"提示：员工编号未在主数据",IF(Q500&lt;&gt;"已备案","提示：未确认备案","正常"))))))))))))</f>
        <v/>
      </c>
      <c r="AE500" s="9"/>
      <c r="AF500" s="4" t="str">
        <f>IF(C500="","",IF(COUNTIF($C$2:C500,C500)=1,MAX($AF$1:AF499)+1,""))</f>
        <v/>
      </c>
      <c r="AG500" s="4" t="str">
        <f>IF(C500="","",COUNTIF($C$2:C500,C500))</f>
        <v/>
      </c>
      <c r="AH500" s="4" t="str">
        <f t="shared" si="115"/>
        <v/>
      </c>
      <c r="AI500" s="4" t="str">
        <f t="shared" si="116"/>
        <v/>
      </c>
      <c r="AJ500" s="4" t="str">
        <f t="shared" si="117"/>
        <v/>
      </c>
      <c r="AK500" s="15" t="str">
        <f>IF(A500="","",SUMIFS(分期缴税台账!$K$2:$K$501,分期缴税台账!$T$2:$T$501,A500,分期缴税台账!$Q$2:$Q$501,"有效"))</f>
        <v/>
      </c>
      <c r="AL500" s="15" t="str">
        <f t="shared" si="118"/>
        <v/>
      </c>
      <c r="AM500" s="4" t="str">
        <f t="shared" si="119"/>
        <v/>
      </c>
    </row>
    <row r="501" spans="1:39" x14ac:dyDescent="0.3">
      <c r="A501" s="9"/>
      <c r="B501" s="4" t="str">
        <f t="shared" si="105"/>
        <v/>
      </c>
      <c r="C501" s="9"/>
      <c r="D501" s="9"/>
      <c r="E501" s="9"/>
      <c r="F501" s="9"/>
      <c r="G501" s="13"/>
      <c r="H501" s="4" t="str">
        <f t="shared" si="106"/>
        <v/>
      </c>
      <c r="I501" s="9"/>
      <c r="J501" s="14"/>
      <c r="K501" s="15" t="str">
        <f>IF(OR(E501="",F501="",G501=""),"",IF(E501&lt;&gt;计划参数!$C$2,"",IF(F501="股票期权",IFERROR(LOOKUP(G501,计划参数!$D$12:$D$15,计划参数!$C$12:$C$15),""),IF(F501="限制性股票",计划参数!$C$10,""))))</f>
        <v/>
      </c>
      <c r="L501" s="15" t="str">
        <f>IF(AND(E501=计划参数!$C$2,F501="限制性股票",G501&gt;=计划参数!$D$9),计划参数!$C$9,"")</f>
        <v/>
      </c>
      <c r="M501" s="9"/>
      <c r="N501" s="14"/>
      <c r="O501" s="14"/>
      <c r="P501" s="13"/>
      <c r="Q501" s="9"/>
      <c r="R501" s="13"/>
      <c r="S501" s="15" t="str">
        <f t="shared" si="107"/>
        <v/>
      </c>
      <c r="T501" s="15" t="str">
        <f t="shared" si="108"/>
        <v/>
      </c>
      <c r="U501" s="15" t="str">
        <f t="shared" si="109"/>
        <v/>
      </c>
      <c r="V501" s="15" t="str">
        <f t="shared" si="110"/>
        <v/>
      </c>
      <c r="W501" s="16" t="str">
        <f>IF(V501="","",VLOOKUP(V501,税率及规则!$A$2:$C$8,2,TRUE))</f>
        <v/>
      </c>
      <c r="X501" s="15" t="str">
        <f>IF(V501="","",VLOOKUP(V501,税率及规则!$A$2:$C$8,3,TRUE))</f>
        <v/>
      </c>
      <c r="Y501" s="15" t="str">
        <f t="shared" si="111"/>
        <v/>
      </c>
      <c r="Z501" s="15" t="str">
        <f>IF(U501="","",MAX(0,U501*VLOOKUP(U501,税率及规则!$A$2:$C$8,2,TRUE)-VLOOKUP(U501,税率及规则!$A$2:$C$8,3,TRUE)))</f>
        <v/>
      </c>
      <c r="AA501" s="15" t="str">
        <f t="shared" si="112"/>
        <v/>
      </c>
      <c r="AB501" s="17" t="str">
        <f t="shared" si="113"/>
        <v/>
      </c>
      <c r="AC501" s="17" t="str">
        <f t="shared" si="114"/>
        <v/>
      </c>
      <c r="AD501" s="4" t="str">
        <f>IF(A501="","",IF(COUNTIF($A$2:$A$501,A501)&gt;1,"异常：事件编号重复",IF(OR(C501="",D501="",E501="",F501="",G501=""),"异常：必填项缺失",IF(AND(F501="其他股权激励",O501=""),"异常：其他股权激励所得缺失",IF(AND(F501&lt;&gt;"其他股权激励",OR(I501="",J501="")),"异常：数量或市场价缺失",IF(AND(F501&lt;&gt;"其他股权激励",OR(I501&lt;=0,J501&lt;0)),"异常：数量或价格无效",IF(AND(F501="限制性股票",OR(M501&lt;=0,N501&lt;0,I501&gt;M501)),"异常：个人获授或出资数据无效",IF(AND(IFERROR(INDEX(计划参数!$J$2:$J$501,MATCH(C501,计划参数!$I$2:$I$501,0)),"")&lt;&gt;"",D501&lt;&gt;IFERROR(INDEX(计划参数!$J$2:$J$501,MATCH(C501,计划参数!$I$2:$I$501,0)),"")),"异常：姓名与员工主数据不一致",IF(S501&lt;0,"异常：原始所得为负，已按0计税",IF(OR(AND(F501="股票期权",K501=""),AND(F501="限制性股票",OR(K501="",L501=""))),"异常：计划参数缺失",IF(COUNTIF(计划参数!$I$2:$I$501,C501)=0,"提示：员工编号未在主数据",IF(Q501&lt;&gt;"已备案","提示：未确认备案","正常"))))))))))))</f>
        <v/>
      </c>
      <c r="AE501" s="9"/>
      <c r="AF501" s="4" t="str">
        <f>IF(C501="","",IF(COUNTIF($C$2:C501,C501)=1,MAX($AF$1:AF500)+1,""))</f>
        <v/>
      </c>
      <c r="AG501" s="4" t="str">
        <f>IF(C501="","",COUNTIF($C$2:C501,C501))</f>
        <v/>
      </c>
      <c r="AH501" s="4" t="str">
        <f t="shared" si="115"/>
        <v/>
      </c>
      <c r="AI501" s="4" t="str">
        <f t="shared" si="116"/>
        <v/>
      </c>
      <c r="AJ501" s="4" t="str">
        <f t="shared" si="117"/>
        <v/>
      </c>
      <c r="AK501" s="15" t="str">
        <f>IF(A501="","",SUMIFS(分期缴税台账!$K$2:$K$501,分期缴税台账!$T$2:$T$501,A501,分期缴税台账!$Q$2:$Q$501,"有效"))</f>
        <v/>
      </c>
      <c r="AL501" s="15" t="str">
        <f t="shared" si="118"/>
        <v/>
      </c>
      <c r="AM501" s="4" t="str">
        <f t="shared" si="119"/>
        <v/>
      </c>
    </row>
  </sheetData>
  <sheetProtection sheet="1" selectLockedCells="1" sort="0" autoFilter="0" selectUnlockedCells="1"/>
  <phoneticPr fontId="7" type="noConversion"/>
  <conditionalFormatting sqref="AD2:AD501">
    <cfRule type="expression" dxfId="2" priority="1">
      <formula>LEFT(AD2,2)="异常"</formula>
    </cfRule>
  </conditionalFormatting>
  <dataValidations count="7">
    <dataValidation type="list" allowBlank="1" showInputMessage="1" showErrorMessage="1" errorTitle="输入无效" error="请选择下拉列表中的有效值。" promptTitle="可选值" prompt="请从下拉列表选择。" sqref="E2:E501" xr:uid="{00000000-0002-0000-0200-000000000000}">
      <formula1>"2023年股票期权与限制性股票激励计划"</formula1>
    </dataValidation>
    <dataValidation type="list" allowBlank="1" showInputMessage="1" showErrorMessage="1" errorTitle="输入无效" error="请选择下拉列表中的有效值。" promptTitle="可选值" prompt="请从下拉列表选择。" sqref="F2:F501" xr:uid="{00000000-0002-0000-0200-000001000000}">
      <formula1>"股票期权,限制性股票,其他股权激励"</formula1>
    </dataValidation>
    <dataValidation type="list" allowBlank="1" showInputMessage="1" showErrorMessage="1" errorTitle="输入无效" error="请选择下拉列表中的有效值。" promptTitle="可选值" prompt="请从下拉列表选择。" sqref="Q2:Q501" xr:uid="{00000000-0002-0000-0200-000002000000}">
      <formula1>"已备案,未备案,待确认"</formula1>
    </dataValidation>
    <dataValidation type="list" errorStyle="information" allowBlank="1" showErrorMessage="1" errorTitle="员工编号未在主数据" error="可继续录入，但请同步补充计划参数表员工主数据。" sqref="C2:C501" xr:uid="{00000000-0002-0000-0200-000003000000}">
      <formula1>员工主数据编号</formula1>
    </dataValidation>
    <dataValidation type="date" allowBlank="1" showErrorMessage="1" errorTitle="日期无效" error="请输入2024-01-01至2035-12-31之间的日期。" sqref="G2:G501 P2:P501 R2:R501" xr:uid="{00000000-0002-0000-0200-000004000000}">
      <formula1>DATE(2024,1,1)</formula1>
      <formula2>DATE(2035,12,31)</formula2>
    </dataValidation>
    <dataValidation type="decimal" operator="greaterThan" allowBlank="1" showErrorMessage="1" errorTitle="数值无效" error="请输入符合条件的非负数字。" sqref="I2:I501" xr:uid="{00000000-0002-0000-0200-000005000000}">
      <formula1>0</formula1>
    </dataValidation>
    <dataValidation type="decimal" operator="greaterThanOrEqual" allowBlank="1" showErrorMessage="1" errorTitle="数值无效" error="请输入符合条件的非负数字。" sqref="J2:J501 M2:O501" xr:uid="{00000000-0002-0000-0200-000006000000}">
      <formula1>0</formula1>
    </dataValidation>
  </dataValidations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01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12" customWidth="1"/>
    <col min="3" max="3" width="10" customWidth="1"/>
    <col min="4" max="4" width="18" customWidth="1"/>
    <col min="5" max="6" width="20" customWidth="1"/>
    <col min="7" max="7" width="24" customWidth="1"/>
    <col min="8" max="8" width="10" customWidth="1"/>
    <col min="9" max="9" width="14" customWidth="1"/>
    <col min="10" max="10" width="18" customWidth="1"/>
    <col min="11" max="12" width="16" customWidth="1"/>
    <col min="13" max="13" width="18" customWidth="1"/>
    <col min="14" max="14" width="22" customWidth="1"/>
    <col min="15" max="15" width="14" customWidth="1"/>
    <col min="16" max="16" width="18" customWidth="1"/>
  </cols>
  <sheetData>
    <row r="1" spans="1:16" ht="32" customHeight="1" x14ac:dyDescent="0.3">
      <c r="A1" s="6" t="s">
        <v>39</v>
      </c>
      <c r="B1" s="6" t="s">
        <v>40</v>
      </c>
      <c r="C1" s="6" t="s">
        <v>90</v>
      </c>
      <c r="D1" s="6" t="s">
        <v>128</v>
      </c>
      <c r="E1" s="6" t="s">
        <v>129</v>
      </c>
      <c r="F1" s="6" t="s">
        <v>130</v>
      </c>
      <c r="G1" s="6" t="s">
        <v>131</v>
      </c>
      <c r="H1" s="6" t="s">
        <v>105</v>
      </c>
      <c r="I1" s="6" t="s">
        <v>106</v>
      </c>
      <c r="J1" s="6" t="s">
        <v>132</v>
      </c>
      <c r="K1" s="6" t="s">
        <v>133</v>
      </c>
      <c r="L1" s="6" t="s">
        <v>134</v>
      </c>
      <c r="M1" s="6" t="s">
        <v>135</v>
      </c>
      <c r="N1" s="6" t="s">
        <v>136</v>
      </c>
      <c r="O1" s="6" t="s">
        <v>137</v>
      </c>
      <c r="P1" s="6" t="s">
        <v>138</v>
      </c>
    </row>
    <row r="2" spans="1:16" x14ac:dyDescent="0.3">
      <c r="A2" s="9" t="s">
        <v>46</v>
      </c>
      <c r="B2" s="4" t="str">
        <f>IF(A2="","",IFERROR(INDEX(激励事件明细!$D$2:$D$501,MATCH(A2,激励事件明细!$C$2:$C$501,0)),""))</f>
        <v>演示员工</v>
      </c>
      <c r="C2" s="9">
        <v>2025</v>
      </c>
      <c r="D2" s="15">
        <f>IF(OR(A2="",C2=""),"",SUMIFS(激励事件明细!$T$2:$T$501,激励事件明细!$C$2:$C$501,A2,激励事件明细!$H$2:$H$501,C2,激励事件明细!$F$2:$F$501,"股票期权"))</f>
        <v>162000</v>
      </c>
      <c r="E2" s="15">
        <f>IF(OR(A2="",C2=""),"",SUMIFS(激励事件明细!$T$2:$T$501,激励事件明细!$C$2:$C$501,A2,激励事件明细!$H$2:$H$501,C2,激励事件明细!$F$2:$F$501,"限制性股票"))</f>
        <v>337500</v>
      </c>
      <c r="F2" s="15">
        <f>IF(OR(A2="",C2=""),"",SUMIFS(激励事件明细!$T$2:$T$501,激励事件明细!$C$2:$C$501,A2,激励事件明细!$H$2:$H$501,C2,激励事件明细!$F$2:$F$501,"其他股权激励"))</f>
        <v>0</v>
      </c>
      <c r="G2" s="15">
        <f t="shared" ref="G2:G33" si="0">IF(A2="","",SUM(D2:F2))</f>
        <v>499500</v>
      </c>
      <c r="H2" s="16">
        <f>IF(G2="","",VLOOKUP(G2,税率及规则!$A$2:$C$8,2,TRUE))</f>
        <v>0.3</v>
      </c>
      <c r="I2" s="15">
        <f>IF(G2="","",VLOOKUP(G2,税率及规则!$A$2:$C$8,3,TRUE))</f>
        <v>52920</v>
      </c>
      <c r="J2" s="15">
        <f t="shared" ref="J2:J33" si="1">IF(G2="","",MAX(0,G2*H2-I2))</f>
        <v>96930</v>
      </c>
      <c r="K2" s="15">
        <f>IF(A2="","",SUMIFS(分期缴税台账!$K$2:$K$501,分期缴税台账!$A$2:$A$501,A2,分期缴税台账!$C$2:$C$501,C2,分期缴税台账!$Q$2:$Q$501,"有效"))</f>
        <v>0</v>
      </c>
      <c r="L2" s="15">
        <f t="shared" ref="L2:L33" si="2">IF(J2="","",MAX(0,J2-K2))</f>
        <v>96930</v>
      </c>
      <c r="M2" s="4">
        <f>IF(A2="","",COUNTIFS(激励事件明细!$C$2:$C$501,A2,激励事件明细!$H$2:$H$501,C2,激励事件明细!$AA$2:$AA$501,"&gt;0"))</f>
        <v>2</v>
      </c>
      <c r="N2" s="4" t="str">
        <f>IF(OR(A2="",C2=""),"",IFERROR(INDEX(激励事件明细!$A$2:$A$501,MATCH(A2&amp;"|"&amp;C2&amp;"|1",激励事件明细!$AM$2:$AM$501,0)),""))</f>
        <v>DEMO-OPT-001</v>
      </c>
      <c r="O2" s="17">
        <f>IF(N2="","",IFERROR(INDEX(激励事件明细!$AC$2:$AC$501,MATCH(N2,激励事件明细!$A$2:$A$501,0)),""))</f>
        <v>46761</v>
      </c>
      <c r="P2" s="4" t="str">
        <f t="shared" ref="P2:P33" ca="1" si="3">IF(A2="","",IF(M2=0,"",IF(K2&gt;J2,"异常：超额缴税",IF(L2=0,"已缴清",IF(AND(O2&lt;TODAY(),L2&gt;0),"逾期未缴","未缴清")))))</f>
        <v>未缴清</v>
      </c>
    </row>
    <row r="3" spans="1:16" x14ac:dyDescent="0.3">
      <c r="A3" s="9"/>
      <c r="B3" s="4" t="str">
        <f>IF(A3="","",IFERROR(INDEX(激励事件明细!$D$2:$D$501,MATCH(A3,激励事件明细!$C$2:$C$501,0)),""))</f>
        <v/>
      </c>
      <c r="C3" s="9"/>
      <c r="D3" s="15" t="str">
        <f>IF(OR(A3="",C3=""),"",SUMIFS(激励事件明细!$T$2:$T$501,激励事件明细!$C$2:$C$501,A3,激励事件明细!$H$2:$H$501,C3,激励事件明细!$F$2:$F$501,"股票期权"))</f>
        <v/>
      </c>
      <c r="E3" s="15" t="str">
        <f>IF(OR(A3="",C3=""),"",SUMIFS(激励事件明细!$T$2:$T$501,激励事件明细!$C$2:$C$501,A3,激励事件明细!$H$2:$H$501,C3,激励事件明细!$F$2:$F$501,"限制性股票"))</f>
        <v/>
      </c>
      <c r="F3" s="15" t="str">
        <f>IF(OR(A3="",C3=""),"",SUMIFS(激励事件明细!$T$2:$T$501,激励事件明细!$C$2:$C$501,A3,激励事件明细!$H$2:$H$501,C3,激励事件明细!$F$2:$F$501,"其他股权激励"))</f>
        <v/>
      </c>
      <c r="G3" s="15" t="str">
        <f t="shared" si="0"/>
        <v/>
      </c>
      <c r="H3" s="16" t="str">
        <f>IF(G3="","",VLOOKUP(G3,税率及规则!$A$2:$C$8,2,TRUE))</f>
        <v/>
      </c>
      <c r="I3" s="15" t="str">
        <f>IF(G3="","",VLOOKUP(G3,税率及规则!$A$2:$C$8,3,TRUE))</f>
        <v/>
      </c>
      <c r="J3" s="15" t="str">
        <f t="shared" si="1"/>
        <v/>
      </c>
      <c r="K3" s="15" t="str">
        <f>IF(A3="","",SUMIFS(分期缴税台账!$K$2:$K$501,分期缴税台账!$A$2:$A$501,A3,分期缴税台账!$C$2:$C$501,C3,分期缴税台账!$Q$2:$Q$501,"有效"))</f>
        <v/>
      </c>
      <c r="L3" s="15" t="str">
        <f t="shared" si="2"/>
        <v/>
      </c>
      <c r="M3" s="4" t="str">
        <f>IF(A3="","",COUNTIFS(激励事件明细!$C$2:$C$501,A3,激励事件明细!$H$2:$H$501,C3,激励事件明细!$AA$2:$AA$501,"&gt;0"))</f>
        <v/>
      </c>
      <c r="N3" s="4" t="str">
        <f>IF(OR(A3="",C3=""),"",IFERROR(INDEX(激励事件明细!$A$2:$A$501,MATCH(A3&amp;"|"&amp;C3&amp;"|1",激励事件明细!$AM$2:$AM$501,0)),""))</f>
        <v/>
      </c>
      <c r="O3" s="17" t="str">
        <f>IF(N3="","",IFERROR(INDEX(激励事件明细!$AC$2:$AC$501,MATCH(N3,激励事件明细!$A$2:$A$501,0)),""))</f>
        <v/>
      </c>
      <c r="P3" s="4" t="str">
        <f t="shared" ca="1" si="3"/>
        <v/>
      </c>
    </row>
    <row r="4" spans="1:16" x14ac:dyDescent="0.3">
      <c r="A4" s="9"/>
      <c r="B4" s="4" t="str">
        <f>IF(A4="","",IFERROR(INDEX(激励事件明细!$D$2:$D$501,MATCH(A4,激励事件明细!$C$2:$C$501,0)),""))</f>
        <v/>
      </c>
      <c r="C4" s="9"/>
      <c r="D4" s="15" t="str">
        <f>IF(OR(A4="",C4=""),"",SUMIFS(激励事件明细!$T$2:$T$501,激励事件明细!$C$2:$C$501,A4,激励事件明细!$H$2:$H$501,C4,激励事件明细!$F$2:$F$501,"股票期权"))</f>
        <v/>
      </c>
      <c r="E4" s="15" t="str">
        <f>IF(OR(A4="",C4=""),"",SUMIFS(激励事件明细!$T$2:$T$501,激励事件明细!$C$2:$C$501,A4,激励事件明细!$H$2:$H$501,C4,激励事件明细!$F$2:$F$501,"限制性股票"))</f>
        <v/>
      </c>
      <c r="F4" s="15" t="str">
        <f>IF(OR(A4="",C4=""),"",SUMIFS(激励事件明细!$T$2:$T$501,激励事件明细!$C$2:$C$501,A4,激励事件明细!$H$2:$H$501,C4,激励事件明细!$F$2:$F$501,"其他股权激励"))</f>
        <v/>
      </c>
      <c r="G4" s="15" t="str">
        <f t="shared" si="0"/>
        <v/>
      </c>
      <c r="H4" s="16" t="str">
        <f>IF(G4="","",VLOOKUP(G4,税率及规则!$A$2:$C$8,2,TRUE))</f>
        <v/>
      </c>
      <c r="I4" s="15" t="str">
        <f>IF(G4="","",VLOOKUP(G4,税率及规则!$A$2:$C$8,3,TRUE))</f>
        <v/>
      </c>
      <c r="J4" s="15" t="str">
        <f t="shared" si="1"/>
        <v/>
      </c>
      <c r="K4" s="15" t="str">
        <f>IF(A4="","",SUMIFS(分期缴税台账!$K$2:$K$501,分期缴税台账!$A$2:$A$501,A4,分期缴税台账!$C$2:$C$501,C4,分期缴税台账!$Q$2:$Q$501,"有效"))</f>
        <v/>
      </c>
      <c r="L4" s="15" t="str">
        <f t="shared" si="2"/>
        <v/>
      </c>
      <c r="M4" s="4" t="str">
        <f>IF(A4="","",COUNTIFS(激励事件明细!$C$2:$C$501,A4,激励事件明细!$H$2:$H$501,C4,激励事件明细!$AA$2:$AA$501,"&gt;0"))</f>
        <v/>
      </c>
      <c r="N4" s="4" t="str">
        <f>IF(OR(A4="",C4=""),"",IFERROR(INDEX(激励事件明细!$A$2:$A$501,MATCH(A4&amp;"|"&amp;C4&amp;"|1",激励事件明细!$AM$2:$AM$501,0)),""))</f>
        <v/>
      </c>
      <c r="O4" s="17" t="str">
        <f>IF(N4="","",IFERROR(INDEX(激励事件明细!$AC$2:$AC$501,MATCH(N4,激励事件明细!$A$2:$A$501,0)),""))</f>
        <v/>
      </c>
      <c r="P4" s="4" t="str">
        <f t="shared" ca="1" si="3"/>
        <v/>
      </c>
    </row>
    <row r="5" spans="1:16" x14ac:dyDescent="0.3">
      <c r="A5" s="9"/>
      <c r="B5" s="4" t="str">
        <f>IF(A5="","",IFERROR(INDEX(激励事件明细!$D$2:$D$501,MATCH(A5,激励事件明细!$C$2:$C$501,0)),""))</f>
        <v/>
      </c>
      <c r="C5" s="9"/>
      <c r="D5" s="15" t="str">
        <f>IF(OR(A5="",C5=""),"",SUMIFS(激励事件明细!$T$2:$T$501,激励事件明细!$C$2:$C$501,A5,激励事件明细!$H$2:$H$501,C5,激励事件明细!$F$2:$F$501,"股票期权"))</f>
        <v/>
      </c>
      <c r="E5" s="15" t="str">
        <f>IF(OR(A5="",C5=""),"",SUMIFS(激励事件明细!$T$2:$T$501,激励事件明细!$C$2:$C$501,A5,激励事件明细!$H$2:$H$501,C5,激励事件明细!$F$2:$F$501,"限制性股票"))</f>
        <v/>
      </c>
      <c r="F5" s="15" t="str">
        <f>IF(OR(A5="",C5=""),"",SUMIFS(激励事件明细!$T$2:$T$501,激励事件明细!$C$2:$C$501,A5,激励事件明细!$H$2:$H$501,C5,激励事件明细!$F$2:$F$501,"其他股权激励"))</f>
        <v/>
      </c>
      <c r="G5" s="15" t="str">
        <f t="shared" si="0"/>
        <v/>
      </c>
      <c r="H5" s="16" t="str">
        <f>IF(G5="","",VLOOKUP(G5,税率及规则!$A$2:$C$8,2,TRUE))</f>
        <v/>
      </c>
      <c r="I5" s="15" t="str">
        <f>IF(G5="","",VLOOKUP(G5,税率及规则!$A$2:$C$8,3,TRUE))</f>
        <v/>
      </c>
      <c r="J5" s="15" t="str">
        <f t="shared" si="1"/>
        <v/>
      </c>
      <c r="K5" s="15" t="str">
        <f>IF(A5="","",SUMIFS(分期缴税台账!$K$2:$K$501,分期缴税台账!$A$2:$A$501,A5,分期缴税台账!$C$2:$C$501,C5,分期缴税台账!$Q$2:$Q$501,"有效"))</f>
        <v/>
      </c>
      <c r="L5" s="15" t="str">
        <f t="shared" si="2"/>
        <v/>
      </c>
      <c r="M5" s="4" t="str">
        <f>IF(A5="","",COUNTIFS(激励事件明细!$C$2:$C$501,A5,激励事件明细!$H$2:$H$501,C5,激励事件明细!$AA$2:$AA$501,"&gt;0"))</f>
        <v/>
      </c>
      <c r="N5" s="4" t="str">
        <f>IF(OR(A5="",C5=""),"",IFERROR(INDEX(激励事件明细!$A$2:$A$501,MATCH(A5&amp;"|"&amp;C5&amp;"|1",激励事件明细!$AM$2:$AM$501,0)),""))</f>
        <v/>
      </c>
      <c r="O5" s="17" t="str">
        <f>IF(N5="","",IFERROR(INDEX(激励事件明细!$AC$2:$AC$501,MATCH(N5,激励事件明细!$A$2:$A$501,0)),""))</f>
        <v/>
      </c>
      <c r="P5" s="4" t="str">
        <f t="shared" ca="1" si="3"/>
        <v/>
      </c>
    </row>
    <row r="6" spans="1:16" x14ac:dyDescent="0.3">
      <c r="A6" s="9"/>
      <c r="B6" s="4" t="str">
        <f>IF(A6="","",IFERROR(INDEX(激励事件明细!$D$2:$D$501,MATCH(A6,激励事件明细!$C$2:$C$501,0)),""))</f>
        <v/>
      </c>
      <c r="C6" s="9"/>
      <c r="D6" s="15" t="str">
        <f>IF(OR(A6="",C6=""),"",SUMIFS(激励事件明细!$T$2:$T$501,激励事件明细!$C$2:$C$501,A6,激励事件明细!$H$2:$H$501,C6,激励事件明细!$F$2:$F$501,"股票期权"))</f>
        <v/>
      </c>
      <c r="E6" s="15" t="str">
        <f>IF(OR(A6="",C6=""),"",SUMIFS(激励事件明细!$T$2:$T$501,激励事件明细!$C$2:$C$501,A6,激励事件明细!$H$2:$H$501,C6,激励事件明细!$F$2:$F$501,"限制性股票"))</f>
        <v/>
      </c>
      <c r="F6" s="15" t="str">
        <f>IF(OR(A6="",C6=""),"",SUMIFS(激励事件明细!$T$2:$T$501,激励事件明细!$C$2:$C$501,A6,激励事件明细!$H$2:$H$501,C6,激励事件明细!$F$2:$F$501,"其他股权激励"))</f>
        <v/>
      </c>
      <c r="G6" s="15" t="str">
        <f t="shared" si="0"/>
        <v/>
      </c>
      <c r="H6" s="16" t="str">
        <f>IF(G6="","",VLOOKUP(G6,税率及规则!$A$2:$C$8,2,TRUE))</f>
        <v/>
      </c>
      <c r="I6" s="15" t="str">
        <f>IF(G6="","",VLOOKUP(G6,税率及规则!$A$2:$C$8,3,TRUE))</f>
        <v/>
      </c>
      <c r="J6" s="15" t="str">
        <f t="shared" si="1"/>
        <v/>
      </c>
      <c r="K6" s="15" t="str">
        <f>IF(A6="","",SUMIFS(分期缴税台账!$K$2:$K$501,分期缴税台账!$A$2:$A$501,A6,分期缴税台账!$C$2:$C$501,C6,分期缴税台账!$Q$2:$Q$501,"有效"))</f>
        <v/>
      </c>
      <c r="L6" s="15" t="str">
        <f t="shared" si="2"/>
        <v/>
      </c>
      <c r="M6" s="4" t="str">
        <f>IF(A6="","",COUNTIFS(激励事件明细!$C$2:$C$501,A6,激励事件明细!$H$2:$H$501,C6,激励事件明细!$AA$2:$AA$501,"&gt;0"))</f>
        <v/>
      </c>
      <c r="N6" s="4" t="str">
        <f>IF(OR(A6="",C6=""),"",IFERROR(INDEX(激励事件明细!$A$2:$A$501,MATCH(A6&amp;"|"&amp;C6&amp;"|1",激励事件明细!$AM$2:$AM$501,0)),""))</f>
        <v/>
      </c>
      <c r="O6" s="17" t="str">
        <f>IF(N6="","",IFERROR(INDEX(激励事件明细!$AC$2:$AC$501,MATCH(N6,激励事件明细!$A$2:$A$501,0)),""))</f>
        <v/>
      </c>
      <c r="P6" s="4" t="str">
        <f t="shared" ca="1" si="3"/>
        <v/>
      </c>
    </row>
    <row r="7" spans="1:16" x14ac:dyDescent="0.3">
      <c r="A7" s="9"/>
      <c r="B7" s="4" t="str">
        <f>IF(A7="","",IFERROR(INDEX(激励事件明细!$D$2:$D$501,MATCH(A7,激励事件明细!$C$2:$C$501,0)),""))</f>
        <v/>
      </c>
      <c r="C7" s="9"/>
      <c r="D7" s="15" t="str">
        <f>IF(OR(A7="",C7=""),"",SUMIFS(激励事件明细!$T$2:$T$501,激励事件明细!$C$2:$C$501,A7,激励事件明细!$H$2:$H$501,C7,激励事件明细!$F$2:$F$501,"股票期权"))</f>
        <v/>
      </c>
      <c r="E7" s="15" t="str">
        <f>IF(OR(A7="",C7=""),"",SUMIFS(激励事件明细!$T$2:$T$501,激励事件明细!$C$2:$C$501,A7,激励事件明细!$H$2:$H$501,C7,激励事件明细!$F$2:$F$501,"限制性股票"))</f>
        <v/>
      </c>
      <c r="F7" s="15" t="str">
        <f>IF(OR(A7="",C7=""),"",SUMIFS(激励事件明细!$T$2:$T$501,激励事件明细!$C$2:$C$501,A7,激励事件明细!$H$2:$H$501,C7,激励事件明细!$F$2:$F$501,"其他股权激励"))</f>
        <v/>
      </c>
      <c r="G7" s="15" t="str">
        <f t="shared" si="0"/>
        <v/>
      </c>
      <c r="H7" s="16" t="str">
        <f>IF(G7="","",VLOOKUP(G7,税率及规则!$A$2:$C$8,2,TRUE))</f>
        <v/>
      </c>
      <c r="I7" s="15" t="str">
        <f>IF(G7="","",VLOOKUP(G7,税率及规则!$A$2:$C$8,3,TRUE))</f>
        <v/>
      </c>
      <c r="J7" s="15" t="str">
        <f t="shared" si="1"/>
        <v/>
      </c>
      <c r="K7" s="15" t="str">
        <f>IF(A7="","",SUMIFS(分期缴税台账!$K$2:$K$501,分期缴税台账!$A$2:$A$501,A7,分期缴税台账!$C$2:$C$501,C7,分期缴税台账!$Q$2:$Q$501,"有效"))</f>
        <v/>
      </c>
      <c r="L7" s="15" t="str">
        <f t="shared" si="2"/>
        <v/>
      </c>
      <c r="M7" s="4" t="str">
        <f>IF(A7="","",COUNTIFS(激励事件明细!$C$2:$C$501,A7,激励事件明细!$H$2:$H$501,C7,激励事件明细!$AA$2:$AA$501,"&gt;0"))</f>
        <v/>
      </c>
      <c r="N7" s="4" t="str">
        <f>IF(OR(A7="",C7=""),"",IFERROR(INDEX(激励事件明细!$A$2:$A$501,MATCH(A7&amp;"|"&amp;C7&amp;"|1",激励事件明细!$AM$2:$AM$501,0)),""))</f>
        <v/>
      </c>
      <c r="O7" s="17" t="str">
        <f>IF(N7="","",IFERROR(INDEX(激励事件明细!$AC$2:$AC$501,MATCH(N7,激励事件明细!$A$2:$A$501,0)),""))</f>
        <v/>
      </c>
      <c r="P7" s="4" t="str">
        <f t="shared" ca="1" si="3"/>
        <v/>
      </c>
    </row>
    <row r="8" spans="1:16" x14ac:dyDescent="0.3">
      <c r="A8" s="9"/>
      <c r="B8" s="4" t="str">
        <f>IF(A8="","",IFERROR(INDEX(激励事件明细!$D$2:$D$501,MATCH(A8,激励事件明细!$C$2:$C$501,0)),""))</f>
        <v/>
      </c>
      <c r="C8" s="9"/>
      <c r="D8" s="15" t="str">
        <f>IF(OR(A8="",C8=""),"",SUMIFS(激励事件明细!$T$2:$T$501,激励事件明细!$C$2:$C$501,A8,激励事件明细!$H$2:$H$501,C8,激励事件明细!$F$2:$F$501,"股票期权"))</f>
        <v/>
      </c>
      <c r="E8" s="15" t="str">
        <f>IF(OR(A8="",C8=""),"",SUMIFS(激励事件明细!$T$2:$T$501,激励事件明细!$C$2:$C$501,A8,激励事件明细!$H$2:$H$501,C8,激励事件明细!$F$2:$F$501,"限制性股票"))</f>
        <v/>
      </c>
      <c r="F8" s="15" t="str">
        <f>IF(OR(A8="",C8=""),"",SUMIFS(激励事件明细!$T$2:$T$501,激励事件明细!$C$2:$C$501,A8,激励事件明细!$H$2:$H$501,C8,激励事件明细!$F$2:$F$501,"其他股权激励"))</f>
        <v/>
      </c>
      <c r="G8" s="15" t="str">
        <f t="shared" si="0"/>
        <v/>
      </c>
      <c r="H8" s="16" t="str">
        <f>IF(G8="","",VLOOKUP(G8,税率及规则!$A$2:$C$8,2,TRUE))</f>
        <v/>
      </c>
      <c r="I8" s="15" t="str">
        <f>IF(G8="","",VLOOKUP(G8,税率及规则!$A$2:$C$8,3,TRUE))</f>
        <v/>
      </c>
      <c r="J8" s="15" t="str">
        <f t="shared" si="1"/>
        <v/>
      </c>
      <c r="K8" s="15" t="str">
        <f>IF(A8="","",SUMIFS(分期缴税台账!$K$2:$K$501,分期缴税台账!$A$2:$A$501,A8,分期缴税台账!$C$2:$C$501,C8,分期缴税台账!$Q$2:$Q$501,"有效"))</f>
        <v/>
      </c>
      <c r="L8" s="15" t="str">
        <f t="shared" si="2"/>
        <v/>
      </c>
      <c r="M8" s="4" t="str">
        <f>IF(A8="","",COUNTIFS(激励事件明细!$C$2:$C$501,A8,激励事件明细!$H$2:$H$501,C8,激励事件明细!$AA$2:$AA$501,"&gt;0"))</f>
        <v/>
      </c>
      <c r="N8" s="4" t="str">
        <f>IF(OR(A8="",C8=""),"",IFERROR(INDEX(激励事件明细!$A$2:$A$501,MATCH(A8&amp;"|"&amp;C8&amp;"|1",激励事件明细!$AM$2:$AM$501,0)),""))</f>
        <v/>
      </c>
      <c r="O8" s="17" t="str">
        <f>IF(N8="","",IFERROR(INDEX(激励事件明细!$AC$2:$AC$501,MATCH(N8,激励事件明细!$A$2:$A$501,0)),""))</f>
        <v/>
      </c>
      <c r="P8" s="4" t="str">
        <f t="shared" ca="1" si="3"/>
        <v/>
      </c>
    </row>
    <row r="9" spans="1:16" x14ac:dyDescent="0.3">
      <c r="A9" s="9"/>
      <c r="B9" s="4" t="str">
        <f>IF(A9="","",IFERROR(INDEX(激励事件明细!$D$2:$D$501,MATCH(A9,激励事件明细!$C$2:$C$501,0)),""))</f>
        <v/>
      </c>
      <c r="C9" s="9"/>
      <c r="D9" s="15" t="str">
        <f>IF(OR(A9="",C9=""),"",SUMIFS(激励事件明细!$T$2:$T$501,激励事件明细!$C$2:$C$501,A9,激励事件明细!$H$2:$H$501,C9,激励事件明细!$F$2:$F$501,"股票期权"))</f>
        <v/>
      </c>
      <c r="E9" s="15" t="str">
        <f>IF(OR(A9="",C9=""),"",SUMIFS(激励事件明细!$T$2:$T$501,激励事件明细!$C$2:$C$501,A9,激励事件明细!$H$2:$H$501,C9,激励事件明细!$F$2:$F$501,"限制性股票"))</f>
        <v/>
      </c>
      <c r="F9" s="15" t="str">
        <f>IF(OR(A9="",C9=""),"",SUMIFS(激励事件明细!$T$2:$T$501,激励事件明细!$C$2:$C$501,A9,激励事件明细!$H$2:$H$501,C9,激励事件明细!$F$2:$F$501,"其他股权激励"))</f>
        <v/>
      </c>
      <c r="G9" s="15" t="str">
        <f t="shared" si="0"/>
        <v/>
      </c>
      <c r="H9" s="16" t="str">
        <f>IF(G9="","",VLOOKUP(G9,税率及规则!$A$2:$C$8,2,TRUE))</f>
        <v/>
      </c>
      <c r="I9" s="15" t="str">
        <f>IF(G9="","",VLOOKUP(G9,税率及规则!$A$2:$C$8,3,TRUE))</f>
        <v/>
      </c>
      <c r="J9" s="15" t="str">
        <f t="shared" si="1"/>
        <v/>
      </c>
      <c r="K9" s="15" t="str">
        <f>IF(A9="","",SUMIFS(分期缴税台账!$K$2:$K$501,分期缴税台账!$A$2:$A$501,A9,分期缴税台账!$C$2:$C$501,C9,分期缴税台账!$Q$2:$Q$501,"有效"))</f>
        <v/>
      </c>
      <c r="L9" s="15" t="str">
        <f t="shared" si="2"/>
        <v/>
      </c>
      <c r="M9" s="4" t="str">
        <f>IF(A9="","",COUNTIFS(激励事件明细!$C$2:$C$501,A9,激励事件明细!$H$2:$H$501,C9,激励事件明细!$AA$2:$AA$501,"&gt;0"))</f>
        <v/>
      </c>
      <c r="N9" s="4" t="str">
        <f>IF(OR(A9="",C9=""),"",IFERROR(INDEX(激励事件明细!$A$2:$A$501,MATCH(A9&amp;"|"&amp;C9&amp;"|1",激励事件明细!$AM$2:$AM$501,0)),""))</f>
        <v/>
      </c>
      <c r="O9" s="17" t="str">
        <f>IF(N9="","",IFERROR(INDEX(激励事件明细!$AC$2:$AC$501,MATCH(N9,激励事件明细!$A$2:$A$501,0)),""))</f>
        <v/>
      </c>
      <c r="P9" s="4" t="str">
        <f t="shared" ca="1" si="3"/>
        <v/>
      </c>
    </row>
    <row r="10" spans="1:16" x14ac:dyDescent="0.3">
      <c r="A10" s="9"/>
      <c r="B10" s="4" t="str">
        <f>IF(A10="","",IFERROR(INDEX(激励事件明细!$D$2:$D$501,MATCH(A10,激励事件明细!$C$2:$C$501,0)),""))</f>
        <v/>
      </c>
      <c r="C10" s="9"/>
      <c r="D10" s="15" t="str">
        <f>IF(OR(A10="",C10=""),"",SUMIFS(激励事件明细!$T$2:$T$501,激励事件明细!$C$2:$C$501,A10,激励事件明细!$H$2:$H$501,C10,激励事件明细!$F$2:$F$501,"股票期权"))</f>
        <v/>
      </c>
      <c r="E10" s="15" t="str">
        <f>IF(OR(A10="",C10=""),"",SUMIFS(激励事件明细!$T$2:$T$501,激励事件明细!$C$2:$C$501,A10,激励事件明细!$H$2:$H$501,C10,激励事件明细!$F$2:$F$501,"限制性股票"))</f>
        <v/>
      </c>
      <c r="F10" s="15" t="str">
        <f>IF(OR(A10="",C10=""),"",SUMIFS(激励事件明细!$T$2:$T$501,激励事件明细!$C$2:$C$501,A10,激励事件明细!$H$2:$H$501,C10,激励事件明细!$F$2:$F$501,"其他股权激励"))</f>
        <v/>
      </c>
      <c r="G10" s="15" t="str">
        <f t="shared" si="0"/>
        <v/>
      </c>
      <c r="H10" s="16" t="str">
        <f>IF(G10="","",VLOOKUP(G10,税率及规则!$A$2:$C$8,2,TRUE))</f>
        <v/>
      </c>
      <c r="I10" s="15" t="str">
        <f>IF(G10="","",VLOOKUP(G10,税率及规则!$A$2:$C$8,3,TRUE))</f>
        <v/>
      </c>
      <c r="J10" s="15" t="str">
        <f t="shared" si="1"/>
        <v/>
      </c>
      <c r="K10" s="15" t="str">
        <f>IF(A10="","",SUMIFS(分期缴税台账!$K$2:$K$501,分期缴税台账!$A$2:$A$501,A10,分期缴税台账!$C$2:$C$501,C10,分期缴税台账!$Q$2:$Q$501,"有效"))</f>
        <v/>
      </c>
      <c r="L10" s="15" t="str">
        <f t="shared" si="2"/>
        <v/>
      </c>
      <c r="M10" s="4" t="str">
        <f>IF(A10="","",COUNTIFS(激励事件明细!$C$2:$C$501,A10,激励事件明细!$H$2:$H$501,C10,激励事件明细!$AA$2:$AA$501,"&gt;0"))</f>
        <v/>
      </c>
      <c r="N10" s="4" t="str">
        <f>IF(OR(A10="",C10=""),"",IFERROR(INDEX(激励事件明细!$A$2:$A$501,MATCH(A10&amp;"|"&amp;C10&amp;"|1",激励事件明细!$AM$2:$AM$501,0)),""))</f>
        <v/>
      </c>
      <c r="O10" s="17" t="str">
        <f>IF(N10="","",IFERROR(INDEX(激励事件明细!$AC$2:$AC$501,MATCH(N10,激励事件明细!$A$2:$A$501,0)),""))</f>
        <v/>
      </c>
      <c r="P10" s="4" t="str">
        <f t="shared" ca="1" si="3"/>
        <v/>
      </c>
    </row>
    <row r="11" spans="1:16" x14ac:dyDescent="0.3">
      <c r="A11" s="9"/>
      <c r="B11" s="4" t="str">
        <f>IF(A11="","",IFERROR(INDEX(激励事件明细!$D$2:$D$501,MATCH(A11,激励事件明细!$C$2:$C$501,0)),""))</f>
        <v/>
      </c>
      <c r="C11" s="9"/>
      <c r="D11" s="15" t="str">
        <f>IF(OR(A11="",C11=""),"",SUMIFS(激励事件明细!$T$2:$T$501,激励事件明细!$C$2:$C$501,A11,激励事件明细!$H$2:$H$501,C11,激励事件明细!$F$2:$F$501,"股票期权"))</f>
        <v/>
      </c>
      <c r="E11" s="15" t="str">
        <f>IF(OR(A11="",C11=""),"",SUMIFS(激励事件明细!$T$2:$T$501,激励事件明细!$C$2:$C$501,A11,激励事件明细!$H$2:$H$501,C11,激励事件明细!$F$2:$F$501,"限制性股票"))</f>
        <v/>
      </c>
      <c r="F11" s="15" t="str">
        <f>IF(OR(A11="",C11=""),"",SUMIFS(激励事件明细!$T$2:$T$501,激励事件明细!$C$2:$C$501,A11,激励事件明细!$H$2:$H$501,C11,激励事件明细!$F$2:$F$501,"其他股权激励"))</f>
        <v/>
      </c>
      <c r="G11" s="15" t="str">
        <f t="shared" si="0"/>
        <v/>
      </c>
      <c r="H11" s="16" t="str">
        <f>IF(G11="","",VLOOKUP(G11,税率及规则!$A$2:$C$8,2,TRUE))</f>
        <v/>
      </c>
      <c r="I11" s="15" t="str">
        <f>IF(G11="","",VLOOKUP(G11,税率及规则!$A$2:$C$8,3,TRUE))</f>
        <v/>
      </c>
      <c r="J11" s="15" t="str">
        <f t="shared" si="1"/>
        <v/>
      </c>
      <c r="K11" s="15" t="str">
        <f>IF(A11="","",SUMIFS(分期缴税台账!$K$2:$K$501,分期缴税台账!$A$2:$A$501,A11,分期缴税台账!$C$2:$C$501,C11,分期缴税台账!$Q$2:$Q$501,"有效"))</f>
        <v/>
      </c>
      <c r="L11" s="15" t="str">
        <f t="shared" si="2"/>
        <v/>
      </c>
      <c r="M11" s="4" t="str">
        <f>IF(A11="","",COUNTIFS(激励事件明细!$C$2:$C$501,A11,激励事件明细!$H$2:$H$501,C11,激励事件明细!$AA$2:$AA$501,"&gt;0"))</f>
        <v/>
      </c>
      <c r="N11" s="4" t="str">
        <f>IF(OR(A11="",C11=""),"",IFERROR(INDEX(激励事件明细!$A$2:$A$501,MATCH(A11&amp;"|"&amp;C11&amp;"|1",激励事件明细!$AM$2:$AM$501,0)),""))</f>
        <v/>
      </c>
      <c r="O11" s="17" t="str">
        <f>IF(N11="","",IFERROR(INDEX(激励事件明细!$AC$2:$AC$501,MATCH(N11,激励事件明细!$A$2:$A$501,0)),""))</f>
        <v/>
      </c>
      <c r="P11" s="4" t="str">
        <f t="shared" ca="1" si="3"/>
        <v/>
      </c>
    </row>
    <row r="12" spans="1:16" x14ac:dyDescent="0.3">
      <c r="A12" s="9"/>
      <c r="B12" s="4" t="str">
        <f>IF(A12="","",IFERROR(INDEX(激励事件明细!$D$2:$D$501,MATCH(A12,激励事件明细!$C$2:$C$501,0)),""))</f>
        <v/>
      </c>
      <c r="C12" s="9"/>
      <c r="D12" s="15" t="str">
        <f>IF(OR(A12="",C12=""),"",SUMIFS(激励事件明细!$T$2:$T$501,激励事件明细!$C$2:$C$501,A12,激励事件明细!$H$2:$H$501,C12,激励事件明细!$F$2:$F$501,"股票期权"))</f>
        <v/>
      </c>
      <c r="E12" s="15" t="str">
        <f>IF(OR(A12="",C12=""),"",SUMIFS(激励事件明细!$T$2:$T$501,激励事件明细!$C$2:$C$501,A12,激励事件明细!$H$2:$H$501,C12,激励事件明细!$F$2:$F$501,"限制性股票"))</f>
        <v/>
      </c>
      <c r="F12" s="15" t="str">
        <f>IF(OR(A12="",C12=""),"",SUMIFS(激励事件明细!$T$2:$T$501,激励事件明细!$C$2:$C$501,A12,激励事件明细!$H$2:$H$501,C12,激励事件明细!$F$2:$F$501,"其他股权激励"))</f>
        <v/>
      </c>
      <c r="G12" s="15" t="str">
        <f t="shared" si="0"/>
        <v/>
      </c>
      <c r="H12" s="16" t="str">
        <f>IF(G12="","",VLOOKUP(G12,税率及规则!$A$2:$C$8,2,TRUE))</f>
        <v/>
      </c>
      <c r="I12" s="15" t="str">
        <f>IF(G12="","",VLOOKUP(G12,税率及规则!$A$2:$C$8,3,TRUE))</f>
        <v/>
      </c>
      <c r="J12" s="15" t="str">
        <f t="shared" si="1"/>
        <v/>
      </c>
      <c r="K12" s="15" t="str">
        <f>IF(A12="","",SUMIFS(分期缴税台账!$K$2:$K$501,分期缴税台账!$A$2:$A$501,A12,分期缴税台账!$C$2:$C$501,C12,分期缴税台账!$Q$2:$Q$501,"有效"))</f>
        <v/>
      </c>
      <c r="L12" s="15" t="str">
        <f t="shared" si="2"/>
        <v/>
      </c>
      <c r="M12" s="4" t="str">
        <f>IF(A12="","",COUNTIFS(激励事件明细!$C$2:$C$501,A12,激励事件明细!$H$2:$H$501,C12,激励事件明细!$AA$2:$AA$501,"&gt;0"))</f>
        <v/>
      </c>
      <c r="N12" s="4" t="str">
        <f>IF(OR(A12="",C12=""),"",IFERROR(INDEX(激励事件明细!$A$2:$A$501,MATCH(A12&amp;"|"&amp;C12&amp;"|1",激励事件明细!$AM$2:$AM$501,0)),""))</f>
        <v/>
      </c>
      <c r="O12" s="17" t="str">
        <f>IF(N12="","",IFERROR(INDEX(激励事件明细!$AC$2:$AC$501,MATCH(N12,激励事件明细!$A$2:$A$501,0)),""))</f>
        <v/>
      </c>
      <c r="P12" s="4" t="str">
        <f t="shared" ca="1" si="3"/>
        <v/>
      </c>
    </row>
    <row r="13" spans="1:16" x14ac:dyDescent="0.3">
      <c r="A13" s="9"/>
      <c r="B13" s="4" t="str">
        <f>IF(A13="","",IFERROR(INDEX(激励事件明细!$D$2:$D$501,MATCH(A13,激励事件明细!$C$2:$C$501,0)),""))</f>
        <v/>
      </c>
      <c r="C13" s="9"/>
      <c r="D13" s="15" t="str">
        <f>IF(OR(A13="",C13=""),"",SUMIFS(激励事件明细!$T$2:$T$501,激励事件明细!$C$2:$C$501,A13,激励事件明细!$H$2:$H$501,C13,激励事件明细!$F$2:$F$501,"股票期权"))</f>
        <v/>
      </c>
      <c r="E13" s="15" t="str">
        <f>IF(OR(A13="",C13=""),"",SUMIFS(激励事件明细!$T$2:$T$501,激励事件明细!$C$2:$C$501,A13,激励事件明细!$H$2:$H$501,C13,激励事件明细!$F$2:$F$501,"限制性股票"))</f>
        <v/>
      </c>
      <c r="F13" s="15" t="str">
        <f>IF(OR(A13="",C13=""),"",SUMIFS(激励事件明细!$T$2:$T$501,激励事件明细!$C$2:$C$501,A13,激励事件明细!$H$2:$H$501,C13,激励事件明细!$F$2:$F$501,"其他股权激励"))</f>
        <v/>
      </c>
      <c r="G13" s="15" t="str">
        <f t="shared" si="0"/>
        <v/>
      </c>
      <c r="H13" s="16" t="str">
        <f>IF(G13="","",VLOOKUP(G13,税率及规则!$A$2:$C$8,2,TRUE))</f>
        <v/>
      </c>
      <c r="I13" s="15" t="str">
        <f>IF(G13="","",VLOOKUP(G13,税率及规则!$A$2:$C$8,3,TRUE))</f>
        <v/>
      </c>
      <c r="J13" s="15" t="str">
        <f t="shared" si="1"/>
        <v/>
      </c>
      <c r="K13" s="15" t="str">
        <f>IF(A13="","",SUMIFS(分期缴税台账!$K$2:$K$501,分期缴税台账!$A$2:$A$501,A13,分期缴税台账!$C$2:$C$501,C13,分期缴税台账!$Q$2:$Q$501,"有效"))</f>
        <v/>
      </c>
      <c r="L13" s="15" t="str">
        <f t="shared" si="2"/>
        <v/>
      </c>
      <c r="M13" s="4" t="str">
        <f>IF(A13="","",COUNTIFS(激励事件明细!$C$2:$C$501,A13,激励事件明细!$H$2:$H$501,C13,激励事件明细!$AA$2:$AA$501,"&gt;0"))</f>
        <v/>
      </c>
      <c r="N13" s="4" t="str">
        <f>IF(OR(A13="",C13=""),"",IFERROR(INDEX(激励事件明细!$A$2:$A$501,MATCH(A13&amp;"|"&amp;C13&amp;"|1",激励事件明细!$AM$2:$AM$501,0)),""))</f>
        <v/>
      </c>
      <c r="O13" s="17" t="str">
        <f>IF(N13="","",IFERROR(INDEX(激励事件明细!$AC$2:$AC$501,MATCH(N13,激励事件明细!$A$2:$A$501,0)),""))</f>
        <v/>
      </c>
      <c r="P13" s="4" t="str">
        <f t="shared" ca="1" si="3"/>
        <v/>
      </c>
    </row>
    <row r="14" spans="1:16" x14ac:dyDescent="0.3">
      <c r="A14" s="9"/>
      <c r="B14" s="4" t="str">
        <f>IF(A14="","",IFERROR(INDEX(激励事件明细!$D$2:$D$501,MATCH(A14,激励事件明细!$C$2:$C$501,0)),""))</f>
        <v/>
      </c>
      <c r="C14" s="9"/>
      <c r="D14" s="15" t="str">
        <f>IF(OR(A14="",C14=""),"",SUMIFS(激励事件明细!$T$2:$T$501,激励事件明细!$C$2:$C$501,A14,激励事件明细!$H$2:$H$501,C14,激励事件明细!$F$2:$F$501,"股票期权"))</f>
        <v/>
      </c>
      <c r="E14" s="15" t="str">
        <f>IF(OR(A14="",C14=""),"",SUMIFS(激励事件明细!$T$2:$T$501,激励事件明细!$C$2:$C$501,A14,激励事件明细!$H$2:$H$501,C14,激励事件明细!$F$2:$F$501,"限制性股票"))</f>
        <v/>
      </c>
      <c r="F14" s="15" t="str">
        <f>IF(OR(A14="",C14=""),"",SUMIFS(激励事件明细!$T$2:$T$501,激励事件明细!$C$2:$C$501,A14,激励事件明细!$H$2:$H$501,C14,激励事件明细!$F$2:$F$501,"其他股权激励"))</f>
        <v/>
      </c>
      <c r="G14" s="15" t="str">
        <f t="shared" si="0"/>
        <v/>
      </c>
      <c r="H14" s="16" t="str">
        <f>IF(G14="","",VLOOKUP(G14,税率及规则!$A$2:$C$8,2,TRUE))</f>
        <v/>
      </c>
      <c r="I14" s="15" t="str">
        <f>IF(G14="","",VLOOKUP(G14,税率及规则!$A$2:$C$8,3,TRUE))</f>
        <v/>
      </c>
      <c r="J14" s="15" t="str">
        <f t="shared" si="1"/>
        <v/>
      </c>
      <c r="K14" s="15" t="str">
        <f>IF(A14="","",SUMIFS(分期缴税台账!$K$2:$K$501,分期缴税台账!$A$2:$A$501,A14,分期缴税台账!$C$2:$C$501,C14,分期缴税台账!$Q$2:$Q$501,"有效"))</f>
        <v/>
      </c>
      <c r="L14" s="15" t="str">
        <f t="shared" si="2"/>
        <v/>
      </c>
      <c r="M14" s="4" t="str">
        <f>IF(A14="","",COUNTIFS(激励事件明细!$C$2:$C$501,A14,激励事件明细!$H$2:$H$501,C14,激励事件明细!$AA$2:$AA$501,"&gt;0"))</f>
        <v/>
      </c>
      <c r="N14" s="4" t="str">
        <f>IF(OR(A14="",C14=""),"",IFERROR(INDEX(激励事件明细!$A$2:$A$501,MATCH(A14&amp;"|"&amp;C14&amp;"|1",激励事件明细!$AM$2:$AM$501,0)),""))</f>
        <v/>
      </c>
      <c r="O14" s="17" t="str">
        <f>IF(N14="","",IFERROR(INDEX(激励事件明细!$AC$2:$AC$501,MATCH(N14,激励事件明细!$A$2:$A$501,0)),""))</f>
        <v/>
      </c>
      <c r="P14" s="4" t="str">
        <f t="shared" ca="1" si="3"/>
        <v/>
      </c>
    </row>
    <row r="15" spans="1:16" x14ac:dyDescent="0.3">
      <c r="A15" s="9"/>
      <c r="B15" s="4" t="str">
        <f>IF(A15="","",IFERROR(INDEX(激励事件明细!$D$2:$D$501,MATCH(A15,激励事件明细!$C$2:$C$501,0)),""))</f>
        <v/>
      </c>
      <c r="C15" s="9"/>
      <c r="D15" s="15" t="str">
        <f>IF(OR(A15="",C15=""),"",SUMIFS(激励事件明细!$T$2:$T$501,激励事件明细!$C$2:$C$501,A15,激励事件明细!$H$2:$H$501,C15,激励事件明细!$F$2:$F$501,"股票期权"))</f>
        <v/>
      </c>
      <c r="E15" s="15" t="str">
        <f>IF(OR(A15="",C15=""),"",SUMIFS(激励事件明细!$T$2:$T$501,激励事件明细!$C$2:$C$501,A15,激励事件明细!$H$2:$H$501,C15,激励事件明细!$F$2:$F$501,"限制性股票"))</f>
        <v/>
      </c>
      <c r="F15" s="15" t="str">
        <f>IF(OR(A15="",C15=""),"",SUMIFS(激励事件明细!$T$2:$T$501,激励事件明细!$C$2:$C$501,A15,激励事件明细!$H$2:$H$501,C15,激励事件明细!$F$2:$F$501,"其他股权激励"))</f>
        <v/>
      </c>
      <c r="G15" s="15" t="str">
        <f t="shared" si="0"/>
        <v/>
      </c>
      <c r="H15" s="16" t="str">
        <f>IF(G15="","",VLOOKUP(G15,税率及规则!$A$2:$C$8,2,TRUE))</f>
        <v/>
      </c>
      <c r="I15" s="15" t="str">
        <f>IF(G15="","",VLOOKUP(G15,税率及规则!$A$2:$C$8,3,TRUE))</f>
        <v/>
      </c>
      <c r="J15" s="15" t="str">
        <f t="shared" si="1"/>
        <v/>
      </c>
      <c r="K15" s="15" t="str">
        <f>IF(A15="","",SUMIFS(分期缴税台账!$K$2:$K$501,分期缴税台账!$A$2:$A$501,A15,分期缴税台账!$C$2:$C$501,C15,分期缴税台账!$Q$2:$Q$501,"有效"))</f>
        <v/>
      </c>
      <c r="L15" s="15" t="str">
        <f t="shared" si="2"/>
        <v/>
      </c>
      <c r="M15" s="4" t="str">
        <f>IF(A15="","",COUNTIFS(激励事件明细!$C$2:$C$501,A15,激励事件明细!$H$2:$H$501,C15,激励事件明细!$AA$2:$AA$501,"&gt;0"))</f>
        <v/>
      </c>
      <c r="N15" s="4" t="str">
        <f>IF(OR(A15="",C15=""),"",IFERROR(INDEX(激励事件明细!$A$2:$A$501,MATCH(A15&amp;"|"&amp;C15&amp;"|1",激励事件明细!$AM$2:$AM$501,0)),""))</f>
        <v/>
      </c>
      <c r="O15" s="17" t="str">
        <f>IF(N15="","",IFERROR(INDEX(激励事件明细!$AC$2:$AC$501,MATCH(N15,激励事件明细!$A$2:$A$501,0)),""))</f>
        <v/>
      </c>
      <c r="P15" s="4" t="str">
        <f t="shared" ca="1" si="3"/>
        <v/>
      </c>
    </row>
    <row r="16" spans="1:16" x14ac:dyDescent="0.3">
      <c r="A16" s="9"/>
      <c r="B16" s="4" t="str">
        <f>IF(A16="","",IFERROR(INDEX(激励事件明细!$D$2:$D$501,MATCH(A16,激励事件明细!$C$2:$C$501,0)),""))</f>
        <v/>
      </c>
      <c r="C16" s="9"/>
      <c r="D16" s="15" t="str">
        <f>IF(OR(A16="",C16=""),"",SUMIFS(激励事件明细!$T$2:$T$501,激励事件明细!$C$2:$C$501,A16,激励事件明细!$H$2:$H$501,C16,激励事件明细!$F$2:$F$501,"股票期权"))</f>
        <v/>
      </c>
      <c r="E16" s="15" t="str">
        <f>IF(OR(A16="",C16=""),"",SUMIFS(激励事件明细!$T$2:$T$501,激励事件明细!$C$2:$C$501,A16,激励事件明细!$H$2:$H$501,C16,激励事件明细!$F$2:$F$501,"限制性股票"))</f>
        <v/>
      </c>
      <c r="F16" s="15" t="str">
        <f>IF(OR(A16="",C16=""),"",SUMIFS(激励事件明细!$T$2:$T$501,激励事件明细!$C$2:$C$501,A16,激励事件明细!$H$2:$H$501,C16,激励事件明细!$F$2:$F$501,"其他股权激励"))</f>
        <v/>
      </c>
      <c r="G16" s="15" t="str">
        <f t="shared" si="0"/>
        <v/>
      </c>
      <c r="H16" s="16" t="str">
        <f>IF(G16="","",VLOOKUP(G16,税率及规则!$A$2:$C$8,2,TRUE))</f>
        <v/>
      </c>
      <c r="I16" s="15" t="str">
        <f>IF(G16="","",VLOOKUP(G16,税率及规则!$A$2:$C$8,3,TRUE))</f>
        <v/>
      </c>
      <c r="J16" s="15" t="str">
        <f t="shared" si="1"/>
        <v/>
      </c>
      <c r="K16" s="15" t="str">
        <f>IF(A16="","",SUMIFS(分期缴税台账!$K$2:$K$501,分期缴税台账!$A$2:$A$501,A16,分期缴税台账!$C$2:$C$501,C16,分期缴税台账!$Q$2:$Q$501,"有效"))</f>
        <v/>
      </c>
      <c r="L16" s="15" t="str">
        <f t="shared" si="2"/>
        <v/>
      </c>
      <c r="M16" s="4" t="str">
        <f>IF(A16="","",COUNTIFS(激励事件明细!$C$2:$C$501,A16,激励事件明细!$H$2:$H$501,C16,激励事件明细!$AA$2:$AA$501,"&gt;0"))</f>
        <v/>
      </c>
      <c r="N16" s="4" t="str">
        <f>IF(OR(A16="",C16=""),"",IFERROR(INDEX(激励事件明细!$A$2:$A$501,MATCH(A16&amp;"|"&amp;C16&amp;"|1",激励事件明细!$AM$2:$AM$501,0)),""))</f>
        <v/>
      </c>
      <c r="O16" s="17" t="str">
        <f>IF(N16="","",IFERROR(INDEX(激励事件明细!$AC$2:$AC$501,MATCH(N16,激励事件明细!$A$2:$A$501,0)),""))</f>
        <v/>
      </c>
      <c r="P16" s="4" t="str">
        <f t="shared" ca="1" si="3"/>
        <v/>
      </c>
    </row>
    <row r="17" spans="1:16" x14ac:dyDescent="0.3">
      <c r="A17" s="9"/>
      <c r="B17" s="4" t="str">
        <f>IF(A17="","",IFERROR(INDEX(激励事件明细!$D$2:$D$501,MATCH(A17,激励事件明细!$C$2:$C$501,0)),""))</f>
        <v/>
      </c>
      <c r="C17" s="9"/>
      <c r="D17" s="15" t="str">
        <f>IF(OR(A17="",C17=""),"",SUMIFS(激励事件明细!$T$2:$T$501,激励事件明细!$C$2:$C$501,A17,激励事件明细!$H$2:$H$501,C17,激励事件明细!$F$2:$F$501,"股票期权"))</f>
        <v/>
      </c>
      <c r="E17" s="15" t="str">
        <f>IF(OR(A17="",C17=""),"",SUMIFS(激励事件明细!$T$2:$T$501,激励事件明细!$C$2:$C$501,A17,激励事件明细!$H$2:$H$501,C17,激励事件明细!$F$2:$F$501,"限制性股票"))</f>
        <v/>
      </c>
      <c r="F17" s="15" t="str">
        <f>IF(OR(A17="",C17=""),"",SUMIFS(激励事件明细!$T$2:$T$501,激励事件明细!$C$2:$C$501,A17,激励事件明细!$H$2:$H$501,C17,激励事件明细!$F$2:$F$501,"其他股权激励"))</f>
        <v/>
      </c>
      <c r="G17" s="15" t="str">
        <f t="shared" si="0"/>
        <v/>
      </c>
      <c r="H17" s="16" t="str">
        <f>IF(G17="","",VLOOKUP(G17,税率及规则!$A$2:$C$8,2,TRUE))</f>
        <v/>
      </c>
      <c r="I17" s="15" t="str">
        <f>IF(G17="","",VLOOKUP(G17,税率及规则!$A$2:$C$8,3,TRUE))</f>
        <v/>
      </c>
      <c r="J17" s="15" t="str">
        <f t="shared" si="1"/>
        <v/>
      </c>
      <c r="K17" s="15" t="str">
        <f>IF(A17="","",SUMIFS(分期缴税台账!$K$2:$K$501,分期缴税台账!$A$2:$A$501,A17,分期缴税台账!$C$2:$C$501,C17,分期缴税台账!$Q$2:$Q$501,"有效"))</f>
        <v/>
      </c>
      <c r="L17" s="15" t="str">
        <f t="shared" si="2"/>
        <v/>
      </c>
      <c r="M17" s="4" t="str">
        <f>IF(A17="","",COUNTIFS(激励事件明细!$C$2:$C$501,A17,激励事件明细!$H$2:$H$501,C17,激励事件明细!$AA$2:$AA$501,"&gt;0"))</f>
        <v/>
      </c>
      <c r="N17" s="4" t="str">
        <f>IF(OR(A17="",C17=""),"",IFERROR(INDEX(激励事件明细!$A$2:$A$501,MATCH(A17&amp;"|"&amp;C17&amp;"|1",激励事件明细!$AM$2:$AM$501,0)),""))</f>
        <v/>
      </c>
      <c r="O17" s="17" t="str">
        <f>IF(N17="","",IFERROR(INDEX(激励事件明细!$AC$2:$AC$501,MATCH(N17,激励事件明细!$A$2:$A$501,0)),""))</f>
        <v/>
      </c>
      <c r="P17" s="4" t="str">
        <f t="shared" ca="1" si="3"/>
        <v/>
      </c>
    </row>
    <row r="18" spans="1:16" x14ac:dyDescent="0.3">
      <c r="A18" s="9"/>
      <c r="B18" s="4" t="str">
        <f>IF(A18="","",IFERROR(INDEX(激励事件明细!$D$2:$D$501,MATCH(A18,激励事件明细!$C$2:$C$501,0)),""))</f>
        <v/>
      </c>
      <c r="C18" s="9"/>
      <c r="D18" s="15" t="str">
        <f>IF(OR(A18="",C18=""),"",SUMIFS(激励事件明细!$T$2:$T$501,激励事件明细!$C$2:$C$501,A18,激励事件明细!$H$2:$H$501,C18,激励事件明细!$F$2:$F$501,"股票期权"))</f>
        <v/>
      </c>
      <c r="E18" s="15" t="str">
        <f>IF(OR(A18="",C18=""),"",SUMIFS(激励事件明细!$T$2:$T$501,激励事件明细!$C$2:$C$501,A18,激励事件明细!$H$2:$H$501,C18,激励事件明细!$F$2:$F$501,"限制性股票"))</f>
        <v/>
      </c>
      <c r="F18" s="15" t="str">
        <f>IF(OR(A18="",C18=""),"",SUMIFS(激励事件明细!$T$2:$T$501,激励事件明细!$C$2:$C$501,A18,激励事件明细!$H$2:$H$501,C18,激励事件明细!$F$2:$F$501,"其他股权激励"))</f>
        <v/>
      </c>
      <c r="G18" s="15" t="str">
        <f t="shared" si="0"/>
        <v/>
      </c>
      <c r="H18" s="16" t="str">
        <f>IF(G18="","",VLOOKUP(G18,税率及规则!$A$2:$C$8,2,TRUE))</f>
        <v/>
      </c>
      <c r="I18" s="15" t="str">
        <f>IF(G18="","",VLOOKUP(G18,税率及规则!$A$2:$C$8,3,TRUE))</f>
        <v/>
      </c>
      <c r="J18" s="15" t="str">
        <f t="shared" si="1"/>
        <v/>
      </c>
      <c r="K18" s="15" t="str">
        <f>IF(A18="","",SUMIFS(分期缴税台账!$K$2:$K$501,分期缴税台账!$A$2:$A$501,A18,分期缴税台账!$C$2:$C$501,C18,分期缴税台账!$Q$2:$Q$501,"有效"))</f>
        <v/>
      </c>
      <c r="L18" s="15" t="str">
        <f t="shared" si="2"/>
        <v/>
      </c>
      <c r="M18" s="4" t="str">
        <f>IF(A18="","",COUNTIFS(激励事件明细!$C$2:$C$501,A18,激励事件明细!$H$2:$H$501,C18,激励事件明细!$AA$2:$AA$501,"&gt;0"))</f>
        <v/>
      </c>
      <c r="N18" s="4" t="str">
        <f>IF(OR(A18="",C18=""),"",IFERROR(INDEX(激励事件明细!$A$2:$A$501,MATCH(A18&amp;"|"&amp;C18&amp;"|1",激励事件明细!$AM$2:$AM$501,0)),""))</f>
        <v/>
      </c>
      <c r="O18" s="17" t="str">
        <f>IF(N18="","",IFERROR(INDEX(激励事件明细!$AC$2:$AC$501,MATCH(N18,激励事件明细!$A$2:$A$501,0)),""))</f>
        <v/>
      </c>
      <c r="P18" s="4" t="str">
        <f t="shared" ca="1" si="3"/>
        <v/>
      </c>
    </row>
    <row r="19" spans="1:16" x14ac:dyDescent="0.3">
      <c r="A19" s="9"/>
      <c r="B19" s="4" t="str">
        <f>IF(A19="","",IFERROR(INDEX(激励事件明细!$D$2:$D$501,MATCH(A19,激励事件明细!$C$2:$C$501,0)),""))</f>
        <v/>
      </c>
      <c r="C19" s="9"/>
      <c r="D19" s="15" t="str">
        <f>IF(OR(A19="",C19=""),"",SUMIFS(激励事件明细!$T$2:$T$501,激励事件明细!$C$2:$C$501,A19,激励事件明细!$H$2:$H$501,C19,激励事件明细!$F$2:$F$501,"股票期权"))</f>
        <v/>
      </c>
      <c r="E19" s="15" t="str">
        <f>IF(OR(A19="",C19=""),"",SUMIFS(激励事件明细!$T$2:$T$501,激励事件明细!$C$2:$C$501,A19,激励事件明细!$H$2:$H$501,C19,激励事件明细!$F$2:$F$501,"限制性股票"))</f>
        <v/>
      </c>
      <c r="F19" s="15" t="str">
        <f>IF(OR(A19="",C19=""),"",SUMIFS(激励事件明细!$T$2:$T$501,激励事件明细!$C$2:$C$501,A19,激励事件明细!$H$2:$H$501,C19,激励事件明细!$F$2:$F$501,"其他股权激励"))</f>
        <v/>
      </c>
      <c r="G19" s="15" t="str">
        <f t="shared" si="0"/>
        <v/>
      </c>
      <c r="H19" s="16" t="str">
        <f>IF(G19="","",VLOOKUP(G19,税率及规则!$A$2:$C$8,2,TRUE))</f>
        <v/>
      </c>
      <c r="I19" s="15" t="str">
        <f>IF(G19="","",VLOOKUP(G19,税率及规则!$A$2:$C$8,3,TRUE))</f>
        <v/>
      </c>
      <c r="J19" s="15" t="str">
        <f t="shared" si="1"/>
        <v/>
      </c>
      <c r="K19" s="15" t="str">
        <f>IF(A19="","",SUMIFS(分期缴税台账!$K$2:$K$501,分期缴税台账!$A$2:$A$501,A19,分期缴税台账!$C$2:$C$501,C19,分期缴税台账!$Q$2:$Q$501,"有效"))</f>
        <v/>
      </c>
      <c r="L19" s="15" t="str">
        <f t="shared" si="2"/>
        <v/>
      </c>
      <c r="M19" s="4" t="str">
        <f>IF(A19="","",COUNTIFS(激励事件明细!$C$2:$C$501,A19,激励事件明细!$H$2:$H$501,C19,激励事件明细!$AA$2:$AA$501,"&gt;0"))</f>
        <v/>
      </c>
      <c r="N19" s="4" t="str">
        <f>IF(OR(A19="",C19=""),"",IFERROR(INDEX(激励事件明细!$A$2:$A$501,MATCH(A19&amp;"|"&amp;C19&amp;"|1",激励事件明细!$AM$2:$AM$501,0)),""))</f>
        <v/>
      </c>
      <c r="O19" s="17" t="str">
        <f>IF(N19="","",IFERROR(INDEX(激励事件明细!$AC$2:$AC$501,MATCH(N19,激励事件明细!$A$2:$A$501,0)),""))</f>
        <v/>
      </c>
      <c r="P19" s="4" t="str">
        <f t="shared" ca="1" si="3"/>
        <v/>
      </c>
    </row>
    <row r="20" spans="1:16" x14ac:dyDescent="0.3">
      <c r="A20" s="9"/>
      <c r="B20" s="4" t="str">
        <f>IF(A20="","",IFERROR(INDEX(激励事件明细!$D$2:$D$501,MATCH(A20,激励事件明细!$C$2:$C$501,0)),""))</f>
        <v/>
      </c>
      <c r="C20" s="9"/>
      <c r="D20" s="15" t="str">
        <f>IF(OR(A20="",C20=""),"",SUMIFS(激励事件明细!$T$2:$T$501,激励事件明细!$C$2:$C$501,A20,激励事件明细!$H$2:$H$501,C20,激励事件明细!$F$2:$F$501,"股票期权"))</f>
        <v/>
      </c>
      <c r="E20" s="15" t="str">
        <f>IF(OR(A20="",C20=""),"",SUMIFS(激励事件明细!$T$2:$T$501,激励事件明细!$C$2:$C$501,A20,激励事件明细!$H$2:$H$501,C20,激励事件明细!$F$2:$F$501,"限制性股票"))</f>
        <v/>
      </c>
      <c r="F20" s="15" t="str">
        <f>IF(OR(A20="",C20=""),"",SUMIFS(激励事件明细!$T$2:$T$501,激励事件明细!$C$2:$C$501,A20,激励事件明细!$H$2:$H$501,C20,激励事件明细!$F$2:$F$501,"其他股权激励"))</f>
        <v/>
      </c>
      <c r="G20" s="15" t="str">
        <f t="shared" si="0"/>
        <v/>
      </c>
      <c r="H20" s="16" t="str">
        <f>IF(G20="","",VLOOKUP(G20,税率及规则!$A$2:$C$8,2,TRUE))</f>
        <v/>
      </c>
      <c r="I20" s="15" t="str">
        <f>IF(G20="","",VLOOKUP(G20,税率及规则!$A$2:$C$8,3,TRUE))</f>
        <v/>
      </c>
      <c r="J20" s="15" t="str">
        <f t="shared" si="1"/>
        <v/>
      </c>
      <c r="K20" s="15" t="str">
        <f>IF(A20="","",SUMIFS(分期缴税台账!$K$2:$K$501,分期缴税台账!$A$2:$A$501,A20,分期缴税台账!$C$2:$C$501,C20,分期缴税台账!$Q$2:$Q$501,"有效"))</f>
        <v/>
      </c>
      <c r="L20" s="15" t="str">
        <f t="shared" si="2"/>
        <v/>
      </c>
      <c r="M20" s="4" t="str">
        <f>IF(A20="","",COUNTIFS(激励事件明细!$C$2:$C$501,A20,激励事件明细!$H$2:$H$501,C20,激励事件明细!$AA$2:$AA$501,"&gt;0"))</f>
        <v/>
      </c>
      <c r="N20" s="4" t="str">
        <f>IF(OR(A20="",C20=""),"",IFERROR(INDEX(激励事件明细!$A$2:$A$501,MATCH(A20&amp;"|"&amp;C20&amp;"|1",激励事件明细!$AM$2:$AM$501,0)),""))</f>
        <v/>
      </c>
      <c r="O20" s="17" t="str">
        <f>IF(N20="","",IFERROR(INDEX(激励事件明细!$AC$2:$AC$501,MATCH(N20,激励事件明细!$A$2:$A$501,0)),""))</f>
        <v/>
      </c>
      <c r="P20" s="4" t="str">
        <f t="shared" ca="1" si="3"/>
        <v/>
      </c>
    </row>
    <row r="21" spans="1:16" x14ac:dyDescent="0.3">
      <c r="A21" s="9"/>
      <c r="B21" s="4" t="str">
        <f>IF(A21="","",IFERROR(INDEX(激励事件明细!$D$2:$D$501,MATCH(A21,激励事件明细!$C$2:$C$501,0)),""))</f>
        <v/>
      </c>
      <c r="C21" s="9"/>
      <c r="D21" s="15" t="str">
        <f>IF(OR(A21="",C21=""),"",SUMIFS(激励事件明细!$T$2:$T$501,激励事件明细!$C$2:$C$501,A21,激励事件明细!$H$2:$H$501,C21,激励事件明细!$F$2:$F$501,"股票期权"))</f>
        <v/>
      </c>
      <c r="E21" s="15" t="str">
        <f>IF(OR(A21="",C21=""),"",SUMIFS(激励事件明细!$T$2:$T$501,激励事件明细!$C$2:$C$501,A21,激励事件明细!$H$2:$H$501,C21,激励事件明细!$F$2:$F$501,"限制性股票"))</f>
        <v/>
      </c>
      <c r="F21" s="15" t="str">
        <f>IF(OR(A21="",C21=""),"",SUMIFS(激励事件明细!$T$2:$T$501,激励事件明细!$C$2:$C$501,A21,激励事件明细!$H$2:$H$501,C21,激励事件明细!$F$2:$F$501,"其他股权激励"))</f>
        <v/>
      </c>
      <c r="G21" s="15" t="str">
        <f t="shared" si="0"/>
        <v/>
      </c>
      <c r="H21" s="16" t="str">
        <f>IF(G21="","",VLOOKUP(G21,税率及规则!$A$2:$C$8,2,TRUE))</f>
        <v/>
      </c>
      <c r="I21" s="15" t="str">
        <f>IF(G21="","",VLOOKUP(G21,税率及规则!$A$2:$C$8,3,TRUE))</f>
        <v/>
      </c>
      <c r="J21" s="15" t="str">
        <f t="shared" si="1"/>
        <v/>
      </c>
      <c r="K21" s="15" t="str">
        <f>IF(A21="","",SUMIFS(分期缴税台账!$K$2:$K$501,分期缴税台账!$A$2:$A$501,A21,分期缴税台账!$C$2:$C$501,C21,分期缴税台账!$Q$2:$Q$501,"有效"))</f>
        <v/>
      </c>
      <c r="L21" s="15" t="str">
        <f t="shared" si="2"/>
        <v/>
      </c>
      <c r="M21" s="4" t="str">
        <f>IF(A21="","",COUNTIFS(激励事件明细!$C$2:$C$501,A21,激励事件明细!$H$2:$H$501,C21,激励事件明细!$AA$2:$AA$501,"&gt;0"))</f>
        <v/>
      </c>
      <c r="N21" s="4" t="str">
        <f>IF(OR(A21="",C21=""),"",IFERROR(INDEX(激励事件明细!$A$2:$A$501,MATCH(A21&amp;"|"&amp;C21&amp;"|1",激励事件明细!$AM$2:$AM$501,0)),""))</f>
        <v/>
      </c>
      <c r="O21" s="17" t="str">
        <f>IF(N21="","",IFERROR(INDEX(激励事件明细!$AC$2:$AC$501,MATCH(N21,激励事件明细!$A$2:$A$501,0)),""))</f>
        <v/>
      </c>
      <c r="P21" s="4" t="str">
        <f t="shared" ca="1" si="3"/>
        <v/>
      </c>
    </row>
    <row r="22" spans="1:16" x14ac:dyDescent="0.3">
      <c r="A22" s="9"/>
      <c r="B22" s="4" t="str">
        <f>IF(A22="","",IFERROR(INDEX(激励事件明细!$D$2:$D$501,MATCH(A22,激励事件明细!$C$2:$C$501,0)),""))</f>
        <v/>
      </c>
      <c r="C22" s="9"/>
      <c r="D22" s="15" t="str">
        <f>IF(OR(A22="",C22=""),"",SUMIFS(激励事件明细!$T$2:$T$501,激励事件明细!$C$2:$C$501,A22,激励事件明细!$H$2:$H$501,C22,激励事件明细!$F$2:$F$501,"股票期权"))</f>
        <v/>
      </c>
      <c r="E22" s="15" t="str">
        <f>IF(OR(A22="",C22=""),"",SUMIFS(激励事件明细!$T$2:$T$501,激励事件明细!$C$2:$C$501,A22,激励事件明细!$H$2:$H$501,C22,激励事件明细!$F$2:$F$501,"限制性股票"))</f>
        <v/>
      </c>
      <c r="F22" s="15" t="str">
        <f>IF(OR(A22="",C22=""),"",SUMIFS(激励事件明细!$T$2:$T$501,激励事件明细!$C$2:$C$501,A22,激励事件明细!$H$2:$H$501,C22,激励事件明细!$F$2:$F$501,"其他股权激励"))</f>
        <v/>
      </c>
      <c r="G22" s="15" t="str">
        <f t="shared" si="0"/>
        <v/>
      </c>
      <c r="H22" s="16" t="str">
        <f>IF(G22="","",VLOOKUP(G22,税率及规则!$A$2:$C$8,2,TRUE))</f>
        <v/>
      </c>
      <c r="I22" s="15" t="str">
        <f>IF(G22="","",VLOOKUP(G22,税率及规则!$A$2:$C$8,3,TRUE))</f>
        <v/>
      </c>
      <c r="J22" s="15" t="str">
        <f t="shared" si="1"/>
        <v/>
      </c>
      <c r="K22" s="15" t="str">
        <f>IF(A22="","",SUMIFS(分期缴税台账!$K$2:$K$501,分期缴税台账!$A$2:$A$501,A22,分期缴税台账!$C$2:$C$501,C22,分期缴税台账!$Q$2:$Q$501,"有效"))</f>
        <v/>
      </c>
      <c r="L22" s="15" t="str">
        <f t="shared" si="2"/>
        <v/>
      </c>
      <c r="M22" s="4" t="str">
        <f>IF(A22="","",COUNTIFS(激励事件明细!$C$2:$C$501,A22,激励事件明细!$H$2:$H$501,C22,激励事件明细!$AA$2:$AA$501,"&gt;0"))</f>
        <v/>
      </c>
      <c r="N22" s="4" t="str">
        <f>IF(OR(A22="",C22=""),"",IFERROR(INDEX(激励事件明细!$A$2:$A$501,MATCH(A22&amp;"|"&amp;C22&amp;"|1",激励事件明细!$AM$2:$AM$501,0)),""))</f>
        <v/>
      </c>
      <c r="O22" s="17" t="str">
        <f>IF(N22="","",IFERROR(INDEX(激励事件明细!$AC$2:$AC$501,MATCH(N22,激励事件明细!$A$2:$A$501,0)),""))</f>
        <v/>
      </c>
      <c r="P22" s="4" t="str">
        <f t="shared" ca="1" si="3"/>
        <v/>
      </c>
    </row>
    <row r="23" spans="1:16" x14ac:dyDescent="0.3">
      <c r="A23" s="9"/>
      <c r="B23" s="4" t="str">
        <f>IF(A23="","",IFERROR(INDEX(激励事件明细!$D$2:$D$501,MATCH(A23,激励事件明细!$C$2:$C$501,0)),""))</f>
        <v/>
      </c>
      <c r="C23" s="9"/>
      <c r="D23" s="15" t="str">
        <f>IF(OR(A23="",C23=""),"",SUMIFS(激励事件明细!$T$2:$T$501,激励事件明细!$C$2:$C$501,A23,激励事件明细!$H$2:$H$501,C23,激励事件明细!$F$2:$F$501,"股票期权"))</f>
        <v/>
      </c>
      <c r="E23" s="15" t="str">
        <f>IF(OR(A23="",C23=""),"",SUMIFS(激励事件明细!$T$2:$T$501,激励事件明细!$C$2:$C$501,A23,激励事件明细!$H$2:$H$501,C23,激励事件明细!$F$2:$F$501,"限制性股票"))</f>
        <v/>
      </c>
      <c r="F23" s="15" t="str">
        <f>IF(OR(A23="",C23=""),"",SUMIFS(激励事件明细!$T$2:$T$501,激励事件明细!$C$2:$C$501,A23,激励事件明细!$H$2:$H$501,C23,激励事件明细!$F$2:$F$501,"其他股权激励"))</f>
        <v/>
      </c>
      <c r="G23" s="15" t="str">
        <f t="shared" si="0"/>
        <v/>
      </c>
      <c r="H23" s="16" t="str">
        <f>IF(G23="","",VLOOKUP(G23,税率及规则!$A$2:$C$8,2,TRUE))</f>
        <v/>
      </c>
      <c r="I23" s="15" t="str">
        <f>IF(G23="","",VLOOKUP(G23,税率及规则!$A$2:$C$8,3,TRUE))</f>
        <v/>
      </c>
      <c r="J23" s="15" t="str">
        <f t="shared" si="1"/>
        <v/>
      </c>
      <c r="K23" s="15" t="str">
        <f>IF(A23="","",SUMIFS(分期缴税台账!$K$2:$K$501,分期缴税台账!$A$2:$A$501,A23,分期缴税台账!$C$2:$C$501,C23,分期缴税台账!$Q$2:$Q$501,"有效"))</f>
        <v/>
      </c>
      <c r="L23" s="15" t="str">
        <f t="shared" si="2"/>
        <v/>
      </c>
      <c r="M23" s="4" t="str">
        <f>IF(A23="","",COUNTIFS(激励事件明细!$C$2:$C$501,A23,激励事件明细!$H$2:$H$501,C23,激励事件明细!$AA$2:$AA$501,"&gt;0"))</f>
        <v/>
      </c>
      <c r="N23" s="4" t="str">
        <f>IF(OR(A23="",C23=""),"",IFERROR(INDEX(激励事件明细!$A$2:$A$501,MATCH(A23&amp;"|"&amp;C23&amp;"|1",激励事件明细!$AM$2:$AM$501,0)),""))</f>
        <v/>
      </c>
      <c r="O23" s="17" t="str">
        <f>IF(N23="","",IFERROR(INDEX(激励事件明细!$AC$2:$AC$501,MATCH(N23,激励事件明细!$A$2:$A$501,0)),""))</f>
        <v/>
      </c>
      <c r="P23" s="4" t="str">
        <f t="shared" ca="1" si="3"/>
        <v/>
      </c>
    </row>
    <row r="24" spans="1:16" x14ac:dyDescent="0.3">
      <c r="A24" s="9"/>
      <c r="B24" s="4" t="str">
        <f>IF(A24="","",IFERROR(INDEX(激励事件明细!$D$2:$D$501,MATCH(A24,激励事件明细!$C$2:$C$501,0)),""))</f>
        <v/>
      </c>
      <c r="C24" s="9"/>
      <c r="D24" s="15" t="str">
        <f>IF(OR(A24="",C24=""),"",SUMIFS(激励事件明细!$T$2:$T$501,激励事件明细!$C$2:$C$501,A24,激励事件明细!$H$2:$H$501,C24,激励事件明细!$F$2:$F$501,"股票期权"))</f>
        <v/>
      </c>
      <c r="E24" s="15" t="str">
        <f>IF(OR(A24="",C24=""),"",SUMIFS(激励事件明细!$T$2:$T$501,激励事件明细!$C$2:$C$501,A24,激励事件明细!$H$2:$H$501,C24,激励事件明细!$F$2:$F$501,"限制性股票"))</f>
        <v/>
      </c>
      <c r="F24" s="15" t="str">
        <f>IF(OR(A24="",C24=""),"",SUMIFS(激励事件明细!$T$2:$T$501,激励事件明细!$C$2:$C$501,A24,激励事件明细!$H$2:$H$501,C24,激励事件明细!$F$2:$F$501,"其他股权激励"))</f>
        <v/>
      </c>
      <c r="G24" s="15" t="str">
        <f t="shared" si="0"/>
        <v/>
      </c>
      <c r="H24" s="16" t="str">
        <f>IF(G24="","",VLOOKUP(G24,税率及规则!$A$2:$C$8,2,TRUE))</f>
        <v/>
      </c>
      <c r="I24" s="15" t="str">
        <f>IF(G24="","",VLOOKUP(G24,税率及规则!$A$2:$C$8,3,TRUE))</f>
        <v/>
      </c>
      <c r="J24" s="15" t="str">
        <f t="shared" si="1"/>
        <v/>
      </c>
      <c r="K24" s="15" t="str">
        <f>IF(A24="","",SUMIFS(分期缴税台账!$K$2:$K$501,分期缴税台账!$A$2:$A$501,A24,分期缴税台账!$C$2:$C$501,C24,分期缴税台账!$Q$2:$Q$501,"有效"))</f>
        <v/>
      </c>
      <c r="L24" s="15" t="str">
        <f t="shared" si="2"/>
        <v/>
      </c>
      <c r="M24" s="4" t="str">
        <f>IF(A24="","",COUNTIFS(激励事件明细!$C$2:$C$501,A24,激励事件明细!$H$2:$H$501,C24,激励事件明细!$AA$2:$AA$501,"&gt;0"))</f>
        <v/>
      </c>
      <c r="N24" s="4" t="str">
        <f>IF(OR(A24="",C24=""),"",IFERROR(INDEX(激励事件明细!$A$2:$A$501,MATCH(A24&amp;"|"&amp;C24&amp;"|1",激励事件明细!$AM$2:$AM$501,0)),""))</f>
        <v/>
      </c>
      <c r="O24" s="17" t="str">
        <f>IF(N24="","",IFERROR(INDEX(激励事件明细!$AC$2:$AC$501,MATCH(N24,激励事件明细!$A$2:$A$501,0)),""))</f>
        <v/>
      </c>
      <c r="P24" s="4" t="str">
        <f t="shared" ca="1" si="3"/>
        <v/>
      </c>
    </row>
    <row r="25" spans="1:16" x14ac:dyDescent="0.3">
      <c r="A25" s="9"/>
      <c r="B25" s="4" t="str">
        <f>IF(A25="","",IFERROR(INDEX(激励事件明细!$D$2:$D$501,MATCH(A25,激励事件明细!$C$2:$C$501,0)),""))</f>
        <v/>
      </c>
      <c r="C25" s="9"/>
      <c r="D25" s="15" t="str">
        <f>IF(OR(A25="",C25=""),"",SUMIFS(激励事件明细!$T$2:$T$501,激励事件明细!$C$2:$C$501,A25,激励事件明细!$H$2:$H$501,C25,激励事件明细!$F$2:$F$501,"股票期权"))</f>
        <v/>
      </c>
      <c r="E25" s="15" t="str">
        <f>IF(OR(A25="",C25=""),"",SUMIFS(激励事件明细!$T$2:$T$501,激励事件明细!$C$2:$C$501,A25,激励事件明细!$H$2:$H$501,C25,激励事件明细!$F$2:$F$501,"限制性股票"))</f>
        <v/>
      </c>
      <c r="F25" s="15" t="str">
        <f>IF(OR(A25="",C25=""),"",SUMIFS(激励事件明细!$T$2:$T$501,激励事件明细!$C$2:$C$501,A25,激励事件明细!$H$2:$H$501,C25,激励事件明细!$F$2:$F$501,"其他股权激励"))</f>
        <v/>
      </c>
      <c r="G25" s="15" t="str">
        <f t="shared" si="0"/>
        <v/>
      </c>
      <c r="H25" s="16" t="str">
        <f>IF(G25="","",VLOOKUP(G25,税率及规则!$A$2:$C$8,2,TRUE))</f>
        <v/>
      </c>
      <c r="I25" s="15" t="str">
        <f>IF(G25="","",VLOOKUP(G25,税率及规则!$A$2:$C$8,3,TRUE))</f>
        <v/>
      </c>
      <c r="J25" s="15" t="str">
        <f t="shared" si="1"/>
        <v/>
      </c>
      <c r="K25" s="15" t="str">
        <f>IF(A25="","",SUMIFS(分期缴税台账!$K$2:$K$501,分期缴税台账!$A$2:$A$501,A25,分期缴税台账!$C$2:$C$501,C25,分期缴税台账!$Q$2:$Q$501,"有效"))</f>
        <v/>
      </c>
      <c r="L25" s="15" t="str">
        <f t="shared" si="2"/>
        <v/>
      </c>
      <c r="M25" s="4" t="str">
        <f>IF(A25="","",COUNTIFS(激励事件明细!$C$2:$C$501,A25,激励事件明细!$H$2:$H$501,C25,激励事件明细!$AA$2:$AA$501,"&gt;0"))</f>
        <v/>
      </c>
      <c r="N25" s="4" t="str">
        <f>IF(OR(A25="",C25=""),"",IFERROR(INDEX(激励事件明细!$A$2:$A$501,MATCH(A25&amp;"|"&amp;C25&amp;"|1",激励事件明细!$AM$2:$AM$501,0)),""))</f>
        <v/>
      </c>
      <c r="O25" s="17" t="str">
        <f>IF(N25="","",IFERROR(INDEX(激励事件明细!$AC$2:$AC$501,MATCH(N25,激励事件明细!$A$2:$A$501,0)),""))</f>
        <v/>
      </c>
      <c r="P25" s="4" t="str">
        <f t="shared" ca="1" si="3"/>
        <v/>
      </c>
    </row>
    <row r="26" spans="1:16" x14ac:dyDescent="0.3">
      <c r="A26" s="9"/>
      <c r="B26" s="4" t="str">
        <f>IF(A26="","",IFERROR(INDEX(激励事件明细!$D$2:$D$501,MATCH(A26,激励事件明细!$C$2:$C$501,0)),""))</f>
        <v/>
      </c>
      <c r="C26" s="9"/>
      <c r="D26" s="15" t="str">
        <f>IF(OR(A26="",C26=""),"",SUMIFS(激励事件明细!$T$2:$T$501,激励事件明细!$C$2:$C$501,A26,激励事件明细!$H$2:$H$501,C26,激励事件明细!$F$2:$F$501,"股票期权"))</f>
        <v/>
      </c>
      <c r="E26" s="15" t="str">
        <f>IF(OR(A26="",C26=""),"",SUMIFS(激励事件明细!$T$2:$T$501,激励事件明细!$C$2:$C$501,A26,激励事件明细!$H$2:$H$501,C26,激励事件明细!$F$2:$F$501,"限制性股票"))</f>
        <v/>
      </c>
      <c r="F26" s="15" t="str">
        <f>IF(OR(A26="",C26=""),"",SUMIFS(激励事件明细!$T$2:$T$501,激励事件明细!$C$2:$C$501,A26,激励事件明细!$H$2:$H$501,C26,激励事件明细!$F$2:$F$501,"其他股权激励"))</f>
        <v/>
      </c>
      <c r="G26" s="15" t="str">
        <f t="shared" si="0"/>
        <v/>
      </c>
      <c r="H26" s="16" t="str">
        <f>IF(G26="","",VLOOKUP(G26,税率及规则!$A$2:$C$8,2,TRUE))</f>
        <v/>
      </c>
      <c r="I26" s="15" t="str">
        <f>IF(G26="","",VLOOKUP(G26,税率及规则!$A$2:$C$8,3,TRUE))</f>
        <v/>
      </c>
      <c r="J26" s="15" t="str">
        <f t="shared" si="1"/>
        <v/>
      </c>
      <c r="K26" s="15" t="str">
        <f>IF(A26="","",SUMIFS(分期缴税台账!$K$2:$K$501,分期缴税台账!$A$2:$A$501,A26,分期缴税台账!$C$2:$C$501,C26,分期缴税台账!$Q$2:$Q$501,"有效"))</f>
        <v/>
      </c>
      <c r="L26" s="15" t="str">
        <f t="shared" si="2"/>
        <v/>
      </c>
      <c r="M26" s="4" t="str">
        <f>IF(A26="","",COUNTIFS(激励事件明细!$C$2:$C$501,A26,激励事件明细!$H$2:$H$501,C26,激励事件明细!$AA$2:$AA$501,"&gt;0"))</f>
        <v/>
      </c>
      <c r="N26" s="4" t="str">
        <f>IF(OR(A26="",C26=""),"",IFERROR(INDEX(激励事件明细!$A$2:$A$501,MATCH(A26&amp;"|"&amp;C26&amp;"|1",激励事件明细!$AM$2:$AM$501,0)),""))</f>
        <v/>
      </c>
      <c r="O26" s="17" t="str">
        <f>IF(N26="","",IFERROR(INDEX(激励事件明细!$AC$2:$AC$501,MATCH(N26,激励事件明细!$A$2:$A$501,0)),""))</f>
        <v/>
      </c>
      <c r="P26" s="4" t="str">
        <f t="shared" ca="1" si="3"/>
        <v/>
      </c>
    </row>
    <row r="27" spans="1:16" x14ac:dyDescent="0.3">
      <c r="A27" s="9"/>
      <c r="B27" s="4" t="str">
        <f>IF(A27="","",IFERROR(INDEX(激励事件明细!$D$2:$D$501,MATCH(A27,激励事件明细!$C$2:$C$501,0)),""))</f>
        <v/>
      </c>
      <c r="C27" s="9"/>
      <c r="D27" s="15" t="str">
        <f>IF(OR(A27="",C27=""),"",SUMIFS(激励事件明细!$T$2:$T$501,激励事件明细!$C$2:$C$501,A27,激励事件明细!$H$2:$H$501,C27,激励事件明细!$F$2:$F$501,"股票期权"))</f>
        <v/>
      </c>
      <c r="E27" s="15" t="str">
        <f>IF(OR(A27="",C27=""),"",SUMIFS(激励事件明细!$T$2:$T$501,激励事件明细!$C$2:$C$501,A27,激励事件明细!$H$2:$H$501,C27,激励事件明细!$F$2:$F$501,"限制性股票"))</f>
        <v/>
      </c>
      <c r="F27" s="15" t="str">
        <f>IF(OR(A27="",C27=""),"",SUMIFS(激励事件明细!$T$2:$T$501,激励事件明细!$C$2:$C$501,A27,激励事件明细!$H$2:$H$501,C27,激励事件明细!$F$2:$F$501,"其他股权激励"))</f>
        <v/>
      </c>
      <c r="G27" s="15" t="str">
        <f t="shared" si="0"/>
        <v/>
      </c>
      <c r="H27" s="16" t="str">
        <f>IF(G27="","",VLOOKUP(G27,税率及规则!$A$2:$C$8,2,TRUE))</f>
        <v/>
      </c>
      <c r="I27" s="15" t="str">
        <f>IF(G27="","",VLOOKUP(G27,税率及规则!$A$2:$C$8,3,TRUE))</f>
        <v/>
      </c>
      <c r="J27" s="15" t="str">
        <f t="shared" si="1"/>
        <v/>
      </c>
      <c r="K27" s="15" t="str">
        <f>IF(A27="","",SUMIFS(分期缴税台账!$K$2:$K$501,分期缴税台账!$A$2:$A$501,A27,分期缴税台账!$C$2:$C$501,C27,分期缴税台账!$Q$2:$Q$501,"有效"))</f>
        <v/>
      </c>
      <c r="L27" s="15" t="str">
        <f t="shared" si="2"/>
        <v/>
      </c>
      <c r="M27" s="4" t="str">
        <f>IF(A27="","",COUNTIFS(激励事件明细!$C$2:$C$501,A27,激励事件明细!$H$2:$H$501,C27,激励事件明细!$AA$2:$AA$501,"&gt;0"))</f>
        <v/>
      </c>
      <c r="N27" s="4" t="str">
        <f>IF(OR(A27="",C27=""),"",IFERROR(INDEX(激励事件明细!$A$2:$A$501,MATCH(A27&amp;"|"&amp;C27&amp;"|1",激励事件明细!$AM$2:$AM$501,0)),""))</f>
        <v/>
      </c>
      <c r="O27" s="17" t="str">
        <f>IF(N27="","",IFERROR(INDEX(激励事件明细!$AC$2:$AC$501,MATCH(N27,激励事件明细!$A$2:$A$501,0)),""))</f>
        <v/>
      </c>
      <c r="P27" s="4" t="str">
        <f t="shared" ca="1" si="3"/>
        <v/>
      </c>
    </row>
    <row r="28" spans="1:16" x14ac:dyDescent="0.3">
      <c r="A28" s="9"/>
      <c r="B28" s="4" t="str">
        <f>IF(A28="","",IFERROR(INDEX(激励事件明细!$D$2:$D$501,MATCH(A28,激励事件明细!$C$2:$C$501,0)),""))</f>
        <v/>
      </c>
      <c r="C28" s="9"/>
      <c r="D28" s="15" t="str">
        <f>IF(OR(A28="",C28=""),"",SUMIFS(激励事件明细!$T$2:$T$501,激励事件明细!$C$2:$C$501,A28,激励事件明细!$H$2:$H$501,C28,激励事件明细!$F$2:$F$501,"股票期权"))</f>
        <v/>
      </c>
      <c r="E28" s="15" t="str">
        <f>IF(OR(A28="",C28=""),"",SUMIFS(激励事件明细!$T$2:$T$501,激励事件明细!$C$2:$C$501,A28,激励事件明细!$H$2:$H$501,C28,激励事件明细!$F$2:$F$501,"限制性股票"))</f>
        <v/>
      </c>
      <c r="F28" s="15" t="str">
        <f>IF(OR(A28="",C28=""),"",SUMIFS(激励事件明细!$T$2:$T$501,激励事件明细!$C$2:$C$501,A28,激励事件明细!$H$2:$H$501,C28,激励事件明细!$F$2:$F$501,"其他股权激励"))</f>
        <v/>
      </c>
      <c r="G28" s="15" t="str">
        <f t="shared" si="0"/>
        <v/>
      </c>
      <c r="H28" s="16" t="str">
        <f>IF(G28="","",VLOOKUP(G28,税率及规则!$A$2:$C$8,2,TRUE))</f>
        <v/>
      </c>
      <c r="I28" s="15" t="str">
        <f>IF(G28="","",VLOOKUP(G28,税率及规则!$A$2:$C$8,3,TRUE))</f>
        <v/>
      </c>
      <c r="J28" s="15" t="str">
        <f t="shared" si="1"/>
        <v/>
      </c>
      <c r="K28" s="15" t="str">
        <f>IF(A28="","",SUMIFS(分期缴税台账!$K$2:$K$501,分期缴税台账!$A$2:$A$501,A28,分期缴税台账!$C$2:$C$501,C28,分期缴税台账!$Q$2:$Q$501,"有效"))</f>
        <v/>
      </c>
      <c r="L28" s="15" t="str">
        <f t="shared" si="2"/>
        <v/>
      </c>
      <c r="M28" s="4" t="str">
        <f>IF(A28="","",COUNTIFS(激励事件明细!$C$2:$C$501,A28,激励事件明细!$H$2:$H$501,C28,激励事件明细!$AA$2:$AA$501,"&gt;0"))</f>
        <v/>
      </c>
      <c r="N28" s="4" t="str">
        <f>IF(OR(A28="",C28=""),"",IFERROR(INDEX(激励事件明细!$A$2:$A$501,MATCH(A28&amp;"|"&amp;C28&amp;"|1",激励事件明细!$AM$2:$AM$501,0)),""))</f>
        <v/>
      </c>
      <c r="O28" s="17" t="str">
        <f>IF(N28="","",IFERROR(INDEX(激励事件明细!$AC$2:$AC$501,MATCH(N28,激励事件明细!$A$2:$A$501,0)),""))</f>
        <v/>
      </c>
      <c r="P28" s="4" t="str">
        <f t="shared" ca="1" si="3"/>
        <v/>
      </c>
    </row>
    <row r="29" spans="1:16" x14ac:dyDescent="0.3">
      <c r="A29" s="9"/>
      <c r="B29" s="4" t="str">
        <f>IF(A29="","",IFERROR(INDEX(激励事件明细!$D$2:$D$501,MATCH(A29,激励事件明细!$C$2:$C$501,0)),""))</f>
        <v/>
      </c>
      <c r="C29" s="9"/>
      <c r="D29" s="15" t="str">
        <f>IF(OR(A29="",C29=""),"",SUMIFS(激励事件明细!$T$2:$T$501,激励事件明细!$C$2:$C$501,A29,激励事件明细!$H$2:$H$501,C29,激励事件明细!$F$2:$F$501,"股票期权"))</f>
        <v/>
      </c>
      <c r="E29" s="15" t="str">
        <f>IF(OR(A29="",C29=""),"",SUMIFS(激励事件明细!$T$2:$T$501,激励事件明细!$C$2:$C$501,A29,激励事件明细!$H$2:$H$501,C29,激励事件明细!$F$2:$F$501,"限制性股票"))</f>
        <v/>
      </c>
      <c r="F29" s="15" t="str">
        <f>IF(OR(A29="",C29=""),"",SUMIFS(激励事件明细!$T$2:$T$501,激励事件明细!$C$2:$C$501,A29,激励事件明细!$H$2:$H$501,C29,激励事件明细!$F$2:$F$501,"其他股权激励"))</f>
        <v/>
      </c>
      <c r="G29" s="15" t="str">
        <f t="shared" si="0"/>
        <v/>
      </c>
      <c r="H29" s="16" t="str">
        <f>IF(G29="","",VLOOKUP(G29,税率及规则!$A$2:$C$8,2,TRUE))</f>
        <v/>
      </c>
      <c r="I29" s="15" t="str">
        <f>IF(G29="","",VLOOKUP(G29,税率及规则!$A$2:$C$8,3,TRUE))</f>
        <v/>
      </c>
      <c r="J29" s="15" t="str">
        <f t="shared" si="1"/>
        <v/>
      </c>
      <c r="K29" s="15" t="str">
        <f>IF(A29="","",SUMIFS(分期缴税台账!$K$2:$K$501,分期缴税台账!$A$2:$A$501,A29,分期缴税台账!$C$2:$C$501,C29,分期缴税台账!$Q$2:$Q$501,"有效"))</f>
        <v/>
      </c>
      <c r="L29" s="15" t="str">
        <f t="shared" si="2"/>
        <v/>
      </c>
      <c r="M29" s="4" t="str">
        <f>IF(A29="","",COUNTIFS(激励事件明细!$C$2:$C$501,A29,激励事件明细!$H$2:$H$501,C29,激励事件明细!$AA$2:$AA$501,"&gt;0"))</f>
        <v/>
      </c>
      <c r="N29" s="4" t="str">
        <f>IF(OR(A29="",C29=""),"",IFERROR(INDEX(激励事件明细!$A$2:$A$501,MATCH(A29&amp;"|"&amp;C29&amp;"|1",激励事件明细!$AM$2:$AM$501,0)),""))</f>
        <v/>
      </c>
      <c r="O29" s="17" t="str">
        <f>IF(N29="","",IFERROR(INDEX(激励事件明细!$AC$2:$AC$501,MATCH(N29,激励事件明细!$A$2:$A$501,0)),""))</f>
        <v/>
      </c>
      <c r="P29" s="4" t="str">
        <f t="shared" ca="1" si="3"/>
        <v/>
      </c>
    </row>
    <row r="30" spans="1:16" x14ac:dyDescent="0.3">
      <c r="A30" s="9"/>
      <c r="B30" s="4" t="str">
        <f>IF(A30="","",IFERROR(INDEX(激励事件明细!$D$2:$D$501,MATCH(A30,激励事件明细!$C$2:$C$501,0)),""))</f>
        <v/>
      </c>
      <c r="C30" s="9"/>
      <c r="D30" s="15" t="str">
        <f>IF(OR(A30="",C30=""),"",SUMIFS(激励事件明细!$T$2:$T$501,激励事件明细!$C$2:$C$501,A30,激励事件明细!$H$2:$H$501,C30,激励事件明细!$F$2:$F$501,"股票期权"))</f>
        <v/>
      </c>
      <c r="E30" s="15" t="str">
        <f>IF(OR(A30="",C30=""),"",SUMIFS(激励事件明细!$T$2:$T$501,激励事件明细!$C$2:$C$501,A30,激励事件明细!$H$2:$H$501,C30,激励事件明细!$F$2:$F$501,"限制性股票"))</f>
        <v/>
      </c>
      <c r="F30" s="15" t="str">
        <f>IF(OR(A30="",C30=""),"",SUMIFS(激励事件明细!$T$2:$T$501,激励事件明细!$C$2:$C$501,A30,激励事件明细!$H$2:$H$501,C30,激励事件明细!$F$2:$F$501,"其他股权激励"))</f>
        <v/>
      </c>
      <c r="G30" s="15" t="str">
        <f t="shared" si="0"/>
        <v/>
      </c>
      <c r="H30" s="16" t="str">
        <f>IF(G30="","",VLOOKUP(G30,税率及规则!$A$2:$C$8,2,TRUE))</f>
        <v/>
      </c>
      <c r="I30" s="15" t="str">
        <f>IF(G30="","",VLOOKUP(G30,税率及规则!$A$2:$C$8,3,TRUE))</f>
        <v/>
      </c>
      <c r="J30" s="15" t="str">
        <f t="shared" si="1"/>
        <v/>
      </c>
      <c r="K30" s="15" t="str">
        <f>IF(A30="","",SUMIFS(分期缴税台账!$K$2:$K$501,分期缴税台账!$A$2:$A$501,A30,分期缴税台账!$C$2:$C$501,C30,分期缴税台账!$Q$2:$Q$501,"有效"))</f>
        <v/>
      </c>
      <c r="L30" s="15" t="str">
        <f t="shared" si="2"/>
        <v/>
      </c>
      <c r="M30" s="4" t="str">
        <f>IF(A30="","",COUNTIFS(激励事件明细!$C$2:$C$501,A30,激励事件明细!$H$2:$H$501,C30,激励事件明细!$AA$2:$AA$501,"&gt;0"))</f>
        <v/>
      </c>
      <c r="N30" s="4" t="str">
        <f>IF(OR(A30="",C30=""),"",IFERROR(INDEX(激励事件明细!$A$2:$A$501,MATCH(A30&amp;"|"&amp;C30&amp;"|1",激励事件明细!$AM$2:$AM$501,0)),""))</f>
        <v/>
      </c>
      <c r="O30" s="17" t="str">
        <f>IF(N30="","",IFERROR(INDEX(激励事件明细!$AC$2:$AC$501,MATCH(N30,激励事件明细!$A$2:$A$501,0)),""))</f>
        <v/>
      </c>
      <c r="P30" s="4" t="str">
        <f t="shared" ca="1" si="3"/>
        <v/>
      </c>
    </row>
    <row r="31" spans="1:16" x14ac:dyDescent="0.3">
      <c r="A31" s="9"/>
      <c r="B31" s="4" t="str">
        <f>IF(A31="","",IFERROR(INDEX(激励事件明细!$D$2:$D$501,MATCH(A31,激励事件明细!$C$2:$C$501,0)),""))</f>
        <v/>
      </c>
      <c r="C31" s="9"/>
      <c r="D31" s="15" t="str">
        <f>IF(OR(A31="",C31=""),"",SUMIFS(激励事件明细!$T$2:$T$501,激励事件明细!$C$2:$C$501,A31,激励事件明细!$H$2:$H$501,C31,激励事件明细!$F$2:$F$501,"股票期权"))</f>
        <v/>
      </c>
      <c r="E31" s="15" t="str">
        <f>IF(OR(A31="",C31=""),"",SUMIFS(激励事件明细!$T$2:$T$501,激励事件明细!$C$2:$C$501,A31,激励事件明细!$H$2:$H$501,C31,激励事件明细!$F$2:$F$501,"限制性股票"))</f>
        <v/>
      </c>
      <c r="F31" s="15" t="str">
        <f>IF(OR(A31="",C31=""),"",SUMIFS(激励事件明细!$T$2:$T$501,激励事件明细!$C$2:$C$501,A31,激励事件明细!$H$2:$H$501,C31,激励事件明细!$F$2:$F$501,"其他股权激励"))</f>
        <v/>
      </c>
      <c r="G31" s="15" t="str">
        <f t="shared" si="0"/>
        <v/>
      </c>
      <c r="H31" s="16" t="str">
        <f>IF(G31="","",VLOOKUP(G31,税率及规则!$A$2:$C$8,2,TRUE))</f>
        <v/>
      </c>
      <c r="I31" s="15" t="str">
        <f>IF(G31="","",VLOOKUP(G31,税率及规则!$A$2:$C$8,3,TRUE))</f>
        <v/>
      </c>
      <c r="J31" s="15" t="str">
        <f t="shared" si="1"/>
        <v/>
      </c>
      <c r="K31" s="15" t="str">
        <f>IF(A31="","",SUMIFS(分期缴税台账!$K$2:$K$501,分期缴税台账!$A$2:$A$501,A31,分期缴税台账!$C$2:$C$501,C31,分期缴税台账!$Q$2:$Q$501,"有效"))</f>
        <v/>
      </c>
      <c r="L31" s="15" t="str">
        <f t="shared" si="2"/>
        <v/>
      </c>
      <c r="M31" s="4" t="str">
        <f>IF(A31="","",COUNTIFS(激励事件明细!$C$2:$C$501,A31,激励事件明细!$H$2:$H$501,C31,激励事件明细!$AA$2:$AA$501,"&gt;0"))</f>
        <v/>
      </c>
      <c r="N31" s="4" t="str">
        <f>IF(OR(A31="",C31=""),"",IFERROR(INDEX(激励事件明细!$A$2:$A$501,MATCH(A31&amp;"|"&amp;C31&amp;"|1",激励事件明细!$AM$2:$AM$501,0)),""))</f>
        <v/>
      </c>
      <c r="O31" s="17" t="str">
        <f>IF(N31="","",IFERROR(INDEX(激励事件明细!$AC$2:$AC$501,MATCH(N31,激励事件明细!$A$2:$A$501,0)),""))</f>
        <v/>
      </c>
      <c r="P31" s="4" t="str">
        <f t="shared" ca="1" si="3"/>
        <v/>
      </c>
    </row>
    <row r="32" spans="1:16" x14ac:dyDescent="0.3">
      <c r="A32" s="9"/>
      <c r="B32" s="4" t="str">
        <f>IF(A32="","",IFERROR(INDEX(激励事件明细!$D$2:$D$501,MATCH(A32,激励事件明细!$C$2:$C$501,0)),""))</f>
        <v/>
      </c>
      <c r="C32" s="9"/>
      <c r="D32" s="15" t="str">
        <f>IF(OR(A32="",C32=""),"",SUMIFS(激励事件明细!$T$2:$T$501,激励事件明细!$C$2:$C$501,A32,激励事件明细!$H$2:$H$501,C32,激励事件明细!$F$2:$F$501,"股票期权"))</f>
        <v/>
      </c>
      <c r="E32" s="15" t="str">
        <f>IF(OR(A32="",C32=""),"",SUMIFS(激励事件明细!$T$2:$T$501,激励事件明细!$C$2:$C$501,A32,激励事件明细!$H$2:$H$501,C32,激励事件明细!$F$2:$F$501,"限制性股票"))</f>
        <v/>
      </c>
      <c r="F32" s="15" t="str">
        <f>IF(OR(A32="",C32=""),"",SUMIFS(激励事件明细!$T$2:$T$501,激励事件明细!$C$2:$C$501,A32,激励事件明细!$H$2:$H$501,C32,激励事件明细!$F$2:$F$501,"其他股权激励"))</f>
        <v/>
      </c>
      <c r="G32" s="15" t="str">
        <f t="shared" si="0"/>
        <v/>
      </c>
      <c r="H32" s="16" t="str">
        <f>IF(G32="","",VLOOKUP(G32,税率及规则!$A$2:$C$8,2,TRUE))</f>
        <v/>
      </c>
      <c r="I32" s="15" t="str">
        <f>IF(G32="","",VLOOKUP(G32,税率及规则!$A$2:$C$8,3,TRUE))</f>
        <v/>
      </c>
      <c r="J32" s="15" t="str">
        <f t="shared" si="1"/>
        <v/>
      </c>
      <c r="K32" s="15" t="str">
        <f>IF(A32="","",SUMIFS(分期缴税台账!$K$2:$K$501,分期缴税台账!$A$2:$A$501,A32,分期缴税台账!$C$2:$C$501,C32,分期缴税台账!$Q$2:$Q$501,"有效"))</f>
        <v/>
      </c>
      <c r="L32" s="15" t="str">
        <f t="shared" si="2"/>
        <v/>
      </c>
      <c r="M32" s="4" t="str">
        <f>IF(A32="","",COUNTIFS(激励事件明细!$C$2:$C$501,A32,激励事件明细!$H$2:$H$501,C32,激励事件明细!$AA$2:$AA$501,"&gt;0"))</f>
        <v/>
      </c>
      <c r="N32" s="4" t="str">
        <f>IF(OR(A32="",C32=""),"",IFERROR(INDEX(激励事件明细!$A$2:$A$501,MATCH(A32&amp;"|"&amp;C32&amp;"|1",激励事件明细!$AM$2:$AM$501,0)),""))</f>
        <v/>
      </c>
      <c r="O32" s="17" t="str">
        <f>IF(N32="","",IFERROR(INDEX(激励事件明细!$AC$2:$AC$501,MATCH(N32,激励事件明细!$A$2:$A$501,0)),""))</f>
        <v/>
      </c>
      <c r="P32" s="4" t="str">
        <f t="shared" ca="1" si="3"/>
        <v/>
      </c>
    </row>
    <row r="33" spans="1:16" x14ac:dyDescent="0.3">
      <c r="A33" s="9"/>
      <c r="B33" s="4" t="str">
        <f>IF(A33="","",IFERROR(INDEX(激励事件明细!$D$2:$D$501,MATCH(A33,激励事件明细!$C$2:$C$501,0)),""))</f>
        <v/>
      </c>
      <c r="C33" s="9"/>
      <c r="D33" s="15" t="str">
        <f>IF(OR(A33="",C33=""),"",SUMIFS(激励事件明细!$T$2:$T$501,激励事件明细!$C$2:$C$501,A33,激励事件明细!$H$2:$H$501,C33,激励事件明细!$F$2:$F$501,"股票期权"))</f>
        <v/>
      </c>
      <c r="E33" s="15" t="str">
        <f>IF(OR(A33="",C33=""),"",SUMIFS(激励事件明细!$T$2:$T$501,激励事件明细!$C$2:$C$501,A33,激励事件明细!$H$2:$H$501,C33,激励事件明细!$F$2:$F$501,"限制性股票"))</f>
        <v/>
      </c>
      <c r="F33" s="15" t="str">
        <f>IF(OR(A33="",C33=""),"",SUMIFS(激励事件明细!$T$2:$T$501,激励事件明细!$C$2:$C$501,A33,激励事件明细!$H$2:$H$501,C33,激励事件明细!$F$2:$F$501,"其他股权激励"))</f>
        <v/>
      </c>
      <c r="G33" s="15" t="str">
        <f t="shared" si="0"/>
        <v/>
      </c>
      <c r="H33" s="16" t="str">
        <f>IF(G33="","",VLOOKUP(G33,税率及规则!$A$2:$C$8,2,TRUE))</f>
        <v/>
      </c>
      <c r="I33" s="15" t="str">
        <f>IF(G33="","",VLOOKUP(G33,税率及规则!$A$2:$C$8,3,TRUE))</f>
        <v/>
      </c>
      <c r="J33" s="15" t="str">
        <f t="shared" si="1"/>
        <v/>
      </c>
      <c r="K33" s="15" t="str">
        <f>IF(A33="","",SUMIFS(分期缴税台账!$K$2:$K$501,分期缴税台账!$A$2:$A$501,A33,分期缴税台账!$C$2:$C$501,C33,分期缴税台账!$Q$2:$Q$501,"有效"))</f>
        <v/>
      </c>
      <c r="L33" s="15" t="str">
        <f t="shared" si="2"/>
        <v/>
      </c>
      <c r="M33" s="4" t="str">
        <f>IF(A33="","",COUNTIFS(激励事件明细!$C$2:$C$501,A33,激励事件明细!$H$2:$H$501,C33,激励事件明细!$AA$2:$AA$501,"&gt;0"))</f>
        <v/>
      </c>
      <c r="N33" s="4" t="str">
        <f>IF(OR(A33="",C33=""),"",IFERROR(INDEX(激励事件明细!$A$2:$A$501,MATCH(A33&amp;"|"&amp;C33&amp;"|1",激励事件明细!$AM$2:$AM$501,0)),""))</f>
        <v/>
      </c>
      <c r="O33" s="17" t="str">
        <f>IF(N33="","",IFERROR(INDEX(激励事件明细!$AC$2:$AC$501,MATCH(N33,激励事件明细!$A$2:$A$501,0)),""))</f>
        <v/>
      </c>
      <c r="P33" s="4" t="str">
        <f t="shared" ca="1" si="3"/>
        <v/>
      </c>
    </row>
    <row r="34" spans="1:16" x14ac:dyDescent="0.3">
      <c r="A34" s="9"/>
      <c r="B34" s="4" t="str">
        <f>IF(A34="","",IFERROR(INDEX(激励事件明细!$D$2:$D$501,MATCH(A34,激励事件明细!$C$2:$C$501,0)),""))</f>
        <v/>
      </c>
      <c r="C34" s="9"/>
      <c r="D34" s="15" t="str">
        <f>IF(OR(A34="",C34=""),"",SUMIFS(激励事件明细!$T$2:$T$501,激励事件明细!$C$2:$C$501,A34,激励事件明细!$H$2:$H$501,C34,激励事件明细!$F$2:$F$501,"股票期权"))</f>
        <v/>
      </c>
      <c r="E34" s="15" t="str">
        <f>IF(OR(A34="",C34=""),"",SUMIFS(激励事件明细!$T$2:$T$501,激励事件明细!$C$2:$C$501,A34,激励事件明细!$H$2:$H$501,C34,激励事件明细!$F$2:$F$501,"限制性股票"))</f>
        <v/>
      </c>
      <c r="F34" s="15" t="str">
        <f>IF(OR(A34="",C34=""),"",SUMIFS(激励事件明细!$T$2:$T$501,激励事件明细!$C$2:$C$501,A34,激励事件明细!$H$2:$H$501,C34,激励事件明细!$F$2:$F$501,"其他股权激励"))</f>
        <v/>
      </c>
      <c r="G34" s="15" t="str">
        <f t="shared" ref="G34:G65" si="4">IF(A34="","",SUM(D34:F34))</f>
        <v/>
      </c>
      <c r="H34" s="16" t="str">
        <f>IF(G34="","",VLOOKUP(G34,税率及规则!$A$2:$C$8,2,TRUE))</f>
        <v/>
      </c>
      <c r="I34" s="15" t="str">
        <f>IF(G34="","",VLOOKUP(G34,税率及规则!$A$2:$C$8,3,TRUE))</f>
        <v/>
      </c>
      <c r="J34" s="15" t="str">
        <f t="shared" ref="J34:J65" si="5">IF(G34="","",MAX(0,G34*H34-I34))</f>
        <v/>
      </c>
      <c r="K34" s="15" t="str">
        <f>IF(A34="","",SUMIFS(分期缴税台账!$K$2:$K$501,分期缴税台账!$A$2:$A$501,A34,分期缴税台账!$C$2:$C$501,C34,分期缴税台账!$Q$2:$Q$501,"有效"))</f>
        <v/>
      </c>
      <c r="L34" s="15" t="str">
        <f t="shared" ref="L34:L65" si="6">IF(J34="","",MAX(0,J34-K34))</f>
        <v/>
      </c>
      <c r="M34" s="4" t="str">
        <f>IF(A34="","",COUNTIFS(激励事件明细!$C$2:$C$501,A34,激励事件明细!$H$2:$H$501,C34,激励事件明细!$AA$2:$AA$501,"&gt;0"))</f>
        <v/>
      </c>
      <c r="N34" s="4" t="str">
        <f>IF(OR(A34="",C34=""),"",IFERROR(INDEX(激励事件明细!$A$2:$A$501,MATCH(A34&amp;"|"&amp;C34&amp;"|1",激励事件明细!$AM$2:$AM$501,0)),""))</f>
        <v/>
      </c>
      <c r="O34" s="17" t="str">
        <f>IF(N34="","",IFERROR(INDEX(激励事件明细!$AC$2:$AC$501,MATCH(N34,激励事件明细!$A$2:$A$501,0)),""))</f>
        <v/>
      </c>
      <c r="P34" s="4" t="str">
        <f t="shared" ref="P34:P65" ca="1" si="7">IF(A34="","",IF(M34=0,"",IF(K34&gt;J34,"异常：超额缴税",IF(L34=0,"已缴清",IF(AND(O34&lt;TODAY(),L34&gt;0),"逾期未缴","未缴清")))))</f>
        <v/>
      </c>
    </row>
    <row r="35" spans="1:16" x14ac:dyDescent="0.3">
      <c r="A35" s="9"/>
      <c r="B35" s="4" t="str">
        <f>IF(A35="","",IFERROR(INDEX(激励事件明细!$D$2:$D$501,MATCH(A35,激励事件明细!$C$2:$C$501,0)),""))</f>
        <v/>
      </c>
      <c r="C35" s="9"/>
      <c r="D35" s="15" t="str">
        <f>IF(OR(A35="",C35=""),"",SUMIFS(激励事件明细!$T$2:$T$501,激励事件明细!$C$2:$C$501,A35,激励事件明细!$H$2:$H$501,C35,激励事件明细!$F$2:$F$501,"股票期权"))</f>
        <v/>
      </c>
      <c r="E35" s="15" t="str">
        <f>IF(OR(A35="",C35=""),"",SUMIFS(激励事件明细!$T$2:$T$501,激励事件明细!$C$2:$C$501,A35,激励事件明细!$H$2:$H$501,C35,激励事件明细!$F$2:$F$501,"限制性股票"))</f>
        <v/>
      </c>
      <c r="F35" s="15" t="str">
        <f>IF(OR(A35="",C35=""),"",SUMIFS(激励事件明细!$T$2:$T$501,激励事件明细!$C$2:$C$501,A35,激励事件明细!$H$2:$H$501,C35,激励事件明细!$F$2:$F$501,"其他股权激励"))</f>
        <v/>
      </c>
      <c r="G35" s="15" t="str">
        <f t="shared" si="4"/>
        <v/>
      </c>
      <c r="H35" s="16" t="str">
        <f>IF(G35="","",VLOOKUP(G35,税率及规则!$A$2:$C$8,2,TRUE))</f>
        <v/>
      </c>
      <c r="I35" s="15" t="str">
        <f>IF(G35="","",VLOOKUP(G35,税率及规则!$A$2:$C$8,3,TRUE))</f>
        <v/>
      </c>
      <c r="J35" s="15" t="str">
        <f t="shared" si="5"/>
        <v/>
      </c>
      <c r="K35" s="15" t="str">
        <f>IF(A35="","",SUMIFS(分期缴税台账!$K$2:$K$501,分期缴税台账!$A$2:$A$501,A35,分期缴税台账!$C$2:$C$501,C35,分期缴税台账!$Q$2:$Q$501,"有效"))</f>
        <v/>
      </c>
      <c r="L35" s="15" t="str">
        <f t="shared" si="6"/>
        <v/>
      </c>
      <c r="M35" s="4" t="str">
        <f>IF(A35="","",COUNTIFS(激励事件明细!$C$2:$C$501,A35,激励事件明细!$H$2:$H$501,C35,激励事件明细!$AA$2:$AA$501,"&gt;0"))</f>
        <v/>
      </c>
      <c r="N35" s="4" t="str">
        <f>IF(OR(A35="",C35=""),"",IFERROR(INDEX(激励事件明细!$A$2:$A$501,MATCH(A35&amp;"|"&amp;C35&amp;"|1",激励事件明细!$AM$2:$AM$501,0)),""))</f>
        <v/>
      </c>
      <c r="O35" s="17" t="str">
        <f>IF(N35="","",IFERROR(INDEX(激励事件明细!$AC$2:$AC$501,MATCH(N35,激励事件明细!$A$2:$A$501,0)),""))</f>
        <v/>
      </c>
      <c r="P35" s="4" t="str">
        <f t="shared" ca="1" si="7"/>
        <v/>
      </c>
    </row>
    <row r="36" spans="1:16" x14ac:dyDescent="0.3">
      <c r="A36" s="9"/>
      <c r="B36" s="4" t="str">
        <f>IF(A36="","",IFERROR(INDEX(激励事件明细!$D$2:$D$501,MATCH(A36,激励事件明细!$C$2:$C$501,0)),""))</f>
        <v/>
      </c>
      <c r="C36" s="9"/>
      <c r="D36" s="15" t="str">
        <f>IF(OR(A36="",C36=""),"",SUMIFS(激励事件明细!$T$2:$T$501,激励事件明细!$C$2:$C$501,A36,激励事件明细!$H$2:$H$501,C36,激励事件明细!$F$2:$F$501,"股票期权"))</f>
        <v/>
      </c>
      <c r="E36" s="15" t="str">
        <f>IF(OR(A36="",C36=""),"",SUMIFS(激励事件明细!$T$2:$T$501,激励事件明细!$C$2:$C$501,A36,激励事件明细!$H$2:$H$501,C36,激励事件明细!$F$2:$F$501,"限制性股票"))</f>
        <v/>
      </c>
      <c r="F36" s="15" t="str">
        <f>IF(OR(A36="",C36=""),"",SUMIFS(激励事件明细!$T$2:$T$501,激励事件明细!$C$2:$C$501,A36,激励事件明细!$H$2:$H$501,C36,激励事件明细!$F$2:$F$501,"其他股权激励"))</f>
        <v/>
      </c>
      <c r="G36" s="15" t="str">
        <f t="shared" si="4"/>
        <v/>
      </c>
      <c r="H36" s="16" t="str">
        <f>IF(G36="","",VLOOKUP(G36,税率及规则!$A$2:$C$8,2,TRUE))</f>
        <v/>
      </c>
      <c r="I36" s="15" t="str">
        <f>IF(G36="","",VLOOKUP(G36,税率及规则!$A$2:$C$8,3,TRUE))</f>
        <v/>
      </c>
      <c r="J36" s="15" t="str">
        <f t="shared" si="5"/>
        <v/>
      </c>
      <c r="K36" s="15" t="str">
        <f>IF(A36="","",SUMIFS(分期缴税台账!$K$2:$K$501,分期缴税台账!$A$2:$A$501,A36,分期缴税台账!$C$2:$C$501,C36,分期缴税台账!$Q$2:$Q$501,"有效"))</f>
        <v/>
      </c>
      <c r="L36" s="15" t="str">
        <f t="shared" si="6"/>
        <v/>
      </c>
      <c r="M36" s="4" t="str">
        <f>IF(A36="","",COUNTIFS(激励事件明细!$C$2:$C$501,A36,激励事件明细!$H$2:$H$501,C36,激励事件明细!$AA$2:$AA$501,"&gt;0"))</f>
        <v/>
      </c>
      <c r="N36" s="4" t="str">
        <f>IF(OR(A36="",C36=""),"",IFERROR(INDEX(激励事件明细!$A$2:$A$501,MATCH(A36&amp;"|"&amp;C36&amp;"|1",激励事件明细!$AM$2:$AM$501,0)),""))</f>
        <v/>
      </c>
      <c r="O36" s="17" t="str">
        <f>IF(N36="","",IFERROR(INDEX(激励事件明细!$AC$2:$AC$501,MATCH(N36,激励事件明细!$A$2:$A$501,0)),""))</f>
        <v/>
      </c>
      <c r="P36" s="4" t="str">
        <f t="shared" ca="1" si="7"/>
        <v/>
      </c>
    </row>
    <row r="37" spans="1:16" x14ac:dyDescent="0.3">
      <c r="A37" s="9"/>
      <c r="B37" s="4" t="str">
        <f>IF(A37="","",IFERROR(INDEX(激励事件明细!$D$2:$D$501,MATCH(A37,激励事件明细!$C$2:$C$501,0)),""))</f>
        <v/>
      </c>
      <c r="C37" s="9"/>
      <c r="D37" s="15" t="str">
        <f>IF(OR(A37="",C37=""),"",SUMIFS(激励事件明细!$T$2:$T$501,激励事件明细!$C$2:$C$501,A37,激励事件明细!$H$2:$H$501,C37,激励事件明细!$F$2:$F$501,"股票期权"))</f>
        <v/>
      </c>
      <c r="E37" s="15" t="str">
        <f>IF(OR(A37="",C37=""),"",SUMIFS(激励事件明细!$T$2:$T$501,激励事件明细!$C$2:$C$501,A37,激励事件明细!$H$2:$H$501,C37,激励事件明细!$F$2:$F$501,"限制性股票"))</f>
        <v/>
      </c>
      <c r="F37" s="15" t="str">
        <f>IF(OR(A37="",C37=""),"",SUMIFS(激励事件明细!$T$2:$T$501,激励事件明细!$C$2:$C$501,A37,激励事件明细!$H$2:$H$501,C37,激励事件明细!$F$2:$F$501,"其他股权激励"))</f>
        <v/>
      </c>
      <c r="G37" s="15" t="str">
        <f t="shared" si="4"/>
        <v/>
      </c>
      <c r="H37" s="16" t="str">
        <f>IF(G37="","",VLOOKUP(G37,税率及规则!$A$2:$C$8,2,TRUE))</f>
        <v/>
      </c>
      <c r="I37" s="15" t="str">
        <f>IF(G37="","",VLOOKUP(G37,税率及规则!$A$2:$C$8,3,TRUE))</f>
        <v/>
      </c>
      <c r="J37" s="15" t="str">
        <f t="shared" si="5"/>
        <v/>
      </c>
      <c r="K37" s="15" t="str">
        <f>IF(A37="","",SUMIFS(分期缴税台账!$K$2:$K$501,分期缴税台账!$A$2:$A$501,A37,分期缴税台账!$C$2:$C$501,C37,分期缴税台账!$Q$2:$Q$501,"有效"))</f>
        <v/>
      </c>
      <c r="L37" s="15" t="str">
        <f t="shared" si="6"/>
        <v/>
      </c>
      <c r="M37" s="4" t="str">
        <f>IF(A37="","",COUNTIFS(激励事件明细!$C$2:$C$501,A37,激励事件明细!$H$2:$H$501,C37,激励事件明细!$AA$2:$AA$501,"&gt;0"))</f>
        <v/>
      </c>
      <c r="N37" s="4" t="str">
        <f>IF(OR(A37="",C37=""),"",IFERROR(INDEX(激励事件明细!$A$2:$A$501,MATCH(A37&amp;"|"&amp;C37&amp;"|1",激励事件明细!$AM$2:$AM$501,0)),""))</f>
        <v/>
      </c>
      <c r="O37" s="17" t="str">
        <f>IF(N37="","",IFERROR(INDEX(激励事件明细!$AC$2:$AC$501,MATCH(N37,激励事件明细!$A$2:$A$501,0)),""))</f>
        <v/>
      </c>
      <c r="P37" s="4" t="str">
        <f t="shared" ca="1" si="7"/>
        <v/>
      </c>
    </row>
    <row r="38" spans="1:16" x14ac:dyDescent="0.3">
      <c r="A38" s="9"/>
      <c r="B38" s="4" t="str">
        <f>IF(A38="","",IFERROR(INDEX(激励事件明细!$D$2:$D$501,MATCH(A38,激励事件明细!$C$2:$C$501,0)),""))</f>
        <v/>
      </c>
      <c r="C38" s="9"/>
      <c r="D38" s="15" t="str">
        <f>IF(OR(A38="",C38=""),"",SUMIFS(激励事件明细!$T$2:$T$501,激励事件明细!$C$2:$C$501,A38,激励事件明细!$H$2:$H$501,C38,激励事件明细!$F$2:$F$501,"股票期权"))</f>
        <v/>
      </c>
      <c r="E38" s="15" t="str">
        <f>IF(OR(A38="",C38=""),"",SUMIFS(激励事件明细!$T$2:$T$501,激励事件明细!$C$2:$C$501,A38,激励事件明细!$H$2:$H$501,C38,激励事件明细!$F$2:$F$501,"限制性股票"))</f>
        <v/>
      </c>
      <c r="F38" s="15" t="str">
        <f>IF(OR(A38="",C38=""),"",SUMIFS(激励事件明细!$T$2:$T$501,激励事件明细!$C$2:$C$501,A38,激励事件明细!$H$2:$H$501,C38,激励事件明细!$F$2:$F$501,"其他股权激励"))</f>
        <v/>
      </c>
      <c r="G38" s="15" t="str">
        <f t="shared" si="4"/>
        <v/>
      </c>
      <c r="H38" s="16" t="str">
        <f>IF(G38="","",VLOOKUP(G38,税率及规则!$A$2:$C$8,2,TRUE))</f>
        <v/>
      </c>
      <c r="I38" s="15" t="str">
        <f>IF(G38="","",VLOOKUP(G38,税率及规则!$A$2:$C$8,3,TRUE))</f>
        <v/>
      </c>
      <c r="J38" s="15" t="str">
        <f t="shared" si="5"/>
        <v/>
      </c>
      <c r="K38" s="15" t="str">
        <f>IF(A38="","",SUMIFS(分期缴税台账!$K$2:$K$501,分期缴税台账!$A$2:$A$501,A38,分期缴税台账!$C$2:$C$501,C38,分期缴税台账!$Q$2:$Q$501,"有效"))</f>
        <v/>
      </c>
      <c r="L38" s="15" t="str">
        <f t="shared" si="6"/>
        <v/>
      </c>
      <c r="M38" s="4" t="str">
        <f>IF(A38="","",COUNTIFS(激励事件明细!$C$2:$C$501,A38,激励事件明细!$H$2:$H$501,C38,激励事件明细!$AA$2:$AA$501,"&gt;0"))</f>
        <v/>
      </c>
      <c r="N38" s="4" t="str">
        <f>IF(OR(A38="",C38=""),"",IFERROR(INDEX(激励事件明细!$A$2:$A$501,MATCH(A38&amp;"|"&amp;C38&amp;"|1",激励事件明细!$AM$2:$AM$501,0)),""))</f>
        <v/>
      </c>
      <c r="O38" s="17" t="str">
        <f>IF(N38="","",IFERROR(INDEX(激励事件明细!$AC$2:$AC$501,MATCH(N38,激励事件明细!$A$2:$A$501,0)),""))</f>
        <v/>
      </c>
      <c r="P38" s="4" t="str">
        <f t="shared" ca="1" si="7"/>
        <v/>
      </c>
    </row>
    <row r="39" spans="1:16" x14ac:dyDescent="0.3">
      <c r="A39" s="9"/>
      <c r="B39" s="4" t="str">
        <f>IF(A39="","",IFERROR(INDEX(激励事件明细!$D$2:$D$501,MATCH(A39,激励事件明细!$C$2:$C$501,0)),""))</f>
        <v/>
      </c>
      <c r="C39" s="9"/>
      <c r="D39" s="15" t="str">
        <f>IF(OR(A39="",C39=""),"",SUMIFS(激励事件明细!$T$2:$T$501,激励事件明细!$C$2:$C$501,A39,激励事件明细!$H$2:$H$501,C39,激励事件明细!$F$2:$F$501,"股票期权"))</f>
        <v/>
      </c>
      <c r="E39" s="15" t="str">
        <f>IF(OR(A39="",C39=""),"",SUMIFS(激励事件明细!$T$2:$T$501,激励事件明细!$C$2:$C$501,A39,激励事件明细!$H$2:$H$501,C39,激励事件明细!$F$2:$F$501,"限制性股票"))</f>
        <v/>
      </c>
      <c r="F39" s="15" t="str">
        <f>IF(OR(A39="",C39=""),"",SUMIFS(激励事件明细!$T$2:$T$501,激励事件明细!$C$2:$C$501,A39,激励事件明细!$H$2:$H$501,C39,激励事件明细!$F$2:$F$501,"其他股权激励"))</f>
        <v/>
      </c>
      <c r="G39" s="15" t="str">
        <f t="shared" si="4"/>
        <v/>
      </c>
      <c r="H39" s="16" t="str">
        <f>IF(G39="","",VLOOKUP(G39,税率及规则!$A$2:$C$8,2,TRUE))</f>
        <v/>
      </c>
      <c r="I39" s="15" t="str">
        <f>IF(G39="","",VLOOKUP(G39,税率及规则!$A$2:$C$8,3,TRUE))</f>
        <v/>
      </c>
      <c r="J39" s="15" t="str">
        <f t="shared" si="5"/>
        <v/>
      </c>
      <c r="K39" s="15" t="str">
        <f>IF(A39="","",SUMIFS(分期缴税台账!$K$2:$K$501,分期缴税台账!$A$2:$A$501,A39,分期缴税台账!$C$2:$C$501,C39,分期缴税台账!$Q$2:$Q$501,"有效"))</f>
        <v/>
      </c>
      <c r="L39" s="15" t="str">
        <f t="shared" si="6"/>
        <v/>
      </c>
      <c r="M39" s="4" t="str">
        <f>IF(A39="","",COUNTIFS(激励事件明细!$C$2:$C$501,A39,激励事件明细!$H$2:$H$501,C39,激励事件明细!$AA$2:$AA$501,"&gt;0"))</f>
        <v/>
      </c>
      <c r="N39" s="4" t="str">
        <f>IF(OR(A39="",C39=""),"",IFERROR(INDEX(激励事件明细!$A$2:$A$501,MATCH(A39&amp;"|"&amp;C39&amp;"|1",激励事件明细!$AM$2:$AM$501,0)),""))</f>
        <v/>
      </c>
      <c r="O39" s="17" t="str">
        <f>IF(N39="","",IFERROR(INDEX(激励事件明细!$AC$2:$AC$501,MATCH(N39,激励事件明细!$A$2:$A$501,0)),""))</f>
        <v/>
      </c>
      <c r="P39" s="4" t="str">
        <f t="shared" ca="1" si="7"/>
        <v/>
      </c>
    </row>
    <row r="40" spans="1:16" x14ac:dyDescent="0.3">
      <c r="A40" s="9"/>
      <c r="B40" s="4" t="str">
        <f>IF(A40="","",IFERROR(INDEX(激励事件明细!$D$2:$D$501,MATCH(A40,激励事件明细!$C$2:$C$501,0)),""))</f>
        <v/>
      </c>
      <c r="C40" s="9"/>
      <c r="D40" s="15" t="str">
        <f>IF(OR(A40="",C40=""),"",SUMIFS(激励事件明细!$T$2:$T$501,激励事件明细!$C$2:$C$501,A40,激励事件明细!$H$2:$H$501,C40,激励事件明细!$F$2:$F$501,"股票期权"))</f>
        <v/>
      </c>
      <c r="E40" s="15" t="str">
        <f>IF(OR(A40="",C40=""),"",SUMIFS(激励事件明细!$T$2:$T$501,激励事件明细!$C$2:$C$501,A40,激励事件明细!$H$2:$H$501,C40,激励事件明细!$F$2:$F$501,"限制性股票"))</f>
        <v/>
      </c>
      <c r="F40" s="15" t="str">
        <f>IF(OR(A40="",C40=""),"",SUMIFS(激励事件明细!$T$2:$T$501,激励事件明细!$C$2:$C$501,A40,激励事件明细!$H$2:$H$501,C40,激励事件明细!$F$2:$F$501,"其他股权激励"))</f>
        <v/>
      </c>
      <c r="G40" s="15" t="str">
        <f t="shared" si="4"/>
        <v/>
      </c>
      <c r="H40" s="16" t="str">
        <f>IF(G40="","",VLOOKUP(G40,税率及规则!$A$2:$C$8,2,TRUE))</f>
        <v/>
      </c>
      <c r="I40" s="15" t="str">
        <f>IF(G40="","",VLOOKUP(G40,税率及规则!$A$2:$C$8,3,TRUE))</f>
        <v/>
      </c>
      <c r="J40" s="15" t="str">
        <f t="shared" si="5"/>
        <v/>
      </c>
      <c r="K40" s="15" t="str">
        <f>IF(A40="","",SUMIFS(分期缴税台账!$K$2:$K$501,分期缴税台账!$A$2:$A$501,A40,分期缴税台账!$C$2:$C$501,C40,分期缴税台账!$Q$2:$Q$501,"有效"))</f>
        <v/>
      </c>
      <c r="L40" s="15" t="str">
        <f t="shared" si="6"/>
        <v/>
      </c>
      <c r="M40" s="4" t="str">
        <f>IF(A40="","",COUNTIFS(激励事件明细!$C$2:$C$501,A40,激励事件明细!$H$2:$H$501,C40,激励事件明细!$AA$2:$AA$501,"&gt;0"))</f>
        <v/>
      </c>
      <c r="N40" s="4" t="str">
        <f>IF(OR(A40="",C40=""),"",IFERROR(INDEX(激励事件明细!$A$2:$A$501,MATCH(A40&amp;"|"&amp;C40&amp;"|1",激励事件明细!$AM$2:$AM$501,0)),""))</f>
        <v/>
      </c>
      <c r="O40" s="17" t="str">
        <f>IF(N40="","",IFERROR(INDEX(激励事件明细!$AC$2:$AC$501,MATCH(N40,激励事件明细!$A$2:$A$501,0)),""))</f>
        <v/>
      </c>
      <c r="P40" s="4" t="str">
        <f t="shared" ca="1" si="7"/>
        <v/>
      </c>
    </row>
    <row r="41" spans="1:16" x14ac:dyDescent="0.3">
      <c r="A41" s="9"/>
      <c r="B41" s="4" t="str">
        <f>IF(A41="","",IFERROR(INDEX(激励事件明细!$D$2:$D$501,MATCH(A41,激励事件明细!$C$2:$C$501,0)),""))</f>
        <v/>
      </c>
      <c r="C41" s="9"/>
      <c r="D41" s="15" t="str">
        <f>IF(OR(A41="",C41=""),"",SUMIFS(激励事件明细!$T$2:$T$501,激励事件明细!$C$2:$C$501,A41,激励事件明细!$H$2:$H$501,C41,激励事件明细!$F$2:$F$501,"股票期权"))</f>
        <v/>
      </c>
      <c r="E41" s="15" t="str">
        <f>IF(OR(A41="",C41=""),"",SUMIFS(激励事件明细!$T$2:$T$501,激励事件明细!$C$2:$C$501,A41,激励事件明细!$H$2:$H$501,C41,激励事件明细!$F$2:$F$501,"限制性股票"))</f>
        <v/>
      </c>
      <c r="F41" s="15" t="str">
        <f>IF(OR(A41="",C41=""),"",SUMIFS(激励事件明细!$T$2:$T$501,激励事件明细!$C$2:$C$501,A41,激励事件明细!$H$2:$H$501,C41,激励事件明细!$F$2:$F$501,"其他股权激励"))</f>
        <v/>
      </c>
      <c r="G41" s="15" t="str">
        <f t="shared" si="4"/>
        <v/>
      </c>
      <c r="H41" s="16" t="str">
        <f>IF(G41="","",VLOOKUP(G41,税率及规则!$A$2:$C$8,2,TRUE))</f>
        <v/>
      </c>
      <c r="I41" s="15" t="str">
        <f>IF(G41="","",VLOOKUP(G41,税率及规则!$A$2:$C$8,3,TRUE))</f>
        <v/>
      </c>
      <c r="J41" s="15" t="str">
        <f t="shared" si="5"/>
        <v/>
      </c>
      <c r="K41" s="15" t="str">
        <f>IF(A41="","",SUMIFS(分期缴税台账!$K$2:$K$501,分期缴税台账!$A$2:$A$501,A41,分期缴税台账!$C$2:$C$501,C41,分期缴税台账!$Q$2:$Q$501,"有效"))</f>
        <v/>
      </c>
      <c r="L41" s="15" t="str">
        <f t="shared" si="6"/>
        <v/>
      </c>
      <c r="M41" s="4" t="str">
        <f>IF(A41="","",COUNTIFS(激励事件明细!$C$2:$C$501,A41,激励事件明细!$H$2:$H$501,C41,激励事件明细!$AA$2:$AA$501,"&gt;0"))</f>
        <v/>
      </c>
      <c r="N41" s="4" t="str">
        <f>IF(OR(A41="",C41=""),"",IFERROR(INDEX(激励事件明细!$A$2:$A$501,MATCH(A41&amp;"|"&amp;C41&amp;"|1",激励事件明细!$AM$2:$AM$501,0)),""))</f>
        <v/>
      </c>
      <c r="O41" s="17" t="str">
        <f>IF(N41="","",IFERROR(INDEX(激励事件明细!$AC$2:$AC$501,MATCH(N41,激励事件明细!$A$2:$A$501,0)),""))</f>
        <v/>
      </c>
      <c r="P41" s="4" t="str">
        <f t="shared" ca="1" si="7"/>
        <v/>
      </c>
    </row>
    <row r="42" spans="1:16" x14ac:dyDescent="0.3">
      <c r="A42" s="9"/>
      <c r="B42" s="4" t="str">
        <f>IF(A42="","",IFERROR(INDEX(激励事件明细!$D$2:$D$501,MATCH(A42,激励事件明细!$C$2:$C$501,0)),""))</f>
        <v/>
      </c>
      <c r="C42" s="9"/>
      <c r="D42" s="15" t="str">
        <f>IF(OR(A42="",C42=""),"",SUMIFS(激励事件明细!$T$2:$T$501,激励事件明细!$C$2:$C$501,A42,激励事件明细!$H$2:$H$501,C42,激励事件明细!$F$2:$F$501,"股票期权"))</f>
        <v/>
      </c>
      <c r="E42" s="15" t="str">
        <f>IF(OR(A42="",C42=""),"",SUMIFS(激励事件明细!$T$2:$T$501,激励事件明细!$C$2:$C$501,A42,激励事件明细!$H$2:$H$501,C42,激励事件明细!$F$2:$F$501,"限制性股票"))</f>
        <v/>
      </c>
      <c r="F42" s="15" t="str">
        <f>IF(OR(A42="",C42=""),"",SUMIFS(激励事件明细!$T$2:$T$501,激励事件明细!$C$2:$C$501,A42,激励事件明细!$H$2:$H$501,C42,激励事件明细!$F$2:$F$501,"其他股权激励"))</f>
        <v/>
      </c>
      <c r="G42" s="15" t="str">
        <f t="shared" si="4"/>
        <v/>
      </c>
      <c r="H42" s="16" t="str">
        <f>IF(G42="","",VLOOKUP(G42,税率及规则!$A$2:$C$8,2,TRUE))</f>
        <v/>
      </c>
      <c r="I42" s="15" t="str">
        <f>IF(G42="","",VLOOKUP(G42,税率及规则!$A$2:$C$8,3,TRUE))</f>
        <v/>
      </c>
      <c r="J42" s="15" t="str">
        <f t="shared" si="5"/>
        <v/>
      </c>
      <c r="K42" s="15" t="str">
        <f>IF(A42="","",SUMIFS(分期缴税台账!$K$2:$K$501,分期缴税台账!$A$2:$A$501,A42,分期缴税台账!$C$2:$C$501,C42,分期缴税台账!$Q$2:$Q$501,"有效"))</f>
        <v/>
      </c>
      <c r="L42" s="15" t="str">
        <f t="shared" si="6"/>
        <v/>
      </c>
      <c r="M42" s="4" t="str">
        <f>IF(A42="","",COUNTIFS(激励事件明细!$C$2:$C$501,A42,激励事件明细!$H$2:$H$501,C42,激励事件明细!$AA$2:$AA$501,"&gt;0"))</f>
        <v/>
      </c>
      <c r="N42" s="4" t="str">
        <f>IF(OR(A42="",C42=""),"",IFERROR(INDEX(激励事件明细!$A$2:$A$501,MATCH(A42&amp;"|"&amp;C42&amp;"|1",激励事件明细!$AM$2:$AM$501,0)),""))</f>
        <v/>
      </c>
      <c r="O42" s="17" t="str">
        <f>IF(N42="","",IFERROR(INDEX(激励事件明细!$AC$2:$AC$501,MATCH(N42,激励事件明细!$A$2:$A$501,0)),""))</f>
        <v/>
      </c>
      <c r="P42" s="4" t="str">
        <f t="shared" ca="1" si="7"/>
        <v/>
      </c>
    </row>
    <row r="43" spans="1:16" x14ac:dyDescent="0.3">
      <c r="A43" s="9"/>
      <c r="B43" s="4" t="str">
        <f>IF(A43="","",IFERROR(INDEX(激励事件明细!$D$2:$D$501,MATCH(A43,激励事件明细!$C$2:$C$501,0)),""))</f>
        <v/>
      </c>
      <c r="C43" s="9"/>
      <c r="D43" s="15" t="str">
        <f>IF(OR(A43="",C43=""),"",SUMIFS(激励事件明细!$T$2:$T$501,激励事件明细!$C$2:$C$501,A43,激励事件明细!$H$2:$H$501,C43,激励事件明细!$F$2:$F$501,"股票期权"))</f>
        <v/>
      </c>
      <c r="E43" s="15" t="str">
        <f>IF(OR(A43="",C43=""),"",SUMIFS(激励事件明细!$T$2:$T$501,激励事件明细!$C$2:$C$501,A43,激励事件明细!$H$2:$H$501,C43,激励事件明细!$F$2:$F$501,"限制性股票"))</f>
        <v/>
      </c>
      <c r="F43" s="15" t="str">
        <f>IF(OR(A43="",C43=""),"",SUMIFS(激励事件明细!$T$2:$T$501,激励事件明细!$C$2:$C$501,A43,激励事件明细!$H$2:$H$501,C43,激励事件明细!$F$2:$F$501,"其他股权激励"))</f>
        <v/>
      </c>
      <c r="G43" s="15" t="str">
        <f t="shared" si="4"/>
        <v/>
      </c>
      <c r="H43" s="16" t="str">
        <f>IF(G43="","",VLOOKUP(G43,税率及规则!$A$2:$C$8,2,TRUE))</f>
        <v/>
      </c>
      <c r="I43" s="15" t="str">
        <f>IF(G43="","",VLOOKUP(G43,税率及规则!$A$2:$C$8,3,TRUE))</f>
        <v/>
      </c>
      <c r="J43" s="15" t="str">
        <f t="shared" si="5"/>
        <v/>
      </c>
      <c r="K43" s="15" t="str">
        <f>IF(A43="","",SUMIFS(分期缴税台账!$K$2:$K$501,分期缴税台账!$A$2:$A$501,A43,分期缴税台账!$C$2:$C$501,C43,分期缴税台账!$Q$2:$Q$501,"有效"))</f>
        <v/>
      </c>
      <c r="L43" s="15" t="str">
        <f t="shared" si="6"/>
        <v/>
      </c>
      <c r="M43" s="4" t="str">
        <f>IF(A43="","",COUNTIFS(激励事件明细!$C$2:$C$501,A43,激励事件明细!$H$2:$H$501,C43,激励事件明细!$AA$2:$AA$501,"&gt;0"))</f>
        <v/>
      </c>
      <c r="N43" s="4" t="str">
        <f>IF(OR(A43="",C43=""),"",IFERROR(INDEX(激励事件明细!$A$2:$A$501,MATCH(A43&amp;"|"&amp;C43&amp;"|1",激励事件明细!$AM$2:$AM$501,0)),""))</f>
        <v/>
      </c>
      <c r="O43" s="17" t="str">
        <f>IF(N43="","",IFERROR(INDEX(激励事件明细!$AC$2:$AC$501,MATCH(N43,激励事件明细!$A$2:$A$501,0)),""))</f>
        <v/>
      </c>
      <c r="P43" s="4" t="str">
        <f t="shared" ca="1" si="7"/>
        <v/>
      </c>
    </row>
    <row r="44" spans="1:16" x14ac:dyDescent="0.3">
      <c r="A44" s="9"/>
      <c r="B44" s="4" t="str">
        <f>IF(A44="","",IFERROR(INDEX(激励事件明细!$D$2:$D$501,MATCH(A44,激励事件明细!$C$2:$C$501,0)),""))</f>
        <v/>
      </c>
      <c r="C44" s="9"/>
      <c r="D44" s="15" t="str">
        <f>IF(OR(A44="",C44=""),"",SUMIFS(激励事件明细!$T$2:$T$501,激励事件明细!$C$2:$C$501,A44,激励事件明细!$H$2:$H$501,C44,激励事件明细!$F$2:$F$501,"股票期权"))</f>
        <v/>
      </c>
      <c r="E44" s="15" t="str">
        <f>IF(OR(A44="",C44=""),"",SUMIFS(激励事件明细!$T$2:$T$501,激励事件明细!$C$2:$C$501,A44,激励事件明细!$H$2:$H$501,C44,激励事件明细!$F$2:$F$501,"限制性股票"))</f>
        <v/>
      </c>
      <c r="F44" s="15" t="str">
        <f>IF(OR(A44="",C44=""),"",SUMIFS(激励事件明细!$T$2:$T$501,激励事件明细!$C$2:$C$501,A44,激励事件明细!$H$2:$H$501,C44,激励事件明细!$F$2:$F$501,"其他股权激励"))</f>
        <v/>
      </c>
      <c r="G44" s="15" t="str">
        <f t="shared" si="4"/>
        <v/>
      </c>
      <c r="H44" s="16" t="str">
        <f>IF(G44="","",VLOOKUP(G44,税率及规则!$A$2:$C$8,2,TRUE))</f>
        <v/>
      </c>
      <c r="I44" s="15" t="str">
        <f>IF(G44="","",VLOOKUP(G44,税率及规则!$A$2:$C$8,3,TRUE))</f>
        <v/>
      </c>
      <c r="J44" s="15" t="str">
        <f t="shared" si="5"/>
        <v/>
      </c>
      <c r="K44" s="15" t="str">
        <f>IF(A44="","",SUMIFS(分期缴税台账!$K$2:$K$501,分期缴税台账!$A$2:$A$501,A44,分期缴税台账!$C$2:$C$501,C44,分期缴税台账!$Q$2:$Q$501,"有效"))</f>
        <v/>
      </c>
      <c r="L44" s="15" t="str">
        <f t="shared" si="6"/>
        <v/>
      </c>
      <c r="M44" s="4" t="str">
        <f>IF(A44="","",COUNTIFS(激励事件明细!$C$2:$C$501,A44,激励事件明细!$H$2:$H$501,C44,激励事件明细!$AA$2:$AA$501,"&gt;0"))</f>
        <v/>
      </c>
      <c r="N44" s="4" t="str">
        <f>IF(OR(A44="",C44=""),"",IFERROR(INDEX(激励事件明细!$A$2:$A$501,MATCH(A44&amp;"|"&amp;C44&amp;"|1",激励事件明细!$AM$2:$AM$501,0)),""))</f>
        <v/>
      </c>
      <c r="O44" s="17" t="str">
        <f>IF(N44="","",IFERROR(INDEX(激励事件明细!$AC$2:$AC$501,MATCH(N44,激励事件明细!$A$2:$A$501,0)),""))</f>
        <v/>
      </c>
      <c r="P44" s="4" t="str">
        <f t="shared" ca="1" si="7"/>
        <v/>
      </c>
    </row>
    <row r="45" spans="1:16" x14ac:dyDescent="0.3">
      <c r="A45" s="9"/>
      <c r="B45" s="4" t="str">
        <f>IF(A45="","",IFERROR(INDEX(激励事件明细!$D$2:$D$501,MATCH(A45,激励事件明细!$C$2:$C$501,0)),""))</f>
        <v/>
      </c>
      <c r="C45" s="9"/>
      <c r="D45" s="15" t="str">
        <f>IF(OR(A45="",C45=""),"",SUMIFS(激励事件明细!$T$2:$T$501,激励事件明细!$C$2:$C$501,A45,激励事件明细!$H$2:$H$501,C45,激励事件明细!$F$2:$F$501,"股票期权"))</f>
        <v/>
      </c>
      <c r="E45" s="15" t="str">
        <f>IF(OR(A45="",C45=""),"",SUMIFS(激励事件明细!$T$2:$T$501,激励事件明细!$C$2:$C$501,A45,激励事件明细!$H$2:$H$501,C45,激励事件明细!$F$2:$F$501,"限制性股票"))</f>
        <v/>
      </c>
      <c r="F45" s="15" t="str">
        <f>IF(OR(A45="",C45=""),"",SUMIFS(激励事件明细!$T$2:$T$501,激励事件明细!$C$2:$C$501,A45,激励事件明细!$H$2:$H$501,C45,激励事件明细!$F$2:$F$501,"其他股权激励"))</f>
        <v/>
      </c>
      <c r="G45" s="15" t="str">
        <f t="shared" si="4"/>
        <v/>
      </c>
      <c r="H45" s="16" t="str">
        <f>IF(G45="","",VLOOKUP(G45,税率及规则!$A$2:$C$8,2,TRUE))</f>
        <v/>
      </c>
      <c r="I45" s="15" t="str">
        <f>IF(G45="","",VLOOKUP(G45,税率及规则!$A$2:$C$8,3,TRUE))</f>
        <v/>
      </c>
      <c r="J45" s="15" t="str">
        <f t="shared" si="5"/>
        <v/>
      </c>
      <c r="K45" s="15" t="str">
        <f>IF(A45="","",SUMIFS(分期缴税台账!$K$2:$K$501,分期缴税台账!$A$2:$A$501,A45,分期缴税台账!$C$2:$C$501,C45,分期缴税台账!$Q$2:$Q$501,"有效"))</f>
        <v/>
      </c>
      <c r="L45" s="15" t="str">
        <f t="shared" si="6"/>
        <v/>
      </c>
      <c r="M45" s="4" t="str">
        <f>IF(A45="","",COUNTIFS(激励事件明细!$C$2:$C$501,A45,激励事件明细!$H$2:$H$501,C45,激励事件明细!$AA$2:$AA$501,"&gt;0"))</f>
        <v/>
      </c>
      <c r="N45" s="4" t="str">
        <f>IF(OR(A45="",C45=""),"",IFERROR(INDEX(激励事件明细!$A$2:$A$501,MATCH(A45&amp;"|"&amp;C45&amp;"|1",激励事件明细!$AM$2:$AM$501,0)),""))</f>
        <v/>
      </c>
      <c r="O45" s="17" t="str">
        <f>IF(N45="","",IFERROR(INDEX(激励事件明细!$AC$2:$AC$501,MATCH(N45,激励事件明细!$A$2:$A$501,0)),""))</f>
        <v/>
      </c>
      <c r="P45" s="4" t="str">
        <f t="shared" ca="1" si="7"/>
        <v/>
      </c>
    </row>
    <row r="46" spans="1:16" x14ac:dyDescent="0.3">
      <c r="A46" s="9"/>
      <c r="B46" s="4" t="str">
        <f>IF(A46="","",IFERROR(INDEX(激励事件明细!$D$2:$D$501,MATCH(A46,激励事件明细!$C$2:$C$501,0)),""))</f>
        <v/>
      </c>
      <c r="C46" s="9"/>
      <c r="D46" s="15" t="str">
        <f>IF(OR(A46="",C46=""),"",SUMIFS(激励事件明细!$T$2:$T$501,激励事件明细!$C$2:$C$501,A46,激励事件明细!$H$2:$H$501,C46,激励事件明细!$F$2:$F$501,"股票期权"))</f>
        <v/>
      </c>
      <c r="E46" s="15" t="str">
        <f>IF(OR(A46="",C46=""),"",SUMIFS(激励事件明细!$T$2:$T$501,激励事件明细!$C$2:$C$501,A46,激励事件明细!$H$2:$H$501,C46,激励事件明细!$F$2:$F$501,"限制性股票"))</f>
        <v/>
      </c>
      <c r="F46" s="15" t="str">
        <f>IF(OR(A46="",C46=""),"",SUMIFS(激励事件明细!$T$2:$T$501,激励事件明细!$C$2:$C$501,A46,激励事件明细!$H$2:$H$501,C46,激励事件明细!$F$2:$F$501,"其他股权激励"))</f>
        <v/>
      </c>
      <c r="G46" s="15" t="str">
        <f t="shared" si="4"/>
        <v/>
      </c>
      <c r="H46" s="16" t="str">
        <f>IF(G46="","",VLOOKUP(G46,税率及规则!$A$2:$C$8,2,TRUE))</f>
        <v/>
      </c>
      <c r="I46" s="15" t="str">
        <f>IF(G46="","",VLOOKUP(G46,税率及规则!$A$2:$C$8,3,TRUE))</f>
        <v/>
      </c>
      <c r="J46" s="15" t="str">
        <f t="shared" si="5"/>
        <v/>
      </c>
      <c r="K46" s="15" t="str">
        <f>IF(A46="","",SUMIFS(分期缴税台账!$K$2:$K$501,分期缴税台账!$A$2:$A$501,A46,分期缴税台账!$C$2:$C$501,C46,分期缴税台账!$Q$2:$Q$501,"有效"))</f>
        <v/>
      </c>
      <c r="L46" s="15" t="str">
        <f t="shared" si="6"/>
        <v/>
      </c>
      <c r="M46" s="4" t="str">
        <f>IF(A46="","",COUNTIFS(激励事件明细!$C$2:$C$501,A46,激励事件明细!$H$2:$H$501,C46,激励事件明细!$AA$2:$AA$501,"&gt;0"))</f>
        <v/>
      </c>
      <c r="N46" s="4" t="str">
        <f>IF(OR(A46="",C46=""),"",IFERROR(INDEX(激励事件明细!$A$2:$A$501,MATCH(A46&amp;"|"&amp;C46&amp;"|1",激励事件明细!$AM$2:$AM$501,0)),""))</f>
        <v/>
      </c>
      <c r="O46" s="17" t="str">
        <f>IF(N46="","",IFERROR(INDEX(激励事件明细!$AC$2:$AC$501,MATCH(N46,激励事件明细!$A$2:$A$501,0)),""))</f>
        <v/>
      </c>
      <c r="P46" s="4" t="str">
        <f t="shared" ca="1" si="7"/>
        <v/>
      </c>
    </row>
    <row r="47" spans="1:16" x14ac:dyDescent="0.3">
      <c r="A47" s="9"/>
      <c r="B47" s="4" t="str">
        <f>IF(A47="","",IFERROR(INDEX(激励事件明细!$D$2:$D$501,MATCH(A47,激励事件明细!$C$2:$C$501,0)),""))</f>
        <v/>
      </c>
      <c r="C47" s="9"/>
      <c r="D47" s="15" t="str">
        <f>IF(OR(A47="",C47=""),"",SUMIFS(激励事件明细!$T$2:$T$501,激励事件明细!$C$2:$C$501,A47,激励事件明细!$H$2:$H$501,C47,激励事件明细!$F$2:$F$501,"股票期权"))</f>
        <v/>
      </c>
      <c r="E47" s="15" t="str">
        <f>IF(OR(A47="",C47=""),"",SUMIFS(激励事件明细!$T$2:$T$501,激励事件明细!$C$2:$C$501,A47,激励事件明细!$H$2:$H$501,C47,激励事件明细!$F$2:$F$501,"限制性股票"))</f>
        <v/>
      </c>
      <c r="F47" s="15" t="str">
        <f>IF(OR(A47="",C47=""),"",SUMIFS(激励事件明细!$T$2:$T$501,激励事件明细!$C$2:$C$501,A47,激励事件明细!$H$2:$H$501,C47,激励事件明细!$F$2:$F$501,"其他股权激励"))</f>
        <v/>
      </c>
      <c r="G47" s="15" t="str">
        <f t="shared" si="4"/>
        <v/>
      </c>
      <c r="H47" s="16" t="str">
        <f>IF(G47="","",VLOOKUP(G47,税率及规则!$A$2:$C$8,2,TRUE))</f>
        <v/>
      </c>
      <c r="I47" s="15" t="str">
        <f>IF(G47="","",VLOOKUP(G47,税率及规则!$A$2:$C$8,3,TRUE))</f>
        <v/>
      </c>
      <c r="J47" s="15" t="str">
        <f t="shared" si="5"/>
        <v/>
      </c>
      <c r="K47" s="15" t="str">
        <f>IF(A47="","",SUMIFS(分期缴税台账!$K$2:$K$501,分期缴税台账!$A$2:$A$501,A47,分期缴税台账!$C$2:$C$501,C47,分期缴税台账!$Q$2:$Q$501,"有效"))</f>
        <v/>
      </c>
      <c r="L47" s="15" t="str">
        <f t="shared" si="6"/>
        <v/>
      </c>
      <c r="M47" s="4" t="str">
        <f>IF(A47="","",COUNTIFS(激励事件明细!$C$2:$C$501,A47,激励事件明细!$H$2:$H$501,C47,激励事件明细!$AA$2:$AA$501,"&gt;0"))</f>
        <v/>
      </c>
      <c r="N47" s="4" t="str">
        <f>IF(OR(A47="",C47=""),"",IFERROR(INDEX(激励事件明细!$A$2:$A$501,MATCH(A47&amp;"|"&amp;C47&amp;"|1",激励事件明细!$AM$2:$AM$501,0)),""))</f>
        <v/>
      </c>
      <c r="O47" s="17" t="str">
        <f>IF(N47="","",IFERROR(INDEX(激励事件明细!$AC$2:$AC$501,MATCH(N47,激励事件明细!$A$2:$A$501,0)),""))</f>
        <v/>
      </c>
      <c r="P47" s="4" t="str">
        <f t="shared" ca="1" si="7"/>
        <v/>
      </c>
    </row>
    <row r="48" spans="1:16" x14ac:dyDescent="0.3">
      <c r="A48" s="9"/>
      <c r="B48" s="4" t="str">
        <f>IF(A48="","",IFERROR(INDEX(激励事件明细!$D$2:$D$501,MATCH(A48,激励事件明细!$C$2:$C$501,0)),""))</f>
        <v/>
      </c>
      <c r="C48" s="9"/>
      <c r="D48" s="15" t="str">
        <f>IF(OR(A48="",C48=""),"",SUMIFS(激励事件明细!$T$2:$T$501,激励事件明细!$C$2:$C$501,A48,激励事件明细!$H$2:$H$501,C48,激励事件明细!$F$2:$F$501,"股票期权"))</f>
        <v/>
      </c>
      <c r="E48" s="15" t="str">
        <f>IF(OR(A48="",C48=""),"",SUMIFS(激励事件明细!$T$2:$T$501,激励事件明细!$C$2:$C$501,A48,激励事件明细!$H$2:$H$501,C48,激励事件明细!$F$2:$F$501,"限制性股票"))</f>
        <v/>
      </c>
      <c r="F48" s="15" t="str">
        <f>IF(OR(A48="",C48=""),"",SUMIFS(激励事件明细!$T$2:$T$501,激励事件明细!$C$2:$C$501,A48,激励事件明细!$H$2:$H$501,C48,激励事件明细!$F$2:$F$501,"其他股权激励"))</f>
        <v/>
      </c>
      <c r="G48" s="15" t="str">
        <f t="shared" si="4"/>
        <v/>
      </c>
      <c r="H48" s="16" t="str">
        <f>IF(G48="","",VLOOKUP(G48,税率及规则!$A$2:$C$8,2,TRUE))</f>
        <v/>
      </c>
      <c r="I48" s="15" t="str">
        <f>IF(G48="","",VLOOKUP(G48,税率及规则!$A$2:$C$8,3,TRUE))</f>
        <v/>
      </c>
      <c r="J48" s="15" t="str">
        <f t="shared" si="5"/>
        <v/>
      </c>
      <c r="K48" s="15" t="str">
        <f>IF(A48="","",SUMIFS(分期缴税台账!$K$2:$K$501,分期缴税台账!$A$2:$A$501,A48,分期缴税台账!$C$2:$C$501,C48,分期缴税台账!$Q$2:$Q$501,"有效"))</f>
        <v/>
      </c>
      <c r="L48" s="15" t="str">
        <f t="shared" si="6"/>
        <v/>
      </c>
      <c r="M48" s="4" t="str">
        <f>IF(A48="","",COUNTIFS(激励事件明细!$C$2:$C$501,A48,激励事件明细!$H$2:$H$501,C48,激励事件明细!$AA$2:$AA$501,"&gt;0"))</f>
        <v/>
      </c>
      <c r="N48" s="4" t="str">
        <f>IF(OR(A48="",C48=""),"",IFERROR(INDEX(激励事件明细!$A$2:$A$501,MATCH(A48&amp;"|"&amp;C48&amp;"|1",激励事件明细!$AM$2:$AM$501,0)),""))</f>
        <v/>
      </c>
      <c r="O48" s="17" t="str">
        <f>IF(N48="","",IFERROR(INDEX(激励事件明细!$AC$2:$AC$501,MATCH(N48,激励事件明细!$A$2:$A$501,0)),""))</f>
        <v/>
      </c>
      <c r="P48" s="4" t="str">
        <f t="shared" ca="1" si="7"/>
        <v/>
      </c>
    </row>
    <row r="49" spans="1:16" x14ac:dyDescent="0.3">
      <c r="A49" s="9"/>
      <c r="B49" s="4" t="str">
        <f>IF(A49="","",IFERROR(INDEX(激励事件明细!$D$2:$D$501,MATCH(A49,激励事件明细!$C$2:$C$501,0)),""))</f>
        <v/>
      </c>
      <c r="C49" s="9"/>
      <c r="D49" s="15" t="str">
        <f>IF(OR(A49="",C49=""),"",SUMIFS(激励事件明细!$T$2:$T$501,激励事件明细!$C$2:$C$501,A49,激励事件明细!$H$2:$H$501,C49,激励事件明细!$F$2:$F$501,"股票期权"))</f>
        <v/>
      </c>
      <c r="E49" s="15" t="str">
        <f>IF(OR(A49="",C49=""),"",SUMIFS(激励事件明细!$T$2:$T$501,激励事件明细!$C$2:$C$501,A49,激励事件明细!$H$2:$H$501,C49,激励事件明细!$F$2:$F$501,"限制性股票"))</f>
        <v/>
      </c>
      <c r="F49" s="15" t="str">
        <f>IF(OR(A49="",C49=""),"",SUMIFS(激励事件明细!$T$2:$T$501,激励事件明细!$C$2:$C$501,A49,激励事件明细!$H$2:$H$501,C49,激励事件明细!$F$2:$F$501,"其他股权激励"))</f>
        <v/>
      </c>
      <c r="G49" s="15" t="str">
        <f t="shared" si="4"/>
        <v/>
      </c>
      <c r="H49" s="16" t="str">
        <f>IF(G49="","",VLOOKUP(G49,税率及规则!$A$2:$C$8,2,TRUE))</f>
        <v/>
      </c>
      <c r="I49" s="15" t="str">
        <f>IF(G49="","",VLOOKUP(G49,税率及规则!$A$2:$C$8,3,TRUE))</f>
        <v/>
      </c>
      <c r="J49" s="15" t="str">
        <f t="shared" si="5"/>
        <v/>
      </c>
      <c r="K49" s="15" t="str">
        <f>IF(A49="","",SUMIFS(分期缴税台账!$K$2:$K$501,分期缴税台账!$A$2:$A$501,A49,分期缴税台账!$C$2:$C$501,C49,分期缴税台账!$Q$2:$Q$501,"有效"))</f>
        <v/>
      </c>
      <c r="L49" s="15" t="str">
        <f t="shared" si="6"/>
        <v/>
      </c>
      <c r="M49" s="4" t="str">
        <f>IF(A49="","",COUNTIFS(激励事件明细!$C$2:$C$501,A49,激励事件明细!$H$2:$H$501,C49,激励事件明细!$AA$2:$AA$501,"&gt;0"))</f>
        <v/>
      </c>
      <c r="N49" s="4" t="str">
        <f>IF(OR(A49="",C49=""),"",IFERROR(INDEX(激励事件明细!$A$2:$A$501,MATCH(A49&amp;"|"&amp;C49&amp;"|1",激励事件明细!$AM$2:$AM$501,0)),""))</f>
        <v/>
      </c>
      <c r="O49" s="17" t="str">
        <f>IF(N49="","",IFERROR(INDEX(激励事件明细!$AC$2:$AC$501,MATCH(N49,激励事件明细!$A$2:$A$501,0)),""))</f>
        <v/>
      </c>
      <c r="P49" s="4" t="str">
        <f t="shared" ca="1" si="7"/>
        <v/>
      </c>
    </row>
    <row r="50" spans="1:16" x14ac:dyDescent="0.3">
      <c r="A50" s="9"/>
      <c r="B50" s="4" t="str">
        <f>IF(A50="","",IFERROR(INDEX(激励事件明细!$D$2:$D$501,MATCH(A50,激励事件明细!$C$2:$C$501,0)),""))</f>
        <v/>
      </c>
      <c r="C50" s="9"/>
      <c r="D50" s="15" t="str">
        <f>IF(OR(A50="",C50=""),"",SUMIFS(激励事件明细!$T$2:$T$501,激励事件明细!$C$2:$C$501,A50,激励事件明细!$H$2:$H$501,C50,激励事件明细!$F$2:$F$501,"股票期权"))</f>
        <v/>
      </c>
      <c r="E50" s="15" t="str">
        <f>IF(OR(A50="",C50=""),"",SUMIFS(激励事件明细!$T$2:$T$501,激励事件明细!$C$2:$C$501,A50,激励事件明细!$H$2:$H$501,C50,激励事件明细!$F$2:$F$501,"限制性股票"))</f>
        <v/>
      </c>
      <c r="F50" s="15" t="str">
        <f>IF(OR(A50="",C50=""),"",SUMIFS(激励事件明细!$T$2:$T$501,激励事件明细!$C$2:$C$501,A50,激励事件明细!$H$2:$H$501,C50,激励事件明细!$F$2:$F$501,"其他股权激励"))</f>
        <v/>
      </c>
      <c r="G50" s="15" t="str">
        <f t="shared" si="4"/>
        <v/>
      </c>
      <c r="H50" s="16" t="str">
        <f>IF(G50="","",VLOOKUP(G50,税率及规则!$A$2:$C$8,2,TRUE))</f>
        <v/>
      </c>
      <c r="I50" s="15" t="str">
        <f>IF(G50="","",VLOOKUP(G50,税率及规则!$A$2:$C$8,3,TRUE))</f>
        <v/>
      </c>
      <c r="J50" s="15" t="str">
        <f t="shared" si="5"/>
        <v/>
      </c>
      <c r="K50" s="15" t="str">
        <f>IF(A50="","",SUMIFS(分期缴税台账!$K$2:$K$501,分期缴税台账!$A$2:$A$501,A50,分期缴税台账!$C$2:$C$501,C50,分期缴税台账!$Q$2:$Q$501,"有效"))</f>
        <v/>
      </c>
      <c r="L50" s="15" t="str">
        <f t="shared" si="6"/>
        <v/>
      </c>
      <c r="M50" s="4" t="str">
        <f>IF(A50="","",COUNTIFS(激励事件明细!$C$2:$C$501,A50,激励事件明细!$H$2:$H$501,C50,激励事件明细!$AA$2:$AA$501,"&gt;0"))</f>
        <v/>
      </c>
      <c r="N50" s="4" t="str">
        <f>IF(OR(A50="",C50=""),"",IFERROR(INDEX(激励事件明细!$A$2:$A$501,MATCH(A50&amp;"|"&amp;C50&amp;"|1",激励事件明细!$AM$2:$AM$501,0)),""))</f>
        <v/>
      </c>
      <c r="O50" s="17" t="str">
        <f>IF(N50="","",IFERROR(INDEX(激励事件明细!$AC$2:$AC$501,MATCH(N50,激励事件明细!$A$2:$A$501,0)),""))</f>
        <v/>
      </c>
      <c r="P50" s="4" t="str">
        <f t="shared" ca="1" si="7"/>
        <v/>
      </c>
    </row>
    <row r="51" spans="1:16" x14ac:dyDescent="0.3">
      <c r="A51" s="9"/>
      <c r="B51" s="4" t="str">
        <f>IF(A51="","",IFERROR(INDEX(激励事件明细!$D$2:$D$501,MATCH(A51,激励事件明细!$C$2:$C$501,0)),""))</f>
        <v/>
      </c>
      <c r="C51" s="9"/>
      <c r="D51" s="15" t="str">
        <f>IF(OR(A51="",C51=""),"",SUMIFS(激励事件明细!$T$2:$T$501,激励事件明细!$C$2:$C$501,A51,激励事件明细!$H$2:$H$501,C51,激励事件明细!$F$2:$F$501,"股票期权"))</f>
        <v/>
      </c>
      <c r="E51" s="15" t="str">
        <f>IF(OR(A51="",C51=""),"",SUMIFS(激励事件明细!$T$2:$T$501,激励事件明细!$C$2:$C$501,A51,激励事件明细!$H$2:$H$501,C51,激励事件明细!$F$2:$F$501,"限制性股票"))</f>
        <v/>
      </c>
      <c r="F51" s="15" t="str">
        <f>IF(OR(A51="",C51=""),"",SUMIFS(激励事件明细!$T$2:$T$501,激励事件明细!$C$2:$C$501,A51,激励事件明细!$H$2:$H$501,C51,激励事件明细!$F$2:$F$501,"其他股权激励"))</f>
        <v/>
      </c>
      <c r="G51" s="15" t="str">
        <f t="shared" si="4"/>
        <v/>
      </c>
      <c r="H51" s="16" t="str">
        <f>IF(G51="","",VLOOKUP(G51,税率及规则!$A$2:$C$8,2,TRUE))</f>
        <v/>
      </c>
      <c r="I51" s="15" t="str">
        <f>IF(G51="","",VLOOKUP(G51,税率及规则!$A$2:$C$8,3,TRUE))</f>
        <v/>
      </c>
      <c r="J51" s="15" t="str">
        <f t="shared" si="5"/>
        <v/>
      </c>
      <c r="K51" s="15" t="str">
        <f>IF(A51="","",SUMIFS(分期缴税台账!$K$2:$K$501,分期缴税台账!$A$2:$A$501,A51,分期缴税台账!$C$2:$C$501,C51,分期缴税台账!$Q$2:$Q$501,"有效"))</f>
        <v/>
      </c>
      <c r="L51" s="15" t="str">
        <f t="shared" si="6"/>
        <v/>
      </c>
      <c r="M51" s="4" t="str">
        <f>IF(A51="","",COUNTIFS(激励事件明细!$C$2:$C$501,A51,激励事件明细!$H$2:$H$501,C51,激励事件明细!$AA$2:$AA$501,"&gt;0"))</f>
        <v/>
      </c>
      <c r="N51" s="4" t="str">
        <f>IF(OR(A51="",C51=""),"",IFERROR(INDEX(激励事件明细!$A$2:$A$501,MATCH(A51&amp;"|"&amp;C51&amp;"|1",激励事件明细!$AM$2:$AM$501,0)),""))</f>
        <v/>
      </c>
      <c r="O51" s="17" t="str">
        <f>IF(N51="","",IFERROR(INDEX(激励事件明细!$AC$2:$AC$501,MATCH(N51,激励事件明细!$A$2:$A$501,0)),""))</f>
        <v/>
      </c>
      <c r="P51" s="4" t="str">
        <f t="shared" ca="1" si="7"/>
        <v/>
      </c>
    </row>
    <row r="52" spans="1:16" x14ac:dyDescent="0.3">
      <c r="A52" s="9"/>
      <c r="B52" s="4" t="str">
        <f>IF(A52="","",IFERROR(INDEX(激励事件明细!$D$2:$D$501,MATCH(A52,激励事件明细!$C$2:$C$501,0)),""))</f>
        <v/>
      </c>
      <c r="C52" s="9"/>
      <c r="D52" s="15" t="str">
        <f>IF(OR(A52="",C52=""),"",SUMIFS(激励事件明细!$T$2:$T$501,激励事件明细!$C$2:$C$501,A52,激励事件明细!$H$2:$H$501,C52,激励事件明细!$F$2:$F$501,"股票期权"))</f>
        <v/>
      </c>
      <c r="E52" s="15" t="str">
        <f>IF(OR(A52="",C52=""),"",SUMIFS(激励事件明细!$T$2:$T$501,激励事件明细!$C$2:$C$501,A52,激励事件明细!$H$2:$H$501,C52,激励事件明细!$F$2:$F$501,"限制性股票"))</f>
        <v/>
      </c>
      <c r="F52" s="15" t="str">
        <f>IF(OR(A52="",C52=""),"",SUMIFS(激励事件明细!$T$2:$T$501,激励事件明细!$C$2:$C$501,A52,激励事件明细!$H$2:$H$501,C52,激励事件明细!$F$2:$F$501,"其他股权激励"))</f>
        <v/>
      </c>
      <c r="G52" s="15" t="str">
        <f t="shared" si="4"/>
        <v/>
      </c>
      <c r="H52" s="16" t="str">
        <f>IF(G52="","",VLOOKUP(G52,税率及规则!$A$2:$C$8,2,TRUE))</f>
        <v/>
      </c>
      <c r="I52" s="15" t="str">
        <f>IF(G52="","",VLOOKUP(G52,税率及规则!$A$2:$C$8,3,TRUE))</f>
        <v/>
      </c>
      <c r="J52" s="15" t="str">
        <f t="shared" si="5"/>
        <v/>
      </c>
      <c r="K52" s="15" t="str">
        <f>IF(A52="","",SUMIFS(分期缴税台账!$K$2:$K$501,分期缴税台账!$A$2:$A$501,A52,分期缴税台账!$C$2:$C$501,C52,分期缴税台账!$Q$2:$Q$501,"有效"))</f>
        <v/>
      </c>
      <c r="L52" s="15" t="str">
        <f t="shared" si="6"/>
        <v/>
      </c>
      <c r="M52" s="4" t="str">
        <f>IF(A52="","",COUNTIFS(激励事件明细!$C$2:$C$501,A52,激励事件明细!$H$2:$H$501,C52,激励事件明细!$AA$2:$AA$501,"&gt;0"))</f>
        <v/>
      </c>
      <c r="N52" s="4" t="str">
        <f>IF(OR(A52="",C52=""),"",IFERROR(INDEX(激励事件明细!$A$2:$A$501,MATCH(A52&amp;"|"&amp;C52&amp;"|1",激励事件明细!$AM$2:$AM$501,0)),""))</f>
        <v/>
      </c>
      <c r="O52" s="17" t="str">
        <f>IF(N52="","",IFERROR(INDEX(激励事件明细!$AC$2:$AC$501,MATCH(N52,激励事件明细!$A$2:$A$501,0)),""))</f>
        <v/>
      </c>
      <c r="P52" s="4" t="str">
        <f t="shared" ca="1" si="7"/>
        <v/>
      </c>
    </row>
    <row r="53" spans="1:16" x14ac:dyDescent="0.3">
      <c r="A53" s="9"/>
      <c r="B53" s="4" t="str">
        <f>IF(A53="","",IFERROR(INDEX(激励事件明细!$D$2:$D$501,MATCH(A53,激励事件明细!$C$2:$C$501,0)),""))</f>
        <v/>
      </c>
      <c r="C53" s="9"/>
      <c r="D53" s="15" t="str">
        <f>IF(OR(A53="",C53=""),"",SUMIFS(激励事件明细!$T$2:$T$501,激励事件明细!$C$2:$C$501,A53,激励事件明细!$H$2:$H$501,C53,激励事件明细!$F$2:$F$501,"股票期权"))</f>
        <v/>
      </c>
      <c r="E53" s="15" t="str">
        <f>IF(OR(A53="",C53=""),"",SUMIFS(激励事件明细!$T$2:$T$501,激励事件明细!$C$2:$C$501,A53,激励事件明细!$H$2:$H$501,C53,激励事件明细!$F$2:$F$501,"限制性股票"))</f>
        <v/>
      </c>
      <c r="F53" s="15" t="str">
        <f>IF(OR(A53="",C53=""),"",SUMIFS(激励事件明细!$T$2:$T$501,激励事件明细!$C$2:$C$501,A53,激励事件明细!$H$2:$H$501,C53,激励事件明细!$F$2:$F$501,"其他股权激励"))</f>
        <v/>
      </c>
      <c r="G53" s="15" t="str">
        <f t="shared" si="4"/>
        <v/>
      </c>
      <c r="H53" s="16" t="str">
        <f>IF(G53="","",VLOOKUP(G53,税率及规则!$A$2:$C$8,2,TRUE))</f>
        <v/>
      </c>
      <c r="I53" s="15" t="str">
        <f>IF(G53="","",VLOOKUP(G53,税率及规则!$A$2:$C$8,3,TRUE))</f>
        <v/>
      </c>
      <c r="J53" s="15" t="str">
        <f t="shared" si="5"/>
        <v/>
      </c>
      <c r="K53" s="15" t="str">
        <f>IF(A53="","",SUMIFS(分期缴税台账!$K$2:$K$501,分期缴税台账!$A$2:$A$501,A53,分期缴税台账!$C$2:$C$501,C53,分期缴税台账!$Q$2:$Q$501,"有效"))</f>
        <v/>
      </c>
      <c r="L53" s="15" t="str">
        <f t="shared" si="6"/>
        <v/>
      </c>
      <c r="M53" s="4" t="str">
        <f>IF(A53="","",COUNTIFS(激励事件明细!$C$2:$C$501,A53,激励事件明细!$H$2:$H$501,C53,激励事件明细!$AA$2:$AA$501,"&gt;0"))</f>
        <v/>
      </c>
      <c r="N53" s="4" t="str">
        <f>IF(OR(A53="",C53=""),"",IFERROR(INDEX(激励事件明细!$A$2:$A$501,MATCH(A53&amp;"|"&amp;C53&amp;"|1",激励事件明细!$AM$2:$AM$501,0)),""))</f>
        <v/>
      </c>
      <c r="O53" s="17" t="str">
        <f>IF(N53="","",IFERROR(INDEX(激励事件明细!$AC$2:$AC$501,MATCH(N53,激励事件明细!$A$2:$A$501,0)),""))</f>
        <v/>
      </c>
      <c r="P53" s="4" t="str">
        <f t="shared" ca="1" si="7"/>
        <v/>
      </c>
    </row>
    <row r="54" spans="1:16" x14ac:dyDescent="0.3">
      <c r="A54" s="9"/>
      <c r="B54" s="4" t="str">
        <f>IF(A54="","",IFERROR(INDEX(激励事件明细!$D$2:$D$501,MATCH(A54,激励事件明细!$C$2:$C$501,0)),""))</f>
        <v/>
      </c>
      <c r="C54" s="9"/>
      <c r="D54" s="15" t="str">
        <f>IF(OR(A54="",C54=""),"",SUMIFS(激励事件明细!$T$2:$T$501,激励事件明细!$C$2:$C$501,A54,激励事件明细!$H$2:$H$501,C54,激励事件明细!$F$2:$F$501,"股票期权"))</f>
        <v/>
      </c>
      <c r="E54" s="15" t="str">
        <f>IF(OR(A54="",C54=""),"",SUMIFS(激励事件明细!$T$2:$T$501,激励事件明细!$C$2:$C$501,A54,激励事件明细!$H$2:$H$501,C54,激励事件明细!$F$2:$F$501,"限制性股票"))</f>
        <v/>
      </c>
      <c r="F54" s="15" t="str">
        <f>IF(OR(A54="",C54=""),"",SUMIFS(激励事件明细!$T$2:$T$501,激励事件明细!$C$2:$C$501,A54,激励事件明细!$H$2:$H$501,C54,激励事件明细!$F$2:$F$501,"其他股权激励"))</f>
        <v/>
      </c>
      <c r="G54" s="15" t="str">
        <f t="shared" si="4"/>
        <v/>
      </c>
      <c r="H54" s="16" t="str">
        <f>IF(G54="","",VLOOKUP(G54,税率及规则!$A$2:$C$8,2,TRUE))</f>
        <v/>
      </c>
      <c r="I54" s="15" t="str">
        <f>IF(G54="","",VLOOKUP(G54,税率及规则!$A$2:$C$8,3,TRUE))</f>
        <v/>
      </c>
      <c r="J54" s="15" t="str">
        <f t="shared" si="5"/>
        <v/>
      </c>
      <c r="K54" s="15" t="str">
        <f>IF(A54="","",SUMIFS(分期缴税台账!$K$2:$K$501,分期缴税台账!$A$2:$A$501,A54,分期缴税台账!$C$2:$C$501,C54,分期缴税台账!$Q$2:$Q$501,"有效"))</f>
        <v/>
      </c>
      <c r="L54" s="15" t="str">
        <f t="shared" si="6"/>
        <v/>
      </c>
      <c r="M54" s="4" t="str">
        <f>IF(A54="","",COUNTIFS(激励事件明细!$C$2:$C$501,A54,激励事件明细!$H$2:$H$501,C54,激励事件明细!$AA$2:$AA$501,"&gt;0"))</f>
        <v/>
      </c>
      <c r="N54" s="4" t="str">
        <f>IF(OR(A54="",C54=""),"",IFERROR(INDEX(激励事件明细!$A$2:$A$501,MATCH(A54&amp;"|"&amp;C54&amp;"|1",激励事件明细!$AM$2:$AM$501,0)),""))</f>
        <v/>
      </c>
      <c r="O54" s="17" t="str">
        <f>IF(N54="","",IFERROR(INDEX(激励事件明细!$AC$2:$AC$501,MATCH(N54,激励事件明细!$A$2:$A$501,0)),""))</f>
        <v/>
      </c>
      <c r="P54" s="4" t="str">
        <f t="shared" ca="1" si="7"/>
        <v/>
      </c>
    </row>
    <row r="55" spans="1:16" x14ac:dyDescent="0.3">
      <c r="A55" s="9"/>
      <c r="B55" s="4" t="str">
        <f>IF(A55="","",IFERROR(INDEX(激励事件明细!$D$2:$D$501,MATCH(A55,激励事件明细!$C$2:$C$501,0)),""))</f>
        <v/>
      </c>
      <c r="C55" s="9"/>
      <c r="D55" s="15" t="str">
        <f>IF(OR(A55="",C55=""),"",SUMIFS(激励事件明细!$T$2:$T$501,激励事件明细!$C$2:$C$501,A55,激励事件明细!$H$2:$H$501,C55,激励事件明细!$F$2:$F$501,"股票期权"))</f>
        <v/>
      </c>
      <c r="E55" s="15" t="str">
        <f>IF(OR(A55="",C55=""),"",SUMIFS(激励事件明细!$T$2:$T$501,激励事件明细!$C$2:$C$501,A55,激励事件明细!$H$2:$H$501,C55,激励事件明细!$F$2:$F$501,"限制性股票"))</f>
        <v/>
      </c>
      <c r="F55" s="15" t="str">
        <f>IF(OR(A55="",C55=""),"",SUMIFS(激励事件明细!$T$2:$T$501,激励事件明细!$C$2:$C$501,A55,激励事件明细!$H$2:$H$501,C55,激励事件明细!$F$2:$F$501,"其他股权激励"))</f>
        <v/>
      </c>
      <c r="G55" s="15" t="str">
        <f t="shared" si="4"/>
        <v/>
      </c>
      <c r="H55" s="16" t="str">
        <f>IF(G55="","",VLOOKUP(G55,税率及规则!$A$2:$C$8,2,TRUE))</f>
        <v/>
      </c>
      <c r="I55" s="15" t="str">
        <f>IF(G55="","",VLOOKUP(G55,税率及规则!$A$2:$C$8,3,TRUE))</f>
        <v/>
      </c>
      <c r="J55" s="15" t="str">
        <f t="shared" si="5"/>
        <v/>
      </c>
      <c r="K55" s="15" t="str">
        <f>IF(A55="","",SUMIFS(分期缴税台账!$K$2:$K$501,分期缴税台账!$A$2:$A$501,A55,分期缴税台账!$C$2:$C$501,C55,分期缴税台账!$Q$2:$Q$501,"有效"))</f>
        <v/>
      </c>
      <c r="L55" s="15" t="str">
        <f t="shared" si="6"/>
        <v/>
      </c>
      <c r="M55" s="4" t="str">
        <f>IF(A55="","",COUNTIFS(激励事件明细!$C$2:$C$501,A55,激励事件明细!$H$2:$H$501,C55,激励事件明细!$AA$2:$AA$501,"&gt;0"))</f>
        <v/>
      </c>
      <c r="N55" s="4" t="str">
        <f>IF(OR(A55="",C55=""),"",IFERROR(INDEX(激励事件明细!$A$2:$A$501,MATCH(A55&amp;"|"&amp;C55&amp;"|1",激励事件明细!$AM$2:$AM$501,0)),""))</f>
        <v/>
      </c>
      <c r="O55" s="17" t="str">
        <f>IF(N55="","",IFERROR(INDEX(激励事件明细!$AC$2:$AC$501,MATCH(N55,激励事件明细!$A$2:$A$501,0)),""))</f>
        <v/>
      </c>
      <c r="P55" s="4" t="str">
        <f t="shared" ca="1" si="7"/>
        <v/>
      </c>
    </row>
    <row r="56" spans="1:16" x14ac:dyDescent="0.3">
      <c r="A56" s="9"/>
      <c r="B56" s="4" t="str">
        <f>IF(A56="","",IFERROR(INDEX(激励事件明细!$D$2:$D$501,MATCH(A56,激励事件明细!$C$2:$C$501,0)),""))</f>
        <v/>
      </c>
      <c r="C56" s="9"/>
      <c r="D56" s="15" t="str">
        <f>IF(OR(A56="",C56=""),"",SUMIFS(激励事件明细!$T$2:$T$501,激励事件明细!$C$2:$C$501,A56,激励事件明细!$H$2:$H$501,C56,激励事件明细!$F$2:$F$501,"股票期权"))</f>
        <v/>
      </c>
      <c r="E56" s="15" t="str">
        <f>IF(OR(A56="",C56=""),"",SUMIFS(激励事件明细!$T$2:$T$501,激励事件明细!$C$2:$C$501,A56,激励事件明细!$H$2:$H$501,C56,激励事件明细!$F$2:$F$501,"限制性股票"))</f>
        <v/>
      </c>
      <c r="F56" s="15" t="str">
        <f>IF(OR(A56="",C56=""),"",SUMIFS(激励事件明细!$T$2:$T$501,激励事件明细!$C$2:$C$501,A56,激励事件明细!$H$2:$H$501,C56,激励事件明细!$F$2:$F$501,"其他股权激励"))</f>
        <v/>
      </c>
      <c r="G56" s="15" t="str">
        <f t="shared" si="4"/>
        <v/>
      </c>
      <c r="H56" s="16" t="str">
        <f>IF(G56="","",VLOOKUP(G56,税率及规则!$A$2:$C$8,2,TRUE))</f>
        <v/>
      </c>
      <c r="I56" s="15" t="str">
        <f>IF(G56="","",VLOOKUP(G56,税率及规则!$A$2:$C$8,3,TRUE))</f>
        <v/>
      </c>
      <c r="J56" s="15" t="str">
        <f t="shared" si="5"/>
        <v/>
      </c>
      <c r="K56" s="15" t="str">
        <f>IF(A56="","",SUMIFS(分期缴税台账!$K$2:$K$501,分期缴税台账!$A$2:$A$501,A56,分期缴税台账!$C$2:$C$501,C56,分期缴税台账!$Q$2:$Q$501,"有效"))</f>
        <v/>
      </c>
      <c r="L56" s="15" t="str">
        <f t="shared" si="6"/>
        <v/>
      </c>
      <c r="M56" s="4" t="str">
        <f>IF(A56="","",COUNTIFS(激励事件明细!$C$2:$C$501,A56,激励事件明细!$H$2:$H$501,C56,激励事件明细!$AA$2:$AA$501,"&gt;0"))</f>
        <v/>
      </c>
      <c r="N56" s="4" t="str">
        <f>IF(OR(A56="",C56=""),"",IFERROR(INDEX(激励事件明细!$A$2:$A$501,MATCH(A56&amp;"|"&amp;C56&amp;"|1",激励事件明细!$AM$2:$AM$501,0)),""))</f>
        <v/>
      </c>
      <c r="O56" s="17" t="str">
        <f>IF(N56="","",IFERROR(INDEX(激励事件明细!$AC$2:$AC$501,MATCH(N56,激励事件明细!$A$2:$A$501,0)),""))</f>
        <v/>
      </c>
      <c r="P56" s="4" t="str">
        <f t="shared" ca="1" si="7"/>
        <v/>
      </c>
    </row>
    <row r="57" spans="1:16" x14ac:dyDescent="0.3">
      <c r="A57" s="9"/>
      <c r="B57" s="4" t="str">
        <f>IF(A57="","",IFERROR(INDEX(激励事件明细!$D$2:$D$501,MATCH(A57,激励事件明细!$C$2:$C$501,0)),""))</f>
        <v/>
      </c>
      <c r="C57" s="9"/>
      <c r="D57" s="15" t="str">
        <f>IF(OR(A57="",C57=""),"",SUMIFS(激励事件明细!$T$2:$T$501,激励事件明细!$C$2:$C$501,A57,激励事件明细!$H$2:$H$501,C57,激励事件明细!$F$2:$F$501,"股票期权"))</f>
        <v/>
      </c>
      <c r="E57" s="15" t="str">
        <f>IF(OR(A57="",C57=""),"",SUMIFS(激励事件明细!$T$2:$T$501,激励事件明细!$C$2:$C$501,A57,激励事件明细!$H$2:$H$501,C57,激励事件明细!$F$2:$F$501,"限制性股票"))</f>
        <v/>
      </c>
      <c r="F57" s="15" t="str">
        <f>IF(OR(A57="",C57=""),"",SUMIFS(激励事件明细!$T$2:$T$501,激励事件明细!$C$2:$C$501,A57,激励事件明细!$H$2:$H$501,C57,激励事件明细!$F$2:$F$501,"其他股权激励"))</f>
        <v/>
      </c>
      <c r="G57" s="15" t="str">
        <f t="shared" si="4"/>
        <v/>
      </c>
      <c r="H57" s="16" t="str">
        <f>IF(G57="","",VLOOKUP(G57,税率及规则!$A$2:$C$8,2,TRUE))</f>
        <v/>
      </c>
      <c r="I57" s="15" t="str">
        <f>IF(G57="","",VLOOKUP(G57,税率及规则!$A$2:$C$8,3,TRUE))</f>
        <v/>
      </c>
      <c r="J57" s="15" t="str">
        <f t="shared" si="5"/>
        <v/>
      </c>
      <c r="K57" s="15" t="str">
        <f>IF(A57="","",SUMIFS(分期缴税台账!$K$2:$K$501,分期缴税台账!$A$2:$A$501,A57,分期缴税台账!$C$2:$C$501,C57,分期缴税台账!$Q$2:$Q$501,"有效"))</f>
        <v/>
      </c>
      <c r="L57" s="15" t="str">
        <f t="shared" si="6"/>
        <v/>
      </c>
      <c r="M57" s="4" t="str">
        <f>IF(A57="","",COUNTIFS(激励事件明细!$C$2:$C$501,A57,激励事件明细!$H$2:$H$501,C57,激励事件明细!$AA$2:$AA$501,"&gt;0"))</f>
        <v/>
      </c>
      <c r="N57" s="4" t="str">
        <f>IF(OR(A57="",C57=""),"",IFERROR(INDEX(激励事件明细!$A$2:$A$501,MATCH(A57&amp;"|"&amp;C57&amp;"|1",激励事件明细!$AM$2:$AM$501,0)),""))</f>
        <v/>
      </c>
      <c r="O57" s="17" t="str">
        <f>IF(N57="","",IFERROR(INDEX(激励事件明细!$AC$2:$AC$501,MATCH(N57,激励事件明细!$A$2:$A$501,0)),""))</f>
        <v/>
      </c>
      <c r="P57" s="4" t="str">
        <f t="shared" ca="1" si="7"/>
        <v/>
      </c>
    </row>
    <row r="58" spans="1:16" x14ac:dyDescent="0.3">
      <c r="A58" s="9"/>
      <c r="B58" s="4" t="str">
        <f>IF(A58="","",IFERROR(INDEX(激励事件明细!$D$2:$D$501,MATCH(A58,激励事件明细!$C$2:$C$501,0)),""))</f>
        <v/>
      </c>
      <c r="C58" s="9"/>
      <c r="D58" s="15" t="str">
        <f>IF(OR(A58="",C58=""),"",SUMIFS(激励事件明细!$T$2:$T$501,激励事件明细!$C$2:$C$501,A58,激励事件明细!$H$2:$H$501,C58,激励事件明细!$F$2:$F$501,"股票期权"))</f>
        <v/>
      </c>
      <c r="E58" s="15" t="str">
        <f>IF(OR(A58="",C58=""),"",SUMIFS(激励事件明细!$T$2:$T$501,激励事件明细!$C$2:$C$501,A58,激励事件明细!$H$2:$H$501,C58,激励事件明细!$F$2:$F$501,"限制性股票"))</f>
        <v/>
      </c>
      <c r="F58" s="15" t="str">
        <f>IF(OR(A58="",C58=""),"",SUMIFS(激励事件明细!$T$2:$T$501,激励事件明细!$C$2:$C$501,A58,激励事件明细!$H$2:$H$501,C58,激励事件明细!$F$2:$F$501,"其他股权激励"))</f>
        <v/>
      </c>
      <c r="G58" s="15" t="str">
        <f t="shared" si="4"/>
        <v/>
      </c>
      <c r="H58" s="16" t="str">
        <f>IF(G58="","",VLOOKUP(G58,税率及规则!$A$2:$C$8,2,TRUE))</f>
        <v/>
      </c>
      <c r="I58" s="15" t="str">
        <f>IF(G58="","",VLOOKUP(G58,税率及规则!$A$2:$C$8,3,TRUE))</f>
        <v/>
      </c>
      <c r="J58" s="15" t="str">
        <f t="shared" si="5"/>
        <v/>
      </c>
      <c r="K58" s="15" t="str">
        <f>IF(A58="","",SUMIFS(分期缴税台账!$K$2:$K$501,分期缴税台账!$A$2:$A$501,A58,分期缴税台账!$C$2:$C$501,C58,分期缴税台账!$Q$2:$Q$501,"有效"))</f>
        <v/>
      </c>
      <c r="L58" s="15" t="str">
        <f t="shared" si="6"/>
        <v/>
      </c>
      <c r="M58" s="4" t="str">
        <f>IF(A58="","",COUNTIFS(激励事件明细!$C$2:$C$501,A58,激励事件明细!$H$2:$H$501,C58,激励事件明细!$AA$2:$AA$501,"&gt;0"))</f>
        <v/>
      </c>
      <c r="N58" s="4" t="str">
        <f>IF(OR(A58="",C58=""),"",IFERROR(INDEX(激励事件明细!$A$2:$A$501,MATCH(A58&amp;"|"&amp;C58&amp;"|1",激励事件明细!$AM$2:$AM$501,0)),""))</f>
        <v/>
      </c>
      <c r="O58" s="17" t="str">
        <f>IF(N58="","",IFERROR(INDEX(激励事件明细!$AC$2:$AC$501,MATCH(N58,激励事件明细!$A$2:$A$501,0)),""))</f>
        <v/>
      </c>
      <c r="P58" s="4" t="str">
        <f t="shared" ca="1" si="7"/>
        <v/>
      </c>
    </row>
    <row r="59" spans="1:16" x14ac:dyDescent="0.3">
      <c r="A59" s="9"/>
      <c r="B59" s="4" t="str">
        <f>IF(A59="","",IFERROR(INDEX(激励事件明细!$D$2:$D$501,MATCH(A59,激励事件明细!$C$2:$C$501,0)),""))</f>
        <v/>
      </c>
      <c r="C59" s="9"/>
      <c r="D59" s="15" t="str">
        <f>IF(OR(A59="",C59=""),"",SUMIFS(激励事件明细!$T$2:$T$501,激励事件明细!$C$2:$C$501,A59,激励事件明细!$H$2:$H$501,C59,激励事件明细!$F$2:$F$501,"股票期权"))</f>
        <v/>
      </c>
      <c r="E59" s="15" t="str">
        <f>IF(OR(A59="",C59=""),"",SUMIFS(激励事件明细!$T$2:$T$501,激励事件明细!$C$2:$C$501,A59,激励事件明细!$H$2:$H$501,C59,激励事件明细!$F$2:$F$501,"限制性股票"))</f>
        <v/>
      </c>
      <c r="F59" s="15" t="str">
        <f>IF(OR(A59="",C59=""),"",SUMIFS(激励事件明细!$T$2:$T$501,激励事件明细!$C$2:$C$501,A59,激励事件明细!$H$2:$H$501,C59,激励事件明细!$F$2:$F$501,"其他股权激励"))</f>
        <v/>
      </c>
      <c r="G59" s="15" t="str">
        <f t="shared" si="4"/>
        <v/>
      </c>
      <c r="H59" s="16" t="str">
        <f>IF(G59="","",VLOOKUP(G59,税率及规则!$A$2:$C$8,2,TRUE))</f>
        <v/>
      </c>
      <c r="I59" s="15" t="str">
        <f>IF(G59="","",VLOOKUP(G59,税率及规则!$A$2:$C$8,3,TRUE))</f>
        <v/>
      </c>
      <c r="J59" s="15" t="str">
        <f t="shared" si="5"/>
        <v/>
      </c>
      <c r="K59" s="15" t="str">
        <f>IF(A59="","",SUMIFS(分期缴税台账!$K$2:$K$501,分期缴税台账!$A$2:$A$501,A59,分期缴税台账!$C$2:$C$501,C59,分期缴税台账!$Q$2:$Q$501,"有效"))</f>
        <v/>
      </c>
      <c r="L59" s="15" t="str">
        <f t="shared" si="6"/>
        <v/>
      </c>
      <c r="M59" s="4" t="str">
        <f>IF(A59="","",COUNTIFS(激励事件明细!$C$2:$C$501,A59,激励事件明细!$H$2:$H$501,C59,激励事件明细!$AA$2:$AA$501,"&gt;0"))</f>
        <v/>
      </c>
      <c r="N59" s="4" t="str">
        <f>IF(OR(A59="",C59=""),"",IFERROR(INDEX(激励事件明细!$A$2:$A$501,MATCH(A59&amp;"|"&amp;C59&amp;"|1",激励事件明细!$AM$2:$AM$501,0)),""))</f>
        <v/>
      </c>
      <c r="O59" s="17" t="str">
        <f>IF(N59="","",IFERROR(INDEX(激励事件明细!$AC$2:$AC$501,MATCH(N59,激励事件明细!$A$2:$A$501,0)),""))</f>
        <v/>
      </c>
      <c r="P59" s="4" t="str">
        <f t="shared" ca="1" si="7"/>
        <v/>
      </c>
    </row>
    <row r="60" spans="1:16" x14ac:dyDescent="0.3">
      <c r="A60" s="9"/>
      <c r="B60" s="4" t="str">
        <f>IF(A60="","",IFERROR(INDEX(激励事件明细!$D$2:$D$501,MATCH(A60,激励事件明细!$C$2:$C$501,0)),""))</f>
        <v/>
      </c>
      <c r="C60" s="9"/>
      <c r="D60" s="15" t="str">
        <f>IF(OR(A60="",C60=""),"",SUMIFS(激励事件明细!$T$2:$T$501,激励事件明细!$C$2:$C$501,A60,激励事件明细!$H$2:$H$501,C60,激励事件明细!$F$2:$F$501,"股票期权"))</f>
        <v/>
      </c>
      <c r="E60" s="15" t="str">
        <f>IF(OR(A60="",C60=""),"",SUMIFS(激励事件明细!$T$2:$T$501,激励事件明细!$C$2:$C$501,A60,激励事件明细!$H$2:$H$501,C60,激励事件明细!$F$2:$F$501,"限制性股票"))</f>
        <v/>
      </c>
      <c r="F60" s="15" t="str">
        <f>IF(OR(A60="",C60=""),"",SUMIFS(激励事件明细!$T$2:$T$501,激励事件明细!$C$2:$C$501,A60,激励事件明细!$H$2:$H$501,C60,激励事件明细!$F$2:$F$501,"其他股权激励"))</f>
        <v/>
      </c>
      <c r="G60" s="15" t="str">
        <f t="shared" si="4"/>
        <v/>
      </c>
      <c r="H60" s="16" t="str">
        <f>IF(G60="","",VLOOKUP(G60,税率及规则!$A$2:$C$8,2,TRUE))</f>
        <v/>
      </c>
      <c r="I60" s="15" t="str">
        <f>IF(G60="","",VLOOKUP(G60,税率及规则!$A$2:$C$8,3,TRUE))</f>
        <v/>
      </c>
      <c r="J60" s="15" t="str">
        <f t="shared" si="5"/>
        <v/>
      </c>
      <c r="K60" s="15" t="str">
        <f>IF(A60="","",SUMIFS(分期缴税台账!$K$2:$K$501,分期缴税台账!$A$2:$A$501,A60,分期缴税台账!$C$2:$C$501,C60,分期缴税台账!$Q$2:$Q$501,"有效"))</f>
        <v/>
      </c>
      <c r="L60" s="15" t="str">
        <f t="shared" si="6"/>
        <v/>
      </c>
      <c r="M60" s="4" t="str">
        <f>IF(A60="","",COUNTIFS(激励事件明细!$C$2:$C$501,A60,激励事件明细!$H$2:$H$501,C60,激励事件明细!$AA$2:$AA$501,"&gt;0"))</f>
        <v/>
      </c>
      <c r="N60" s="4" t="str">
        <f>IF(OR(A60="",C60=""),"",IFERROR(INDEX(激励事件明细!$A$2:$A$501,MATCH(A60&amp;"|"&amp;C60&amp;"|1",激励事件明细!$AM$2:$AM$501,0)),""))</f>
        <v/>
      </c>
      <c r="O60" s="17" t="str">
        <f>IF(N60="","",IFERROR(INDEX(激励事件明细!$AC$2:$AC$501,MATCH(N60,激励事件明细!$A$2:$A$501,0)),""))</f>
        <v/>
      </c>
      <c r="P60" s="4" t="str">
        <f t="shared" ca="1" si="7"/>
        <v/>
      </c>
    </row>
    <row r="61" spans="1:16" x14ac:dyDescent="0.3">
      <c r="A61" s="9"/>
      <c r="B61" s="4" t="str">
        <f>IF(A61="","",IFERROR(INDEX(激励事件明细!$D$2:$D$501,MATCH(A61,激励事件明细!$C$2:$C$501,0)),""))</f>
        <v/>
      </c>
      <c r="C61" s="9"/>
      <c r="D61" s="15" t="str">
        <f>IF(OR(A61="",C61=""),"",SUMIFS(激励事件明细!$T$2:$T$501,激励事件明细!$C$2:$C$501,A61,激励事件明细!$H$2:$H$501,C61,激励事件明细!$F$2:$F$501,"股票期权"))</f>
        <v/>
      </c>
      <c r="E61" s="15" t="str">
        <f>IF(OR(A61="",C61=""),"",SUMIFS(激励事件明细!$T$2:$T$501,激励事件明细!$C$2:$C$501,A61,激励事件明细!$H$2:$H$501,C61,激励事件明细!$F$2:$F$501,"限制性股票"))</f>
        <v/>
      </c>
      <c r="F61" s="15" t="str">
        <f>IF(OR(A61="",C61=""),"",SUMIFS(激励事件明细!$T$2:$T$501,激励事件明细!$C$2:$C$501,A61,激励事件明细!$H$2:$H$501,C61,激励事件明细!$F$2:$F$501,"其他股权激励"))</f>
        <v/>
      </c>
      <c r="G61" s="15" t="str">
        <f t="shared" si="4"/>
        <v/>
      </c>
      <c r="H61" s="16" t="str">
        <f>IF(G61="","",VLOOKUP(G61,税率及规则!$A$2:$C$8,2,TRUE))</f>
        <v/>
      </c>
      <c r="I61" s="15" t="str">
        <f>IF(G61="","",VLOOKUP(G61,税率及规则!$A$2:$C$8,3,TRUE))</f>
        <v/>
      </c>
      <c r="J61" s="15" t="str">
        <f t="shared" si="5"/>
        <v/>
      </c>
      <c r="K61" s="15" t="str">
        <f>IF(A61="","",SUMIFS(分期缴税台账!$K$2:$K$501,分期缴税台账!$A$2:$A$501,A61,分期缴税台账!$C$2:$C$501,C61,分期缴税台账!$Q$2:$Q$501,"有效"))</f>
        <v/>
      </c>
      <c r="L61" s="15" t="str">
        <f t="shared" si="6"/>
        <v/>
      </c>
      <c r="M61" s="4" t="str">
        <f>IF(A61="","",COUNTIFS(激励事件明细!$C$2:$C$501,A61,激励事件明细!$H$2:$H$501,C61,激励事件明细!$AA$2:$AA$501,"&gt;0"))</f>
        <v/>
      </c>
      <c r="N61" s="4" t="str">
        <f>IF(OR(A61="",C61=""),"",IFERROR(INDEX(激励事件明细!$A$2:$A$501,MATCH(A61&amp;"|"&amp;C61&amp;"|1",激励事件明细!$AM$2:$AM$501,0)),""))</f>
        <v/>
      </c>
      <c r="O61" s="17" t="str">
        <f>IF(N61="","",IFERROR(INDEX(激励事件明细!$AC$2:$AC$501,MATCH(N61,激励事件明细!$A$2:$A$501,0)),""))</f>
        <v/>
      </c>
      <c r="P61" s="4" t="str">
        <f t="shared" ca="1" si="7"/>
        <v/>
      </c>
    </row>
    <row r="62" spans="1:16" x14ac:dyDescent="0.3">
      <c r="A62" s="9"/>
      <c r="B62" s="4" t="str">
        <f>IF(A62="","",IFERROR(INDEX(激励事件明细!$D$2:$D$501,MATCH(A62,激励事件明细!$C$2:$C$501,0)),""))</f>
        <v/>
      </c>
      <c r="C62" s="9"/>
      <c r="D62" s="15" t="str">
        <f>IF(OR(A62="",C62=""),"",SUMIFS(激励事件明细!$T$2:$T$501,激励事件明细!$C$2:$C$501,A62,激励事件明细!$H$2:$H$501,C62,激励事件明细!$F$2:$F$501,"股票期权"))</f>
        <v/>
      </c>
      <c r="E62" s="15" t="str">
        <f>IF(OR(A62="",C62=""),"",SUMIFS(激励事件明细!$T$2:$T$501,激励事件明细!$C$2:$C$501,A62,激励事件明细!$H$2:$H$501,C62,激励事件明细!$F$2:$F$501,"限制性股票"))</f>
        <v/>
      </c>
      <c r="F62" s="15" t="str">
        <f>IF(OR(A62="",C62=""),"",SUMIFS(激励事件明细!$T$2:$T$501,激励事件明细!$C$2:$C$501,A62,激励事件明细!$H$2:$H$501,C62,激励事件明细!$F$2:$F$501,"其他股权激励"))</f>
        <v/>
      </c>
      <c r="G62" s="15" t="str">
        <f t="shared" si="4"/>
        <v/>
      </c>
      <c r="H62" s="16" t="str">
        <f>IF(G62="","",VLOOKUP(G62,税率及规则!$A$2:$C$8,2,TRUE))</f>
        <v/>
      </c>
      <c r="I62" s="15" t="str">
        <f>IF(G62="","",VLOOKUP(G62,税率及规则!$A$2:$C$8,3,TRUE))</f>
        <v/>
      </c>
      <c r="J62" s="15" t="str">
        <f t="shared" si="5"/>
        <v/>
      </c>
      <c r="K62" s="15" t="str">
        <f>IF(A62="","",SUMIFS(分期缴税台账!$K$2:$K$501,分期缴税台账!$A$2:$A$501,A62,分期缴税台账!$C$2:$C$501,C62,分期缴税台账!$Q$2:$Q$501,"有效"))</f>
        <v/>
      </c>
      <c r="L62" s="15" t="str">
        <f t="shared" si="6"/>
        <v/>
      </c>
      <c r="M62" s="4" t="str">
        <f>IF(A62="","",COUNTIFS(激励事件明细!$C$2:$C$501,A62,激励事件明细!$H$2:$H$501,C62,激励事件明细!$AA$2:$AA$501,"&gt;0"))</f>
        <v/>
      </c>
      <c r="N62" s="4" t="str">
        <f>IF(OR(A62="",C62=""),"",IFERROR(INDEX(激励事件明细!$A$2:$A$501,MATCH(A62&amp;"|"&amp;C62&amp;"|1",激励事件明细!$AM$2:$AM$501,0)),""))</f>
        <v/>
      </c>
      <c r="O62" s="17" t="str">
        <f>IF(N62="","",IFERROR(INDEX(激励事件明细!$AC$2:$AC$501,MATCH(N62,激励事件明细!$A$2:$A$501,0)),""))</f>
        <v/>
      </c>
      <c r="P62" s="4" t="str">
        <f t="shared" ca="1" si="7"/>
        <v/>
      </c>
    </row>
    <row r="63" spans="1:16" x14ac:dyDescent="0.3">
      <c r="A63" s="9"/>
      <c r="B63" s="4" t="str">
        <f>IF(A63="","",IFERROR(INDEX(激励事件明细!$D$2:$D$501,MATCH(A63,激励事件明细!$C$2:$C$501,0)),""))</f>
        <v/>
      </c>
      <c r="C63" s="9"/>
      <c r="D63" s="15" t="str">
        <f>IF(OR(A63="",C63=""),"",SUMIFS(激励事件明细!$T$2:$T$501,激励事件明细!$C$2:$C$501,A63,激励事件明细!$H$2:$H$501,C63,激励事件明细!$F$2:$F$501,"股票期权"))</f>
        <v/>
      </c>
      <c r="E63" s="15" t="str">
        <f>IF(OR(A63="",C63=""),"",SUMIFS(激励事件明细!$T$2:$T$501,激励事件明细!$C$2:$C$501,A63,激励事件明细!$H$2:$H$501,C63,激励事件明细!$F$2:$F$501,"限制性股票"))</f>
        <v/>
      </c>
      <c r="F63" s="15" t="str">
        <f>IF(OR(A63="",C63=""),"",SUMIFS(激励事件明细!$T$2:$T$501,激励事件明细!$C$2:$C$501,A63,激励事件明细!$H$2:$H$501,C63,激励事件明细!$F$2:$F$501,"其他股权激励"))</f>
        <v/>
      </c>
      <c r="G63" s="15" t="str">
        <f t="shared" si="4"/>
        <v/>
      </c>
      <c r="H63" s="16" t="str">
        <f>IF(G63="","",VLOOKUP(G63,税率及规则!$A$2:$C$8,2,TRUE))</f>
        <v/>
      </c>
      <c r="I63" s="15" t="str">
        <f>IF(G63="","",VLOOKUP(G63,税率及规则!$A$2:$C$8,3,TRUE))</f>
        <v/>
      </c>
      <c r="J63" s="15" t="str">
        <f t="shared" si="5"/>
        <v/>
      </c>
      <c r="K63" s="15" t="str">
        <f>IF(A63="","",SUMIFS(分期缴税台账!$K$2:$K$501,分期缴税台账!$A$2:$A$501,A63,分期缴税台账!$C$2:$C$501,C63,分期缴税台账!$Q$2:$Q$501,"有效"))</f>
        <v/>
      </c>
      <c r="L63" s="15" t="str">
        <f t="shared" si="6"/>
        <v/>
      </c>
      <c r="M63" s="4" t="str">
        <f>IF(A63="","",COUNTIFS(激励事件明细!$C$2:$C$501,A63,激励事件明细!$H$2:$H$501,C63,激励事件明细!$AA$2:$AA$501,"&gt;0"))</f>
        <v/>
      </c>
      <c r="N63" s="4" t="str">
        <f>IF(OR(A63="",C63=""),"",IFERROR(INDEX(激励事件明细!$A$2:$A$501,MATCH(A63&amp;"|"&amp;C63&amp;"|1",激励事件明细!$AM$2:$AM$501,0)),""))</f>
        <v/>
      </c>
      <c r="O63" s="17" t="str">
        <f>IF(N63="","",IFERROR(INDEX(激励事件明细!$AC$2:$AC$501,MATCH(N63,激励事件明细!$A$2:$A$501,0)),""))</f>
        <v/>
      </c>
      <c r="P63" s="4" t="str">
        <f t="shared" ca="1" si="7"/>
        <v/>
      </c>
    </row>
    <row r="64" spans="1:16" x14ac:dyDescent="0.3">
      <c r="A64" s="9"/>
      <c r="B64" s="4" t="str">
        <f>IF(A64="","",IFERROR(INDEX(激励事件明细!$D$2:$D$501,MATCH(A64,激励事件明细!$C$2:$C$501,0)),""))</f>
        <v/>
      </c>
      <c r="C64" s="9"/>
      <c r="D64" s="15" t="str">
        <f>IF(OR(A64="",C64=""),"",SUMIFS(激励事件明细!$T$2:$T$501,激励事件明细!$C$2:$C$501,A64,激励事件明细!$H$2:$H$501,C64,激励事件明细!$F$2:$F$501,"股票期权"))</f>
        <v/>
      </c>
      <c r="E64" s="15" t="str">
        <f>IF(OR(A64="",C64=""),"",SUMIFS(激励事件明细!$T$2:$T$501,激励事件明细!$C$2:$C$501,A64,激励事件明细!$H$2:$H$501,C64,激励事件明细!$F$2:$F$501,"限制性股票"))</f>
        <v/>
      </c>
      <c r="F64" s="15" t="str">
        <f>IF(OR(A64="",C64=""),"",SUMIFS(激励事件明细!$T$2:$T$501,激励事件明细!$C$2:$C$501,A64,激励事件明细!$H$2:$H$501,C64,激励事件明细!$F$2:$F$501,"其他股权激励"))</f>
        <v/>
      </c>
      <c r="G64" s="15" t="str">
        <f t="shared" si="4"/>
        <v/>
      </c>
      <c r="H64" s="16" t="str">
        <f>IF(G64="","",VLOOKUP(G64,税率及规则!$A$2:$C$8,2,TRUE))</f>
        <v/>
      </c>
      <c r="I64" s="15" t="str">
        <f>IF(G64="","",VLOOKUP(G64,税率及规则!$A$2:$C$8,3,TRUE))</f>
        <v/>
      </c>
      <c r="J64" s="15" t="str">
        <f t="shared" si="5"/>
        <v/>
      </c>
      <c r="K64" s="15" t="str">
        <f>IF(A64="","",SUMIFS(分期缴税台账!$K$2:$K$501,分期缴税台账!$A$2:$A$501,A64,分期缴税台账!$C$2:$C$501,C64,分期缴税台账!$Q$2:$Q$501,"有效"))</f>
        <v/>
      </c>
      <c r="L64" s="15" t="str">
        <f t="shared" si="6"/>
        <v/>
      </c>
      <c r="M64" s="4" t="str">
        <f>IF(A64="","",COUNTIFS(激励事件明细!$C$2:$C$501,A64,激励事件明细!$H$2:$H$501,C64,激励事件明细!$AA$2:$AA$501,"&gt;0"))</f>
        <v/>
      </c>
      <c r="N64" s="4" t="str">
        <f>IF(OR(A64="",C64=""),"",IFERROR(INDEX(激励事件明细!$A$2:$A$501,MATCH(A64&amp;"|"&amp;C64&amp;"|1",激励事件明细!$AM$2:$AM$501,0)),""))</f>
        <v/>
      </c>
      <c r="O64" s="17" t="str">
        <f>IF(N64="","",IFERROR(INDEX(激励事件明细!$AC$2:$AC$501,MATCH(N64,激励事件明细!$A$2:$A$501,0)),""))</f>
        <v/>
      </c>
      <c r="P64" s="4" t="str">
        <f t="shared" ca="1" si="7"/>
        <v/>
      </c>
    </row>
    <row r="65" spans="1:16" x14ac:dyDescent="0.3">
      <c r="A65" s="9"/>
      <c r="B65" s="4" t="str">
        <f>IF(A65="","",IFERROR(INDEX(激励事件明细!$D$2:$D$501,MATCH(A65,激励事件明细!$C$2:$C$501,0)),""))</f>
        <v/>
      </c>
      <c r="C65" s="9"/>
      <c r="D65" s="15" t="str">
        <f>IF(OR(A65="",C65=""),"",SUMIFS(激励事件明细!$T$2:$T$501,激励事件明细!$C$2:$C$501,A65,激励事件明细!$H$2:$H$501,C65,激励事件明细!$F$2:$F$501,"股票期权"))</f>
        <v/>
      </c>
      <c r="E65" s="15" t="str">
        <f>IF(OR(A65="",C65=""),"",SUMIFS(激励事件明细!$T$2:$T$501,激励事件明细!$C$2:$C$501,A65,激励事件明细!$H$2:$H$501,C65,激励事件明细!$F$2:$F$501,"限制性股票"))</f>
        <v/>
      </c>
      <c r="F65" s="15" t="str">
        <f>IF(OR(A65="",C65=""),"",SUMIFS(激励事件明细!$T$2:$T$501,激励事件明细!$C$2:$C$501,A65,激励事件明细!$H$2:$H$501,C65,激励事件明细!$F$2:$F$501,"其他股权激励"))</f>
        <v/>
      </c>
      <c r="G65" s="15" t="str">
        <f t="shared" si="4"/>
        <v/>
      </c>
      <c r="H65" s="16" t="str">
        <f>IF(G65="","",VLOOKUP(G65,税率及规则!$A$2:$C$8,2,TRUE))</f>
        <v/>
      </c>
      <c r="I65" s="15" t="str">
        <f>IF(G65="","",VLOOKUP(G65,税率及规则!$A$2:$C$8,3,TRUE))</f>
        <v/>
      </c>
      <c r="J65" s="15" t="str">
        <f t="shared" si="5"/>
        <v/>
      </c>
      <c r="K65" s="15" t="str">
        <f>IF(A65="","",SUMIFS(分期缴税台账!$K$2:$K$501,分期缴税台账!$A$2:$A$501,A65,分期缴税台账!$C$2:$C$501,C65,分期缴税台账!$Q$2:$Q$501,"有效"))</f>
        <v/>
      </c>
      <c r="L65" s="15" t="str">
        <f t="shared" si="6"/>
        <v/>
      </c>
      <c r="M65" s="4" t="str">
        <f>IF(A65="","",COUNTIFS(激励事件明细!$C$2:$C$501,A65,激励事件明细!$H$2:$H$501,C65,激励事件明细!$AA$2:$AA$501,"&gt;0"))</f>
        <v/>
      </c>
      <c r="N65" s="4" t="str">
        <f>IF(OR(A65="",C65=""),"",IFERROR(INDEX(激励事件明细!$A$2:$A$501,MATCH(A65&amp;"|"&amp;C65&amp;"|1",激励事件明细!$AM$2:$AM$501,0)),""))</f>
        <v/>
      </c>
      <c r="O65" s="17" t="str">
        <f>IF(N65="","",IFERROR(INDEX(激励事件明细!$AC$2:$AC$501,MATCH(N65,激励事件明细!$A$2:$A$501,0)),""))</f>
        <v/>
      </c>
      <c r="P65" s="4" t="str">
        <f t="shared" ca="1" si="7"/>
        <v/>
      </c>
    </row>
    <row r="66" spans="1:16" x14ac:dyDescent="0.3">
      <c r="A66" s="9"/>
      <c r="B66" s="4" t="str">
        <f>IF(A66="","",IFERROR(INDEX(激励事件明细!$D$2:$D$501,MATCH(A66,激励事件明细!$C$2:$C$501,0)),""))</f>
        <v/>
      </c>
      <c r="C66" s="9"/>
      <c r="D66" s="15" t="str">
        <f>IF(OR(A66="",C66=""),"",SUMIFS(激励事件明细!$T$2:$T$501,激励事件明细!$C$2:$C$501,A66,激励事件明细!$H$2:$H$501,C66,激励事件明细!$F$2:$F$501,"股票期权"))</f>
        <v/>
      </c>
      <c r="E66" s="15" t="str">
        <f>IF(OR(A66="",C66=""),"",SUMIFS(激励事件明细!$T$2:$T$501,激励事件明细!$C$2:$C$501,A66,激励事件明细!$H$2:$H$501,C66,激励事件明细!$F$2:$F$501,"限制性股票"))</f>
        <v/>
      </c>
      <c r="F66" s="15" t="str">
        <f>IF(OR(A66="",C66=""),"",SUMIFS(激励事件明细!$T$2:$T$501,激励事件明细!$C$2:$C$501,A66,激励事件明细!$H$2:$H$501,C66,激励事件明细!$F$2:$F$501,"其他股权激励"))</f>
        <v/>
      </c>
      <c r="G66" s="15" t="str">
        <f t="shared" ref="G66:G97" si="8">IF(A66="","",SUM(D66:F66))</f>
        <v/>
      </c>
      <c r="H66" s="16" t="str">
        <f>IF(G66="","",VLOOKUP(G66,税率及规则!$A$2:$C$8,2,TRUE))</f>
        <v/>
      </c>
      <c r="I66" s="15" t="str">
        <f>IF(G66="","",VLOOKUP(G66,税率及规则!$A$2:$C$8,3,TRUE))</f>
        <v/>
      </c>
      <c r="J66" s="15" t="str">
        <f t="shared" ref="J66:J97" si="9">IF(G66="","",MAX(0,G66*H66-I66))</f>
        <v/>
      </c>
      <c r="K66" s="15" t="str">
        <f>IF(A66="","",SUMIFS(分期缴税台账!$K$2:$K$501,分期缴税台账!$A$2:$A$501,A66,分期缴税台账!$C$2:$C$501,C66,分期缴税台账!$Q$2:$Q$501,"有效"))</f>
        <v/>
      </c>
      <c r="L66" s="15" t="str">
        <f t="shared" ref="L66:L97" si="10">IF(J66="","",MAX(0,J66-K66))</f>
        <v/>
      </c>
      <c r="M66" s="4" t="str">
        <f>IF(A66="","",COUNTIFS(激励事件明细!$C$2:$C$501,A66,激励事件明细!$H$2:$H$501,C66,激励事件明细!$AA$2:$AA$501,"&gt;0"))</f>
        <v/>
      </c>
      <c r="N66" s="4" t="str">
        <f>IF(OR(A66="",C66=""),"",IFERROR(INDEX(激励事件明细!$A$2:$A$501,MATCH(A66&amp;"|"&amp;C66&amp;"|1",激励事件明细!$AM$2:$AM$501,0)),""))</f>
        <v/>
      </c>
      <c r="O66" s="17" t="str">
        <f>IF(N66="","",IFERROR(INDEX(激励事件明细!$AC$2:$AC$501,MATCH(N66,激励事件明细!$A$2:$A$501,0)),""))</f>
        <v/>
      </c>
      <c r="P66" s="4" t="str">
        <f t="shared" ref="P66:P97" ca="1" si="11">IF(A66="","",IF(M66=0,"",IF(K66&gt;J66,"异常：超额缴税",IF(L66=0,"已缴清",IF(AND(O66&lt;TODAY(),L66&gt;0),"逾期未缴","未缴清")))))</f>
        <v/>
      </c>
    </row>
    <row r="67" spans="1:16" x14ac:dyDescent="0.3">
      <c r="A67" s="9"/>
      <c r="B67" s="4" t="str">
        <f>IF(A67="","",IFERROR(INDEX(激励事件明细!$D$2:$D$501,MATCH(A67,激励事件明细!$C$2:$C$501,0)),""))</f>
        <v/>
      </c>
      <c r="C67" s="9"/>
      <c r="D67" s="15" t="str">
        <f>IF(OR(A67="",C67=""),"",SUMIFS(激励事件明细!$T$2:$T$501,激励事件明细!$C$2:$C$501,A67,激励事件明细!$H$2:$H$501,C67,激励事件明细!$F$2:$F$501,"股票期权"))</f>
        <v/>
      </c>
      <c r="E67" s="15" t="str">
        <f>IF(OR(A67="",C67=""),"",SUMIFS(激励事件明细!$T$2:$T$501,激励事件明细!$C$2:$C$501,A67,激励事件明细!$H$2:$H$501,C67,激励事件明细!$F$2:$F$501,"限制性股票"))</f>
        <v/>
      </c>
      <c r="F67" s="15" t="str">
        <f>IF(OR(A67="",C67=""),"",SUMIFS(激励事件明细!$T$2:$T$501,激励事件明细!$C$2:$C$501,A67,激励事件明细!$H$2:$H$501,C67,激励事件明细!$F$2:$F$501,"其他股权激励"))</f>
        <v/>
      </c>
      <c r="G67" s="15" t="str">
        <f t="shared" si="8"/>
        <v/>
      </c>
      <c r="H67" s="16" t="str">
        <f>IF(G67="","",VLOOKUP(G67,税率及规则!$A$2:$C$8,2,TRUE))</f>
        <v/>
      </c>
      <c r="I67" s="15" t="str">
        <f>IF(G67="","",VLOOKUP(G67,税率及规则!$A$2:$C$8,3,TRUE))</f>
        <v/>
      </c>
      <c r="J67" s="15" t="str">
        <f t="shared" si="9"/>
        <v/>
      </c>
      <c r="K67" s="15" t="str">
        <f>IF(A67="","",SUMIFS(分期缴税台账!$K$2:$K$501,分期缴税台账!$A$2:$A$501,A67,分期缴税台账!$C$2:$C$501,C67,分期缴税台账!$Q$2:$Q$501,"有效"))</f>
        <v/>
      </c>
      <c r="L67" s="15" t="str">
        <f t="shared" si="10"/>
        <v/>
      </c>
      <c r="M67" s="4" t="str">
        <f>IF(A67="","",COUNTIFS(激励事件明细!$C$2:$C$501,A67,激励事件明细!$H$2:$H$501,C67,激励事件明细!$AA$2:$AA$501,"&gt;0"))</f>
        <v/>
      </c>
      <c r="N67" s="4" t="str">
        <f>IF(OR(A67="",C67=""),"",IFERROR(INDEX(激励事件明细!$A$2:$A$501,MATCH(A67&amp;"|"&amp;C67&amp;"|1",激励事件明细!$AM$2:$AM$501,0)),""))</f>
        <v/>
      </c>
      <c r="O67" s="17" t="str">
        <f>IF(N67="","",IFERROR(INDEX(激励事件明细!$AC$2:$AC$501,MATCH(N67,激励事件明细!$A$2:$A$501,0)),""))</f>
        <v/>
      </c>
      <c r="P67" s="4" t="str">
        <f t="shared" ca="1" si="11"/>
        <v/>
      </c>
    </row>
    <row r="68" spans="1:16" x14ac:dyDescent="0.3">
      <c r="A68" s="9"/>
      <c r="B68" s="4" t="str">
        <f>IF(A68="","",IFERROR(INDEX(激励事件明细!$D$2:$D$501,MATCH(A68,激励事件明细!$C$2:$C$501,0)),""))</f>
        <v/>
      </c>
      <c r="C68" s="9"/>
      <c r="D68" s="15" t="str">
        <f>IF(OR(A68="",C68=""),"",SUMIFS(激励事件明细!$T$2:$T$501,激励事件明细!$C$2:$C$501,A68,激励事件明细!$H$2:$H$501,C68,激励事件明细!$F$2:$F$501,"股票期权"))</f>
        <v/>
      </c>
      <c r="E68" s="15" t="str">
        <f>IF(OR(A68="",C68=""),"",SUMIFS(激励事件明细!$T$2:$T$501,激励事件明细!$C$2:$C$501,A68,激励事件明细!$H$2:$H$501,C68,激励事件明细!$F$2:$F$501,"限制性股票"))</f>
        <v/>
      </c>
      <c r="F68" s="15" t="str">
        <f>IF(OR(A68="",C68=""),"",SUMIFS(激励事件明细!$T$2:$T$501,激励事件明细!$C$2:$C$501,A68,激励事件明细!$H$2:$H$501,C68,激励事件明细!$F$2:$F$501,"其他股权激励"))</f>
        <v/>
      </c>
      <c r="G68" s="15" t="str">
        <f t="shared" si="8"/>
        <v/>
      </c>
      <c r="H68" s="16" t="str">
        <f>IF(G68="","",VLOOKUP(G68,税率及规则!$A$2:$C$8,2,TRUE))</f>
        <v/>
      </c>
      <c r="I68" s="15" t="str">
        <f>IF(G68="","",VLOOKUP(G68,税率及规则!$A$2:$C$8,3,TRUE))</f>
        <v/>
      </c>
      <c r="J68" s="15" t="str">
        <f t="shared" si="9"/>
        <v/>
      </c>
      <c r="K68" s="15" t="str">
        <f>IF(A68="","",SUMIFS(分期缴税台账!$K$2:$K$501,分期缴税台账!$A$2:$A$501,A68,分期缴税台账!$C$2:$C$501,C68,分期缴税台账!$Q$2:$Q$501,"有效"))</f>
        <v/>
      </c>
      <c r="L68" s="15" t="str">
        <f t="shared" si="10"/>
        <v/>
      </c>
      <c r="M68" s="4" t="str">
        <f>IF(A68="","",COUNTIFS(激励事件明细!$C$2:$C$501,A68,激励事件明细!$H$2:$H$501,C68,激励事件明细!$AA$2:$AA$501,"&gt;0"))</f>
        <v/>
      </c>
      <c r="N68" s="4" t="str">
        <f>IF(OR(A68="",C68=""),"",IFERROR(INDEX(激励事件明细!$A$2:$A$501,MATCH(A68&amp;"|"&amp;C68&amp;"|1",激励事件明细!$AM$2:$AM$501,0)),""))</f>
        <v/>
      </c>
      <c r="O68" s="17" t="str">
        <f>IF(N68="","",IFERROR(INDEX(激励事件明细!$AC$2:$AC$501,MATCH(N68,激励事件明细!$A$2:$A$501,0)),""))</f>
        <v/>
      </c>
      <c r="P68" s="4" t="str">
        <f t="shared" ca="1" si="11"/>
        <v/>
      </c>
    </row>
    <row r="69" spans="1:16" x14ac:dyDescent="0.3">
      <c r="A69" s="9"/>
      <c r="B69" s="4" t="str">
        <f>IF(A69="","",IFERROR(INDEX(激励事件明细!$D$2:$D$501,MATCH(A69,激励事件明细!$C$2:$C$501,0)),""))</f>
        <v/>
      </c>
      <c r="C69" s="9"/>
      <c r="D69" s="15" t="str">
        <f>IF(OR(A69="",C69=""),"",SUMIFS(激励事件明细!$T$2:$T$501,激励事件明细!$C$2:$C$501,A69,激励事件明细!$H$2:$H$501,C69,激励事件明细!$F$2:$F$501,"股票期权"))</f>
        <v/>
      </c>
      <c r="E69" s="15" t="str">
        <f>IF(OR(A69="",C69=""),"",SUMIFS(激励事件明细!$T$2:$T$501,激励事件明细!$C$2:$C$501,A69,激励事件明细!$H$2:$H$501,C69,激励事件明细!$F$2:$F$501,"限制性股票"))</f>
        <v/>
      </c>
      <c r="F69" s="15" t="str">
        <f>IF(OR(A69="",C69=""),"",SUMIFS(激励事件明细!$T$2:$T$501,激励事件明细!$C$2:$C$501,A69,激励事件明细!$H$2:$H$501,C69,激励事件明细!$F$2:$F$501,"其他股权激励"))</f>
        <v/>
      </c>
      <c r="G69" s="15" t="str">
        <f t="shared" si="8"/>
        <v/>
      </c>
      <c r="H69" s="16" t="str">
        <f>IF(G69="","",VLOOKUP(G69,税率及规则!$A$2:$C$8,2,TRUE))</f>
        <v/>
      </c>
      <c r="I69" s="15" t="str">
        <f>IF(G69="","",VLOOKUP(G69,税率及规则!$A$2:$C$8,3,TRUE))</f>
        <v/>
      </c>
      <c r="J69" s="15" t="str">
        <f t="shared" si="9"/>
        <v/>
      </c>
      <c r="K69" s="15" t="str">
        <f>IF(A69="","",SUMIFS(分期缴税台账!$K$2:$K$501,分期缴税台账!$A$2:$A$501,A69,分期缴税台账!$C$2:$C$501,C69,分期缴税台账!$Q$2:$Q$501,"有效"))</f>
        <v/>
      </c>
      <c r="L69" s="15" t="str">
        <f t="shared" si="10"/>
        <v/>
      </c>
      <c r="M69" s="4" t="str">
        <f>IF(A69="","",COUNTIFS(激励事件明细!$C$2:$C$501,A69,激励事件明细!$H$2:$H$501,C69,激励事件明细!$AA$2:$AA$501,"&gt;0"))</f>
        <v/>
      </c>
      <c r="N69" s="4" t="str">
        <f>IF(OR(A69="",C69=""),"",IFERROR(INDEX(激励事件明细!$A$2:$A$501,MATCH(A69&amp;"|"&amp;C69&amp;"|1",激励事件明细!$AM$2:$AM$501,0)),""))</f>
        <v/>
      </c>
      <c r="O69" s="17" t="str">
        <f>IF(N69="","",IFERROR(INDEX(激励事件明细!$AC$2:$AC$501,MATCH(N69,激励事件明细!$A$2:$A$501,0)),""))</f>
        <v/>
      </c>
      <c r="P69" s="4" t="str">
        <f t="shared" ca="1" si="11"/>
        <v/>
      </c>
    </row>
    <row r="70" spans="1:16" x14ac:dyDescent="0.3">
      <c r="A70" s="9"/>
      <c r="B70" s="4" t="str">
        <f>IF(A70="","",IFERROR(INDEX(激励事件明细!$D$2:$D$501,MATCH(A70,激励事件明细!$C$2:$C$501,0)),""))</f>
        <v/>
      </c>
      <c r="C70" s="9"/>
      <c r="D70" s="15" t="str">
        <f>IF(OR(A70="",C70=""),"",SUMIFS(激励事件明细!$T$2:$T$501,激励事件明细!$C$2:$C$501,A70,激励事件明细!$H$2:$H$501,C70,激励事件明细!$F$2:$F$501,"股票期权"))</f>
        <v/>
      </c>
      <c r="E70" s="15" t="str">
        <f>IF(OR(A70="",C70=""),"",SUMIFS(激励事件明细!$T$2:$T$501,激励事件明细!$C$2:$C$501,A70,激励事件明细!$H$2:$H$501,C70,激励事件明细!$F$2:$F$501,"限制性股票"))</f>
        <v/>
      </c>
      <c r="F70" s="15" t="str">
        <f>IF(OR(A70="",C70=""),"",SUMIFS(激励事件明细!$T$2:$T$501,激励事件明细!$C$2:$C$501,A70,激励事件明细!$H$2:$H$501,C70,激励事件明细!$F$2:$F$501,"其他股权激励"))</f>
        <v/>
      </c>
      <c r="G70" s="15" t="str">
        <f t="shared" si="8"/>
        <v/>
      </c>
      <c r="H70" s="16" t="str">
        <f>IF(G70="","",VLOOKUP(G70,税率及规则!$A$2:$C$8,2,TRUE))</f>
        <v/>
      </c>
      <c r="I70" s="15" t="str">
        <f>IF(G70="","",VLOOKUP(G70,税率及规则!$A$2:$C$8,3,TRUE))</f>
        <v/>
      </c>
      <c r="J70" s="15" t="str">
        <f t="shared" si="9"/>
        <v/>
      </c>
      <c r="K70" s="15" t="str">
        <f>IF(A70="","",SUMIFS(分期缴税台账!$K$2:$K$501,分期缴税台账!$A$2:$A$501,A70,分期缴税台账!$C$2:$C$501,C70,分期缴税台账!$Q$2:$Q$501,"有效"))</f>
        <v/>
      </c>
      <c r="L70" s="15" t="str">
        <f t="shared" si="10"/>
        <v/>
      </c>
      <c r="M70" s="4" t="str">
        <f>IF(A70="","",COUNTIFS(激励事件明细!$C$2:$C$501,A70,激励事件明细!$H$2:$H$501,C70,激励事件明细!$AA$2:$AA$501,"&gt;0"))</f>
        <v/>
      </c>
      <c r="N70" s="4" t="str">
        <f>IF(OR(A70="",C70=""),"",IFERROR(INDEX(激励事件明细!$A$2:$A$501,MATCH(A70&amp;"|"&amp;C70&amp;"|1",激励事件明细!$AM$2:$AM$501,0)),""))</f>
        <v/>
      </c>
      <c r="O70" s="17" t="str">
        <f>IF(N70="","",IFERROR(INDEX(激励事件明细!$AC$2:$AC$501,MATCH(N70,激励事件明细!$A$2:$A$501,0)),""))</f>
        <v/>
      </c>
      <c r="P70" s="4" t="str">
        <f t="shared" ca="1" si="11"/>
        <v/>
      </c>
    </row>
    <row r="71" spans="1:16" x14ac:dyDescent="0.3">
      <c r="A71" s="9"/>
      <c r="B71" s="4" t="str">
        <f>IF(A71="","",IFERROR(INDEX(激励事件明细!$D$2:$D$501,MATCH(A71,激励事件明细!$C$2:$C$501,0)),""))</f>
        <v/>
      </c>
      <c r="C71" s="9"/>
      <c r="D71" s="15" t="str">
        <f>IF(OR(A71="",C71=""),"",SUMIFS(激励事件明细!$T$2:$T$501,激励事件明细!$C$2:$C$501,A71,激励事件明细!$H$2:$H$501,C71,激励事件明细!$F$2:$F$501,"股票期权"))</f>
        <v/>
      </c>
      <c r="E71" s="15" t="str">
        <f>IF(OR(A71="",C71=""),"",SUMIFS(激励事件明细!$T$2:$T$501,激励事件明细!$C$2:$C$501,A71,激励事件明细!$H$2:$H$501,C71,激励事件明细!$F$2:$F$501,"限制性股票"))</f>
        <v/>
      </c>
      <c r="F71" s="15" t="str">
        <f>IF(OR(A71="",C71=""),"",SUMIFS(激励事件明细!$T$2:$T$501,激励事件明细!$C$2:$C$501,A71,激励事件明细!$H$2:$H$501,C71,激励事件明细!$F$2:$F$501,"其他股权激励"))</f>
        <v/>
      </c>
      <c r="G71" s="15" t="str">
        <f t="shared" si="8"/>
        <v/>
      </c>
      <c r="H71" s="16" t="str">
        <f>IF(G71="","",VLOOKUP(G71,税率及规则!$A$2:$C$8,2,TRUE))</f>
        <v/>
      </c>
      <c r="I71" s="15" t="str">
        <f>IF(G71="","",VLOOKUP(G71,税率及规则!$A$2:$C$8,3,TRUE))</f>
        <v/>
      </c>
      <c r="J71" s="15" t="str">
        <f t="shared" si="9"/>
        <v/>
      </c>
      <c r="K71" s="15" t="str">
        <f>IF(A71="","",SUMIFS(分期缴税台账!$K$2:$K$501,分期缴税台账!$A$2:$A$501,A71,分期缴税台账!$C$2:$C$501,C71,分期缴税台账!$Q$2:$Q$501,"有效"))</f>
        <v/>
      </c>
      <c r="L71" s="15" t="str">
        <f t="shared" si="10"/>
        <v/>
      </c>
      <c r="M71" s="4" t="str">
        <f>IF(A71="","",COUNTIFS(激励事件明细!$C$2:$C$501,A71,激励事件明细!$H$2:$H$501,C71,激励事件明细!$AA$2:$AA$501,"&gt;0"))</f>
        <v/>
      </c>
      <c r="N71" s="4" t="str">
        <f>IF(OR(A71="",C71=""),"",IFERROR(INDEX(激励事件明细!$A$2:$A$501,MATCH(A71&amp;"|"&amp;C71&amp;"|1",激励事件明细!$AM$2:$AM$501,0)),""))</f>
        <v/>
      </c>
      <c r="O71" s="17" t="str">
        <f>IF(N71="","",IFERROR(INDEX(激励事件明细!$AC$2:$AC$501,MATCH(N71,激励事件明细!$A$2:$A$501,0)),""))</f>
        <v/>
      </c>
      <c r="P71" s="4" t="str">
        <f t="shared" ca="1" si="11"/>
        <v/>
      </c>
    </row>
    <row r="72" spans="1:16" x14ac:dyDescent="0.3">
      <c r="A72" s="9"/>
      <c r="B72" s="4" t="str">
        <f>IF(A72="","",IFERROR(INDEX(激励事件明细!$D$2:$D$501,MATCH(A72,激励事件明细!$C$2:$C$501,0)),""))</f>
        <v/>
      </c>
      <c r="C72" s="9"/>
      <c r="D72" s="15" t="str">
        <f>IF(OR(A72="",C72=""),"",SUMIFS(激励事件明细!$T$2:$T$501,激励事件明细!$C$2:$C$501,A72,激励事件明细!$H$2:$H$501,C72,激励事件明细!$F$2:$F$501,"股票期权"))</f>
        <v/>
      </c>
      <c r="E72" s="15" t="str">
        <f>IF(OR(A72="",C72=""),"",SUMIFS(激励事件明细!$T$2:$T$501,激励事件明细!$C$2:$C$501,A72,激励事件明细!$H$2:$H$501,C72,激励事件明细!$F$2:$F$501,"限制性股票"))</f>
        <v/>
      </c>
      <c r="F72" s="15" t="str">
        <f>IF(OR(A72="",C72=""),"",SUMIFS(激励事件明细!$T$2:$T$501,激励事件明细!$C$2:$C$501,A72,激励事件明细!$H$2:$H$501,C72,激励事件明细!$F$2:$F$501,"其他股权激励"))</f>
        <v/>
      </c>
      <c r="G72" s="15" t="str">
        <f t="shared" si="8"/>
        <v/>
      </c>
      <c r="H72" s="16" t="str">
        <f>IF(G72="","",VLOOKUP(G72,税率及规则!$A$2:$C$8,2,TRUE))</f>
        <v/>
      </c>
      <c r="I72" s="15" t="str">
        <f>IF(G72="","",VLOOKUP(G72,税率及规则!$A$2:$C$8,3,TRUE))</f>
        <v/>
      </c>
      <c r="J72" s="15" t="str">
        <f t="shared" si="9"/>
        <v/>
      </c>
      <c r="K72" s="15" t="str">
        <f>IF(A72="","",SUMIFS(分期缴税台账!$K$2:$K$501,分期缴税台账!$A$2:$A$501,A72,分期缴税台账!$C$2:$C$501,C72,分期缴税台账!$Q$2:$Q$501,"有效"))</f>
        <v/>
      </c>
      <c r="L72" s="15" t="str">
        <f t="shared" si="10"/>
        <v/>
      </c>
      <c r="M72" s="4" t="str">
        <f>IF(A72="","",COUNTIFS(激励事件明细!$C$2:$C$501,A72,激励事件明细!$H$2:$H$501,C72,激励事件明细!$AA$2:$AA$501,"&gt;0"))</f>
        <v/>
      </c>
      <c r="N72" s="4" t="str">
        <f>IF(OR(A72="",C72=""),"",IFERROR(INDEX(激励事件明细!$A$2:$A$501,MATCH(A72&amp;"|"&amp;C72&amp;"|1",激励事件明细!$AM$2:$AM$501,0)),""))</f>
        <v/>
      </c>
      <c r="O72" s="17" t="str">
        <f>IF(N72="","",IFERROR(INDEX(激励事件明细!$AC$2:$AC$501,MATCH(N72,激励事件明细!$A$2:$A$501,0)),""))</f>
        <v/>
      </c>
      <c r="P72" s="4" t="str">
        <f t="shared" ca="1" si="11"/>
        <v/>
      </c>
    </row>
    <row r="73" spans="1:16" x14ac:dyDescent="0.3">
      <c r="A73" s="9"/>
      <c r="B73" s="4" t="str">
        <f>IF(A73="","",IFERROR(INDEX(激励事件明细!$D$2:$D$501,MATCH(A73,激励事件明细!$C$2:$C$501,0)),""))</f>
        <v/>
      </c>
      <c r="C73" s="9"/>
      <c r="D73" s="15" t="str">
        <f>IF(OR(A73="",C73=""),"",SUMIFS(激励事件明细!$T$2:$T$501,激励事件明细!$C$2:$C$501,A73,激励事件明细!$H$2:$H$501,C73,激励事件明细!$F$2:$F$501,"股票期权"))</f>
        <v/>
      </c>
      <c r="E73" s="15" t="str">
        <f>IF(OR(A73="",C73=""),"",SUMIFS(激励事件明细!$T$2:$T$501,激励事件明细!$C$2:$C$501,A73,激励事件明细!$H$2:$H$501,C73,激励事件明细!$F$2:$F$501,"限制性股票"))</f>
        <v/>
      </c>
      <c r="F73" s="15" t="str">
        <f>IF(OR(A73="",C73=""),"",SUMIFS(激励事件明细!$T$2:$T$501,激励事件明细!$C$2:$C$501,A73,激励事件明细!$H$2:$H$501,C73,激励事件明细!$F$2:$F$501,"其他股权激励"))</f>
        <v/>
      </c>
      <c r="G73" s="15" t="str">
        <f t="shared" si="8"/>
        <v/>
      </c>
      <c r="H73" s="16" t="str">
        <f>IF(G73="","",VLOOKUP(G73,税率及规则!$A$2:$C$8,2,TRUE))</f>
        <v/>
      </c>
      <c r="I73" s="15" t="str">
        <f>IF(G73="","",VLOOKUP(G73,税率及规则!$A$2:$C$8,3,TRUE))</f>
        <v/>
      </c>
      <c r="J73" s="15" t="str">
        <f t="shared" si="9"/>
        <v/>
      </c>
      <c r="K73" s="15" t="str">
        <f>IF(A73="","",SUMIFS(分期缴税台账!$K$2:$K$501,分期缴税台账!$A$2:$A$501,A73,分期缴税台账!$C$2:$C$501,C73,分期缴税台账!$Q$2:$Q$501,"有效"))</f>
        <v/>
      </c>
      <c r="L73" s="15" t="str">
        <f t="shared" si="10"/>
        <v/>
      </c>
      <c r="M73" s="4" t="str">
        <f>IF(A73="","",COUNTIFS(激励事件明细!$C$2:$C$501,A73,激励事件明细!$H$2:$H$501,C73,激励事件明细!$AA$2:$AA$501,"&gt;0"))</f>
        <v/>
      </c>
      <c r="N73" s="4" t="str">
        <f>IF(OR(A73="",C73=""),"",IFERROR(INDEX(激励事件明细!$A$2:$A$501,MATCH(A73&amp;"|"&amp;C73&amp;"|1",激励事件明细!$AM$2:$AM$501,0)),""))</f>
        <v/>
      </c>
      <c r="O73" s="17" t="str">
        <f>IF(N73="","",IFERROR(INDEX(激励事件明细!$AC$2:$AC$501,MATCH(N73,激励事件明细!$A$2:$A$501,0)),""))</f>
        <v/>
      </c>
      <c r="P73" s="4" t="str">
        <f t="shared" ca="1" si="11"/>
        <v/>
      </c>
    </row>
    <row r="74" spans="1:16" x14ac:dyDescent="0.3">
      <c r="A74" s="9"/>
      <c r="B74" s="4" t="str">
        <f>IF(A74="","",IFERROR(INDEX(激励事件明细!$D$2:$D$501,MATCH(A74,激励事件明细!$C$2:$C$501,0)),""))</f>
        <v/>
      </c>
      <c r="C74" s="9"/>
      <c r="D74" s="15" t="str">
        <f>IF(OR(A74="",C74=""),"",SUMIFS(激励事件明细!$T$2:$T$501,激励事件明细!$C$2:$C$501,A74,激励事件明细!$H$2:$H$501,C74,激励事件明细!$F$2:$F$501,"股票期权"))</f>
        <v/>
      </c>
      <c r="E74" s="15" t="str">
        <f>IF(OR(A74="",C74=""),"",SUMIFS(激励事件明细!$T$2:$T$501,激励事件明细!$C$2:$C$501,A74,激励事件明细!$H$2:$H$501,C74,激励事件明细!$F$2:$F$501,"限制性股票"))</f>
        <v/>
      </c>
      <c r="F74" s="15" t="str">
        <f>IF(OR(A74="",C74=""),"",SUMIFS(激励事件明细!$T$2:$T$501,激励事件明细!$C$2:$C$501,A74,激励事件明细!$H$2:$H$501,C74,激励事件明细!$F$2:$F$501,"其他股权激励"))</f>
        <v/>
      </c>
      <c r="G74" s="15" t="str">
        <f t="shared" si="8"/>
        <v/>
      </c>
      <c r="H74" s="16" t="str">
        <f>IF(G74="","",VLOOKUP(G74,税率及规则!$A$2:$C$8,2,TRUE))</f>
        <v/>
      </c>
      <c r="I74" s="15" t="str">
        <f>IF(G74="","",VLOOKUP(G74,税率及规则!$A$2:$C$8,3,TRUE))</f>
        <v/>
      </c>
      <c r="J74" s="15" t="str">
        <f t="shared" si="9"/>
        <v/>
      </c>
      <c r="K74" s="15" t="str">
        <f>IF(A74="","",SUMIFS(分期缴税台账!$K$2:$K$501,分期缴税台账!$A$2:$A$501,A74,分期缴税台账!$C$2:$C$501,C74,分期缴税台账!$Q$2:$Q$501,"有效"))</f>
        <v/>
      </c>
      <c r="L74" s="15" t="str">
        <f t="shared" si="10"/>
        <v/>
      </c>
      <c r="M74" s="4" t="str">
        <f>IF(A74="","",COUNTIFS(激励事件明细!$C$2:$C$501,A74,激励事件明细!$H$2:$H$501,C74,激励事件明细!$AA$2:$AA$501,"&gt;0"))</f>
        <v/>
      </c>
      <c r="N74" s="4" t="str">
        <f>IF(OR(A74="",C74=""),"",IFERROR(INDEX(激励事件明细!$A$2:$A$501,MATCH(A74&amp;"|"&amp;C74&amp;"|1",激励事件明细!$AM$2:$AM$501,0)),""))</f>
        <v/>
      </c>
      <c r="O74" s="17" t="str">
        <f>IF(N74="","",IFERROR(INDEX(激励事件明细!$AC$2:$AC$501,MATCH(N74,激励事件明细!$A$2:$A$501,0)),""))</f>
        <v/>
      </c>
      <c r="P74" s="4" t="str">
        <f t="shared" ca="1" si="11"/>
        <v/>
      </c>
    </row>
    <row r="75" spans="1:16" x14ac:dyDescent="0.3">
      <c r="A75" s="9"/>
      <c r="B75" s="4" t="str">
        <f>IF(A75="","",IFERROR(INDEX(激励事件明细!$D$2:$D$501,MATCH(A75,激励事件明细!$C$2:$C$501,0)),""))</f>
        <v/>
      </c>
      <c r="C75" s="9"/>
      <c r="D75" s="15" t="str">
        <f>IF(OR(A75="",C75=""),"",SUMIFS(激励事件明细!$T$2:$T$501,激励事件明细!$C$2:$C$501,A75,激励事件明细!$H$2:$H$501,C75,激励事件明细!$F$2:$F$501,"股票期权"))</f>
        <v/>
      </c>
      <c r="E75" s="15" t="str">
        <f>IF(OR(A75="",C75=""),"",SUMIFS(激励事件明细!$T$2:$T$501,激励事件明细!$C$2:$C$501,A75,激励事件明细!$H$2:$H$501,C75,激励事件明细!$F$2:$F$501,"限制性股票"))</f>
        <v/>
      </c>
      <c r="F75" s="15" t="str">
        <f>IF(OR(A75="",C75=""),"",SUMIFS(激励事件明细!$T$2:$T$501,激励事件明细!$C$2:$C$501,A75,激励事件明细!$H$2:$H$501,C75,激励事件明细!$F$2:$F$501,"其他股权激励"))</f>
        <v/>
      </c>
      <c r="G75" s="15" t="str">
        <f t="shared" si="8"/>
        <v/>
      </c>
      <c r="H75" s="16" t="str">
        <f>IF(G75="","",VLOOKUP(G75,税率及规则!$A$2:$C$8,2,TRUE))</f>
        <v/>
      </c>
      <c r="I75" s="15" t="str">
        <f>IF(G75="","",VLOOKUP(G75,税率及规则!$A$2:$C$8,3,TRUE))</f>
        <v/>
      </c>
      <c r="J75" s="15" t="str">
        <f t="shared" si="9"/>
        <v/>
      </c>
      <c r="K75" s="15" t="str">
        <f>IF(A75="","",SUMIFS(分期缴税台账!$K$2:$K$501,分期缴税台账!$A$2:$A$501,A75,分期缴税台账!$C$2:$C$501,C75,分期缴税台账!$Q$2:$Q$501,"有效"))</f>
        <v/>
      </c>
      <c r="L75" s="15" t="str">
        <f t="shared" si="10"/>
        <v/>
      </c>
      <c r="M75" s="4" t="str">
        <f>IF(A75="","",COUNTIFS(激励事件明细!$C$2:$C$501,A75,激励事件明细!$H$2:$H$501,C75,激励事件明细!$AA$2:$AA$501,"&gt;0"))</f>
        <v/>
      </c>
      <c r="N75" s="4" t="str">
        <f>IF(OR(A75="",C75=""),"",IFERROR(INDEX(激励事件明细!$A$2:$A$501,MATCH(A75&amp;"|"&amp;C75&amp;"|1",激励事件明细!$AM$2:$AM$501,0)),""))</f>
        <v/>
      </c>
      <c r="O75" s="17" t="str">
        <f>IF(N75="","",IFERROR(INDEX(激励事件明细!$AC$2:$AC$501,MATCH(N75,激励事件明细!$A$2:$A$501,0)),""))</f>
        <v/>
      </c>
      <c r="P75" s="4" t="str">
        <f t="shared" ca="1" si="11"/>
        <v/>
      </c>
    </row>
    <row r="76" spans="1:16" x14ac:dyDescent="0.3">
      <c r="A76" s="9"/>
      <c r="B76" s="4" t="str">
        <f>IF(A76="","",IFERROR(INDEX(激励事件明细!$D$2:$D$501,MATCH(A76,激励事件明细!$C$2:$C$501,0)),""))</f>
        <v/>
      </c>
      <c r="C76" s="9"/>
      <c r="D76" s="15" t="str">
        <f>IF(OR(A76="",C76=""),"",SUMIFS(激励事件明细!$T$2:$T$501,激励事件明细!$C$2:$C$501,A76,激励事件明细!$H$2:$H$501,C76,激励事件明细!$F$2:$F$501,"股票期权"))</f>
        <v/>
      </c>
      <c r="E76" s="15" t="str">
        <f>IF(OR(A76="",C76=""),"",SUMIFS(激励事件明细!$T$2:$T$501,激励事件明细!$C$2:$C$501,A76,激励事件明细!$H$2:$H$501,C76,激励事件明细!$F$2:$F$501,"限制性股票"))</f>
        <v/>
      </c>
      <c r="F76" s="15" t="str">
        <f>IF(OR(A76="",C76=""),"",SUMIFS(激励事件明细!$T$2:$T$501,激励事件明细!$C$2:$C$501,A76,激励事件明细!$H$2:$H$501,C76,激励事件明细!$F$2:$F$501,"其他股权激励"))</f>
        <v/>
      </c>
      <c r="G76" s="15" t="str">
        <f t="shared" si="8"/>
        <v/>
      </c>
      <c r="H76" s="16" t="str">
        <f>IF(G76="","",VLOOKUP(G76,税率及规则!$A$2:$C$8,2,TRUE))</f>
        <v/>
      </c>
      <c r="I76" s="15" t="str">
        <f>IF(G76="","",VLOOKUP(G76,税率及规则!$A$2:$C$8,3,TRUE))</f>
        <v/>
      </c>
      <c r="J76" s="15" t="str">
        <f t="shared" si="9"/>
        <v/>
      </c>
      <c r="K76" s="15" t="str">
        <f>IF(A76="","",SUMIFS(分期缴税台账!$K$2:$K$501,分期缴税台账!$A$2:$A$501,A76,分期缴税台账!$C$2:$C$501,C76,分期缴税台账!$Q$2:$Q$501,"有效"))</f>
        <v/>
      </c>
      <c r="L76" s="15" t="str">
        <f t="shared" si="10"/>
        <v/>
      </c>
      <c r="M76" s="4" t="str">
        <f>IF(A76="","",COUNTIFS(激励事件明细!$C$2:$C$501,A76,激励事件明细!$H$2:$H$501,C76,激励事件明细!$AA$2:$AA$501,"&gt;0"))</f>
        <v/>
      </c>
      <c r="N76" s="4" t="str">
        <f>IF(OR(A76="",C76=""),"",IFERROR(INDEX(激励事件明细!$A$2:$A$501,MATCH(A76&amp;"|"&amp;C76&amp;"|1",激励事件明细!$AM$2:$AM$501,0)),""))</f>
        <v/>
      </c>
      <c r="O76" s="17" t="str">
        <f>IF(N76="","",IFERROR(INDEX(激励事件明细!$AC$2:$AC$501,MATCH(N76,激励事件明细!$A$2:$A$501,0)),""))</f>
        <v/>
      </c>
      <c r="P76" s="4" t="str">
        <f t="shared" ca="1" si="11"/>
        <v/>
      </c>
    </row>
    <row r="77" spans="1:16" x14ac:dyDescent="0.3">
      <c r="A77" s="9"/>
      <c r="B77" s="4" t="str">
        <f>IF(A77="","",IFERROR(INDEX(激励事件明细!$D$2:$D$501,MATCH(A77,激励事件明细!$C$2:$C$501,0)),""))</f>
        <v/>
      </c>
      <c r="C77" s="9"/>
      <c r="D77" s="15" t="str">
        <f>IF(OR(A77="",C77=""),"",SUMIFS(激励事件明细!$T$2:$T$501,激励事件明细!$C$2:$C$501,A77,激励事件明细!$H$2:$H$501,C77,激励事件明细!$F$2:$F$501,"股票期权"))</f>
        <v/>
      </c>
      <c r="E77" s="15" t="str">
        <f>IF(OR(A77="",C77=""),"",SUMIFS(激励事件明细!$T$2:$T$501,激励事件明细!$C$2:$C$501,A77,激励事件明细!$H$2:$H$501,C77,激励事件明细!$F$2:$F$501,"限制性股票"))</f>
        <v/>
      </c>
      <c r="F77" s="15" t="str">
        <f>IF(OR(A77="",C77=""),"",SUMIFS(激励事件明细!$T$2:$T$501,激励事件明细!$C$2:$C$501,A77,激励事件明细!$H$2:$H$501,C77,激励事件明细!$F$2:$F$501,"其他股权激励"))</f>
        <v/>
      </c>
      <c r="G77" s="15" t="str">
        <f t="shared" si="8"/>
        <v/>
      </c>
      <c r="H77" s="16" t="str">
        <f>IF(G77="","",VLOOKUP(G77,税率及规则!$A$2:$C$8,2,TRUE))</f>
        <v/>
      </c>
      <c r="I77" s="15" t="str">
        <f>IF(G77="","",VLOOKUP(G77,税率及规则!$A$2:$C$8,3,TRUE))</f>
        <v/>
      </c>
      <c r="J77" s="15" t="str">
        <f t="shared" si="9"/>
        <v/>
      </c>
      <c r="K77" s="15" t="str">
        <f>IF(A77="","",SUMIFS(分期缴税台账!$K$2:$K$501,分期缴税台账!$A$2:$A$501,A77,分期缴税台账!$C$2:$C$501,C77,分期缴税台账!$Q$2:$Q$501,"有效"))</f>
        <v/>
      </c>
      <c r="L77" s="15" t="str">
        <f t="shared" si="10"/>
        <v/>
      </c>
      <c r="M77" s="4" t="str">
        <f>IF(A77="","",COUNTIFS(激励事件明细!$C$2:$C$501,A77,激励事件明细!$H$2:$H$501,C77,激励事件明细!$AA$2:$AA$501,"&gt;0"))</f>
        <v/>
      </c>
      <c r="N77" s="4" t="str">
        <f>IF(OR(A77="",C77=""),"",IFERROR(INDEX(激励事件明细!$A$2:$A$501,MATCH(A77&amp;"|"&amp;C77&amp;"|1",激励事件明细!$AM$2:$AM$501,0)),""))</f>
        <v/>
      </c>
      <c r="O77" s="17" t="str">
        <f>IF(N77="","",IFERROR(INDEX(激励事件明细!$AC$2:$AC$501,MATCH(N77,激励事件明细!$A$2:$A$501,0)),""))</f>
        <v/>
      </c>
      <c r="P77" s="4" t="str">
        <f t="shared" ca="1" si="11"/>
        <v/>
      </c>
    </row>
    <row r="78" spans="1:16" x14ac:dyDescent="0.3">
      <c r="A78" s="9"/>
      <c r="B78" s="4" t="str">
        <f>IF(A78="","",IFERROR(INDEX(激励事件明细!$D$2:$D$501,MATCH(A78,激励事件明细!$C$2:$C$501,0)),""))</f>
        <v/>
      </c>
      <c r="C78" s="9"/>
      <c r="D78" s="15" t="str">
        <f>IF(OR(A78="",C78=""),"",SUMIFS(激励事件明细!$T$2:$T$501,激励事件明细!$C$2:$C$501,A78,激励事件明细!$H$2:$H$501,C78,激励事件明细!$F$2:$F$501,"股票期权"))</f>
        <v/>
      </c>
      <c r="E78" s="15" t="str">
        <f>IF(OR(A78="",C78=""),"",SUMIFS(激励事件明细!$T$2:$T$501,激励事件明细!$C$2:$C$501,A78,激励事件明细!$H$2:$H$501,C78,激励事件明细!$F$2:$F$501,"限制性股票"))</f>
        <v/>
      </c>
      <c r="F78" s="15" t="str">
        <f>IF(OR(A78="",C78=""),"",SUMIFS(激励事件明细!$T$2:$T$501,激励事件明细!$C$2:$C$501,A78,激励事件明细!$H$2:$H$501,C78,激励事件明细!$F$2:$F$501,"其他股权激励"))</f>
        <v/>
      </c>
      <c r="G78" s="15" t="str">
        <f t="shared" si="8"/>
        <v/>
      </c>
      <c r="H78" s="16" t="str">
        <f>IF(G78="","",VLOOKUP(G78,税率及规则!$A$2:$C$8,2,TRUE))</f>
        <v/>
      </c>
      <c r="I78" s="15" t="str">
        <f>IF(G78="","",VLOOKUP(G78,税率及规则!$A$2:$C$8,3,TRUE))</f>
        <v/>
      </c>
      <c r="J78" s="15" t="str">
        <f t="shared" si="9"/>
        <v/>
      </c>
      <c r="K78" s="15" t="str">
        <f>IF(A78="","",SUMIFS(分期缴税台账!$K$2:$K$501,分期缴税台账!$A$2:$A$501,A78,分期缴税台账!$C$2:$C$501,C78,分期缴税台账!$Q$2:$Q$501,"有效"))</f>
        <v/>
      </c>
      <c r="L78" s="15" t="str">
        <f t="shared" si="10"/>
        <v/>
      </c>
      <c r="M78" s="4" t="str">
        <f>IF(A78="","",COUNTIFS(激励事件明细!$C$2:$C$501,A78,激励事件明细!$H$2:$H$501,C78,激励事件明细!$AA$2:$AA$501,"&gt;0"))</f>
        <v/>
      </c>
      <c r="N78" s="4" t="str">
        <f>IF(OR(A78="",C78=""),"",IFERROR(INDEX(激励事件明细!$A$2:$A$501,MATCH(A78&amp;"|"&amp;C78&amp;"|1",激励事件明细!$AM$2:$AM$501,0)),""))</f>
        <v/>
      </c>
      <c r="O78" s="17" t="str">
        <f>IF(N78="","",IFERROR(INDEX(激励事件明细!$AC$2:$AC$501,MATCH(N78,激励事件明细!$A$2:$A$501,0)),""))</f>
        <v/>
      </c>
      <c r="P78" s="4" t="str">
        <f t="shared" ca="1" si="11"/>
        <v/>
      </c>
    </row>
    <row r="79" spans="1:16" x14ac:dyDescent="0.3">
      <c r="A79" s="9"/>
      <c r="B79" s="4" t="str">
        <f>IF(A79="","",IFERROR(INDEX(激励事件明细!$D$2:$D$501,MATCH(A79,激励事件明细!$C$2:$C$501,0)),""))</f>
        <v/>
      </c>
      <c r="C79" s="9"/>
      <c r="D79" s="15" t="str">
        <f>IF(OR(A79="",C79=""),"",SUMIFS(激励事件明细!$T$2:$T$501,激励事件明细!$C$2:$C$501,A79,激励事件明细!$H$2:$H$501,C79,激励事件明细!$F$2:$F$501,"股票期权"))</f>
        <v/>
      </c>
      <c r="E79" s="15" t="str">
        <f>IF(OR(A79="",C79=""),"",SUMIFS(激励事件明细!$T$2:$T$501,激励事件明细!$C$2:$C$501,A79,激励事件明细!$H$2:$H$501,C79,激励事件明细!$F$2:$F$501,"限制性股票"))</f>
        <v/>
      </c>
      <c r="F79" s="15" t="str">
        <f>IF(OR(A79="",C79=""),"",SUMIFS(激励事件明细!$T$2:$T$501,激励事件明细!$C$2:$C$501,A79,激励事件明细!$H$2:$H$501,C79,激励事件明细!$F$2:$F$501,"其他股权激励"))</f>
        <v/>
      </c>
      <c r="G79" s="15" t="str">
        <f t="shared" si="8"/>
        <v/>
      </c>
      <c r="H79" s="16" t="str">
        <f>IF(G79="","",VLOOKUP(G79,税率及规则!$A$2:$C$8,2,TRUE))</f>
        <v/>
      </c>
      <c r="I79" s="15" t="str">
        <f>IF(G79="","",VLOOKUP(G79,税率及规则!$A$2:$C$8,3,TRUE))</f>
        <v/>
      </c>
      <c r="J79" s="15" t="str">
        <f t="shared" si="9"/>
        <v/>
      </c>
      <c r="K79" s="15" t="str">
        <f>IF(A79="","",SUMIFS(分期缴税台账!$K$2:$K$501,分期缴税台账!$A$2:$A$501,A79,分期缴税台账!$C$2:$C$501,C79,分期缴税台账!$Q$2:$Q$501,"有效"))</f>
        <v/>
      </c>
      <c r="L79" s="15" t="str">
        <f t="shared" si="10"/>
        <v/>
      </c>
      <c r="M79" s="4" t="str">
        <f>IF(A79="","",COUNTIFS(激励事件明细!$C$2:$C$501,A79,激励事件明细!$H$2:$H$501,C79,激励事件明细!$AA$2:$AA$501,"&gt;0"))</f>
        <v/>
      </c>
      <c r="N79" s="4" t="str">
        <f>IF(OR(A79="",C79=""),"",IFERROR(INDEX(激励事件明细!$A$2:$A$501,MATCH(A79&amp;"|"&amp;C79&amp;"|1",激励事件明细!$AM$2:$AM$501,0)),""))</f>
        <v/>
      </c>
      <c r="O79" s="17" t="str">
        <f>IF(N79="","",IFERROR(INDEX(激励事件明细!$AC$2:$AC$501,MATCH(N79,激励事件明细!$A$2:$A$501,0)),""))</f>
        <v/>
      </c>
      <c r="P79" s="4" t="str">
        <f t="shared" ca="1" si="11"/>
        <v/>
      </c>
    </row>
    <row r="80" spans="1:16" x14ac:dyDescent="0.3">
      <c r="A80" s="9"/>
      <c r="B80" s="4" t="str">
        <f>IF(A80="","",IFERROR(INDEX(激励事件明细!$D$2:$D$501,MATCH(A80,激励事件明细!$C$2:$C$501,0)),""))</f>
        <v/>
      </c>
      <c r="C80" s="9"/>
      <c r="D80" s="15" t="str">
        <f>IF(OR(A80="",C80=""),"",SUMIFS(激励事件明细!$T$2:$T$501,激励事件明细!$C$2:$C$501,A80,激励事件明细!$H$2:$H$501,C80,激励事件明细!$F$2:$F$501,"股票期权"))</f>
        <v/>
      </c>
      <c r="E80" s="15" t="str">
        <f>IF(OR(A80="",C80=""),"",SUMIFS(激励事件明细!$T$2:$T$501,激励事件明细!$C$2:$C$501,A80,激励事件明细!$H$2:$H$501,C80,激励事件明细!$F$2:$F$501,"限制性股票"))</f>
        <v/>
      </c>
      <c r="F80" s="15" t="str">
        <f>IF(OR(A80="",C80=""),"",SUMIFS(激励事件明细!$T$2:$T$501,激励事件明细!$C$2:$C$501,A80,激励事件明细!$H$2:$H$501,C80,激励事件明细!$F$2:$F$501,"其他股权激励"))</f>
        <v/>
      </c>
      <c r="G80" s="15" t="str">
        <f t="shared" si="8"/>
        <v/>
      </c>
      <c r="H80" s="16" t="str">
        <f>IF(G80="","",VLOOKUP(G80,税率及规则!$A$2:$C$8,2,TRUE))</f>
        <v/>
      </c>
      <c r="I80" s="15" t="str">
        <f>IF(G80="","",VLOOKUP(G80,税率及规则!$A$2:$C$8,3,TRUE))</f>
        <v/>
      </c>
      <c r="J80" s="15" t="str">
        <f t="shared" si="9"/>
        <v/>
      </c>
      <c r="K80" s="15" t="str">
        <f>IF(A80="","",SUMIFS(分期缴税台账!$K$2:$K$501,分期缴税台账!$A$2:$A$501,A80,分期缴税台账!$C$2:$C$501,C80,分期缴税台账!$Q$2:$Q$501,"有效"))</f>
        <v/>
      </c>
      <c r="L80" s="15" t="str">
        <f t="shared" si="10"/>
        <v/>
      </c>
      <c r="M80" s="4" t="str">
        <f>IF(A80="","",COUNTIFS(激励事件明细!$C$2:$C$501,A80,激励事件明细!$H$2:$H$501,C80,激励事件明细!$AA$2:$AA$501,"&gt;0"))</f>
        <v/>
      </c>
      <c r="N80" s="4" t="str">
        <f>IF(OR(A80="",C80=""),"",IFERROR(INDEX(激励事件明细!$A$2:$A$501,MATCH(A80&amp;"|"&amp;C80&amp;"|1",激励事件明细!$AM$2:$AM$501,0)),""))</f>
        <v/>
      </c>
      <c r="O80" s="17" t="str">
        <f>IF(N80="","",IFERROR(INDEX(激励事件明细!$AC$2:$AC$501,MATCH(N80,激励事件明细!$A$2:$A$501,0)),""))</f>
        <v/>
      </c>
      <c r="P80" s="4" t="str">
        <f t="shared" ca="1" si="11"/>
        <v/>
      </c>
    </row>
    <row r="81" spans="1:16" x14ac:dyDescent="0.3">
      <c r="A81" s="9"/>
      <c r="B81" s="4" t="str">
        <f>IF(A81="","",IFERROR(INDEX(激励事件明细!$D$2:$D$501,MATCH(A81,激励事件明细!$C$2:$C$501,0)),""))</f>
        <v/>
      </c>
      <c r="C81" s="9"/>
      <c r="D81" s="15" t="str">
        <f>IF(OR(A81="",C81=""),"",SUMIFS(激励事件明细!$T$2:$T$501,激励事件明细!$C$2:$C$501,A81,激励事件明细!$H$2:$H$501,C81,激励事件明细!$F$2:$F$501,"股票期权"))</f>
        <v/>
      </c>
      <c r="E81" s="15" t="str">
        <f>IF(OR(A81="",C81=""),"",SUMIFS(激励事件明细!$T$2:$T$501,激励事件明细!$C$2:$C$501,A81,激励事件明细!$H$2:$H$501,C81,激励事件明细!$F$2:$F$501,"限制性股票"))</f>
        <v/>
      </c>
      <c r="F81" s="15" t="str">
        <f>IF(OR(A81="",C81=""),"",SUMIFS(激励事件明细!$T$2:$T$501,激励事件明细!$C$2:$C$501,A81,激励事件明细!$H$2:$H$501,C81,激励事件明细!$F$2:$F$501,"其他股权激励"))</f>
        <v/>
      </c>
      <c r="G81" s="15" t="str">
        <f t="shared" si="8"/>
        <v/>
      </c>
      <c r="H81" s="16" t="str">
        <f>IF(G81="","",VLOOKUP(G81,税率及规则!$A$2:$C$8,2,TRUE))</f>
        <v/>
      </c>
      <c r="I81" s="15" t="str">
        <f>IF(G81="","",VLOOKUP(G81,税率及规则!$A$2:$C$8,3,TRUE))</f>
        <v/>
      </c>
      <c r="J81" s="15" t="str">
        <f t="shared" si="9"/>
        <v/>
      </c>
      <c r="K81" s="15" t="str">
        <f>IF(A81="","",SUMIFS(分期缴税台账!$K$2:$K$501,分期缴税台账!$A$2:$A$501,A81,分期缴税台账!$C$2:$C$501,C81,分期缴税台账!$Q$2:$Q$501,"有效"))</f>
        <v/>
      </c>
      <c r="L81" s="15" t="str">
        <f t="shared" si="10"/>
        <v/>
      </c>
      <c r="M81" s="4" t="str">
        <f>IF(A81="","",COUNTIFS(激励事件明细!$C$2:$C$501,A81,激励事件明细!$H$2:$H$501,C81,激励事件明细!$AA$2:$AA$501,"&gt;0"))</f>
        <v/>
      </c>
      <c r="N81" s="4" t="str">
        <f>IF(OR(A81="",C81=""),"",IFERROR(INDEX(激励事件明细!$A$2:$A$501,MATCH(A81&amp;"|"&amp;C81&amp;"|1",激励事件明细!$AM$2:$AM$501,0)),""))</f>
        <v/>
      </c>
      <c r="O81" s="17" t="str">
        <f>IF(N81="","",IFERROR(INDEX(激励事件明细!$AC$2:$AC$501,MATCH(N81,激励事件明细!$A$2:$A$501,0)),""))</f>
        <v/>
      </c>
      <c r="P81" s="4" t="str">
        <f t="shared" ca="1" si="11"/>
        <v/>
      </c>
    </row>
    <row r="82" spans="1:16" x14ac:dyDescent="0.3">
      <c r="A82" s="9"/>
      <c r="B82" s="4" t="str">
        <f>IF(A82="","",IFERROR(INDEX(激励事件明细!$D$2:$D$501,MATCH(A82,激励事件明细!$C$2:$C$501,0)),""))</f>
        <v/>
      </c>
      <c r="C82" s="9"/>
      <c r="D82" s="15" t="str">
        <f>IF(OR(A82="",C82=""),"",SUMIFS(激励事件明细!$T$2:$T$501,激励事件明细!$C$2:$C$501,A82,激励事件明细!$H$2:$H$501,C82,激励事件明细!$F$2:$F$501,"股票期权"))</f>
        <v/>
      </c>
      <c r="E82" s="15" t="str">
        <f>IF(OR(A82="",C82=""),"",SUMIFS(激励事件明细!$T$2:$T$501,激励事件明细!$C$2:$C$501,A82,激励事件明细!$H$2:$H$501,C82,激励事件明细!$F$2:$F$501,"限制性股票"))</f>
        <v/>
      </c>
      <c r="F82" s="15" t="str">
        <f>IF(OR(A82="",C82=""),"",SUMIFS(激励事件明细!$T$2:$T$501,激励事件明细!$C$2:$C$501,A82,激励事件明细!$H$2:$H$501,C82,激励事件明细!$F$2:$F$501,"其他股权激励"))</f>
        <v/>
      </c>
      <c r="G82" s="15" t="str">
        <f t="shared" si="8"/>
        <v/>
      </c>
      <c r="H82" s="16" t="str">
        <f>IF(G82="","",VLOOKUP(G82,税率及规则!$A$2:$C$8,2,TRUE))</f>
        <v/>
      </c>
      <c r="I82" s="15" t="str">
        <f>IF(G82="","",VLOOKUP(G82,税率及规则!$A$2:$C$8,3,TRUE))</f>
        <v/>
      </c>
      <c r="J82" s="15" t="str">
        <f t="shared" si="9"/>
        <v/>
      </c>
      <c r="K82" s="15" t="str">
        <f>IF(A82="","",SUMIFS(分期缴税台账!$K$2:$K$501,分期缴税台账!$A$2:$A$501,A82,分期缴税台账!$C$2:$C$501,C82,分期缴税台账!$Q$2:$Q$501,"有效"))</f>
        <v/>
      </c>
      <c r="L82" s="15" t="str">
        <f t="shared" si="10"/>
        <v/>
      </c>
      <c r="M82" s="4" t="str">
        <f>IF(A82="","",COUNTIFS(激励事件明细!$C$2:$C$501,A82,激励事件明细!$H$2:$H$501,C82,激励事件明细!$AA$2:$AA$501,"&gt;0"))</f>
        <v/>
      </c>
      <c r="N82" s="4" t="str">
        <f>IF(OR(A82="",C82=""),"",IFERROR(INDEX(激励事件明细!$A$2:$A$501,MATCH(A82&amp;"|"&amp;C82&amp;"|1",激励事件明细!$AM$2:$AM$501,0)),""))</f>
        <v/>
      </c>
      <c r="O82" s="17" t="str">
        <f>IF(N82="","",IFERROR(INDEX(激励事件明细!$AC$2:$AC$501,MATCH(N82,激励事件明细!$A$2:$A$501,0)),""))</f>
        <v/>
      </c>
      <c r="P82" s="4" t="str">
        <f t="shared" ca="1" si="11"/>
        <v/>
      </c>
    </row>
    <row r="83" spans="1:16" x14ac:dyDescent="0.3">
      <c r="A83" s="9"/>
      <c r="B83" s="4" t="str">
        <f>IF(A83="","",IFERROR(INDEX(激励事件明细!$D$2:$D$501,MATCH(A83,激励事件明细!$C$2:$C$501,0)),""))</f>
        <v/>
      </c>
      <c r="C83" s="9"/>
      <c r="D83" s="15" t="str">
        <f>IF(OR(A83="",C83=""),"",SUMIFS(激励事件明细!$T$2:$T$501,激励事件明细!$C$2:$C$501,A83,激励事件明细!$H$2:$H$501,C83,激励事件明细!$F$2:$F$501,"股票期权"))</f>
        <v/>
      </c>
      <c r="E83" s="15" t="str">
        <f>IF(OR(A83="",C83=""),"",SUMIFS(激励事件明细!$T$2:$T$501,激励事件明细!$C$2:$C$501,A83,激励事件明细!$H$2:$H$501,C83,激励事件明细!$F$2:$F$501,"限制性股票"))</f>
        <v/>
      </c>
      <c r="F83" s="15" t="str">
        <f>IF(OR(A83="",C83=""),"",SUMIFS(激励事件明细!$T$2:$T$501,激励事件明细!$C$2:$C$501,A83,激励事件明细!$H$2:$H$501,C83,激励事件明细!$F$2:$F$501,"其他股权激励"))</f>
        <v/>
      </c>
      <c r="G83" s="15" t="str">
        <f t="shared" si="8"/>
        <v/>
      </c>
      <c r="H83" s="16" t="str">
        <f>IF(G83="","",VLOOKUP(G83,税率及规则!$A$2:$C$8,2,TRUE))</f>
        <v/>
      </c>
      <c r="I83" s="15" t="str">
        <f>IF(G83="","",VLOOKUP(G83,税率及规则!$A$2:$C$8,3,TRUE))</f>
        <v/>
      </c>
      <c r="J83" s="15" t="str">
        <f t="shared" si="9"/>
        <v/>
      </c>
      <c r="K83" s="15" t="str">
        <f>IF(A83="","",SUMIFS(分期缴税台账!$K$2:$K$501,分期缴税台账!$A$2:$A$501,A83,分期缴税台账!$C$2:$C$501,C83,分期缴税台账!$Q$2:$Q$501,"有效"))</f>
        <v/>
      </c>
      <c r="L83" s="15" t="str">
        <f t="shared" si="10"/>
        <v/>
      </c>
      <c r="M83" s="4" t="str">
        <f>IF(A83="","",COUNTIFS(激励事件明细!$C$2:$C$501,A83,激励事件明细!$H$2:$H$501,C83,激励事件明细!$AA$2:$AA$501,"&gt;0"))</f>
        <v/>
      </c>
      <c r="N83" s="4" t="str">
        <f>IF(OR(A83="",C83=""),"",IFERROR(INDEX(激励事件明细!$A$2:$A$501,MATCH(A83&amp;"|"&amp;C83&amp;"|1",激励事件明细!$AM$2:$AM$501,0)),""))</f>
        <v/>
      </c>
      <c r="O83" s="17" t="str">
        <f>IF(N83="","",IFERROR(INDEX(激励事件明细!$AC$2:$AC$501,MATCH(N83,激励事件明细!$A$2:$A$501,0)),""))</f>
        <v/>
      </c>
      <c r="P83" s="4" t="str">
        <f t="shared" ca="1" si="11"/>
        <v/>
      </c>
    </row>
    <row r="84" spans="1:16" x14ac:dyDescent="0.3">
      <c r="A84" s="9"/>
      <c r="B84" s="4" t="str">
        <f>IF(A84="","",IFERROR(INDEX(激励事件明细!$D$2:$D$501,MATCH(A84,激励事件明细!$C$2:$C$501,0)),""))</f>
        <v/>
      </c>
      <c r="C84" s="9"/>
      <c r="D84" s="15" t="str">
        <f>IF(OR(A84="",C84=""),"",SUMIFS(激励事件明细!$T$2:$T$501,激励事件明细!$C$2:$C$501,A84,激励事件明细!$H$2:$H$501,C84,激励事件明细!$F$2:$F$501,"股票期权"))</f>
        <v/>
      </c>
      <c r="E84" s="15" t="str">
        <f>IF(OR(A84="",C84=""),"",SUMIFS(激励事件明细!$T$2:$T$501,激励事件明细!$C$2:$C$501,A84,激励事件明细!$H$2:$H$501,C84,激励事件明细!$F$2:$F$501,"限制性股票"))</f>
        <v/>
      </c>
      <c r="F84" s="15" t="str">
        <f>IF(OR(A84="",C84=""),"",SUMIFS(激励事件明细!$T$2:$T$501,激励事件明细!$C$2:$C$501,A84,激励事件明细!$H$2:$H$501,C84,激励事件明细!$F$2:$F$501,"其他股权激励"))</f>
        <v/>
      </c>
      <c r="G84" s="15" t="str">
        <f t="shared" si="8"/>
        <v/>
      </c>
      <c r="H84" s="16" t="str">
        <f>IF(G84="","",VLOOKUP(G84,税率及规则!$A$2:$C$8,2,TRUE))</f>
        <v/>
      </c>
      <c r="I84" s="15" t="str">
        <f>IF(G84="","",VLOOKUP(G84,税率及规则!$A$2:$C$8,3,TRUE))</f>
        <v/>
      </c>
      <c r="J84" s="15" t="str">
        <f t="shared" si="9"/>
        <v/>
      </c>
      <c r="K84" s="15" t="str">
        <f>IF(A84="","",SUMIFS(分期缴税台账!$K$2:$K$501,分期缴税台账!$A$2:$A$501,A84,分期缴税台账!$C$2:$C$501,C84,分期缴税台账!$Q$2:$Q$501,"有效"))</f>
        <v/>
      </c>
      <c r="L84" s="15" t="str">
        <f t="shared" si="10"/>
        <v/>
      </c>
      <c r="M84" s="4" t="str">
        <f>IF(A84="","",COUNTIFS(激励事件明细!$C$2:$C$501,A84,激励事件明细!$H$2:$H$501,C84,激励事件明细!$AA$2:$AA$501,"&gt;0"))</f>
        <v/>
      </c>
      <c r="N84" s="4" t="str">
        <f>IF(OR(A84="",C84=""),"",IFERROR(INDEX(激励事件明细!$A$2:$A$501,MATCH(A84&amp;"|"&amp;C84&amp;"|1",激励事件明细!$AM$2:$AM$501,0)),""))</f>
        <v/>
      </c>
      <c r="O84" s="17" t="str">
        <f>IF(N84="","",IFERROR(INDEX(激励事件明细!$AC$2:$AC$501,MATCH(N84,激励事件明细!$A$2:$A$501,0)),""))</f>
        <v/>
      </c>
      <c r="P84" s="4" t="str">
        <f t="shared" ca="1" si="11"/>
        <v/>
      </c>
    </row>
    <row r="85" spans="1:16" x14ac:dyDescent="0.3">
      <c r="A85" s="9"/>
      <c r="B85" s="4" t="str">
        <f>IF(A85="","",IFERROR(INDEX(激励事件明细!$D$2:$D$501,MATCH(A85,激励事件明细!$C$2:$C$501,0)),""))</f>
        <v/>
      </c>
      <c r="C85" s="9"/>
      <c r="D85" s="15" t="str">
        <f>IF(OR(A85="",C85=""),"",SUMIFS(激励事件明细!$T$2:$T$501,激励事件明细!$C$2:$C$501,A85,激励事件明细!$H$2:$H$501,C85,激励事件明细!$F$2:$F$501,"股票期权"))</f>
        <v/>
      </c>
      <c r="E85" s="15" t="str">
        <f>IF(OR(A85="",C85=""),"",SUMIFS(激励事件明细!$T$2:$T$501,激励事件明细!$C$2:$C$501,A85,激励事件明细!$H$2:$H$501,C85,激励事件明细!$F$2:$F$501,"限制性股票"))</f>
        <v/>
      </c>
      <c r="F85" s="15" t="str">
        <f>IF(OR(A85="",C85=""),"",SUMIFS(激励事件明细!$T$2:$T$501,激励事件明细!$C$2:$C$501,A85,激励事件明细!$H$2:$H$501,C85,激励事件明细!$F$2:$F$501,"其他股权激励"))</f>
        <v/>
      </c>
      <c r="G85" s="15" t="str">
        <f t="shared" si="8"/>
        <v/>
      </c>
      <c r="H85" s="16" t="str">
        <f>IF(G85="","",VLOOKUP(G85,税率及规则!$A$2:$C$8,2,TRUE))</f>
        <v/>
      </c>
      <c r="I85" s="15" t="str">
        <f>IF(G85="","",VLOOKUP(G85,税率及规则!$A$2:$C$8,3,TRUE))</f>
        <v/>
      </c>
      <c r="J85" s="15" t="str">
        <f t="shared" si="9"/>
        <v/>
      </c>
      <c r="K85" s="15" t="str">
        <f>IF(A85="","",SUMIFS(分期缴税台账!$K$2:$K$501,分期缴税台账!$A$2:$A$501,A85,分期缴税台账!$C$2:$C$501,C85,分期缴税台账!$Q$2:$Q$501,"有效"))</f>
        <v/>
      </c>
      <c r="L85" s="15" t="str">
        <f t="shared" si="10"/>
        <v/>
      </c>
      <c r="M85" s="4" t="str">
        <f>IF(A85="","",COUNTIFS(激励事件明细!$C$2:$C$501,A85,激励事件明细!$H$2:$H$501,C85,激励事件明细!$AA$2:$AA$501,"&gt;0"))</f>
        <v/>
      </c>
      <c r="N85" s="4" t="str">
        <f>IF(OR(A85="",C85=""),"",IFERROR(INDEX(激励事件明细!$A$2:$A$501,MATCH(A85&amp;"|"&amp;C85&amp;"|1",激励事件明细!$AM$2:$AM$501,0)),""))</f>
        <v/>
      </c>
      <c r="O85" s="17" t="str">
        <f>IF(N85="","",IFERROR(INDEX(激励事件明细!$AC$2:$AC$501,MATCH(N85,激励事件明细!$A$2:$A$501,0)),""))</f>
        <v/>
      </c>
      <c r="P85" s="4" t="str">
        <f t="shared" ca="1" si="11"/>
        <v/>
      </c>
    </row>
    <row r="86" spans="1:16" x14ac:dyDescent="0.3">
      <c r="A86" s="9"/>
      <c r="B86" s="4" t="str">
        <f>IF(A86="","",IFERROR(INDEX(激励事件明细!$D$2:$D$501,MATCH(A86,激励事件明细!$C$2:$C$501,0)),""))</f>
        <v/>
      </c>
      <c r="C86" s="9"/>
      <c r="D86" s="15" t="str">
        <f>IF(OR(A86="",C86=""),"",SUMIFS(激励事件明细!$T$2:$T$501,激励事件明细!$C$2:$C$501,A86,激励事件明细!$H$2:$H$501,C86,激励事件明细!$F$2:$F$501,"股票期权"))</f>
        <v/>
      </c>
      <c r="E86" s="15" t="str">
        <f>IF(OR(A86="",C86=""),"",SUMIFS(激励事件明细!$T$2:$T$501,激励事件明细!$C$2:$C$501,A86,激励事件明细!$H$2:$H$501,C86,激励事件明细!$F$2:$F$501,"限制性股票"))</f>
        <v/>
      </c>
      <c r="F86" s="15" t="str">
        <f>IF(OR(A86="",C86=""),"",SUMIFS(激励事件明细!$T$2:$T$501,激励事件明细!$C$2:$C$501,A86,激励事件明细!$H$2:$H$501,C86,激励事件明细!$F$2:$F$501,"其他股权激励"))</f>
        <v/>
      </c>
      <c r="G86" s="15" t="str">
        <f t="shared" si="8"/>
        <v/>
      </c>
      <c r="H86" s="16" t="str">
        <f>IF(G86="","",VLOOKUP(G86,税率及规则!$A$2:$C$8,2,TRUE))</f>
        <v/>
      </c>
      <c r="I86" s="15" t="str">
        <f>IF(G86="","",VLOOKUP(G86,税率及规则!$A$2:$C$8,3,TRUE))</f>
        <v/>
      </c>
      <c r="J86" s="15" t="str">
        <f t="shared" si="9"/>
        <v/>
      </c>
      <c r="K86" s="15" t="str">
        <f>IF(A86="","",SUMIFS(分期缴税台账!$K$2:$K$501,分期缴税台账!$A$2:$A$501,A86,分期缴税台账!$C$2:$C$501,C86,分期缴税台账!$Q$2:$Q$501,"有效"))</f>
        <v/>
      </c>
      <c r="L86" s="15" t="str">
        <f t="shared" si="10"/>
        <v/>
      </c>
      <c r="M86" s="4" t="str">
        <f>IF(A86="","",COUNTIFS(激励事件明细!$C$2:$C$501,A86,激励事件明细!$H$2:$H$501,C86,激励事件明细!$AA$2:$AA$501,"&gt;0"))</f>
        <v/>
      </c>
      <c r="N86" s="4" t="str">
        <f>IF(OR(A86="",C86=""),"",IFERROR(INDEX(激励事件明细!$A$2:$A$501,MATCH(A86&amp;"|"&amp;C86&amp;"|1",激励事件明细!$AM$2:$AM$501,0)),""))</f>
        <v/>
      </c>
      <c r="O86" s="17" t="str">
        <f>IF(N86="","",IFERROR(INDEX(激励事件明细!$AC$2:$AC$501,MATCH(N86,激励事件明细!$A$2:$A$501,0)),""))</f>
        <v/>
      </c>
      <c r="P86" s="4" t="str">
        <f t="shared" ca="1" si="11"/>
        <v/>
      </c>
    </row>
    <row r="87" spans="1:16" x14ac:dyDescent="0.3">
      <c r="A87" s="9"/>
      <c r="B87" s="4" t="str">
        <f>IF(A87="","",IFERROR(INDEX(激励事件明细!$D$2:$D$501,MATCH(A87,激励事件明细!$C$2:$C$501,0)),""))</f>
        <v/>
      </c>
      <c r="C87" s="9"/>
      <c r="D87" s="15" t="str">
        <f>IF(OR(A87="",C87=""),"",SUMIFS(激励事件明细!$T$2:$T$501,激励事件明细!$C$2:$C$501,A87,激励事件明细!$H$2:$H$501,C87,激励事件明细!$F$2:$F$501,"股票期权"))</f>
        <v/>
      </c>
      <c r="E87" s="15" t="str">
        <f>IF(OR(A87="",C87=""),"",SUMIFS(激励事件明细!$T$2:$T$501,激励事件明细!$C$2:$C$501,A87,激励事件明细!$H$2:$H$501,C87,激励事件明细!$F$2:$F$501,"限制性股票"))</f>
        <v/>
      </c>
      <c r="F87" s="15" t="str">
        <f>IF(OR(A87="",C87=""),"",SUMIFS(激励事件明细!$T$2:$T$501,激励事件明细!$C$2:$C$501,A87,激励事件明细!$H$2:$H$501,C87,激励事件明细!$F$2:$F$501,"其他股权激励"))</f>
        <v/>
      </c>
      <c r="G87" s="15" t="str">
        <f t="shared" si="8"/>
        <v/>
      </c>
      <c r="H87" s="16" t="str">
        <f>IF(G87="","",VLOOKUP(G87,税率及规则!$A$2:$C$8,2,TRUE))</f>
        <v/>
      </c>
      <c r="I87" s="15" t="str">
        <f>IF(G87="","",VLOOKUP(G87,税率及规则!$A$2:$C$8,3,TRUE))</f>
        <v/>
      </c>
      <c r="J87" s="15" t="str">
        <f t="shared" si="9"/>
        <v/>
      </c>
      <c r="K87" s="15" t="str">
        <f>IF(A87="","",SUMIFS(分期缴税台账!$K$2:$K$501,分期缴税台账!$A$2:$A$501,A87,分期缴税台账!$C$2:$C$501,C87,分期缴税台账!$Q$2:$Q$501,"有效"))</f>
        <v/>
      </c>
      <c r="L87" s="15" t="str">
        <f t="shared" si="10"/>
        <v/>
      </c>
      <c r="M87" s="4" t="str">
        <f>IF(A87="","",COUNTIFS(激励事件明细!$C$2:$C$501,A87,激励事件明细!$H$2:$H$501,C87,激励事件明细!$AA$2:$AA$501,"&gt;0"))</f>
        <v/>
      </c>
      <c r="N87" s="4" t="str">
        <f>IF(OR(A87="",C87=""),"",IFERROR(INDEX(激励事件明细!$A$2:$A$501,MATCH(A87&amp;"|"&amp;C87&amp;"|1",激励事件明细!$AM$2:$AM$501,0)),""))</f>
        <v/>
      </c>
      <c r="O87" s="17" t="str">
        <f>IF(N87="","",IFERROR(INDEX(激励事件明细!$AC$2:$AC$501,MATCH(N87,激励事件明细!$A$2:$A$501,0)),""))</f>
        <v/>
      </c>
      <c r="P87" s="4" t="str">
        <f t="shared" ca="1" si="11"/>
        <v/>
      </c>
    </row>
    <row r="88" spans="1:16" x14ac:dyDescent="0.3">
      <c r="A88" s="9"/>
      <c r="B88" s="4" t="str">
        <f>IF(A88="","",IFERROR(INDEX(激励事件明细!$D$2:$D$501,MATCH(A88,激励事件明细!$C$2:$C$501,0)),""))</f>
        <v/>
      </c>
      <c r="C88" s="9"/>
      <c r="D88" s="15" t="str">
        <f>IF(OR(A88="",C88=""),"",SUMIFS(激励事件明细!$T$2:$T$501,激励事件明细!$C$2:$C$501,A88,激励事件明细!$H$2:$H$501,C88,激励事件明细!$F$2:$F$501,"股票期权"))</f>
        <v/>
      </c>
      <c r="E88" s="15" t="str">
        <f>IF(OR(A88="",C88=""),"",SUMIFS(激励事件明细!$T$2:$T$501,激励事件明细!$C$2:$C$501,A88,激励事件明细!$H$2:$H$501,C88,激励事件明细!$F$2:$F$501,"限制性股票"))</f>
        <v/>
      </c>
      <c r="F88" s="15" t="str">
        <f>IF(OR(A88="",C88=""),"",SUMIFS(激励事件明细!$T$2:$T$501,激励事件明细!$C$2:$C$501,A88,激励事件明细!$H$2:$H$501,C88,激励事件明细!$F$2:$F$501,"其他股权激励"))</f>
        <v/>
      </c>
      <c r="G88" s="15" t="str">
        <f t="shared" si="8"/>
        <v/>
      </c>
      <c r="H88" s="16" t="str">
        <f>IF(G88="","",VLOOKUP(G88,税率及规则!$A$2:$C$8,2,TRUE))</f>
        <v/>
      </c>
      <c r="I88" s="15" t="str">
        <f>IF(G88="","",VLOOKUP(G88,税率及规则!$A$2:$C$8,3,TRUE))</f>
        <v/>
      </c>
      <c r="J88" s="15" t="str">
        <f t="shared" si="9"/>
        <v/>
      </c>
      <c r="K88" s="15" t="str">
        <f>IF(A88="","",SUMIFS(分期缴税台账!$K$2:$K$501,分期缴税台账!$A$2:$A$501,A88,分期缴税台账!$C$2:$C$501,C88,分期缴税台账!$Q$2:$Q$501,"有效"))</f>
        <v/>
      </c>
      <c r="L88" s="15" t="str">
        <f t="shared" si="10"/>
        <v/>
      </c>
      <c r="M88" s="4" t="str">
        <f>IF(A88="","",COUNTIFS(激励事件明细!$C$2:$C$501,A88,激励事件明细!$H$2:$H$501,C88,激励事件明细!$AA$2:$AA$501,"&gt;0"))</f>
        <v/>
      </c>
      <c r="N88" s="4" t="str">
        <f>IF(OR(A88="",C88=""),"",IFERROR(INDEX(激励事件明细!$A$2:$A$501,MATCH(A88&amp;"|"&amp;C88&amp;"|1",激励事件明细!$AM$2:$AM$501,0)),""))</f>
        <v/>
      </c>
      <c r="O88" s="17" t="str">
        <f>IF(N88="","",IFERROR(INDEX(激励事件明细!$AC$2:$AC$501,MATCH(N88,激励事件明细!$A$2:$A$501,0)),""))</f>
        <v/>
      </c>
      <c r="P88" s="4" t="str">
        <f t="shared" ca="1" si="11"/>
        <v/>
      </c>
    </row>
    <row r="89" spans="1:16" x14ac:dyDescent="0.3">
      <c r="A89" s="9"/>
      <c r="B89" s="4" t="str">
        <f>IF(A89="","",IFERROR(INDEX(激励事件明细!$D$2:$D$501,MATCH(A89,激励事件明细!$C$2:$C$501,0)),""))</f>
        <v/>
      </c>
      <c r="C89" s="9"/>
      <c r="D89" s="15" t="str">
        <f>IF(OR(A89="",C89=""),"",SUMIFS(激励事件明细!$T$2:$T$501,激励事件明细!$C$2:$C$501,A89,激励事件明细!$H$2:$H$501,C89,激励事件明细!$F$2:$F$501,"股票期权"))</f>
        <v/>
      </c>
      <c r="E89" s="15" t="str">
        <f>IF(OR(A89="",C89=""),"",SUMIFS(激励事件明细!$T$2:$T$501,激励事件明细!$C$2:$C$501,A89,激励事件明细!$H$2:$H$501,C89,激励事件明细!$F$2:$F$501,"限制性股票"))</f>
        <v/>
      </c>
      <c r="F89" s="15" t="str">
        <f>IF(OR(A89="",C89=""),"",SUMIFS(激励事件明细!$T$2:$T$501,激励事件明细!$C$2:$C$501,A89,激励事件明细!$H$2:$H$501,C89,激励事件明细!$F$2:$F$501,"其他股权激励"))</f>
        <v/>
      </c>
      <c r="G89" s="15" t="str">
        <f t="shared" si="8"/>
        <v/>
      </c>
      <c r="H89" s="16" t="str">
        <f>IF(G89="","",VLOOKUP(G89,税率及规则!$A$2:$C$8,2,TRUE))</f>
        <v/>
      </c>
      <c r="I89" s="15" t="str">
        <f>IF(G89="","",VLOOKUP(G89,税率及规则!$A$2:$C$8,3,TRUE))</f>
        <v/>
      </c>
      <c r="J89" s="15" t="str">
        <f t="shared" si="9"/>
        <v/>
      </c>
      <c r="K89" s="15" t="str">
        <f>IF(A89="","",SUMIFS(分期缴税台账!$K$2:$K$501,分期缴税台账!$A$2:$A$501,A89,分期缴税台账!$C$2:$C$501,C89,分期缴税台账!$Q$2:$Q$501,"有效"))</f>
        <v/>
      </c>
      <c r="L89" s="15" t="str">
        <f t="shared" si="10"/>
        <v/>
      </c>
      <c r="M89" s="4" t="str">
        <f>IF(A89="","",COUNTIFS(激励事件明细!$C$2:$C$501,A89,激励事件明细!$H$2:$H$501,C89,激励事件明细!$AA$2:$AA$501,"&gt;0"))</f>
        <v/>
      </c>
      <c r="N89" s="4" t="str">
        <f>IF(OR(A89="",C89=""),"",IFERROR(INDEX(激励事件明细!$A$2:$A$501,MATCH(A89&amp;"|"&amp;C89&amp;"|1",激励事件明细!$AM$2:$AM$501,0)),""))</f>
        <v/>
      </c>
      <c r="O89" s="17" t="str">
        <f>IF(N89="","",IFERROR(INDEX(激励事件明细!$AC$2:$AC$501,MATCH(N89,激励事件明细!$A$2:$A$501,0)),""))</f>
        <v/>
      </c>
      <c r="P89" s="4" t="str">
        <f t="shared" ca="1" si="11"/>
        <v/>
      </c>
    </row>
    <row r="90" spans="1:16" x14ac:dyDescent="0.3">
      <c r="A90" s="9"/>
      <c r="B90" s="4" t="str">
        <f>IF(A90="","",IFERROR(INDEX(激励事件明细!$D$2:$D$501,MATCH(A90,激励事件明细!$C$2:$C$501,0)),""))</f>
        <v/>
      </c>
      <c r="C90" s="9"/>
      <c r="D90" s="15" t="str">
        <f>IF(OR(A90="",C90=""),"",SUMIFS(激励事件明细!$T$2:$T$501,激励事件明细!$C$2:$C$501,A90,激励事件明细!$H$2:$H$501,C90,激励事件明细!$F$2:$F$501,"股票期权"))</f>
        <v/>
      </c>
      <c r="E90" s="15" t="str">
        <f>IF(OR(A90="",C90=""),"",SUMIFS(激励事件明细!$T$2:$T$501,激励事件明细!$C$2:$C$501,A90,激励事件明细!$H$2:$H$501,C90,激励事件明细!$F$2:$F$501,"限制性股票"))</f>
        <v/>
      </c>
      <c r="F90" s="15" t="str">
        <f>IF(OR(A90="",C90=""),"",SUMIFS(激励事件明细!$T$2:$T$501,激励事件明细!$C$2:$C$501,A90,激励事件明细!$H$2:$H$501,C90,激励事件明细!$F$2:$F$501,"其他股权激励"))</f>
        <v/>
      </c>
      <c r="G90" s="15" t="str">
        <f t="shared" si="8"/>
        <v/>
      </c>
      <c r="H90" s="16" t="str">
        <f>IF(G90="","",VLOOKUP(G90,税率及规则!$A$2:$C$8,2,TRUE))</f>
        <v/>
      </c>
      <c r="I90" s="15" t="str">
        <f>IF(G90="","",VLOOKUP(G90,税率及规则!$A$2:$C$8,3,TRUE))</f>
        <v/>
      </c>
      <c r="J90" s="15" t="str">
        <f t="shared" si="9"/>
        <v/>
      </c>
      <c r="K90" s="15" t="str">
        <f>IF(A90="","",SUMIFS(分期缴税台账!$K$2:$K$501,分期缴税台账!$A$2:$A$501,A90,分期缴税台账!$C$2:$C$501,C90,分期缴税台账!$Q$2:$Q$501,"有效"))</f>
        <v/>
      </c>
      <c r="L90" s="15" t="str">
        <f t="shared" si="10"/>
        <v/>
      </c>
      <c r="M90" s="4" t="str">
        <f>IF(A90="","",COUNTIFS(激励事件明细!$C$2:$C$501,A90,激励事件明细!$H$2:$H$501,C90,激励事件明细!$AA$2:$AA$501,"&gt;0"))</f>
        <v/>
      </c>
      <c r="N90" s="4" t="str">
        <f>IF(OR(A90="",C90=""),"",IFERROR(INDEX(激励事件明细!$A$2:$A$501,MATCH(A90&amp;"|"&amp;C90&amp;"|1",激励事件明细!$AM$2:$AM$501,0)),""))</f>
        <v/>
      </c>
      <c r="O90" s="17" t="str">
        <f>IF(N90="","",IFERROR(INDEX(激励事件明细!$AC$2:$AC$501,MATCH(N90,激励事件明细!$A$2:$A$501,0)),""))</f>
        <v/>
      </c>
      <c r="P90" s="4" t="str">
        <f t="shared" ca="1" si="11"/>
        <v/>
      </c>
    </row>
    <row r="91" spans="1:16" x14ac:dyDescent="0.3">
      <c r="A91" s="9"/>
      <c r="B91" s="4" t="str">
        <f>IF(A91="","",IFERROR(INDEX(激励事件明细!$D$2:$D$501,MATCH(A91,激励事件明细!$C$2:$C$501,0)),""))</f>
        <v/>
      </c>
      <c r="C91" s="9"/>
      <c r="D91" s="15" t="str">
        <f>IF(OR(A91="",C91=""),"",SUMIFS(激励事件明细!$T$2:$T$501,激励事件明细!$C$2:$C$501,A91,激励事件明细!$H$2:$H$501,C91,激励事件明细!$F$2:$F$501,"股票期权"))</f>
        <v/>
      </c>
      <c r="E91" s="15" t="str">
        <f>IF(OR(A91="",C91=""),"",SUMIFS(激励事件明细!$T$2:$T$501,激励事件明细!$C$2:$C$501,A91,激励事件明细!$H$2:$H$501,C91,激励事件明细!$F$2:$F$501,"限制性股票"))</f>
        <v/>
      </c>
      <c r="F91" s="15" t="str">
        <f>IF(OR(A91="",C91=""),"",SUMIFS(激励事件明细!$T$2:$T$501,激励事件明细!$C$2:$C$501,A91,激励事件明细!$H$2:$H$501,C91,激励事件明细!$F$2:$F$501,"其他股权激励"))</f>
        <v/>
      </c>
      <c r="G91" s="15" t="str">
        <f t="shared" si="8"/>
        <v/>
      </c>
      <c r="H91" s="16" t="str">
        <f>IF(G91="","",VLOOKUP(G91,税率及规则!$A$2:$C$8,2,TRUE))</f>
        <v/>
      </c>
      <c r="I91" s="15" t="str">
        <f>IF(G91="","",VLOOKUP(G91,税率及规则!$A$2:$C$8,3,TRUE))</f>
        <v/>
      </c>
      <c r="J91" s="15" t="str">
        <f t="shared" si="9"/>
        <v/>
      </c>
      <c r="K91" s="15" t="str">
        <f>IF(A91="","",SUMIFS(分期缴税台账!$K$2:$K$501,分期缴税台账!$A$2:$A$501,A91,分期缴税台账!$C$2:$C$501,C91,分期缴税台账!$Q$2:$Q$501,"有效"))</f>
        <v/>
      </c>
      <c r="L91" s="15" t="str">
        <f t="shared" si="10"/>
        <v/>
      </c>
      <c r="M91" s="4" t="str">
        <f>IF(A91="","",COUNTIFS(激励事件明细!$C$2:$C$501,A91,激励事件明细!$H$2:$H$501,C91,激励事件明细!$AA$2:$AA$501,"&gt;0"))</f>
        <v/>
      </c>
      <c r="N91" s="4" t="str">
        <f>IF(OR(A91="",C91=""),"",IFERROR(INDEX(激励事件明细!$A$2:$A$501,MATCH(A91&amp;"|"&amp;C91&amp;"|1",激励事件明细!$AM$2:$AM$501,0)),""))</f>
        <v/>
      </c>
      <c r="O91" s="17" t="str">
        <f>IF(N91="","",IFERROR(INDEX(激励事件明细!$AC$2:$AC$501,MATCH(N91,激励事件明细!$A$2:$A$501,0)),""))</f>
        <v/>
      </c>
      <c r="P91" s="4" t="str">
        <f t="shared" ca="1" si="11"/>
        <v/>
      </c>
    </row>
    <row r="92" spans="1:16" x14ac:dyDescent="0.3">
      <c r="A92" s="9"/>
      <c r="B92" s="4" t="str">
        <f>IF(A92="","",IFERROR(INDEX(激励事件明细!$D$2:$D$501,MATCH(A92,激励事件明细!$C$2:$C$501,0)),""))</f>
        <v/>
      </c>
      <c r="C92" s="9"/>
      <c r="D92" s="15" t="str">
        <f>IF(OR(A92="",C92=""),"",SUMIFS(激励事件明细!$T$2:$T$501,激励事件明细!$C$2:$C$501,A92,激励事件明细!$H$2:$H$501,C92,激励事件明细!$F$2:$F$501,"股票期权"))</f>
        <v/>
      </c>
      <c r="E92" s="15" t="str">
        <f>IF(OR(A92="",C92=""),"",SUMIFS(激励事件明细!$T$2:$T$501,激励事件明细!$C$2:$C$501,A92,激励事件明细!$H$2:$H$501,C92,激励事件明细!$F$2:$F$501,"限制性股票"))</f>
        <v/>
      </c>
      <c r="F92" s="15" t="str">
        <f>IF(OR(A92="",C92=""),"",SUMIFS(激励事件明细!$T$2:$T$501,激励事件明细!$C$2:$C$501,A92,激励事件明细!$H$2:$H$501,C92,激励事件明细!$F$2:$F$501,"其他股权激励"))</f>
        <v/>
      </c>
      <c r="G92" s="15" t="str">
        <f t="shared" si="8"/>
        <v/>
      </c>
      <c r="H92" s="16" t="str">
        <f>IF(G92="","",VLOOKUP(G92,税率及规则!$A$2:$C$8,2,TRUE))</f>
        <v/>
      </c>
      <c r="I92" s="15" t="str">
        <f>IF(G92="","",VLOOKUP(G92,税率及规则!$A$2:$C$8,3,TRUE))</f>
        <v/>
      </c>
      <c r="J92" s="15" t="str">
        <f t="shared" si="9"/>
        <v/>
      </c>
      <c r="K92" s="15" t="str">
        <f>IF(A92="","",SUMIFS(分期缴税台账!$K$2:$K$501,分期缴税台账!$A$2:$A$501,A92,分期缴税台账!$C$2:$C$501,C92,分期缴税台账!$Q$2:$Q$501,"有效"))</f>
        <v/>
      </c>
      <c r="L92" s="15" t="str">
        <f t="shared" si="10"/>
        <v/>
      </c>
      <c r="M92" s="4" t="str">
        <f>IF(A92="","",COUNTIFS(激励事件明细!$C$2:$C$501,A92,激励事件明细!$H$2:$H$501,C92,激励事件明细!$AA$2:$AA$501,"&gt;0"))</f>
        <v/>
      </c>
      <c r="N92" s="4" t="str">
        <f>IF(OR(A92="",C92=""),"",IFERROR(INDEX(激励事件明细!$A$2:$A$501,MATCH(A92&amp;"|"&amp;C92&amp;"|1",激励事件明细!$AM$2:$AM$501,0)),""))</f>
        <v/>
      </c>
      <c r="O92" s="17" t="str">
        <f>IF(N92="","",IFERROR(INDEX(激励事件明细!$AC$2:$AC$501,MATCH(N92,激励事件明细!$A$2:$A$501,0)),""))</f>
        <v/>
      </c>
      <c r="P92" s="4" t="str">
        <f t="shared" ca="1" si="11"/>
        <v/>
      </c>
    </row>
    <row r="93" spans="1:16" x14ac:dyDescent="0.3">
      <c r="A93" s="9"/>
      <c r="B93" s="4" t="str">
        <f>IF(A93="","",IFERROR(INDEX(激励事件明细!$D$2:$D$501,MATCH(A93,激励事件明细!$C$2:$C$501,0)),""))</f>
        <v/>
      </c>
      <c r="C93" s="9"/>
      <c r="D93" s="15" t="str">
        <f>IF(OR(A93="",C93=""),"",SUMIFS(激励事件明细!$T$2:$T$501,激励事件明细!$C$2:$C$501,A93,激励事件明细!$H$2:$H$501,C93,激励事件明细!$F$2:$F$501,"股票期权"))</f>
        <v/>
      </c>
      <c r="E93" s="15" t="str">
        <f>IF(OR(A93="",C93=""),"",SUMIFS(激励事件明细!$T$2:$T$501,激励事件明细!$C$2:$C$501,A93,激励事件明细!$H$2:$H$501,C93,激励事件明细!$F$2:$F$501,"限制性股票"))</f>
        <v/>
      </c>
      <c r="F93" s="15" t="str">
        <f>IF(OR(A93="",C93=""),"",SUMIFS(激励事件明细!$T$2:$T$501,激励事件明细!$C$2:$C$501,A93,激励事件明细!$H$2:$H$501,C93,激励事件明细!$F$2:$F$501,"其他股权激励"))</f>
        <v/>
      </c>
      <c r="G93" s="15" t="str">
        <f t="shared" si="8"/>
        <v/>
      </c>
      <c r="H93" s="16" t="str">
        <f>IF(G93="","",VLOOKUP(G93,税率及规则!$A$2:$C$8,2,TRUE))</f>
        <v/>
      </c>
      <c r="I93" s="15" t="str">
        <f>IF(G93="","",VLOOKUP(G93,税率及规则!$A$2:$C$8,3,TRUE))</f>
        <v/>
      </c>
      <c r="J93" s="15" t="str">
        <f t="shared" si="9"/>
        <v/>
      </c>
      <c r="K93" s="15" t="str">
        <f>IF(A93="","",SUMIFS(分期缴税台账!$K$2:$K$501,分期缴税台账!$A$2:$A$501,A93,分期缴税台账!$C$2:$C$501,C93,分期缴税台账!$Q$2:$Q$501,"有效"))</f>
        <v/>
      </c>
      <c r="L93" s="15" t="str">
        <f t="shared" si="10"/>
        <v/>
      </c>
      <c r="M93" s="4" t="str">
        <f>IF(A93="","",COUNTIFS(激励事件明细!$C$2:$C$501,A93,激励事件明细!$H$2:$H$501,C93,激励事件明细!$AA$2:$AA$501,"&gt;0"))</f>
        <v/>
      </c>
      <c r="N93" s="4" t="str">
        <f>IF(OR(A93="",C93=""),"",IFERROR(INDEX(激励事件明细!$A$2:$A$501,MATCH(A93&amp;"|"&amp;C93&amp;"|1",激励事件明细!$AM$2:$AM$501,0)),""))</f>
        <v/>
      </c>
      <c r="O93" s="17" t="str">
        <f>IF(N93="","",IFERROR(INDEX(激励事件明细!$AC$2:$AC$501,MATCH(N93,激励事件明细!$A$2:$A$501,0)),""))</f>
        <v/>
      </c>
      <c r="P93" s="4" t="str">
        <f t="shared" ca="1" si="11"/>
        <v/>
      </c>
    </row>
    <row r="94" spans="1:16" x14ac:dyDescent="0.3">
      <c r="A94" s="9"/>
      <c r="B94" s="4" t="str">
        <f>IF(A94="","",IFERROR(INDEX(激励事件明细!$D$2:$D$501,MATCH(A94,激励事件明细!$C$2:$C$501,0)),""))</f>
        <v/>
      </c>
      <c r="C94" s="9"/>
      <c r="D94" s="15" t="str">
        <f>IF(OR(A94="",C94=""),"",SUMIFS(激励事件明细!$T$2:$T$501,激励事件明细!$C$2:$C$501,A94,激励事件明细!$H$2:$H$501,C94,激励事件明细!$F$2:$F$501,"股票期权"))</f>
        <v/>
      </c>
      <c r="E94" s="15" t="str">
        <f>IF(OR(A94="",C94=""),"",SUMIFS(激励事件明细!$T$2:$T$501,激励事件明细!$C$2:$C$501,A94,激励事件明细!$H$2:$H$501,C94,激励事件明细!$F$2:$F$501,"限制性股票"))</f>
        <v/>
      </c>
      <c r="F94" s="15" t="str">
        <f>IF(OR(A94="",C94=""),"",SUMIFS(激励事件明细!$T$2:$T$501,激励事件明细!$C$2:$C$501,A94,激励事件明细!$H$2:$H$501,C94,激励事件明细!$F$2:$F$501,"其他股权激励"))</f>
        <v/>
      </c>
      <c r="G94" s="15" t="str">
        <f t="shared" si="8"/>
        <v/>
      </c>
      <c r="H94" s="16" t="str">
        <f>IF(G94="","",VLOOKUP(G94,税率及规则!$A$2:$C$8,2,TRUE))</f>
        <v/>
      </c>
      <c r="I94" s="15" t="str">
        <f>IF(G94="","",VLOOKUP(G94,税率及规则!$A$2:$C$8,3,TRUE))</f>
        <v/>
      </c>
      <c r="J94" s="15" t="str">
        <f t="shared" si="9"/>
        <v/>
      </c>
      <c r="K94" s="15" t="str">
        <f>IF(A94="","",SUMIFS(分期缴税台账!$K$2:$K$501,分期缴税台账!$A$2:$A$501,A94,分期缴税台账!$C$2:$C$501,C94,分期缴税台账!$Q$2:$Q$501,"有效"))</f>
        <v/>
      </c>
      <c r="L94" s="15" t="str">
        <f t="shared" si="10"/>
        <v/>
      </c>
      <c r="M94" s="4" t="str">
        <f>IF(A94="","",COUNTIFS(激励事件明细!$C$2:$C$501,A94,激励事件明细!$H$2:$H$501,C94,激励事件明细!$AA$2:$AA$501,"&gt;0"))</f>
        <v/>
      </c>
      <c r="N94" s="4" t="str">
        <f>IF(OR(A94="",C94=""),"",IFERROR(INDEX(激励事件明细!$A$2:$A$501,MATCH(A94&amp;"|"&amp;C94&amp;"|1",激励事件明细!$AM$2:$AM$501,0)),""))</f>
        <v/>
      </c>
      <c r="O94" s="17" t="str">
        <f>IF(N94="","",IFERROR(INDEX(激励事件明细!$AC$2:$AC$501,MATCH(N94,激励事件明细!$A$2:$A$501,0)),""))</f>
        <v/>
      </c>
      <c r="P94" s="4" t="str">
        <f t="shared" ca="1" si="11"/>
        <v/>
      </c>
    </row>
    <row r="95" spans="1:16" x14ac:dyDescent="0.3">
      <c r="A95" s="9"/>
      <c r="B95" s="4" t="str">
        <f>IF(A95="","",IFERROR(INDEX(激励事件明细!$D$2:$D$501,MATCH(A95,激励事件明细!$C$2:$C$501,0)),""))</f>
        <v/>
      </c>
      <c r="C95" s="9"/>
      <c r="D95" s="15" t="str">
        <f>IF(OR(A95="",C95=""),"",SUMIFS(激励事件明细!$T$2:$T$501,激励事件明细!$C$2:$C$501,A95,激励事件明细!$H$2:$H$501,C95,激励事件明细!$F$2:$F$501,"股票期权"))</f>
        <v/>
      </c>
      <c r="E95" s="15" t="str">
        <f>IF(OR(A95="",C95=""),"",SUMIFS(激励事件明细!$T$2:$T$501,激励事件明细!$C$2:$C$501,A95,激励事件明细!$H$2:$H$501,C95,激励事件明细!$F$2:$F$501,"限制性股票"))</f>
        <v/>
      </c>
      <c r="F95" s="15" t="str">
        <f>IF(OR(A95="",C95=""),"",SUMIFS(激励事件明细!$T$2:$T$501,激励事件明细!$C$2:$C$501,A95,激励事件明细!$H$2:$H$501,C95,激励事件明细!$F$2:$F$501,"其他股权激励"))</f>
        <v/>
      </c>
      <c r="G95" s="15" t="str">
        <f t="shared" si="8"/>
        <v/>
      </c>
      <c r="H95" s="16" t="str">
        <f>IF(G95="","",VLOOKUP(G95,税率及规则!$A$2:$C$8,2,TRUE))</f>
        <v/>
      </c>
      <c r="I95" s="15" t="str">
        <f>IF(G95="","",VLOOKUP(G95,税率及规则!$A$2:$C$8,3,TRUE))</f>
        <v/>
      </c>
      <c r="J95" s="15" t="str">
        <f t="shared" si="9"/>
        <v/>
      </c>
      <c r="K95" s="15" t="str">
        <f>IF(A95="","",SUMIFS(分期缴税台账!$K$2:$K$501,分期缴税台账!$A$2:$A$501,A95,分期缴税台账!$C$2:$C$501,C95,分期缴税台账!$Q$2:$Q$501,"有效"))</f>
        <v/>
      </c>
      <c r="L95" s="15" t="str">
        <f t="shared" si="10"/>
        <v/>
      </c>
      <c r="M95" s="4" t="str">
        <f>IF(A95="","",COUNTIFS(激励事件明细!$C$2:$C$501,A95,激励事件明细!$H$2:$H$501,C95,激励事件明细!$AA$2:$AA$501,"&gt;0"))</f>
        <v/>
      </c>
      <c r="N95" s="4" t="str">
        <f>IF(OR(A95="",C95=""),"",IFERROR(INDEX(激励事件明细!$A$2:$A$501,MATCH(A95&amp;"|"&amp;C95&amp;"|1",激励事件明细!$AM$2:$AM$501,0)),""))</f>
        <v/>
      </c>
      <c r="O95" s="17" t="str">
        <f>IF(N95="","",IFERROR(INDEX(激励事件明细!$AC$2:$AC$501,MATCH(N95,激励事件明细!$A$2:$A$501,0)),""))</f>
        <v/>
      </c>
      <c r="P95" s="4" t="str">
        <f t="shared" ca="1" si="11"/>
        <v/>
      </c>
    </row>
    <row r="96" spans="1:16" x14ac:dyDescent="0.3">
      <c r="A96" s="9"/>
      <c r="B96" s="4" t="str">
        <f>IF(A96="","",IFERROR(INDEX(激励事件明细!$D$2:$D$501,MATCH(A96,激励事件明细!$C$2:$C$501,0)),""))</f>
        <v/>
      </c>
      <c r="C96" s="9"/>
      <c r="D96" s="15" t="str">
        <f>IF(OR(A96="",C96=""),"",SUMIFS(激励事件明细!$T$2:$T$501,激励事件明细!$C$2:$C$501,A96,激励事件明细!$H$2:$H$501,C96,激励事件明细!$F$2:$F$501,"股票期权"))</f>
        <v/>
      </c>
      <c r="E96" s="15" t="str">
        <f>IF(OR(A96="",C96=""),"",SUMIFS(激励事件明细!$T$2:$T$501,激励事件明细!$C$2:$C$501,A96,激励事件明细!$H$2:$H$501,C96,激励事件明细!$F$2:$F$501,"限制性股票"))</f>
        <v/>
      </c>
      <c r="F96" s="15" t="str">
        <f>IF(OR(A96="",C96=""),"",SUMIFS(激励事件明细!$T$2:$T$501,激励事件明细!$C$2:$C$501,A96,激励事件明细!$H$2:$H$501,C96,激励事件明细!$F$2:$F$501,"其他股权激励"))</f>
        <v/>
      </c>
      <c r="G96" s="15" t="str">
        <f t="shared" si="8"/>
        <v/>
      </c>
      <c r="H96" s="16" t="str">
        <f>IF(G96="","",VLOOKUP(G96,税率及规则!$A$2:$C$8,2,TRUE))</f>
        <v/>
      </c>
      <c r="I96" s="15" t="str">
        <f>IF(G96="","",VLOOKUP(G96,税率及规则!$A$2:$C$8,3,TRUE))</f>
        <v/>
      </c>
      <c r="J96" s="15" t="str">
        <f t="shared" si="9"/>
        <v/>
      </c>
      <c r="K96" s="15" t="str">
        <f>IF(A96="","",SUMIFS(分期缴税台账!$K$2:$K$501,分期缴税台账!$A$2:$A$501,A96,分期缴税台账!$C$2:$C$501,C96,分期缴税台账!$Q$2:$Q$501,"有效"))</f>
        <v/>
      </c>
      <c r="L96" s="15" t="str">
        <f t="shared" si="10"/>
        <v/>
      </c>
      <c r="M96" s="4" t="str">
        <f>IF(A96="","",COUNTIFS(激励事件明细!$C$2:$C$501,A96,激励事件明细!$H$2:$H$501,C96,激励事件明细!$AA$2:$AA$501,"&gt;0"))</f>
        <v/>
      </c>
      <c r="N96" s="4" t="str">
        <f>IF(OR(A96="",C96=""),"",IFERROR(INDEX(激励事件明细!$A$2:$A$501,MATCH(A96&amp;"|"&amp;C96&amp;"|1",激励事件明细!$AM$2:$AM$501,0)),""))</f>
        <v/>
      </c>
      <c r="O96" s="17" t="str">
        <f>IF(N96="","",IFERROR(INDEX(激励事件明细!$AC$2:$AC$501,MATCH(N96,激励事件明细!$A$2:$A$501,0)),""))</f>
        <v/>
      </c>
      <c r="P96" s="4" t="str">
        <f t="shared" ca="1" si="11"/>
        <v/>
      </c>
    </row>
    <row r="97" spans="1:16" x14ac:dyDescent="0.3">
      <c r="A97" s="9"/>
      <c r="B97" s="4" t="str">
        <f>IF(A97="","",IFERROR(INDEX(激励事件明细!$D$2:$D$501,MATCH(A97,激励事件明细!$C$2:$C$501,0)),""))</f>
        <v/>
      </c>
      <c r="C97" s="9"/>
      <c r="D97" s="15" t="str">
        <f>IF(OR(A97="",C97=""),"",SUMIFS(激励事件明细!$T$2:$T$501,激励事件明细!$C$2:$C$501,A97,激励事件明细!$H$2:$H$501,C97,激励事件明细!$F$2:$F$501,"股票期权"))</f>
        <v/>
      </c>
      <c r="E97" s="15" t="str">
        <f>IF(OR(A97="",C97=""),"",SUMIFS(激励事件明细!$T$2:$T$501,激励事件明细!$C$2:$C$501,A97,激励事件明细!$H$2:$H$501,C97,激励事件明细!$F$2:$F$501,"限制性股票"))</f>
        <v/>
      </c>
      <c r="F97" s="15" t="str">
        <f>IF(OR(A97="",C97=""),"",SUMIFS(激励事件明细!$T$2:$T$501,激励事件明细!$C$2:$C$501,A97,激励事件明细!$H$2:$H$501,C97,激励事件明细!$F$2:$F$501,"其他股权激励"))</f>
        <v/>
      </c>
      <c r="G97" s="15" t="str">
        <f t="shared" si="8"/>
        <v/>
      </c>
      <c r="H97" s="16" t="str">
        <f>IF(G97="","",VLOOKUP(G97,税率及规则!$A$2:$C$8,2,TRUE))</f>
        <v/>
      </c>
      <c r="I97" s="15" t="str">
        <f>IF(G97="","",VLOOKUP(G97,税率及规则!$A$2:$C$8,3,TRUE))</f>
        <v/>
      </c>
      <c r="J97" s="15" t="str">
        <f t="shared" si="9"/>
        <v/>
      </c>
      <c r="K97" s="15" t="str">
        <f>IF(A97="","",SUMIFS(分期缴税台账!$K$2:$K$501,分期缴税台账!$A$2:$A$501,A97,分期缴税台账!$C$2:$C$501,C97,分期缴税台账!$Q$2:$Q$501,"有效"))</f>
        <v/>
      </c>
      <c r="L97" s="15" t="str">
        <f t="shared" si="10"/>
        <v/>
      </c>
      <c r="M97" s="4" t="str">
        <f>IF(A97="","",COUNTIFS(激励事件明细!$C$2:$C$501,A97,激励事件明细!$H$2:$H$501,C97,激励事件明细!$AA$2:$AA$501,"&gt;0"))</f>
        <v/>
      </c>
      <c r="N97" s="4" t="str">
        <f>IF(OR(A97="",C97=""),"",IFERROR(INDEX(激励事件明细!$A$2:$A$501,MATCH(A97&amp;"|"&amp;C97&amp;"|1",激励事件明细!$AM$2:$AM$501,0)),""))</f>
        <v/>
      </c>
      <c r="O97" s="17" t="str">
        <f>IF(N97="","",IFERROR(INDEX(激励事件明细!$AC$2:$AC$501,MATCH(N97,激励事件明细!$A$2:$A$501,0)),""))</f>
        <v/>
      </c>
      <c r="P97" s="4" t="str">
        <f t="shared" ca="1" si="11"/>
        <v/>
      </c>
    </row>
    <row r="98" spans="1:16" x14ac:dyDescent="0.3">
      <c r="A98" s="9"/>
      <c r="B98" s="4" t="str">
        <f>IF(A98="","",IFERROR(INDEX(激励事件明细!$D$2:$D$501,MATCH(A98,激励事件明细!$C$2:$C$501,0)),""))</f>
        <v/>
      </c>
      <c r="C98" s="9"/>
      <c r="D98" s="15" t="str">
        <f>IF(OR(A98="",C98=""),"",SUMIFS(激励事件明细!$T$2:$T$501,激励事件明细!$C$2:$C$501,A98,激励事件明细!$H$2:$H$501,C98,激励事件明细!$F$2:$F$501,"股票期权"))</f>
        <v/>
      </c>
      <c r="E98" s="15" t="str">
        <f>IF(OR(A98="",C98=""),"",SUMIFS(激励事件明细!$T$2:$T$501,激励事件明细!$C$2:$C$501,A98,激励事件明细!$H$2:$H$501,C98,激励事件明细!$F$2:$F$501,"限制性股票"))</f>
        <v/>
      </c>
      <c r="F98" s="15" t="str">
        <f>IF(OR(A98="",C98=""),"",SUMIFS(激励事件明细!$T$2:$T$501,激励事件明细!$C$2:$C$501,A98,激励事件明细!$H$2:$H$501,C98,激励事件明细!$F$2:$F$501,"其他股权激励"))</f>
        <v/>
      </c>
      <c r="G98" s="15" t="str">
        <f t="shared" ref="G98:G129" si="12">IF(A98="","",SUM(D98:F98))</f>
        <v/>
      </c>
      <c r="H98" s="16" t="str">
        <f>IF(G98="","",VLOOKUP(G98,税率及规则!$A$2:$C$8,2,TRUE))</f>
        <v/>
      </c>
      <c r="I98" s="15" t="str">
        <f>IF(G98="","",VLOOKUP(G98,税率及规则!$A$2:$C$8,3,TRUE))</f>
        <v/>
      </c>
      <c r="J98" s="15" t="str">
        <f t="shared" ref="J98:J129" si="13">IF(G98="","",MAX(0,G98*H98-I98))</f>
        <v/>
      </c>
      <c r="K98" s="15" t="str">
        <f>IF(A98="","",SUMIFS(分期缴税台账!$K$2:$K$501,分期缴税台账!$A$2:$A$501,A98,分期缴税台账!$C$2:$C$501,C98,分期缴税台账!$Q$2:$Q$501,"有效"))</f>
        <v/>
      </c>
      <c r="L98" s="15" t="str">
        <f t="shared" ref="L98:L129" si="14">IF(J98="","",MAX(0,J98-K98))</f>
        <v/>
      </c>
      <c r="M98" s="4" t="str">
        <f>IF(A98="","",COUNTIFS(激励事件明细!$C$2:$C$501,A98,激励事件明细!$H$2:$H$501,C98,激励事件明细!$AA$2:$AA$501,"&gt;0"))</f>
        <v/>
      </c>
      <c r="N98" s="4" t="str">
        <f>IF(OR(A98="",C98=""),"",IFERROR(INDEX(激励事件明细!$A$2:$A$501,MATCH(A98&amp;"|"&amp;C98&amp;"|1",激励事件明细!$AM$2:$AM$501,0)),""))</f>
        <v/>
      </c>
      <c r="O98" s="17" t="str">
        <f>IF(N98="","",IFERROR(INDEX(激励事件明细!$AC$2:$AC$501,MATCH(N98,激励事件明细!$A$2:$A$501,0)),""))</f>
        <v/>
      </c>
      <c r="P98" s="4" t="str">
        <f t="shared" ref="P98:P129" ca="1" si="15">IF(A98="","",IF(M98=0,"",IF(K98&gt;J98,"异常：超额缴税",IF(L98=0,"已缴清",IF(AND(O98&lt;TODAY(),L98&gt;0),"逾期未缴","未缴清")))))</f>
        <v/>
      </c>
    </row>
    <row r="99" spans="1:16" x14ac:dyDescent="0.3">
      <c r="A99" s="9"/>
      <c r="B99" s="4" t="str">
        <f>IF(A99="","",IFERROR(INDEX(激励事件明细!$D$2:$D$501,MATCH(A99,激励事件明细!$C$2:$C$501,0)),""))</f>
        <v/>
      </c>
      <c r="C99" s="9"/>
      <c r="D99" s="15" t="str">
        <f>IF(OR(A99="",C99=""),"",SUMIFS(激励事件明细!$T$2:$T$501,激励事件明细!$C$2:$C$501,A99,激励事件明细!$H$2:$H$501,C99,激励事件明细!$F$2:$F$501,"股票期权"))</f>
        <v/>
      </c>
      <c r="E99" s="15" t="str">
        <f>IF(OR(A99="",C99=""),"",SUMIFS(激励事件明细!$T$2:$T$501,激励事件明细!$C$2:$C$501,A99,激励事件明细!$H$2:$H$501,C99,激励事件明细!$F$2:$F$501,"限制性股票"))</f>
        <v/>
      </c>
      <c r="F99" s="15" t="str">
        <f>IF(OR(A99="",C99=""),"",SUMIFS(激励事件明细!$T$2:$T$501,激励事件明细!$C$2:$C$501,A99,激励事件明细!$H$2:$H$501,C99,激励事件明细!$F$2:$F$501,"其他股权激励"))</f>
        <v/>
      </c>
      <c r="G99" s="15" t="str">
        <f t="shared" si="12"/>
        <v/>
      </c>
      <c r="H99" s="16" t="str">
        <f>IF(G99="","",VLOOKUP(G99,税率及规则!$A$2:$C$8,2,TRUE))</f>
        <v/>
      </c>
      <c r="I99" s="15" t="str">
        <f>IF(G99="","",VLOOKUP(G99,税率及规则!$A$2:$C$8,3,TRUE))</f>
        <v/>
      </c>
      <c r="J99" s="15" t="str">
        <f t="shared" si="13"/>
        <v/>
      </c>
      <c r="K99" s="15" t="str">
        <f>IF(A99="","",SUMIFS(分期缴税台账!$K$2:$K$501,分期缴税台账!$A$2:$A$501,A99,分期缴税台账!$C$2:$C$501,C99,分期缴税台账!$Q$2:$Q$501,"有效"))</f>
        <v/>
      </c>
      <c r="L99" s="15" t="str">
        <f t="shared" si="14"/>
        <v/>
      </c>
      <c r="M99" s="4" t="str">
        <f>IF(A99="","",COUNTIFS(激励事件明细!$C$2:$C$501,A99,激励事件明细!$H$2:$H$501,C99,激励事件明细!$AA$2:$AA$501,"&gt;0"))</f>
        <v/>
      </c>
      <c r="N99" s="4" t="str">
        <f>IF(OR(A99="",C99=""),"",IFERROR(INDEX(激励事件明细!$A$2:$A$501,MATCH(A99&amp;"|"&amp;C99&amp;"|1",激励事件明细!$AM$2:$AM$501,0)),""))</f>
        <v/>
      </c>
      <c r="O99" s="17" t="str">
        <f>IF(N99="","",IFERROR(INDEX(激励事件明细!$AC$2:$AC$501,MATCH(N99,激励事件明细!$A$2:$A$501,0)),""))</f>
        <v/>
      </c>
      <c r="P99" s="4" t="str">
        <f t="shared" ca="1" si="15"/>
        <v/>
      </c>
    </row>
    <row r="100" spans="1:16" x14ac:dyDescent="0.3">
      <c r="A100" s="9"/>
      <c r="B100" s="4" t="str">
        <f>IF(A100="","",IFERROR(INDEX(激励事件明细!$D$2:$D$501,MATCH(A100,激励事件明细!$C$2:$C$501,0)),""))</f>
        <v/>
      </c>
      <c r="C100" s="9"/>
      <c r="D100" s="15" t="str">
        <f>IF(OR(A100="",C100=""),"",SUMIFS(激励事件明细!$T$2:$T$501,激励事件明细!$C$2:$C$501,A100,激励事件明细!$H$2:$H$501,C100,激励事件明细!$F$2:$F$501,"股票期权"))</f>
        <v/>
      </c>
      <c r="E100" s="15" t="str">
        <f>IF(OR(A100="",C100=""),"",SUMIFS(激励事件明细!$T$2:$T$501,激励事件明细!$C$2:$C$501,A100,激励事件明细!$H$2:$H$501,C100,激励事件明细!$F$2:$F$501,"限制性股票"))</f>
        <v/>
      </c>
      <c r="F100" s="15" t="str">
        <f>IF(OR(A100="",C100=""),"",SUMIFS(激励事件明细!$T$2:$T$501,激励事件明细!$C$2:$C$501,A100,激励事件明细!$H$2:$H$501,C100,激励事件明细!$F$2:$F$501,"其他股权激励"))</f>
        <v/>
      </c>
      <c r="G100" s="15" t="str">
        <f t="shared" si="12"/>
        <v/>
      </c>
      <c r="H100" s="16" t="str">
        <f>IF(G100="","",VLOOKUP(G100,税率及规则!$A$2:$C$8,2,TRUE))</f>
        <v/>
      </c>
      <c r="I100" s="15" t="str">
        <f>IF(G100="","",VLOOKUP(G100,税率及规则!$A$2:$C$8,3,TRUE))</f>
        <v/>
      </c>
      <c r="J100" s="15" t="str">
        <f t="shared" si="13"/>
        <v/>
      </c>
      <c r="K100" s="15" t="str">
        <f>IF(A100="","",SUMIFS(分期缴税台账!$K$2:$K$501,分期缴税台账!$A$2:$A$501,A100,分期缴税台账!$C$2:$C$501,C100,分期缴税台账!$Q$2:$Q$501,"有效"))</f>
        <v/>
      </c>
      <c r="L100" s="15" t="str">
        <f t="shared" si="14"/>
        <v/>
      </c>
      <c r="M100" s="4" t="str">
        <f>IF(A100="","",COUNTIFS(激励事件明细!$C$2:$C$501,A100,激励事件明细!$H$2:$H$501,C100,激励事件明细!$AA$2:$AA$501,"&gt;0"))</f>
        <v/>
      </c>
      <c r="N100" s="4" t="str">
        <f>IF(OR(A100="",C100=""),"",IFERROR(INDEX(激励事件明细!$A$2:$A$501,MATCH(A100&amp;"|"&amp;C100&amp;"|1",激励事件明细!$AM$2:$AM$501,0)),""))</f>
        <v/>
      </c>
      <c r="O100" s="17" t="str">
        <f>IF(N100="","",IFERROR(INDEX(激励事件明细!$AC$2:$AC$501,MATCH(N100,激励事件明细!$A$2:$A$501,0)),""))</f>
        <v/>
      </c>
      <c r="P100" s="4" t="str">
        <f t="shared" ca="1" si="15"/>
        <v/>
      </c>
    </row>
    <row r="101" spans="1:16" x14ac:dyDescent="0.3">
      <c r="A101" s="9"/>
      <c r="B101" s="4" t="str">
        <f>IF(A101="","",IFERROR(INDEX(激励事件明细!$D$2:$D$501,MATCH(A101,激励事件明细!$C$2:$C$501,0)),""))</f>
        <v/>
      </c>
      <c r="C101" s="9"/>
      <c r="D101" s="15" t="str">
        <f>IF(OR(A101="",C101=""),"",SUMIFS(激励事件明细!$T$2:$T$501,激励事件明细!$C$2:$C$501,A101,激励事件明细!$H$2:$H$501,C101,激励事件明细!$F$2:$F$501,"股票期权"))</f>
        <v/>
      </c>
      <c r="E101" s="15" t="str">
        <f>IF(OR(A101="",C101=""),"",SUMIFS(激励事件明细!$T$2:$T$501,激励事件明细!$C$2:$C$501,A101,激励事件明细!$H$2:$H$501,C101,激励事件明细!$F$2:$F$501,"限制性股票"))</f>
        <v/>
      </c>
      <c r="F101" s="15" t="str">
        <f>IF(OR(A101="",C101=""),"",SUMIFS(激励事件明细!$T$2:$T$501,激励事件明细!$C$2:$C$501,A101,激励事件明细!$H$2:$H$501,C101,激励事件明细!$F$2:$F$501,"其他股权激励"))</f>
        <v/>
      </c>
      <c r="G101" s="15" t="str">
        <f t="shared" si="12"/>
        <v/>
      </c>
      <c r="H101" s="16" t="str">
        <f>IF(G101="","",VLOOKUP(G101,税率及规则!$A$2:$C$8,2,TRUE))</f>
        <v/>
      </c>
      <c r="I101" s="15" t="str">
        <f>IF(G101="","",VLOOKUP(G101,税率及规则!$A$2:$C$8,3,TRUE))</f>
        <v/>
      </c>
      <c r="J101" s="15" t="str">
        <f t="shared" si="13"/>
        <v/>
      </c>
      <c r="K101" s="15" t="str">
        <f>IF(A101="","",SUMIFS(分期缴税台账!$K$2:$K$501,分期缴税台账!$A$2:$A$501,A101,分期缴税台账!$C$2:$C$501,C101,分期缴税台账!$Q$2:$Q$501,"有效"))</f>
        <v/>
      </c>
      <c r="L101" s="15" t="str">
        <f t="shared" si="14"/>
        <v/>
      </c>
      <c r="M101" s="4" t="str">
        <f>IF(A101="","",COUNTIFS(激励事件明细!$C$2:$C$501,A101,激励事件明细!$H$2:$H$501,C101,激励事件明细!$AA$2:$AA$501,"&gt;0"))</f>
        <v/>
      </c>
      <c r="N101" s="4" t="str">
        <f>IF(OR(A101="",C101=""),"",IFERROR(INDEX(激励事件明细!$A$2:$A$501,MATCH(A101&amp;"|"&amp;C101&amp;"|1",激励事件明细!$AM$2:$AM$501,0)),""))</f>
        <v/>
      </c>
      <c r="O101" s="17" t="str">
        <f>IF(N101="","",IFERROR(INDEX(激励事件明细!$AC$2:$AC$501,MATCH(N101,激励事件明细!$A$2:$A$501,0)),""))</f>
        <v/>
      </c>
      <c r="P101" s="4" t="str">
        <f t="shared" ca="1" si="15"/>
        <v/>
      </c>
    </row>
    <row r="102" spans="1:16" x14ac:dyDescent="0.3">
      <c r="A102" s="9"/>
      <c r="B102" s="4" t="str">
        <f>IF(A102="","",IFERROR(INDEX(激励事件明细!$D$2:$D$501,MATCH(A102,激励事件明细!$C$2:$C$501,0)),""))</f>
        <v/>
      </c>
      <c r="C102" s="9"/>
      <c r="D102" s="15" t="str">
        <f>IF(OR(A102="",C102=""),"",SUMIFS(激励事件明细!$T$2:$T$501,激励事件明细!$C$2:$C$501,A102,激励事件明细!$H$2:$H$501,C102,激励事件明细!$F$2:$F$501,"股票期权"))</f>
        <v/>
      </c>
      <c r="E102" s="15" t="str">
        <f>IF(OR(A102="",C102=""),"",SUMIFS(激励事件明细!$T$2:$T$501,激励事件明细!$C$2:$C$501,A102,激励事件明细!$H$2:$H$501,C102,激励事件明细!$F$2:$F$501,"限制性股票"))</f>
        <v/>
      </c>
      <c r="F102" s="15" t="str">
        <f>IF(OR(A102="",C102=""),"",SUMIFS(激励事件明细!$T$2:$T$501,激励事件明细!$C$2:$C$501,A102,激励事件明细!$H$2:$H$501,C102,激励事件明细!$F$2:$F$501,"其他股权激励"))</f>
        <v/>
      </c>
      <c r="G102" s="15" t="str">
        <f t="shared" si="12"/>
        <v/>
      </c>
      <c r="H102" s="16" t="str">
        <f>IF(G102="","",VLOOKUP(G102,税率及规则!$A$2:$C$8,2,TRUE))</f>
        <v/>
      </c>
      <c r="I102" s="15" t="str">
        <f>IF(G102="","",VLOOKUP(G102,税率及规则!$A$2:$C$8,3,TRUE))</f>
        <v/>
      </c>
      <c r="J102" s="15" t="str">
        <f t="shared" si="13"/>
        <v/>
      </c>
      <c r="K102" s="15" t="str">
        <f>IF(A102="","",SUMIFS(分期缴税台账!$K$2:$K$501,分期缴税台账!$A$2:$A$501,A102,分期缴税台账!$C$2:$C$501,C102,分期缴税台账!$Q$2:$Q$501,"有效"))</f>
        <v/>
      </c>
      <c r="L102" s="15" t="str">
        <f t="shared" si="14"/>
        <v/>
      </c>
      <c r="M102" s="4" t="str">
        <f>IF(A102="","",COUNTIFS(激励事件明细!$C$2:$C$501,A102,激励事件明细!$H$2:$H$501,C102,激励事件明细!$AA$2:$AA$501,"&gt;0"))</f>
        <v/>
      </c>
      <c r="N102" s="4" t="str">
        <f>IF(OR(A102="",C102=""),"",IFERROR(INDEX(激励事件明细!$A$2:$A$501,MATCH(A102&amp;"|"&amp;C102&amp;"|1",激励事件明细!$AM$2:$AM$501,0)),""))</f>
        <v/>
      </c>
      <c r="O102" s="17" t="str">
        <f>IF(N102="","",IFERROR(INDEX(激励事件明细!$AC$2:$AC$501,MATCH(N102,激励事件明细!$A$2:$A$501,0)),""))</f>
        <v/>
      </c>
      <c r="P102" s="4" t="str">
        <f t="shared" ca="1" si="15"/>
        <v/>
      </c>
    </row>
    <row r="103" spans="1:16" x14ac:dyDescent="0.3">
      <c r="A103" s="9"/>
      <c r="B103" s="4" t="str">
        <f>IF(A103="","",IFERROR(INDEX(激励事件明细!$D$2:$D$501,MATCH(A103,激励事件明细!$C$2:$C$501,0)),""))</f>
        <v/>
      </c>
      <c r="C103" s="9"/>
      <c r="D103" s="15" t="str">
        <f>IF(OR(A103="",C103=""),"",SUMIFS(激励事件明细!$T$2:$T$501,激励事件明细!$C$2:$C$501,A103,激励事件明细!$H$2:$H$501,C103,激励事件明细!$F$2:$F$501,"股票期权"))</f>
        <v/>
      </c>
      <c r="E103" s="15" t="str">
        <f>IF(OR(A103="",C103=""),"",SUMIFS(激励事件明细!$T$2:$T$501,激励事件明细!$C$2:$C$501,A103,激励事件明细!$H$2:$H$501,C103,激励事件明细!$F$2:$F$501,"限制性股票"))</f>
        <v/>
      </c>
      <c r="F103" s="15" t="str">
        <f>IF(OR(A103="",C103=""),"",SUMIFS(激励事件明细!$T$2:$T$501,激励事件明细!$C$2:$C$501,A103,激励事件明细!$H$2:$H$501,C103,激励事件明细!$F$2:$F$501,"其他股权激励"))</f>
        <v/>
      </c>
      <c r="G103" s="15" t="str">
        <f t="shared" si="12"/>
        <v/>
      </c>
      <c r="H103" s="16" t="str">
        <f>IF(G103="","",VLOOKUP(G103,税率及规则!$A$2:$C$8,2,TRUE))</f>
        <v/>
      </c>
      <c r="I103" s="15" t="str">
        <f>IF(G103="","",VLOOKUP(G103,税率及规则!$A$2:$C$8,3,TRUE))</f>
        <v/>
      </c>
      <c r="J103" s="15" t="str">
        <f t="shared" si="13"/>
        <v/>
      </c>
      <c r="K103" s="15" t="str">
        <f>IF(A103="","",SUMIFS(分期缴税台账!$K$2:$K$501,分期缴税台账!$A$2:$A$501,A103,分期缴税台账!$C$2:$C$501,C103,分期缴税台账!$Q$2:$Q$501,"有效"))</f>
        <v/>
      </c>
      <c r="L103" s="15" t="str">
        <f t="shared" si="14"/>
        <v/>
      </c>
      <c r="M103" s="4" t="str">
        <f>IF(A103="","",COUNTIFS(激励事件明细!$C$2:$C$501,A103,激励事件明细!$H$2:$H$501,C103,激励事件明细!$AA$2:$AA$501,"&gt;0"))</f>
        <v/>
      </c>
      <c r="N103" s="4" t="str">
        <f>IF(OR(A103="",C103=""),"",IFERROR(INDEX(激励事件明细!$A$2:$A$501,MATCH(A103&amp;"|"&amp;C103&amp;"|1",激励事件明细!$AM$2:$AM$501,0)),""))</f>
        <v/>
      </c>
      <c r="O103" s="17" t="str">
        <f>IF(N103="","",IFERROR(INDEX(激励事件明细!$AC$2:$AC$501,MATCH(N103,激励事件明细!$A$2:$A$501,0)),""))</f>
        <v/>
      </c>
      <c r="P103" s="4" t="str">
        <f t="shared" ca="1" si="15"/>
        <v/>
      </c>
    </row>
    <row r="104" spans="1:16" x14ac:dyDescent="0.3">
      <c r="A104" s="9"/>
      <c r="B104" s="4" t="str">
        <f>IF(A104="","",IFERROR(INDEX(激励事件明细!$D$2:$D$501,MATCH(A104,激励事件明细!$C$2:$C$501,0)),""))</f>
        <v/>
      </c>
      <c r="C104" s="9"/>
      <c r="D104" s="15" t="str">
        <f>IF(OR(A104="",C104=""),"",SUMIFS(激励事件明细!$T$2:$T$501,激励事件明细!$C$2:$C$501,A104,激励事件明细!$H$2:$H$501,C104,激励事件明细!$F$2:$F$501,"股票期权"))</f>
        <v/>
      </c>
      <c r="E104" s="15" t="str">
        <f>IF(OR(A104="",C104=""),"",SUMIFS(激励事件明细!$T$2:$T$501,激励事件明细!$C$2:$C$501,A104,激励事件明细!$H$2:$H$501,C104,激励事件明细!$F$2:$F$501,"限制性股票"))</f>
        <v/>
      </c>
      <c r="F104" s="15" t="str">
        <f>IF(OR(A104="",C104=""),"",SUMIFS(激励事件明细!$T$2:$T$501,激励事件明细!$C$2:$C$501,A104,激励事件明细!$H$2:$H$501,C104,激励事件明细!$F$2:$F$501,"其他股权激励"))</f>
        <v/>
      </c>
      <c r="G104" s="15" t="str">
        <f t="shared" si="12"/>
        <v/>
      </c>
      <c r="H104" s="16" t="str">
        <f>IF(G104="","",VLOOKUP(G104,税率及规则!$A$2:$C$8,2,TRUE))</f>
        <v/>
      </c>
      <c r="I104" s="15" t="str">
        <f>IF(G104="","",VLOOKUP(G104,税率及规则!$A$2:$C$8,3,TRUE))</f>
        <v/>
      </c>
      <c r="J104" s="15" t="str">
        <f t="shared" si="13"/>
        <v/>
      </c>
      <c r="K104" s="15" t="str">
        <f>IF(A104="","",SUMIFS(分期缴税台账!$K$2:$K$501,分期缴税台账!$A$2:$A$501,A104,分期缴税台账!$C$2:$C$501,C104,分期缴税台账!$Q$2:$Q$501,"有效"))</f>
        <v/>
      </c>
      <c r="L104" s="15" t="str">
        <f t="shared" si="14"/>
        <v/>
      </c>
      <c r="M104" s="4" t="str">
        <f>IF(A104="","",COUNTIFS(激励事件明细!$C$2:$C$501,A104,激励事件明细!$H$2:$H$501,C104,激励事件明细!$AA$2:$AA$501,"&gt;0"))</f>
        <v/>
      </c>
      <c r="N104" s="4" t="str">
        <f>IF(OR(A104="",C104=""),"",IFERROR(INDEX(激励事件明细!$A$2:$A$501,MATCH(A104&amp;"|"&amp;C104&amp;"|1",激励事件明细!$AM$2:$AM$501,0)),""))</f>
        <v/>
      </c>
      <c r="O104" s="17" t="str">
        <f>IF(N104="","",IFERROR(INDEX(激励事件明细!$AC$2:$AC$501,MATCH(N104,激励事件明细!$A$2:$A$501,0)),""))</f>
        <v/>
      </c>
      <c r="P104" s="4" t="str">
        <f t="shared" ca="1" si="15"/>
        <v/>
      </c>
    </row>
    <row r="105" spans="1:16" x14ac:dyDescent="0.3">
      <c r="A105" s="9"/>
      <c r="B105" s="4" t="str">
        <f>IF(A105="","",IFERROR(INDEX(激励事件明细!$D$2:$D$501,MATCH(A105,激励事件明细!$C$2:$C$501,0)),""))</f>
        <v/>
      </c>
      <c r="C105" s="9"/>
      <c r="D105" s="15" t="str">
        <f>IF(OR(A105="",C105=""),"",SUMIFS(激励事件明细!$T$2:$T$501,激励事件明细!$C$2:$C$501,A105,激励事件明细!$H$2:$H$501,C105,激励事件明细!$F$2:$F$501,"股票期权"))</f>
        <v/>
      </c>
      <c r="E105" s="15" t="str">
        <f>IF(OR(A105="",C105=""),"",SUMIFS(激励事件明细!$T$2:$T$501,激励事件明细!$C$2:$C$501,A105,激励事件明细!$H$2:$H$501,C105,激励事件明细!$F$2:$F$501,"限制性股票"))</f>
        <v/>
      </c>
      <c r="F105" s="15" t="str">
        <f>IF(OR(A105="",C105=""),"",SUMIFS(激励事件明细!$T$2:$T$501,激励事件明细!$C$2:$C$501,A105,激励事件明细!$H$2:$H$501,C105,激励事件明细!$F$2:$F$501,"其他股权激励"))</f>
        <v/>
      </c>
      <c r="G105" s="15" t="str">
        <f t="shared" si="12"/>
        <v/>
      </c>
      <c r="H105" s="16" t="str">
        <f>IF(G105="","",VLOOKUP(G105,税率及规则!$A$2:$C$8,2,TRUE))</f>
        <v/>
      </c>
      <c r="I105" s="15" t="str">
        <f>IF(G105="","",VLOOKUP(G105,税率及规则!$A$2:$C$8,3,TRUE))</f>
        <v/>
      </c>
      <c r="J105" s="15" t="str">
        <f t="shared" si="13"/>
        <v/>
      </c>
      <c r="K105" s="15" t="str">
        <f>IF(A105="","",SUMIFS(分期缴税台账!$K$2:$K$501,分期缴税台账!$A$2:$A$501,A105,分期缴税台账!$C$2:$C$501,C105,分期缴税台账!$Q$2:$Q$501,"有效"))</f>
        <v/>
      </c>
      <c r="L105" s="15" t="str">
        <f t="shared" si="14"/>
        <v/>
      </c>
      <c r="M105" s="4" t="str">
        <f>IF(A105="","",COUNTIFS(激励事件明细!$C$2:$C$501,A105,激励事件明细!$H$2:$H$501,C105,激励事件明细!$AA$2:$AA$501,"&gt;0"))</f>
        <v/>
      </c>
      <c r="N105" s="4" t="str">
        <f>IF(OR(A105="",C105=""),"",IFERROR(INDEX(激励事件明细!$A$2:$A$501,MATCH(A105&amp;"|"&amp;C105&amp;"|1",激励事件明细!$AM$2:$AM$501,0)),""))</f>
        <v/>
      </c>
      <c r="O105" s="17" t="str">
        <f>IF(N105="","",IFERROR(INDEX(激励事件明细!$AC$2:$AC$501,MATCH(N105,激励事件明细!$A$2:$A$501,0)),""))</f>
        <v/>
      </c>
      <c r="P105" s="4" t="str">
        <f t="shared" ca="1" si="15"/>
        <v/>
      </c>
    </row>
    <row r="106" spans="1:16" x14ac:dyDescent="0.3">
      <c r="A106" s="9"/>
      <c r="B106" s="4" t="str">
        <f>IF(A106="","",IFERROR(INDEX(激励事件明细!$D$2:$D$501,MATCH(A106,激励事件明细!$C$2:$C$501,0)),""))</f>
        <v/>
      </c>
      <c r="C106" s="9"/>
      <c r="D106" s="15" t="str">
        <f>IF(OR(A106="",C106=""),"",SUMIFS(激励事件明细!$T$2:$T$501,激励事件明细!$C$2:$C$501,A106,激励事件明细!$H$2:$H$501,C106,激励事件明细!$F$2:$F$501,"股票期权"))</f>
        <v/>
      </c>
      <c r="E106" s="15" t="str">
        <f>IF(OR(A106="",C106=""),"",SUMIFS(激励事件明细!$T$2:$T$501,激励事件明细!$C$2:$C$501,A106,激励事件明细!$H$2:$H$501,C106,激励事件明细!$F$2:$F$501,"限制性股票"))</f>
        <v/>
      </c>
      <c r="F106" s="15" t="str">
        <f>IF(OR(A106="",C106=""),"",SUMIFS(激励事件明细!$T$2:$T$501,激励事件明细!$C$2:$C$501,A106,激励事件明细!$H$2:$H$501,C106,激励事件明细!$F$2:$F$501,"其他股权激励"))</f>
        <v/>
      </c>
      <c r="G106" s="15" t="str">
        <f t="shared" si="12"/>
        <v/>
      </c>
      <c r="H106" s="16" t="str">
        <f>IF(G106="","",VLOOKUP(G106,税率及规则!$A$2:$C$8,2,TRUE))</f>
        <v/>
      </c>
      <c r="I106" s="15" t="str">
        <f>IF(G106="","",VLOOKUP(G106,税率及规则!$A$2:$C$8,3,TRUE))</f>
        <v/>
      </c>
      <c r="J106" s="15" t="str">
        <f t="shared" si="13"/>
        <v/>
      </c>
      <c r="K106" s="15" t="str">
        <f>IF(A106="","",SUMIFS(分期缴税台账!$K$2:$K$501,分期缴税台账!$A$2:$A$501,A106,分期缴税台账!$C$2:$C$501,C106,分期缴税台账!$Q$2:$Q$501,"有效"))</f>
        <v/>
      </c>
      <c r="L106" s="15" t="str">
        <f t="shared" si="14"/>
        <v/>
      </c>
      <c r="M106" s="4" t="str">
        <f>IF(A106="","",COUNTIFS(激励事件明细!$C$2:$C$501,A106,激励事件明细!$H$2:$H$501,C106,激励事件明细!$AA$2:$AA$501,"&gt;0"))</f>
        <v/>
      </c>
      <c r="N106" s="4" t="str">
        <f>IF(OR(A106="",C106=""),"",IFERROR(INDEX(激励事件明细!$A$2:$A$501,MATCH(A106&amp;"|"&amp;C106&amp;"|1",激励事件明细!$AM$2:$AM$501,0)),""))</f>
        <v/>
      </c>
      <c r="O106" s="17" t="str">
        <f>IF(N106="","",IFERROR(INDEX(激励事件明细!$AC$2:$AC$501,MATCH(N106,激励事件明细!$A$2:$A$501,0)),""))</f>
        <v/>
      </c>
      <c r="P106" s="4" t="str">
        <f t="shared" ca="1" si="15"/>
        <v/>
      </c>
    </row>
    <row r="107" spans="1:16" x14ac:dyDescent="0.3">
      <c r="A107" s="9"/>
      <c r="B107" s="4" t="str">
        <f>IF(A107="","",IFERROR(INDEX(激励事件明细!$D$2:$D$501,MATCH(A107,激励事件明细!$C$2:$C$501,0)),""))</f>
        <v/>
      </c>
      <c r="C107" s="9"/>
      <c r="D107" s="15" t="str">
        <f>IF(OR(A107="",C107=""),"",SUMIFS(激励事件明细!$T$2:$T$501,激励事件明细!$C$2:$C$501,A107,激励事件明细!$H$2:$H$501,C107,激励事件明细!$F$2:$F$501,"股票期权"))</f>
        <v/>
      </c>
      <c r="E107" s="15" t="str">
        <f>IF(OR(A107="",C107=""),"",SUMIFS(激励事件明细!$T$2:$T$501,激励事件明细!$C$2:$C$501,A107,激励事件明细!$H$2:$H$501,C107,激励事件明细!$F$2:$F$501,"限制性股票"))</f>
        <v/>
      </c>
      <c r="F107" s="15" t="str">
        <f>IF(OR(A107="",C107=""),"",SUMIFS(激励事件明细!$T$2:$T$501,激励事件明细!$C$2:$C$501,A107,激励事件明细!$H$2:$H$501,C107,激励事件明细!$F$2:$F$501,"其他股权激励"))</f>
        <v/>
      </c>
      <c r="G107" s="15" t="str">
        <f t="shared" si="12"/>
        <v/>
      </c>
      <c r="H107" s="16" t="str">
        <f>IF(G107="","",VLOOKUP(G107,税率及规则!$A$2:$C$8,2,TRUE))</f>
        <v/>
      </c>
      <c r="I107" s="15" t="str">
        <f>IF(G107="","",VLOOKUP(G107,税率及规则!$A$2:$C$8,3,TRUE))</f>
        <v/>
      </c>
      <c r="J107" s="15" t="str">
        <f t="shared" si="13"/>
        <v/>
      </c>
      <c r="K107" s="15" t="str">
        <f>IF(A107="","",SUMIFS(分期缴税台账!$K$2:$K$501,分期缴税台账!$A$2:$A$501,A107,分期缴税台账!$C$2:$C$501,C107,分期缴税台账!$Q$2:$Q$501,"有效"))</f>
        <v/>
      </c>
      <c r="L107" s="15" t="str">
        <f t="shared" si="14"/>
        <v/>
      </c>
      <c r="M107" s="4" t="str">
        <f>IF(A107="","",COUNTIFS(激励事件明细!$C$2:$C$501,A107,激励事件明细!$H$2:$H$501,C107,激励事件明细!$AA$2:$AA$501,"&gt;0"))</f>
        <v/>
      </c>
      <c r="N107" s="4" t="str">
        <f>IF(OR(A107="",C107=""),"",IFERROR(INDEX(激励事件明细!$A$2:$A$501,MATCH(A107&amp;"|"&amp;C107&amp;"|1",激励事件明细!$AM$2:$AM$501,0)),""))</f>
        <v/>
      </c>
      <c r="O107" s="17" t="str">
        <f>IF(N107="","",IFERROR(INDEX(激励事件明细!$AC$2:$AC$501,MATCH(N107,激励事件明细!$A$2:$A$501,0)),""))</f>
        <v/>
      </c>
      <c r="P107" s="4" t="str">
        <f t="shared" ca="1" si="15"/>
        <v/>
      </c>
    </row>
    <row r="108" spans="1:16" x14ac:dyDescent="0.3">
      <c r="A108" s="9"/>
      <c r="B108" s="4" t="str">
        <f>IF(A108="","",IFERROR(INDEX(激励事件明细!$D$2:$D$501,MATCH(A108,激励事件明细!$C$2:$C$501,0)),""))</f>
        <v/>
      </c>
      <c r="C108" s="9"/>
      <c r="D108" s="15" t="str">
        <f>IF(OR(A108="",C108=""),"",SUMIFS(激励事件明细!$T$2:$T$501,激励事件明细!$C$2:$C$501,A108,激励事件明细!$H$2:$H$501,C108,激励事件明细!$F$2:$F$501,"股票期权"))</f>
        <v/>
      </c>
      <c r="E108" s="15" t="str">
        <f>IF(OR(A108="",C108=""),"",SUMIFS(激励事件明细!$T$2:$T$501,激励事件明细!$C$2:$C$501,A108,激励事件明细!$H$2:$H$501,C108,激励事件明细!$F$2:$F$501,"限制性股票"))</f>
        <v/>
      </c>
      <c r="F108" s="15" t="str">
        <f>IF(OR(A108="",C108=""),"",SUMIFS(激励事件明细!$T$2:$T$501,激励事件明细!$C$2:$C$501,A108,激励事件明细!$H$2:$H$501,C108,激励事件明细!$F$2:$F$501,"其他股权激励"))</f>
        <v/>
      </c>
      <c r="G108" s="15" t="str">
        <f t="shared" si="12"/>
        <v/>
      </c>
      <c r="H108" s="16" t="str">
        <f>IF(G108="","",VLOOKUP(G108,税率及规则!$A$2:$C$8,2,TRUE))</f>
        <v/>
      </c>
      <c r="I108" s="15" t="str">
        <f>IF(G108="","",VLOOKUP(G108,税率及规则!$A$2:$C$8,3,TRUE))</f>
        <v/>
      </c>
      <c r="J108" s="15" t="str">
        <f t="shared" si="13"/>
        <v/>
      </c>
      <c r="K108" s="15" t="str">
        <f>IF(A108="","",SUMIFS(分期缴税台账!$K$2:$K$501,分期缴税台账!$A$2:$A$501,A108,分期缴税台账!$C$2:$C$501,C108,分期缴税台账!$Q$2:$Q$501,"有效"))</f>
        <v/>
      </c>
      <c r="L108" s="15" t="str">
        <f t="shared" si="14"/>
        <v/>
      </c>
      <c r="M108" s="4" t="str">
        <f>IF(A108="","",COUNTIFS(激励事件明细!$C$2:$C$501,A108,激励事件明细!$H$2:$H$501,C108,激励事件明细!$AA$2:$AA$501,"&gt;0"))</f>
        <v/>
      </c>
      <c r="N108" s="4" t="str">
        <f>IF(OR(A108="",C108=""),"",IFERROR(INDEX(激励事件明细!$A$2:$A$501,MATCH(A108&amp;"|"&amp;C108&amp;"|1",激励事件明细!$AM$2:$AM$501,0)),""))</f>
        <v/>
      </c>
      <c r="O108" s="17" t="str">
        <f>IF(N108="","",IFERROR(INDEX(激励事件明细!$AC$2:$AC$501,MATCH(N108,激励事件明细!$A$2:$A$501,0)),""))</f>
        <v/>
      </c>
      <c r="P108" s="4" t="str">
        <f t="shared" ca="1" si="15"/>
        <v/>
      </c>
    </row>
    <row r="109" spans="1:16" x14ac:dyDescent="0.3">
      <c r="A109" s="9"/>
      <c r="B109" s="4" t="str">
        <f>IF(A109="","",IFERROR(INDEX(激励事件明细!$D$2:$D$501,MATCH(A109,激励事件明细!$C$2:$C$501,0)),""))</f>
        <v/>
      </c>
      <c r="C109" s="9"/>
      <c r="D109" s="15" t="str">
        <f>IF(OR(A109="",C109=""),"",SUMIFS(激励事件明细!$T$2:$T$501,激励事件明细!$C$2:$C$501,A109,激励事件明细!$H$2:$H$501,C109,激励事件明细!$F$2:$F$501,"股票期权"))</f>
        <v/>
      </c>
      <c r="E109" s="15" t="str">
        <f>IF(OR(A109="",C109=""),"",SUMIFS(激励事件明细!$T$2:$T$501,激励事件明细!$C$2:$C$501,A109,激励事件明细!$H$2:$H$501,C109,激励事件明细!$F$2:$F$501,"限制性股票"))</f>
        <v/>
      </c>
      <c r="F109" s="15" t="str">
        <f>IF(OR(A109="",C109=""),"",SUMIFS(激励事件明细!$T$2:$T$501,激励事件明细!$C$2:$C$501,A109,激励事件明细!$H$2:$H$501,C109,激励事件明细!$F$2:$F$501,"其他股权激励"))</f>
        <v/>
      </c>
      <c r="G109" s="15" t="str">
        <f t="shared" si="12"/>
        <v/>
      </c>
      <c r="H109" s="16" t="str">
        <f>IF(G109="","",VLOOKUP(G109,税率及规则!$A$2:$C$8,2,TRUE))</f>
        <v/>
      </c>
      <c r="I109" s="15" t="str">
        <f>IF(G109="","",VLOOKUP(G109,税率及规则!$A$2:$C$8,3,TRUE))</f>
        <v/>
      </c>
      <c r="J109" s="15" t="str">
        <f t="shared" si="13"/>
        <v/>
      </c>
      <c r="K109" s="15" t="str">
        <f>IF(A109="","",SUMIFS(分期缴税台账!$K$2:$K$501,分期缴税台账!$A$2:$A$501,A109,分期缴税台账!$C$2:$C$501,C109,分期缴税台账!$Q$2:$Q$501,"有效"))</f>
        <v/>
      </c>
      <c r="L109" s="15" t="str">
        <f t="shared" si="14"/>
        <v/>
      </c>
      <c r="M109" s="4" t="str">
        <f>IF(A109="","",COUNTIFS(激励事件明细!$C$2:$C$501,A109,激励事件明细!$H$2:$H$501,C109,激励事件明细!$AA$2:$AA$501,"&gt;0"))</f>
        <v/>
      </c>
      <c r="N109" s="4" t="str">
        <f>IF(OR(A109="",C109=""),"",IFERROR(INDEX(激励事件明细!$A$2:$A$501,MATCH(A109&amp;"|"&amp;C109&amp;"|1",激励事件明细!$AM$2:$AM$501,0)),""))</f>
        <v/>
      </c>
      <c r="O109" s="17" t="str">
        <f>IF(N109="","",IFERROR(INDEX(激励事件明细!$AC$2:$AC$501,MATCH(N109,激励事件明细!$A$2:$A$501,0)),""))</f>
        <v/>
      </c>
      <c r="P109" s="4" t="str">
        <f t="shared" ca="1" si="15"/>
        <v/>
      </c>
    </row>
    <row r="110" spans="1:16" x14ac:dyDescent="0.3">
      <c r="A110" s="9"/>
      <c r="B110" s="4" t="str">
        <f>IF(A110="","",IFERROR(INDEX(激励事件明细!$D$2:$D$501,MATCH(A110,激励事件明细!$C$2:$C$501,0)),""))</f>
        <v/>
      </c>
      <c r="C110" s="9"/>
      <c r="D110" s="15" t="str">
        <f>IF(OR(A110="",C110=""),"",SUMIFS(激励事件明细!$T$2:$T$501,激励事件明细!$C$2:$C$501,A110,激励事件明细!$H$2:$H$501,C110,激励事件明细!$F$2:$F$501,"股票期权"))</f>
        <v/>
      </c>
      <c r="E110" s="15" t="str">
        <f>IF(OR(A110="",C110=""),"",SUMIFS(激励事件明细!$T$2:$T$501,激励事件明细!$C$2:$C$501,A110,激励事件明细!$H$2:$H$501,C110,激励事件明细!$F$2:$F$501,"限制性股票"))</f>
        <v/>
      </c>
      <c r="F110" s="15" t="str">
        <f>IF(OR(A110="",C110=""),"",SUMIFS(激励事件明细!$T$2:$T$501,激励事件明细!$C$2:$C$501,A110,激励事件明细!$H$2:$H$501,C110,激励事件明细!$F$2:$F$501,"其他股权激励"))</f>
        <v/>
      </c>
      <c r="G110" s="15" t="str">
        <f t="shared" si="12"/>
        <v/>
      </c>
      <c r="H110" s="16" t="str">
        <f>IF(G110="","",VLOOKUP(G110,税率及规则!$A$2:$C$8,2,TRUE))</f>
        <v/>
      </c>
      <c r="I110" s="15" t="str">
        <f>IF(G110="","",VLOOKUP(G110,税率及规则!$A$2:$C$8,3,TRUE))</f>
        <v/>
      </c>
      <c r="J110" s="15" t="str">
        <f t="shared" si="13"/>
        <v/>
      </c>
      <c r="K110" s="15" t="str">
        <f>IF(A110="","",SUMIFS(分期缴税台账!$K$2:$K$501,分期缴税台账!$A$2:$A$501,A110,分期缴税台账!$C$2:$C$501,C110,分期缴税台账!$Q$2:$Q$501,"有效"))</f>
        <v/>
      </c>
      <c r="L110" s="15" t="str">
        <f t="shared" si="14"/>
        <v/>
      </c>
      <c r="M110" s="4" t="str">
        <f>IF(A110="","",COUNTIFS(激励事件明细!$C$2:$C$501,A110,激励事件明细!$H$2:$H$501,C110,激励事件明细!$AA$2:$AA$501,"&gt;0"))</f>
        <v/>
      </c>
      <c r="N110" s="4" t="str">
        <f>IF(OR(A110="",C110=""),"",IFERROR(INDEX(激励事件明细!$A$2:$A$501,MATCH(A110&amp;"|"&amp;C110&amp;"|1",激励事件明细!$AM$2:$AM$501,0)),""))</f>
        <v/>
      </c>
      <c r="O110" s="17" t="str">
        <f>IF(N110="","",IFERROR(INDEX(激励事件明细!$AC$2:$AC$501,MATCH(N110,激励事件明细!$A$2:$A$501,0)),""))</f>
        <v/>
      </c>
      <c r="P110" s="4" t="str">
        <f t="shared" ca="1" si="15"/>
        <v/>
      </c>
    </row>
    <row r="111" spans="1:16" x14ac:dyDescent="0.3">
      <c r="A111" s="9"/>
      <c r="B111" s="4" t="str">
        <f>IF(A111="","",IFERROR(INDEX(激励事件明细!$D$2:$D$501,MATCH(A111,激励事件明细!$C$2:$C$501,0)),""))</f>
        <v/>
      </c>
      <c r="C111" s="9"/>
      <c r="D111" s="15" t="str">
        <f>IF(OR(A111="",C111=""),"",SUMIFS(激励事件明细!$T$2:$T$501,激励事件明细!$C$2:$C$501,A111,激励事件明细!$H$2:$H$501,C111,激励事件明细!$F$2:$F$501,"股票期权"))</f>
        <v/>
      </c>
      <c r="E111" s="15" t="str">
        <f>IF(OR(A111="",C111=""),"",SUMIFS(激励事件明细!$T$2:$T$501,激励事件明细!$C$2:$C$501,A111,激励事件明细!$H$2:$H$501,C111,激励事件明细!$F$2:$F$501,"限制性股票"))</f>
        <v/>
      </c>
      <c r="F111" s="15" t="str">
        <f>IF(OR(A111="",C111=""),"",SUMIFS(激励事件明细!$T$2:$T$501,激励事件明细!$C$2:$C$501,A111,激励事件明细!$H$2:$H$501,C111,激励事件明细!$F$2:$F$501,"其他股权激励"))</f>
        <v/>
      </c>
      <c r="G111" s="15" t="str">
        <f t="shared" si="12"/>
        <v/>
      </c>
      <c r="H111" s="16" t="str">
        <f>IF(G111="","",VLOOKUP(G111,税率及规则!$A$2:$C$8,2,TRUE))</f>
        <v/>
      </c>
      <c r="I111" s="15" t="str">
        <f>IF(G111="","",VLOOKUP(G111,税率及规则!$A$2:$C$8,3,TRUE))</f>
        <v/>
      </c>
      <c r="J111" s="15" t="str">
        <f t="shared" si="13"/>
        <v/>
      </c>
      <c r="K111" s="15" t="str">
        <f>IF(A111="","",SUMIFS(分期缴税台账!$K$2:$K$501,分期缴税台账!$A$2:$A$501,A111,分期缴税台账!$C$2:$C$501,C111,分期缴税台账!$Q$2:$Q$501,"有效"))</f>
        <v/>
      </c>
      <c r="L111" s="15" t="str">
        <f t="shared" si="14"/>
        <v/>
      </c>
      <c r="M111" s="4" t="str">
        <f>IF(A111="","",COUNTIFS(激励事件明细!$C$2:$C$501,A111,激励事件明细!$H$2:$H$501,C111,激励事件明细!$AA$2:$AA$501,"&gt;0"))</f>
        <v/>
      </c>
      <c r="N111" s="4" t="str">
        <f>IF(OR(A111="",C111=""),"",IFERROR(INDEX(激励事件明细!$A$2:$A$501,MATCH(A111&amp;"|"&amp;C111&amp;"|1",激励事件明细!$AM$2:$AM$501,0)),""))</f>
        <v/>
      </c>
      <c r="O111" s="17" t="str">
        <f>IF(N111="","",IFERROR(INDEX(激励事件明细!$AC$2:$AC$501,MATCH(N111,激励事件明细!$A$2:$A$501,0)),""))</f>
        <v/>
      </c>
      <c r="P111" s="4" t="str">
        <f t="shared" ca="1" si="15"/>
        <v/>
      </c>
    </row>
    <row r="112" spans="1:16" x14ac:dyDescent="0.3">
      <c r="A112" s="9"/>
      <c r="B112" s="4" t="str">
        <f>IF(A112="","",IFERROR(INDEX(激励事件明细!$D$2:$D$501,MATCH(A112,激励事件明细!$C$2:$C$501,0)),""))</f>
        <v/>
      </c>
      <c r="C112" s="9"/>
      <c r="D112" s="15" t="str">
        <f>IF(OR(A112="",C112=""),"",SUMIFS(激励事件明细!$T$2:$T$501,激励事件明细!$C$2:$C$501,A112,激励事件明细!$H$2:$H$501,C112,激励事件明细!$F$2:$F$501,"股票期权"))</f>
        <v/>
      </c>
      <c r="E112" s="15" t="str">
        <f>IF(OR(A112="",C112=""),"",SUMIFS(激励事件明细!$T$2:$T$501,激励事件明细!$C$2:$C$501,A112,激励事件明细!$H$2:$H$501,C112,激励事件明细!$F$2:$F$501,"限制性股票"))</f>
        <v/>
      </c>
      <c r="F112" s="15" t="str">
        <f>IF(OR(A112="",C112=""),"",SUMIFS(激励事件明细!$T$2:$T$501,激励事件明细!$C$2:$C$501,A112,激励事件明细!$H$2:$H$501,C112,激励事件明细!$F$2:$F$501,"其他股权激励"))</f>
        <v/>
      </c>
      <c r="G112" s="15" t="str">
        <f t="shared" si="12"/>
        <v/>
      </c>
      <c r="H112" s="16" t="str">
        <f>IF(G112="","",VLOOKUP(G112,税率及规则!$A$2:$C$8,2,TRUE))</f>
        <v/>
      </c>
      <c r="I112" s="15" t="str">
        <f>IF(G112="","",VLOOKUP(G112,税率及规则!$A$2:$C$8,3,TRUE))</f>
        <v/>
      </c>
      <c r="J112" s="15" t="str">
        <f t="shared" si="13"/>
        <v/>
      </c>
      <c r="K112" s="15" t="str">
        <f>IF(A112="","",SUMIFS(分期缴税台账!$K$2:$K$501,分期缴税台账!$A$2:$A$501,A112,分期缴税台账!$C$2:$C$501,C112,分期缴税台账!$Q$2:$Q$501,"有效"))</f>
        <v/>
      </c>
      <c r="L112" s="15" t="str">
        <f t="shared" si="14"/>
        <v/>
      </c>
      <c r="M112" s="4" t="str">
        <f>IF(A112="","",COUNTIFS(激励事件明细!$C$2:$C$501,A112,激励事件明细!$H$2:$H$501,C112,激励事件明细!$AA$2:$AA$501,"&gt;0"))</f>
        <v/>
      </c>
      <c r="N112" s="4" t="str">
        <f>IF(OR(A112="",C112=""),"",IFERROR(INDEX(激励事件明细!$A$2:$A$501,MATCH(A112&amp;"|"&amp;C112&amp;"|1",激励事件明细!$AM$2:$AM$501,0)),""))</f>
        <v/>
      </c>
      <c r="O112" s="17" t="str">
        <f>IF(N112="","",IFERROR(INDEX(激励事件明细!$AC$2:$AC$501,MATCH(N112,激励事件明细!$A$2:$A$501,0)),""))</f>
        <v/>
      </c>
      <c r="P112" s="4" t="str">
        <f t="shared" ca="1" si="15"/>
        <v/>
      </c>
    </row>
    <row r="113" spans="1:16" x14ac:dyDescent="0.3">
      <c r="A113" s="9"/>
      <c r="B113" s="4" t="str">
        <f>IF(A113="","",IFERROR(INDEX(激励事件明细!$D$2:$D$501,MATCH(A113,激励事件明细!$C$2:$C$501,0)),""))</f>
        <v/>
      </c>
      <c r="C113" s="9"/>
      <c r="D113" s="15" t="str">
        <f>IF(OR(A113="",C113=""),"",SUMIFS(激励事件明细!$T$2:$T$501,激励事件明细!$C$2:$C$501,A113,激励事件明细!$H$2:$H$501,C113,激励事件明细!$F$2:$F$501,"股票期权"))</f>
        <v/>
      </c>
      <c r="E113" s="15" t="str">
        <f>IF(OR(A113="",C113=""),"",SUMIFS(激励事件明细!$T$2:$T$501,激励事件明细!$C$2:$C$501,A113,激励事件明细!$H$2:$H$501,C113,激励事件明细!$F$2:$F$501,"限制性股票"))</f>
        <v/>
      </c>
      <c r="F113" s="15" t="str">
        <f>IF(OR(A113="",C113=""),"",SUMIFS(激励事件明细!$T$2:$T$501,激励事件明细!$C$2:$C$501,A113,激励事件明细!$H$2:$H$501,C113,激励事件明细!$F$2:$F$501,"其他股权激励"))</f>
        <v/>
      </c>
      <c r="G113" s="15" t="str">
        <f t="shared" si="12"/>
        <v/>
      </c>
      <c r="H113" s="16" t="str">
        <f>IF(G113="","",VLOOKUP(G113,税率及规则!$A$2:$C$8,2,TRUE))</f>
        <v/>
      </c>
      <c r="I113" s="15" t="str">
        <f>IF(G113="","",VLOOKUP(G113,税率及规则!$A$2:$C$8,3,TRUE))</f>
        <v/>
      </c>
      <c r="J113" s="15" t="str">
        <f t="shared" si="13"/>
        <v/>
      </c>
      <c r="K113" s="15" t="str">
        <f>IF(A113="","",SUMIFS(分期缴税台账!$K$2:$K$501,分期缴税台账!$A$2:$A$501,A113,分期缴税台账!$C$2:$C$501,C113,分期缴税台账!$Q$2:$Q$501,"有效"))</f>
        <v/>
      </c>
      <c r="L113" s="15" t="str">
        <f t="shared" si="14"/>
        <v/>
      </c>
      <c r="M113" s="4" t="str">
        <f>IF(A113="","",COUNTIFS(激励事件明细!$C$2:$C$501,A113,激励事件明细!$H$2:$H$501,C113,激励事件明细!$AA$2:$AA$501,"&gt;0"))</f>
        <v/>
      </c>
      <c r="N113" s="4" t="str">
        <f>IF(OR(A113="",C113=""),"",IFERROR(INDEX(激励事件明细!$A$2:$A$501,MATCH(A113&amp;"|"&amp;C113&amp;"|1",激励事件明细!$AM$2:$AM$501,0)),""))</f>
        <v/>
      </c>
      <c r="O113" s="17" t="str">
        <f>IF(N113="","",IFERROR(INDEX(激励事件明细!$AC$2:$AC$501,MATCH(N113,激励事件明细!$A$2:$A$501,0)),""))</f>
        <v/>
      </c>
      <c r="P113" s="4" t="str">
        <f t="shared" ca="1" si="15"/>
        <v/>
      </c>
    </row>
    <row r="114" spans="1:16" x14ac:dyDescent="0.3">
      <c r="A114" s="9"/>
      <c r="B114" s="4" t="str">
        <f>IF(A114="","",IFERROR(INDEX(激励事件明细!$D$2:$D$501,MATCH(A114,激励事件明细!$C$2:$C$501,0)),""))</f>
        <v/>
      </c>
      <c r="C114" s="9"/>
      <c r="D114" s="15" t="str">
        <f>IF(OR(A114="",C114=""),"",SUMIFS(激励事件明细!$T$2:$T$501,激励事件明细!$C$2:$C$501,A114,激励事件明细!$H$2:$H$501,C114,激励事件明细!$F$2:$F$501,"股票期权"))</f>
        <v/>
      </c>
      <c r="E114" s="15" t="str">
        <f>IF(OR(A114="",C114=""),"",SUMIFS(激励事件明细!$T$2:$T$501,激励事件明细!$C$2:$C$501,A114,激励事件明细!$H$2:$H$501,C114,激励事件明细!$F$2:$F$501,"限制性股票"))</f>
        <v/>
      </c>
      <c r="F114" s="15" t="str">
        <f>IF(OR(A114="",C114=""),"",SUMIFS(激励事件明细!$T$2:$T$501,激励事件明细!$C$2:$C$501,A114,激励事件明细!$H$2:$H$501,C114,激励事件明细!$F$2:$F$501,"其他股权激励"))</f>
        <v/>
      </c>
      <c r="G114" s="15" t="str">
        <f t="shared" si="12"/>
        <v/>
      </c>
      <c r="H114" s="16" t="str">
        <f>IF(G114="","",VLOOKUP(G114,税率及规则!$A$2:$C$8,2,TRUE))</f>
        <v/>
      </c>
      <c r="I114" s="15" t="str">
        <f>IF(G114="","",VLOOKUP(G114,税率及规则!$A$2:$C$8,3,TRUE))</f>
        <v/>
      </c>
      <c r="J114" s="15" t="str">
        <f t="shared" si="13"/>
        <v/>
      </c>
      <c r="K114" s="15" t="str">
        <f>IF(A114="","",SUMIFS(分期缴税台账!$K$2:$K$501,分期缴税台账!$A$2:$A$501,A114,分期缴税台账!$C$2:$C$501,C114,分期缴税台账!$Q$2:$Q$501,"有效"))</f>
        <v/>
      </c>
      <c r="L114" s="15" t="str">
        <f t="shared" si="14"/>
        <v/>
      </c>
      <c r="M114" s="4" t="str">
        <f>IF(A114="","",COUNTIFS(激励事件明细!$C$2:$C$501,A114,激励事件明细!$H$2:$H$501,C114,激励事件明细!$AA$2:$AA$501,"&gt;0"))</f>
        <v/>
      </c>
      <c r="N114" s="4" t="str">
        <f>IF(OR(A114="",C114=""),"",IFERROR(INDEX(激励事件明细!$A$2:$A$501,MATCH(A114&amp;"|"&amp;C114&amp;"|1",激励事件明细!$AM$2:$AM$501,0)),""))</f>
        <v/>
      </c>
      <c r="O114" s="17" t="str">
        <f>IF(N114="","",IFERROR(INDEX(激励事件明细!$AC$2:$AC$501,MATCH(N114,激励事件明细!$A$2:$A$501,0)),""))</f>
        <v/>
      </c>
      <c r="P114" s="4" t="str">
        <f t="shared" ca="1" si="15"/>
        <v/>
      </c>
    </row>
    <row r="115" spans="1:16" x14ac:dyDescent="0.3">
      <c r="A115" s="9"/>
      <c r="B115" s="4" t="str">
        <f>IF(A115="","",IFERROR(INDEX(激励事件明细!$D$2:$D$501,MATCH(A115,激励事件明细!$C$2:$C$501,0)),""))</f>
        <v/>
      </c>
      <c r="C115" s="9"/>
      <c r="D115" s="15" t="str">
        <f>IF(OR(A115="",C115=""),"",SUMIFS(激励事件明细!$T$2:$T$501,激励事件明细!$C$2:$C$501,A115,激励事件明细!$H$2:$H$501,C115,激励事件明细!$F$2:$F$501,"股票期权"))</f>
        <v/>
      </c>
      <c r="E115" s="15" t="str">
        <f>IF(OR(A115="",C115=""),"",SUMIFS(激励事件明细!$T$2:$T$501,激励事件明细!$C$2:$C$501,A115,激励事件明细!$H$2:$H$501,C115,激励事件明细!$F$2:$F$501,"限制性股票"))</f>
        <v/>
      </c>
      <c r="F115" s="15" t="str">
        <f>IF(OR(A115="",C115=""),"",SUMIFS(激励事件明细!$T$2:$T$501,激励事件明细!$C$2:$C$501,A115,激励事件明细!$H$2:$H$501,C115,激励事件明细!$F$2:$F$501,"其他股权激励"))</f>
        <v/>
      </c>
      <c r="G115" s="15" t="str">
        <f t="shared" si="12"/>
        <v/>
      </c>
      <c r="H115" s="16" t="str">
        <f>IF(G115="","",VLOOKUP(G115,税率及规则!$A$2:$C$8,2,TRUE))</f>
        <v/>
      </c>
      <c r="I115" s="15" t="str">
        <f>IF(G115="","",VLOOKUP(G115,税率及规则!$A$2:$C$8,3,TRUE))</f>
        <v/>
      </c>
      <c r="J115" s="15" t="str">
        <f t="shared" si="13"/>
        <v/>
      </c>
      <c r="K115" s="15" t="str">
        <f>IF(A115="","",SUMIFS(分期缴税台账!$K$2:$K$501,分期缴税台账!$A$2:$A$501,A115,分期缴税台账!$C$2:$C$501,C115,分期缴税台账!$Q$2:$Q$501,"有效"))</f>
        <v/>
      </c>
      <c r="L115" s="15" t="str">
        <f t="shared" si="14"/>
        <v/>
      </c>
      <c r="M115" s="4" t="str">
        <f>IF(A115="","",COUNTIFS(激励事件明细!$C$2:$C$501,A115,激励事件明细!$H$2:$H$501,C115,激励事件明细!$AA$2:$AA$501,"&gt;0"))</f>
        <v/>
      </c>
      <c r="N115" s="4" t="str">
        <f>IF(OR(A115="",C115=""),"",IFERROR(INDEX(激励事件明细!$A$2:$A$501,MATCH(A115&amp;"|"&amp;C115&amp;"|1",激励事件明细!$AM$2:$AM$501,0)),""))</f>
        <v/>
      </c>
      <c r="O115" s="17" t="str">
        <f>IF(N115="","",IFERROR(INDEX(激励事件明细!$AC$2:$AC$501,MATCH(N115,激励事件明细!$A$2:$A$501,0)),""))</f>
        <v/>
      </c>
      <c r="P115" s="4" t="str">
        <f t="shared" ca="1" si="15"/>
        <v/>
      </c>
    </row>
    <row r="116" spans="1:16" x14ac:dyDescent="0.3">
      <c r="A116" s="9"/>
      <c r="B116" s="4" t="str">
        <f>IF(A116="","",IFERROR(INDEX(激励事件明细!$D$2:$D$501,MATCH(A116,激励事件明细!$C$2:$C$501,0)),""))</f>
        <v/>
      </c>
      <c r="C116" s="9"/>
      <c r="D116" s="15" t="str">
        <f>IF(OR(A116="",C116=""),"",SUMIFS(激励事件明细!$T$2:$T$501,激励事件明细!$C$2:$C$501,A116,激励事件明细!$H$2:$H$501,C116,激励事件明细!$F$2:$F$501,"股票期权"))</f>
        <v/>
      </c>
      <c r="E116" s="15" t="str">
        <f>IF(OR(A116="",C116=""),"",SUMIFS(激励事件明细!$T$2:$T$501,激励事件明细!$C$2:$C$501,A116,激励事件明细!$H$2:$H$501,C116,激励事件明细!$F$2:$F$501,"限制性股票"))</f>
        <v/>
      </c>
      <c r="F116" s="15" t="str">
        <f>IF(OR(A116="",C116=""),"",SUMIFS(激励事件明细!$T$2:$T$501,激励事件明细!$C$2:$C$501,A116,激励事件明细!$H$2:$H$501,C116,激励事件明细!$F$2:$F$501,"其他股权激励"))</f>
        <v/>
      </c>
      <c r="G116" s="15" t="str">
        <f t="shared" si="12"/>
        <v/>
      </c>
      <c r="H116" s="16" t="str">
        <f>IF(G116="","",VLOOKUP(G116,税率及规则!$A$2:$C$8,2,TRUE))</f>
        <v/>
      </c>
      <c r="I116" s="15" t="str">
        <f>IF(G116="","",VLOOKUP(G116,税率及规则!$A$2:$C$8,3,TRUE))</f>
        <v/>
      </c>
      <c r="J116" s="15" t="str">
        <f t="shared" si="13"/>
        <v/>
      </c>
      <c r="K116" s="15" t="str">
        <f>IF(A116="","",SUMIFS(分期缴税台账!$K$2:$K$501,分期缴税台账!$A$2:$A$501,A116,分期缴税台账!$C$2:$C$501,C116,分期缴税台账!$Q$2:$Q$501,"有效"))</f>
        <v/>
      </c>
      <c r="L116" s="15" t="str">
        <f t="shared" si="14"/>
        <v/>
      </c>
      <c r="M116" s="4" t="str">
        <f>IF(A116="","",COUNTIFS(激励事件明细!$C$2:$C$501,A116,激励事件明细!$H$2:$H$501,C116,激励事件明细!$AA$2:$AA$501,"&gt;0"))</f>
        <v/>
      </c>
      <c r="N116" s="4" t="str">
        <f>IF(OR(A116="",C116=""),"",IFERROR(INDEX(激励事件明细!$A$2:$A$501,MATCH(A116&amp;"|"&amp;C116&amp;"|1",激励事件明细!$AM$2:$AM$501,0)),""))</f>
        <v/>
      </c>
      <c r="O116" s="17" t="str">
        <f>IF(N116="","",IFERROR(INDEX(激励事件明细!$AC$2:$AC$501,MATCH(N116,激励事件明细!$A$2:$A$501,0)),""))</f>
        <v/>
      </c>
      <c r="P116" s="4" t="str">
        <f t="shared" ca="1" si="15"/>
        <v/>
      </c>
    </row>
    <row r="117" spans="1:16" x14ac:dyDescent="0.3">
      <c r="A117" s="9"/>
      <c r="B117" s="4" t="str">
        <f>IF(A117="","",IFERROR(INDEX(激励事件明细!$D$2:$D$501,MATCH(A117,激励事件明细!$C$2:$C$501,0)),""))</f>
        <v/>
      </c>
      <c r="C117" s="9"/>
      <c r="D117" s="15" t="str">
        <f>IF(OR(A117="",C117=""),"",SUMIFS(激励事件明细!$T$2:$T$501,激励事件明细!$C$2:$C$501,A117,激励事件明细!$H$2:$H$501,C117,激励事件明细!$F$2:$F$501,"股票期权"))</f>
        <v/>
      </c>
      <c r="E117" s="15" t="str">
        <f>IF(OR(A117="",C117=""),"",SUMIFS(激励事件明细!$T$2:$T$501,激励事件明细!$C$2:$C$501,A117,激励事件明细!$H$2:$H$501,C117,激励事件明细!$F$2:$F$501,"限制性股票"))</f>
        <v/>
      </c>
      <c r="F117" s="15" t="str">
        <f>IF(OR(A117="",C117=""),"",SUMIFS(激励事件明细!$T$2:$T$501,激励事件明细!$C$2:$C$501,A117,激励事件明细!$H$2:$H$501,C117,激励事件明细!$F$2:$F$501,"其他股权激励"))</f>
        <v/>
      </c>
      <c r="G117" s="15" t="str">
        <f t="shared" si="12"/>
        <v/>
      </c>
      <c r="H117" s="16" t="str">
        <f>IF(G117="","",VLOOKUP(G117,税率及规则!$A$2:$C$8,2,TRUE))</f>
        <v/>
      </c>
      <c r="I117" s="15" t="str">
        <f>IF(G117="","",VLOOKUP(G117,税率及规则!$A$2:$C$8,3,TRUE))</f>
        <v/>
      </c>
      <c r="J117" s="15" t="str">
        <f t="shared" si="13"/>
        <v/>
      </c>
      <c r="K117" s="15" t="str">
        <f>IF(A117="","",SUMIFS(分期缴税台账!$K$2:$K$501,分期缴税台账!$A$2:$A$501,A117,分期缴税台账!$C$2:$C$501,C117,分期缴税台账!$Q$2:$Q$501,"有效"))</f>
        <v/>
      </c>
      <c r="L117" s="15" t="str">
        <f t="shared" si="14"/>
        <v/>
      </c>
      <c r="M117" s="4" t="str">
        <f>IF(A117="","",COUNTIFS(激励事件明细!$C$2:$C$501,A117,激励事件明细!$H$2:$H$501,C117,激励事件明细!$AA$2:$AA$501,"&gt;0"))</f>
        <v/>
      </c>
      <c r="N117" s="4" t="str">
        <f>IF(OR(A117="",C117=""),"",IFERROR(INDEX(激励事件明细!$A$2:$A$501,MATCH(A117&amp;"|"&amp;C117&amp;"|1",激励事件明细!$AM$2:$AM$501,0)),""))</f>
        <v/>
      </c>
      <c r="O117" s="17" t="str">
        <f>IF(N117="","",IFERROR(INDEX(激励事件明细!$AC$2:$AC$501,MATCH(N117,激励事件明细!$A$2:$A$501,0)),""))</f>
        <v/>
      </c>
      <c r="P117" s="4" t="str">
        <f t="shared" ca="1" si="15"/>
        <v/>
      </c>
    </row>
    <row r="118" spans="1:16" x14ac:dyDescent="0.3">
      <c r="A118" s="9"/>
      <c r="B118" s="4" t="str">
        <f>IF(A118="","",IFERROR(INDEX(激励事件明细!$D$2:$D$501,MATCH(A118,激励事件明细!$C$2:$C$501,0)),""))</f>
        <v/>
      </c>
      <c r="C118" s="9"/>
      <c r="D118" s="15" t="str">
        <f>IF(OR(A118="",C118=""),"",SUMIFS(激励事件明细!$T$2:$T$501,激励事件明细!$C$2:$C$501,A118,激励事件明细!$H$2:$H$501,C118,激励事件明细!$F$2:$F$501,"股票期权"))</f>
        <v/>
      </c>
      <c r="E118" s="15" t="str">
        <f>IF(OR(A118="",C118=""),"",SUMIFS(激励事件明细!$T$2:$T$501,激励事件明细!$C$2:$C$501,A118,激励事件明细!$H$2:$H$501,C118,激励事件明细!$F$2:$F$501,"限制性股票"))</f>
        <v/>
      </c>
      <c r="F118" s="15" t="str">
        <f>IF(OR(A118="",C118=""),"",SUMIFS(激励事件明细!$T$2:$T$501,激励事件明细!$C$2:$C$501,A118,激励事件明细!$H$2:$H$501,C118,激励事件明细!$F$2:$F$501,"其他股权激励"))</f>
        <v/>
      </c>
      <c r="G118" s="15" t="str">
        <f t="shared" si="12"/>
        <v/>
      </c>
      <c r="H118" s="16" t="str">
        <f>IF(G118="","",VLOOKUP(G118,税率及规则!$A$2:$C$8,2,TRUE))</f>
        <v/>
      </c>
      <c r="I118" s="15" t="str">
        <f>IF(G118="","",VLOOKUP(G118,税率及规则!$A$2:$C$8,3,TRUE))</f>
        <v/>
      </c>
      <c r="J118" s="15" t="str">
        <f t="shared" si="13"/>
        <v/>
      </c>
      <c r="K118" s="15" t="str">
        <f>IF(A118="","",SUMIFS(分期缴税台账!$K$2:$K$501,分期缴税台账!$A$2:$A$501,A118,分期缴税台账!$C$2:$C$501,C118,分期缴税台账!$Q$2:$Q$501,"有效"))</f>
        <v/>
      </c>
      <c r="L118" s="15" t="str">
        <f t="shared" si="14"/>
        <v/>
      </c>
      <c r="M118" s="4" t="str">
        <f>IF(A118="","",COUNTIFS(激励事件明细!$C$2:$C$501,A118,激励事件明细!$H$2:$H$501,C118,激励事件明细!$AA$2:$AA$501,"&gt;0"))</f>
        <v/>
      </c>
      <c r="N118" s="4" t="str">
        <f>IF(OR(A118="",C118=""),"",IFERROR(INDEX(激励事件明细!$A$2:$A$501,MATCH(A118&amp;"|"&amp;C118&amp;"|1",激励事件明细!$AM$2:$AM$501,0)),""))</f>
        <v/>
      </c>
      <c r="O118" s="17" t="str">
        <f>IF(N118="","",IFERROR(INDEX(激励事件明细!$AC$2:$AC$501,MATCH(N118,激励事件明细!$A$2:$A$501,0)),""))</f>
        <v/>
      </c>
      <c r="P118" s="4" t="str">
        <f t="shared" ca="1" si="15"/>
        <v/>
      </c>
    </row>
    <row r="119" spans="1:16" x14ac:dyDescent="0.3">
      <c r="A119" s="9"/>
      <c r="B119" s="4" t="str">
        <f>IF(A119="","",IFERROR(INDEX(激励事件明细!$D$2:$D$501,MATCH(A119,激励事件明细!$C$2:$C$501,0)),""))</f>
        <v/>
      </c>
      <c r="C119" s="9"/>
      <c r="D119" s="15" t="str">
        <f>IF(OR(A119="",C119=""),"",SUMIFS(激励事件明细!$T$2:$T$501,激励事件明细!$C$2:$C$501,A119,激励事件明细!$H$2:$H$501,C119,激励事件明细!$F$2:$F$501,"股票期权"))</f>
        <v/>
      </c>
      <c r="E119" s="15" t="str">
        <f>IF(OR(A119="",C119=""),"",SUMIFS(激励事件明细!$T$2:$T$501,激励事件明细!$C$2:$C$501,A119,激励事件明细!$H$2:$H$501,C119,激励事件明细!$F$2:$F$501,"限制性股票"))</f>
        <v/>
      </c>
      <c r="F119" s="15" t="str">
        <f>IF(OR(A119="",C119=""),"",SUMIFS(激励事件明细!$T$2:$T$501,激励事件明细!$C$2:$C$501,A119,激励事件明细!$H$2:$H$501,C119,激励事件明细!$F$2:$F$501,"其他股权激励"))</f>
        <v/>
      </c>
      <c r="G119" s="15" t="str">
        <f t="shared" si="12"/>
        <v/>
      </c>
      <c r="H119" s="16" t="str">
        <f>IF(G119="","",VLOOKUP(G119,税率及规则!$A$2:$C$8,2,TRUE))</f>
        <v/>
      </c>
      <c r="I119" s="15" t="str">
        <f>IF(G119="","",VLOOKUP(G119,税率及规则!$A$2:$C$8,3,TRUE))</f>
        <v/>
      </c>
      <c r="J119" s="15" t="str">
        <f t="shared" si="13"/>
        <v/>
      </c>
      <c r="K119" s="15" t="str">
        <f>IF(A119="","",SUMIFS(分期缴税台账!$K$2:$K$501,分期缴税台账!$A$2:$A$501,A119,分期缴税台账!$C$2:$C$501,C119,分期缴税台账!$Q$2:$Q$501,"有效"))</f>
        <v/>
      </c>
      <c r="L119" s="15" t="str">
        <f t="shared" si="14"/>
        <v/>
      </c>
      <c r="M119" s="4" t="str">
        <f>IF(A119="","",COUNTIFS(激励事件明细!$C$2:$C$501,A119,激励事件明细!$H$2:$H$501,C119,激励事件明细!$AA$2:$AA$501,"&gt;0"))</f>
        <v/>
      </c>
      <c r="N119" s="4" t="str">
        <f>IF(OR(A119="",C119=""),"",IFERROR(INDEX(激励事件明细!$A$2:$A$501,MATCH(A119&amp;"|"&amp;C119&amp;"|1",激励事件明细!$AM$2:$AM$501,0)),""))</f>
        <v/>
      </c>
      <c r="O119" s="17" t="str">
        <f>IF(N119="","",IFERROR(INDEX(激励事件明细!$AC$2:$AC$501,MATCH(N119,激励事件明细!$A$2:$A$501,0)),""))</f>
        <v/>
      </c>
      <c r="P119" s="4" t="str">
        <f t="shared" ca="1" si="15"/>
        <v/>
      </c>
    </row>
    <row r="120" spans="1:16" x14ac:dyDescent="0.3">
      <c r="A120" s="9"/>
      <c r="B120" s="4" t="str">
        <f>IF(A120="","",IFERROR(INDEX(激励事件明细!$D$2:$D$501,MATCH(A120,激励事件明细!$C$2:$C$501,0)),""))</f>
        <v/>
      </c>
      <c r="C120" s="9"/>
      <c r="D120" s="15" t="str">
        <f>IF(OR(A120="",C120=""),"",SUMIFS(激励事件明细!$T$2:$T$501,激励事件明细!$C$2:$C$501,A120,激励事件明细!$H$2:$H$501,C120,激励事件明细!$F$2:$F$501,"股票期权"))</f>
        <v/>
      </c>
      <c r="E120" s="15" t="str">
        <f>IF(OR(A120="",C120=""),"",SUMIFS(激励事件明细!$T$2:$T$501,激励事件明细!$C$2:$C$501,A120,激励事件明细!$H$2:$H$501,C120,激励事件明细!$F$2:$F$501,"限制性股票"))</f>
        <v/>
      </c>
      <c r="F120" s="15" t="str">
        <f>IF(OR(A120="",C120=""),"",SUMIFS(激励事件明细!$T$2:$T$501,激励事件明细!$C$2:$C$501,A120,激励事件明细!$H$2:$H$501,C120,激励事件明细!$F$2:$F$501,"其他股权激励"))</f>
        <v/>
      </c>
      <c r="G120" s="15" t="str">
        <f t="shared" si="12"/>
        <v/>
      </c>
      <c r="H120" s="16" t="str">
        <f>IF(G120="","",VLOOKUP(G120,税率及规则!$A$2:$C$8,2,TRUE))</f>
        <v/>
      </c>
      <c r="I120" s="15" t="str">
        <f>IF(G120="","",VLOOKUP(G120,税率及规则!$A$2:$C$8,3,TRUE))</f>
        <v/>
      </c>
      <c r="J120" s="15" t="str">
        <f t="shared" si="13"/>
        <v/>
      </c>
      <c r="K120" s="15" t="str">
        <f>IF(A120="","",SUMIFS(分期缴税台账!$K$2:$K$501,分期缴税台账!$A$2:$A$501,A120,分期缴税台账!$C$2:$C$501,C120,分期缴税台账!$Q$2:$Q$501,"有效"))</f>
        <v/>
      </c>
      <c r="L120" s="15" t="str">
        <f t="shared" si="14"/>
        <v/>
      </c>
      <c r="M120" s="4" t="str">
        <f>IF(A120="","",COUNTIFS(激励事件明细!$C$2:$C$501,A120,激励事件明细!$H$2:$H$501,C120,激励事件明细!$AA$2:$AA$501,"&gt;0"))</f>
        <v/>
      </c>
      <c r="N120" s="4" t="str">
        <f>IF(OR(A120="",C120=""),"",IFERROR(INDEX(激励事件明细!$A$2:$A$501,MATCH(A120&amp;"|"&amp;C120&amp;"|1",激励事件明细!$AM$2:$AM$501,0)),""))</f>
        <v/>
      </c>
      <c r="O120" s="17" t="str">
        <f>IF(N120="","",IFERROR(INDEX(激励事件明细!$AC$2:$AC$501,MATCH(N120,激励事件明细!$A$2:$A$501,0)),""))</f>
        <v/>
      </c>
      <c r="P120" s="4" t="str">
        <f t="shared" ca="1" si="15"/>
        <v/>
      </c>
    </row>
    <row r="121" spans="1:16" x14ac:dyDescent="0.3">
      <c r="A121" s="9"/>
      <c r="B121" s="4" t="str">
        <f>IF(A121="","",IFERROR(INDEX(激励事件明细!$D$2:$D$501,MATCH(A121,激励事件明细!$C$2:$C$501,0)),""))</f>
        <v/>
      </c>
      <c r="C121" s="9"/>
      <c r="D121" s="15" t="str">
        <f>IF(OR(A121="",C121=""),"",SUMIFS(激励事件明细!$T$2:$T$501,激励事件明细!$C$2:$C$501,A121,激励事件明细!$H$2:$H$501,C121,激励事件明细!$F$2:$F$501,"股票期权"))</f>
        <v/>
      </c>
      <c r="E121" s="15" t="str">
        <f>IF(OR(A121="",C121=""),"",SUMIFS(激励事件明细!$T$2:$T$501,激励事件明细!$C$2:$C$501,A121,激励事件明细!$H$2:$H$501,C121,激励事件明细!$F$2:$F$501,"限制性股票"))</f>
        <v/>
      </c>
      <c r="F121" s="15" t="str">
        <f>IF(OR(A121="",C121=""),"",SUMIFS(激励事件明细!$T$2:$T$501,激励事件明细!$C$2:$C$501,A121,激励事件明细!$H$2:$H$501,C121,激励事件明细!$F$2:$F$501,"其他股权激励"))</f>
        <v/>
      </c>
      <c r="G121" s="15" t="str">
        <f t="shared" si="12"/>
        <v/>
      </c>
      <c r="H121" s="16" t="str">
        <f>IF(G121="","",VLOOKUP(G121,税率及规则!$A$2:$C$8,2,TRUE))</f>
        <v/>
      </c>
      <c r="I121" s="15" t="str">
        <f>IF(G121="","",VLOOKUP(G121,税率及规则!$A$2:$C$8,3,TRUE))</f>
        <v/>
      </c>
      <c r="J121" s="15" t="str">
        <f t="shared" si="13"/>
        <v/>
      </c>
      <c r="K121" s="15" t="str">
        <f>IF(A121="","",SUMIFS(分期缴税台账!$K$2:$K$501,分期缴税台账!$A$2:$A$501,A121,分期缴税台账!$C$2:$C$501,C121,分期缴税台账!$Q$2:$Q$501,"有效"))</f>
        <v/>
      </c>
      <c r="L121" s="15" t="str">
        <f t="shared" si="14"/>
        <v/>
      </c>
      <c r="M121" s="4" t="str">
        <f>IF(A121="","",COUNTIFS(激励事件明细!$C$2:$C$501,A121,激励事件明细!$H$2:$H$501,C121,激励事件明细!$AA$2:$AA$501,"&gt;0"))</f>
        <v/>
      </c>
      <c r="N121" s="4" t="str">
        <f>IF(OR(A121="",C121=""),"",IFERROR(INDEX(激励事件明细!$A$2:$A$501,MATCH(A121&amp;"|"&amp;C121&amp;"|1",激励事件明细!$AM$2:$AM$501,0)),""))</f>
        <v/>
      </c>
      <c r="O121" s="17" t="str">
        <f>IF(N121="","",IFERROR(INDEX(激励事件明细!$AC$2:$AC$501,MATCH(N121,激励事件明细!$A$2:$A$501,0)),""))</f>
        <v/>
      </c>
      <c r="P121" s="4" t="str">
        <f t="shared" ca="1" si="15"/>
        <v/>
      </c>
    </row>
    <row r="122" spans="1:16" x14ac:dyDescent="0.3">
      <c r="A122" s="9"/>
      <c r="B122" s="4" t="str">
        <f>IF(A122="","",IFERROR(INDEX(激励事件明细!$D$2:$D$501,MATCH(A122,激励事件明细!$C$2:$C$501,0)),""))</f>
        <v/>
      </c>
      <c r="C122" s="9"/>
      <c r="D122" s="15" t="str">
        <f>IF(OR(A122="",C122=""),"",SUMIFS(激励事件明细!$T$2:$T$501,激励事件明细!$C$2:$C$501,A122,激励事件明细!$H$2:$H$501,C122,激励事件明细!$F$2:$F$501,"股票期权"))</f>
        <v/>
      </c>
      <c r="E122" s="15" t="str">
        <f>IF(OR(A122="",C122=""),"",SUMIFS(激励事件明细!$T$2:$T$501,激励事件明细!$C$2:$C$501,A122,激励事件明细!$H$2:$H$501,C122,激励事件明细!$F$2:$F$501,"限制性股票"))</f>
        <v/>
      </c>
      <c r="F122" s="15" t="str">
        <f>IF(OR(A122="",C122=""),"",SUMIFS(激励事件明细!$T$2:$T$501,激励事件明细!$C$2:$C$501,A122,激励事件明细!$H$2:$H$501,C122,激励事件明细!$F$2:$F$501,"其他股权激励"))</f>
        <v/>
      </c>
      <c r="G122" s="15" t="str">
        <f t="shared" si="12"/>
        <v/>
      </c>
      <c r="H122" s="16" t="str">
        <f>IF(G122="","",VLOOKUP(G122,税率及规则!$A$2:$C$8,2,TRUE))</f>
        <v/>
      </c>
      <c r="I122" s="15" t="str">
        <f>IF(G122="","",VLOOKUP(G122,税率及规则!$A$2:$C$8,3,TRUE))</f>
        <v/>
      </c>
      <c r="J122" s="15" t="str">
        <f t="shared" si="13"/>
        <v/>
      </c>
      <c r="K122" s="15" t="str">
        <f>IF(A122="","",SUMIFS(分期缴税台账!$K$2:$K$501,分期缴税台账!$A$2:$A$501,A122,分期缴税台账!$C$2:$C$501,C122,分期缴税台账!$Q$2:$Q$501,"有效"))</f>
        <v/>
      </c>
      <c r="L122" s="15" t="str">
        <f t="shared" si="14"/>
        <v/>
      </c>
      <c r="M122" s="4" t="str">
        <f>IF(A122="","",COUNTIFS(激励事件明细!$C$2:$C$501,A122,激励事件明细!$H$2:$H$501,C122,激励事件明细!$AA$2:$AA$501,"&gt;0"))</f>
        <v/>
      </c>
      <c r="N122" s="4" t="str">
        <f>IF(OR(A122="",C122=""),"",IFERROR(INDEX(激励事件明细!$A$2:$A$501,MATCH(A122&amp;"|"&amp;C122&amp;"|1",激励事件明细!$AM$2:$AM$501,0)),""))</f>
        <v/>
      </c>
      <c r="O122" s="17" t="str">
        <f>IF(N122="","",IFERROR(INDEX(激励事件明细!$AC$2:$AC$501,MATCH(N122,激励事件明细!$A$2:$A$501,0)),""))</f>
        <v/>
      </c>
      <c r="P122" s="4" t="str">
        <f t="shared" ca="1" si="15"/>
        <v/>
      </c>
    </row>
    <row r="123" spans="1:16" x14ac:dyDescent="0.3">
      <c r="A123" s="9"/>
      <c r="B123" s="4" t="str">
        <f>IF(A123="","",IFERROR(INDEX(激励事件明细!$D$2:$D$501,MATCH(A123,激励事件明细!$C$2:$C$501,0)),""))</f>
        <v/>
      </c>
      <c r="C123" s="9"/>
      <c r="D123" s="15" t="str">
        <f>IF(OR(A123="",C123=""),"",SUMIFS(激励事件明细!$T$2:$T$501,激励事件明细!$C$2:$C$501,A123,激励事件明细!$H$2:$H$501,C123,激励事件明细!$F$2:$F$501,"股票期权"))</f>
        <v/>
      </c>
      <c r="E123" s="15" t="str">
        <f>IF(OR(A123="",C123=""),"",SUMIFS(激励事件明细!$T$2:$T$501,激励事件明细!$C$2:$C$501,A123,激励事件明细!$H$2:$H$501,C123,激励事件明细!$F$2:$F$501,"限制性股票"))</f>
        <v/>
      </c>
      <c r="F123" s="15" t="str">
        <f>IF(OR(A123="",C123=""),"",SUMIFS(激励事件明细!$T$2:$T$501,激励事件明细!$C$2:$C$501,A123,激励事件明细!$H$2:$H$501,C123,激励事件明细!$F$2:$F$501,"其他股权激励"))</f>
        <v/>
      </c>
      <c r="G123" s="15" t="str">
        <f t="shared" si="12"/>
        <v/>
      </c>
      <c r="H123" s="16" t="str">
        <f>IF(G123="","",VLOOKUP(G123,税率及规则!$A$2:$C$8,2,TRUE))</f>
        <v/>
      </c>
      <c r="I123" s="15" t="str">
        <f>IF(G123="","",VLOOKUP(G123,税率及规则!$A$2:$C$8,3,TRUE))</f>
        <v/>
      </c>
      <c r="J123" s="15" t="str">
        <f t="shared" si="13"/>
        <v/>
      </c>
      <c r="K123" s="15" t="str">
        <f>IF(A123="","",SUMIFS(分期缴税台账!$K$2:$K$501,分期缴税台账!$A$2:$A$501,A123,分期缴税台账!$C$2:$C$501,C123,分期缴税台账!$Q$2:$Q$501,"有效"))</f>
        <v/>
      </c>
      <c r="L123" s="15" t="str">
        <f t="shared" si="14"/>
        <v/>
      </c>
      <c r="M123" s="4" t="str">
        <f>IF(A123="","",COUNTIFS(激励事件明细!$C$2:$C$501,A123,激励事件明细!$H$2:$H$501,C123,激励事件明细!$AA$2:$AA$501,"&gt;0"))</f>
        <v/>
      </c>
      <c r="N123" s="4" t="str">
        <f>IF(OR(A123="",C123=""),"",IFERROR(INDEX(激励事件明细!$A$2:$A$501,MATCH(A123&amp;"|"&amp;C123&amp;"|1",激励事件明细!$AM$2:$AM$501,0)),""))</f>
        <v/>
      </c>
      <c r="O123" s="17" t="str">
        <f>IF(N123="","",IFERROR(INDEX(激励事件明细!$AC$2:$AC$501,MATCH(N123,激励事件明细!$A$2:$A$501,0)),""))</f>
        <v/>
      </c>
      <c r="P123" s="4" t="str">
        <f t="shared" ca="1" si="15"/>
        <v/>
      </c>
    </row>
    <row r="124" spans="1:16" x14ac:dyDescent="0.3">
      <c r="A124" s="9"/>
      <c r="B124" s="4" t="str">
        <f>IF(A124="","",IFERROR(INDEX(激励事件明细!$D$2:$D$501,MATCH(A124,激励事件明细!$C$2:$C$501,0)),""))</f>
        <v/>
      </c>
      <c r="C124" s="9"/>
      <c r="D124" s="15" t="str">
        <f>IF(OR(A124="",C124=""),"",SUMIFS(激励事件明细!$T$2:$T$501,激励事件明细!$C$2:$C$501,A124,激励事件明细!$H$2:$H$501,C124,激励事件明细!$F$2:$F$501,"股票期权"))</f>
        <v/>
      </c>
      <c r="E124" s="15" t="str">
        <f>IF(OR(A124="",C124=""),"",SUMIFS(激励事件明细!$T$2:$T$501,激励事件明细!$C$2:$C$501,A124,激励事件明细!$H$2:$H$501,C124,激励事件明细!$F$2:$F$501,"限制性股票"))</f>
        <v/>
      </c>
      <c r="F124" s="15" t="str">
        <f>IF(OR(A124="",C124=""),"",SUMIFS(激励事件明细!$T$2:$T$501,激励事件明细!$C$2:$C$501,A124,激励事件明细!$H$2:$H$501,C124,激励事件明细!$F$2:$F$501,"其他股权激励"))</f>
        <v/>
      </c>
      <c r="G124" s="15" t="str">
        <f t="shared" si="12"/>
        <v/>
      </c>
      <c r="H124" s="16" t="str">
        <f>IF(G124="","",VLOOKUP(G124,税率及规则!$A$2:$C$8,2,TRUE))</f>
        <v/>
      </c>
      <c r="I124" s="15" t="str">
        <f>IF(G124="","",VLOOKUP(G124,税率及规则!$A$2:$C$8,3,TRUE))</f>
        <v/>
      </c>
      <c r="J124" s="15" t="str">
        <f t="shared" si="13"/>
        <v/>
      </c>
      <c r="K124" s="15" t="str">
        <f>IF(A124="","",SUMIFS(分期缴税台账!$K$2:$K$501,分期缴税台账!$A$2:$A$501,A124,分期缴税台账!$C$2:$C$501,C124,分期缴税台账!$Q$2:$Q$501,"有效"))</f>
        <v/>
      </c>
      <c r="L124" s="15" t="str">
        <f t="shared" si="14"/>
        <v/>
      </c>
      <c r="M124" s="4" t="str">
        <f>IF(A124="","",COUNTIFS(激励事件明细!$C$2:$C$501,A124,激励事件明细!$H$2:$H$501,C124,激励事件明细!$AA$2:$AA$501,"&gt;0"))</f>
        <v/>
      </c>
      <c r="N124" s="4" t="str">
        <f>IF(OR(A124="",C124=""),"",IFERROR(INDEX(激励事件明细!$A$2:$A$501,MATCH(A124&amp;"|"&amp;C124&amp;"|1",激励事件明细!$AM$2:$AM$501,0)),""))</f>
        <v/>
      </c>
      <c r="O124" s="17" t="str">
        <f>IF(N124="","",IFERROR(INDEX(激励事件明细!$AC$2:$AC$501,MATCH(N124,激励事件明细!$A$2:$A$501,0)),""))</f>
        <v/>
      </c>
      <c r="P124" s="4" t="str">
        <f t="shared" ca="1" si="15"/>
        <v/>
      </c>
    </row>
    <row r="125" spans="1:16" x14ac:dyDescent="0.3">
      <c r="A125" s="9"/>
      <c r="B125" s="4" t="str">
        <f>IF(A125="","",IFERROR(INDEX(激励事件明细!$D$2:$D$501,MATCH(A125,激励事件明细!$C$2:$C$501,0)),""))</f>
        <v/>
      </c>
      <c r="C125" s="9"/>
      <c r="D125" s="15" t="str">
        <f>IF(OR(A125="",C125=""),"",SUMIFS(激励事件明细!$T$2:$T$501,激励事件明细!$C$2:$C$501,A125,激励事件明细!$H$2:$H$501,C125,激励事件明细!$F$2:$F$501,"股票期权"))</f>
        <v/>
      </c>
      <c r="E125" s="15" t="str">
        <f>IF(OR(A125="",C125=""),"",SUMIFS(激励事件明细!$T$2:$T$501,激励事件明细!$C$2:$C$501,A125,激励事件明细!$H$2:$H$501,C125,激励事件明细!$F$2:$F$501,"限制性股票"))</f>
        <v/>
      </c>
      <c r="F125" s="15" t="str">
        <f>IF(OR(A125="",C125=""),"",SUMIFS(激励事件明细!$T$2:$T$501,激励事件明细!$C$2:$C$501,A125,激励事件明细!$H$2:$H$501,C125,激励事件明细!$F$2:$F$501,"其他股权激励"))</f>
        <v/>
      </c>
      <c r="G125" s="15" t="str">
        <f t="shared" si="12"/>
        <v/>
      </c>
      <c r="H125" s="16" t="str">
        <f>IF(G125="","",VLOOKUP(G125,税率及规则!$A$2:$C$8,2,TRUE))</f>
        <v/>
      </c>
      <c r="I125" s="15" t="str">
        <f>IF(G125="","",VLOOKUP(G125,税率及规则!$A$2:$C$8,3,TRUE))</f>
        <v/>
      </c>
      <c r="J125" s="15" t="str">
        <f t="shared" si="13"/>
        <v/>
      </c>
      <c r="K125" s="15" t="str">
        <f>IF(A125="","",SUMIFS(分期缴税台账!$K$2:$K$501,分期缴税台账!$A$2:$A$501,A125,分期缴税台账!$C$2:$C$501,C125,分期缴税台账!$Q$2:$Q$501,"有效"))</f>
        <v/>
      </c>
      <c r="L125" s="15" t="str">
        <f t="shared" si="14"/>
        <v/>
      </c>
      <c r="M125" s="4" t="str">
        <f>IF(A125="","",COUNTIFS(激励事件明细!$C$2:$C$501,A125,激励事件明细!$H$2:$H$501,C125,激励事件明细!$AA$2:$AA$501,"&gt;0"))</f>
        <v/>
      </c>
      <c r="N125" s="4" t="str">
        <f>IF(OR(A125="",C125=""),"",IFERROR(INDEX(激励事件明细!$A$2:$A$501,MATCH(A125&amp;"|"&amp;C125&amp;"|1",激励事件明细!$AM$2:$AM$501,0)),""))</f>
        <v/>
      </c>
      <c r="O125" s="17" t="str">
        <f>IF(N125="","",IFERROR(INDEX(激励事件明细!$AC$2:$AC$501,MATCH(N125,激励事件明细!$A$2:$A$501,0)),""))</f>
        <v/>
      </c>
      <c r="P125" s="4" t="str">
        <f t="shared" ca="1" si="15"/>
        <v/>
      </c>
    </row>
    <row r="126" spans="1:16" x14ac:dyDescent="0.3">
      <c r="A126" s="9"/>
      <c r="B126" s="4" t="str">
        <f>IF(A126="","",IFERROR(INDEX(激励事件明细!$D$2:$D$501,MATCH(A126,激励事件明细!$C$2:$C$501,0)),""))</f>
        <v/>
      </c>
      <c r="C126" s="9"/>
      <c r="D126" s="15" t="str">
        <f>IF(OR(A126="",C126=""),"",SUMIFS(激励事件明细!$T$2:$T$501,激励事件明细!$C$2:$C$501,A126,激励事件明细!$H$2:$H$501,C126,激励事件明细!$F$2:$F$501,"股票期权"))</f>
        <v/>
      </c>
      <c r="E126" s="15" t="str">
        <f>IF(OR(A126="",C126=""),"",SUMIFS(激励事件明细!$T$2:$T$501,激励事件明细!$C$2:$C$501,A126,激励事件明细!$H$2:$H$501,C126,激励事件明细!$F$2:$F$501,"限制性股票"))</f>
        <v/>
      </c>
      <c r="F126" s="15" t="str">
        <f>IF(OR(A126="",C126=""),"",SUMIFS(激励事件明细!$T$2:$T$501,激励事件明细!$C$2:$C$501,A126,激励事件明细!$H$2:$H$501,C126,激励事件明细!$F$2:$F$501,"其他股权激励"))</f>
        <v/>
      </c>
      <c r="G126" s="15" t="str">
        <f t="shared" si="12"/>
        <v/>
      </c>
      <c r="H126" s="16" t="str">
        <f>IF(G126="","",VLOOKUP(G126,税率及规则!$A$2:$C$8,2,TRUE))</f>
        <v/>
      </c>
      <c r="I126" s="15" t="str">
        <f>IF(G126="","",VLOOKUP(G126,税率及规则!$A$2:$C$8,3,TRUE))</f>
        <v/>
      </c>
      <c r="J126" s="15" t="str">
        <f t="shared" si="13"/>
        <v/>
      </c>
      <c r="K126" s="15" t="str">
        <f>IF(A126="","",SUMIFS(分期缴税台账!$K$2:$K$501,分期缴税台账!$A$2:$A$501,A126,分期缴税台账!$C$2:$C$501,C126,分期缴税台账!$Q$2:$Q$501,"有效"))</f>
        <v/>
      </c>
      <c r="L126" s="15" t="str">
        <f t="shared" si="14"/>
        <v/>
      </c>
      <c r="M126" s="4" t="str">
        <f>IF(A126="","",COUNTIFS(激励事件明细!$C$2:$C$501,A126,激励事件明细!$H$2:$H$501,C126,激励事件明细!$AA$2:$AA$501,"&gt;0"))</f>
        <v/>
      </c>
      <c r="N126" s="4" t="str">
        <f>IF(OR(A126="",C126=""),"",IFERROR(INDEX(激励事件明细!$A$2:$A$501,MATCH(A126&amp;"|"&amp;C126&amp;"|1",激励事件明细!$AM$2:$AM$501,0)),""))</f>
        <v/>
      </c>
      <c r="O126" s="17" t="str">
        <f>IF(N126="","",IFERROR(INDEX(激励事件明细!$AC$2:$AC$501,MATCH(N126,激励事件明细!$A$2:$A$501,0)),""))</f>
        <v/>
      </c>
      <c r="P126" s="4" t="str">
        <f t="shared" ca="1" si="15"/>
        <v/>
      </c>
    </row>
    <row r="127" spans="1:16" x14ac:dyDescent="0.3">
      <c r="A127" s="9"/>
      <c r="B127" s="4" t="str">
        <f>IF(A127="","",IFERROR(INDEX(激励事件明细!$D$2:$D$501,MATCH(A127,激励事件明细!$C$2:$C$501,0)),""))</f>
        <v/>
      </c>
      <c r="C127" s="9"/>
      <c r="D127" s="15" t="str">
        <f>IF(OR(A127="",C127=""),"",SUMIFS(激励事件明细!$T$2:$T$501,激励事件明细!$C$2:$C$501,A127,激励事件明细!$H$2:$H$501,C127,激励事件明细!$F$2:$F$501,"股票期权"))</f>
        <v/>
      </c>
      <c r="E127" s="15" t="str">
        <f>IF(OR(A127="",C127=""),"",SUMIFS(激励事件明细!$T$2:$T$501,激励事件明细!$C$2:$C$501,A127,激励事件明细!$H$2:$H$501,C127,激励事件明细!$F$2:$F$501,"限制性股票"))</f>
        <v/>
      </c>
      <c r="F127" s="15" t="str">
        <f>IF(OR(A127="",C127=""),"",SUMIFS(激励事件明细!$T$2:$T$501,激励事件明细!$C$2:$C$501,A127,激励事件明细!$H$2:$H$501,C127,激励事件明细!$F$2:$F$501,"其他股权激励"))</f>
        <v/>
      </c>
      <c r="G127" s="15" t="str">
        <f t="shared" si="12"/>
        <v/>
      </c>
      <c r="H127" s="16" t="str">
        <f>IF(G127="","",VLOOKUP(G127,税率及规则!$A$2:$C$8,2,TRUE))</f>
        <v/>
      </c>
      <c r="I127" s="15" t="str">
        <f>IF(G127="","",VLOOKUP(G127,税率及规则!$A$2:$C$8,3,TRUE))</f>
        <v/>
      </c>
      <c r="J127" s="15" t="str">
        <f t="shared" si="13"/>
        <v/>
      </c>
      <c r="K127" s="15" t="str">
        <f>IF(A127="","",SUMIFS(分期缴税台账!$K$2:$K$501,分期缴税台账!$A$2:$A$501,A127,分期缴税台账!$C$2:$C$501,C127,分期缴税台账!$Q$2:$Q$501,"有效"))</f>
        <v/>
      </c>
      <c r="L127" s="15" t="str">
        <f t="shared" si="14"/>
        <v/>
      </c>
      <c r="M127" s="4" t="str">
        <f>IF(A127="","",COUNTIFS(激励事件明细!$C$2:$C$501,A127,激励事件明细!$H$2:$H$501,C127,激励事件明细!$AA$2:$AA$501,"&gt;0"))</f>
        <v/>
      </c>
      <c r="N127" s="4" t="str">
        <f>IF(OR(A127="",C127=""),"",IFERROR(INDEX(激励事件明细!$A$2:$A$501,MATCH(A127&amp;"|"&amp;C127&amp;"|1",激励事件明细!$AM$2:$AM$501,0)),""))</f>
        <v/>
      </c>
      <c r="O127" s="17" t="str">
        <f>IF(N127="","",IFERROR(INDEX(激励事件明细!$AC$2:$AC$501,MATCH(N127,激励事件明细!$A$2:$A$501,0)),""))</f>
        <v/>
      </c>
      <c r="P127" s="4" t="str">
        <f t="shared" ca="1" si="15"/>
        <v/>
      </c>
    </row>
    <row r="128" spans="1:16" x14ac:dyDescent="0.3">
      <c r="A128" s="9"/>
      <c r="B128" s="4" t="str">
        <f>IF(A128="","",IFERROR(INDEX(激励事件明细!$D$2:$D$501,MATCH(A128,激励事件明细!$C$2:$C$501,0)),""))</f>
        <v/>
      </c>
      <c r="C128" s="9"/>
      <c r="D128" s="15" t="str">
        <f>IF(OR(A128="",C128=""),"",SUMIFS(激励事件明细!$T$2:$T$501,激励事件明细!$C$2:$C$501,A128,激励事件明细!$H$2:$H$501,C128,激励事件明细!$F$2:$F$501,"股票期权"))</f>
        <v/>
      </c>
      <c r="E128" s="15" t="str">
        <f>IF(OR(A128="",C128=""),"",SUMIFS(激励事件明细!$T$2:$T$501,激励事件明细!$C$2:$C$501,A128,激励事件明细!$H$2:$H$501,C128,激励事件明细!$F$2:$F$501,"限制性股票"))</f>
        <v/>
      </c>
      <c r="F128" s="15" t="str">
        <f>IF(OR(A128="",C128=""),"",SUMIFS(激励事件明细!$T$2:$T$501,激励事件明细!$C$2:$C$501,A128,激励事件明细!$H$2:$H$501,C128,激励事件明细!$F$2:$F$501,"其他股权激励"))</f>
        <v/>
      </c>
      <c r="G128" s="15" t="str">
        <f t="shared" si="12"/>
        <v/>
      </c>
      <c r="H128" s="16" t="str">
        <f>IF(G128="","",VLOOKUP(G128,税率及规则!$A$2:$C$8,2,TRUE))</f>
        <v/>
      </c>
      <c r="I128" s="15" t="str">
        <f>IF(G128="","",VLOOKUP(G128,税率及规则!$A$2:$C$8,3,TRUE))</f>
        <v/>
      </c>
      <c r="J128" s="15" t="str">
        <f t="shared" si="13"/>
        <v/>
      </c>
      <c r="K128" s="15" t="str">
        <f>IF(A128="","",SUMIFS(分期缴税台账!$K$2:$K$501,分期缴税台账!$A$2:$A$501,A128,分期缴税台账!$C$2:$C$501,C128,分期缴税台账!$Q$2:$Q$501,"有效"))</f>
        <v/>
      </c>
      <c r="L128" s="15" t="str">
        <f t="shared" si="14"/>
        <v/>
      </c>
      <c r="M128" s="4" t="str">
        <f>IF(A128="","",COUNTIFS(激励事件明细!$C$2:$C$501,A128,激励事件明细!$H$2:$H$501,C128,激励事件明细!$AA$2:$AA$501,"&gt;0"))</f>
        <v/>
      </c>
      <c r="N128" s="4" t="str">
        <f>IF(OR(A128="",C128=""),"",IFERROR(INDEX(激励事件明细!$A$2:$A$501,MATCH(A128&amp;"|"&amp;C128&amp;"|1",激励事件明细!$AM$2:$AM$501,0)),""))</f>
        <v/>
      </c>
      <c r="O128" s="17" t="str">
        <f>IF(N128="","",IFERROR(INDEX(激励事件明细!$AC$2:$AC$501,MATCH(N128,激励事件明细!$A$2:$A$501,0)),""))</f>
        <v/>
      </c>
      <c r="P128" s="4" t="str">
        <f t="shared" ca="1" si="15"/>
        <v/>
      </c>
    </row>
    <row r="129" spans="1:16" x14ac:dyDescent="0.3">
      <c r="A129" s="9"/>
      <c r="B129" s="4" t="str">
        <f>IF(A129="","",IFERROR(INDEX(激励事件明细!$D$2:$D$501,MATCH(A129,激励事件明细!$C$2:$C$501,0)),""))</f>
        <v/>
      </c>
      <c r="C129" s="9"/>
      <c r="D129" s="15" t="str">
        <f>IF(OR(A129="",C129=""),"",SUMIFS(激励事件明细!$T$2:$T$501,激励事件明细!$C$2:$C$501,A129,激励事件明细!$H$2:$H$501,C129,激励事件明细!$F$2:$F$501,"股票期权"))</f>
        <v/>
      </c>
      <c r="E129" s="15" t="str">
        <f>IF(OR(A129="",C129=""),"",SUMIFS(激励事件明细!$T$2:$T$501,激励事件明细!$C$2:$C$501,A129,激励事件明细!$H$2:$H$501,C129,激励事件明细!$F$2:$F$501,"限制性股票"))</f>
        <v/>
      </c>
      <c r="F129" s="15" t="str">
        <f>IF(OR(A129="",C129=""),"",SUMIFS(激励事件明细!$T$2:$T$501,激励事件明细!$C$2:$C$501,A129,激励事件明细!$H$2:$H$501,C129,激励事件明细!$F$2:$F$501,"其他股权激励"))</f>
        <v/>
      </c>
      <c r="G129" s="15" t="str">
        <f t="shared" si="12"/>
        <v/>
      </c>
      <c r="H129" s="16" t="str">
        <f>IF(G129="","",VLOOKUP(G129,税率及规则!$A$2:$C$8,2,TRUE))</f>
        <v/>
      </c>
      <c r="I129" s="15" t="str">
        <f>IF(G129="","",VLOOKUP(G129,税率及规则!$A$2:$C$8,3,TRUE))</f>
        <v/>
      </c>
      <c r="J129" s="15" t="str">
        <f t="shared" si="13"/>
        <v/>
      </c>
      <c r="K129" s="15" t="str">
        <f>IF(A129="","",SUMIFS(分期缴税台账!$K$2:$K$501,分期缴税台账!$A$2:$A$501,A129,分期缴税台账!$C$2:$C$501,C129,分期缴税台账!$Q$2:$Q$501,"有效"))</f>
        <v/>
      </c>
      <c r="L129" s="15" t="str">
        <f t="shared" si="14"/>
        <v/>
      </c>
      <c r="M129" s="4" t="str">
        <f>IF(A129="","",COUNTIFS(激励事件明细!$C$2:$C$501,A129,激励事件明细!$H$2:$H$501,C129,激励事件明细!$AA$2:$AA$501,"&gt;0"))</f>
        <v/>
      </c>
      <c r="N129" s="4" t="str">
        <f>IF(OR(A129="",C129=""),"",IFERROR(INDEX(激励事件明细!$A$2:$A$501,MATCH(A129&amp;"|"&amp;C129&amp;"|1",激励事件明细!$AM$2:$AM$501,0)),""))</f>
        <v/>
      </c>
      <c r="O129" s="17" t="str">
        <f>IF(N129="","",IFERROR(INDEX(激励事件明细!$AC$2:$AC$501,MATCH(N129,激励事件明细!$A$2:$A$501,0)),""))</f>
        <v/>
      </c>
      <c r="P129" s="4" t="str">
        <f t="shared" ca="1" si="15"/>
        <v/>
      </c>
    </row>
    <row r="130" spans="1:16" x14ac:dyDescent="0.3">
      <c r="A130" s="9"/>
      <c r="B130" s="4" t="str">
        <f>IF(A130="","",IFERROR(INDEX(激励事件明细!$D$2:$D$501,MATCH(A130,激励事件明细!$C$2:$C$501,0)),""))</f>
        <v/>
      </c>
      <c r="C130" s="9"/>
      <c r="D130" s="15" t="str">
        <f>IF(OR(A130="",C130=""),"",SUMIFS(激励事件明细!$T$2:$T$501,激励事件明细!$C$2:$C$501,A130,激励事件明细!$H$2:$H$501,C130,激励事件明细!$F$2:$F$501,"股票期权"))</f>
        <v/>
      </c>
      <c r="E130" s="15" t="str">
        <f>IF(OR(A130="",C130=""),"",SUMIFS(激励事件明细!$T$2:$T$501,激励事件明细!$C$2:$C$501,A130,激励事件明细!$H$2:$H$501,C130,激励事件明细!$F$2:$F$501,"限制性股票"))</f>
        <v/>
      </c>
      <c r="F130" s="15" t="str">
        <f>IF(OR(A130="",C130=""),"",SUMIFS(激励事件明细!$T$2:$T$501,激励事件明细!$C$2:$C$501,A130,激励事件明细!$H$2:$H$501,C130,激励事件明细!$F$2:$F$501,"其他股权激励"))</f>
        <v/>
      </c>
      <c r="G130" s="15" t="str">
        <f t="shared" ref="G130:G161" si="16">IF(A130="","",SUM(D130:F130))</f>
        <v/>
      </c>
      <c r="H130" s="16" t="str">
        <f>IF(G130="","",VLOOKUP(G130,税率及规则!$A$2:$C$8,2,TRUE))</f>
        <v/>
      </c>
      <c r="I130" s="15" t="str">
        <f>IF(G130="","",VLOOKUP(G130,税率及规则!$A$2:$C$8,3,TRUE))</f>
        <v/>
      </c>
      <c r="J130" s="15" t="str">
        <f t="shared" ref="J130:J161" si="17">IF(G130="","",MAX(0,G130*H130-I130))</f>
        <v/>
      </c>
      <c r="K130" s="15" t="str">
        <f>IF(A130="","",SUMIFS(分期缴税台账!$K$2:$K$501,分期缴税台账!$A$2:$A$501,A130,分期缴税台账!$C$2:$C$501,C130,分期缴税台账!$Q$2:$Q$501,"有效"))</f>
        <v/>
      </c>
      <c r="L130" s="15" t="str">
        <f t="shared" ref="L130:L161" si="18">IF(J130="","",MAX(0,J130-K130))</f>
        <v/>
      </c>
      <c r="M130" s="4" t="str">
        <f>IF(A130="","",COUNTIFS(激励事件明细!$C$2:$C$501,A130,激励事件明细!$H$2:$H$501,C130,激励事件明细!$AA$2:$AA$501,"&gt;0"))</f>
        <v/>
      </c>
      <c r="N130" s="4" t="str">
        <f>IF(OR(A130="",C130=""),"",IFERROR(INDEX(激励事件明细!$A$2:$A$501,MATCH(A130&amp;"|"&amp;C130&amp;"|1",激励事件明细!$AM$2:$AM$501,0)),""))</f>
        <v/>
      </c>
      <c r="O130" s="17" t="str">
        <f>IF(N130="","",IFERROR(INDEX(激励事件明细!$AC$2:$AC$501,MATCH(N130,激励事件明细!$A$2:$A$501,0)),""))</f>
        <v/>
      </c>
      <c r="P130" s="4" t="str">
        <f t="shared" ref="P130:P161" ca="1" si="19">IF(A130="","",IF(M130=0,"",IF(K130&gt;J130,"异常：超额缴税",IF(L130=0,"已缴清",IF(AND(O130&lt;TODAY(),L130&gt;0),"逾期未缴","未缴清")))))</f>
        <v/>
      </c>
    </row>
    <row r="131" spans="1:16" x14ac:dyDescent="0.3">
      <c r="A131" s="9"/>
      <c r="B131" s="4" t="str">
        <f>IF(A131="","",IFERROR(INDEX(激励事件明细!$D$2:$D$501,MATCH(A131,激励事件明细!$C$2:$C$501,0)),""))</f>
        <v/>
      </c>
      <c r="C131" s="9"/>
      <c r="D131" s="15" t="str">
        <f>IF(OR(A131="",C131=""),"",SUMIFS(激励事件明细!$T$2:$T$501,激励事件明细!$C$2:$C$501,A131,激励事件明细!$H$2:$H$501,C131,激励事件明细!$F$2:$F$501,"股票期权"))</f>
        <v/>
      </c>
      <c r="E131" s="15" t="str">
        <f>IF(OR(A131="",C131=""),"",SUMIFS(激励事件明细!$T$2:$T$501,激励事件明细!$C$2:$C$501,A131,激励事件明细!$H$2:$H$501,C131,激励事件明细!$F$2:$F$501,"限制性股票"))</f>
        <v/>
      </c>
      <c r="F131" s="15" t="str">
        <f>IF(OR(A131="",C131=""),"",SUMIFS(激励事件明细!$T$2:$T$501,激励事件明细!$C$2:$C$501,A131,激励事件明细!$H$2:$H$501,C131,激励事件明细!$F$2:$F$501,"其他股权激励"))</f>
        <v/>
      </c>
      <c r="G131" s="15" t="str">
        <f t="shared" si="16"/>
        <v/>
      </c>
      <c r="H131" s="16" t="str">
        <f>IF(G131="","",VLOOKUP(G131,税率及规则!$A$2:$C$8,2,TRUE))</f>
        <v/>
      </c>
      <c r="I131" s="15" t="str">
        <f>IF(G131="","",VLOOKUP(G131,税率及规则!$A$2:$C$8,3,TRUE))</f>
        <v/>
      </c>
      <c r="J131" s="15" t="str">
        <f t="shared" si="17"/>
        <v/>
      </c>
      <c r="K131" s="15" t="str">
        <f>IF(A131="","",SUMIFS(分期缴税台账!$K$2:$K$501,分期缴税台账!$A$2:$A$501,A131,分期缴税台账!$C$2:$C$501,C131,分期缴税台账!$Q$2:$Q$501,"有效"))</f>
        <v/>
      </c>
      <c r="L131" s="15" t="str">
        <f t="shared" si="18"/>
        <v/>
      </c>
      <c r="M131" s="4" t="str">
        <f>IF(A131="","",COUNTIFS(激励事件明细!$C$2:$C$501,A131,激励事件明细!$H$2:$H$501,C131,激励事件明细!$AA$2:$AA$501,"&gt;0"))</f>
        <v/>
      </c>
      <c r="N131" s="4" t="str">
        <f>IF(OR(A131="",C131=""),"",IFERROR(INDEX(激励事件明细!$A$2:$A$501,MATCH(A131&amp;"|"&amp;C131&amp;"|1",激励事件明细!$AM$2:$AM$501,0)),""))</f>
        <v/>
      </c>
      <c r="O131" s="17" t="str">
        <f>IF(N131="","",IFERROR(INDEX(激励事件明细!$AC$2:$AC$501,MATCH(N131,激励事件明细!$A$2:$A$501,0)),""))</f>
        <v/>
      </c>
      <c r="P131" s="4" t="str">
        <f t="shared" ca="1" si="19"/>
        <v/>
      </c>
    </row>
    <row r="132" spans="1:16" x14ac:dyDescent="0.3">
      <c r="A132" s="9"/>
      <c r="B132" s="4" t="str">
        <f>IF(A132="","",IFERROR(INDEX(激励事件明细!$D$2:$D$501,MATCH(A132,激励事件明细!$C$2:$C$501,0)),""))</f>
        <v/>
      </c>
      <c r="C132" s="9"/>
      <c r="D132" s="15" t="str">
        <f>IF(OR(A132="",C132=""),"",SUMIFS(激励事件明细!$T$2:$T$501,激励事件明细!$C$2:$C$501,A132,激励事件明细!$H$2:$H$501,C132,激励事件明细!$F$2:$F$501,"股票期权"))</f>
        <v/>
      </c>
      <c r="E132" s="15" t="str">
        <f>IF(OR(A132="",C132=""),"",SUMIFS(激励事件明细!$T$2:$T$501,激励事件明细!$C$2:$C$501,A132,激励事件明细!$H$2:$H$501,C132,激励事件明细!$F$2:$F$501,"限制性股票"))</f>
        <v/>
      </c>
      <c r="F132" s="15" t="str">
        <f>IF(OR(A132="",C132=""),"",SUMIFS(激励事件明细!$T$2:$T$501,激励事件明细!$C$2:$C$501,A132,激励事件明细!$H$2:$H$501,C132,激励事件明细!$F$2:$F$501,"其他股权激励"))</f>
        <v/>
      </c>
      <c r="G132" s="15" t="str">
        <f t="shared" si="16"/>
        <v/>
      </c>
      <c r="H132" s="16" t="str">
        <f>IF(G132="","",VLOOKUP(G132,税率及规则!$A$2:$C$8,2,TRUE))</f>
        <v/>
      </c>
      <c r="I132" s="15" t="str">
        <f>IF(G132="","",VLOOKUP(G132,税率及规则!$A$2:$C$8,3,TRUE))</f>
        <v/>
      </c>
      <c r="J132" s="15" t="str">
        <f t="shared" si="17"/>
        <v/>
      </c>
      <c r="K132" s="15" t="str">
        <f>IF(A132="","",SUMIFS(分期缴税台账!$K$2:$K$501,分期缴税台账!$A$2:$A$501,A132,分期缴税台账!$C$2:$C$501,C132,分期缴税台账!$Q$2:$Q$501,"有效"))</f>
        <v/>
      </c>
      <c r="L132" s="15" t="str">
        <f t="shared" si="18"/>
        <v/>
      </c>
      <c r="M132" s="4" t="str">
        <f>IF(A132="","",COUNTIFS(激励事件明细!$C$2:$C$501,A132,激励事件明细!$H$2:$H$501,C132,激励事件明细!$AA$2:$AA$501,"&gt;0"))</f>
        <v/>
      </c>
      <c r="N132" s="4" t="str">
        <f>IF(OR(A132="",C132=""),"",IFERROR(INDEX(激励事件明细!$A$2:$A$501,MATCH(A132&amp;"|"&amp;C132&amp;"|1",激励事件明细!$AM$2:$AM$501,0)),""))</f>
        <v/>
      </c>
      <c r="O132" s="17" t="str">
        <f>IF(N132="","",IFERROR(INDEX(激励事件明细!$AC$2:$AC$501,MATCH(N132,激励事件明细!$A$2:$A$501,0)),""))</f>
        <v/>
      </c>
      <c r="P132" s="4" t="str">
        <f t="shared" ca="1" si="19"/>
        <v/>
      </c>
    </row>
    <row r="133" spans="1:16" x14ac:dyDescent="0.3">
      <c r="A133" s="9"/>
      <c r="B133" s="4" t="str">
        <f>IF(A133="","",IFERROR(INDEX(激励事件明细!$D$2:$D$501,MATCH(A133,激励事件明细!$C$2:$C$501,0)),""))</f>
        <v/>
      </c>
      <c r="C133" s="9"/>
      <c r="D133" s="15" t="str">
        <f>IF(OR(A133="",C133=""),"",SUMIFS(激励事件明细!$T$2:$T$501,激励事件明细!$C$2:$C$501,A133,激励事件明细!$H$2:$H$501,C133,激励事件明细!$F$2:$F$501,"股票期权"))</f>
        <v/>
      </c>
      <c r="E133" s="15" t="str">
        <f>IF(OR(A133="",C133=""),"",SUMIFS(激励事件明细!$T$2:$T$501,激励事件明细!$C$2:$C$501,A133,激励事件明细!$H$2:$H$501,C133,激励事件明细!$F$2:$F$501,"限制性股票"))</f>
        <v/>
      </c>
      <c r="F133" s="15" t="str">
        <f>IF(OR(A133="",C133=""),"",SUMIFS(激励事件明细!$T$2:$T$501,激励事件明细!$C$2:$C$501,A133,激励事件明细!$H$2:$H$501,C133,激励事件明细!$F$2:$F$501,"其他股权激励"))</f>
        <v/>
      </c>
      <c r="G133" s="15" t="str">
        <f t="shared" si="16"/>
        <v/>
      </c>
      <c r="H133" s="16" t="str">
        <f>IF(G133="","",VLOOKUP(G133,税率及规则!$A$2:$C$8,2,TRUE))</f>
        <v/>
      </c>
      <c r="I133" s="15" t="str">
        <f>IF(G133="","",VLOOKUP(G133,税率及规则!$A$2:$C$8,3,TRUE))</f>
        <v/>
      </c>
      <c r="J133" s="15" t="str">
        <f t="shared" si="17"/>
        <v/>
      </c>
      <c r="K133" s="15" t="str">
        <f>IF(A133="","",SUMIFS(分期缴税台账!$K$2:$K$501,分期缴税台账!$A$2:$A$501,A133,分期缴税台账!$C$2:$C$501,C133,分期缴税台账!$Q$2:$Q$501,"有效"))</f>
        <v/>
      </c>
      <c r="L133" s="15" t="str">
        <f t="shared" si="18"/>
        <v/>
      </c>
      <c r="M133" s="4" t="str">
        <f>IF(A133="","",COUNTIFS(激励事件明细!$C$2:$C$501,A133,激励事件明细!$H$2:$H$501,C133,激励事件明细!$AA$2:$AA$501,"&gt;0"))</f>
        <v/>
      </c>
      <c r="N133" s="4" t="str">
        <f>IF(OR(A133="",C133=""),"",IFERROR(INDEX(激励事件明细!$A$2:$A$501,MATCH(A133&amp;"|"&amp;C133&amp;"|1",激励事件明细!$AM$2:$AM$501,0)),""))</f>
        <v/>
      </c>
      <c r="O133" s="17" t="str">
        <f>IF(N133="","",IFERROR(INDEX(激励事件明细!$AC$2:$AC$501,MATCH(N133,激励事件明细!$A$2:$A$501,0)),""))</f>
        <v/>
      </c>
      <c r="P133" s="4" t="str">
        <f t="shared" ca="1" si="19"/>
        <v/>
      </c>
    </row>
    <row r="134" spans="1:16" x14ac:dyDescent="0.3">
      <c r="A134" s="9"/>
      <c r="B134" s="4" t="str">
        <f>IF(A134="","",IFERROR(INDEX(激励事件明细!$D$2:$D$501,MATCH(A134,激励事件明细!$C$2:$C$501,0)),""))</f>
        <v/>
      </c>
      <c r="C134" s="9"/>
      <c r="D134" s="15" t="str">
        <f>IF(OR(A134="",C134=""),"",SUMIFS(激励事件明细!$T$2:$T$501,激励事件明细!$C$2:$C$501,A134,激励事件明细!$H$2:$H$501,C134,激励事件明细!$F$2:$F$501,"股票期权"))</f>
        <v/>
      </c>
      <c r="E134" s="15" t="str">
        <f>IF(OR(A134="",C134=""),"",SUMIFS(激励事件明细!$T$2:$T$501,激励事件明细!$C$2:$C$501,A134,激励事件明细!$H$2:$H$501,C134,激励事件明细!$F$2:$F$501,"限制性股票"))</f>
        <v/>
      </c>
      <c r="F134" s="15" t="str">
        <f>IF(OR(A134="",C134=""),"",SUMIFS(激励事件明细!$T$2:$T$501,激励事件明细!$C$2:$C$501,A134,激励事件明细!$H$2:$H$501,C134,激励事件明细!$F$2:$F$501,"其他股权激励"))</f>
        <v/>
      </c>
      <c r="G134" s="15" t="str">
        <f t="shared" si="16"/>
        <v/>
      </c>
      <c r="H134" s="16" t="str">
        <f>IF(G134="","",VLOOKUP(G134,税率及规则!$A$2:$C$8,2,TRUE))</f>
        <v/>
      </c>
      <c r="I134" s="15" t="str">
        <f>IF(G134="","",VLOOKUP(G134,税率及规则!$A$2:$C$8,3,TRUE))</f>
        <v/>
      </c>
      <c r="J134" s="15" t="str">
        <f t="shared" si="17"/>
        <v/>
      </c>
      <c r="K134" s="15" t="str">
        <f>IF(A134="","",SUMIFS(分期缴税台账!$K$2:$K$501,分期缴税台账!$A$2:$A$501,A134,分期缴税台账!$C$2:$C$501,C134,分期缴税台账!$Q$2:$Q$501,"有效"))</f>
        <v/>
      </c>
      <c r="L134" s="15" t="str">
        <f t="shared" si="18"/>
        <v/>
      </c>
      <c r="M134" s="4" t="str">
        <f>IF(A134="","",COUNTIFS(激励事件明细!$C$2:$C$501,A134,激励事件明细!$H$2:$H$501,C134,激励事件明细!$AA$2:$AA$501,"&gt;0"))</f>
        <v/>
      </c>
      <c r="N134" s="4" t="str">
        <f>IF(OR(A134="",C134=""),"",IFERROR(INDEX(激励事件明细!$A$2:$A$501,MATCH(A134&amp;"|"&amp;C134&amp;"|1",激励事件明细!$AM$2:$AM$501,0)),""))</f>
        <v/>
      </c>
      <c r="O134" s="17" t="str">
        <f>IF(N134="","",IFERROR(INDEX(激励事件明细!$AC$2:$AC$501,MATCH(N134,激励事件明细!$A$2:$A$501,0)),""))</f>
        <v/>
      </c>
      <c r="P134" s="4" t="str">
        <f t="shared" ca="1" si="19"/>
        <v/>
      </c>
    </row>
    <row r="135" spans="1:16" x14ac:dyDescent="0.3">
      <c r="A135" s="9"/>
      <c r="B135" s="4" t="str">
        <f>IF(A135="","",IFERROR(INDEX(激励事件明细!$D$2:$D$501,MATCH(A135,激励事件明细!$C$2:$C$501,0)),""))</f>
        <v/>
      </c>
      <c r="C135" s="9"/>
      <c r="D135" s="15" t="str">
        <f>IF(OR(A135="",C135=""),"",SUMIFS(激励事件明细!$T$2:$T$501,激励事件明细!$C$2:$C$501,A135,激励事件明细!$H$2:$H$501,C135,激励事件明细!$F$2:$F$501,"股票期权"))</f>
        <v/>
      </c>
      <c r="E135" s="15" t="str">
        <f>IF(OR(A135="",C135=""),"",SUMIFS(激励事件明细!$T$2:$T$501,激励事件明细!$C$2:$C$501,A135,激励事件明细!$H$2:$H$501,C135,激励事件明细!$F$2:$F$501,"限制性股票"))</f>
        <v/>
      </c>
      <c r="F135" s="15" t="str">
        <f>IF(OR(A135="",C135=""),"",SUMIFS(激励事件明细!$T$2:$T$501,激励事件明细!$C$2:$C$501,A135,激励事件明细!$H$2:$H$501,C135,激励事件明细!$F$2:$F$501,"其他股权激励"))</f>
        <v/>
      </c>
      <c r="G135" s="15" t="str">
        <f t="shared" si="16"/>
        <v/>
      </c>
      <c r="H135" s="16" t="str">
        <f>IF(G135="","",VLOOKUP(G135,税率及规则!$A$2:$C$8,2,TRUE))</f>
        <v/>
      </c>
      <c r="I135" s="15" t="str">
        <f>IF(G135="","",VLOOKUP(G135,税率及规则!$A$2:$C$8,3,TRUE))</f>
        <v/>
      </c>
      <c r="J135" s="15" t="str">
        <f t="shared" si="17"/>
        <v/>
      </c>
      <c r="K135" s="15" t="str">
        <f>IF(A135="","",SUMIFS(分期缴税台账!$K$2:$K$501,分期缴税台账!$A$2:$A$501,A135,分期缴税台账!$C$2:$C$501,C135,分期缴税台账!$Q$2:$Q$501,"有效"))</f>
        <v/>
      </c>
      <c r="L135" s="15" t="str">
        <f t="shared" si="18"/>
        <v/>
      </c>
      <c r="M135" s="4" t="str">
        <f>IF(A135="","",COUNTIFS(激励事件明细!$C$2:$C$501,A135,激励事件明细!$H$2:$H$501,C135,激励事件明细!$AA$2:$AA$501,"&gt;0"))</f>
        <v/>
      </c>
      <c r="N135" s="4" t="str">
        <f>IF(OR(A135="",C135=""),"",IFERROR(INDEX(激励事件明细!$A$2:$A$501,MATCH(A135&amp;"|"&amp;C135&amp;"|1",激励事件明细!$AM$2:$AM$501,0)),""))</f>
        <v/>
      </c>
      <c r="O135" s="17" t="str">
        <f>IF(N135="","",IFERROR(INDEX(激励事件明细!$AC$2:$AC$501,MATCH(N135,激励事件明细!$A$2:$A$501,0)),""))</f>
        <v/>
      </c>
      <c r="P135" s="4" t="str">
        <f t="shared" ca="1" si="19"/>
        <v/>
      </c>
    </row>
    <row r="136" spans="1:16" x14ac:dyDescent="0.3">
      <c r="A136" s="9"/>
      <c r="B136" s="4" t="str">
        <f>IF(A136="","",IFERROR(INDEX(激励事件明细!$D$2:$D$501,MATCH(A136,激励事件明细!$C$2:$C$501,0)),""))</f>
        <v/>
      </c>
      <c r="C136" s="9"/>
      <c r="D136" s="15" t="str">
        <f>IF(OR(A136="",C136=""),"",SUMIFS(激励事件明细!$T$2:$T$501,激励事件明细!$C$2:$C$501,A136,激励事件明细!$H$2:$H$501,C136,激励事件明细!$F$2:$F$501,"股票期权"))</f>
        <v/>
      </c>
      <c r="E136" s="15" t="str">
        <f>IF(OR(A136="",C136=""),"",SUMIFS(激励事件明细!$T$2:$T$501,激励事件明细!$C$2:$C$501,A136,激励事件明细!$H$2:$H$501,C136,激励事件明细!$F$2:$F$501,"限制性股票"))</f>
        <v/>
      </c>
      <c r="F136" s="15" t="str">
        <f>IF(OR(A136="",C136=""),"",SUMIFS(激励事件明细!$T$2:$T$501,激励事件明细!$C$2:$C$501,A136,激励事件明细!$H$2:$H$501,C136,激励事件明细!$F$2:$F$501,"其他股权激励"))</f>
        <v/>
      </c>
      <c r="G136" s="15" t="str">
        <f t="shared" si="16"/>
        <v/>
      </c>
      <c r="H136" s="16" t="str">
        <f>IF(G136="","",VLOOKUP(G136,税率及规则!$A$2:$C$8,2,TRUE))</f>
        <v/>
      </c>
      <c r="I136" s="15" t="str">
        <f>IF(G136="","",VLOOKUP(G136,税率及规则!$A$2:$C$8,3,TRUE))</f>
        <v/>
      </c>
      <c r="J136" s="15" t="str">
        <f t="shared" si="17"/>
        <v/>
      </c>
      <c r="K136" s="15" t="str">
        <f>IF(A136="","",SUMIFS(分期缴税台账!$K$2:$K$501,分期缴税台账!$A$2:$A$501,A136,分期缴税台账!$C$2:$C$501,C136,分期缴税台账!$Q$2:$Q$501,"有效"))</f>
        <v/>
      </c>
      <c r="L136" s="15" t="str">
        <f t="shared" si="18"/>
        <v/>
      </c>
      <c r="M136" s="4" t="str">
        <f>IF(A136="","",COUNTIFS(激励事件明细!$C$2:$C$501,A136,激励事件明细!$H$2:$H$501,C136,激励事件明细!$AA$2:$AA$501,"&gt;0"))</f>
        <v/>
      </c>
      <c r="N136" s="4" t="str">
        <f>IF(OR(A136="",C136=""),"",IFERROR(INDEX(激励事件明细!$A$2:$A$501,MATCH(A136&amp;"|"&amp;C136&amp;"|1",激励事件明细!$AM$2:$AM$501,0)),""))</f>
        <v/>
      </c>
      <c r="O136" s="17" t="str">
        <f>IF(N136="","",IFERROR(INDEX(激励事件明细!$AC$2:$AC$501,MATCH(N136,激励事件明细!$A$2:$A$501,0)),""))</f>
        <v/>
      </c>
      <c r="P136" s="4" t="str">
        <f t="shared" ca="1" si="19"/>
        <v/>
      </c>
    </row>
    <row r="137" spans="1:16" x14ac:dyDescent="0.3">
      <c r="A137" s="9"/>
      <c r="B137" s="4" t="str">
        <f>IF(A137="","",IFERROR(INDEX(激励事件明细!$D$2:$D$501,MATCH(A137,激励事件明细!$C$2:$C$501,0)),""))</f>
        <v/>
      </c>
      <c r="C137" s="9"/>
      <c r="D137" s="15" t="str">
        <f>IF(OR(A137="",C137=""),"",SUMIFS(激励事件明细!$T$2:$T$501,激励事件明细!$C$2:$C$501,A137,激励事件明细!$H$2:$H$501,C137,激励事件明细!$F$2:$F$501,"股票期权"))</f>
        <v/>
      </c>
      <c r="E137" s="15" t="str">
        <f>IF(OR(A137="",C137=""),"",SUMIFS(激励事件明细!$T$2:$T$501,激励事件明细!$C$2:$C$501,A137,激励事件明细!$H$2:$H$501,C137,激励事件明细!$F$2:$F$501,"限制性股票"))</f>
        <v/>
      </c>
      <c r="F137" s="15" t="str">
        <f>IF(OR(A137="",C137=""),"",SUMIFS(激励事件明细!$T$2:$T$501,激励事件明细!$C$2:$C$501,A137,激励事件明细!$H$2:$H$501,C137,激励事件明细!$F$2:$F$501,"其他股权激励"))</f>
        <v/>
      </c>
      <c r="G137" s="15" t="str">
        <f t="shared" si="16"/>
        <v/>
      </c>
      <c r="H137" s="16" t="str">
        <f>IF(G137="","",VLOOKUP(G137,税率及规则!$A$2:$C$8,2,TRUE))</f>
        <v/>
      </c>
      <c r="I137" s="15" t="str">
        <f>IF(G137="","",VLOOKUP(G137,税率及规则!$A$2:$C$8,3,TRUE))</f>
        <v/>
      </c>
      <c r="J137" s="15" t="str">
        <f t="shared" si="17"/>
        <v/>
      </c>
      <c r="K137" s="15" t="str">
        <f>IF(A137="","",SUMIFS(分期缴税台账!$K$2:$K$501,分期缴税台账!$A$2:$A$501,A137,分期缴税台账!$C$2:$C$501,C137,分期缴税台账!$Q$2:$Q$501,"有效"))</f>
        <v/>
      </c>
      <c r="L137" s="15" t="str">
        <f t="shared" si="18"/>
        <v/>
      </c>
      <c r="M137" s="4" t="str">
        <f>IF(A137="","",COUNTIFS(激励事件明细!$C$2:$C$501,A137,激励事件明细!$H$2:$H$501,C137,激励事件明细!$AA$2:$AA$501,"&gt;0"))</f>
        <v/>
      </c>
      <c r="N137" s="4" t="str">
        <f>IF(OR(A137="",C137=""),"",IFERROR(INDEX(激励事件明细!$A$2:$A$501,MATCH(A137&amp;"|"&amp;C137&amp;"|1",激励事件明细!$AM$2:$AM$501,0)),""))</f>
        <v/>
      </c>
      <c r="O137" s="17" t="str">
        <f>IF(N137="","",IFERROR(INDEX(激励事件明细!$AC$2:$AC$501,MATCH(N137,激励事件明细!$A$2:$A$501,0)),""))</f>
        <v/>
      </c>
      <c r="P137" s="4" t="str">
        <f t="shared" ca="1" si="19"/>
        <v/>
      </c>
    </row>
    <row r="138" spans="1:16" x14ac:dyDescent="0.3">
      <c r="A138" s="9"/>
      <c r="B138" s="4" t="str">
        <f>IF(A138="","",IFERROR(INDEX(激励事件明细!$D$2:$D$501,MATCH(A138,激励事件明细!$C$2:$C$501,0)),""))</f>
        <v/>
      </c>
      <c r="C138" s="9"/>
      <c r="D138" s="15" t="str">
        <f>IF(OR(A138="",C138=""),"",SUMIFS(激励事件明细!$T$2:$T$501,激励事件明细!$C$2:$C$501,A138,激励事件明细!$H$2:$H$501,C138,激励事件明细!$F$2:$F$501,"股票期权"))</f>
        <v/>
      </c>
      <c r="E138" s="15" t="str">
        <f>IF(OR(A138="",C138=""),"",SUMIFS(激励事件明细!$T$2:$T$501,激励事件明细!$C$2:$C$501,A138,激励事件明细!$H$2:$H$501,C138,激励事件明细!$F$2:$F$501,"限制性股票"))</f>
        <v/>
      </c>
      <c r="F138" s="15" t="str">
        <f>IF(OR(A138="",C138=""),"",SUMIFS(激励事件明细!$T$2:$T$501,激励事件明细!$C$2:$C$501,A138,激励事件明细!$H$2:$H$501,C138,激励事件明细!$F$2:$F$501,"其他股权激励"))</f>
        <v/>
      </c>
      <c r="G138" s="15" t="str">
        <f t="shared" si="16"/>
        <v/>
      </c>
      <c r="H138" s="16" t="str">
        <f>IF(G138="","",VLOOKUP(G138,税率及规则!$A$2:$C$8,2,TRUE))</f>
        <v/>
      </c>
      <c r="I138" s="15" t="str">
        <f>IF(G138="","",VLOOKUP(G138,税率及规则!$A$2:$C$8,3,TRUE))</f>
        <v/>
      </c>
      <c r="J138" s="15" t="str">
        <f t="shared" si="17"/>
        <v/>
      </c>
      <c r="K138" s="15" t="str">
        <f>IF(A138="","",SUMIFS(分期缴税台账!$K$2:$K$501,分期缴税台账!$A$2:$A$501,A138,分期缴税台账!$C$2:$C$501,C138,分期缴税台账!$Q$2:$Q$501,"有效"))</f>
        <v/>
      </c>
      <c r="L138" s="15" t="str">
        <f t="shared" si="18"/>
        <v/>
      </c>
      <c r="M138" s="4" t="str">
        <f>IF(A138="","",COUNTIFS(激励事件明细!$C$2:$C$501,A138,激励事件明细!$H$2:$H$501,C138,激励事件明细!$AA$2:$AA$501,"&gt;0"))</f>
        <v/>
      </c>
      <c r="N138" s="4" t="str">
        <f>IF(OR(A138="",C138=""),"",IFERROR(INDEX(激励事件明细!$A$2:$A$501,MATCH(A138&amp;"|"&amp;C138&amp;"|1",激励事件明细!$AM$2:$AM$501,0)),""))</f>
        <v/>
      </c>
      <c r="O138" s="17" t="str">
        <f>IF(N138="","",IFERROR(INDEX(激励事件明细!$AC$2:$AC$501,MATCH(N138,激励事件明细!$A$2:$A$501,0)),""))</f>
        <v/>
      </c>
      <c r="P138" s="4" t="str">
        <f t="shared" ca="1" si="19"/>
        <v/>
      </c>
    </row>
    <row r="139" spans="1:16" x14ac:dyDescent="0.3">
      <c r="A139" s="9"/>
      <c r="B139" s="4" t="str">
        <f>IF(A139="","",IFERROR(INDEX(激励事件明细!$D$2:$D$501,MATCH(A139,激励事件明细!$C$2:$C$501,0)),""))</f>
        <v/>
      </c>
      <c r="C139" s="9"/>
      <c r="D139" s="15" t="str">
        <f>IF(OR(A139="",C139=""),"",SUMIFS(激励事件明细!$T$2:$T$501,激励事件明细!$C$2:$C$501,A139,激励事件明细!$H$2:$H$501,C139,激励事件明细!$F$2:$F$501,"股票期权"))</f>
        <v/>
      </c>
      <c r="E139" s="15" t="str">
        <f>IF(OR(A139="",C139=""),"",SUMIFS(激励事件明细!$T$2:$T$501,激励事件明细!$C$2:$C$501,A139,激励事件明细!$H$2:$H$501,C139,激励事件明细!$F$2:$F$501,"限制性股票"))</f>
        <v/>
      </c>
      <c r="F139" s="15" t="str">
        <f>IF(OR(A139="",C139=""),"",SUMIFS(激励事件明细!$T$2:$T$501,激励事件明细!$C$2:$C$501,A139,激励事件明细!$H$2:$H$501,C139,激励事件明细!$F$2:$F$501,"其他股权激励"))</f>
        <v/>
      </c>
      <c r="G139" s="15" t="str">
        <f t="shared" si="16"/>
        <v/>
      </c>
      <c r="H139" s="16" t="str">
        <f>IF(G139="","",VLOOKUP(G139,税率及规则!$A$2:$C$8,2,TRUE))</f>
        <v/>
      </c>
      <c r="I139" s="15" t="str">
        <f>IF(G139="","",VLOOKUP(G139,税率及规则!$A$2:$C$8,3,TRUE))</f>
        <v/>
      </c>
      <c r="J139" s="15" t="str">
        <f t="shared" si="17"/>
        <v/>
      </c>
      <c r="K139" s="15" t="str">
        <f>IF(A139="","",SUMIFS(分期缴税台账!$K$2:$K$501,分期缴税台账!$A$2:$A$501,A139,分期缴税台账!$C$2:$C$501,C139,分期缴税台账!$Q$2:$Q$501,"有效"))</f>
        <v/>
      </c>
      <c r="L139" s="15" t="str">
        <f t="shared" si="18"/>
        <v/>
      </c>
      <c r="M139" s="4" t="str">
        <f>IF(A139="","",COUNTIFS(激励事件明细!$C$2:$C$501,A139,激励事件明细!$H$2:$H$501,C139,激励事件明细!$AA$2:$AA$501,"&gt;0"))</f>
        <v/>
      </c>
      <c r="N139" s="4" t="str">
        <f>IF(OR(A139="",C139=""),"",IFERROR(INDEX(激励事件明细!$A$2:$A$501,MATCH(A139&amp;"|"&amp;C139&amp;"|1",激励事件明细!$AM$2:$AM$501,0)),""))</f>
        <v/>
      </c>
      <c r="O139" s="17" t="str">
        <f>IF(N139="","",IFERROR(INDEX(激励事件明细!$AC$2:$AC$501,MATCH(N139,激励事件明细!$A$2:$A$501,0)),""))</f>
        <v/>
      </c>
      <c r="P139" s="4" t="str">
        <f t="shared" ca="1" si="19"/>
        <v/>
      </c>
    </row>
    <row r="140" spans="1:16" x14ac:dyDescent="0.3">
      <c r="A140" s="9"/>
      <c r="B140" s="4" t="str">
        <f>IF(A140="","",IFERROR(INDEX(激励事件明细!$D$2:$D$501,MATCH(A140,激励事件明细!$C$2:$C$501,0)),""))</f>
        <v/>
      </c>
      <c r="C140" s="9"/>
      <c r="D140" s="15" t="str">
        <f>IF(OR(A140="",C140=""),"",SUMIFS(激励事件明细!$T$2:$T$501,激励事件明细!$C$2:$C$501,A140,激励事件明细!$H$2:$H$501,C140,激励事件明细!$F$2:$F$501,"股票期权"))</f>
        <v/>
      </c>
      <c r="E140" s="15" t="str">
        <f>IF(OR(A140="",C140=""),"",SUMIFS(激励事件明细!$T$2:$T$501,激励事件明细!$C$2:$C$501,A140,激励事件明细!$H$2:$H$501,C140,激励事件明细!$F$2:$F$501,"限制性股票"))</f>
        <v/>
      </c>
      <c r="F140" s="15" t="str">
        <f>IF(OR(A140="",C140=""),"",SUMIFS(激励事件明细!$T$2:$T$501,激励事件明细!$C$2:$C$501,A140,激励事件明细!$H$2:$H$501,C140,激励事件明细!$F$2:$F$501,"其他股权激励"))</f>
        <v/>
      </c>
      <c r="G140" s="15" t="str">
        <f t="shared" si="16"/>
        <v/>
      </c>
      <c r="H140" s="16" t="str">
        <f>IF(G140="","",VLOOKUP(G140,税率及规则!$A$2:$C$8,2,TRUE))</f>
        <v/>
      </c>
      <c r="I140" s="15" t="str">
        <f>IF(G140="","",VLOOKUP(G140,税率及规则!$A$2:$C$8,3,TRUE))</f>
        <v/>
      </c>
      <c r="J140" s="15" t="str">
        <f t="shared" si="17"/>
        <v/>
      </c>
      <c r="K140" s="15" t="str">
        <f>IF(A140="","",SUMIFS(分期缴税台账!$K$2:$K$501,分期缴税台账!$A$2:$A$501,A140,分期缴税台账!$C$2:$C$501,C140,分期缴税台账!$Q$2:$Q$501,"有效"))</f>
        <v/>
      </c>
      <c r="L140" s="15" t="str">
        <f t="shared" si="18"/>
        <v/>
      </c>
      <c r="M140" s="4" t="str">
        <f>IF(A140="","",COUNTIFS(激励事件明细!$C$2:$C$501,A140,激励事件明细!$H$2:$H$501,C140,激励事件明细!$AA$2:$AA$501,"&gt;0"))</f>
        <v/>
      </c>
      <c r="N140" s="4" t="str">
        <f>IF(OR(A140="",C140=""),"",IFERROR(INDEX(激励事件明细!$A$2:$A$501,MATCH(A140&amp;"|"&amp;C140&amp;"|1",激励事件明细!$AM$2:$AM$501,0)),""))</f>
        <v/>
      </c>
      <c r="O140" s="17" t="str">
        <f>IF(N140="","",IFERROR(INDEX(激励事件明细!$AC$2:$AC$501,MATCH(N140,激励事件明细!$A$2:$A$501,0)),""))</f>
        <v/>
      </c>
      <c r="P140" s="4" t="str">
        <f t="shared" ca="1" si="19"/>
        <v/>
      </c>
    </row>
    <row r="141" spans="1:16" x14ac:dyDescent="0.3">
      <c r="A141" s="9"/>
      <c r="B141" s="4" t="str">
        <f>IF(A141="","",IFERROR(INDEX(激励事件明细!$D$2:$D$501,MATCH(A141,激励事件明细!$C$2:$C$501,0)),""))</f>
        <v/>
      </c>
      <c r="C141" s="9"/>
      <c r="D141" s="15" t="str">
        <f>IF(OR(A141="",C141=""),"",SUMIFS(激励事件明细!$T$2:$T$501,激励事件明细!$C$2:$C$501,A141,激励事件明细!$H$2:$H$501,C141,激励事件明细!$F$2:$F$501,"股票期权"))</f>
        <v/>
      </c>
      <c r="E141" s="15" t="str">
        <f>IF(OR(A141="",C141=""),"",SUMIFS(激励事件明细!$T$2:$T$501,激励事件明细!$C$2:$C$501,A141,激励事件明细!$H$2:$H$501,C141,激励事件明细!$F$2:$F$501,"限制性股票"))</f>
        <v/>
      </c>
      <c r="F141" s="15" t="str">
        <f>IF(OR(A141="",C141=""),"",SUMIFS(激励事件明细!$T$2:$T$501,激励事件明细!$C$2:$C$501,A141,激励事件明细!$H$2:$H$501,C141,激励事件明细!$F$2:$F$501,"其他股权激励"))</f>
        <v/>
      </c>
      <c r="G141" s="15" t="str">
        <f t="shared" si="16"/>
        <v/>
      </c>
      <c r="H141" s="16" t="str">
        <f>IF(G141="","",VLOOKUP(G141,税率及规则!$A$2:$C$8,2,TRUE))</f>
        <v/>
      </c>
      <c r="I141" s="15" t="str">
        <f>IF(G141="","",VLOOKUP(G141,税率及规则!$A$2:$C$8,3,TRUE))</f>
        <v/>
      </c>
      <c r="J141" s="15" t="str">
        <f t="shared" si="17"/>
        <v/>
      </c>
      <c r="K141" s="15" t="str">
        <f>IF(A141="","",SUMIFS(分期缴税台账!$K$2:$K$501,分期缴税台账!$A$2:$A$501,A141,分期缴税台账!$C$2:$C$501,C141,分期缴税台账!$Q$2:$Q$501,"有效"))</f>
        <v/>
      </c>
      <c r="L141" s="15" t="str">
        <f t="shared" si="18"/>
        <v/>
      </c>
      <c r="M141" s="4" t="str">
        <f>IF(A141="","",COUNTIFS(激励事件明细!$C$2:$C$501,A141,激励事件明细!$H$2:$H$501,C141,激励事件明细!$AA$2:$AA$501,"&gt;0"))</f>
        <v/>
      </c>
      <c r="N141" s="4" t="str">
        <f>IF(OR(A141="",C141=""),"",IFERROR(INDEX(激励事件明细!$A$2:$A$501,MATCH(A141&amp;"|"&amp;C141&amp;"|1",激励事件明细!$AM$2:$AM$501,0)),""))</f>
        <v/>
      </c>
      <c r="O141" s="17" t="str">
        <f>IF(N141="","",IFERROR(INDEX(激励事件明细!$AC$2:$AC$501,MATCH(N141,激励事件明细!$A$2:$A$501,0)),""))</f>
        <v/>
      </c>
      <c r="P141" s="4" t="str">
        <f t="shared" ca="1" si="19"/>
        <v/>
      </c>
    </row>
    <row r="142" spans="1:16" x14ac:dyDescent="0.3">
      <c r="A142" s="9"/>
      <c r="B142" s="4" t="str">
        <f>IF(A142="","",IFERROR(INDEX(激励事件明细!$D$2:$D$501,MATCH(A142,激励事件明细!$C$2:$C$501,0)),""))</f>
        <v/>
      </c>
      <c r="C142" s="9"/>
      <c r="D142" s="15" t="str">
        <f>IF(OR(A142="",C142=""),"",SUMIFS(激励事件明细!$T$2:$T$501,激励事件明细!$C$2:$C$501,A142,激励事件明细!$H$2:$H$501,C142,激励事件明细!$F$2:$F$501,"股票期权"))</f>
        <v/>
      </c>
      <c r="E142" s="15" t="str">
        <f>IF(OR(A142="",C142=""),"",SUMIFS(激励事件明细!$T$2:$T$501,激励事件明细!$C$2:$C$501,A142,激励事件明细!$H$2:$H$501,C142,激励事件明细!$F$2:$F$501,"限制性股票"))</f>
        <v/>
      </c>
      <c r="F142" s="15" t="str">
        <f>IF(OR(A142="",C142=""),"",SUMIFS(激励事件明细!$T$2:$T$501,激励事件明细!$C$2:$C$501,A142,激励事件明细!$H$2:$H$501,C142,激励事件明细!$F$2:$F$501,"其他股权激励"))</f>
        <v/>
      </c>
      <c r="G142" s="15" t="str">
        <f t="shared" si="16"/>
        <v/>
      </c>
      <c r="H142" s="16" t="str">
        <f>IF(G142="","",VLOOKUP(G142,税率及规则!$A$2:$C$8,2,TRUE))</f>
        <v/>
      </c>
      <c r="I142" s="15" t="str">
        <f>IF(G142="","",VLOOKUP(G142,税率及规则!$A$2:$C$8,3,TRUE))</f>
        <v/>
      </c>
      <c r="J142" s="15" t="str">
        <f t="shared" si="17"/>
        <v/>
      </c>
      <c r="K142" s="15" t="str">
        <f>IF(A142="","",SUMIFS(分期缴税台账!$K$2:$K$501,分期缴税台账!$A$2:$A$501,A142,分期缴税台账!$C$2:$C$501,C142,分期缴税台账!$Q$2:$Q$501,"有效"))</f>
        <v/>
      </c>
      <c r="L142" s="15" t="str">
        <f t="shared" si="18"/>
        <v/>
      </c>
      <c r="M142" s="4" t="str">
        <f>IF(A142="","",COUNTIFS(激励事件明细!$C$2:$C$501,A142,激励事件明细!$H$2:$H$501,C142,激励事件明细!$AA$2:$AA$501,"&gt;0"))</f>
        <v/>
      </c>
      <c r="N142" s="4" t="str">
        <f>IF(OR(A142="",C142=""),"",IFERROR(INDEX(激励事件明细!$A$2:$A$501,MATCH(A142&amp;"|"&amp;C142&amp;"|1",激励事件明细!$AM$2:$AM$501,0)),""))</f>
        <v/>
      </c>
      <c r="O142" s="17" t="str">
        <f>IF(N142="","",IFERROR(INDEX(激励事件明细!$AC$2:$AC$501,MATCH(N142,激励事件明细!$A$2:$A$501,0)),""))</f>
        <v/>
      </c>
      <c r="P142" s="4" t="str">
        <f t="shared" ca="1" si="19"/>
        <v/>
      </c>
    </row>
    <row r="143" spans="1:16" x14ac:dyDescent="0.3">
      <c r="A143" s="9"/>
      <c r="B143" s="4" t="str">
        <f>IF(A143="","",IFERROR(INDEX(激励事件明细!$D$2:$D$501,MATCH(A143,激励事件明细!$C$2:$C$501,0)),""))</f>
        <v/>
      </c>
      <c r="C143" s="9"/>
      <c r="D143" s="15" t="str">
        <f>IF(OR(A143="",C143=""),"",SUMIFS(激励事件明细!$T$2:$T$501,激励事件明细!$C$2:$C$501,A143,激励事件明细!$H$2:$H$501,C143,激励事件明细!$F$2:$F$501,"股票期权"))</f>
        <v/>
      </c>
      <c r="E143" s="15" t="str">
        <f>IF(OR(A143="",C143=""),"",SUMIFS(激励事件明细!$T$2:$T$501,激励事件明细!$C$2:$C$501,A143,激励事件明细!$H$2:$H$501,C143,激励事件明细!$F$2:$F$501,"限制性股票"))</f>
        <v/>
      </c>
      <c r="F143" s="15" t="str">
        <f>IF(OR(A143="",C143=""),"",SUMIFS(激励事件明细!$T$2:$T$501,激励事件明细!$C$2:$C$501,A143,激励事件明细!$H$2:$H$501,C143,激励事件明细!$F$2:$F$501,"其他股权激励"))</f>
        <v/>
      </c>
      <c r="G143" s="15" t="str">
        <f t="shared" si="16"/>
        <v/>
      </c>
      <c r="H143" s="16" t="str">
        <f>IF(G143="","",VLOOKUP(G143,税率及规则!$A$2:$C$8,2,TRUE))</f>
        <v/>
      </c>
      <c r="I143" s="15" t="str">
        <f>IF(G143="","",VLOOKUP(G143,税率及规则!$A$2:$C$8,3,TRUE))</f>
        <v/>
      </c>
      <c r="J143" s="15" t="str">
        <f t="shared" si="17"/>
        <v/>
      </c>
      <c r="K143" s="15" t="str">
        <f>IF(A143="","",SUMIFS(分期缴税台账!$K$2:$K$501,分期缴税台账!$A$2:$A$501,A143,分期缴税台账!$C$2:$C$501,C143,分期缴税台账!$Q$2:$Q$501,"有效"))</f>
        <v/>
      </c>
      <c r="L143" s="15" t="str">
        <f t="shared" si="18"/>
        <v/>
      </c>
      <c r="M143" s="4" t="str">
        <f>IF(A143="","",COUNTIFS(激励事件明细!$C$2:$C$501,A143,激励事件明细!$H$2:$H$501,C143,激励事件明细!$AA$2:$AA$501,"&gt;0"))</f>
        <v/>
      </c>
      <c r="N143" s="4" t="str">
        <f>IF(OR(A143="",C143=""),"",IFERROR(INDEX(激励事件明细!$A$2:$A$501,MATCH(A143&amp;"|"&amp;C143&amp;"|1",激励事件明细!$AM$2:$AM$501,0)),""))</f>
        <v/>
      </c>
      <c r="O143" s="17" t="str">
        <f>IF(N143="","",IFERROR(INDEX(激励事件明细!$AC$2:$AC$501,MATCH(N143,激励事件明细!$A$2:$A$501,0)),""))</f>
        <v/>
      </c>
      <c r="P143" s="4" t="str">
        <f t="shared" ca="1" si="19"/>
        <v/>
      </c>
    </row>
    <row r="144" spans="1:16" x14ac:dyDescent="0.3">
      <c r="A144" s="9"/>
      <c r="B144" s="4" t="str">
        <f>IF(A144="","",IFERROR(INDEX(激励事件明细!$D$2:$D$501,MATCH(A144,激励事件明细!$C$2:$C$501,0)),""))</f>
        <v/>
      </c>
      <c r="C144" s="9"/>
      <c r="D144" s="15" t="str">
        <f>IF(OR(A144="",C144=""),"",SUMIFS(激励事件明细!$T$2:$T$501,激励事件明细!$C$2:$C$501,A144,激励事件明细!$H$2:$H$501,C144,激励事件明细!$F$2:$F$501,"股票期权"))</f>
        <v/>
      </c>
      <c r="E144" s="15" t="str">
        <f>IF(OR(A144="",C144=""),"",SUMIFS(激励事件明细!$T$2:$T$501,激励事件明细!$C$2:$C$501,A144,激励事件明细!$H$2:$H$501,C144,激励事件明细!$F$2:$F$501,"限制性股票"))</f>
        <v/>
      </c>
      <c r="F144" s="15" t="str">
        <f>IF(OR(A144="",C144=""),"",SUMIFS(激励事件明细!$T$2:$T$501,激励事件明细!$C$2:$C$501,A144,激励事件明细!$H$2:$H$501,C144,激励事件明细!$F$2:$F$501,"其他股权激励"))</f>
        <v/>
      </c>
      <c r="G144" s="15" t="str">
        <f t="shared" si="16"/>
        <v/>
      </c>
      <c r="H144" s="16" t="str">
        <f>IF(G144="","",VLOOKUP(G144,税率及规则!$A$2:$C$8,2,TRUE))</f>
        <v/>
      </c>
      <c r="I144" s="15" t="str">
        <f>IF(G144="","",VLOOKUP(G144,税率及规则!$A$2:$C$8,3,TRUE))</f>
        <v/>
      </c>
      <c r="J144" s="15" t="str">
        <f t="shared" si="17"/>
        <v/>
      </c>
      <c r="K144" s="15" t="str">
        <f>IF(A144="","",SUMIFS(分期缴税台账!$K$2:$K$501,分期缴税台账!$A$2:$A$501,A144,分期缴税台账!$C$2:$C$501,C144,分期缴税台账!$Q$2:$Q$501,"有效"))</f>
        <v/>
      </c>
      <c r="L144" s="15" t="str">
        <f t="shared" si="18"/>
        <v/>
      </c>
      <c r="M144" s="4" t="str">
        <f>IF(A144="","",COUNTIFS(激励事件明细!$C$2:$C$501,A144,激励事件明细!$H$2:$H$501,C144,激励事件明细!$AA$2:$AA$501,"&gt;0"))</f>
        <v/>
      </c>
      <c r="N144" s="4" t="str">
        <f>IF(OR(A144="",C144=""),"",IFERROR(INDEX(激励事件明细!$A$2:$A$501,MATCH(A144&amp;"|"&amp;C144&amp;"|1",激励事件明细!$AM$2:$AM$501,0)),""))</f>
        <v/>
      </c>
      <c r="O144" s="17" t="str">
        <f>IF(N144="","",IFERROR(INDEX(激励事件明细!$AC$2:$AC$501,MATCH(N144,激励事件明细!$A$2:$A$501,0)),""))</f>
        <v/>
      </c>
      <c r="P144" s="4" t="str">
        <f t="shared" ca="1" si="19"/>
        <v/>
      </c>
    </row>
    <row r="145" spans="1:16" x14ac:dyDescent="0.3">
      <c r="A145" s="9"/>
      <c r="B145" s="4" t="str">
        <f>IF(A145="","",IFERROR(INDEX(激励事件明细!$D$2:$D$501,MATCH(A145,激励事件明细!$C$2:$C$501,0)),""))</f>
        <v/>
      </c>
      <c r="C145" s="9"/>
      <c r="D145" s="15" t="str">
        <f>IF(OR(A145="",C145=""),"",SUMIFS(激励事件明细!$T$2:$T$501,激励事件明细!$C$2:$C$501,A145,激励事件明细!$H$2:$H$501,C145,激励事件明细!$F$2:$F$501,"股票期权"))</f>
        <v/>
      </c>
      <c r="E145" s="15" t="str">
        <f>IF(OR(A145="",C145=""),"",SUMIFS(激励事件明细!$T$2:$T$501,激励事件明细!$C$2:$C$501,A145,激励事件明细!$H$2:$H$501,C145,激励事件明细!$F$2:$F$501,"限制性股票"))</f>
        <v/>
      </c>
      <c r="F145" s="15" t="str">
        <f>IF(OR(A145="",C145=""),"",SUMIFS(激励事件明细!$T$2:$T$501,激励事件明细!$C$2:$C$501,A145,激励事件明细!$H$2:$H$501,C145,激励事件明细!$F$2:$F$501,"其他股权激励"))</f>
        <v/>
      </c>
      <c r="G145" s="15" t="str">
        <f t="shared" si="16"/>
        <v/>
      </c>
      <c r="H145" s="16" t="str">
        <f>IF(G145="","",VLOOKUP(G145,税率及规则!$A$2:$C$8,2,TRUE))</f>
        <v/>
      </c>
      <c r="I145" s="15" t="str">
        <f>IF(G145="","",VLOOKUP(G145,税率及规则!$A$2:$C$8,3,TRUE))</f>
        <v/>
      </c>
      <c r="J145" s="15" t="str">
        <f t="shared" si="17"/>
        <v/>
      </c>
      <c r="K145" s="15" t="str">
        <f>IF(A145="","",SUMIFS(分期缴税台账!$K$2:$K$501,分期缴税台账!$A$2:$A$501,A145,分期缴税台账!$C$2:$C$501,C145,分期缴税台账!$Q$2:$Q$501,"有效"))</f>
        <v/>
      </c>
      <c r="L145" s="15" t="str">
        <f t="shared" si="18"/>
        <v/>
      </c>
      <c r="M145" s="4" t="str">
        <f>IF(A145="","",COUNTIFS(激励事件明细!$C$2:$C$501,A145,激励事件明细!$H$2:$H$501,C145,激励事件明细!$AA$2:$AA$501,"&gt;0"))</f>
        <v/>
      </c>
      <c r="N145" s="4" t="str">
        <f>IF(OR(A145="",C145=""),"",IFERROR(INDEX(激励事件明细!$A$2:$A$501,MATCH(A145&amp;"|"&amp;C145&amp;"|1",激励事件明细!$AM$2:$AM$501,0)),""))</f>
        <v/>
      </c>
      <c r="O145" s="17" t="str">
        <f>IF(N145="","",IFERROR(INDEX(激励事件明细!$AC$2:$AC$501,MATCH(N145,激励事件明细!$A$2:$A$501,0)),""))</f>
        <v/>
      </c>
      <c r="P145" s="4" t="str">
        <f t="shared" ca="1" si="19"/>
        <v/>
      </c>
    </row>
    <row r="146" spans="1:16" x14ac:dyDescent="0.3">
      <c r="A146" s="9"/>
      <c r="B146" s="4" t="str">
        <f>IF(A146="","",IFERROR(INDEX(激励事件明细!$D$2:$D$501,MATCH(A146,激励事件明细!$C$2:$C$501,0)),""))</f>
        <v/>
      </c>
      <c r="C146" s="9"/>
      <c r="D146" s="15" t="str">
        <f>IF(OR(A146="",C146=""),"",SUMIFS(激励事件明细!$T$2:$T$501,激励事件明细!$C$2:$C$501,A146,激励事件明细!$H$2:$H$501,C146,激励事件明细!$F$2:$F$501,"股票期权"))</f>
        <v/>
      </c>
      <c r="E146" s="15" t="str">
        <f>IF(OR(A146="",C146=""),"",SUMIFS(激励事件明细!$T$2:$T$501,激励事件明细!$C$2:$C$501,A146,激励事件明细!$H$2:$H$501,C146,激励事件明细!$F$2:$F$501,"限制性股票"))</f>
        <v/>
      </c>
      <c r="F146" s="15" t="str">
        <f>IF(OR(A146="",C146=""),"",SUMIFS(激励事件明细!$T$2:$T$501,激励事件明细!$C$2:$C$501,A146,激励事件明细!$H$2:$H$501,C146,激励事件明细!$F$2:$F$501,"其他股权激励"))</f>
        <v/>
      </c>
      <c r="G146" s="15" t="str">
        <f t="shared" si="16"/>
        <v/>
      </c>
      <c r="H146" s="16" t="str">
        <f>IF(G146="","",VLOOKUP(G146,税率及规则!$A$2:$C$8,2,TRUE))</f>
        <v/>
      </c>
      <c r="I146" s="15" t="str">
        <f>IF(G146="","",VLOOKUP(G146,税率及规则!$A$2:$C$8,3,TRUE))</f>
        <v/>
      </c>
      <c r="J146" s="15" t="str">
        <f t="shared" si="17"/>
        <v/>
      </c>
      <c r="K146" s="15" t="str">
        <f>IF(A146="","",SUMIFS(分期缴税台账!$K$2:$K$501,分期缴税台账!$A$2:$A$501,A146,分期缴税台账!$C$2:$C$501,C146,分期缴税台账!$Q$2:$Q$501,"有效"))</f>
        <v/>
      </c>
      <c r="L146" s="15" t="str">
        <f t="shared" si="18"/>
        <v/>
      </c>
      <c r="M146" s="4" t="str">
        <f>IF(A146="","",COUNTIFS(激励事件明细!$C$2:$C$501,A146,激励事件明细!$H$2:$H$501,C146,激励事件明细!$AA$2:$AA$501,"&gt;0"))</f>
        <v/>
      </c>
      <c r="N146" s="4" t="str">
        <f>IF(OR(A146="",C146=""),"",IFERROR(INDEX(激励事件明细!$A$2:$A$501,MATCH(A146&amp;"|"&amp;C146&amp;"|1",激励事件明细!$AM$2:$AM$501,0)),""))</f>
        <v/>
      </c>
      <c r="O146" s="17" t="str">
        <f>IF(N146="","",IFERROR(INDEX(激励事件明细!$AC$2:$AC$501,MATCH(N146,激励事件明细!$A$2:$A$501,0)),""))</f>
        <v/>
      </c>
      <c r="P146" s="4" t="str">
        <f t="shared" ca="1" si="19"/>
        <v/>
      </c>
    </row>
    <row r="147" spans="1:16" x14ac:dyDescent="0.3">
      <c r="A147" s="9"/>
      <c r="B147" s="4" t="str">
        <f>IF(A147="","",IFERROR(INDEX(激励事件明细!$D$2:$D$501,MATCH(A147,激励事件明细!$C$2:$C$501,0)),""))</f>
        <v/>
      </c>
      <c r="C147" s="9"/>
      <c r="D147" s="15" t="str">
        <f>IF(OR(A147="",C147=""),"",SUMIFS(激励事件明细!$T$2:$T$501,激励事件明细!$C$2:$C$501,A147,激励事件明细!$H$2:$H$501,C147,激励事件明细!$F$2:$F$501,"股票期权"))</f>
        <v/>
      </c>
      <c r="E147" s="15" t="str">
        <f>IF(OR(A147="",C147=""),"",SUMIFS(激励事件明细!$T$2:$T$501,激励事件明细!$C$2:$C$501,A147,激励事件明细!$H$2:$H$501,C147,激励事件明细!$F$2:$F$501,"限制性股票"))</f>
        <v/>
      </c>
      <c r="F147" s="15" t="str">
        <f>IF(OR(A147="",C147=""),"",SUMIFS(激励事件明细!$T$2:$T$501,激励事件明细!$C$2:$C$501,A147,激励事件明细!$H$2:$H$501,C147,激励事件明细!$F$2:$F$501,"其他股权激励"))</f>
        <v/>
      </c>
      <c r="G147" s="15" t="str">
        <f t="shared" si="16"/>
        <v/>
      </c>
      <c r="H147" s="16" t="str">
        <f>IF(G147="","",VLOOKUP(G147,税率及规则!$A$2:$C$8,2,TRUE))</f>
        <v/>
      </c>
      <c r="I147" s="15" t="str">
        <f>IF(G147="","",VLOOKUP(G147,税率及规则!$A$2:$C$8,3,TRUE))</f>
        <v/>
      </c>
      <c r="J147" s="15" t="str">
        <f t="shared" si="17"/>
        <v/>
      </c>
      <c r="K147" s="15" t="str">
        <f>IF(A147="","",SUMIFS(分期缴税台账!$K$2:$K$501,分期缴税台账!$A$2:$A$501,A147,分期缴税台账!$C$2:$C$501,C147,分期缴税台账!$Q$2:$Q$501,"有效"))</f>
        <v/>
      </c>
      <c r="L147" s="15" t="str">
        <f t="shared" si="18"/>
        <v/>
      </c>
      <c r="M147" s="4" t="str">
        <f>IF(A147="","",COUNTIFS(激励事件明细!$C$2:$C$501,A147,激励事件明细!$H$2:$H$501,C147,激励事件明细!$AA$2:$AA$501,"&gt;0"))</f>
        <v/>
      </c>
      <c r="N147" s="4" t="str">
        <f>IF(OR(A147="",C147=""),"",IFERROR(INDEX(激励事件明细!$A$2:$A$501,MATCH(A147&amp;"|"&amp;C147&amp;"|1",激励事件明细!$AM$2:$AM$501,0)),""))</f>
        <v/>
      </c>
      <c r="O147" s="17" t="str">
        <f>IF(N147="","",IFERROR(INDEX(激励事件明细!$AC$2:$AC$501,MATCH(N147,激励事件明细!$A$2:$A$501,0)),""))</f>
        <v/>
      </c>
      <c r="P147" s="4" t="str">
        <f t="shared" ca="1" si="19"/>
        <v/>
      </c>
    </row>
    <row r="148" spans="1:16" x14ac:dyDescent="0.3">
      <c r="A148" s="9"/>
      <c r="B148" s="4" t="str">
        <f>IF(A148="","",IFERROR(INDEX(激励事件明细!$D$2:$D$501,MATCH(A148,激励事件明细!$C$2:$C$501,0)),""))</f>
        <v/>
      </c>
      <c r="C148" s="9"/>
      <c r="D148" s="15" t="str">
        <f>IF(OR(A148="",C148=""),"",SUMIFS(激励事件明细!$T$2:$T$501,激励事件明细!$C$2:$C$501,A148,激励事件明细!$H$2:$H$501,C148,激励事件明细!$F$2:$F$501,"股票期权"))</f>
        <v/>
      </c>
      <c r="E148" s="15" t="str">
        <f>IF(OR(A148="",C148=""),"",SUMIFS(激励事件明细!$T$2:$T$501,激励事件明细!$C$2:$C$501,A148,激励事件明细!$H$2:$H$501,C148,激励事件明细!$F$2:$F$501,"限制性股票"))</f>
        <v/>
      </c>
      <c r="F148" s="15" t="str">
        <f>IF(OR(A148="",C148=""),"",SUMIFS(激励事件明细!$T$2:$T$501,激励事件明细!$C$2:$C$501,A148,激励事件明细!$H$2:$H$501,C148,激励事件明细!$F$2:$F$501,"其他股权激励"))</f>
        <v/>
      </c>
      <c r="G148" s="15" t="str">
        <f t="shared" si="16"/>
        <v/>
      </c>
      <c r="H148" s="16" t="str">
        <f>IF(G148="","",VLOOKUP(G148,税率及规则!$A$2:$C$8,2,TRUE))</f>
        <v/>
      </c>
      <c r="I148" s="15" t="str">
        <f>IF(G148="","",VLOOKUP(G148,税率及规则!$A$2:$C$8,3,TRUE))</f>
        <v/>
      </c>
      <c r="J148" s="15" t="str">
        <f t="shared" si="17"/>
        <v/>
      </c>
      <c r="K148" s="15" t="str">
        <f>IF(A148="","",SUMIFS(分期缴税台账!$K$2:$K$501,分期缴税台账!$A$2:$A$501,A148,分期缴税台账!$C$2:$C$501,C148,分期缴税台账!$Q$2:$Q$501,"有效"))</f>
        <v/>
      </c>
      <c r="L148" s="15" t="str">
        <f t="shared" si="18"/>
        <v/>
      </c>
      <c r="M148" s="4" t="str">
        <f>IF(A148="","",COUNTIFS(激励事件明细!$C$2:$C$501,A148,激励事件明细!$H$2:$H$501,C148,激励事件明细!$AA$2:$AA$501,"&gt;0"))</f>
        <v/>
      </c>
      <c r="N148" s="4" t="str">
        <f>IF(OR(A148="",C148=""),"",IFERROR(INDEX(激励事件明细!$A$2:$A$501,MATCH(A148&amp;"|"&amp;C148&amp;"|1",激励事件明细!$AM$2:$AM$501,0)),""))</f>
        <v/>
      </c>
      <c r="O148" s="17" t="str">
        <f>IF(N148="","",IFERROR(INDEX(激励事件明细!$AC$2:$AC$501,MATCH(N148,激励事件明细!$A$2:$A$501,0)),""))</f>
        <v/>
      </c>
      <c r="P148" s="4" t="str">
        <f t="shared" ca="1" si="19"/>
        <v/>
      </c>
    </row>
    <row r="149" spans="1:16" x14ac:dyDescent="0.3">
      <c r="A149" s="9"/>
      <c r="B149" s="4" t="str">
        <f>IF(A149="","",IFERROR(INDEX(激励事件明细!$D$2:$D$501,MATCH(A149,激励事件明细!$C$2:$C$501,0)),""))</f>
        <v/>
      </c>
      <c r="C149" s="9"/>
      <c r="D149" s="15" t="str">
        <f>IF(OR(A149="",C149=""),"",SUMIFS(激励事件明细!$T$2:$T$501,激励事件明细!$C$2:$C$501,A149,激励事件明细!$H$2:$H$501,C149,激励事件明细!$F$2:$F$501,"股票期权"))</f>
        <v/>
      </c>
      <c r="E149" s="15" t="str">
        <f>IF(OR(A149="",C149=""),"",SUMIFS(激励事件明细!$T$2:$T$501,激励事件明细!$C$2:$C$501,A149,激励事件明细!$H$2:$H$501,C149,激励事件明细!$F$2:$F$501,"限制性股票"))</f>
        <v/>
      </c>
      <c r="F149" s="15" t="str">
        <f>IF(OR(A149="",C149=""),"",SUMIFS(激励事件明细!$T$2:$T$501,激励事件明细!$C$2:$C$501,A149,激励事件明细!$H$2:$H$501,C149,激励事件明细!$F$2:$F$501,"其他股权激励"))</f>
        <v/>
      </c>
      <c r="G149" s="15" t="str">
        <f t="shared" si="16"/>
        <v/>
      </c>
      <c r="H149" s="16" t="str">
        <f>IF(G149="","",VLOOKUP(G149,税率及规则!$A$2:$C$8,2,TRUE))</f>
        <v/>
      </c>
      <c r="I149" s="15" t="str">
        <f>IF(G149="","",VLOOKUP(G149,税率及规则!$A$2:$C$8,3,TRUE))</f>
        <v/>
      </c>
      <c r="J149" s="15" t="str">
        <f t="shared" si="17"/>
        <v/>
      </c>
      <c r="K149" s="15" t="str">
        <f>IF(A149="","",SUMIFS(分期缴税台账!$K$2:$K$501,分期缴税台账!$A$2:$A$501,A149,分期缴税台账!$C$2:$C$501,C149,分期缴税台账!$Q$2:$Q$501,"有效"))</f>
        <v/>
      </c>
      <c r="L149" s="15" t="str">
        <f t="shared" si="18"/>
        <v/>
      </c>
      <c r="M149" s="4" t="str">
        <f>IF(A149="","",COUNTIFS(激励事件明细!$C$2:$C$501,A149,激励事件明细!$H$2:$H$501,C149,激励事件明细!$AA$2:$AA$501,"&gt;0"))</f>
        <v/>
      </c>
      <c r="N149" s="4" t="str">
        <f>IF(OR(A149="",C149=""),"",IFERROR(INDEX(激励事件明细!$A$2:$A$501,MATCH(A149&amp;"|"&amp;C149&amp;"|1",激励事件明细!$AM$2:$AM$501,0)),""))</f>
        <v/>
      </c>
      <c r="O149" s="17" t="str">
        <f>IF(N149="","",IFERROR(INDEX(激励事件明细!$AC$2:$AC$501,MATCH(N149,激励事件明细!$A$2:$A$501,0)),""))</f>
        <v/>
      </c>
      <c r="P149" s="4" t="str">
        <f t="shared" ca="1" si="19"/>
        <v/>
      </c>
    </row>
    <row r="150" spans="1:16" x14ac:dyDescent="0.3">
      <c r="A150" s="9"/>
      <c r="B150" s="4" t="str">
        <f>IF(A150="","",IFERROR(INDEX(激励事件明细!$D$2:$D$501,MATCH(A150,激励事件明细!$C$2:$C$501,0)),""))</f>
        <v/>
      </c>
      <c r="C150" s="9"/>
      <c r="D150" s="15" t="str">
        <f>IF(OR(A150="",C150=""),"",SUMIFS(激励事件明细!$T$2:$T$501,激励事件明细!$C$2:$C$501,A150,激励事件明细!$H$2:$H$501,C150,激励事件明细!$F$2:$F$501,"股票期权"))</f>
        <v/>
      </c>
      <c r="E150" s="15" t="str">
        <f>IF(OR(A150="",C150=""),"",SUMIFS(激励事件明细!$T$2:$T$501,激励事件明细!$C$2:$C$501,A150,激励事件明细!$H$2:$H$501,C150,激励事件明细!$F$2:$F$501,"限制性股票"))</f>
        <v/>
      </c>
      <c r="F150" s="15" t="str">
        <f>IF(OR(A150="",C150=""),"",SUMIFS(激励事件明细!$T$2:$T$501,激励事件明细!$C$2:$C$501,A150,激励事件明细!$H$2:$H$501,C150,激励事件明细!$F$2:$F$501,"其他股权激励"))</f>
        <v/>
      </c>
      <c r="G150" s="15" t="str">
        <f t="shared" si="16"/>
        <v/>
      </c>
      <c r="H150" s="16" t="str">
        <f>IF(G150="","",VLOOKUP(G150,税率及规则!$A$2:$C$8,2,TRUE))</f>
        <v/>
      </c>
      <c r="I150" s="15" t="str">
        <f>IF(G150="","",VLOOKUP(G150,税率及规则!$A$2:$C$8,3,TRUE))</f>
        <v/>
      </c>
      <c r="J150" s="15" t="str">
        <f t="shared" si="17"/>
        <v/>
      </c>
      <c r="K150" s="15" t="str">
        <f>IF(A150="","",SUMIFS(分期缴税台账!$K$2:$K$501,分期缴税台账!$A$2:$A$501,A150,分期缴税台账!$C$2:$C$501,C150,分期缴税台账!$Q$2:$Q$501,"有效"))</f>
        <v/>
      </c>
      <c r="L150" s="15" t="str">
        <f t="shared" si="18"/>
        <v/>
      </c>
      <c r="M150" s="4" t="str">
        <f>IF(A150="","",COUNTIFS(激励事件明细!$C$2:$C$501,A150,激励事件明细!$H$2:$H$501,C150,激励事件明细!$AA$2:$AA$501,"&gt;0"))</f>
        <v/>
      </c>
      <c r="N150" s="4" t="str">
        <f>IF(OR(A150="",C150=""),"",IFERROR(INDEX(激励事件明细!$A$2:$A$501,MATCH(A150&amp;"|"&amp;C150&amp;"|1",激励事件明细!$AM$2:$AM$501,0)),""))</f>
        <v/>
      </c>
      <c r="O150" s="17" t="str">
        <f>IF(N150="","",IFERROR(INDEX(激励事件明细!$AC$2:$AC$501,MATCH(N150,激励事件明细!$A$2:$A$501,0)),""))</f>
        <v/>
      </c>
      <c r="P150" s="4" t="str">
        <f t="shared" ca="1" si="19"/>
        <v/>
      </c>
    </row>
    <row r="151" spans="1:16" x14ac:dyDescent="0.3">
      <c r="A151" s="9"/>
      <c r="B151" s="4" t="str">
        <f>IF(A151="","",IFERROR(INDEX(激励事件明细!$D$2:$D$501,MATCH(A151,激励事件明细!$C$2:$C$501,0)),""))</f>
        <v/>
      </c>
      <c r="C151" s="9"/>
      <c r="D151" s="15" t="str">
        <f>IF(OR(A151="",C151=""),"",SUMIFS(激励事件明细!$T$2:$T$501,激励事件明细!$C$2:$C$501,A151,激励事件明细!$H$2:$H$501,C151,激励事件明细!$F$2:$F$501,"股票期权"))</f>
        <v/>
      </c>
      <c r="E151" s="15" t="str">
        <f>IF(OR(A151="",C151=""),"",SUMIFS(激励事件明细!$T$2:$T$501,激励事件明细!$C$2:$C$501,A151,激励事件明细!$H$2:$H$501,C151,激励事件明细!$F$2:$F$501,"限制性股票"))</f>
        <v/>
      </c>
      <c r="F151" s="15" t="str">
        <f>IF(OR(A151="",C151=""),"",SUMIFS(激励事件明细!$T$2:$T$501,激励事件明细!$C$2:$C$501,A151,激励事件明细!$H$2:$H$501,C151,激励事件明细!$F$2:$F$501,"其他股权激励"))</f>
        <v/>
      </c>
      <c r="G151" s="15" t="str">
        <f t="shared" si="16"/>
        <v/>
      </c>
      <c r="H151" s="16" t="str">
        <f>IF(G151="","",VLOOKUP(G151,税率及规则!$A$2:$C$8,2,TRUE))</f>
        <v/>
      </c>
      <c r="I151" s="15" t="str">
        <f>IF(G151="","",VLOOKUP(G151,税率及规则!$A$2:$C$8,3,TRUE))</f>
        <v/>
      </c>
      <c r="J151" s="15" t="str">
        <f t="shared" si="17"/>
        <v/>
      </c>
      <c r="K151" s="15" t="str">
        <f>IF(A151="","",SUMIFS(分期缴税台账!$K$2:$K$501,分期缴税台账!$A$2:$A$501,A151,分期缴税台账!$C$2:$C$501,C151,分期缴税台账!$Q$2:$Q$501,"有效"))</f>
        <v/>
      </c>
      <c r="L151" s="15" t="str">
        <f t="shared" si="18"/>
        <v/>
      </c>
      <c r="M151" s="4" t="str">
        <f>IF(A151="","",COUNTIFS(激励事件明细!$C$2:$C$501,A151,激励事件明细!$H$2:$H$501,C151,激励事件明细!$AA$2:$AA$501,"&gt;0"))</f>
        <v/>
      </c>
      <c r="N151" s="4" t="str">
        <f>IF(OR(A151="",C151=""),"",IFERROR(INDEX(激励事件明细!$A$2:$A$501,MATCH(A151&amp;"|"&amp;C151&amp;"|1",激励事件明细!$AM$2:$AM$501,0)),""))</f>
        <v/>
      </c>
      <c r="O151" s="17" t="str">
        <f>IF(N151="","",IFERROR(INDEX(激励事件明细!$AC$2:$AC$501,MATCH(N151,激励事件明细!$A$2:$A$501,0)),""))</f>
        <v/>
      </c>
      <c r="P151" s="4" t="str">
        <f t="shared" ca="1" si="19"/>
        <v/>
      </c>
    </row>
    <row r="152" spans="1:16" x14ac:dyDescent="0.3">
      <c r="A152" s="9"/>
      <c r="B152" s="4" t="str">
        <f>IF(A152="","",IFERROR(INDEX(激励事件明细!$D$2:$D$501,MATCH(A152,激励事件明细!$C$2:$C$501,0)),""))</f>
        <v/>
      </c>
      <c r="C152" s="9"/>
      <c r="D152" s="15" t="str">
        <f>IF(OR(A152="",C152=""),"",SUMIFS(激励事件明细!$T$2:$T$501,激励事件明细!$C$2:$C$501,A152,激励事件明细!$H$2:$H$501,C152,激励事件明细!$F$2:$F$501,"股票期权"))</f>
        <v/>
      </c>
      <c r="E152" s="15" t="str">
        <f>IF(OR(A152="",C152=""),"",SUMIFS(激励事件明细!$T$2:$T$501,激励事件明细!$C$2:$C$501,A152,激励事件明细!$H$2:$H$501,C152,激励事件明细!$F$2:$F$501,"限制性股票"))</f>
        <v/>
      </c>
      <c r="F152" s="15" t="str">
        <f>IF(OR(A152="",C152=""),"",SUMIFS(激励事件明细!$T$2:$T$501,激励事件明细!$C$2:$C$501,A152,激励事件明细!$H$2:$H$501,C152,激励事件明细!$F$2:$F$501,"其他股权激励"))</f>
        <v/>
      </c>
      <c r="G152" s="15" t="str">
        <f t="shared" si="16"/>
        <v/>
      </c>
      <c r="H152" s="16" t="str">
        <f>IF(G152="","",VLOOKUP(G152,税率及规则!$A$2:$C$8,2,TRUE))</f>
        <v/>
      </c>
      <c r="I152" s="15" t="str">
        <f>IF(G152="","",VLOOKUP(G152,税率及规则!$A$2:$C$8,3,TRUE))</f>
        <v/>
      </c>
      <c r="J152" s="15" t="str">
        <f t="shared" si="17"/>
        <v/>
      </c>
      <c r="K152" s="15" t="str">
        <f>IF(A152="","",SUMIFS(分期缴税台账!$K$2:$K$501,分期缴税台账!$A$2:$A$501,A152,分期缴税台账!$C$2:$C$501,C152,分期缴税台账!$Q$2:$Q$501,"有效"))</f>
        <v/>
      </c>
      <c r="L152" s="15" t="str">
        <f t="shared" si="18"/>
        <v/>
      </c>
      <c r="M152" s="4" t="str">
        <f>IF(A152="","",COUNTIFS(激励事件明细!$C$2:$C$501,A152,激励事件明细!$H$2:$H$501,C152,激励事件明细!$AA$2:$AA$501,"&gt;0"))</f>
        <v/>
      </c>
      <c r="N152" s="4" t="str">
        <f>IF(OR(A152="",C152=""),"",IFERROR(INDEX(激励事件明细!$A$2:$A$501,MATCH(A152&amp;"|"&amp;C152&amp;"|1",激励事件明细!$AM$2:$AM$501,0)),""))</f>
        <v/>
      </c>
      <c r="O152" s="17" t="str">
        <f>IF(N152="","",IFERROR(INDEX(激励事件明细!$AC$2:$AC$501,MATCH(N152,激励事件明细!$A$2:$A$501,0)),""))</f>
        <v/>
      </c>
      <c r="P152" s="4" t="str">
        <f t="shared" ca="1" si="19"/>
        <v/>
      </c>
    </row>
    <row r="153" spans="1:16" x14ac:dyDescent="0.3">
      <c r="A153" s="9"/>
      <c r="B153" s="4" t="str">
        <f>IF(A153="","",IFERROR(INDEX(激励事件明细!$D$2:$D$501,MATCH(A153,激励事件明细!$C$2:$C$501,0)),""))</f>
        <v/>
      </c>
      <c r="C153" s="9"/>
      <c r="D153" s="15" t="str">
        <f>IF(OR(A153="",C153=""),"",SUMIFS(激励事件明细!$T$2:$T$501,激励事件明细!$C$2:$C$501,A153,激励事件明细!$H$2:$H$501,C153,激励事件明细!$F$2:$F$501,"股票期权"))</f>
        <v/>
      </c>
      <c r="E153" s="15" t="str">
        <f>IF(OR(A153="",C153=""),"",SUMIFS(激励事件明细!$T$2:$T$501,激励事件明细!$C$2:$C$501,A153,激励事件明细!$H$2:$H$501,C153,激励事件明细!$F$2:$F$501,"限制性股票"))</f>
        <v/>
      </c>
      <c r="F153" s="15" t="str">
        <f>IF(OR(A153="",C153=""),"",SUMIFS(激励事件明细!$T$2:$T$501,激励事件明细!$C$2:$C$501,A153,激励事件明细!$H$2:$H$501,C153,激励事件明细!$F$2:$F$501,"其他股权激励"))</f>
        <v/>
      </c>
      <c r="G153" s="15" t="str">
        <f t="shared" si="16"/>
        <v/>
      </c>
      <c r="H153" s="16" t="str">
        <f>IF(G153="","",VLOOKUP(G153,税率及规则!$A$2:$C$8,2,TRUE))</f>
        <v/>
      </c>
      <c r="I153" s="15" t="str">
        <f>IF(G153="","",VLOOKUP(G153,税率及规则!$A$2:$C$8,3,TRUE))</f>
        <v/>
      </c>
      <c r="J153" s="15" t="str">
        <f t="shared" si="17"/>
        <v/>
      </c>
      <c r="K153" s="15" t="str">
        <f>IF(A153="","",SUMIFS(分期缴税台账!$K$2:$K$501,分期缴税台账!$A$2:$A$501,A153,分期缴税台账!$C$2:$C$501,C153,分期缴税台账!$Q$2:$Q$501,"有效"))</f>
        <v/>
      </c>
      <c r="L153" s="15" t="str">
        <f t="shared" si="18"/>
        <v/>
      </c>
      <c r="M153" s="4" t="str">
        <f>IF(A153="","",COUNTIFS(激励事件明细!$C$2:$C$501,A153,激励事件明细!$H$2:$H$501,C153,激励事件明细!$AA$2:$AA$501,"&gt;0"))</f>
        <v/>
      </c>
      <c r="N153" s="4" t="str">
        <f>IF(OR(A153="",C153=""),"",IFERROR(INDEX(激励事件明细!$A$2:$A$501,MATCH(A153&amp;"|"&amp;C153&amp;"|1",激励事件明细!$AM$2:$AM$501,0)),""))</f>
        <v/>
      </c>
      <c r="O153" s="17" t="str">
        <f>IF(N153="","",IFERROR(INDEX(激励事件明细!$AC$2:$AC$501,MATCH(N153,激励事件明细!$A$2:$A$501,0)),""))</f>
        <v/>
      </c>
      <c r="P153" s="4" t="str">
        <f t="shared" ca="1" si="19"/>
        <v/>
      </c>
    </row>
    <row r="154" spans="1:16" x14ac:dyDescent="0.3">
      <c r="A154" s="9"/>
      <c r="B154" s="4" t="str">
        <f>IF(A154="","",IFERROR(INDEX(激励事件明细!$D$2:$D$501,MATCH(A154,激励事件明细!$C$2:$C$501,0)),""))</f>
        <v/>
      </c>
      <c r="C154" s="9"/>
      <c r="D154" s="15" t="str">
        <f>IF(OR(A154="",C154=""),"",SUMIFS(激励事件明细!$T$2:$T$501,激励事件明细!$C$2:$C$501,A154,激励事件明细!$H$2:$H$501,C154,激励事件明细!$F$2:$F$501,"股票期权"))</f>
        <v/>
      </c>
      <c r="E154" s="15" t="str">
        <f>IF(OR(A154="",C154=""),"",SUMIFS(激励事件明细!$T$2:$T$501,激励事件明细!$C$2:$C$501,A154,激励事件明细!$H$2:$H$501,C154,激励事件明细!$F$2:$F$501,"限制性股票"))</f>
        <v/>
      </c>
      <c r="F154" s="15" t="str">
        <f>IF(OR(A154="",C154=""),"",SUMIFS(激励事件明细!$T$2:$T$501,激励事件明细!$C$2:$C$501,A154,激励事件明细!$H$2:$H$501,C154,激励事件明细!$F$2:$F$501,"其他股权激励"))</f>
        <v/>
      </c>
      <c r="G154" s="15" t="str">
        <f t="shared" si="16"/>
        <v/>
      </c>
      <c r="H154" s="16" t="str">
        <f>IF(G154="","",VLOOKUP(G154,税率及规则!$A$2:$C$8,2,TRUE))</f>
        <v/>
      </c>
      <c r="I154" s="15" t="str">
        <f>IF(G154="","",VLOOKUP(G154,税率及规则!$A$2:$C$8,3,TRUE))</f>
        <v/>
      </c>
      <c r="J154" s="15" t="str">
        <f t="shared" si="17"/>
        <v/>
      </c>
      <c r="K154" s="15" t="str">
        <f>IF(A154="","",SUMIFS(分期缴税台账!$K$2:$K$501,分期缴税台账!$A$2:$A$501,A154,分期缴税台账!$C$2:$C$501,C154,分期缴税台账!$Q$2:$Q$501,"有效"))</f>
        <v/>
      </c>
      <c r="L154" s="15" t="str">
        <f t="shared" si="18"/>
        <v/>
      </c>
      <c r="M154" s="4" t="str">
        <f>IF(A154="","",COUNTIFS(激励事件明细!$C$2:$C$501,A154,激励事件明细!$H$2:$H$501,C154,激励事件明细!$AA$2:$AA$501,"&gt;0"))</f>
        <v/>
      </c>
      <c r="N154" s="4" t="str">
        <f>IF(OR(A154="",C154=""),"",IFERROR(INDEX(激励事件明细!$A$2:$A$501,MATCH(A154&amp;"|"&amp;C154&amp;"|1",激励事件明细!$AM$2:$AM$501,0)),""))</f>
        <v/>
      </c>
      <c r="O154" s="17" t="str">
        <f>IF(N154="","",IFERROR(INDEX(激励事件明细!$AC$2:$AC$501,MATCH(N154,激励事件明细!$A$2:$A$501,0)),""))</f>
        <v/>
      </c>
      <c r="P154" s="4" t="str">
        <f t="shared" ca="1" si="19"/>
        <v/>
      </c>
    </row>
    <row r="155" spans="1:16" x14ac:dyDescent="0.3">
      <c r="A155" s="9"/>
      <c r="B155" s="4" t="str">
        <f>IF(A155="","",IFERROR(INDEX(激励事件明细!$D$2:$D$501,MATCH(A155,激励事件明细!$C$2:$C$501,0)),""))</f>
        <v/>
      </c>
      <c r="C155" s="9"/>
      <c r="D155" s="15" t="str">
        <f>IF(OR(A155="",C155=""),"",SUMIFS(激励事件明细!$T$2:$T$501,激励事件明细!$C$2:$C$501,A155,激励事件明细!$H$2:$H$501,C155,激励事件明细!$F$2:$F$501,"股票期权"))</f>
        <v/>
      </c>
      <c r="E155" s="15" t="str">
        <f>IF(OR(A155="",C155=""),"",SUMIFS(激励事件明细!$T$2:$T$501,激励事件明细!$C$2:$C$501,A155,激励事件明细!$H$2:$H$501,C155,激励事件明细!$F$2:$F$501,"限制性股票"))</f>
        <v/>
      </c>
      <c r="F155" s="15" t="str">
        <f>IF(OR(A155="",C155=""),"",SUMIFS(激励事件明细!$T$2:$T$501,激励事件明细!$C$2:$C$501,A155,激励事件明细!$H$2:$H$501,C155,激励事件明细!$F$2:$F$501,"其他股权激励"))</f>
        <v/>
      </c>
      <c r="G155" s="15" t="str">
        <f t="shared" si="16"/>
        <v/>
      </c>
      <c r="H155" s="16" t="str">
        <f>IF(G155="","",VLOOKUP(G155,税率及规则!$A$2:$C$8,2,TRUE))</f>
        <v/>
      </c>
      <c r="I155" s="15" t="str">
        <f>IF(G155="","",VLOOKUP(G155,税率及规则!$A$2:$C$8,3,TRUE))</f>
        <v/>
      </c>
      <c r="J155" s="15" t="str">
        <f t="shared" si="17"/>
        <v/>
      </c>
      <c r="K155" s="15" t="str">
        <f>IF(A155="","",SUMIFS(分期缴税台账!$K$2:$K$501,分期缴税台账!$A$2:$A$501,A155,分期缴税台账!$C$2:$C$501,C155,分期缴税台账!$Q$2:$Q$501,"有效"))</f>
        <v/>
      </c>
      <c r="L155" s="15" t="str">
        <f t="shared" si="18"/>
        <v/>
      </c>
      <c r="M155" s="4" t="str">
        <f>IF(A155="","",COUNTIFS(激励事件明细!$C$2:$C$501,A155,激励事件明细!$H$2:$H$501,C155,激励事件明细!$AA$2:$AA$501,"&gt;0"))</f>
        <v/>
      </c>
      <c r="N155" s="4" t="str">
        <f>IF(OR(A155="",C155=""),"",IFERROR(INDEX(激励事件明细!$A$2:$A$501,MATCH(A155&amp;"|"&amp;C155&amp;"|1",激励事件明细!$AM$2:$AM$501,0)),""))</f>
        <v/>
      </c>
      <c r="O155" s="17" t="str">
        <f>IF(N155="","",IFERROR(INDEX(激励事件明细!$AC$2:$AC$501,MATCH(N155,激励事件明细!$A$2:$A$501,0)),""))</f>
        <v/>
      </c>
      <c r="P155" s="4" t="str">
        <f t="shared" ca="1" si="19"/>
        <v/>
      </c>
    </row>
    <row r="156" spans="1:16" x14ac:dyDescent="0.3">
      <c r="A156" s="9"/>
      <c r="B156" s="4" t="str">
        <f>IF(A156="","",IFERROR(INDEX(激励事件明细!$D$2:$D$501,MATCH(A156,激励事件明细!$C$2:$C$501,0)),""))</f>
        <v/>
      </c>
      <c r="C156" s="9"/>
      <c r="D156" s="15" t="str">
        <f>IF(OR(A156="",C156=""),"",SUMIFS(激励事件明细!$T$2:$T$501,激励事件明细!$C$2:$C$501,A156,激励事件明细!$H$2:$H$501,C156,激励事件明细!$F$2:$F$501,"股票期权"))</f>
        <v/>
      </c>
      <c r="E156" s="15" t="str">
        <f>IF(OR(A156="",C156=""),"",SUMIFS(激励事件明细!$T$2:$T$501,激励事件明细!$C$2:$C$501,A156,激励事件明细!$H$2:$H$501,C156,激励事件明细!$F$2:$F$501,"限制性股票"))</f>
        <v/>
      </c>
      <c r="F156" s="15" t="str">
        <f>IF(OR(A156="",C156=""),"",SUMIFS(激励事件明细!$T$2:$T$501,激励事件明细!$C$2:$C$501,A156,激励事件明细!$H$2:$H$501,C156,激励事件明细!$F$2:$F$501,"其他股权激励"))</f>
        <v/>
      </c>
      <c r="G156" s="15" t="str">
        <f t="shared" si="16"/>
        <v/>
      </c>
      <c r="H156" s="16" t="str">
        <f>IF(G156="","",VLOOKUP(G156,税率及规则!$A$2:$C$8,2,TRUE))</f>
        <v/>
      </c>
      <c r="I156" s="15" t="str">
        <f>IF(G156="","",VLOOKUP(G156,税率及规则!$A$2:$C$8,3,TRUE))</f>
        <v/>
      </c>
      <c r="J156" s="15" t="str">
        <f t="shared" si="17"/>
        <v/>
      </c>
      <c r="K156" s="15" t="str">
        <f>IF(A156="","",SUMIFS(分期缴税台账!$K$2:$K$501,分期缴税台账!$A$2:$A$501,A156,分期缴税台账!$C$2:$C$501,C156,分期缴税台账!$Q$2:$Q$501,"有效"))</f>
        <v/>
      </c>
      <c r="L156" s="15" t="str">
        <f t="shared" si="18"/>
        <v/>
      </c>
      <c r="M156" s="4" t="str">
        <f>IF(A156="","",COUNTIFS(激励事件明细!$C$2:$C$501,A156,激励事件明细!$H$2:$H$501,C156,激励事件明细!$AA$2:$AA$501,"&gt;0"))</f>
        <v/>
      </c>
      <c r="N156" s="4" t="str">
        <f>IF(OR(A156="",C156=""),"",IFERROR(INDEX(激励事件明细!$A$2:$A$501,MATCH(A156&amp;"|"&amp;C156&amp;"|1",激励事件明细!$AM$2:$AM$501,0)),""))</f>
        <v/>
      </c>
      <c r="O156" s="17" t="str">
        <f>IF(N156="","",IFERROR(INDEX(激励事件明细!$AC$2:$AC$501,MATCH(N156,激励事件明细!$A$2:$A$501,0)),""))</f>
        <v/>
      </c>
      <c r="P156" s="4" t="str">
        <f t="shared" ca="1" si="19"/>
        <v/>
      </c>
    </row>
    <row r="157" spans="1:16" x14ac:dyDescent="0.3">
      <c r="A157" s="9"/>
      <c r="B157" s="4" t="str">
        <f>IF(A157="","",IFERROR(INDEX(激励事件明细!$D$2:$D$501,MATCH(A157,激励事件明细!$C$2:$C$501,0)),""))</f>
        <v/>
      </c>
      <c r="C157" s="9"/>
      <c r="D157" s="15" t="str">
        <f>IF(OR(A157="",C157=""),"",SUMIFS(激励事件明细!$T$2:$T$501,激励事件明细!$C$2:$C$501,A157,激励事件明细!$H$2:$H$501,C157,激励事件明细!$F$2:$F$501,"股票期权"))</f>
        <v/>
      </c>
      <c r="E157" s="15" t="str">
        <f>IF(OR(A157="",C157=""),"",SUMIFS(激励事件明细!$T$2:$T$501,激励事件明细!$C$2:$C$501,A157,激励事件明细!$H$2:$H$501,C157,激励事件明细!$F$2:$F$501,"限制性股票"))</f>
        <v/>
      </c>
      <c r="F157" s="15" t="str">
        <f>IF(OR(A157="",C157=""),"",SUMIFS(激励事件明细!$T$2:$T$501,激励事件明细!$C$2:$C$501,A157,激励事件明细!$H$2:$H$501,C157,激励事件明细!$F$2:$F$501,"其他股权激励"))</f>
        <v/>
      </c>
      <c r="G157" s="15" t="str">
        <f t="shared" si="16"/>
        <v/>
      </c>
      <c r="H157" s="16" t="str">
        <f>IF(G157="","",VLOOKUP(G157,税率及规则!$A$2:$C$8,2,TRUE))</f>
        <v/>
      </c>
      <c r="I157" s="15" t="str">
        <f>IF(G157="","",VLOOKUP(G157,税率及规则!$A$2:$C$8,3,TRUE))</f>
        <v/>
      </c>
      <c r="J157" s="15" t="str">
        <f t="shared" si="17"/>
        <v/>
      </c>
      <c r="K157" s="15" t="str">
        <f>IF(A157="","",SUMIFS(分期缴税台账!$K$2:$K$501,分期缴税台账!$A$2:$A$501,A157,分期缴税台账!$C$2:$C$501,C157,分期缴税台账!$Q$2:$Q$501,"有效"))</f>
        <v/>
      </c>
      <c r="L157" s="15" t="str">
        <f t="shared" si="18"/>
        <v/>
      </c>
      <c r="M157" s="4" t="str">
        <f>IF(A157="","",COUNTIFS(激励事件明细!$C$2:$C$501,A157,激励事件明细!$H$2:$H$501,C157,激励事件明细!$AA$2:$AA$501,"&gt;0"))</f>
        <v/>
      </c>
      <c r="N157" s="4" t="str">
        <f>IF(OR(A157="",C157=""),"",IFERROR(INDEX(激励事件明细!$A$2:$A$501,MATCH(A157&amp;"|"&amp;C157&amp;"|1",激励事件明细!$AM$2:$AM$501,0)),""))</f>
        <v/>
      </c>
      <c r="O157" s="17" t="str">
        <f>IF(N157="","",IFERROR(INDEX(激励事件明细!$AC$2:$AC$501,MATCH(N157,激励事件明细!$A$2:$A$501,0)),""))</f>
        <v/>
      </c>
      <c r="P157" s="4" t="str">
        <f t="shared" ca="1" si="19"/>
        <v/>
      </c>
    </row>
    <row r="158" spans="1:16" x14ac:dyDescent="0.3">
      <c r="A158" s="9"/>
      <c r="B158" s="4" t="str">
        <f>IF(A158="","",IFERROR(INDEX(激励事件明细!$D$2:$D$501,MATCH(A158,激励事件明细!$C$2:$C$501,0)),""))</f>
        <v/>
      </c>
      <c r="C158" s="9"/>
      <c r="D158" s="15" t="str">
        <f>IF(OR(A158="",C158=""),"",SUMIFS(激励事件明细!$T$2:$T$501,激励事件明细!$C$2:$C$501,A158,激励事件明细!$H$2:$H$501,C158,激励事件明细!$F$2:$F$501,"股票期权"))</f>
        <v/>
      </c>
      <c r="E158" s="15" t="str">
        <f>IF(OR(A158="",C158=""),"",SUMIFS(激励事件明细!$T$2:$T$501,激励事件明细!$C$2:$C$501,A158,激励事件明细!$H$2:$H$501,C158,激励事件明细!$F$2:$F$501,"限制性股票"))</f>
        <v/>
      </c>
      <c r="F158" s="15" t="str">
        <f>IF(OR(A158="",C158=""),"",SUMIFS(激励事件明细!$T$2:$T$501,激励事件明细!$C$2:$C$501,A158,激励事件明细!$H$2:$H$501,C158,激励事件明细!$F$2:$F$501,"其他股权激励"))</f>
        <v/>
      </c>
      <c r="G158" s="15" t="str">
        <f t="shared" si="16"/>
        <v/>
      </c>
      <c r="H158" s="16" t="str">
        <f>IF(G158="","",VLOOKUP(G158,税率及规则!$A$2:$C$8,2,TRUE))</f>
        <v/>
      </c>
      <c r="I158" s="15" t="str">
        <f>IF(G158="","",VLOOKUP(G158,税率及规则!$A$2:$C$8,3,TRUE))</f>
        <v/>
      </c>
      <c r="J158" s="15" t="str">
        <f t="shared" si="17"/>
        <v/>
      </c>
      <c r="K158" s="15" t="str">
        <f>IF(A158="","",SUMIFS(分期缴税台账!$K$2:$K$501,分期缴税台账!$A$2:$A$501,A158,分期缴税台账!$C$2:$C$501,C158,分期缴税台账!$Q$2:$Q$501,"有效"))</f>
        <v/>
      </c>
      <c r="L158" s="15" t="str">
        <f t="shared" si="18"/>
        <v/>
      </c>
      <c r="M158" s="4" t="str">
        <f>IF(A158="","",COUNTIFS(激励事件明细!$C$2:$C$501,A158,激励事件明细!$H$2:$H$501,C158,激励事件明细!$AA$2:$AA$501,"&gt;0"))</f>
        <v/>
      </c>
      <c r="N158" s="4" t="str">
        <f>IF(OR(A158="",C158=""),"",IFERROR(INDEX(激励事件明细!$A$2:$A$501,MATCH(A158&amp;"|"&amp;C158&amp;"|1",激励事件明细!$AM$2:$AM$501,0)),""))</f>
        <v/>
      </c>
      <c r="O158" s="17" t="str">
        <f>IF(N158="","",IFERROR(INDEX(激励事件明细!$AC$2:$AC$501,MATCH(N158,激励事件明细!$A$2:$A$501,0)),""))</f>
        <v/>
      </c>
      <c r="P158" s="4" t="str">
        <f t="shared" ca="1" si="19"/>
        <v/>
      </c>
    </row>
    <row r="159" spans="1:16" x14ac:dyDescent="0.3">
      <c r="A159" s="9"/>
      <c r="B159" s="4" t="str">
        <f>IF(A159="","",IFERROR(INDEX(激励事件明细!$D$2:$D$501,MATCH(A159,激励事件明细!$C$2:$C$501,0)),""))</f>
        <v/>
      </c>
      <c r="C159" s="9"/>
      <c r="D159" s="15" t="str">
        <f>IF(OR(A159="",C159=""),"",SUMIFS(激励事件明细!$T$2:$T$501,激励事件明细!$C$2:$C$501,A159,激励事件明细!$H$2:$H$501,C159,激励事件明细!$F$2:$F$501,"股票期权"))</f>
        <v/>
      </c>
      <c r="E159" s="15" t="str">
        <f>IF(OR(A159="",C159=""),"",SUMIFS(激励事件明细!$T$2:$T$501,激励事件明细!$C$2:$C$501,A159,激励事件明细!$H$2:$H$501,C159,激励事件明细!$F$2:$F$501,"限制性股票"))</f>
        <v/>
      </c>
      <c r="F159" s="15" t="str">
        <f>IF(OR(A159="",C159=""),"",SUMIFS(激励事件明细!$T$2:$T$501,激励事件明细!$C$2:$C$501,A159,激励事件明细!$H$2:$H$501,C159,激励事件明细!$F$2:$F$501,"其他股权激励"))</f>
        <v/>
      </c>
      <c r="G159" s="15" t="str">
        <f t="shared" si="16"/>
        <v/>
      </c>
      <c r="H159" s="16" t="str">
        <f>IF(G159="","",VLOOKUP(G159,税率及规则!$A$2:$C$8,2,TRUE))</f>
        <v/>
      </c>
      <c r="I159" s="15" t="str">
        <f>IF(G159="","",VLOOKUP(G159,税率及规则!$A$2:$C$8,3,TRUE))</f>
        <v/>
      </c>
      <c r="J159" s="15" t="str">
        <f t="shared" si="17"/>
        <v/>
      </c>
      <c r="K159" s="15" t="str">
        <f>IF(A159="","",SUMIFS(分期缴税台账!$K$2:$K$501,分期缴税台账!$A$2:$A$501,A159,分期缴税台账!$C$2:$C$501,C159,分期缴税台账!$Q$2:$Q$501,"有效"))</f>
        <v/>
      </c>
      <c r="L159" s="15" t="str">
        <f t="shared" si="18"/>
        <v/>
      </c>
      <c r="M159" s="4" t="str">
        <f>IF(A159="","",COUNTIFS(激励事件明细!$C$2:$C$501,A159,激励事件明细!$H$2:$H$501,C159,激励事件明细!$AA$2:$AA$501,"&gt;0"))</f>
        <v/>
      </c>
      <c r="N159" s="4" t="str">
        <f>IF(OR(A159="",C159=""),"",IFERROR(INDEX(激励事件明细!$A$2:$A$501,MATCH(A159&amp;"|"&amp;C159&amp;"|1",激励事件明细!$AM$2:$AM$501,0)),""))</f>
        <v/>
      </c>
      <c r="O159" s="17" t="str">
        <f>IF(N159="","",IFERROR(INDEX(激励事件明细!$AC$2:$AC$501,MATCH(N159,激励事件明细!$A$2:$A$501,0)),""))</f>
        <v/>
      </c>
      <c r="P159" s="4" t="str">
        <f t="shared" ca="1" si="19"/>
        <v/>
      </c>
    </row>
    <row r="160" spans="1:16" x14ac:dyDescent="0.3">
      <c r="A160" s="9"/>
      <c r="B160" s="4" t="str">
        <f>IF(A160="","",IFERROR(INDEX(激励事件明细!$D$2:$D$501,MATCH(A160,激励事件明细!$C$2:$C$501,0)),""))</f>
        <v/>
      </c>
      <c r="C160" s="9"/>
      <c r="D160" s="15" t="str">
        <f>IF(OR(A160="",C160=""),"",SUMIFS(激励事件明细!$T$2:$T$501,激励事件明细!$C$2:$C$501,A160,激励事件明细!$H$2:$H$501,C160,激励事件明细!$F$2:$F$501,"股票期权"))</f>
        <v/>
      </c>
      <c r="E160" s="15" t="str">
        <f>IF(OR(A160="",C160=""),"",SUMIFS(激励事件明细!$T$2:$T$501,激励事件明细!$C$2:$C$501,A160,激励事件明细!$H$2:$H$501,C160,激励事件明细!$F$2:$F$501,"限制性股票"))</f>
        <v/>
      </c>
      <c r="F160" s="15" t="str">
        <f>IF(OR(A160="",C160=""),"",SUMIFS(激励事件明细!$T$2:$T$501,激励事件明细!$C$2:$C$501,A160,激励事件明细!$H$2:$H$501,C160,激励事件明细!$F$2:$F$501,"其他股权激励"))</f>
        <v/>
      </c>
      <c r="G160" s="15" t="str">
        <f t="shared" si="16"/>
        <v/>
      </c>
      <c r="H160" s="16" t="str">
        <f>IF(G160="","",VLOOKUP(G160,税率及规则!$A$2:$C$8,2,TRUE))</f>
        <v/>
      </c>
      <c r="I160" s="15" t="str">
        <f>IF(G160="","",VLOOKUP(G160,税率及规则!$A$2:$C$8,3,TRUE))</f>
        <v/>
      </c>
      <c r="J160" s="15" t="str">
        <f t="shared" si="17"/>
        <v/>
      </c>
      <c r="K160" s="15" t="str">
        <f>IF(A160="","",SUMIFS(分期缴税台账!$K$2:$K$501,分期缴税台账!$A$2:$A$501,A160,分期缴税台账!$C$2:$C$501,C160,分期缴税台账!$Q$2:$Q$501,"有效"))</f>
        <v/>
      </c>
      <c r="L160" s="15" t="str">
        <f t="shared" si="18"/>
        <v/>
      </c>
      <c r="M160" s="4" t="str">
        <f>IF(A160="","",COUNTIFS(激励事件明细!$C$2:$C$501,A160,激励事件明细!$H$2:$H$501,C160,激励事件明细!$AA$2:$AA$501,"&gt;0"))</f>
        <v/>
      </c>
      <c r="N160" s="4" t="str">
        <f>IF(OR(A160="",C160=""),"",IFERROR(INDEX(激励事件明细!$A$2:$A$501,MATCH(A160&amp;"|"&amp;C160&amp;"|1",激励事件明细!$AM$2:$AM$501,0)),""))</f>
        <v/>
      </c>
      <c r="O160" s="17" t="str">
        <f>IF(N160="","",IFERROR(INDEX(激励事件明细!$AC$2:$AC$501,MATCH(N160,激励事件明细!$A$2:$A$501,0)),""))</f>
        <v/>
      </c>
      <c r="P160" s="4" t="str">
        <f t="shared" ca="1" si="19"/>
        <v/>
      </c>
    </row>
    <row r="161" spans="1:16" x14ac:dyDescent="0.3">
      <c r="A161" s="9"/>
      <c r="B161" s="4" t="str">
        <f>IF(A161="","",IFERROR(INDEX(激励事件明细!$D$2:$D$501,MATCH(A161,激励事件明细!$C$2:$C$501,0)),""))</f>
        <v/>
      </c>
      <c r="C161" s="9"/>
      <c r="D161" s="15" t="str">
        <f>IF(OR(A161="",C161=""),"",SUMIFS(激励事件明细!$T$2:$T$501,激励事件明细!$C$2:$C$501,A161,激励事件明细!$H$2:$H$501,C161,激励事件明细!$F$2:$F$501,"股票期权"))</f>
        <v/>
      </c>
      <c r="E161" s="15" t="str">
        <f>IF(OR(A161="",C161=""),"",SUMIFS(激励事件明细!$T$2:$T$501,激励事件明细!$C$2:$C$501,A161,激励事件明细!$H$2:$H$501,C161,激励事件明细!$F$2:$F$501,"限制性股票"))</f>
        <v/>
      </c>
      <c r="F161" s="15" t="str">
        <f>IF(OR(A161="",C161=""),"",SUMIFS(激励事件明细!$T$2:$T$501,激励事件明细!$C$2:$C$501,A161,激励事件明细!$H$2:$H$501,C161,激励事件明细!$F$2:$F$501,"其他股权激励"))</f>
        <v/>
      </c>
      <c r="G161" s="15" t="str">
        <f t="shared" si="16"/>
        <v/>
      </c>
      <c r="H161" s="16" t="str">
        <f>IF(G161="","",VLOOKUP(G161,税率及规则!$A$2:$C$8,2,TRUE))</f>
        <v/>
      </c>
      <c r="I161" s="15" t="str">
        <f>IF(G161="","",VLOOKUP(G161,税率及规则!$A$2:$C$8,3,TRUE))</f>
        <v/>
      </c>
      <c r="J161" s="15" t="str">
        <f t="shared" si="17"/>
        <v/>
      </c>
      <c r="K161" s="15" t="str">
        <f>IF(A161="","",SUMIFS(分期缴税台账!$K$2:$K$501,分期缴税台账!$A$2:$A$501,A161,分期缴税台账!$C$2:$C$501,C161,分期缴税台账!$Q$2:$Q$501,"有效"))</f>
        <v/>
      </c>
      <c r="L161" s="15" t="str">
        <f t="shared" si="18"/>
        <v/>
      </c>
      <c r="M161" s="4" t="str">
        <f>IF(A161="","",COUNTIFS(激励事件明细!$C$2:$C$501,A161,激励事件明细!$H$2:$H$501,C161,激励事件明细!$AA$2:$AA$501,"&gt;0"))</f>
        <v/>
      </c>
      <c r="N161" s="4" t="str">
        <f>IF(OR(A161="",C161=""),"",IFERROR(INDEX(激励事件明细!$A$2:$A$501,MATCH(A161&amp;"|"&amp;C161&amp;"|1",激励事件明细!$AM$2:$AM$501,0)),""))</f>
        <v/>
      </c>
      <c r="O161" s="17" t="str">
        <f>IF(N161="","",IFERROR(INDEX(激励事件明细!$AC$2:$AC$501,MATCH(N161,激励事件明细!$A$2:$A$501,0)),""))</f>
        <v/>
      </c>
      <c r="P161" s="4" t="str">
        <f t="shared" ca="1" si="19"/>
        <v/>
      </c>
    </row>
    <row r="162" spans="1:16" x14ac:dyDescent="0.3">
      <c r="A162" s="9"/>
      <c r="B162" s="4" t="str">
        <f>IF(A162="","",IFERROR(INDEX(激励事件明细!$D$2:$D$501,MATCH(A162,激励事件明细!$C$2:$C$501,0)),""))</f>
        <v/>
      </c>
      <c r="C162" s="9"/>
      <c r="D162" s="15" t="str">
        <f>IF(OR(A162="",C162=""),"",SUMIFS(激励事件明细!$T$2:$T$501,激励事件明细!$C$2:$C$501,A162,激励事件明细!$H$2:$H$501,C162,激励事件明细!$F$2:$F$501,"股票期权"))</f>
        <v/>
      </c>
      <c r="E162" s="15" t="str">
        <f>IF(OR(A162="",C162=""),"",SUMIFS(激励事件明细!$T$2:$T$501,激励事件明细!$C$2:$C$501,A162,激励事件明细!$H$2:$H$501,C162,激励事件明细!$F$2:$F$501,"限制性股票"))</f>
        <v/>
      </c>
      <c r="F162" s="15" t="str">
        <f>IF(OR(A162="",C162=""),"",SUMIFS(激励事件明细!$T$2:$T$501,激励事件明细!$C$2:$C$501,A162,激励事件明细!$H$2:$H$501,C162,激励事件明细!$F$2:$F$501,"其他股权激励"))</f>
        <v/>
      </c>
      <c r="G162" s="15" t="str">
        <f t="shared" ref="G162:G193" si="20">IF(A162="","",SUM(D162:F162))</f>
        <v/>
      </c>
      <c r="H162" s="16" t="str">
        <f>IF(G162="","",VLOOKUP(G162,税率及规则!$A$2:$C$8,2,TRUE))</f>
        <v/>
      </c>
      <c r="I162" s="15" t="str">
        <f>IF(G162="","",VLOOKUP(G162,税率及规则!$A$2:$C$8,3,TRUE))</f>
        <v/>
      </c>
      <c r="J162" s="15" t="str">
        <f t="shared" ref="J162:J193" si="21">IF(G162="","",MAX(0,G162*H162-I162))</f>
        <v/>
      </c>
      <c r="K162" s="15" t="str">
        <f>IF(A162="","",SUMIFS(分期缴税台账!$K$2:$K$501,分期缴税台账!$A$2:$A$501,A162,分期缴税台账!$C$2:$C$501,C162,分期缴税台账!$Q$2:$Q$501,"有效"))</f>
        <v/>
      </c>
      <c r="L162" s="15" t="str">
        <f t="shared" ref="L162:L193" si="22">IF(J162="","",MAX(0,J162-K162))</f>
        <v/>
      </c>
      <c r="M162" s="4" t="str">
        <f>IF(A162="","",COUNTIFS(激励事件明细!$C$2:$C$501,A162,激励事件明细!$H$2:$H$501,C162,激励事件明细!$AA$2:$AA$501,"&gt;0"))</f>
        <v/>
      </c>
      <c r="N162" s="4" t="str">
        <f>IF(OR(A162="",C162=""),"",IFERROR(INDEX(激励事件明细!$A$2:$A$501,MATCH(A162&amp;"|"&amp;C162&amp;"|1",激励事件明细!$AM$2:$AM$501,0)),""))</f>
        <v/>
      </c>
      <c r="O162" s="17" t="str">
        <f>IF(N162="","",IFERROR(INDEX(激励事件明细!$AC$2:$AC$501,MATCH(N162,激励事件明细!$A$2:$A$501,0)),""))</f>
        <v/>
      </c>
      <c r="P162" s="4" t="str">
        <f t="shared" ref="P162:P193" ca="1" si="23">IF(A162="","",IF(M162=0,"",IF(K162&gt;J162,"异常：超额缴税",IF(L162=0,"已缴清",IF(AND(O162&lt;TODAY(),L162&gt;0),"逾期未缴","未缴清")))))</f>
        <v/>
      </c>
    </row>
    <row r="163" spans="1:16" x14ac:dyDescent="0.3">
      <c r="A163" s="9"/>
      <c r="B163" s="4" t="str">
        <f>IF(A163="","",IFERROR(INDEX(激励事件明细!$D$2:$D$501,MATCH(A163,激励事件明细!$C$2:$C$501,0)),""))</f>
        <v/>
      </c>
      <c r="C163" s="9"/>
      <c r="D163" s="15" t="str">
        <f>IF(OR(A163="",C163=""),"",SUMIFS(激励事件明细!$T$2:$T$501,激励事件明细!$C$2:$C$501,A163,激励事件明细!$H$2:$H$501,C163,激励事件明细!$F$2:$F$501,"股票期权"))</f>
        <v/>
      </c>
      <c r="E163" s="15" t="str">
        <f>IF(OR(A163="",C163=""),"",SUMIFS(激励事件明细!$T$2:$T$501,激励事件明细!$C$2:$C$501,A163,激励事件明细!$H$2:$H$501,C163,激励事件明细!$F$2:$F$501,"限制性股票"))</f>
        <v/>
      </c>
      <c r="F163" s="15" t="str">
        <f>IF(OR(A163="",C163=""),"",SUMIFS(激励事件明细!$T$2:$T$501,激励事件明细!$C$2:$C$501,A163,激励事件明细!$H$2:$H$501,C163,激励事件明细!$F$2:$F$501,"其他股权激励"))</f>
        <v/>
      </c>
      <c r="G163" s="15" t="str">
        <f t="shared" si="20"/>
        <v/>
      </c>
      <c r="H163" s="16" t="str">
        <f>IF(G163="","",VLOOKUP(G163,税率及规则!$A$2:$C$8,2,TRUE))</f>
        <v/>
      </c>
      <c r="I163" s="15" t="str">
        <f>IF(G163="","",VLOOKUP(G163,税率及规则!$A$2:$C$8,3,TRUE))</f>
        <v/>
      </c>
      <c r="J163" s="15" t="str">
        <f t="shared" si="21"/>
        <v/>
      </c>
      <c r="K163" s="15" t="str">
        <f>IF(A163="","",SUMIFS(分期缴税台账!$K$2:$K$501,分期缴税台账!$A$2:$A$501,A163,分期缴税台账!$C$2:$C$501,C163,分期缴税台账!$Q$2:$Q$501,"有效"))</f>
        <v/>
      </c>
      <c r="L163" s="15" t="str">
        <f t="shared" si="22"/>
        <v/>
      </c>
      <c r="M163" s="4" t="str">
        <f>IF(A163="","",COUNTIFS(激励事件明细!$C$2:$C$501,A163,激励事件明细!$H$2:$H$501,C163,激励事件明细!$AA$2:$AA$501,"&gt;0"))</f>
        <v/>
      </c>
      <c r="N163" s="4" t="str">
        <f>IF(OR(A163="",C163=""),"",IFERROR(INDEX(激励事件明细!$A$2:$A$501,MATCH(A163&amp;"|"&amp;C163&amp;"|1",激励事件明细!$AM$2:$AM$501,0)),""))</f>
        <v/>
      </c>
      <c r="O163" s="17" t="str">
        <f>IF(N163="","",IFERROR(INDEX(激励事件明细!$AC$2:$AC$501,MATCH(N163,激励事件明细!$A$2:$A$501,0)),""))</f>
        <v/>
      </c>
      <c r="P163" s="4" t="str">
        <f t="shared" ca="1" si="23"/>
        <v/>
      </c>
    </row>
    <row r="164" spans="1:16" x14ac:dyDescent="0.3">
      <c r="A164" s="9"/>
      <c r="B164" s="4" t="str">
        <f>IF(A164="","",IFERROR(INDEX(激励事件明细!$D$2:$D$501,MATCH(A164,激励事件明细!$C$2:$C$501,0)),""))</f>
        <v/>
      </c>
      <c r="C164" s="9"/>
      <c r="D164" s="15" t="str">
        <f>IF(OR(A164="",C164=""),"",SUMIFS(激励事件明细!$T$2:$T$501,激励事件明细!$C$2:$C$501,A164,激励事件明细!$H$2:$H$501,C164,激励事件明细!$F$2:$F$501,"股票期权"))</f>
        <v/>
      </c>
      <c r="E164" s="15" t="str">
        <f>IF(OR(A164="",C164=""),"",SUMIFS(激励事件明细!$T$2:$T$501,激励事件明细!$C$2:$C$501,A164,激励事件明细!$H$2:$H$501,C164,激励事件明细!$F$2:$F$501,"限制性股票"))</f>
        <v/>
      </c>
      <c r="F164" s="15" t="str">
        <f>IF(OR(A164="",C164=""),"",SUMIFS(激励事件明细!$T$2:$T$501,激励事件明细!$C$2:$C$501,A164,激励事件明细!$H$2:$H$501,C164,激励事件明细!$F$2:$F$501,"其他股权激励"))</f>
        <v/>
      </c>
      <c r="G164" s="15" t="str">
        <f t="shared" si="20"/>
        <v/>
      </c>
      <c r="H164" s="16" t="str">
        <f>IF(G164="","",VLOOKUP(G164,税率及规则!$A$2:$C$8,2,TRUE))</f>
        <v/>
      </c>
      <c r="I164" s="15" t="str">
        <f>IF(G164="","",VLOOKUP(G164,税率及规则!$A$2:$C$8,3,TRUE))</f>
        <v/>
      </c>
      <c r="J164" s="15" t="str">
        <f t="shared" si="21"/>
        <v/>
      </c>
      <c r="K164" s="15" t="str">
        <f>IF(A164="","",SUMIFS(分期缴税台账!$K$2:$K$501,分期缴税台账!$A$2:$A$501,A164,分期缴税台账!$C$2:$C$501,C164,分期缴税台账!$Q$2:$Q$501,"有效"))</f>
        <v/>
      </c>
      <c r="L164" s="15" t="str">
        <f t="shared" si="22"/>
        <v/>
      </c>
      <c r="M164" s="4" t="str">
        <f>IF(A164="","",COUNTIFS(激励事件明细!$C$2:$C$501,A164,激励事件明细!$H$2:$H$501,C164,激励事件明细!$AA$2:$AA$501,"&gt;0"))</f>
        <v/>
      </c>
      <c r="N164" s="4" t="str">
        <f>IF(OR(A164="",C164=""),"",IFERROR(INDEX(激励事件明细!$A$2:$A$501,MATCH(A164&amp;"|"&amp;C164&amp;"|1",激励事件明细!$AM$2:$AM$501,0)),""))</f>
        <v/>
      </c>
      <c r="O164" s="17" t="str">
        <f>IF(N164="","",IFERROR(INDEX(激励事件明细!$AC$2:$AC$501,MATCH(N164,激励事件明细!$A$2:$A$501,0)),""))</f>
        <v/>
      </c>
      <c r="P164" s="4" t="str">
        <f t="shared" ca="1" si="23"/>
        <v/>
      </c>
    </row>
    <row r="165" spans="1:16" x14ac:dyDescent="0.3">
      <c r="A165" s="9"/>
      <c r="B165" s="4" t="str">
        <f>IF(A165="","",IFERROR(INDEX(激励事件明细!$D$2:$D$501,MATCH(A165,激励事件明细!$C$2:$C$501,0)),""))</f>
        <v/>
      </c>
      <c r="C165" s="9"/>
      <c r="D165" s="15" t="str">
        <f>IF(OR(A165="",C165=""),"",SUMIFS(激励事件明细!$T$2:$T$501,激励事件明细!$C$2:$C$501,A165,激励事件明细!$H$2:$H$501,C165,激励事件明细!$F$2:$F$501,"股票期权"))</f>
        <v/>
      </c>
      <c r="E165" s="15" t="str">
        <f>IF(OR(A165="",C165=""),"",SUMIFS(激励事件明细!$T$2:$T$501,激励事件明细!$C$2:$C$501,A165,激励事件明细!$H$2:$H$501,C165,激励事件明细!$F$2:$F$501,"限制性股票"))</f>
        <v/>
      </c>
      <c r="F165" s="15" t="str">
        <f>IF(OR(A165="",C165=""),"",SUMIFS(激励事件明细!$T$2:$T$501,激励事件明细!$C$2:$C$501,A165,激励事件明细!$H$2:$H$501,C165,激励事件明细!$F$2:$F$501,"其他股权激励"))</f>
        <v/>
      </c>
      <c r="G165" s="15" t="str">
        <f t="shared" si="20"/>
        <v/>
      </c>
      <c r="H165" s="16" t="str">
        <f>IF(G165="","",VLOOKUP(G165,税率及规则!$A$2:$C$8,2,TRUE))</f>
        <v/>
      </c>
      <c r="I165" s="15" t="str">
        <f>IF(G165="","",VLOOKUP(G165,税率及规则!$A$2:$C$8,3,TRUE))</f>
        <v/>
      </c>
      <c r="J165" s="15" t="str">
        <f t="shared" si="21"/>
        <v/>
      </c>
      <c r="K165" s="15" t="str">
        <f>IF(A165="","",SUMIFS(分期缴税台账!$K$2:$K$501,分期缴税台账!$A$2:$A$501,A165,分期缴税台账!$C$2:$C$501,C165,分期缴税台账!$Q$2:$Q$501,"有效"))</f>
        <v/>
      </c>
      <c r="L165" s="15" t="str">
        <f t="shared" si="22"/>
        <v/>
      </c>
      <c r="M165" s="4" t="str">
        <f>IF(A165="","",COUNTIFS(激励事件明细!$C$2:$C$501,A165,激励事件明细!$H$2:$H$501,C165,激励事件明细!$AA$2:$AA$501,"&gt;0"))</f>
        <v/>
      </c>
      <c r="N165" s="4" t="str">
        <f>IF(OR(A165="",C165=""),"",IFERROR(INDEX(激励事件明细!$A$2:$A$501,MATCH(A165&amp;"|"&amp;C165&amp;"|1",激励事件明细!$AM$2:$AM$501,0)),""))</f>
        <v/>
      </c>
      <c r="O165" s="17" t="str">
        <f>IF(N165="","",IFERROR(INDEX(激励事件明细!$AC$2:$AC$501,MATCH(N165,激励事件明细!$A$2:$A$501,0)),""))</f>
        <v/>
      </c>
      <c r="P165" s="4" t="str">
        <f t="shared" ca="1" si="23"/>
        <v/>
      </c>
    </row>
    <row r="166" spans="1:16" x14ac:dyDescent="0.3">
      <c r="A166" s="9"/>
      <c r="B166" s="4" t="str">
        <f>IF(A166="","",IFERROR(INDEX(激励事件明细!$D$2:$D$501,MATCH(A166,激励事件明细!$C$2:$C$501,0)),""))</f>
        <v/>
      </c>
      <c r="C166" s="9"/>
      <c r="D166" s="15" t="str">
        <f>IF(OR(A166="",C166=""),"",SUMIFS(激励事件明细!$T$2:$T$501,激励事件明细!$C$2:$C$501,A166,激励事件明细!$H$2:$H$501,C166,激励事件明细!$F$2:$F$501,"股票期权"))</f>
        <v/>
      </c>
      <c r="E166" s="15" t="str">
        <f>IF(OR(A166="",C166=""),"",SUMIFS(激励事件明细!$T$2:$T$501,激励事件明细!$C$2:$C$501,A166,激励事件明细!$H$2:$H$501,C166,激励事件明细!$F$2:$F$501,"限制性股票"))</f>
        <v/>
      </c>
      <c r="F166" s="15" t="str">
        <f>IF(OR(A166="",C166=""),"",SUMIFS(激励事件明细!$T$2:$T$501,激励事件明细!$C$2:$C$501,A166,激励事件明细!$H$2:$H$501,C166,激励事件明细!$F$2:$F$501,"其他股权激励"))</f>
        <v/>
      </c>
      <c r="G166" s="15" t="str">
        <f t="shared" si="20"/>
        <v/>
      </c>
      <c r="H166" s="16" t="str">
        <f>IF(G166="","",VLOOKUP(G166,税率及规则!$A$2:$C$8,2,TRUE))</f>
        <v/>
      </c>
      <c r="I166" s="15" t="str">
        <f>IF(G166="","",VLOOKUP(G166,税率及规则!$A$2:$C$8,3,TRUE))</f>
        <v/>
      </c>
      <c r="J166" s="15" t="str">
        <f t="shared" si="21"/>
        <v/>
      </c>
      <c r="K166" s="15" t="str">
        <f>IF(A166="","",SUMIFS(分期缴税台账!$K$2:$K$501,分期缴税台账!$A$2:$A$501,A166,分期缴税台账!$C$2:$C$501,C166,分期缴税台账!$Q$2:$Q$501,"有效"))</f>
        <v/>
      </c>
      <c r="L166" s="15" t="str">
        <f t="shared" si="22"/>
        <v/>
      </c>
      <c r="M166" s="4" t="str">
        <f>IF(A166="","",COUNTIFS(激励事件明细!$C$2:$C$501,A166,激励事件明细!$H$2:$H$501,C166,激励事件明细!$AA$2:$AA$501,"&gt;0"))</f>
        <v/>
      </c>
      <c r="N166" s="4" t="str">
        <f>IF(OR(A166="",C166=""),"",IFERROR(INDEX(激励事件明细!$A$2:$A$501,MATCH(A166&amp;"|"&amp;C166&amp;"|1",激励事件明细!$AM$2:$AM$501,0)),""))</f>
        <v/>
      </c>
      <c r="O166" s="17" t="str">
        <f>IF(N166="","",IFERROR(INDEX(激励事件明细!$AC$2:$AC$501,MATCH(N166,激励事件明细!$A$2:$A$501,0)),""))</f>
        <v/>
      </c>
      <c r="P166" s="4" t="str">
        <f t="shared" ca="1" si="23"/>
        <v/>
      </c>
    </row>
    <row r="167" spans="1:16" x14ac:dyDescent="0.3">
      <c r="A167" s="9"/>
      <c r="B167" s="4" t="str">
        <f>IF(A167="","",IFERROR(INDEX(激励事件明细!$D$2:$D$501,MATCH(A167,激励事件明细!$C$2:$C$501,0)),""))</f>
        <v/>
      </c>
      <c r="C167" s="9"/>
      <c r="D167" s="15" t="str">
        <f>IF(OR(A167="",C167=""),"",SUMIFS(激励事件明细!$T$2:$T$501,激励事件明细!$C$2:$C$501,A167,激励事件明细!$H$2:$H$501,C167,激励事件明细!$F$2:$F$501,"股票期权"))</f>
        <v/>
      </c>
      <c r="E167" s="15" t="str">
        <f>IF(OR(A167="",C167=""),"",SUMIFS(激励事件明细!$T$2:$T$501,激励事件明细!$C$2:$C$501,A167,激励事件明细!$H$2:$H$501,C167,激励事件明细!$F$2:$F$501,"限制性股票"))</f>
        <v/>
      </c>
      <c r="F167" s="15" t="str">
        <f>IF(OR(A167="",C167=""),"",SUMIFS(激励事件明细!$T$2:$T$501,激励事件明细!$C$2:$C$501,A167,激励事件明细!$H$2:$H$501,C167,激励事件明细!$F$2:$F$501,"其他股权激励"))</f>
        <v/>
      </c>
      <c r="G167" s="15" t="str">
        <f t="shared" si="20"/>
        <v/>
      </c>
      <c r="H167" s="16" t="str">
        <f>IF(G167="","",VLOOKUP(G167,税率及规则!$A$2:$C$8,2,TRUE))</f>
        <v/>
      </c>
      <c r="I167" s="15" t="str">
        <f>IF(G167="","",VLOOKUP(G167,税率及规则!$A$2:$C$8,3,TRUE))</f>
        <v/>
      </c>
      <c r="J167" s="15" t="str">
        <f t="shared" si="21"/>
        <v/>
      </c>
      <c r="K167" s="15" t="str">
        <f>IF(A167="","",SUMIFS(分期缴税台账!$K$2:$K$501,分期缴税台账!$A$2:$A$501,A167,分期缴税台账!$C$2:$C$501,C167,分期缴税台账!$Q$2:$Q$501,"有效"))</f>
        <v/>
      </c>
      <c r="L167" s="15" t="str">
        <f t="shared" si="22"/>
        <v/>
      </c>
      <c r="M167" s="4" t="str">
        <f>IF(A167="","",COUNTIFS(激励事件明细!$C$2:$C$501,A167,激励事件明细!$H$2:$H$501,C167,激励事件明细!$AA$2:$AA$501,"&gt;0"))</f>
        <v/>
      </c>
      <c r="N167" s="4" t="str">
        <f>IF(OR(A167="",C167=""),"",IFERROR(INDEX(激励事件明细!$A$2:$A$501,MATCH(A167&amp;"|"&amp;C167&amp;"|1",激励事件明细!$AM$2:$AM$501,0)),""))</f>
        <v/>
      </c>
      <c r="O167" s="17" t="str">
        <f>IF(N167="","",IFERROR(INDEX(激励事件明细!$AC$2:$AC$501,MATCH(N167,激励事件明细!$A$2:$A$501,0)),""))</f>
        <v/>
      </c>
      <c r="P167" s="4" t="str">
        <f t="shared" ca="1" si="23"/>
        <v/>
      </c>
    </row>
    <row r="168" spans="1:16" x14ac:dyDescent="0.3">
      <c r="A168" s="9"/>
      <c r="B168" s="4" t="str">
        <f>IF(A168="","",IFERROR(INDEX(激励事件明细!$D$2:$D$501,MATCH(A168,激励事件明细!$C$2:$C$501,0)),""))</f>
        <v/>
      </c>
      <c r="C168" s="9"/>
      <c r="D168" s="15" t="str">
        <f>IF(OR(A168="",C168=""),"",SUMIFS(激励事件明细!$T$2:$T$501,激励事件明细!$C$2:$C$501,A168,激励事件明细!$H$2:$H$501,C168,激励事件明细!$F$2:$F$501,"股票期权"))</f>
        <v/>
      </c>
      <c r="E168" s="15" t="str">
        <f>IF(OR(A168="",C168=""),"",SUMIFS(激励事件明细!$T$2:$T$501,激励事件明细!$C$2:$C$501,A168,激励事件明细!$H$2:$H$501,C168,激励事件明细!$F$2:$F$501,"限制性股票"))</f>
        <v/>
      </c>
      <c r="F168" s="15" t="str">
        <f>IF(OR(A168="",C168=""),"",SUMIFS(激励事件明细!$T$2:$T$501,激励事件明细!$C$2:$C$501,A168,激励事件明细!$H$2:$H$501,C168,激励事件明细!$F$2:$F$501,"其他股权激励"))</f>
        <v/>
      </c>
      <c r="G168" s="15" t="str">
        <f t="shared" si="20"/>
        <v/>
      </c>
      <c r="H168" s="16" t="str">
        <f>IF(G168="","",VLOOKUP(G168,税率及规则!$A$2:$C$8,2,TRUE))</f>
        <v/>
      </c>
      <c r="I168" s="15" t="str">
        <f>IF(G168="","",VLOOKUP(G168,税率及规则!$A$2:$C$8,3,TRUE))</f>
        <v/>
      </c>
      <c r="J168" s="15" t="str">
        <f t="shared" si="21"/>
        <v/>
      </c>
      <c r="K168" s="15" t="str">
        <f>IF(A168="","",SUMIFS(分期缴税台账!$K$2:$K$501,分期缴税台账!$A$2:$A$501,A168,分期缴税台账!$C$2:$C$501,C168,分期缴税台账!$Q$2:$Q$501,"有效"))</f>
        <v/>
      </c>
      <c r="L168" s="15" t="str">
        <f t="shared" si="22"/>
        <v/>
      </c>
      <c r="M168" s="4" t="str">
        <f>IF(A168="","",COUNTIFS(激励事件明细!$C$2:$C$501,A168,激励事件明细!$H$2:$H$501,C168,激励事件明细!$AA$2:$AA$501,"&gt;0"))</f>
        <v/>
      </c>
      <c r="N168" s="4" t="str">
        <f>IF(OR(A168="",C168=""),"",IFERROR(INDEX(激励事件明细!$A$2:$A$501,MATCH(A168&amp;"|"&amp;C168&amp;"|1",激励事件明细!$AM$2:$AM$501,0)),""))</f>
        <v/>
      </c>
      <c r="O168" s="17" t="str">
        <f>IF(N168="","",IFERROR(INDEX(激励事件明细!$AC$2:$AC$501,MATCH(N168,激励事件明细!$A$2:$A$501,0)),""))</f>
        <v/>
      </c>
      <c r="P168" s="4" t="str">
        <f t="shared" ca="1" si="23"/>
        <v/>
      </c>
    </row>
    <row r="169" spans="1:16" x14ac:dyDescent="0.3">
      <c r="A169" s="9"/>
      <c r="B169" s="4" t="str">
        <f>IF(A169="","",IFERROR(INDEX(激励事件明细!$D$2:$D$501,MATCH(A169,激励事件明细!$C$2:$C$501,0)),""))</f>
        <v/>
      </c>
      <c r="C169" s="9"/>
      <c r="D169" s="15" t="str">
        <f>IF(OR(A169="",C169=""),"",SUMIFS(激励事件明细!$T$2:$T$501,激励事件明细!$C$2:$C$501,A169,激励事件明细!$H$2:$H$501,C169,激励事件明细!$F$2:$F$501,"股票期权"))</f>
        <v/>
      </c>
      <c r="E169" s="15" t="str">
        <f>IF(OR(A169="",C169=""),"",SUMIFS(激励事件明细!$T$2:$T$501,激励事件明细!$C$2:$C$501,A169,激励事件明细!$H$2:$H$501,C169,激励事件明细!$F$2:$F$501,"限制性股票"))</f>
        <v/>
      </c>
      <c r="F169" s="15" t="str">
        <f>IF(OR(A169="",C169=""),"",SUMIFS(激励事件明细!$T$2:$T$501,激励事件明细!$C$2:$C$501,A169,激励事件明细!$H$2:$H$501,C169,激励事件明细!$F$2:$F$501,"其他股权激励"))</f>
        <v/>
      </c>
      <c r="G169" s="15" t="str">
        <f t="shared" si="20"/>
        <v/>
      </c>
      <c r="H169" s="16" t="str">
        <f>IF(G169="","",VLOOKUP(G169,税率及规则!$A$2:$C$8,2,TRUE))</f>
        <v/>
      </c>
      <c r="I169" s="15" t="str">
        <f>IF(G169="","",VLOOKUP(G169,税率及规则!$A$2:$C$8,3,TRUE))</f>
        <v/>
      </c>
      <c r="J169" s="15" t="str">
        <f t="shared" si="21"/>
        <v/>
      </c>
      <c r="K169" s="15" t="str">
        <f>IF(A169="","",SUMIFS(分期缴税台账!$K$2:$K$501,分期缴税台账!$A$2:$A$501,A169,分期缴税台账!$C$2:$C$501,C169,分期缴税台账!$Q$2:$Q$501,"有效"))</f>
        <v/>
      </c>
      <c r="L169" s="15" t="str">
        <f t="shared" si="22"/>
        <v/>
      </c>
      <c r="M169" s="4" t="str">
        <f>IF(A169="","",COUNTIFS(激励事件明细!$C$2:$C$501,A169,激励事件明细!$H$2:$H$501,C169,激励事件明细!$AA$2:$AA$501,"&gt;0"))</f>
        <v/>
      </c>
      <c r="N169" s="4" t="str">
        <f>IF(OR(A169="",C169=""),"",IFERROR(INDEX(激励事件明细!$A$2:$A$501,MATCH(A169&amp;"|"&amp;C169&amp;"|1",激励事件明细!$AM$2:$AM$501,0)),""))</f>
        <v/>
      </c>
      <c r="O169" s="17" t="str">
        <f>IF(N169="","",IFERROR(INDEX(激励事件明细!$AC$2:$AC$501,MATCH(N169,激励事件明细!$A$2:$A$501,0)),""))</f>
        <v/>
      </c>
      <c r="P169" s="4" t="str">
        <f t="shared" ca="1" si="23"/>
        <v/>
      </c>
    </row>
    <row r="170" spans="1:16" x14ac:dyDescent="0.3">
      <c r="A170" s="9"/>
      <c r="B170" s="4" t="str">
        <f>IF(A170="","",IFERROR(INDEX(激励事件明细!$D$2:$D$501,MATCH(A170,激励事件明细!$C$2:$C$501,0)),""))</f>
        <v/>
      </c>
      <c r="C170" s="9"/>
      <c r="D170" s="15" t="str">
        <f>IF(OR(A170="",C170=""),"",SUMIFS(激励事件明细!$T$2:$T$501,激励事件明细!$C$2:$C$501,A170,激励事件明细!$H$2:$H$501,C170,激励事件明细!$F$2:$F$501,"股票期权"))</f>
        <v/>
      </c>
      <c r="E170" s="15" t="str">
        <f>IF(OR(A170="",C170=""),"",SUMIFS(激励事件明细!$T$2:$T$501,激励事件明细!$C$2:$C$501,A170,激励事件明细!$H$2:$H$501,C170,激励事件明细!$F$2:$F$501,"限制性股票"))</f>
        <v/>
      </c>
      <c r="F170" s="15" t="str">
        <f>IF(OR(A170="",C170=""),"",SUMIFS(激励事件明细!$T$2:$T$501,激励事件明细!$C$2:$C$501,A170,激励事件明细!$H$2:$H$501,C170,激励事件明细!$F$2:$F$501,"其他股权激励"))</f>
        <v/>
      </c>
      <c r="G170" s="15" t="str">
        <f t="shared" si="20"/>
        <v/>
      </c>
      <c r="H170" s="16" t="str">
        <f>IF(G170="","",VLOOKUP(G170,税率及规则!$A$2:$C$8,2,TRUE))</f>
        <v/>
      </c>
      <c r="I170" s="15" t="str">
        <f>IF(G170="","",VLOOKUP(G170,税率及规则!$A$2:$C$8,3,TRUE))</f>
        <v/>
      </c>
      <c r="J170" s="15" t="str">
        <f t="shared" si="21"/>
        <v/>
      </c>
      <c r="K170" s="15" t="str">
        <f>IF(A170="","",SUMIFS(分期缴税台账!$K$2:$K$501,分期缴税台账!$A$2:$A$501,A170,分期缴税台账!$C$2:$C$501,C170,分期缴税台账!$Q$2:$Q$501,"有效"))</f>
        <v/>
      </c>
      <c r="L170" s="15" t="str">
        <f t="shared" si="22"/>
        <v/>
      </c>
      <c r="M170" s="4" t="str">
        <f>IF(A170="","",COUNTIFS(激励事件明细!$C$2:$C$501,A170,激励事件明细!$H$2:$H$501,C170,激励事件明细!$AA$2:$AA$501,"&gt;0"))</f>
        <v/>
      </c>
      <c r="N170" s="4" t="str">
        <f>IF(OR(A170="",C170=""),"",IFERROR(INDEX(激励事件明细!$A$2:$A$501,MATCH(A170&amp;"|"&amp;C170&amp;"|1",激励事件明细!$AM$2:$AM$501,0)),""))</f>
        <v/>
      </c>
      <c r="O170" s="17" t="str">
        <f>IF(N170="","",IFERROR(INDEX(激励事件明细!$AC$2:$AC$501,MATCH(N170,激励事件明细!$A$2:$A$501,0)),""))</f>
        <v/>
      </c>
      <c r="P170" s="4" t="str">
        <f t="shared" ca="1" si="23"/>
        <v/>
      </c>
    </row>
    <row r="171" spans="1:16" x14ac:dyDescent="0.3">
      <c r="A171" s="9"/>
      <c r="B171" s="4" t="str">
        <f>IF(A171="","",IFERROR(INDEX(激励事件明细!$D$2:$D$501,MATCH(A171,激励事件明细!$C$2:$C$501,0)),""))</f>
        <v/>
      </c>
      <c r="C171" s="9"/>
      <c r="D171" s="15" t="str">
        <f>IF(OR(A171="",C171=""),"",SUMIFS(激励事件明细!$T$2:$T$501,激励事件明细!$C$2:$C$501,A171,激励事件明细!$H$2:$H$501,C171,激励事件明细!$F$2:$F$501,"股票期权"))</f>
        <v/>
      </c>
      <c r="E171" s="15" t="str">
        <f>IF(OR(A171="",C171=""),"",SUMIFS(激励事件明细!$T$2:$T$501,激励事件明细!$C$2:$C$501,A171,激励事件明细!$H$2:$H$501,C171,激励事件明细!$F$2:$F$501,"限制性股票"))</f>
        <v/>
      </c>
      <c r="F171" s="15" t="str">
        <f>IF(OR(A171="",C171=""),"",SUMIFS(激励事件明细!$T$2:$T$501,激励事件明细!$C$2:$C$501,A171,激励事件明细!$H$2:$H$501,C171,激励事件明细!$F$2:$F$501,"其他股权激励"))</f>
        <v/>
      </c>
      <c r="G171" s="15" t="str">
        <f t="shared" si="20"/>
        <v/>
      </c>
      <c r="H171" s="16" t="str">
        <f>IF(G171="","",VLOOKUP(G171,税率及规则!$A$2:$C$8,2,TRUE))</f>
        <v/>
      </c>
      <c r="I171" s="15" t="str">
        <f>IF(G171="","",VLOOKUP(G171,税率及规则!$A$2:$C$8,3,TRUE))</f>
        <v/>
      </c>
      <c r="J171" s="15" t="str">
        <f t="shared" si="21"/>
        <v/>
      </c>
      <c r="K171" s="15" t="str">
        <f>IF(A171="","",SUMIFS(分期缴税台账!$K$2:$K$501,分期缴税台账!$A$2:$A$501,A171,分期缴税台账!$C$2:$C$501,C171,分期缴税台账!$Q$2:$Q$501,"有效"))</f>
        <v/>
      </c>
      <c r="L171" s="15" t="str">
        <f t="shared" si="22"/>
        <v/>
      </c>
      <c r="M171" s="4" t="str">
        <f>IF(A171="","",COUNTIFS(激励事件明细!$C$2:$C$501,A171,激励事件明细!$H$2:$H$501,C171,激励事件明细!$AA$2:$AA$501,"&gt;0"))</f>
        <v/>
      </c>
      <c r="N171" s="4" t="str">
        <f>IF(OR(A171="",C171=""),"",IFERROR(INDEX(激励事件明细!$A$2:$A$501,MATCH(A171&amp;"|"&amp;C171&amp;"|1",激励事件明细!$AM$2:$AM$501,0)),""))</f>
        <v/>
      </c>
      <c r="O171" s="17" t="str">
        <f>IF(N171="","",IFERROR(INDEX(激励事件明细!$AC$2:$AC$501,MATCH(N171,激励事件明细!$A$2:$A$501,0)),""))</f>
        <v/>
      </c>
      <c r="P171" s="4" t="str">
        <f t="shared" ca="1" si="23"/>
        <v/>
      </c>
    </row>
    <row r="172" spans="1:16" x14ac:dyDescent="0.3">
      <c r="A172" s="9"/>
      <c r="B172" s="4" t="str">
        <f>IF(A172="","",IFERROR(INDEX(激励事件明细!$D$2:$D$501,MATCH(A172,激励事件明细!$C$2:$C$501,0)),""))</f>
        <v/>
      </c>
      <c r="C172" s="9"/>
      <c r="D172" s="15" t="str">
        <f>IF(OR(A172="",C172=""),"",SUMIFS(激励事件明细!$T$2:$T$501,激励事件明细!$C$2:$C$501,A172,激励事件明细!$H$2:$H$501,C172,激励事件明细!$F$2:$F$501,"股票期权"))</f>
        <v/>
      </c>
      <c r="E172" s="15" t="str">
        <f>IF(OR(A172="",C172=""),"",SUMIFS(激励事件明细!$T$2:$T$501,激励事件明细!$C$2:$C$501,A172,激励事件明细!$H$2:$H$501,C172,激励事件明细!$F$2:$F$501,"限制性股票"))</f>
        <v/>
      </c>
      <c r="F172" s="15" t="str">
        <f>IF(OR(A172="",C172=""),"",SUMIFS(激励事件明细!$T$2:$T$501,激励事件明细!$C$2:$C$501,A172,激励事件明细!$H$2:$H$501,C172,激励事件明细!$F$2:$F$501,"其他股权激励"))</f>
        <v/>
      </c>
      <c r="G172" s="15" t="str">
        <f t="shared" si="20"/>
        <v/>
      </c>
      <c r="H172" s="16" t="str">
        <f>IF(G172="","",VLOOKUP(G172,税率及规则!$A$2:$C$8,2,TRUE))</f>
        <v/>
      </c>
      <c r="I172" s="15" t="str">
        <f>IF(G172="","",VLOOKUP(G172,税率及规则!$A$2:$C$8,3,TRUE))</f>
        <v/>
      </c>
      <c r="J172" s="15" t="str">
        <f t="shared" si="21"/>
        <v/>
      </c>
      <c r="K172" s="15" t="str">
        <f>IF(A172="","",SUMIFS(分期缴税台账!$K$2:$K$501,分期缴税台账!$A$2:$A$501,A172,分期缴税台账!$C$2:$C$501,C172,分期缴税台账!$Q$2:$Q$501,"有效"))</f>
        <v/>
      </c>
      <c r="L172" s="15" t="str">
        <f t="shared" si="22"/>
        <v/>
      </c>
      <c r="M172" s="4" t="str">
        <f>IF(A172="","",COUNTIFS(激励事件明细!$C$2:$C$501,A172,激励事件明细!$H$2:$H$501,C172,激励事件明细!$AA$2:$AA$501,"&gt;0"))</f>
        <v/>
      </c>
      <c r="N172" s="4" t="str">
        <f>IF(OR(A172="",C172=""),"",IFERROR(INDEX(激励事件明细!$A$2:$A$501,MATCH(A172&amp;"|"&amp;C172&amp;"|1",激励事件明细!$AM$2:$AM$501,0)),""))</f>
        <v/>
      </c>
      <c r="O172" s="17" t="str">
        <f>IF(N172="","",IFERROR(INDEX(激励事件明细!$AC$2:$AC$501,MATCH(N172,激励事件明细!$A$2:$A$501,0)),""))</f>
        <v/>
      </c>
      <c r="P172" s="4" t="str">
        <f t="shared" ca="1" si="23"/>
        <v/>
      </c>
    </row>
    <row r="173" spans="1:16" x14ac:dyDescent="0.3">
      <c r="A173" s="9"/>
      <c r="B173" s="4" t="str">
        <f>IF(A173="","",IFERROR(INDEX(激励事件明细!$D$2:$D$501,MATCH(A173,激励事件明细!$C$2:$C$501,0)),""))</f>
        <v/>
      </c>
      <c r="C173" s="9"/>
      <c r="D173" s="15" t="str">
        <f>IF(OR(A173="",C173=""),"",SUMIFS(激励事件明细!$T$2:$T$501,激励事件明细!$C$2:$C$501,A173,激励事件明细!$H$2:$H$501,C173,激励事件明细!$F$2:$F$501,"股票期权"))</f>
        <v/>
      </c>
      <c r="E173" s="15" t="str">
        <f>IF(OR(A173="",C173=""),"",SUMIFS(激励事件明细!$T$2:$T$501,激励事件明细!$C$2:$C$501,A173,激励事件明细!$H$2:$H$501,C173,激励事件明细!$F$2:$F$501,"限制性股票"))</f>
        <v/>
      </c>
      <c r="F173" s="15" t="str">
        <f>IF(OR(A173="",C173=""),"",SUMIFS(激励事件明细!$T$2:$T$501,激励事件明细!$C$2:$C$501,A173,激励事件明细!$H$2:$H$501,C173,激励事件明细!$F$2:$F$501,"其他股权激励"))</f>
        <v/>
      </c>
      <c r="G173" s="15" t="str">
        <f t="shared" si="20"/>
        <v/>
      </c>
      <c r="H173" s="16" t="str">
        <f>IF(G173="","",VLOOKUP(G173,税率及规则!$A$2:$C$8,2,TRUE))</f>
        <v/>
      </c>
      <c r="I173" s="15" t="str">
        <f>IF(G173="","",VLOOKUP(G173,税率及规则!$A$2:$C$8,3,TRUE))</f>
        <v/>
      </c>
      <c r="J173" s="15" t="str">
        <f t="shared" si="21"/>
        <v/>
      </c>
      <c r="K173" s="15" t="str">
        <f>IF(A173="","",SUMIFS(分期缴税台账!$K$2:$K$501,分期缴税台账!$A$2:$A$501,A173,分期缴税台账!$C$2:$C$501,C173,分期缴税台账!$Q$2:$Q$501,"有效"))</f>
        <v/>
      </c>
      <c r="L173" s="15" t="str">
        <f t="shared" si="22"/>
        <v/>
      </c>
      <c r="M173" s="4" t="str">
        <f>IF(A173="","",COUNTIFS(激励事件明细!$C$2:$C$501,A173,激励事件明细!$H$2:$H$501,C173,激励事件明细!$AA$2:$AA$501,"&gt;0"))</f>
        <v/>
      </c>
      <c r="N173" s="4" t="str">
        <f>IF(OR(A173="",C173=""),"",IFERROR(INDEX(激励事件明细!$A$2:$A$501,MATCH(A173&amp;"|"&amp;C173&amp;"|1",激励事件明细!$AM$2:$AM$501,0)),""))</f>
        <v/>
      </c>
      <c r="O173" s="17" t="str">
        <f>IF(N173="","",IFERROR(INDEX(激励事件明细!$AC$2:$AC$501,MATCH(N173,激励事件明细!$A$2:$A$501,0)),""))</f>
        <v/>
      </c>
      <c r="P173" s="4" t="str">
        <f t="shared" ca="1" si="23"/>
        <v/>
      </c>
    </row>
    <row r="174" spans="1:16" x14ac:dyDescent="0.3">
      <c r="A174" s="9"/>
      <c r="B174" s="4" t="str">
        <f>IF(A174="","",IFERROR(INDEX(激励事件明细!$D$2:$D$501,MATCH(A174,激励事件明细!$C$2:$C$501,0)),""))</f>
        <v/>
      </c>
      <c r="C174" s="9"/>
      <c r="D174" s="15" t="str">
        <f>IF(OR(A174="",C174=""),"",SUMIFS(激励事件明细!$T$2:$T$501,激励事件明细!$C$2:$C$501,A174,激励事件明细!$H$2:$H$501,C174,激励事件明细!$F$2:$F$501,"股票期权"))</f>
        <v/>
      </c>
      <c r="E174" s="15" t="str">
        <f>IF(OR(A174="",C174=""),"",SUMIFS(激励事件明细!$T$2:$T$501,激励事件明细!$C$2:$C$501,A174,激励事件明细!$H$2:$H$501,C174,激励事件明细!$F$2:$F$501,"限制性股票"))</f>
        <v/>
      </c>
      <c r="F174" s="15" t="str">
        <f>IF(OR(A174="",C174=""),"",SUMIFS(激励事件明细!$T$2:$T$501,激励事件明细!$C$2:$C$501,A174,激励事件明细!$H$2:$H$501,C174,激励事件明细!$F$2:$F$501,"其他股权激励"))</f>
        <v/>
      </c>
      <c r="G174" s="15" t="str">
        <f t="shared" si="20"/>
        <v/>
      </c>
      <c r="H174" s="16" t="str">
        <f>IF(G174="","",VLOOKUP(G174,税率及规则!$A$2:$C$8,2,TRUE))</f>
        <v/>
      </c>
      <c r="I174" s="15" t="str">
        <f>IF(G174="","",VLOOKUP(G174,税率及规则!$A$2:$C$8,3,TRUE))</f>
        <v/>
      </c>
      <c r="J174" s="15" t="str">
        <f t="shared" si="21"/>
        <v/>
      </c>
      <c r="K174" s="15" t="str">
        <f>IF(A174="","",SUMIFS(分期缴税台账!$K$2:$K$501,分期缴税台账!$A$2:$A$501,A174,分期缴税台账!$C$2:$C$501,C174,分期缴税台账!$Q$2:$Q$501,"有效"))</f>
        <v/>
      </c>
      <c r="L174" s="15" t="str">
        <f t="shared" si="22"/>
        <v/>
      </c>
      <c r="M174" s="4" t="str">
        <f>IF(A174="","",COUNTIFS(激励事件明细!$C$2:$C$501,A174,激励事件明细!$H$2:$H$501,C174,激励事件明细!$AA$2:$AA$501,"&gt;0"))</f>
        <v/>
      </c>
      <c r="N174" s="4" t="str">
        <f>IF(OR(A174="",C174=""),"",IFERROR(INDEX(激励事件明细!$A$2:$A$501,MATCH(A174&amp;"|"&amp;C174&amp;"|1",激励事件明细!$AM$2:$AM$501,0)),""))</f>
        <v/>
      </c>
      <c r="O174" s="17" t="str">
        <f>IF(N174="","",IFERROR(INDEX(激励事件明细!$AC$2:$AC$501,MATCH(N174,激励事件明细!$A$2:$A$501,0)),""))</f>
        <v/>
      </c>
      <c r="P174" s="4" t="str">
        <f t="shared" ca="1" si="23"/>
        <v/>
      </c>
    </row>
    <row r="175" spans="1:16" x14ac:dyDescent="0.3">
      <c r="A175" s="9"/>
      <c r="B175" s="4" t="str">
        <f>IF(A175="","",IFERROR(INDEX(激励事件明细!$D$2:$D$501,MATCH(A175,激励事件明细!$C$2:$C$501,0)),""))</f>
        <v/>
      </c>
      <c r="C175" s="9"/>
      <c r="D175" s="15" t="str">
        <f>IF(OR(A175="",C175=""),"",SUMIFS(激励事件明细!$T$2:$T$501,激励事件明细!$C$2:$C$501,A175,激励事件明细!$H$2:$H$501,C175,激励事件明细!$F$2:$F$501,"股票期权"))</f>
        <v/>
      </c>
      <c r="E175" s="15" t="str">
        <f>IF(OR(A175="",C175=""),"",SUMIFS(激励事件明细!$T$2:$T$501,激励事件明细!$C$2:$C$501,A175,激励事件明细!$H$2:$H$501,C175,激励事件明细!$F$2:$F$501,"限制性股票"))</f>
        <v/>
      </c>
      <c r="F175" s="15" t="str">
        <f>IF(OR(A175="",C175=""),"",SUMIFS(激励事件明细!$T$2:$T$501,激励事件明细!$C$2:$C$501,A175,激励事件明细!$H$2:$H$501,C175,激励事件明细!$F$2:$F$501,"其他股权激励"))</f>
        <v/>
      </c>
      <c r="G175" s="15" t="str">
        <f t="shared" si="20"/>
        <v/>
      </c>
      <c r="H175" s="16" t="str">
        <f>IF(G175="","",VLOOKUP(G175,税率及规则!$A$2:$C$8,2,TRUE))</f>
        <v/>
      </c>
      <c r="I175" s="15" t="str">
        <f>IF(G175="","",VLOOKUP(G175,税率及规则!$A$2:$C$8,3,TRUE))</f>
        <v/>
      </c>
      <c r="J175" s="15" t="str">
        <f t="shared" si="21"/>
        <v/>
      </c>
      <c r="K175" s="15" t="str">
        <f>IF(A175="","",SUMIFS(分期缴税台账!$K$2:$K$501,分期缴税台账!$A$2:$A$501,A175,分期缴税台账!$C$2:$C$501,C175,分期缴税台账!$Q$2:$Q$501,"有效"))</f>
        <v/>
      </c>
      <c r="L175" s="15" t="str">
        <f t="shared" si="22"/>
        <v/>
      </c>
      <c r="M175" s="4" t="str">
        <f>IF(A175="","",COUNTIFS(激励事件明细!$C$2:$C$501,A175,激励事件明细!$H$2:$H$501,C175,激励事件明细!$AA$2:$AA$501,"&gt;0"))</f>
        <v/>
      </c>
      <c r="N175" s="4" t="str">
        <f>IF(OR(A175="",C175=""),"",IFERROR(INDEX(激励事件明细!$A$2:$A$501,MATCH(A175&amp;"|"&amp;C175&amp;"|1",激励事件明细!$AM$2:$AM$501,0)),""))</f>
        <v/>
      </c>
      <c r="O175" s="17" t="str">
        <f>IF(N175="","",IFERROR(INDEX(激励事件明细!$AC$2:$AC$501,MATCH(N175,激励事件明细!$A$2:$A$501,0)),""))</f>
        <v/>
      </c>
      <c r="P175" s="4" t="str">
        <f t="shared" ca="1" si="23"/>
        <v/>
      </c>
    </row>
    <row r="176" spans="1:16" x14ac:dyDescent="0.3">
      <c r="A176" s="9"/>
      <c r="B176" s="4" t="str">
        <f>IF(A176="","",IFERROR(INDEX(激励事件明细!$D$2:$D$501,MATCH(A176,激励事件明细!$C$2:$C$501,0)),""))</f>
        <v/>
      </c>
      <c r="C176" s="9"/>
      <c r="D176" s="15" t="str">
        <f>IF(OR(A176="",C176=""),"",SUMIFS(激励事件明细!$T$2:$T$501,激励事件明细!$C$2:$C$501,A176,激励事件明细!$H$2:$H$501,C176,激励事件明细!$F$2:$F$501,"股票期权"))</f>
        <v/>
      </c>
      <c r="E176" s="15" t="str">
        <f>IF(OR(A176="",C176=""),"",SUMIFS(激励事件明细!$T$2:$T$501,激励事件明细!$C$2:$C$501,A176,激励事件明细!$H$2:$H$501,C176,激励事件明细!$F$2:$F$501,"限制性股票"))</f>
        <v/>
      </c>
      <c r="F176" s="15" t="str">
        <f>IF(OR(A176="",C176=""),"",SUMIFS(激励事件明细!$T$2:$T$501,激励事件明细!$C$2:$C$501,A176,激励事件明细!$H$2:$H$501,C176,激励事件明细!$F$2:$F$501,"其他股权激励"))</f>
        <v/>
      </c>
      <c r="G176" s="15" t="str">
        <f t="shared" si="20"/>
        <v/>
      </c>
      <c r="H176" s="16" t="str">
        <f>IF(G176="","",VLOOKUP(G176,税率及规则!$A$2:$C$8,2,TRUE))</f>
        <v/>
      </c>
      <c r="I176" s="15" t="str">
        <f>IF(G176="","",VLOOKUP(G176,税率及规则!$A$2:$C$8,3,TRUE))</f>
        <v/>
      </c>
      <c r="J176" s="15" t="str">
        <f t="shared" si="21"/>
        <v/>
      </c>
      <c r="K176" s="15" t="str">
        <f>IF(A176="","",SUMIFS(分期缴税台账!$K$2:$K$501,分期缴税台账!$A$2:$A$501,A176,分期缴税台账!$C$2:$C$501,C176,分期缴税台账!$Q$2:$Q$501,"有效"))</f>
        <v/>
      </c>
      <c r="L176" s="15" t="str">
        <f t="shared" si="22"/>
        <v/>
      </c>
      <c r="M176" s="4" t="str">
        <f>IF(A176="","",COUNTIFS(激励事件明细!$C$2:$C$501,A176,激励事件明细!$H$2:$H$501,C176,激励事件明细!$AA$2:$AA$501,"&gt;0"))</f>
        <v/>
      </c>
      <c r="N176" s="4" t="str">
        <f>IF(OR(A176="",C176=""),"",IFERROR(INDEX(激励事件明细!$A$2:$A$501,MATCH(A176&amp;"|"&amp;C176&amp;"|1",激励事件明细!$AM$2:$AM$501,0)),""))</f>
        <v/>
      </c>
      <c r="O176" s="17" t="str">
        <f>IF(N176="","",IFERROR(INDEX(激励事件明细!$AC$2:$AC$501,MATCH(N176,激励事件明细!$A$2:$A$501,0)),""))</f>
        <v/>
      </c>
      <c r="P176" s="4" t="str">
        <f t="shared" ca="1" si="23"/>
        <v/>
      </c>
    </row>
    <row r="177" spans="1:16" x14ac:dyDescent="0.3">
      <c r="A177" s="9"/>
      <c r="B177" s="4" t="str">
        <f>IF(A177="","",IFERROR(INDEX(激励事件明细!$D$2:$D$501,MATCH(A177,激励事件明细!$C$2:$C$501,0)),""))</f>
        <v/>
      </c>
      <c r="C177" s="9"/>
      <c r="D177" s="15" t="str">
        <f>IF(OR(A177="",C177=""),"",SUMIFS(激励事件明细!$T$2:$T$501,激励事件明细!$C$2:$C$501,A177,激励事件明细!$H$2:$H$501,C177,激励事件明细!$F$2:$F$501,"股票期权"))</f>
        <v/>
      </c>
      <c r="E177" s="15" t="str">
        <f>IF(OR(A177="",C177=""),"",SUMIFS(激励事件明细!$T$2:$T$501,激励事件明细!$C$2:$C$501,A177,激励事件明细!$H$2:$H$501,C177,激励事件明细!$F$2:$F$501,"限制性股票"))</f>
        <v/>
      </c>
      <c r="F177" s="15" t="str">
        <f>IF(OR(A177="",C177=""),"",SUMIFS(激励事件明细!$T$2:$T$501,激励事件明细!$C$2:$C$501,A177,激励事件明细!$H$2:$H$501,C177,激励事件明细!$F$2:$F$501,"其他股权激励"))</f>
        <v/>
      </c>
      <c r="G177" s="15" t="str">
        <f t="shared" si="20"/>
        <v/>
      </c>
      <c r="H177" s="16" t="str">
        <f>IF(G177="","",VLOOKUP(G177,税率及规则!$A$2:$C$8,2,TRUE))</f>
        <v/>
      </c>
      <c r="I177" s="15" t="str">
        <f>IF(G177="","",VLOOKUP(G177,税率及规则!$A$2:$C$8,3,TRUE))</f>
        <v/>
      </c>
      <c r="J177" s="15" t="str">
        <f t="shared" si="21"/>
        <v/>
      </c>
      <c r="K177" s="15" t="str">
        <f>IF(A177="","",SUMIFS(分期缴税台账!$K$2:$K$501,分期缴税台账!$A$2:$A$501,A177,分期缴税台账!$C$2:$C$501,C177,分期缴税台账!$Q$2:$Q$501,"有效"))</f>
        <v/>
      </c>
      <c r="L177" s="15" t="str">
        <f t="shared" si="22"/>
        <v/>
      </c>
      <c r="M177" s="4" t="str">
        <f>IF(A177="","",COUNTIFS(激励事件明细!$C$2:$C$501,A177,激励事件明细!$H$2:$H$501,C177,激励事件明细!$AA$2:$AA$501,"&gt;0"))</f>
        <v/>
      </c>
      <c r="N177" s="4" t="str">
        <f>IF(OR(A177="",C177=""),"",IFERROR(INDEX(激励事件明细!$A$2:$A$501,MATCH(A177&amp;"|"&amp;C177&amp;"|1",激励事件明细!$AM$2:$AM$501,0)),""))</f>
        <v/>
      </c>
      <c r="O177" s="17" t="str">
        <f>IF(N177="","",IFERROR(INDEX(激励事件明细!$AC$2:$AC$501,MATCH(N177,激励事件明细!$A$2:$A$501,0)),""))</f>
        <v/>
      </c>
      <c r="P177" s="4" t="str">
        <f t="shared" ca="1" si="23"/>
        <v/>
      </c>
    </row>
    <row r="178" spans="1:16" x14ac:dyDescent="0.3">
      <c r="A178" s="9"/>
      <c r="B178" s="4" t="str">
        <f>IF(A178="","",IFERROR(INDEX(激励事件明细!$D$2:$D$501,MATCH(A178,激励事件明细!$C$2:$C$501,0)),""))</f>
        <v/>
      </c>
      <c r="C178" s="9"/>
      <c r="D178" s="15" t="str">
        <f>IF(OR(A178="",C178=""),"",SUMIFS(激励事件明细!$T$2:$T$501,激励事件明细!$C$2:$C$501,A178,激励事件明细!$H$2:$H$501,C178,激励事件明细!$F$2:$F$501,"股票期权"))</f>
        <v/>
      </c>
      <c r="E178" s="15" t="str">
        <f>IF(OR(A178="",C178=""),"",SUMIFS(激励事件明细!$T$2:$T$501,激励事件明细!$C$2:$C$501,A178,激励事件明细!$H$2:$H$501,C178,激励事件明细!$F$2:$F$501,"限制性股票"))</f>
        <v/>
      </c>
      <c r="F178" s="15" t="str">
        <f>IF(OR(A178="",C178=""),"",SUMIFS(激励事件明细!$T$2:$T$501,激励事件明细!$C$2:$C$501,A178,激励事件明细!$H$2:$H$501,C178,激励事件明细!$F$2:$F$501,"其他股权激励"))</f>
        <v/>
      </c>
      <c r="G178" s="15" t="str">
        <f t="shared" si="20"/>
        <v/>
      </c>
      <c r="H178" s="16" t="str">
        <f>IF(G178="","",VLOOKUP(G178,税率及规则!$A$2:$C$8,2,TRUE))</f>
        <v/>
      </c>
      <c r="I178" s="15" t="str">
        <f>IF(G178="","",VLOOKUP(G178,税率及规则!$A$2:$C$8,3,TRUE))</f>
        <v/>
      </c>
      <c r="J178" s="15" t="str">
        <f t="shared" si="21"/>
        <v/>
      </c>
      <c r="K178" s="15" t="str">
        <f>IF(A178="","",SUMIFS(分期缴税台账!$K$2:$K$501,分期缴税台账!$A$2:$A$501,A178,分期缴税台账!$C$2:$C$501,C178,分期缴税台账!$Q$2:$Q$501,"有效"))</f>
        <v/>
      </c>
      <c r="L178" s="15" t="str">
        <f t="shared" si="22"/>
        <v/>
      </c>
      <c r="M178" s="4" t="str">
        <f>IF(A178="","",COUNTIFS(激励事件明细!$C$2:$C$501,A178,激励事件明细!$H$2:$H$501,C178,激励事件明细!$AA$2:$AA$501,"&gt;0"))</f>
        <v/>
      </c>
      <c r="N178" s="4" t="str">
        <f>IF(OR(A178="",C178=""),"",IFERROR(INDEX(激励事件明细!$A$2:$A$501,MATCH(A178&amp;"|"&amp;C178&amp;"|1",激励事件明细!$AM$2:$AM$501,0)),""))</f>
        <v/>
      </c>
      <c r="O178" s="17" t="str">
        <f>IF(N178="","",IFERROR(INDEX(激励事件明细!$AC$2:$AC$501,MATCH(N178,激励事件明细!$A$2:$A$501,0)),""))</f>
        <v/>
      </c>
      <c r="P178" s="4" t="str">
        <f t="shared" ca="1" si="23"/>
        <v/>
      </c>
    </row>
    <row r="179" spans="1:16" x14ac:dyDescent="0.3">
      <c r="A179" s="9"/>
      <c r="B179" s="4" t="str">
        <f>IF(A179="","",IFERROR(INDEX(激励事件明细!$D$2:$D$501,MATCH(A179,激励事件明细!$C$2:$C$501,0)),""))</f>
        <v/>
      </c>
      <c r="C179" s="9"/>
      <c r="D179" s="15" t="str">
        <f>IF(OR(A179="",C179=""),"",SUMIFS(激励事件明细!$T$2:$T$501,激励事件明细!$C$2:$C$501,A179,激励事件明细!$H$2:$H$501,C179,激励事件明细!$F$2:$F$501,"股票期权"))</f>
        <v/>
      </c>
      <c r="E179" s="15" t="str">
        <f>IF(OR(A179="",C179=""),"",SUMIFS(激励事件明细!$T$2:$T$501,激励事件明细!$C$2:$C$501,A179,激励事件明细!$H$2:$H$501,C179,激励事件明细!$F$2:$F$501,"限制性股票"))</f>
        <v/>
      </c>
      <c r="F179" s="15" t="str">
        <f>IF(OR(A179="",C179=""),"",SUMIFS(激励事件明细!$T$2:$T$501,激励事件明细!$C$2:$C$501,A179,激励事件明细!$H$2:$H$501,C179,激励事件明细!$F$2:$F$501,"其他股权激励"))</f>
        <v/>
      </c>
      <c r="G179" s="15" t="str">
        <f t="shared" si="20"/>
        <v/>
      </c>
      <c r="H179" s="16" t="str">
        <f>IF(G179="","",VLOOKUP(G179,税率及规则!$A$2:$C$8,2,TRUE))</f>
        <v/>
      </c>
      <c r="I179" s="15" t="str">
        <f>IF(G179="","",VLOOKUP(G179,税率及规则!$A$2:$C$8,3,TRUE))</f>
        <v/>
      </c>
      <c r="J179" s="15" t="str">
        <f t="shared" si="21"/>
        <v/>
      </c>
      <c r="K179" s="15" t="str">
        <f>IF(A179="","",SUMIFS(分期缴税台账!$K$2:$K$501,分期缴税台账!$A$2:$A$501,A179,分期缴税台账!$C$2:$C$501,C179,分期缴税台账!$Q$2:$Q$501,"有效"))</f>
        <v/>
      </c>
      <c r="L179" s="15" t="str">
        <f t="shared" si="22"/>
        <v/>
      </c>
      <c r="M179" s="4" t="str">
        <f>IF(A179="","",COUNTIFS(激励事件明细!$C$2:$C$501,A179,激励事件明细!$H$2:$H$501,C179,激励事件明细!$AA$2:$AA$501,"&gt;0"))</f>
        <v/>
      </c>
      <c r="N179" s="4" t="str">
        <f>IF(OR(A179="",C179=""),"",IFERROR(INDEX(激励事件明细!$A$2:$A$501,MATCH(A179&amp;"|"&amp;C179&amp;"|1",激励事件明细!$AM$2:$AM$501,0)),""))</f>
        <v/>
      </c>
      <c r="O179" s="17" t="str">
        <f>IF(N179="","",IFERROR(INDEX(激励事件明细!$AC$2:$AC$501,MATCH(N179,激励事件明细!$A$2:$A$501,0)),""))</f>
        <v/>
      </c>
      <c r="P179" s="4" t="str">
        <f t="shared" ca="1" si="23"/>
        <v/>
      </c>
    </row>
    <row r="180" spans="1:16" x14ac:dyDescent="0.3">
      <c r="A180" s="9"/>
      <c r="B180" s="4" t="str">
        <f>IF(A180="","",IFERROR(INDEX(激励事件明细!$D$2:$D$501,MATCH(A180,激励事件明细!$C$2:$C$501,0)),""))</f>
        <v/>
      </c>
      <c r="C180" s="9"/>
      <c r="D180" s="15" t="str">
        <f>IF(OR(A180="",C180=""),"",SUMIFS(激励事件明细!$T$2:$T$501,激励事件明细!$C$2:$C$501,A180,激励事件明细!$H$2:$H$501,C180,激励事件明细!$F$2:$F$501,"股票期权"))</f>
        <v/>
      </c>
      <c r="E180" s="15" t="str">
        <f>IF(OR(A180="",C180=""),"",SUMIFS(激励事件明细!$T$2:$T$501,激励事件明细!$C$2:$C$501,A180,激励事件明细!$H$2:$H$501,C180,激励事件明细!$F$2:$F$501,"限制性股票"))</f>
        <v/>
      </c>
      <c r="F180" s="15" t="str">
        <f>IF(OR(A180="",C180=""),"",SUMIFS(激励事件明细!$T$2:$T$501,激励事件明细!$C$2:$C$501,A180,激励事件明细!$H$2:$H$501,C180,激励事件明细!$F$2:$F$501,"其他股权激励"))</f>
        <v/>
      </c>
      <c r="G180" s="15" t="str">
        <f t="shared" si="20"/>
        <v/>
      </c>
      <c r="H180" s="16" t="str">
        <f>IF(G180="","",VLOOKUP(G180,税率及规则!$A$2:$C$8,2,TRUE))</f>
        <v/>
      </c>
      <c r="I180" s="15" t="str">
        <f>IF(G180="","",VLOOKUP(G180,税率及规则!$A$2:$C$8,3,TRUE))</f>
        <v/>
      </c>
      <c r="J180" s="15" t="str">
        <f t="shared" si="21"/>
        <v/>
      </c>
      <c r="K180" s="15" t="str">
        <f>IF(A180="","",SUMIFS(分期缴税台账!$K$2:$K$501,分期缴税台账!$A$2:$A$501,A180,分期缴税台账!$C$2:$C$501,C180,分期缴税台账!$Q$2:$Q$501,"有效"))</f>
        <v/>
      </c>
      <c r="L180" s="15" t="str">
        <f t="shared" si="22"/>
        <v/>
      </c>
      <c r="M180" s="4" t="str">
        <f>IF(A180="","",COUNTIFS(激励事件明细!$C$2:$C$501,A180,激励事件明细!$H$2:$H$501,C180,激励事件明细!$AA$2:$AA$501,"&gt;0"))</f>
        <v/>
      </c>
      <c r="N180" s="4" t="str">
        <f>IF(OR(A180="",C180=""),"",IFERROR(INDEX(激励事件明细!$A$2:$A$501,MATCH(A180&amp;"|"&amp;C180&amp;"|1",激励事件明细!$AM$2:$AM$501,0)),""))</f>
        <v/>
      </c>
      <c r="O180" s="17" t="str">
        <f>IF(N180="","",IFERROR(INDEX(激励事件明细!$AC$2:$AC$501,MATCH(N180,激励事件明细!$A$2:$A$501,0)),""))</f>
        <v/>
      </c>
      <c r="P180" s="4" t="str">
        <f t="shared" ca="1" si="23"/>
        <v/>
      </c>
    </row>
    <row r="181" spans="1:16" x14ac:dyDescent="0.3">
      <c r="A181" s="9"/>
      <c r="B181" s="4" t="str">
        <f>IF(A181="","",IFERROR(INDEX(激励事件明细!$D$2:$D$501,MATCH(A181,激励事件明细!$C$2:$C$501,0)),""))</f>
        <v/>
      </c>
      <c r="C181" s="9"/>
      <c r="D181" s="15" t="str">
        <f>IF(OR(A181="",C181=""),"",SUMIFS(激励事件明细!$T$2:$T$501,激励事件明细!$C$2:$C$501,A181,激励事件明细!$H$2:$H$501,C181,激励事件明细!$F$2:$F$501,"股票期权"))</f>
        <v/>
      </c>
      <c r="E181" s="15" t="str">
        <f>IF(OR(A181="",C181=""),"",SUMIFS(激励事件明细!$T$2:$T$501,激励事件明细!$C$2:$C$501,A181,激励事件明细!$H$2:$H$501,C181,激励事件明细!$F$2:$F$501,"限制性股票"))</f>
        <v/>
      </c>
      <c r="F181" s="15" t="str">
        <f>IF(OR(A181="",C181=""),"",SUMIFS(激励事件明细!$T$2:$T$501,激励事件明细!$C$2:$C$501,A181,激励事件明细!$H$2:$H$501,C181,激励事件明细!$F$2:$F$501,"其他股权激励"))</f>
        <v/>
      </c>
      <c r="G181" s="15" t="str">
        <f t="shared" si="20"/>
        <v/>
      </c>
      <c r="H181" s="16" t="str">
        <f>IF(G181="","",VLOOKUP(G181,税率及规则!$A$2:$C$8,2,TRUE))</f>
        <v/>
      </c>
      <c r="I181" s="15" t="str">
        <f>IF(G181="","",VLOOKUP(G181,税率及规则!$A$2:$C$8,3,TRUE))</f>
        <v/>
      </c>
      <c r="J181" s="15" t="str">
        <f t="shared" si="21"/>
        <v/>
      </c>
      <c r="K181" s="15" t="str">
        <f>IF(A181="","",SUMIFS(分期缴税台账!$K$2:$K$501,分期缴税台账!$A$2:$A$501,A181,分期缴税台账!$C$2:$C$501,C181,分期缴税台账!$Q$2:$Q$501,"有效"))</f>
        <v/>
      </c>
      <c r="L181" s="15" t="str">
        <f t="shared" si="22"/>
        <v/>
      </c>
      <c r="M181" s="4" t="str">
        <f>IF(A181="","",COUNTIFS(激励事件明细!$C$2:$C$501,A181,激励事件明细!$H$2:$H$501,C181,激励事件明细!$AA$2:$AA$501,"&gt;0"))</f>
        <v/>
      </c>
      <c r="N181" s="4" t="str">
        <f>IF(OR(A181="",C181=""),"",IFERROR(INDEX(激励事件明细!$A$2:$A$501,MATCH(A181&amp;"|"&amp;C181&amp;"|1",激励事件明细!$AM$2:$AM$501,0)),""))</f>
        <v/>
      </c>
      <c r="O181" s="17" t="str">
        <f>IF(N181="","",IFERROR(INDEX(激励事件明细!$AC$2:$AC$501,MATCH(N181,激励事件明细!$A$2:$A$501,0)),""))</f>
        <v/>
      </c>
      <c r="P181" s="4" t="str">
        <f t="shared" ca="1" si="23"/>
        <v/>
      </c>
    </row>
    <row r="182" spans="1:16" x14ac:dyDescent="0.3">
      <c r="A182" s="9"/>
      <c r="B182" s="4" t="str">
        <f>IF(A182="","",IFERROR(INDEX(激励事件明细!$D$2:$D$501,MATCH(A182,激励事件明细!$C$2:$C$501,0)),""))</f>
        <v/>
      </c>
      <c r="C182" s="9"/>
      <c r="D182" s="15" t="str">
        <f>IF(OR(A182="",C182=""),"",SUMIFS(激励事件明细!$T$2:$T$501,激励事件明细!$C$2:$C$501,A182,激励事件明细!$H$2:$H$501,C182,激励事件明细!$F$2:$F$501,"股票期权"))</f>
        <v/>
      </c>
      <c r="E182" s="15" t="str">
        <f>IF(OR(A182="",C182=""),"",SUMIFS(激励事件明细!$T$2:$T$501,激励事件明细!$C$2:$C$501,A182,激励事件明细!$H$2:$H$501,C182,激励事件明细!$F$2:$F$501,"限制性股票"))</f>
        <v/>
      </c>
      <c r="F182" s="15" t="str">
        <f>IF(OR(A182="",C182=""),"",SUMIFS(激励事件明细!$T$2:$T$501,激励事件明细!$C$2:$C$501,A182,激励事件明细!$H$2:$H$501,C182,激励事件明细!$F$2:$F$501,"其他股权激励"))</f>
        <v/>
      </c>
      <c r="G182" s="15" t="str">
        <f t="shared" si="20"/>
        <v/>
      </c>
      <c r="H182" s="16" t="str">
        <f>IF(G182="","",VLOOKUP(G182,税率及规则!$A$2:$C$8,2,TRUE))</f>
        <v/>
      </c>
      <c r="I182" s="15" t="str">
        <f>IF(G182="","",VLOOKUP(G182,税率及规则!$A$2:$C$8,3,TRUE))</f>
        <v/>
      </c>
      <c r="J182" s="15" t="str">
        <f t="shared" si="21"/>
        <v/>
      </c>
      <c r="K182" s="15" t="str">
        <f>IF(A182="","",SUMIFS(分期缴税台账!$K$2:$K$501,分期缴税台账!$A$2:$A$501,A182,分期缴税台账!$C$2:$C$501,C182,分期缴税台账!$Q$2:$Q$501,"有效"))</f>
        <v/>
      </c>
      <c r="L182" s="15" t="str">
        <f t="shared" si="22"/>
        <v/>
      </c>
      <c r="M182" s="4" t="str">
        <f>IF(A182="","",COUNTIFS(激励事件明细!$C$2:$C$501,A182,激励事件明细!$H$2:$H$501,C182,激励事件明细!$AA$2:$AA$501,"&gt;0"))</f>
        <v/>
      </c>
      <c r="N182" s="4" t="str">
        <f>IF(OR(A182="",C182=""),"",IFERROR(INDEX(激励事件明细!$A$2:$A$501,MATCH(A182&amp;"|"&amp;C182&amp;"|1",激励事件明细!$AM$2:$AM$501,0)),""))</f>
        <v/>
      </c>
      <c r="O182" s="17" t="str">
        <f>IF(N182="","",IFERROR(INDEX(激励事件明细!$AC$2:$AC$501,MATCH(N182,激励事件明细!$A$2:$A$501,0)),""))</f>
        <v/>
      </c>
      <c r="P182" s="4" t="str">
        <f t="shared" ca="1" si="23"/>
        <v/>
      </c>
    </row>
    <row r="183" spans="1:16" x14ac:dyDescent="0.3">
      <c r="A183" s="9"/>
      <c r="B183" s="4" t="str">
        <f>IF(A183="","",IFERROR(INDEX(激励事件明细!$D$2:$D$501,MATCH(A183,激励事件明细!$C$2:$C$501,0)),""))</f>
        <v/>
      </c>
      <c r="C183" s="9"/>
      <c r="D183" s="15" t="str">
        <f>IF(OR(A183="",C183=""),"",SUMIFS(激励事件明细!$T$2:$T$501,激励事件明细!$C$2:$C$501,A183,激励事件明细!$H$2:$H$501,C183,激励事件明细!$F$2:$F$501,"股票期权"))</f>
        <v/>
      </c>
      <c r="E183" s="15" t="str">
        <f>IF(OR(A183="",C183=""),"",SUMIFS(激励事件明细!$T$2:$T$501,激励事件明细!$C$2:$C$501,A183,激励事件明细!$H$2:$H$501,C183,激励事件明细!$F$2:$F$501,"限制性股票"))</f>
        <v/>
      </c>
      <c r="F183" s="15" t="str">
        <f>IF(OR(A183="",C183=""),"",SUMIFS(激励事件明细!$T$2:$T$501,激励事件明细!$C$2:$C$501,A183,激励事件明细!$H$2:$H$501,C183,激励事件明细!$F$2:$F$501,"其他股权激励"))</f>
        <v/>
      </c>
      <c r="G183" s="15" t="str">
        <f t="shared" si="20"/>
        <v/>
      </c>
      <c r="H183" s="16" t="str">
        <f>IF(G183="","",VLOOKUP(G183,税率及规则!$A$2:$C$8,2,TRUE))</f>
        <v/>
      </c>
      <c r="I183" s="15" t="str">
        <f>IF(G183="","",VLOOKUP(G183,税率及规则!$A$2:$C$8,3,TRUE))</f>
        <v/>
      </c>
      <c r="J183" s="15" t="str">
        <f t="shared" si="21"/>
        <v/>
      </c>
      <c r="K183" s="15" t="str">
        <f>IF(A183="","",SUMIFS(分期缴税台账!$K$2:$K$501,分期缴税台账!$A$2:$A$501,A183,分期缴税台账!$C$2:$C$501,C183,分期缴税台账!$Q$2:$Q$501,"有效"))</f>
        <v/>
      </c>
      <c r="L183" s="15" t="str">
        <f t="shared" si="22"/>
        <v/>
      </c>
      <c r="M183" s="4" t="str">
        <f>IF(A183="","",COUNTIFS(激励事件明细!$C$2:$C$501,A183,激励事件明细!$H$2:$H$501,C183,激励事件明细!$AA$2:$AA$501,"&gt;0"))</f>
        <v/>
      </c>
      <c r="N183" s="4" t="str">
        <f>IF(OR(A183="",C183=""),"",IFERROR(INDEX(激励事件明细!$A$2:$A$501,MATCH(A183&amp;"|"&amp;C183&amp;"|1",激励事件明细!$AM$2:$AM$501,0)),""))</f>
        <v/>
      </c>
      <c r="O183" s="17" t="str">
        <f>IF(N183="","",IFERROR(INDEX(激励事件明细!$AC$2:$AC$501,MATCH(N183,激励事件明细!$A$2:$A$501,0)),""))</f>
        <v/>
      </c>
      <c r="P183" s="4" t="str">
        <f t="shared" ca="1" si="23"/>
        <v/>
      </c>
    </row>
    <row r="184" spans="1:16" x14ac:dyDescent="0.3">
      <c r="A184" s="9"/>
      <c r="B184" s="4" t="str">
        <f>IF(A184="","",IFERROR(INDEX(激励事件明细!$D$2:$D$501,MATCH(A184,激励事件明细!$C$2:$C$501,0)),""))</f>
        <v/>
      </c>
      <c r="C184" s="9"/>
      <c r="D184" s="15" t="str">
        <f>IF(OR(A184="",C184=""),"",SUMIFS(激励事件明细!$T$2:$T$501,激励事件明细!$C$2:$C$501,A184,激励事件明细!$H$2:$H$501,C184,激励事件明细!$F$2:$F$501,"股票期权"))</f>
        <v/>
      </c>
      <c r="E184" s="15" t="str">
        <f>IF(OR(A184="",C184=""),"",SUMIFS(激励事件明细!$T$2:$T$501,激励事件明细!$C$2:$C$501,A184,激励事件明细!$H$2:$H$501,C184,激励事件明细!$F$2:$F$501,"限制性股票"))</f>
        <v/>
      </c>
      <c r="F184" s="15" t="str">
        <f>IF(OR(A184="",C184=""),"",SUMIFS(激励事件明细!$T$2:$T$501,激励事件明细!$C$2:$C$501,A184,激励事件明细!$H$2:$H$501,C184,激励事件明细!$F$2:$F$501,"其他股权激励"))</f>
        <v/>
      </c>
      <c r="G184" s="15" t="str">
        <f t="shared" si="20"/>
        <v/>
      </c>
      <c r="H184" s="16" t="str">
        <f>IF(G184="","",VLOOKUP(G184,税率及规则!$A$2:$C$8,2,TRUE))</f>
        <v/>
      </c>
      <c r="I184" s="15" t="str">
        <f>IF(G184="","",VLOOKUP(G184,税率及规则!$A$2:$C$8,3,TRUE))</f>
        <v/>
      </c>
      <c r="J184" s="15" t="str">
        <f t="shared" si="21"/>
        <v/>
      </c>
      <c r="K184" s="15" t="str">
        <f>IF(A184="","",SUMIFS(分期缴税台账!$K$2:$K$501,分期缴税台账!$A$2:$A$501,A184,分期缴税台账!$C$2:$C$501,C184,分期缴税台账!$Q$2:$Q$501,"有效"))</f>
        <v/>
      </c>
      <c r="L184" s="15" t="str">
        <f t="shared" si="22"/>
        <v/>
      </c>
      <c r="M184" s="4" t="str">
        <f>IF(A184="","",COUNTIFS(激励事件明细!$C$2:$C$501,A184,激励事件明细!$H$2:$H$501,C184,激励事件明细!$AA$2:$AA$501,"&gt;0"))</f>
        <v/>
      </c>
      <c r="N184" s="4" t="str">
        <f>IF(OR(A184="",C184=""),"",IFERROR(INDEX(激励事件明细!$A$2:$A$501,MATCH(A184&amp;"|"&amp;C184&amp;"|1",激励事件明细!$AM$2:$AM$501,0)),""))</f>
        <v/>
      </c>
      <c r="O184" s="17" t="str">
        <f>IF(N184="","",IFERROR(INDEX(激励事件明细!$AC$2:$AC$501,MATCH(N184,激励事件明细!$A$2:$A$501,0)),""))</f>
        <v/>
      </c>
      <c r="P184" s="4" t="str">
        <f t="shared" ca="1" si="23"/>
        <v/>
      </c>
    </row>
    <row r="185" spans="1:16" x14ac:dyDescent="0.3">
      <c r="A185" s="9"/>
      <c r="B185" s="4" t="str">
        <f>IF(A185="","",IFERROR(INDEX(激励事件明细!$D$2:$D$501,MATCH(A185,激励事件明细!$C$2:$C$501,0)),""))</f>
        <v/>
      </c>
      <c r="C185" s="9"/>
      <c r="D185" s="15" t="str">
        <f>IF(OR(A185="",C185=""),"",SUMIFS(激励事件明细!$T$2:$T$501,激励事件明细!$C$2:$C$501,A185,激励事件明细!$H$2:$H$501,C185,激励事件明细!$F$2:$F$501,"股票期权"))</f>
        <v/>
      </c>
      <c r="E185" s="15" t="str">
        <f>IF(OR(A185="",C185=""),"",SUMIFS(激励事件明细!$T$2:$T$501,激励事件明细!$C$2:$C$501,A185,激励事件明细!$H$2:$H$501,C185,激励事件明细!$F$2:$F$501,"限制性股票"))</f>
        <v/>
      </c>
      <c r="F185" s="15" t="str">
        <f>IF(OR(A185="",C185=""),"",SUMIFS(激励事件明细!$T$2:$T$501,激励事件明细!$C$2:$C$501,A185,激励事件明细!$H$2:$H$501,C185,激励事件明细!$F$2:$F$501,"其他股权激励"))</f>
        <v/>
      </c>
      <c r="G185" s="15" t="str">
        <f t="shared" si="20"/>
        <v/>
      </c>
      <c r="H185" s="16" t="str">
        <f>IF(G185="","",VLOOKUP(G185,税率及规则!$A$2:$C$8,2,TRUE))</f>
        <v/>
      </c>
      <c r="I185" s="15" t="str">
        <f>IF(G185="","",VLOOKUP(G185,税率及规则!$A$2:$C$8,3,TRUE))</f>
        <v/>
      </c>
      <c r="J185" s="15" t="str">
        <f t="shared" si="21"/>
        <v/>
      </c>
      <c r="K185" s="15" t="str">
        <f>IF(A185="","",SUMIFS(分期缴税台账!$K$2:$K$501,分期缴税台账!$A$2:$A$501,A185,分期缴税台账!$C$2:$C$501,C185,分期缴税台账!$Q$2:$Q$501,"有效"))</f>
        <v/>
      </c>
      <c r="L185" s="15" t="str">
        <f t="shared" si="22"/>
        <v/>
      </c>
      <c r="M185" s="4" t="str">
        <f>IF(A185="","",COUNTIFS(激励事件明细!$C$2:$C$501,A185,激励事件明细!$H$2:$H$501,C185,激励事件明细!$AA$2:$AA$501,"&gt;0"))</f>
        <v/>
      </c>
      <c r="N185" s="4" t="str">
        <f>IF(OR(A185="",C185=""),"",IFERROR(INDEX(激励事件明细!$A$2:$A$501,MATCH(A185&amp;"|"&amp;C185&amp;"|1",激励事件明细!$AM$2:$AM$501,0)),""))</f>
        <v/>
      </c>
      <c r="O185" s="17" t="str">
        <f>IF(N185="","",IFERROR(INDEX(激励事件明细!$AC$2:$AC$501,MATCH(N185,激励事件明细!$A$2:$A$501,0)),""))</f>
        <v/>
      </c>
      <c r="P185" s="4" t="str">
        <f t="shared" ca="1" si="23"/>
        <v/>
      </c>
    </row>
    <row r="186" spans="1:16" x14ac:dyDescent="0.3">
      <c r="A186" s="9"/>
      <c r="B186" s="4" t="str">
        <f>IF(A186="","",IFERROR(INDEX(激励事件明细!$D$2:$D$501,MATCH(A186,激励事件明细!$C$2:$C$501,0)),""))</f>
        <v/>
      </c>
      <c r="C186" s="9"/>
      <c r="D186" s="15" t="str">
        <f>IF(OR(A186="",C186=""),"",SUMIFS(激励事件明细!$T$2:$T$501,激励事件明细!$C$2:$C$501,A186,激励事件明细!$H$2:$H$501,C186,激励事件明细!$F$2:$F$501,"股票期权"))</f>
        <v/>
      </c>
      <c r="E186" s="15" t="str">
        <f>IF(OR(A186="",C186=""),"",SUMIFS(激励事件明细!$T$2:$T$501,激励事件明细!$C$2:$C$501,A186,激励事件明细!$H$2:$H$501,C186,激励事件明细!$F$2:$F$501,"限制性股票"))</f>
        <v/>
      </c>
      <c r="F186" s="15" t="str">
        <f>IF(OR(A186="",C186=""),"",SUMIFS(激励事件明细!$T$2:$T$501,激励事件明细!$C$2:$C$501,A186,激励事件明细!$H$2:$H$501,C186,激励事件明细!$F$2:$F$501,"其他股权激励"))</f>
        <v/>
      </c>
      <c r="G186" s="15" t="str">
        <f t="shared" si="20"/>
        <v/>
      </c>
      <c r="H186" s="16" t="str">
        <f>IF(G186="","",VLOOKUP(G186,税率及规则!$A$2:$C$8,2,TRUE))</f>
        <v/>
      </c>
      <c r="I186" s="15" t="str">
        <f>IF(G186="","",VLOOKUP(G186,税率及规则!$A$2:$C$8,3,TRUE))</f>
        <v/>
      </c>
      <c r="J186" s="15" t="str">
        <f t="shared" si="21"/>
        <v/>
      </c>
      <c r="K186" s="15" t="str">
        <f>IF(A186="","",SUMIFS(分期缴税台账!$K$2:$K$501,分期缴税台账!$A$2:$A$501,A186,分期缴税台账!$C$2:$C$501,C186,分期缴税台账!$Q$2:$Q$501,"有效"))</f>
        <v/>
      </c>
      <c r="L186" s="15" t="str">
        <f t="shared" si="22"/>
        <v/>
      </c>
      <c r="M186" s="4" t="str">
        <f>IF(A186="","",COUNTIFS(激励事件明细!$C$2:$C$501,A186,激励事件明细!$H$2:$H$501,C186,激励事件明细!$AA$2:$AA$501,"&gt;0"))</f>
        <v/>
      </c>
      <c r="N186" s="4" t="str">
        <f>IF(OR(A186="",C186=""),"",IFERROR(INDEX(激励事件明细!$A$2:$A$501,MATCH(A186&amp;"|"&amp;C186&amp;"|1",激励事件明细!$AM$2:$AM$501,0)),""))</f>
        <v/>
      </c>
      <c r="O186" s="17" t="str">
        <f>IF(N186="","",IFERROR(INDEX(激励事件明细!$AC$2:$AC$501,MATCH(N186,激励事件明细!$A$2:$A$501,0)),""))</f>
        <v/>
      </c>
      <c r="P186" s="4" t="str">
        <f t="shared" ca="1" si="23"/>
        <v/>
      </c>
    </row>
    <row r="187" spans="1:16" x14ac:dyDescent="0.3">
      <c r="A187" s="9"/>
      <c r="B187" s="4" t="str">
        <f>IF(A187="","",IFERROR(INDEX(激励事件明细!$D$2:$D$501,MATCH(A187,激励事件明细!$C$2:$C$501,0)),""))</f>
        <v/>
      </c>
      <c r="C187" s="9"/>
      <c r="D187" s="15" t="str">
        <f>IF(OR(A187="",C187=""),"",SUMIFS(激励事件明细!$T$2:$T$501,激励事件明细!$C$2:$C$501,A187,激励事件明细!$H$2:$H$501,C187,激励事件明细!$F$2:$F$501,"股票期权"))</f>
        <v/>
      </c>
      <c r="E187" s="15" t="str">
        <f>IF(OR(A187="",C187=""),"",SUMIFS(激励事件明细!$T$2:$T$501,激励事件明细!$C$2:$C$501,A187,激励事件明细!$H$2:$H$501,C187,激励事件明细!$F$2:$F$501,"限制性股票"))</f>
        <v/>
      </c>
      <c r="F187" s="15" t="str">
        <f>IF(OR(A187="",C187=""),"",SUMIFS(激励事件明细!$T$2:$T$501,激励事件明细!$C$2:$C$501,A187,激励事件明细!$H$2:$H$501,C187,激励事件明细!$F$2:$F$501,"其他股权激励"))</f>
        <v/>
      </c>
      <c r="G187" s="15" t="str">
        <f t="shared" si="20"/>
        <v/>
      </c>
      <c r="H187" s="16" t="str">
        <f>IF(G187="","",VLOOKUP(G187,税率及规则!$A$2:$C$8,2,TRUE))</f>
        <v/>
      </c>
      <c r="I187" s="15" t="str">
        <f>IF(G187="","",VLOOKUP(G187,税率及规则!$A$2:$C$8,3,TRUE))</f>
        <v/>
      </c>
      <c r="J187" s="15" t="str">
        <f t="shared" si="21"/>
        <v/>
      </c>
      <c r="K187" s="15" t="str">
        <f>IF(A187="","",SUMIFS(分期缴税台账!$K$2:$K$501,分期缴税台账!$A$2:$A$501,A187,分期缴税台账!$C$2:$C$501,C187,分期缴税台账!$Q$2:$Q$501,"有效"))</f>
        <v/>
      </c>
      <c r="L187" s="15" t="str">
        <f t="shared" si="22"/>
        <v/>
      </c>
      <c r="M187" s="4" t="str">
        <f>IF(A187="","",COUNTIFS(激励事件明细!$C$2:$C$501,A187,激励事件明细!$H$2:$H$501,C187,激励事件明细!$AA$2:$AA$501,"&gt;0"))</f>
        <v/>
      </c>
      <c r="N187" s="4" t="str">
        <f>IF(OR(A187="",C187=""),"",IFERROR(INDEX(激励事件明细!$A$2:$A$501,MATCH(A187&amp;"|"&amp;C187&amp;"|1",激励事件明细!$AM$2:$AM$501,0)),""))</f>
        <v/>
      </c>
      <c r="O187" s="17" t="str">
        <f>IF(N187="","",IFERROR(INDEX(激励事件明细!$AC$2:$AC$501,MATCH(N187,激励事件明细!$A$2:$A$501,0)),""))</f>
        <v/>
      </c>
      <c r="P187" s="4" t="str">
        <f t="shared" ca="1" si="23"/>
        <v/>
      </c>
    </row>
    <row r="188" spans="1:16" x14ac:dyDescent="0.3">
      <c r="A188" s="9"/>
      <c r="B188" s="4" t="str">
        <f>IF(A188="","",IFERROR(INDEX(激励事件明细!$D$2:$D$501,MATCH(A188,激励事件明细!$C$2:$C$501,0)),""))</f>
        <v/>
      </c>
      <c r="C188" s="9"/>
      <c r="D188" s="15" t="str">
        <f>IF(OR(A188="",C188=""),"",SUMIFS(激励事件明细!$T$2:$T$501,激励事件明细!$C$2:$C$501,A188,激励事件明细!$H$2:$H$501,C188,激励事件明细!$F$2:$F$501,"股票期权"))</f>
        <v/>
      </c>
      <c r="E188" s="15" t="str">
        <f>IF(OR(A188="",C188=""),"",SUMIFS(激励事件明细!$T$2:$T$501,激励事件明细!$C$2:$C$501,A188,激励事件明细!$H$2:$H$501,C188,激励事件明细!$F$2:$F$501,"限制性股票"))</f>
        <v/>
      </c>
      <c r="F188" s="15" t="str">
        <f>IF(OR(A188="",C188=""),"",SUMIFS(激励事件明细!$T$2:$T$501,激励事件明细!$C$2:$C$501,A188,激励事件明细!$H$2:$H$501,C188,激励事件明细!$F$2:$F$501,"其他股权激励"))</f>
        <v/>
      </c>
      <c r="G188" s="15" t="str">
        <f t="shared" si="20"/>
        <v/>
      </c>
      <c r="H188" s="16" t="str">
        <f>IF(G188="","",VLOOKUP(G188,税率及规则!$A$2:$C$8,2,TRUE))</f>
        <v/>
      </c>
      <c r="I188" s="15" t="str">
        <f>IF(G188="","",VLOOKUP(G188,税率及规则!$A$2:$C$8,3,TRUE))</f>
        <v/>
      </c>
      <c r="J188" s="15" t="str">
        <f t="shared" si="21"/>
        <v/>
      </c>
      <c r="K188" s="15" t="str">
        <f>IF(A188="","",SUMIFS(分期缴税台账!$K$2:$K$501,分期缴税台账!$A$2:$A$501,A188,分期缴税台账!$C$2:$C$501,C188,分期缴税台账!$Q$2:$Q$501,"有效"))</f>
        <v/>
      </c>
      <c r="L188" s="15" t="str">
        <f t="shared" si="22"/>
        <v/>
      </c>
      <c r="M188" s="4" t="str">
        <f>IF(A188="","",COUNTIFS(激励事件明细!$C$2:$C$501,A188,激励事件明细!$H$2:$H$501,C188,激励事件明细!$AA$2:$AA$501,"&gt;0"))</f>
        <v/>
      </c>
      <c r="N188" s="4" t="str">
        <f>IF(OR(A188="",C188=""),"",IFERROR(INDEX(激励事件明细!$A$2:$A$501,MATCH(A188&amp;"|"&amp;C188&amp;"|1",激励事件明细!$AM$2:$AM$501,0)),""))</f>
        <v/>
      </c>
      <c r="O188" s="17" t="str">
        <f>IF(N188="","",IFERROR(INDEX(激励事件明细!$AC$2:$AC$501,MATCH(N188,激励事件明细!$A$2:$A$501,0)),""))</f>
        <v/>
      </c>
      <c r="P188" s="4" t="str">
        <f t="shared" ca="1" si="23"/>
        <v/>
      </c>
    </row>
    <row r="189" spans="1:16" x14ac:dyDescent="0.3">
      <c r="A189" s="9"/>
      <c r="B189" s="4" t="str">
        <f>IF(A189="","",IFERROR(INDEX(激励事件明细!$D$2:$D$501,MATCH(A189,激励事件明细!$C$2:$C$501,0)),""))</f>
        <v/>
      </c>
      <c r="C189" s="9"/>
      <c r="D189" s="15" t="str">
        <f>IF(OR(A189="",C189=""),"",SUMIFS(激励事件明细!$T$2:$T$501,激励事件明细!$C$2:$C$501,A189,激励事件明细!$H$2:$H$501,C189,激励事件明细!$F$2:$F$501,"股票期权"))</f>
        <v/>
      </c>
      <c r="E189" s="15" t="str">
        <f>IF(OR(A189="",C189=""),"",SUMIFS(激励事件明细!$T$2:$T$501,激励事件明细!$C$2:$C$501,A189,激励事件明细!$H$2:$H$501,C189,激励事件明细!$F$2:$F$501,"限制性股票"))</f>
        <v/>
      </c>
      <c r="F189" s="15" t="str">
        <f>IF(OR(A189="",C189=""),"",SUMIFS(激励事件明细!$T$2:$T$501,激励事件明细!$C$2:$C$501,A189,激励事件明细!$H$2:$H$501,C189,激励事件明细!$F$2:$F$501,"其他股权激励"))</f>
        <v/>
      </c>
      <c r="G189" s="15" t="str">
        <f t="shared" si="20"/>
        <v/>
      </c>
      <c r="H189" s="16" t="str">
        <f>IF(G189="","",VLOOKUP(G189,税率及规则!$A$2:$C$8,2,TRUE))</f>
        <v/>
      </c>
      <c r="I189" s="15" t="str">
        <f>IF(G189="","",VLOOKUP(G189,税率及规则!$A$2:$C$8,3,TRUE))</f>
        <v/>
      </c>
      <c r="J189" s="15" t="str">
        <f t="shared" si="21"/>
        <v/>
      </c>
      <c r="K189" s="15" t="str">
        <f>IF(A189="","",SUMIFS(分期缴税台账!$K$2:$K$501,分期缴税台账!$A$2:$A$501,A189,分期缴税台账!$C$2:$C$501,C189,分期缴税台账!$Q$2:$Q$501,"有效"))</f>
        <v/>
      </c>
      <c r="L189" s="15" t="str">
        <f t="shared" si="22"/>
        <v/>
      </c>
      <c r="M189" s="4" t="str">
        <f>IF(A189="","",COUNTIFS(激励事件明细!$C$2:$C$501,A189,激励事件明细!$H$2:$H$501,C189,激励事件明细!$AA$2:$AA$501,"&gt;0"))</f>
        <v/>
      </c>
      <c r="N189" s="4" t="str">
        <f>IF(OR(A189="",C189=""),"",IFERROR(INDEX(激励事件明细!$A$2:$A$501,MATCH(A189&amp;"|"&amp;C189&amp;"|1",激励事件明细!$AM$2:$AM$501,0)),""))</f>
        <v/>
      </c>
      <c r="O189" s="17" t="str">
        <f>IF(N189="","",IFERROR(INDEX(激励事件明细!$AC$2:$AC$501,MATCH(N189,激励事件明细!$A$2:$A$501,0)),""))</f>
        <v/>
      </c>
      <c r="P189" s="4" t="str">
        <f t="shared" ca="1" si="23"/>
        <v/>
      </c>
    </row>
    <row r="190" spans="1:16" x14ac:dyDescent="0.3">
      <c r="A190" s="9"/>
      <c r="B190" s="4" t="str">
        <f>IF(A190="","",IFERROR(INDEX(激励事件明细!$D$2:$D$501,MATCH(A190,激励事件明细!$C$2:$C$501,0)),""))</f>
        <v/>
      </c>
      <c r="C190" s="9"/>
      <c r="D190" s="15" t="str">
        <f>IF(OR(A190="",C190=""),"",SUMIFS(激励事件明细!$T$2:$T$501,激励事件明细!$C$2:$C$501,A190,激励事件明细!$H$2:$H$501,C190,激励事件明细!$F$2:$F$501,"股票期权"))</f>
        <v/>
      </c>
      <c r="E190" s="15" t="str">
        <f>IF(OR(A190="",C190=""),"",SUMIFS(激励事件明细!$T$2:$T$501,激励事件明细!$C$2:$C$501,A190,激励事件明细!$H$2:$H$501,C190,激励事件明细!$F$2:$F$501,"限制性股票"))</f>
        <v/>
      </c>
      <c r="F190" s="15" t="str">
        <f>IF(OR(A190="",C190=""),"",SUMIFS(激励事件明细!$T$2:$T$501,激励事件明细!$C$2:$C$501,A190,激励事件明细!$H$2:$H$501,C190,激励事件明细!$F$2:$F$501,"其他股权激励"))</f>
        <v/>
      </c>
      <c r="G190" s="15" t="str">
        <f t="shared" si="20"/>
        <v/>
      </c>
      <c r="H190" s="16" t="str">
        <f>IF(G190="","",VLOOKUP(G190,税率及规则!$A$2:$C$8,2,TRUE))</f>
        <v/>
      </c>
      <c r="I190" s="15" t="str">
        <f>IF(G190="","",VLOOKUP(G190,税率及规则!$A$2:$C$8,3,TRUE))</f>
        <v/>
      </c>
      <c r="J190" s="15" t="str">
        <f t="shared" si="21"/>
        <v/>
      </c>
      <c r="K190" s="15" t="str">
        <f>IF(A190="","",SUMIFS(分期缴税台账!$K$2:$K$501,分期缴税台账!$A$2:$A$501,A190,分期缴税台账!$C$2:$C$501,C190,分期缴税台账!$Q$2:$Q$501,"有效"))</f>
        <v/>
      </c>
      <c r="L190" s="15" t="str">
        <f t="shared" si="22"/>
        <v/>
      </c>
      <c r="M190" s="4" t="str">
        <f>IF(A190="","",COUNTIFS(激励事件明细!$C$2:$C$501,A190,激励事件明细!$H$2:$H$501,C190,激励事件明细!$AA$2:$AA$501,"&gt;0"))</f>
        <v/>
      </c>
      <c r="N190" s="4" t="str">
        <f>IF(OR(A190="",C190=""),"",IFERROR(INDEX(激励事件明细!$A$2:$A$501,MATCH(A190&amp;"|"&amp;C190&amp;"|1",激励事件明细!$AM$2:$AM$501,0)),""))</f>
        <v/>
      </c>
      <c r="O190" s="17" t="str">
        <f>IF(N190="","",IFERROR(INDEX(激励事件明细!$AC$2:$AC$501,MATCH(N190,激励事件明细!$A$2:$A$501,0)),""))</f>
        <v/>
      </c>
      <c r="P190" s="4" t="str">
        <f t="shared" ca="1" si="23"/>
        <v/>
      </c>
    </row>
    <row r="191" spans="1:16" x14ac:dyDescent="0.3">
      <c r="A191" s="9"/>
      <c r="B191" s="4" t="str">
        <f>IF(A191="","",IFERROR(INDEX(激励事件明细!$D$2:$D$501,MATCH(A191,激励事件明细!$C$2:$C$501,0)),""))</f>
        <v/>
      </c>
      <c r="C191" s="9"/>
      <c r="D191" s="15" t="str">
        <f>IF(OR(A191="",C191=""),"",SUMIFS(激励事件明细!$T$2:$T$501,激励事件明细!$C$2:$C$501,A191,激励事件明细!$H$2:$H$501,C191,激励事件明细!$F$2:$F$501,"股票期权"))</f>
        <v/>
      </c>
      <c r="E191" s="15" t="str">
        <f>IF(OR(A191="",C191=""),"",SUMIFS(激励事件明细!$T$2:$T$501,激励事件明细!$C$2:$C$501,A191,激励事件明细!$H$2:$H$501,C191,激励事件明细!$F$2:$F$501,"限制性股票"))</f>
        <v/>
      </c>
      <c r="F191" s="15" t="str">
        <f>IF(OR(A191="",C191=""),"",SUMIFS(激励事件明细!$T$2:$T$501,激励事件明细!$C$2:$C$501,A191,激励事件明细!$H$2:$H$501,C191,激励事件明细!$F$2:$F$501,"其他股权激励"))</f>
        <v/>
      </c>
      <c r="G191" s="15" t="str">
        <f t="shared" si="20"/>
        <v/>
      </c>
      <c r="H191" s="16" t="str">
        <f>IF(G191="","",VLOOKUP(G191,税率及规则!$A$2:$C$8,2,TRUE))</f>
        <v/>
      </c>
      <c r="I191" s="15" t="str">
        <f>IF(G191="","",VLOOKUP(G191,税率及规则!$A$2:$C$8,3,TRUE))</f>
        <v/>
      </c>
      <c r="J191" s="15" t="str">
        <f t="shared" si="21"/>
        <v/>
      </c>
      <c r="K191" s="15" t="str">
        <f>IF(A191="","",SUMIFS(分期缴税台账!$K$2:$K$501,分期缴税台账!$A$2:$A$501,A191,分期缴税台账!$C$2:$C$501,C191,分期缴税台账!$Q$2:$Q$501,"有效"))</f>
        <v/>
      </c>
      <c r="L191" s="15" t="str">
        <f t="shared" si="22"/>
        <v/>
      </c>
      <c r="M191" s="4" t="str">
        <f>IF(A191="","",COUNTIFS(激励事件明细!$C$2:$C$501,A191,激励事件明细!$H$2:$H$501,C191,激励事件明细!$AA$2:$AA$501,"&gt;0"))</f>
        <v/>
      </c>
      <c r="N191" s="4" t="str">
        <f>IF(OR(A191="",C191=""),"",IFERROR(INDEX(激励事件明细!$A$2:$A$501,MATCH(A191&amp;"|"&amp;C191&amp;"|1",激励事件明细!$AM$2:$AM$501,0)),""))</f>
        <v/>
      </c>
      <c r="O191" s="17" t="str">
        <f>IF(N191="","",IFERROR(INDEX(激励事件明细!$AC$2:$AC$501,MATCH(N191,激励事件明细!$A$2:$A$501,0)),""))</f>
        <v/>
      </c>
      <c r="P191" s="4" t="str">
        <f t="shared" ca="1" si="23"/>
        <v/>
      </c>
    </row>
    <row r="192" spans="1:16" x14ac:dyDescent="0.3">
      <c r="A192" s="9"/>
      <c r="B192" s="4" t="str">
        <f>IF(A192="","",IFERROR(INDEX(激励事件明细!$D$2:$D$501,MATCH(A192,激励事件明细!$C$2:$C$501,0)),""))</f>
        <v/>
      </c>
      <c r="C192" s="9"/>
      <c r="D192" s="15" t="str">
        <f>IF(OR(A192="",C192=""),"",SUMIFS(激励事件明细!$T$2:$T$501,激励事件明细!$C$2:$C$501,A192,激励事件明细!$H$2:$H$501,C192,激励事件明细!$F$2:$F$501,"股票期权"))</f>
        <v/>
      </c>
      <c r="E192" s="15" t="str">
        <f>IF(OR(A192="",C192=""),"",SUMIFS(激励事件明细!$T$2:$T$501,激励事件明细!$C$2:$C$501,A192,激励事件明细!$H$2:$H$501,C192,激励事件明细!$F$2:$F$501,"限制性股票"))</f>
        <v/>
      </c>
      <c r="F192" s="15" t="str">
        <f>IF(OR(A192="",C192=""),"",SUMIFS(激励事件明细!$T$2:$T$501,激励事件明细!$C$2:$C$501,A192,激励事件明细!$H$2:$H$501,C192,激励事件明细!$F$2:$F$501,"其他股权激励"))</f>
        <v/>
      </c>
      <c r="G192" s="15" t="str">
        <f t="shared" si="20"/>
        <v/>
      </c>
      <c r="H192" s="16" t="str">
        <f>IF(G192="","",VLOOKUP(G192,税率及规则!$A$2:$C$8,2,TRUE))</f>
        <v/>
      </c>
      <c r="I192" s="15" t="str">
        <f>IF(G192="","",VLOOKUP(G192,税率及规则!$A$2:$C$8,3,TRUE))</f>
        <v/>
      </c>
      <c r="J192" s="15" t="str">
        <f t="shared" si="21"/>
        <v/>
      </c>
      <c r="K192" s="15" t="str">
        <f>IF(A192="","",SUMIFS(分期缴税台账!$K$2:$K$501,分期缴税台账!$A$2:$A$501,A192,分期缴税台账!$C$2:$C$501,C192,分期缴税台账!$Q$2:$Q$501,"有效"))</f>
        <v/>
      </c>
      <c r="L192" s="15" t="str">
        <f t="shared" si="22"/>
        <v/>
      </c>
      <c r="M192" s="4" t="str">
        <f>IF(A192="","",COUNTIFS(激励事件明细!$C$2:$C$501,A192,激励事件明细!$H$2:$H$501,C192,激励事件明细!$AA$2:$AA$501,"&gt;0"))</f>
        <v/>
      </c>
      <c r="N192" s="4" t="str">
        <f>IF(OR(A192="",C192=""),"",IFERROR(INDEX(激励事件明细!$A$2:$A$501,MATCH(A192&amp;"|"&amp;C192&amp;"|1",激励事件明细!$AM$2:$AM$501,0)),""))</f>
        <v/>
      </c>
      <c r="O192" s="17" t="str">
        <f>IF(N192="","",IFERROR(INDEX(激励事件明细!$AC$2:$AC$501,MATCH(N192,激励事件明细!$A$2:$A$501,0)),""))</f>
        <v/>
      </c>
      <c r="P192" s="4" t="str">
        <f t="shared" ca="1" si="23"/>
        <v/>
      </c>
    </row>
    <row r="193" spans="1:16" x14ac:dyDescent="0.3">
      <c r="A193" s="9"/>
      <c r="B193" s="4" t="str">
        <f>IF(A193="","",IFERROR(INDEX(激励事件明细!$D$2:$D$501,MATCH(A193,激励事件明细!$C$2:$C$501,0)),""))</f>
        <v/>
      </c>
      <c r="C193" s="9"/>
      <c r="D193" s="15" t="str">
        <f>IF(OR(A193="",C193=""),"",SUMIFS(激励事件明细!$T$2:$T$501,激励事件明细!$C$2:$C$501,A193,激励事件明细!$H$2:$H$501,C193,激励事件明细!$F$2:$F$501,"股票期权"))</f>
        <v/>
      </c>
      <c r="E193" s="15" t="str">
        <f>IF(OR(A193="",C193=""),"",SUMIFS(激励事件明细!$T$2:$T$501,激励事件明细!$C$2:$C$501,A193,激励事件明细!$H$2:$H$501,C193,激励事件明细!$F$2:$F$501,"限制性股票"))</f>
        <v/>
      </c>
      <c r="F193" s="15" t="str">
        <f>IF(OR(A193="",C193=""),"",SUMIFS(激励事件明细!$T$2:$T$501,激励事件明细!$C$2:$C$501,A193,激励事件明细!$H$2:$H$501,C193,激励事件明细!$F$2:$F$501,"其他股权激励"))</f>
        <v/>
      </c>
      <c r="G193" s="15" t="str">
        <f t="shared" si="20"/>
        <v/>
      </c>
      <c r="H193" s="16" t="str">
        <f>IF(G193="","",VLOOKUP(G193,税率及规则!$A$2:$C$8,2,TRUE))</f>
        <v/>
      </c>
      <c r="I193" s="15" t="str">
        <f>IF(G193="","",VLOOKUP(G193,税率及规则!$A$2:$C$8,3,TRUE))</f>
        <v/>
      </c>
      <c r="J193" s="15" t="str">
        <f t="shared" si="21"/>
        <v/>
      </c>
      <c r="K193" s="15" t="str">
        <f>IF(A193="","",SUMIFS(分期缴税台账!$K$2:$K$501,分期缴税台账!$A$2:$A$501,A193,分期缴税台账!$C$2:$C$501,C193,分期缴税台账!$Q$2:$Q$501,"有效"))</f>
        <v/>
      </c>
      <c r="L193" s="15" t="str">
        <f t="shared" si="22"/>
        <v/>
      </c>
      <c r="M193" s="4" t="str">
        <f>IF(A193="","",COUNTIFS(激励事件明细!$C$2:$C$501,A193,激励事件明细!$H$2:$H$501,C193,激励事件明细!$AA$2:$AA$501,"&gt;0"))</f>
        <v/>
      </c>
      <c r="N193" s="4" t="str">
        <f>IF(OR(A193="",C193=""),"",IFERROR(INDEX(激励事件明细!$A$2:$A$501,MATCH(A193&amp;"|"&amp;C193&amp;"|1",激励事件明细!$AM$2:$AM$501,0)),""))</f>
        <v/>
      </c>
      <c r="O193" s="17" t="str">
        <f>IF(N193="","",IFERROR(INDEX(激励事件明细!$AC$2:$AC$501,MATCH(N193,激励事件明细!$A$2:$A$501,0)),""))</f>
        <v/>
      </c>
      <c r="P193" s="4" t="str">
        <f t="shared" ca="1" si="23"/>
        <v/>
      </c>
    </row>
    <row r="194" spans="1:16" x14ac:dyDescent="0.3">
      <c r="A194" s="9"/>
      <c r="B194" s="4" t="str">
        <f>IF(A194="","",IFERROR(INDEX(激励事件明细!$D$2:$D$501,MATCH(A194,激励事件明细!$C$2:$C$501,0)),""))</f>
        <v/>
      </c>
      <c r="C194" s="9"/>
      <c r="D194" s="15" t="str">
        <f>IF(OR(A194="",C194=""),"",SUMIFS(激励事件明细!$T$2:$T$501,激励事件明细!$C$2:$C$501,A194,激励事件明细!$H$2:$H$501,C194,激励事件明细!$F$2:$F$501,"股票期权"))</f>
        <v/>
      </c>
      <c r="E194" s="15" t="str">
        <f>IF(OR(A194="",C194=""),"",SUMIFS(激励事件明细!$T$2:$T$501,激励事件明细!$C$2:$C$501,A194,激励事件明细!$H$2:$H$501,C194,激励事件明细!$F$2:$F$501,"限制性股票"))</f>
        <v/>
      </c>
      <c r="F194" s="15" t="str">
        <f>IF(OR(A194="",C194=""),"",SUMIFS(激励事件明细!$T$2:$T$501,激励事件明细!$C$2:$C$501,A194,激励事件明细!$H$2:$H$501,C194,激励事件明细!$F$2:$F$501,"其他股权激励"))</f>
        <v/>
      </c>
      <c r="G194" s="15" t="str">
        <f t="shared" ref="G194:G225" si="24">IF(A194="","",SUM(D194:F194))</f>
        <v/>
      </c>
      <c r="H194" s="16" t="str">
        <f>IF(G194="","",VLOOKUP(G194,税率及规则!$A$2:$C$8,2,TRUE))</f>
        <v/>
      </c>
      <c r="I194" s="15" t="str">
        <f>IF(G194="","",VLOOKUP(G194,税率及规则!$A$2:$C$8,3,TRUE))</f>
        <v/>
      </c>
      <c r="J194" s="15" t="str">
        <f t="shared" ref="J194:J225" si="25">IF(G194="","",MAX(0,G194*H194-I194))</f>
        <v/>
      </c>
      <c r="K194" s="15" t="str">
        <f>IF(A194="","",SUMIFS(分期缴税台账!$K$2:$K$501,分期缴税台账!$A$2:$A$501,A194,分期缴税台账!$C$2:$C$501,C194,分期缴税台账!$Q$2:$Q$501,"有效"))</f>
        <v/>
      </c>
      <c r="L194" s="15" t="str">
        <f t="shared" ref="L194:L225" si="26">IF(J194="","",MAX(0,J194-K194))</f>
        <v/>
      </c>
      <c r="M194" s="4" t="str">
        <f>IF(A194="","",COUNTIFS(激励事件明细!$C$2:$C$501,A194,激励事件明细!$H$2:$H$501,C194,激励事件明细!$AA$2:$AA$501,"&gt;0"))</f>
        <v/>
      </c>
      <c r="N194" s="4" t="str">
        <f>IF(OR(A194="",C194=""),"",IFERROR(INDEX(激励事件明细!$A$2:$A$501,MATCH(A194&amp;"|"&amp;C194&amp;"|1",激励事件明细!$AM$2:$AM$501,0)),""))</f>
        <v/>
      </c>
      <c r="O194" s="17" t="str">
        <f>IF(N194="","",IFERROR(INDEX(激励事件明细!$AC$2:$AC$501,MATCH(N194,激励事件明细!$A$2:$A$501,0)),""))</f>
        <v/>
      </c>
      <c r="P194" s="4" t="str">
        <f t="shared" ref="P194:P225" ca="1" si="27">IF(A194="","",IF(M194=0,"",IF(K194&gt;J194,"异常：超额缴税",IF(L194=0,"已缴清",IF(AND(O194&lt;TODAY(),L194&gt;0),"逾期未缴","未缴清")))))</f>
        <v/>
      </c>
    </row>
    <row r="195" spans="1:16" x14ac:dyDescent="0.3">
      <c r="A195" s="9"/>
      <c r="B195" s="4" t="str">
        <f>IF(A195="","",IFERROR(INDEX(激励事件明细!$D$2:$D$501,MATCH(A195,激励事件明细!$C$2:$C$501,0)),""))</f>
        <v/>
      </c>
      <c r="C195" s="9"/>
      <c r="D195" s="15" t="str">
        <f>IF(OR(A195="",C195=""),"",SUMIFS(激励事件明细!$T$2:$T$501,激励事件明细!$C$2:$C$501,A195,激励事件明细!$H$2:$H$501,C195,激励事件明细!$F$2:$F$501,"股票期权"))</f>
        <v/>
      </c>
      <c r="E195" s="15" t="str">
        <f>IF(OR(A195="",C195=""),"",SUMIFS(激励事件明细!$T$2:$T$501,激励事件明细!$C$2:$C$501,A195,激励事件明细!$H$2:$H$501,C195,激励事件明细!$F$2:$F$501,"限制性股票"))</f>
        <v/>
      </c>
      <c r="F195" s="15" t="str">
        <f>IF(OR(A195="",C195=""),"",SUMIFS(激励事件明细!$T$2:$T$501,激励事件明细!$C$2:$C$501,A195,激励事件明细!$H$2:$H$501,C195,激励事件明细!$F$2:$F$501,"其他股权激励"))</f>
        <v/>
      </c>
      <c r="G195" s="15" t="str">
        <f t="shared" si="24"/>
        <v/>
      </c>
      <c r="H195" s="16" t="str">
        <f>IF(G195="","",VLOOKUP(G195,税率及规则!$A$2:$C$8,2,TRUE))</f>
        <v/>
      </c>
      <c r="I195" s="15" t="str">
        <f>IF(G195="","",VLOOKUP(G195,税率及规则!$A$2:$C$8,3,TRUE))</f>
        <v/>
      </c>
      <c r="J195" s="15" t="str">
        <f t="shared" si="25"/>
        <v/>
      </c>
      <c r="K195" s="15" t="str">
        <f>IF(A195="","",SUMIFS(分期缴税台账!$K$2:$K$501,分期缴税台账!$A$2:$A$501,A195,分期缴税台账!$C$2:$C$501,C195,分期缴税台账!$Q$2:$Q$501,"有效"))</f>
        <v/>
      </c>
      <c r="L195" s="15" t="str">
        <f t="shared" si="26"/>
        <v/>
      </c>
      <c r="M195" s="4" t="str">
        <f>IF(A195="","",COUNTIFS(激励事件明细!$C$2:$C$501,A195,激励事件明细!$H$2:$H$501,C195,激励事件明细!$AA$2:$AA$501,"&gt;0"))</f>
        <v/>
      </c>
      <c r="N195" s="4" t="str">
        <f>IF(OR(A195="",C195=""),"",IFERROR(INDEX(激励事件明细!$A$2:$A$501,MATCH(A195&amp;"|"&amp;C195&amp;"|1",激励事件明细!$AM$2:$AM$501,0)),""))</f>
        <v/>
      </c>
      <c r="O195" s="17" t="str">
        <f>IF(N195="","",IFERROR(INDEX(激励事件明细!$AC$2:$AC$501,MATCH(N195,激励事件明细!$A$2:$A$501,0)),""))</f>
        <v/>
      </c>
      <c r="P195" s="4" t="str">
        <f t="shared" ca="1" si="27"/>
        <v/>
      </c>
    </row>
    <row r="196" spans="1:16" x14ac:dyDescent="0.3">
      <c r="A196" s="9"/>
      <c r="B196" s="4" t="str">
        <f>IF(A196="","",IFERROR(INDEX(激励事件明细!$D$2:$D$501,MATCH(A196,激励事件明细!$C$2:$C$501,0)),""))</f>
        <v/>
      </c>
      <c r="C196" s="9"/>
      <c r="D196" s="15" t="str">
        <f>IF(OR(A196="",C196=""),"",SUMIFS(激励事件明细!$T$2:$T$501,激励事件明细!$C$2:$C$501,A196,激励事件明细!$H$2:$H$501,C196,激励事件明细!$F$2:$F$501,"股票期权"))</f>
        <v/>
      </c>
      <c r="E196" s="15" t="str">
        <f>IF(OR(A196="",C196=""),"",SUMIFS(激励事件明细!$T$2:$T$501,激励事件明细!$C$2:$C$501,A196,激励事件明细!$H$2:$H$501,C196,激励事件明细!$F$2:$F$501,"限制性股票"))</f>
        <v/>
      </c>
      <c r="F196" s="15" t="str">
        <f>IF(OR(A196="",C196=""),"",SUMIFS(激励事件明细!$T$2:$T$501,激励事件明细!$C$2:$C$501,A196,激励事件明细!$H$2:$H$501,C196,激励事件明细!$F$2:$F$501,"其他股权激励"))</f>
        <v/>
      </c>
      <c r="G196" s="15" t="str">
        <f t="shared" si="24"/>
        <v/>
      </c>
      <c r="H196" s="16" t="str">
        <f>IF(G196="","",VLOOKUP(G196,税率及规则!$A$2:$C$8,2,TRUE))</f>
        <v/>
      </c>
      <c r="I196" s="15" t="str">
        <f>IF(G196="","",VLOOKUP(G196,税率及规则!$A$2:$C$8,3,TRUE))</f>
        <v/>
      </c>
      <c r="J196" s="15" t="str">
        <f t="shared" si="25"/>
        <v/>
      </c>
      <c r="K196" s="15" t="str">
        <f>IF(A196="","",SUMIFS(分期缴税台账!$K$2:$K$501,分期缴税台账!$A$2:$A$501,A196,分期缴税台账!$C$2:$C$501,C196,分期缴税台账!$Q$2:$Q$501,"有效"))</f>
        <v/>
      </c>
      <c r="L196" s="15" t="str">
        <f t="shared" si="26"/>
        <v/>
      </c>
      <c r="M196" s="4" t="str">
        <f>IF(A196="","",COUNTIFS(激励事件明细!$C$2:$C$501,A196,激励事件明细!$H$2:$H$501,C196,激励事件明细!$AA$2:$AA$501,"&gt;0"))</f>
        <v/>
      </c>
      <c r="N196" s="4" t="str">
        <f>IF(OR(A196="",C196=""),"",IFERROR(INDEX(激励事件明细!$A$2:$A$501,MATCH(A196&amp;"|"&amp;C196&amp;"|1",激励事件明细!$AM$2:$AM$501,0)),""))</f>
        <v/>
      </c>
      <c r="O196" s="17" t="str">
        <f>IF(N196="","",IFERROR(INDEX(激励事件明细!$AC$2:$AC$501,MATCH(N196,激励事件明细!$A$2:$A$501,0)),""))</f>
        <v/>
      </c>
      <c r="P196" s="4" t="str">
        <f t="shared" ca="1" si="27"/>
        <v/>
      </c>
    </row>
    <row r="197" spans="1:16" x14ac:dyDescent="0.3">
      <c r="A197" s="9"/>
      <c r="B197" s="4" t="str">
        <f>IF(A197="","",IFERROR(INDEX(激励事件明细!$D$2:$D$501,MATCH(A197,激励事件明细!$C$2:$C$501,0)),""))</f>
        <v/>
      </c>
      <c r="C197" s="9"/>
      <c r="D197" s="15" t="str">
        <f>IF(OR(A197="",C197=""),"",SUMIFS(激励事件明细!$T$2:$T$501,激励事件明细!$C$2:$C$501,A197,激励事件明细!$H$2:$H$501,C197,激励事件明细!$F$2:$F$501,"股票期权"))</f>
        <v/>
      </c>
      <c r="E197" s="15" t="str">
        <f>IF(OR(A197="",C197=""),"",SUMIFS(激励事件明细!$T$2:$T$501,激励事件明细!$C$2:$C$501,A197,激励事件明细!$H$2:$H$501,C197,激励事件明细!$F$2:$F$501,"限制性股票"))</f>
        <v/>
      </c>
      <c r="F197" s="15" t="str">
        <f>IF(OR(A197="",C197=""),"",SUMIFS(激励事件明细!$T$2:$T$501,激励事件明细!$C$2:$C$501,A197,激励事件明细!$H$2:$H$501,C197,激励事件明细!$F$2:$F$501,"其他股权激励"))</f>
        <v/>
      </c>
      <c r="G197" s="15" t="str">
        <f t="shared" si="24"/>
        <v/>
      </c>
      <c r="H197" s="16" t="str">
        <f>IF(G197="","",VLOOKUP(G197,税率及规则!$A$2:$C$8,2,TRUE))</f>
        <v/>
      </c>
      <c r="I197" s="15" t="str">
        <f>IF(G197="","",VLOOKUP(G197,税率及规则!$A$2:$C$8,3,TRUE))</f>
        <v/>
      </c>
      <c r="J197" s="15" t="str">
        <f t="shared" si="25"/>
        <v/>
      </c>
      <c r="K197" s="15" t="str">
        <f>IF(A197="","",SUMIFS(分期缴税台账!$K$2:$K$501,分期缴税台账!$A$2:$A$501,A197,分期缴税台账!$C$2:$C$501,C197,分期缴税台账!$Q$2:$Q$501,"有效"))</f>
        <v/>
      </c>
      <c r="L197" s="15" t="str">
        <f t="shared" si="26"/>
        <v/>
      </c>
      <c r="M197" s="4" t="str">
        <f>IF(A197="","",COUNTIFS(激励事件明细!$C$2:$C$501,A197,激励事件明细!$H$2:$H$501,C197,激励事件明细!$AA$2:$AA$501,"&gt;0"))</f>
        <v/>
      </c>
      <c r="N197" s="4" t="str">
        <f>IF(OR(A197="",C197=""),"",IFERROR(INDEX(激励事件明细!$A$2:$A$501,MATCH(A197&amp;"|"&amp;C197&amp;"|1",激励事件明细!$AM$2:$AM$501,0)),""))</f>
        <v/>
      </c>
      <c r="O197" s="17" t="str">
        <f>IF(N197="","",IFERROR(INDEX(激励事件明细!$AC$2:$AC$501,MATCH(N197,激励事件明细!$A$2:$A$501,0)),""))</f>
        <v/>
      </c>
      <c r="P197" s="4" t="str">
        <f t="shared" ca="1" si="27"/>
        <v/>
      </c>
    </row>
    <row r="198" spans="1:16" x14ac:dyDescent="0.3">
      <c r="A198" s="9"/>
      <c r="B198" s="4" t="str">
        <f>IF(A198="","",IFERROR(INDEX(激励事件明细!$D$2:$D$501,MATCH(A198,激励事件明细!$C$2:$C$501,0)),""))</f>
        <v/>
      </c>
      <c r="C198" s="9"/>
      <c r="D198" s="15" t="str">
        <f>IF(OR(A198="",C198=""),"",SUMIFS(激励事件明细!$T$2:$T$501,激励事件明细!$C$2:$C$501,A198,激励事件明细!$H$2:$H$501,C198,激励事件明细!$F$2:$F$501,"股票期权"))</f>
        <v/>
      </c>
      <c r="E198" s="15" t="str">
        <f>IF(OR(A198="",C198=""),"",SUMIFS(激励事件明细!$T$2:$T$501,激励事件明细!$C$2:$C$501,A198,激励事件明细!$H$2:$H$501,C198,激励事件明细!$F$2:$F$501,"限制性股票"))</f>
        <v/>
      </c>
      <c r="F198" s="15" t="str">
        <f>IF(OR(A198="",C198=""),"",SUMIFS(激励事件明细!$T$2:$T$501,激励事件明细!$C$2:$C$501,A198,激励事件明细!$H$2:$H$501,C198,激励事件明细!$F$2:$F$501,"其他股权激励"))</f>
        <v/>
      </c>
      <c r="G198" s="15" t="str">
        <f t="shared" si="24"/>
        <v/>
      </c>
      <c r="H198" s="16" t="str">
        <f>IF(G198="","",VLOOKUP(G198,税率及规则!$A$2:$C$8,2,TRUE))</f>
        <v/>
      </c>
      <c r="I198" s="15" t="str">
        <f>IF(G198="","",VLOOKUP(G198,税率及规则!$A$2:$C$8,3,TRUE))</f>
        <v/>
      </c>
      <c r="J198" s="15" t="str">
        <f t="shared" si="25"/>
        <v/>
      </c>
      <c r="K198" s="15" t="str">
        <f>IF(A198="","",SUMIFS(分期缴税台账!$K$2:$K$501,分期缴税台账!$A$2:$A$501,A198,分期缴税台账!$C$2:$C$501,C198,分期缴税台账!$Q$2:$Q$501,"有效"))</f>
        <v/>
      </c>
      <c r="L198" s="15" t="str">
        <f t="shared" si="26"/>
        <v/>
      </c>
      <c r="M198" s="4" t="str">
        <f>IF(A198="","",COUNTIFS(激励事件明细!$C$2:$C$501,A198,激励事件明细!$H$2:$H$501,C198,激励事件明细!$AA$2:$AA$501,"&gt;0"))</f>
        <v/>
      </c>
      <c r="N198" s="4" t="str">
        <f>IF(OR(A198="",C198=""),"",IFERROR(INDEX(激励事件明细!$A$2:$A$501,MATCH(A198&amp;"|"&amp;C198&amp;"|1",激励事件明细!$AM$2:$AM$501,0)),""))</f>
        <v/>
      </c>
      <c r="O198" s="17" t="str">
        <f>IF(N198="","",IFERROR(INDEX(激励事件明细!$AC$2:$AC$501,MATCH(N198,激励事件明细!$A$2:$A$501,0)),""))</f>
        <v/>
      </c>
      <c r="P198" s="4" t="str">
        <f t="shared" ca="1" si="27"/>
        <v/>
      </c>
    </row>
    <row r="199" spans="1:16" x14ac:dyDescent="0.3">
      <c r="A199" s="9"/>
      <c r="B199" s="4" t="str">
        <f>IF(A199="","",IFERROR(INDEX(激励事件明细!$D$2:$D$501,MATCH(A199,激励事件明细!$C$2:$C$501,0)),""))</f>
        <v/>
      </c>
      <c r="C199" s="9"/>
      <c r="D199" s="15" t="str">
        <f>IF(OR(A199="",C199=""),"",SUMIFS(激励事件明细!$T$2:$T$501,激励事件明细!$C$2:$C$501,A199,激励事件明细!$H$2:$H$501,C199,激励事件明细!$F$2:$F$501,"股票期权"))</f>
        <v/>
      </c>
      <c r="E199" s="15" t="str">
        <f>IF(OR(A199="",C199=""),"",SUMIFS(激励事件明细!$T$2:$T$501,激励事件明细!$C$2:$C$501,A199,激励事件明细!$H$2:$H$501,C199,激励事件明细!$F$2:$F$501,"限制性股票"))</f>
        <v/>
      </c>
      <c r="F199" s="15" t="str">
        <f>IF(OR(A199="",C199=""),"",SUMIFS(激励事件明细!$T$2:$T$501,激励事件明细!$C$2:$C$501,A199,激励事件明细!$H$2:$H$501,C199,激励事件明细!$F$2:$F$501,"其他股权激励"))</f>
        <v/>
      </c>
      <c r="G199" s="15" t="str">
        <f t="shared" si="24"/>
        <v/>
      </c>
      <c r="H199" s="16" t="str">
        <f>IF(G199="","",VLOOKUP(G199,税率及规则!$A$2:$C$8,2,TRUE))</f>
        <v/>
      </c>
      <c r="I199" s="15" t="str">
        <f>IF(G199="","",VLOOKUP(G199,税率及规则!$A$2:$C$8,3,TRUE))</f>
        <v/>
      </c>
      <c r="J199" s="15" t="str">
        <f t="shared" si="25"/>
        <v/>
      </c>
      <c r="K199" s="15" t="str">
        <f>IF(A199="","",SUMIFS(分期缴税台账!$K$2:$K$501,分期缴税台账!$A$2:$A$501,A199,分期缴税台账!$C$2:$C$501,C199,分期缴税台账!$Q$2:$Q$501,"有效"))</f>
        <v/>
      </c>
      <c r="L199" s="15" t="str">
        <f t="shared" si="26"/>
        <v/>
      </c>
      <c r="M199" s="4" t="str">
        <f>IF(A199="","",COUNTIFS(激励事件明细!$C$2:$C$501,A199,激励事件明细!$H$2:$H$501,C199,激励事件明细!$AA$2:$AA$501,"&gt;0"))</f>
        <v/>
      </c>
      <c r="N199" s="4" t="str">
        <f>IF(OR(A199="",C199=""),"",IFERROR(INDEX(激励事件明细!$A$2:$A$501,MATCH(A199&amp;"|"&amp;C199&amp;"|1",激励事件明细!$AM$2:$AM$501,0)),""))</f>
        <v/>
      </c>
      <c r="O199" s="17" t="str">
        <f>IF(N199="","",IFERROR(INDEX(激励事件明细!$AC$2:$AC$501,MATCH(N199,激励事件明细!$A$2:$A$501,0)),""))</f>
        <v/>
      </c>
      <c r="P199" s="4" t="str">
        <f t="shared" ca="1" si="27"/>
        <v/>
      </c>
    </row>
    <row r="200" spans="1:16" x14ac:dyDescent="0.3">
      <c r="A200" s="9"/>
      <c r="B200" s="4" t="str">
        <f>IF(A200="","",IFERROR(INDEX(激励事件明细!$D$2:$D$501,MATCH(A200,激励事件明细!$C$2:$C$501,0)),""))</f>
        <v/>
      </c>
      <c r="C200" s="9"/>
      <c r="D200" s="15" t="str">
        <f>IF(OR(A200="",C200=""),"",SUMIFS(激励事件明细!$T$2:$T$501,激励事件明细!$C$2:$C$501,A200,激励事件明细!$H$2:$H$501,C200,激励事件明细!$F$2:$F$501,"股票期权"))</f>
        <v/>
      </c>
      <c r="E200" s="15" t="str">
        <f>IF(OR(A200="",C200=""),"",SUMIFS(激励事件明细!$T$2:$T$501,激励事件明细!$C$2:$C$501,A200,激励事件明细!$H$2:$H$501,C200,激励事件明细!$F$2:$F$501,"限制性股票"))</f>
        <v/>
      </c>
      <c r="F200" s="15" t="str">
        <f>IF(OR(A200="",C200=""),"",SUMIFS(激励事件明细!$T$2:$T$501,激励事件明细!$C$2:$C$501,A200,激励事件明细!$H$2:$H$501,C200,激励事件明细!$F$2:$F$501,"其他股权激励"))</f>
        <v/>
      </c>
      <c r="G200" s="15" t="str">
        <f t="shared" si="24"/>
        <v/>
      </c>
      <c r="H200" s="16" t="str">
        <f>IF(G200="","",VLOOKUP(G200,税率及规则!$A$2:$C$8,2,TRUE))</f>
        <v/>
      </c>
      <c r="I200" s="15" t="str">
        <f>IF(G200="","",VLOOKUP(G200,税率及规则!$A$2:$C$8,3,TRUE))</f>
        <v/>
      </c>
      <c r="J200" s="15" t="str">
        <f t="shared" si="25"/>
        <v/>
      </c>
      <c r="K200" s="15" t="str">
        <f>IF(A200="","",SUMIFS(分期缴税台账!$K$2:$K$501,分期缴税台账!$A$2:$A$501,A200,分期缴税台账!$C$2:$C$501,C200,分期缴税台账!$Q$2:$Q$501,"有效"))</f>
        <v/>
      </c>
      <c r="L200" s="15" t="str">
        <f t="shared" si="26"/>
        <v/>
      </c>
      <c r="M200" s="4" t="str">
        <f>IF(A200="","",COUNTIFS(激励事件明细!$C$2:$C$501,A200,激励事件明细!$H$2:$H$501,C200,激励事件明细!$AA$2:$AA$501,"&gt;0"))</f>
        <v/>
      </c>
      <c r="N200" s="4" t="str">
        <f>IF(OR(A200="",C200=""),"",IFERROR(INDEX(激励事件明细!$A$2:$A$501,MATCH(A200&amp;"|"&amp;C200&amp;"|1",激励事件明细!$AM$2:$AM$501,0)),""))</f>
        <v/>
      </c>
      <c r="O200" s="17" t="str">
        <f>IF(N200="","",IFERROR(INDEX(激励事件明细!$AC$2:$AC$501,MATCH(N200,激励事件明细!$A$2:$A$501,0)),""))</f>
        <v/>
      </c>
      <c r="P200" s="4" t="str">
        <f t="shared" ca="1" si="27"/>
        <v/>
      </c>
    </row>
    <row r="201" spans="1:16" x14ac:dyDescent="0.3">
      <c r="A201" s="9"/>
      <c r="B201" s="4" t="str">
        <f>IF(A201="","",IFERROR(INDEX(激励事件明细!$D$2:$D$501,MATCH(A201,激励事件明细!$C$2:$C$501,0)),""))</f>
        <v/>
      </c>
      <c r="C201" s="9"/>
      <c r="D201" s="15" t="str">
        <f>IF(OR(A201="",C201=""),"",SUMIFS(激励事件明细!$T$2:$T$501,激励事件明细!$C$2:$C$501,A201,激励事件明细!$H$2:$H$501,C201,激励事件明细!$F$2:$F$501,"股票期权"))</f>
        <v/>
      </c>
      <c r="E201" s="15" t="str">
        <f>IF(OR(A201="",C201=""),"",SUMIFS(激励事件明细!$T$2:$T$501,激励事件明细!$C$2:$C$501,A201,激励事件明细!$H$2:$H$501,C201,激励事件明细!$F$2:$F$501,"限制性股票"))</f>
        <v/>
      </c>
      <c r="F201" s="15" t="str">
        <f>IF(OR(A201="",C201=""),"",SUMIFS(激励事件明细!$T$2:$T$501,激励事件明细!$C$2:$C$501,A201,激励事件明细!$H$2:$H$501,C201,激励事件明细!$F$2:$F$501,"其他股权激励"))</f>
        <v/>
      </c>
      <c r="G201" s="15" t="str">
        <f t="shared" si="24"/>
        <v/>
      </c>
      <c r="H201" s="16" t="str">
        <f>IF(G201="","",VLOOKUP(G201,税率及规则!$A$2:$C$8,2,TRUE))</f>
        <v/>
      </c>
      <c r="I201" s="15" t="str">
        <f>IF(G201="","",VLOOKUP(G201,税率及规则!$A$2:$C$8,3,TRUE))</f>
        <v/>
      </c>
      <c r="J201" s="15" t="str">
        <f t="shared" si="25"/>
        <v/>
      </c>
      <c r="K201" s="15" t="str">
        <f>IF(A201="","",SUMIFS(分期缴税台账!$K$2:$K$501,分期缴税台账!$A$2:$A$501,A201,分期缴税台账!$C$2:$C$501,C201,分期缴税台账!$Q$2:$Q$501,"有效"))</f>
        <v/>
      </c>
      <c r="L201" s="15" t="str">
        <f t="shared" si="26"/>
        <v/>
      </c>
      <c r="M201" s="4" t="str">
        <f>IF(A201="","",COUNTIFS(激励事件明细!$C$2:$C$501,A201,激励事件明细!$H$2:$H$501,C201,激励事件明细!$AA$2:$AA$501,"&gt;0"))</f>
        <v/>
      </c>
      <c r="N201" s="4" t="str">
        <f>IF(OR(A201="",C201=""),"",IFERROR(INDEX(激励事件明细!$A$2:$A$501,MATCH(A201&amp;"|"&amp;C201&amp;"|1",激励事件明细!$AM$2:$AM$501,0)),""))</f>
        <v/>
      </c>
      <c r="O201" s="17" t="str">
        <f>IF(N201="","",IFERROR(INDEX(激励事件明细!$AC$2:$AC$501,MATCH(N201,激励事件明细!$A$2:$A$501,0)),""))</f>
        <v/>
      </c>
      <c r="P201" s="4" t="str">
        <f t="shared" ca="1" si="27"/>
        <v/>
      </c>
    </row>
  </sheetData>
  <sheetProtection sheet="1" selectLockedCells="1" sort="0" autoFilter="0" selectUnlockedCells="1"/>
  <phoneticPr fontId="7" type="noConversion"/>
  <conditionalFormatting sqref="P2:P201">
    <cfRule type="expression" dxfId="1" priority="1">
      <formula>LEFT(P2,2)="异常"</formula>
    </cfRule>
  </conditionalFormatting>
  <dataValidations count="2">
    <dataValidation type="list" allowBlank="1" showInputMessage="1" showErrorMessage="1" errorTitle="输入无效" error="请选择下拉列表中的有效值。" promptTitle="可选值" prompt="请从下拉列表选择。" sqref="A2:A201" xr:uid="{00000000-0002-0000-0300-000000000000}">
      <formula1>员工编号列表</formula1>
    </dataValidation>
    <dataValidation type="decimal" allowBlank="1" showErrorMessage="1" errorTitle="数值无效" error="请输入符合条件的非负数字。" sqref="C2:C201" xr:uid="{00000000-0002-0000-0300-000001000000}">
      <formula1>2024</formula1>
      <formula2>2035</formula2>
    </dataValidation>
  </dataValidations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501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12" customWidth="1"/>
    <col min="3" max="3" width="10" customWidth="1"/>
    <col min="4" max="4" width="18" customWidth="1"/>
    <col min="5" max="7" width="22" customWidth="1"/>
    <col min="8" max="8" width="20" customWidth="1"/>
    <col min="9" max="9" width="14" customWidth="1"/>
    <col min="10" max="11" width="16" customWidth="1"/>
    <col min="12" max="12" width="20" customWidth="1"/>
    <col min="13" max="14" width="16" customWidth="1"/>
    <col min="15" max="15" width="12" customWidth="1"/>
    <col min="16" max="16" width="14" customWidth="1"/>
    <col min="17" max="17" width="28" customWidth="1"/>
    <col min="18" max="18" width="24" customWidth="1"/>
    <col min="20" max="23" width="13" hidden="1" customWidth="1"/>
  </cols>
  <sheetData>
    <row r="1" spans="1:23" ht="32" customHeight="1" x14ac:dyDescent="0.3">
      <c r="A1" s="6" t="s">
        <v>39</v>
      </c>
      <c r="B1" s="6" t="s">
        <v>40</v>
      </c>
      <c r="C1" s="6" t="s">
        <v>90</v>
      </c>
      <c r="D1" s="6" t="s">
        <v>86</v>
      </c>
      <c r="E1" s="6" t="s">
        <v>139</v>
      </c>
      <c r="F1" s="6" t="s">
        <v>140</v>
      </c>
      <c r="G1" s="6" t="s">
        <v>141</v>
      </c>
      <c r="H1" s="6" t="s">
        <v>142</v>
      </c>
      <c r="I1" s="6" t="s">
        <v>143</v>
      </c>
      <c r="J1" s="6" t="s">
        <v>144</v>
      </c>
      <c r="K1" s="6" t="s">
        <v>145</v>
      </c>
      <c r="L1" s="6" t="s">
        <v>146</v>
      </c>
      <c r="M1" s="6" t="s">
        <v>147</v>
      </c>
      <c r="N1" s="6" t="s">
        <v>148</v>
      </c>
      <c r="O1" s="6" t="s">
        <v>149</v>
      </c>
      <c r="P1" s="6" t="s">
        <v>98</v>
      </c>
      <c r="Q1" s="6" t="s">
        <v>150</v>
      </c>
      <c r="R1" s="6" t="s">
        <v>112</v>
      </c>
      <c r="S1" s="6" t="s">
        <v>113</v>
      </c>
      <c r="T1" s="6" t="s">
        <v>151</v>
      </c>
      <c r="U1" s="6" t="s">
        <v>152</v>
      </c>
      <c r="V1" s="6" t="s">
        <v>153</v>
      </c>
      <c r="W1" s="6" t="s">
        <v>154</v>
      </c>
    </row>
    <row r="2" spans="1:23" x14ac:dyDescent="0.3">
      <c r="A2" s="4" t="str">
        <f>IF(T2="","",IFERROR(INDEX(激励事件明细!$C$2:$C$501,MATCH(T2,激励事件明细!$A$2:$A$501,0)),""))</f>
        <v/>
      </c>
      <c r="B2" s="4" t="str">
        <f>IF(A2="","",IFERROR(INDEX(激励事件明细!$D$2:$D$501,MATCH(T2,激励事件明细!$A$2:$A$501,0)),""))</f>
        <v/>
      </c>
      <c r="C2" s="4" t="str">
        <f>IF(A2="","",IFERROR(INDEX(激励事件明细!$H$2:$H$501,MATCH(T2,激励事件明细!$A$2:$A$501,0)),""))</f>
        <v/>
      </c>
      <c r="D2" s="9"/>
      <c r="E2" s="9"/>
      <c r="F2" s="15" t="str">
        <f>IF(A2="","",IFERROR(INDEX(激励事件明细!$AA$2:$AA$501,MATCH(T2,激励事件明细!$A$2:$A$501,0)),""))</f>
        <v/>
      </c>
      <c r="G2" s="17" t="str">
        <f>IF(A2="","",IFERROR(INDEX(激励事件明细!$AB$2:$AB$501,MATCH(T2,激励事件明细!$A$2:$A$501,0)),""))</f>
        <v/>
      </c>
      <c r="H2" s="17" t="str">
        <f>IF(A2="","",IFERROR(INDEX(激励事件明细!$AC$2:$AC$501,MATCH(T2,激励事件明细!$A$2:$A$501,0)),""))</f>
        <v/>
      </c>
      <c r="I2" s="13"/>
      <c r="J2" s="14"/>
      <c r="K2" s="14"/>
      <c r="L2" s="9"/>
      <c r="M2" s="15" t="str">
        <f t="shared" ref="M2:M65" si="0">IF(T2="","",SUMIFS($K$2:$K$501,$T$2:$T$501,T2,$Q$2:$Q$501,"有效"))</f>
        <v/>
      </c>
      <c r="N2" s="15" t="str">
        <f t="shared" ref="N2:N65" si="1">IF(F2="","",MAX(0,F2-M2))</f>
        <v/>
      </c>
      <c r="O2" s="4" t="str">
        <f t="shared" ref="O2:O65" ca="1" si="2">IF(A2="","",IF(AND(I2&lt;&gt;"",I2&gt;H2),"是",IF(AND(TODAY()&gt;H2,N2&gt;0),"是","否")))</f>
        <v/>
      </c>
      <c r="P2" s="17" t="str">
        <f>IF(A2="","",IFERROR(IF(INDEX(激励事件明细!$P$2:$P$501,MATCH(T2,激励事件明细!$A$2:$A$501,0))=0,"",INDEX(激励事件明细!$P$2:$P$501,MATCH(T2,激励事件明细!$A$2:$A$501,0))),""))</f>
        <v/>
      </c>
      <c r="Q2" s="4" t="str">
        <f t="shared" ref="Q2:Q65" si="3">IF(AND(D2="",E2=""),"无效",IF(T2="","无效",IF(AND(D2&lt;&gt;"",E2&lt;&gt;"",U2&lt;&gt;E2),"冲突","有效")))</f>
        <v>无效</v>
      </c>
      <c r="R2" s="4" t="str">
        <f t="shared" ref="R2:R65" ca="1" si="4">IF(Q2="冲突","异常：事件编号与税额批次冲突",IF(Q2="无效","异常：必须关联有效事件编号或税额批次",IF(AND(ISNUMBER(P2),P2&gt;0,ISNUMBER(I2),K2&gt;0,I2&gt;P2),"异常：离职后缴税",IF(M2&gt;F2,"异常：本批次超额缴税",IF(AND(I2&lt;&gt;"",I2&gt;H2),"异常：超过事件截止日",IF(AND(ISNUMBER(P2),P2&gt;0,TODAY()&gt;=P2,N2&gt;0),"异常：离职前未缴清","正常"))))))</f>
        <v>异常：必须关联有效事件编号或税额批次</v>
      </c>
      <c r="S2" s="9"/>
      <c r="T2" s="4" t="str">
        <f>IF(D2&lt;&gt;"",IF(COUNTIF(激励事件明细!$A$2:$A$501,D2)=1,D2,""),IF(E2&lt;&gt;"",IFERROR(INDEX(激励事件明细!$A$2:$A$501,MATCH(E2,激励事件明细!$B$2:$B$501,0)),""),""))</f>
        <v/>
      </c>
      <c r="U2" s="4" t="str">
        <f>IF(T2="","",IFERROR(INDEX(激励事件明细!$B$2:$B$501,MATCH(T2,激励事件明细!$A$2:$A$501,0)),""))</f>
        <v/>
      </c>
      <c r="V2" s="4" t="str">
        <f>IF(A2="","",COUNTIF($A$2:A2,A2))</f>
        <v/>
      </c>
      <c r="W2" s="4" t="str">
        <f t="shared" ref="W2:W65" si="5">IF(A2="","",A2&amp;"|"&amp;V2)</f>
        <v/>
      </c>
    </row>
    <row r="3" spans="1:23" x14ac:dyDescent="0.3">
      <c r="A3" s="4" t="str">
        <f>IF(T3="","",IFERROR(INDEX(激励事件明细!$C$2:$C$501,MATCH(T3,激励事件明细!$A$2:$A$501,0)),""))</f>
        <v/>
      </c>
      <c r="B3" s="4" t="str">
        <f>IF(A3="","",IFERROR(INDEX(激励事件明细!$D$2:$D$501,MATCH(T3,激励事件明细!$A$2:$A$501,0)),""))</f>
        <v/>
      </c>
      <c r="C3" s="4" t="str">
        <f>IF(A3="","",IFERROR(INDEX(激励事件明细!$H$2:$H$501,MATCH(T3,激励事件明细!$A$2:$A$501,0)),""))</f>
        <v/>
      </c>
      <c r="D3" s="9"/>
      <c r="E3" s="9"/>
      <c r="F3" s="15" t="str">
        <f>IF(A3="","",IFERROR(INDEX(激励事件明细!$AA$2:$AA$501,MATCH(T3,激励事件明细!$A$2:$A$501,0)),""))</f>
        <v/>
      </c>
      <c r="G3" s="17" t="str">
        <f>IF(A3="","",IFERROR(INDEX(激励事件明细!$AB$2:$AB$501,MATCH(T3,激励事件明细!$A$2:$A$501,0)),""))</f>
        <v/>
      </c>
      <c r="H3" s="17" t="str">
        <f>IF(A3="","",IFERROR(INDEX(激励事件明细!$AC$2:$AC$501,MATCH(T3,激励事件明细!$A$2:$A$501,0)),""))</f>
        <v/>
      </c>
      <c r="I3" s="13"/>
      <c r="J3" s="14"/>
      <c r="K3" s="14"/>
      <c r="L3" s="9"/>
      <c r="M3" s="15" t="str">
        <f t="shared" si="0"/>
        <v/>
      </c>
      <c r="N3" s="15" t="str">
        <f t="shared" si="1"/>
        <v/>
      </c>
      <c r="O3" s="4" t="str">
        <f t="shared" ca="1" si="2"/>
        <v/>
      </c>
      <c r="P3" s="17" t="str">
        <f>IF(A3="","",IFERROR(IF(INDEX(激励事件明细!$P$2:$P$501,MATCH(T3,激励事件明细!$A$2:$A$501,0))=0,"",INDEX(激励事件明细!$P$2:$P$501,MATCH(T3,激励事件明细!$A$2:$A$501,0))),""))</f>
        <v/>
      </c>
      <c r="Q3" s="4" t="str">
        <f t="shared" si="3"/>
        <v>无效</v>
      </c>
      <c r="R3" s="4" t="str">
        <f t="shared" ca="1" si="4"/>
        <v>异常：必须关联有效事件编号或税额批次</v>
      </c>
      <c r="S3" s="9"/>
      <c r="T3" s="4" t="str">
        <f>IF(D3&lt;&gt;"",IF(COUNTIF(激励事件明细!$A$2:$A$501,D3)=1,D3,""),IF(E3&lt;&gt;"",IFERROR(INDEX(激励事件明细!$A$2:$A$501,MATCH(E3,激励事件明细!$B$2:$B$501,0)),""),""))</f>
        <v/>
      </c>
      <c r="U3" s="4" t="str">
        <f>IF(T3="","",IFERROR(INDEX(激励事件明细!$B$2:$B$501,MATCH(T3,激励事件明细!$A$2:$A$501,0)),""))</f>
        <v/>
      </c>
      <c r="V3" s="4" t="str">
        <f>IF(A3="","",COUNTIF($A$2:A3,A3))</f>
        <v/>
      </c>
      <c r="W3" s="4" t="str">
        <f t="shared" si="5"/>
        <v/>
      </c>
    </row>
    <row r="4" spans="1:23" x14ac:dyDescent="0.3">
      <c r="A4" s="4" t="str">
        <f>IF(T4="","",IFERROR(INDEX(激励事件明细!$C$2:$C$501,MATCH(T4,激励事件明细!$A$2:$A$501,0)),""))</f>
        <v/>
      </c>
      <c r="B4" s="4" t="str">
        <f>IF(A4="","",IFERROR(INDEX(激励事件明细!$D$2:$D$501,MATCH(T4,激励事件明细!$A$2:$A$501,0)),""))</f>
        <v/>
      </c>
      <c r="C4" s="4" t="str">
        <f>IF(A4="","",IFERROR(INDEX(激励事件明细!$H$2:$H$501,MATCH(T4,激励事件明细!$A$2:$A$501,0)),""))</f>
        <v/>
      </c>
      <c r="D4" s="9"/>
      <c r="E4" s="9"/>
      <c r="F4" s="15" t="str">
        <f>IF(A4="","",IFERROR(INDEX(激励事件明细!$AA$2:$AA$501,MATCH(T4,激励事件明细!$A$2:$A$501,0)),""))</f>
        <v/>
      </c>
      <c r="G4" s="17" t="str">
        <f>IF(A4="","",IFERROR(INDEX(激励事件明细!$AB$2:$AB$501,MATCH(T4,激励事件明细!$A$2:$A$501,0)),""))</f>
        <v/>
      </c>
      <c r="H4" s="17" t="str">
        <f>IF(A4="","",IFERROR(INDEX(激励事件明细!$AC$2:$AC$501,MATCH(T4,激励事件明细!$A$2:$A$501,0)),""))</f>
        <v/>
      </c>
      <c r="I4" s="13"/>
      <c r="J4" s="14"/>
      <c r="K4" s="14"/>
      <c r="L4" s="9"/>
      <c r="M4" s="15" t="str">
        <f t="shared" si="0"/>
        <v/>
      </c>
      <c r="N4" s="15" t="str">
        <f t="shared" si="1"/>
        <v/>
      </c>
      <c r="O4" s="4" t="str">
        <f t="shared" ca="1" si="2"/>
        <v/>
      </c>
      <c r="P4" s="17" t="str">
        <f>IF(A4="","",IFERROR(IF(INDEX(激励事件明细!$P$2:$P$501,MATCH(T4,激励事件明细!$A$2:$A$501,0))=0,"",INDEX(激励事件明细!$P$2:$P$501,MATCH(T4,激励事件明细!$A$2:$A$501,0))),""))</f>
        <v/>
      </c>
      <c r="Q4" s="4" t="str">
        <f t="shared" si="3"/>
        <v>无效</v>
      </c>
      <c r="R4" s="4" t="str">
        <f t="shared" ca="1" si="4"/>
        <v>异常：必须关联有效事件编号或税额批次</v>
      </c>
      <c r="S4" s="9"/>
      <c r="T4" s="4" t="str">
        <f>IF(D4&lt;&gt;"",IF(COUNTIF(激励事件明细!$A$2:$A$501,D4)=1,D4,""),IF(E4&lt;&gt;"",IFERROR(INDEX(激励事件明细!$A$2:$A$501,MATCH(E4,激励事件明细!$B$2:$B$501,0)),""),""))</f>
        <v/>
      </c>
      <c r="U4" s="4" t="str">
        <f>IF(T4="","",IFERROR(INDEX(激励事件明细!$B$2:$B$501,MATCH(T4,激励事件明细!$A$2:$A$501,0)),""))</f>
        <v/>
      </c>
      <c r="V4" s="4" t="str">
        <f>IF(A4="","",COUNTIF($A$2:A4,A4))</f>
        <v/>
      </c>
      <c r="W4" s="4" t="str">
        <f t="shared" si="5"/>
        <v/>
      </c>
    </row>
    <row r="5" spans="1:23" x14ac:dyDescent="0.3">
      <c r="A5" s="4" t="str">
        <f>IF(T5="","",IFERROR(INDEX(激励事件明细!$C$2:$C$501,MATCH(T5,激励事件明细!$A$2:$A$501,0)),""))</f>
        <v/>
      </c>
      <c r="B5" s="4" t="str">
        <f>IF(A5="","",IFERROR(INDEX(激励事件明细!$D$2:$D$501,MATCH(T5,激励事件明细!$A$2:$A$501,0)),""))</f>
        <v/>
      </c>
      <c r="C5" s="4" t="str">
        <f>IF(A5="","",IFERROR(INDEX(激励事件明细!$H$2:$H$501,MATCH(T5,激励事件明细!$A$2:$A$501,0)),""))</f>
        <v/>
      </c>
      <c r="D5" s="9"/>
      <c r="E5" s="9"/>
      <c r="F5" s="15" t="str">
        <f>IF(A5="","",IFERROR(INDEX(激励事件明细!$AA$2:$AA$501,MATCH(T5,激励事件明细!$A$2:$A$501,0)),""))</f>
        <v/>
      </c>
      <c r="G5" s="17" t="str">
        <f>IF(A5="","",IFERROR(INDEX(激励事件明细!$AB$2:$AB$501,MATCH(T5,激励事件明细!$A$2:$A$501,0)),""))</f>
        <v/>
      </c>
      <c r="H5" s="17" t="str">
        <f>IF(A5="","",IFERROR(INDEX(激励事件明细!$AC$2:$AC$501,MATCH(T5,激励事件明细!$A$2:$A$501,0)),""))</f>
        <v/>
      </c>
      <c r="I5" s="13"/>
      <c r="J5" s="14"/>
      <c r="K5" s="14"/>
      <c r="L5" s="9"/>
      <c r="M5" s="15" t="str">
        <f t="shared" si="0"/>
        <v/>
      </c>
      <c r="N5" s="15" t="str">
        <f t="shared" si="1"/>
        <v/>
      </c>
      <c r="O5" s="4" t="str">
        <f t="shared" ca="1" si="2"/>
        <v/>
      </c>
      <c r="P5" s="17" t="str">
        <f>IF(A5="","",IFERROR(IF(INDEX(激励事件明细!$P$2:$P$501,MATCH(T5,激励事件明细!$A$2:$A$501,0))=0,"",INDEX(激励事件明细!$P$2:$P$501,MATCH(T5,激励事件明细!$A$2:$A$501,0))),""))</f>
        <v/>
      </c>
      <c r="Q5" s="4" t="str">
        <f t="shared" si="3"/>
        <v>无效</v>
      </c>
      <c r="R5" s="4" t="str">
        <f t="shared" ca="1" si="4"/>
        <v>异常：必须关联有效事件编号或税额批次</v>
      </c>
      <c r="S5" s="9"/>
      <c r="T5" s="4" t="str">
        <f>IF(D5&lt;&gt;"",IF(COUNTIF(激励事件明细!$A$2:$A$501,D5)=1,D5,""),IF(E5&lt;&gt;"",IFERROR(INDEX(激励事件明细!$A$2:$A$501,MATCH(E5,激励事件明细!$B$2:$B$501,0)),""),""))</f>
        <v/>
      </c>
      <c r="U5" s="4" t="str">
        <f>IF(T5="","",IFERROR(INDEX(激励事件明细!$B$2:$B$501,MATCH(T5,激励事件明细!$A$2:$A$501,0)),""))</f>
        <v/>
      </c>
      <c r="V5" s="4" t="str">
        <f>IF(A5="","",COUNTIF($A$2:A5,A5))</f>
        <v/>
      </c>
      <c r="W5" s="4" t="str">
        <f t="shared" si="5"/>
        <v/>
      </c>
    </row>
    <row r="6" spans="1:23" x14ac:dyDescent="0.3">
      <c r="A6" s="4" t="str">
        <f>IF(T6="","",IFERROR(INDEX(激励事件明细!$C$2:$C$501,MATCH(T6,激励事件明细!$A$2:$A$501,0)),""))</f>
        <v/>
      </c>
      <c r="B6" s="4" t="str">
        <f>IF(A6="","",IFERROR(INDEX(激励事件明细!$D$2:$D$501,MATCH(T6,激励事件明细!$A$2:$A$501,0)),""))</f>
        <v/>
      </c>
      <c r="C6" s="4" t="str">
        <f>IF(A6="","",IFERROR(INDEX(激励事件明细!$H$2:$H$501,MATCH(T6,激励事件明细!$A$2:$A$501,0)),""))</f>
        <v/>
      </c>
      <c r="D6" s="9"/>
      <c r="E6" s="9"/>
      <c r="F6" s="15" t="str">
        <f>IF(A6="","",IFERROR(INDEX(激励事件明细!$AA$2:$AA$501,MATCH(T6,激励事件明细!$A$2:$A$501,0)),""))</f>
        <v/>
      </c>
      <c r="G6" s="17" t="str">
        <f>IF(A6="","",IFERROR(INDEX(激励事件明细!$AB$2:$AB$501,MATCH(T6,激励事件明细!$A$2:$A$501,0)),""))</f>
        <v/>
      </c>
      <c r="H6" s="17" t="str">
        <f>IF(A6="","",IFERROR(INDEX(激励事件明细!$AC$2:$AC$501,MATCH(T6,激励事件明细!$A$2:$A$501,0)),""))</f>
        <v/>
      </c>
      <c r="I6" s="13"/>
      <c r="J6" s="14"/>
      <c r="K6" s="14"/>
      <c r="L6" s="9"/>
      <c r="M6" s="15" t="str">
        <f t="shared" si="0"/>
        <v/>
      </c>
      <c r="N6" s="15" t="str">
        <f t="shared" si="1"/>
        <v/>
      </c>
      <c r="O6" s="4" t="str">
        <f t="shared" ca="1" si="2"/>
        <v/>
      </c>
      <c r="P6" s="17" t="str">
        <f>IF(A6="","",IFERROR(IF(INDEX(激励事件明细!$P$2:$P$501,MATCH(T6,激励事件明细!$A$2:$A$501,0))=0,"",INDEX(激励事件明细!$P$2:$P$501,MATCH(T6,激励事件明细!$A$2:$A$501,0))),""))</f>
        <v/>
      </c>
      <c r="Q6" s="4" t="str">
        <f t="shared" si="3"/>
        <v>无效</v>
      </c>
      <c r="R6" s="4" t="str">
        <f t="shared" ca="1" si="4"/>
        <v>异常：必须关联有效事件编号或税额批次</v>
      </c>
      <c r="S6" s="9"/>
      <c r="T6" s="4" t="str">
        <f>IF(D6&lt;&gt;"",IF(COUNTIF(激励事件明细!$A$2:$A$501,D6)=1,D6,""),IF(E6&lt;&gt;"",IFERROR(INDEX(激励事件明细!$A$2:$A$501,MATCH(E6,激励事件明细!$B$2:$B$501,0)),""),""))</f>
        <v/>
      </c>
      <c r="U6" s="4" t="str">
        <f>IF(T6="","",IFERROR(INDEX(激励事件明细!$B$2:$B$501,MATCH(T6,激励事件明细!$A$2:$A$501,0)),""))</f>
        <v/>
      </c>
      <c r="V6" s="4" t="str">
        <f>IF(A6="","",COUNTIF($A$2:A6,A6))</f>
        <v/>
      </c>
      <c r="W6" s="4" t="str">
        <f t="shared" si="5"/>
        <v/>
      </c>
    </row>
    <row r="7" spans="1:23" x14ac:dyDescent="0.3">
      <c r="A7" s="4" t="str">
        <f>IF(T7="","",IFERROR(INDEX(激励事件明细!$C$2:$C$501,MATCH(T7,激励事件明细!$A$2:$A$501,0)),""))</f>
        <v/>
      </c>
      <c r="B7" s="4" t="str">
        <f>IF(A7="","",IFERROR(INDEX(激励事件明细!$D$2:$D$501,MATCH(T7,激励事件明细!$A$2:$A$501,0)),""))</f>
        <v/>
      </c>
      <c r="C7" s="4" t="str">
        <f>IF(A7="","",IFERROR(INDEX(激励事件明细!$H$2:$H$501,MATCH(T7,激励事件明细!$A$2:$A$501,0)),""))</f>
        <v/>
      </c>
      <c r="D7" s="9"/>
      <c r="E7" s="9"/>
      <c r="F7" s="15" t="str">
        <f>IF(A7="","",IFERROR(INDEX(激励事件明细!$AA$2:$AA$501,MATCH(T7,激励事件明细!$A$2:$A$501,0)),""))</f>
        <v/>
      </c>
      <c r="G7" s="17" t="str">
        <f>IF(A7="","",IFERROR(INDEX(激励事件明细!$AB$2:$AB$501,MATCH(T7,激励事件明细!$A$2:$A$501,0)),""))</f>
        <v/>
      </c>
      <c r="H7" s="17" t="str">
        <f>IF(A7="","",IFERROR(INDEX(激励事件明细!$AC$2:$AC$501,MATCH(T7,激励事件明细!$A$2:$A$501,0)),""))</f>
        <v/>
      </c>
      <c r="I7" s="13"/>
      <c r="J7" s="14"/>
      <c r="K7" s="14"/>
      <c r="L7" s="9"/>
      <c r="M7" s="15" t="str">
        <f t="shared" si="0"/>
        <v/>
      </c>
      <c r="N7" s="15" t="str">
        <f t="shared" si="1"/>
        <v/>
      </c>
      <c r="O7" s="4" t="str">
        <f t="shared" ca="1" si="2"/>
        <v/>
      </c>
      <c r="P7" s="17" t="str">
        <f>IF(A7="","",IFERROR(IF(INDEX(激励事件明细!$P$2:$P$501,MATCH(T7,激励事件明细!$A$2:$A$501,0))=0,"",INDEX(激励事件明细!$P$2:$P$501,MATCH(T7,激励事件明细!$A$2:$A$501,0))),""))</f>
        <v/>
      </c>
      <c r="Q7" s="4" t="str">
        <f t="shared" si="3"/>
        <v>无效</v>
      </c>
      <c r="R7" s="4" t="str">
        <f t="shared" ca="1" si="4"/>
        <v>异常：必须关联有效事件编号或税额批次</v>
      </c>
      <c r="S7" s="9"/>
      <c r="T7" s="4" t="str">
        <f>IF(D7&lt;&gt;"",IF(COUNTIF(激励事件明细!$A$2:$A$501,D7)=1,D7,""),IF(E7&lt;&gt;"",IFERROR(INDEX(激励事件明细!$A$2:$A$501,MATCH(E7,激励事件明细!$B$2:$B$501,0)),""),""))</f>
        <v/>
      </c>
      <c r="U7" s="4" t="str">
        <f>IF(T7="","",IFERROR(INDEX(激励事件明细!$B$2:$B$501,MATCH(T7,激励事件明细!$A$2:$A$501,0)),""))</f>
        <v/>
      </c>
      <c r="V7" s="4" t="str">
        <f>IF(A7="","",COUNTIF($A$2:A7,A7))</f>
        <v/>
      </c>
      <c r="W7" s="4" t="str">
        <f t="shared" si="5"/>
        <v/>
      </c>
    </row>
    <row r="8" spans="1:23" x14ac:dyDescent="0.3">
      <c r="A8" s="4" t="str">
        <f>IF(T8="","",IFERROR(INDEX(激励事件明细!$C$2:$C$501,MATCH(T8,激励事件明细!$A$2:$A$501,0)),""))</f>
        <v/>
      </c>
      <c r="B8" s="4" t="str">
        <f>IF(A8="","",IFERROR(INDEX(激励事件明细!$D$2:$D$501,MATCH(T8,激励事件明细!$A$2:$A$501,0)),""))</f>
        <v/>
      </c>
      <c r="C8" s="4" t="str">
        <f>IF(A8="","",IFERROR(INDEX(激励事件明细!$H$2:$H$501,MATCH(T8,激励事件明细!$A$2:$A$501,0)),""))</f>
        <v/>
      </c>
      <c r="D8" s="9"/>
      <c r="E8" s="9"/>
      <c r="F8" s="15" t="str">
        <f>IF(A8="","",IFERROR(INDEX(激励事件明细!$AA$2:$AA$501,MATCH(T8,激励事件明细!$A$2:$A$501,0)),""))</f>
        <v/>
      </c>
      <c r="G8" s="17" t="str">
        <f>IF(A8="","",IFERROR(INDEX(激励事件明细!$AB$2:$AB$501,MATCH(T8,激励事件明细!$A$2:$A$501,0)),""))</f>
        <v/>
      </c>
      <c r="H8" s="17" t="str">
        <f>IF(A8="","",IFERROR(INDEX(激励事件明细!$AC$2:$AC$501,MATCH(T8,激励事件明细!$A$2:$A$501,0)),""))</f>
        <v/>
      </c>
      <c r="I8" s="13"/>
      <c r="J8" s="14"/>
      <c r="K8" s="14"/>
      <c r="L8" s="9"/>
      <c r="M8" s="15" t="str">
        <f t="shared" si="0"/>
        <v/>
      </c>
      <c r="N8" s="15" t="str">
        <f t="shared" si="1"/>
        <v/>
      </c>
      <c r="O8" s="4" t="str">
        <f t="shared" ca="1" si="2"/>
        <v/>
      </c>
      <c r="P8" s="17" t="str">
        <f>IF(A8="","",IFERROR(IF(INDEX(激励事件明细!$P$2:$P$501,MATCH(T8,激励事件明细!$A$2:$A$501,0))=0,"",INDEX(激励事件明细!$P$2:$P$501,MATCH(T8,激励事件明细!$A$2:$A$501,0))),""))</f>
        <v/>
      </c>
      <c r="Q8" s="4" t="str">
        <f t="shared" si="3"/>
        <v>无效</v>
      </c>
      <c r="R8" s="4" t="str">
        <f t="shared" ca="1" si="4"/>
        <v>异常：必须关联有效事件编号或税额批次</v>
      </c>
      <c r="S8" s="9"/>
      <c r="T8" s="4" t="str">
        <f>IF(D8&lt;&gt;"",IF(COUNTIF(激励事件明细!$A$2:$A$501,D8)=1,D8,""),IF(E8&lt;&gt;"",IFERROR(INDEX(激励事件明细!$A$2:$A$501,MATCH(E8,激励事件明细!$B$2:$B$501,0)),""),""))</f>
        <v/>
      </c>
      <c r="U8" s="4" t="str">
        <f>IF(T8="","",IFERROR(INDEX(激励事件明细!$B$2:$B$501,MATCH(T8,激励事件明细!$A$2:$A$501,0)),""))</f>
        <v/>
      </c>
      <c r="V8" s="4" t="str">
        <f>IF(A8="","",COUNTIF($A$2:A8,A8))</f>
        <v/>
      </c>
      <c r="W8" s="4" t="str">
        <f t="shared" si="5"/>
        <v/>
      </c>
    </row>
    <row r="9" spans="1:23" x14ac:dyDescent="0.3">
      <c r="A9" s="4" t="str">
        <f>IF(T9="","",IFERROR(INDEX(激励事件明细!$C$2:$C$501,MATCH(T9,激励事件明细!$A$2:$A$501,0)),""))</f>
        <v/>
      </c>
      <c r="B9" s="4" t="str">
        <f>IF(A9="","",IFERROR(INDEX(激励事件明细!$D$2:$D$501,MATCH(T9,激励事件明细!$A$2:$A$501,0)),""))</f>
        <v/>
      </c>
      <c r="C9" s="4" t="str">
        <f>IF(A9="","",IFERROR(INDEX(激励事件明细!$H$2:$H$501,MATCH(T9,激励事件明细!$A$2:$A$501,0)),""))</f>
        <v/>
      </c>
      <c r="D9" s="9"/>
      <c r="E9" s="9"/>
      <c r="F9" s="15" t="str">
        <f>IF(A9="","",IFERROR(INDEX(激励事件明细!$AA$2:$AA$501,MATCH(T9,激励事件明细!$A$2:$A$501,0)),""))</f>
        <v/>
      </c>
      <c r="G9" s="17" t="str">
        <f>IF(A9="","",IFERROR(INDEX(激励事件明细!$AB$2:$AB$501,MATCH(T9,激励事件明细!$A$2:$A$501,0)),""))</f>
        <v/>
      </c>
      <c r="H9" s="17" t="str">
        <f>IF(A9="","",IFERROR(INDEX(激励事件明细!$AC$2:$AC$501,MATCH(T9,激励事件明细!$A$2:$A$501,0)),""))</f>
        <v/>
      </c>
      <c r="I9" s="13"/>
      <c r="J9" s="14"/>
      <c r="K9" s="14"/>
      <c r="L9" s="9"/>
      <c r="M9" s="15" t="str">
        <f t="shared" si="0"/>
        <v/>
      </c>
      <c r="N9" s="15" t="str">
        <f t="shared" si="1"/>
        <v/>
      </c>
      <c r="O9" s="4" t="str">
        <f t="shared" ca="1" si="2"/>
        <v/>
      </c>
      <c r="P9" s="17" t="str">
        <f>IF(A9="","",IFERROR(IF(INDEX(激励事件明细!$P$2:$P$501,MATCH(T9,激励事件明细!$A$2:$A$501,0))=0,"",INDEX(激励事件明细!$P$2:$P$501,MATCH(T9,激励事件明细!$A$2:$A$501,0))),""))</f>
        <v/>
      </c>
      <c r="Q9" s="4" t="str">
        <f t="shared" si="3"/>
        <v>无效</v>
      </c>
      <c r="R9" s="4" t="str">
        <f t="shared" ca="1" si="4"/>
        <v>异常：必须关联有效事件编号或税额批次</v>
      </c>
      <c r="S9" s="9"/>
      <c r="T9" s="4" t="str">
        <f>IF(D9&lt;&gt;"",IF(COUNTIF(激励事件明细!$A$2:$A$501,D9)=1,D9,""),IF(E9&lt;&gt;"",IFERROR(INDEX(激励事件明细!$A$2:$A$501,MATCH(E9,激励事件明细!$B$2:$B$501,0)),""),""))</f>
        <v/>
      </c>
      <c r="U9" s="4" t="str">
        <f>IF(T9="","",IFERROR(INDEX(激励事件明细!$B$2:$B$501,MATCH(T9,激励事件明细!$A$2:$A$501,0)),""))</f>
        <v/>
      </c>
      <c r="V9" s="4" t="str">
        <f>IF(A9="","",COUNTIF($A$2:A9,A9))</f>
        <v/>
      </c>
      <c r="W9" s="4" t="str">
        <f t="shared" si="5"/>
        <v/>
      </c>
    </row>
    <row r="10" spans="1:23" x14ac:dyDescent="0.3">
      <c r="A10" s="4" t="str">
        <f>IF(T10="","",IFERROR(INDEX(激励事件明细!$C$2:$C$501,MATCH(T10,激励事件明细!$A$2:$A$501,0)),""))</f>
        <v/>
      </c>
      <c r="B10" s="4" t="str">
        <f>IF(A10="","",IFERROR(INDEX(激励事件明细!$D$2:$D$501,MATCH(T10,激励事件明细!$A$2:$A$501,0)),""))</f>
        <v/>
      </c>
      <c r="C10" s="4" t="str">
        <f>IF(A10="","",IFERROR(INDEX(激励事件明细!$H$2:$H$501,MATCH(T10,激励事件明细!$A$2:$A$501,0)),""))</f>
        <v/>
      </c>
      <c r="D10" s="9"/>
      <c r="E10" s="9"/>
      <c r="F10" s="15" t="str">
        <f>IF(A10="","",IFERROR(INDEX(激励事件明细!$AA$2:$AA$501,MATCH(T10,激励事件明细!$A$2:$A$501,0)),""))</f>
        <v/>
      </c>
      <c r="G10" s="17" t="str">
        <f>IF(A10="","",IFERROR(INDEX(激励事件明细!$AB$2:$AB$501,MATCH(T10,激励事件明细!$A$2:$A$501,0)),""))</f>
        <v/>
      </c>
      <c r="H10" s="17" t="str">
        <f>IF(A10="","",IFERROR(INDEX(激励事件明细!$AC$2:$AC$501,MATCH(T10,激励事件明细!$A$2:$A$501,0)),""))</f>
        <v/>
      </c>
      <c r="I10" s="13"/>
      <c r="J10" s="14"/>
      <c r="K10" s="14"/>
      <c r="L10" s="9"/>
      <c r="M10" s="15" t="str">
        <f t="shared" si="0"/>
        <v/>
      </c>
      <c r="N10" s="15" t="str">
        <f t="shared" si="1"/>
        <v/>
      </c>
      <c r="O10" s="4" t="str">
        <f t="shared" ca="1" si="2"/>
        <v/>
      </c>
      <c r="P10" s="17" t="str">
        <f>IF(A10="","",IFERROR(IF(INDEX(激励事件明细!$P$2:$P$501,MATCH(T10,激励事件明细!$A$2:$A$501,0))=0,"",INDEX(激励事件明细!$P$2:$P$501,MATCH(T10,激励事件明细!$A$2:$A$501,0))),""))</f>
        <v/>
      </c>
      <c r="Q10" s="4" t="str">
        <f t="shared" si="3"/>
        <v>无效</v>
      </c>
      <c r="R10" s="4" t="str">
        <f t="shared" ca="1" si="4"/>
        <v>异常：必须关联有效事件编号或税额批次</v>
      </c>
      <c r="S10" s="9"/>
      <c r="T10" s="4" t="str">
        <f>IF(D10&lt;&gt;"",IF(COUNTIF(激励事件明细!$A$2:$A$501,D10)=1,D10,""),IF(E10&lt;&gt;"",IFERROR(INDEX(激励事件明细!$A$2:$A$501,MATCH(E10,激励事件明细!$B$2:$B$501,0)),""),""))</f>
        <v/>
      </c>
      <c r="U10" s="4" t="str">
        <f>IF(T10="","",IFERROR(INDEX(激励事件明细!$B$2:$B$501,MATCH(T10,激励事件明细!$A$2:$A$501,0)),""))</f>
        <v/>
      </c>
      <c r="V10" s="4" t="str">
        <f>IF(A10="","",COUNTIF($A$2:A10,A10))</f>
        <v/>
      </c>
      <c r="W10" s="4" t="str">
        <f t="shared" si="5"/>
        <v/>
      </c>
    </row>
    <row r="11" spans="1:23" x14ac:dyDescent="0.3">
      <c r="A11" s="4" t="str">
        <f>IF(T11="","",IFERROR(INDEX(激励事件明细!$C$2:$C$501,MATCH(T11,激励事件明细!$A$2:$A$501,0)),""))</f>
        <v/>
      </c>
      <c r="B11" s="4" t="str">
        <f>IF(A11="","",IFERROR(INDEX(激励事件明细!$D$2:$D$501,MATCH(T11,激励事件明细!$A$2:$A$501,0)),""))</f>
        <v/>
      </c>
      <c r="C11" s="4" t="str">
        <f>IF(A11="","",IFERROR(INDEX(激励事件明细!$H$2:$H$501,MATCH(T11,激励事件明细!$A$2:$A$501,0)),""))</f>
        <v/>
      </c>
      <c r="D11" s="9"/>
      <c r="E11" s="9"/>
      <c r="F11" s="15" t="str">
        <f>IF(A11="","",IFERROR(INDEX(激励事件明细!$AA$2:$AA$501,MATCH(T11,激励事件明细!$A$2:$A$501,0)),""))</f>
        <v/>
      </c>
      <c r="G11" s="17" t="str">
        <f>IF(A11="","",IFERROR(INDEX(激励事件明细!$AB$2:$AB$501,MATCH(T11,激励事件明细!$A$2:$A$501,0)),""))</f>
        <v/>
      </c>
      <c r="H11" s="17" t="str">
        <f>IF(A11="","",IFERROR(INDEX(激励事件明细!$AC$2:$AC$501,MATCH(T11,激励事件明细!$A$2:$A$501,0)),""))</f>
        <v/>
      </c>
      <c r="I11" s="13"/>
      <c r="J11" s="14"/>
      <c r="K11" s="14"/>
      <c r="L11" s="9"/>
      <c r="M11" s="15" t="str">
        <f t="shared" si="0"/>
        <v/>
      </c>
      <c r="N11" s="15" t="str">
        <f t="shared" si="1"/>
        <v/>
      </c>
      <c r="O11" s="4" t="str">
        <f t="shared" ca="1" si="2"/>
        <v/>
      </c>
      <c r="P11" s="17" t="str">
        <f>IF(A11="","",IFERROR(IF(INDEX(激励事件明细!$P$2:$P$501,MATCH(T11,激励事件明细!$A$2:$A$501,0))=0,"",INDEX(激励事件明细!$P$2:$P$501,MATCH(T11,激励事件明细!$A$2:$A$501,0))),""))</f>
        <v/>
      </c>
      <c r="Q11" s="4" t="str">
        <f t="shared" si="3"/>
        <v>无效</v>
      </c>
      <c r="R11" s="4" t="str">
        <f t="shared" ca="1" si="4"/>
        <v>异常：必须关联有效事件编号或税额批次</v>
      </c>
      <c r="S11" s="9"/>
      <c r="T11" s="4" t="str">
        <f>IF(D11&lt;&gt;"",IF(COUNTIF(激励事件明细!$A$2:$A$501,D11)=1,D11,""),IF(E11&lt;&gt;"",IFERROR(INDEX(激励事件明细!$A$2:$A$501,MATCH(E11,激励事件明细!$B$2:$B$501,0)),""),""))</f>
        <v/>
      </c>
      <c r="U11" s="4" t="str">
        <f>IF(T11="","",IFERROR(INDEX(激励事件明细!$B$2:$B$501,MATCH(T11,激励事件明细!$A$2:$A$501,0)),""))</f>
        <v/>
      </c>
      <c r="V11" s="4" t="str">
        <f>IF(A11="","",COUNTIF($A$2:A11,A11))</f>
        <v/>
      </c>
      <c r="W11" s="4" t="str">
        <f t="shared" si="5"/>
        <v/>
      </c>
    </row>
    <row r="12" spans="1:23" x14ac:dyDescent="0.3">
      <c r="A12" s="4" t="str">
        <f>IF(T12="","",IFERROR(INDEX(激励事件明细!$C$2:$C$501,MATCH(T12,激励事件明细!$A$2:$A$501,0)),""))</f>
        <v/>
      </c>
      <c r="B12" s="4" t="str">
        <f>IF(A12="","",IFERROR(INDEX(激励事件明细!$D$2:$D$501,MATCH(T12,激励事件明细!$A$2:$A$501,0)),""))</f>
        <v/>
      </c>
      <c r="C12" s="4" t="str">
        <f>IF(A12="","",IFERROR(INDEX(激励事件明细!$H$2:$H$501,MATCH(T12,激励事件明细!$A$2:$A$501,0)),""))</f>
        <v/>
      </c>
      <c r="D12" s="9"/>
      <c r="E12" s="9"/>
      <c r="F12" s="15" t="str">
        <f>IF(A12="","",IFERROR(INDEX(激励事件明细!$AA$2:$AA$501,MATCH(T12,激励事件明细!$A$2:$A$501,0)),""))</f>
        <v/>
      </c>
      <c r="G12" s="17" t="str">
        <f>IF(A12="","",IFERROR(INDEX(激励事件明细!$AB$2:$AB$501,MATCH(T12,激励事件明细!$A$2:$A$501,0)),""))</f>
        <v/>
      </c>
      <c r="H12" s="17" t="str">
        <f>IF(A12="","",IFERROR(INDEX(激励事件明细!$AC$2:$AC$501,MATCH(T12,激励事件明细!$A$2:$A$501,0)),""))</f>
        <v/>
      </c>
      <c r="I12" s="13"/>
      <c r="J12" s="14"/>
      <c r="K12" s="14"/>
      <c r="L12" s="9"/>
      <c r="M12" s="15" t="str">
        <f t="shared" si="0"/>
        <v/>
      </c>
      <c r="N12" s="15" t="str">
        <f t="shared" si="1"/>
        <v/>
      </c>
      <c r="O12" s="4" t="str">
        <f t="shared" ca="1" si="2"/>
        <v/>
      </c>
      <c r="P12" s="17" t="str">
        <f>IF(A12="","",IFERROR(IF(INDEX(激励事件明细!$P$2:$P$501,MATCH(T12,激励事件明细!$A$2:$A$501,0))=0,"",INDEX(激励事件明细!$P$2:$P$501,MATCH(T12,激励事件明细!$A$2:$A$501,0))),""))</f>
        <v/>
      </c>
      <c r="Q12" s="4" t="str">
        <f t="shared" si="3"/>
        <v>无效</v>
      </c>
      <c r="R12" s="4" t="str">
        <f t="shared" ca="1" si="4"/>
        <v>异常：必须关联有效事件编号或税额批次</v>
      </c>
      <c r="S12" s="9"/>
      <c r="T12" s="4" t="str">
        <f>IF(D12&lt;&gt;"",IF(COUNTIF(激励事件明细!$A$2:$A$501,D12)=1,D12,""),IF(E12&lt;&gt;"",IFERROR(INDEX(激励事件明细!$A$2:$A$501,MATCH(E12,激励事件明细!$B$2:$B$501,0)),""),""))</f>
        <v/>
      </c>
      <c r="U12" s="4" t="str">
        <f>IF(T12="","",IFERROR(INDEX(激励事件明细!$B$2:$B$501,MATCH(T12,激励事件明细!$A$2:$A$501,0)),""))</f>
        <v/>
      </c>
      <c r="V12" s="4" t="str">
        <f>IF(A12="","",COUNTIF($A$2:A12,A12))</f>
        <v/>
      </c>
      <c r="W12" s="4" t="str">
        <f t="shared" si="5"/>
        <v/>
      </c>
    </row>
    <row r="13" spans="1:23" x14ac:dyDescent="0.3">
      <c r="A13" s="4" t="str">
        <f>IF(T13="","",IFERROR(INDEX(激励事件明细!$C$2:$C$501,MATCH(T13,激励事件明细!$A$2:$A$501,0)),""))</f>
        <v/>
      </c>
      <c r="B13" s="4" t="str">
        <f>IF(A13="","",IFERROR(INDEX(激励事件明细!$D$2:$D$501,MATCH(T13,激励事件明细!$A$2:$A$501,0)),""))</f>
        <v/>
      </c>
      <c r="C13" s="4" t="str">
        <f>IF(A13="","",IFERROR(INDEX(激励事件明细!$H$2:$H$501,MATCH(T13,激励事件明细!$A$2:$A$501,0)),""))</f>
        <v/>
      </c>
      <c r="D13" s="9"/>
      <c r="E13" s="9"/>
      <c r="F13" s="15" t="str">
        <f>IF(A13="","",IFERROR(INDEX(激励事件明细!$AA$2:$AA$501,MATCH(T13,激励事件明细!$A$2:$A$501,0)),""))</f>
        <v/>
      </c>
      <c r="G13" s="17" t="str">
        <f>IF(A13="","",IFERROR(INDEX(激励事件明细!$AB$2:$AB$501,MATCH(T13,激励事件明细!$A$2:$A$501,0)),""))</f>
        <v/>
      </c>
      <c r="H13" s="17" t="str">
        <f>IF(A13="","",IFERROR(INDEX(激励事件明细!$AC$2:$AC$501,MATCH(T13,激励事件明细!$A$2:$A$501,0)),""))</f>
        <v/>
      </c>
      <c r="I13" s="13"/>
      <c r="J13" s="14"/>
      <c r="K13" s="14"/>
      <c r="L13" s="9"/>
      <c r="M13" s="15" t="str">
        <f t="shared" si="0"/>
        <v/>
      </c>
      <c r="N13" s="15" t="str">
        <f t="shared" si="1"/>
        <v/>
      </c>
      <c r="O13" s="4" t="str">
        <f t="shared" ca="1" si="2"/>
        <v/>
      </c>
      <c r="P13" s="17" t="str">
        <f>IF(A13="","",IFERROR(IF(INDEX(激励事件明细!$P$2:$P$501,MATCH(T13,激励事件明细!$A$2:$A$501,0))=0,"",INDEX(激励事件明细!$P$2:$P$501,MATCH(T13,激励事件明细!$A$2:$A$501,0))),""))</f>
        <v/>
      </c>
      <c r="Q13" s="4" t="str">
        <f t="shared" si="3"/>
        <v>无效</v>
      </c>
      <c r="R13" s="4" t="str">
        <f t="shared" ca="1" si="4"/>
        <v>异常：必须关联有效事件编号或税额批次</v>
      </c>
      <c r="S13" s="9"/>
      <c r="T13" s="4" t="str">
        <f>IF(D13&lt;&gt;"",IF(COUNTIF(激励事件明细!$A$2:$A$501,D13)=1,D13,""),IF(E13&lt;&gt;"",IFERROR(INDEX(激励事件明细!$A$2:$A$501,MATCH(E13,激励事件明细!$B$2:$B$501,0)),""),""))</f>
        <v/>
      </c>
      <c r="U13" s="4" t="str">
        <f>IF(T13="","",IFERROR(INDEX(激励事件明细!$B$2:$B$501,MATCH(T13,激励事件明细!$A$2:$A$501,0)),""))</f>
        <v/>
      </c>
      <c r="V13" s="4" t="str">
        <f>IF(A13="","",COUNTIF($A$2:A13,A13))</f>
        <v/>
      </c>
      <c r="W13" s="4" t="str">
        <f t="shared" si="5"/>
        <v/>
      </c>
    </row>
    <row r="14" spans="1:23" x14ac:dyDescent="0.3">
      <c r="A14" s="4" t="str">
        <f>IF(T14="","",IFERROR(INDEX(激励事件明细!$C$2:$C$501,MATCH(T14,激励事件明细!$A$2:$A$501,0)),""))</f>
        <v/>
      </c>
      <c r="B14" s="4" t="str">
        <f>IF(A14="","",IFERROR(INDEX(激励事件明细!$D$2:$D$501,MATCH(T14,激励事件明细!$A$2:$A$501,0)),""))</f>
        <v/>
      </c>
      <c r="C14" s="4" t="str">
        <f>IF(A14="","",IFERROR(INDEX(激励事件明细!$H$2:$H$501,MATCH(T14,激励事件明细!$A$2:$A$501,0)),""))</f>
        <v/>
      </c>
      <c r="D14" s="9"/>
      <c r="E14" s="9"/>
      <c r="F14" s="15" t="str">
        <f>IF(A14="","",IFERROR(INDEX(激励事件明细!$AA$2:$AA$501,MATCH(T14,激励事件明细!$A$2:$A$501,0)),""))</f>
        <v/>
      </c>
      <c r="G14" s="17" t="str">
        <f>IF(A14="","",IFERROR(INDEX(激励事件明细!$AB$2:$AB$501,MATCH(T14,激励事件明细!$A$2:$A$501,0)),""))</f>
        <v/>
      </c>
      <c r="H14" s="17" t="str">
        <f>IF(A14="","",IFERROR(INDEX(激励事件明细!$AC$2:$AC$501,MATCH(T14,激励事件明细!$A$2:$A$501,0)),""))</f>
        <v/>
      </c>
      <c r="I14" s="13"/>
      <c r="J14" s="14"/>
      <c r="K14" s="14"/>
      <c r="L14" s="9"/>
      <c r="M14" s="15" t="str">
        <f t="shared" si="0"/>
        <v/>
      </c>
      <c r="N14" s="15" t="str">
        <f t="shared" si="1"/>
        <v/>
      </c>
      <c r="O14" s="4" t="str">
        <f t="shared" ca="1" si="2"/>
        <v/>
      </c>
      <c r="P14" s="17" t="str">
        <f>IF(A14="","",IFERROR(IF(INDEX(激励事件明细!$P$2:$P$501,MATCH(T14,激励事件明细!$A$2:$A$501,0))=0,"",INDEX(激励事件明细!$P$2:$P$501,MATCH(T14,激励事件明细!$A$2:$A$501,0))),""))</f>
        <v/>
      </c>
      <c r="Q14" s="4" t="str">
        <f t="shared" si="3"/>
        <v>无效</v>
      </c>
      <c r="R14" s="4" t="str">
        <f t="shared" ca="1" si="4"/>
        <v>异常：必须关联有效事件编号或税额批次</v>
      </c>
      <c r="S14" s="9"/>
      <c r="T14" s="4" t="str">
        <f>IF(D14&lt;&gt;"",IF(COUNTIF(激励事件明细!$A$2:$A$501,D14)=1,D14,""),IF(E14&lt;&gt;"",IFERROR(INDEX(激励事件明细!$A$2:$A$501,MATCH(E14,激励事件明细!$B$2:$B$501,0)),""),""))</f>
        <v/>
      </c>
      <c r="U14" s="4" t="str">
        <f>IF(T14="","",IFERROR(INDEX(激励事件明细!$B$2:$B$501,MATCH(T14,激励事件明细!$A$2:$A$501,0)),""))</f>
        <v/>
      </c>
      <c r="V14" s="4" t="str">
        <f>IF(A14="","",COUNTIF($A$2:A14,A14))</f>
        <v/>
      </c>
      <c r="W14" s="4" t="str">
        <f t="shared" si="5"/>
        <v/>
      </c>
    </row>
    <row r="15" spans="1:23" x14ac:dyDescent="0.3">
      <c r="A15" s="4" t="str">
        <f>IF(T15="","",IFERROR(INDEX(激励事件明细!$C$2:$C$501,MATCH(T15,激励事件明细!$A$2:$A$501,0)),""))</f>
        <v/>
      </c>
      <c r="B15" s="4" t="str">
        <f>IF(A15="","",IFERROR(INDEX(激励事件明细!$D$2:$D$501,MATCH(T15,激励事件明细!$A$2:$A$501,0)),""))</f>
        <v/>
      </c>
      <c r="C15" s="4" t="str">
        <f>IF(A15="","",IFERROR(INDEX(激励事件明细!$H$2:$H$501,MATCH(T15,激励事件明细!$A$2:$A$501,0)),""))</f>
        <v/>
      </c>
      <c r="D15" s="9"/>
      <c r="E15" s="9"/>
      <c r="F15" s="15" t="str">
        <f>IF(A15="","",IFERROR(INDEX(激励事件明细!$AA$2:$AA$501,MATCH(T15,激励事件明细!$A$2:$A$501,0)),""))</f>
        <v/>
      </c>
      <c r="G15" s="17" t="str">
        <f>IF(A15="","",IFERROR(INDEX(激励事件明细!$AB$2:$AB$501,MATCH(T15,激励事件明细!$A$2:$A$501,0)),""))</f>
        <v/>
      </c>
      <c r="H15" s="17" t="str">
        <f>IF(A15="","",IFERROR(INDEX(激励事件明细!$AC$2:$AC$501,MATCH(T15,激励事件明细!$A$2:$A$501,0)),""))</f>
        <v/>
      </c>
      <c r="I15" s="13"/>
      <c r="J15" s="14"/>
      <c r="K15" s="14"/>
      <c r="L15" s="9"/>
      <c r="M15" s="15" t="str">
        <f t="shared" si="0"/>
        <v/>
      </c>
      <c r="N15" s="15" t="str">
        <f t="shared" si="1"/>
        <v/>
      </c>
      <c r="O15" s="4" t="str">
        <f t="shared" ca="1" si="2"/>
        <v/>
      </c>
      <c r="P15" s="17" t="str">
        <f>IF(A15="","",IFERROR(IF(INDEX(激励事件明细!$P$2:$P$501,MATCH(T15,激励事件明细!$A$2:$A$501,0))=0,"",INDEX(激励事件明细!$P$2:$P$501,MATCH(T15,激励事件明细!$A$2:$A$501,0))),""))</f>
        <v/>
      </c>
      <c r="Q15" s="4" t="str">
        <f t="shared" si="3"/>
        <v>无效</v>
      </c>
      <c r="R15" s="4" t="str">
        <f t="shared" ca="1" si="4"/>
        <v>异常：必须关联有效事件编号或税额批次</v>
      </c>
      <c r="S15" s="9"/>
      <c r="T15" s="4" t="str">
        <f>IF(D15&lt;&gt;"",IF(COUNTIF(激励事件明细!$A$2:$A$501,D15)=1,D15,""),IF(E15&lt;&gt;"",IFERROR(INDEX(激励事件明细!$A$2:$A$501,MATCH(E15,激励事件明细!$B$2:$B$501,0)),""),""))</f>
        <v/>
      </c>
      <c r="U15" s="4" t="str">
        <f>IF(T15="","",IFERROR(INDEX(激励事件明细!$B$2:$B$501,MATCH(T15,激励事件明细!$A$2:$A$501,0)),""))</f>
        <v/>
      </c>
      <c r="V15" s="4" t="str">
        <f>IF(A15="","",COUNTIF($A$2:A15,A15))</f>
        <v/>
      </c>
      <c r="W15" s="4" t="str">
        <f t="shared" si="5"/>
        <v/>
      </c>
    </row>
    <row r="16" spans="1:23" x14ac:dyDescent="0.3">
      <c r="A16" s="4" t="str">
        <f>IF(T16="","",IFERROR(INDEX(激励事件明细!$C$2:$C$501,MATCH(T16,激励事件明细!$A$2:$A$501,0)),""))</f>
        <v/>
      </c>
      <c r="B16" s="4" t="str">
        <f>IF(A16="","",IFERROR(INDEX(激励事件明细!$D$2:$D$501,MATCH(T16,激励事件明细!$A$2:$A$501,0)),""))</f>
        <v/>
      </c>
      <c r="C16" s="4" t="str">
        <f>IF(A16="","",IFERROR(INDEX(激励事件明细!$H$2:$H$501,MATCH(T16,激励事件明细!$A$2:$A$501,0)),""))</f>
        <v/>
      </c>
      <c r="D16" s="9"/>
      <c r="E16" s="9"/>
      <c r="F16" s="15" t="str">
        <f>IF(A16="","",IFERROR(INDEX(激励事件明细!$AA$2:$AA$501,MATCH(T16,激励事件明细!$A$2:$A$501,0)),""))</f>
        <v/>
      </c>
      <c r="G16" s="17" t="str">
        <f>IF(A16="","",IFERROR(INDEX(激励事件明细!$AB$2:$AB$501,MATCH(T16,激励事件明细!$A$2:$A$501,0)),""))</f>
        <v/>
      </c>
      <c r="H16" s="17" t="str">
        <f>IF(A16="","",IFERROR(INDEX(激励事件明细!$AC$2:$AC$501,MATCH(T16,激励事件明细!$A$2:$A$501,0)),""))</f>
        <v/>
      </c>
      <c r="I16" s="13"/>
      <c r="J16" s="14"/>
      <c r="K16" s="14"/>
      <c r="L16" s="9"/>
      <c r="M16" s="15" t="str">
        <f t="shared" si="0"/>
        <v/>
      </c>
      <c r="N16" s="15" t="str">
        <f t="shared" si="1"/>
        <v/>
      </c>
      <c r="O16" s="4" t="str">
        <f t="shared" ca="1" si="2"/>
        <v/>
      </c>
      <c r="P16" s="17" t="str">
        <f>IF(A16="","",IFERROR(IF(INDEX(激励事件明细!$P$2:$P$501,MATCH(T16,激励事件明细!$A$2:$A$501,0))=0,"",INDEX(激励事件明细!$P$2:$P$501,MATCH(T16,激励事件明细!$A$2:$A$501,0))),""))</f>
        <v/>
      </c>
      <c r="Q16" s="4" t="str">
        <f t="shared" si="3"/>
        <v>无效</v>
      </c>
      <c r="R16" s="4" t="str">
        <f t="shared" ca="1" si="4"/>
        <v>异常：必须关联有效事件编号或税额批次</v>
      </c>
      <c r="S16" s="9"/>
      <c r="T16" s="4" t="str">
        <f>IF(D16&lt;&gt;"",IF(COUNTIF(激励事件明细!$A$2:$A$501,D16)=1,D16,""),IF(E16&lt;&gt;"",IFERROR(INDEX(激励事件明细!$A$2:$A$501,MATCH(E16,激励事件明细!$B$2:$B$501,0)),""),""))</f>
        <v/>
      </c>
      <c r="U16" s="4" t="str">
        <f>IF(T16="","",IFERROR(INDEX(激励事件明细!$B$2:$B$501,MATCH(T16,激励事件明细!$A$2:$A$501,0)),""))</f>
        <v/>
      </c>
      <c r="V16" s="4" t="str">
        <f>IF(A16="","",COUNTIF($A$2:A16,A16))</f>
        <v/>
      </c>
      <c r="W16" s="4" t="str">
        <f t="shared" si="5"/>
        <v/>
      </c>
    </row>
    <row r="17" spans="1:23" x14ac:dyDescent="0.3">
      <c r="A17" s="4" t="str">
        <f>IF(T17="","",IFERROR(INDEX(激励事件明细!$C$2:$C$501,MATCH(T17,激励事件明细!$A$2:$A$501,0)),""))</f>
        <v/>
      </c>
      <c r="B17" s="4" t="str">
        <f>IF(A17="","",IFERROR(INDEX(激励事件明细!$D$2:$D$501,MATCH(T17,激励事件明细!$A$2:$A$501,0)),""))</f>
        <v/>
      </c>
      <c r="C17" s="4" t="str">
        <f>IF(A17="","",IFERROR(INDEX(激励事件明细!$H$2:$H$501,MATCH(T17,激励事件明细!$A$2:$A$501,0)),""))</f>
        <v/>
      </c>
      <c r="D17" s="9"/>
      <c r="E17" s="9"/>
      <c r="F17" s="15" t="str">
        <f>IF(A17="","",IFERROR(INDEX(激励事件明细!$AA$2:$AA$501,MATCH(T17,激励事件明细!$A$2:$A$501,0)),""))</f>
        <v/>
      </c>
      <c r="G17" s="17" t="str">
        <f>IF(A17="","",IFERROR(INDEX(激励事件明细!$AB$2:$AB$501,MATCH(T17,激励事件明细!$A$2:$A$501,0)),""))</f>
        <v/>
      </c>
      <c r="H17" s="17" t="str">
        <f>IF(A17="","",IFERROR(INDEX(激励事件明细!$AC$2:$AC$501,MATCH(T17,激励事件明细!$A$2:$A$501,0)),""))</f>
        <v/>
      </c>
      <c r="I17" s="13"/>
      <c r="J17" s="14"/>
      <c r="K17" s="14"/>
      <c r="L17" s="9"/>
      <c r="M17" s="15" t="str">
        <f t="shared" si="0"/>
        <v/>
      </c>
      <c r="N17" s="15" t="str">
        <f t="shared" si="1"/>
        <v/>
      </c>
      <c r="O17" s="4" t="str">
        <f t="shared" ca="1" si="2"/>
        <v/>
      </c>
      <c r="P17" s="17" t="str">
        <f>IF(A17="","",IFERROR(IF(INDEX(激励事件明细!$P$2:$P$501,MATCH(T17,激励事件明细!$A$2:$A$501,0))=0,"",INDEX(激励事件明细!$P$2:$P$501,MATCH(T17,激励事件明细!$A$2:$A$501,0))),""))</f>
        <v/>
      </c>
      <c r="Q17" s="4" t="str">
        <f t="shared" si="3"/>
        <v>无效</v>
      </c>
      <c r="R17" s="4" t="str">
        <f t="shared" ca="1" si="4"/>
        <v>异常：必须关联有效事件编号或税额批次</v>
      </c>
      <c r="S17" s="9"/>
      <c r="T17" s="4" t="str">
        <f>IF(D17&lt;&gt;"",IF(COUNTIF(激励事件明细!$A$2:$A$501,D17)=1,D17,""),IF(E17&lt;&gt;"",IFERROR(INDEX(激励事件明细!$A$2:$A$501,MATCH(E17,激励事件明细!$B$2:$B$501,0)),""),""))</f>
        <v/>
      </c>
      <c r="U17" s="4" t="str">
        <f>IF(T17="","",IFERROR(INDEX(激励事件明细!$B$2:$B$501,MATCH(T17,激励事件明细!$A$2:$A$501,0)),""))</f>
        <v/>
      </c>
      <c r="V17" s="4" t="str">
        <f>IF(A17="","",COUNTIF($A$2:A17,A17))</f>
        <v/>
      </c>
      <c r="W17" s="4" t="str">
        <f t="shared" si="5"/>
        <v/>
      </c>
    </row>
    <row r="18" spans="1:23" x14ac:dyDescent="0.3">
      <c r="A18" s="4" t="str">
        <f>IF(T18="","",IFERROR(INDEX(激励事件明细!$C$2:$C$501,MATCH(T18,激励事件明细!$A$2:$A$501,0)),""))</f>
        <v/>
      </c>
      <c r="B18" s="4" t="str">
        <f>IF(A18="","",IFERROR(INDEX(激励事件明细!$D$2:$D$501,MATCH(T18,激励事件明细!$A$2:$A$501,0)),""))</f>
        <v/>
      </c>
      <c r="C18" s="4" t="str">
        <f>IF(A18="","",IFERROR(INDEX(激励事件明细!$H$2:$H$501,MATCH(T18,激励事件明细!$A$2:$A$501,0)),""))</f>
        <v/>
      </c>
      <c r="D18" s="9"/>
      <c r="E18" s="9"/>
      <c r="F18" s="15" t="str">
        <f>IF(A18="","",IFERROR(INDEX(激励事件明细!$AA$2:$AA$501,MATCH(T18,激励事件明细!$A$2:$A$501,0)),""))</f>
        <v/>
      </c>
      <c r="G18" s="17" t="str">
        <f>IF(A18="","",IFERROR(INDEX(激励事件明细!$AB$2:$AB$501,MATCH(T18,激励事件明细!$A$2:$A$501,0)),""))</f>
        <v/>
      </c>
      <c r="H18" s="17" t="str">
        <f>IF(A18="","",IFERROR(INDEX(激励事件明细!$AC$2:$AC$501,MATCH(T18,激励事件明细!$A$2:$A$501,0)),""))</f>
        <v/>
      </c>
      <c r="I18" s="13"/>
      <c r="J18" s="14"/>
      <c r="K18" s="14"/>
      <c r="L18" s="9"/>
      <c r="M18" s="15" t="str">
        <f t="shared" si="0"/>
        <v/>
      </c>
      <c r="N18" s="15" t="str">
        <f t="shared" si="1"/>
        <v/>
      </c>
      <c r="O18" s="4" t="str">
        <f t="shared" ca="1" si="2"/>
        <v/>
      </c>
      <c r="P18" s="17" t="str">
        <f>IF(A18="","",IFERROR(IF(INDEX(激励事件明细!$P$2:$P$501,MATCH(T18,激励事件明细!$A$2:$A$501,0))=0,"",INDEX(激励事件明细!$P$2:$P$501,MATCH(T18,激励事件明细!$A$2:$A$501,0))),""))</f>
        <v/>
      </c>
      <c r="Q18" s="4" t="str">
        <f t="shared" si="3"/>
        <v>无效</v>
      </c>
      <c r="R18" s="4" t="str">
        <f t="shared" ca="1" si="4"/>
        <v>异常：必须关联有效事件编号或税额批次</v>
      </c>
      <c r="S18" s="9"/>
      <c r="T18" s="4" t="str">
        <f>IF(D18&lt;&gt;"",IF(COUNTIF(激励事件明细!$A$2:$A$501,D18)=1,D18,""),IF(E18&lt;&gt;"",IFERROR(INDEX(激励事件明细!$A$2:$A$501,MATCH(E18,激励事件明细!$B$2:$B$501,0)),""),""))</f>
        <v/>
      </c>
      <c r="U18" s="4" t="str">
        <f>IF(T18="","",IFERROR(INDEX(激励事件明细!$B$2:$B$501,MATCH(T18,激励事件明细!$A$2:$A$501,0)),""))</f>
        <v/>
      </c>
      <c r="V18" s="4" t="str">
        <f>IF(A18="","",COUNTIF($A$2:A18,A18))</f>
        <v/>
      </c>
      <c r="W18" s="4" t="str">
        <f t="shared" si="5"/>
        <v/>
      </c>
    </row>
    <row r="19" spans="1:23" x14ac:dyDescent="0.3">
      <c r="A19" s="4" t="str">
        <f>IF(T19="","",IFERROR(INDEX(激励事件明细!$C$2:$C$501,MATCH(T19,激励事件明细!$A$2:$A$501,0)),""))</f>
        <v/>
      </c>
      <c r="B19" s="4" t="str">
        <f>IF(A19="","",IFERROR(INDEX(激励事件明细!$D$2:$D$501,MATCH(T19,激励事件明细!$A$2:$A$501,0)),""))</f>
        <v/>
      </c>
      <c r="C19" s="4" t="str">
        <f>IF(A19="","",IFERROR(INDEX(激励事件明细!$H$2:$H$501,MATCH(T19,激励事件明细!$A$2:$A$501,0)),""))</f>
        <v/>
      </c>
      <c r="D19" s="9"/>
      <c r="E19" s="9"/>
      <c r="F19" s="15" t="str">
        <f>IF(A19="","",IFERROR(INDEX(激励事件明细!$AA$2:$AA$501,MATCH(T19,激励事件明细!$A$2:$A$501,0)),""))</f>
        <v/>
      </c>
      <c r="G19" s="17" t="str">
        <f>IF(A19="","",IFERROR(INDEX(激励事件明细!$AB$2:$AB$501,MATCH(T19,激励事件明细!$A$2:$A$501,0)),""))</f>
        <v/>
      </c>
      <c r="H19" s="17" t="str">
        <f>IF(A19="","",IFERROR(INDEX(激励事件明细!$AC$2:$AC$501,MATCH(T19,激励事件明细!$A$2:$A$501,0)),""))</f>
        <v/>
      </c>
      <c r="I19" s="13"/>
      <c r="J19" s="14"/>
      <c r="K19" s="14"/>
      <c r="L19" s="9"/>
      <c r="M19" s="15" t="str">
        <f t="shared" si="0"/>
        <v/>
      </c>
      <c r="N19" s="15" t="str">
        <f t="shared" si="1"/>
        <v/>
      </c>
      <c r="O19" s="4" t="str">
        <f t="shared" ca="1" si="2"/>
        <v/>
      </c>
      <c r="P19" s="17" t="str">
        <f>IF(A19="","",IFERROR(IF(INDEX(激励事件明细!$P$2:$P$501,MATCH(T19,激励事件明细!$A$2:$A$501,0))=0,"",INDEX(激励事件明细!$P$2:$P$501,MATCH(T19,激励事件明细!$A$2:$A$501,0))),""))</f>
        <v/>
      </c>
      <c r="Q19" s="4" t="str">
        <f t="shared" si="3"/>
        <v>无效</v>
      </c>
      <c r="R19" s="4" t="str">
        <f t="shared" ca="1" si="4"/>
        <v>异常：必须关联有效事件编号或税额批次</v>
      </c>
      <c r="S19" s="9"/>
      <c r="T19" s="4" t="str">
        <f>IF(D19&lt;&gt;"",IF(COUNTIF(激励事件明细!$A$2:$A$501,D19)=1,D19,""),IF(E19&lt;&gt;"",IFERROR(INDEX(激励事件明细!$A$2:$A$501,MATCH(E19,激励事件明细!$B$2:$B$501,0)),""),""))</f>
        <v/>
      </c>
      <c r="U19" s="4" t="str">
        <f>IF(T19="","",IFERROR(INDEX(激励事件明细!$B$2:$B$501,MATCH(T19,激励事件明细!$A$2:$A$501,0)),""))</f>
        <v/>
      </c>
      <c r="V19" s="4" t="str">
        <f>IF(A19="","",COUNTIF($A$2:A19,A19))</f>
        <v/>
      </c>
      <c r="W19" s="4" t="str">
        <f t="shared" si="5"/>
        <v/>
      </c>
    </row>
    <row r="20" spans="1:23" x14ac:dyDescent="0.3">
      <c r="A20" s="4" t="str">
        <f>IF(T20="","",IFERROR(INDEX(激励事件明细!$C$2:$C$501,MATCH(T20,激励事件明细!$A$2:$A$501,0)),""))</f>
        <v/>
      </c>
      <c r="B20" s="4" t="str">
        <f>IF(A20="","",IFERROR(INDEX(激励事件明细!$D$2:$D$501,MATCH(T20,激励事件明细!$A$2:$A$501,0)),""))</f>
        <v/>
      </c>
      <c r="C20" s="4" t="str">
        <f>IF(A20="","",IFERROR(INDEX(激励事件明细!$H$2:$H$501,MATCH(T20,激励事件明细!$A$2:$A$501,0)),""))</f>
        <v/>
      </c>
      <c r="D20" s="9"/>
      <c r="E20" s="9"/>
      <c r="F20" s="15" t="str">
        <f>IF(A20="","",IFERROR(INDEX(激励事件明细!$AA$2:$AA$501,MATCH(T20,激励事件明细!$A$2:$A$501,0)),""))</f>
        <v/>
      </c>
      <c r="G20" s="17" t="str">
        <f>IF(A20="","",IFERROR(INDEX(激励事件明细!$AB$2:$AB$501,MATCH(T20,激励事件明细!$A$2:$A$501,0)),""))</f>
        <v/>
      </c>
      <c r="H20" s="17" t="str">
        <f>IF(A20="","",IFERROR(INDEX(激励事件明细!$AC$2:$AC$501,MATCH(T20,激励事件明细!$A$2:$A$501,0)),""))</f>
        <v/>
      </c>
      <c r="I20" s="13"/>
      <c r="J20" s="14"/>
      <c r="K20" s="14"/>
      <c r="L20" s="9"/>
      <c r="M20" s="15" t="str">
        <f t="shared" si="0"/>
        <v/>
      </c>
      <c r="N20" s="15" t="str">
        <f t="shared" si="1"/>
        <v/>
      </c>
      <c r="O20" s="4" t="str">
        <f t="shared" ca="1" si="2"/>
        <v/>
      </c>
      <c r="P20" s="17" t="str">
        <f>IF(A20="","",IFERROR(IF(INDEX(激励事件明细!$P$2:$P$501,MATCH(T20,激励事件明细!$A$2:$A$501,0))=0,"",INDEX(激励事件明细!$P$2:$P$501,MATCH(T20,激励事件明细!$A$2:$A$501,0))),""))</f>
        <v/>
      </c>
      <c r="Q20" s="4" t="str">
        <f t="shared" si="3"/>
        <v>无效</v>
      </c>
      <c r="R20" s="4" t="str">
        <f t="shared" ca="1" si="4"/>
        <v>异常：必须关联有效事件编号或税额批次</v>
      </c>
      <c r="S20" s="9"/>
      <c r="T20" s="4" t="str">
        <f>IF(D20&lt;&gt;"",IF(COUNTIF(激励事件明细!$A$2:$A$501,D20)=1,D20,""),IF(E20&lt;&gt;"",IFERROR(INDEX(激励事件明细!$A$2:$A$501,MATCH(E20,激励事件明细!$B$2:$B$501,0)),""),""))</f>
        <v/>
      </c>
      <c r="U20" s="4" t="str">
        <f>IF(T20="","",IFERROR(INDEX(激励事件明细!$B$2:$B$501,MATCH(T20,激励事件明细!$A$2:$A$501,0)),""))</f>
        <v/>
      </c>
      <c r="V20" s="4" t="str">
        <f>IF(A20="","",COUNTIF($A$2:A20,A20))</f>
        <v/>
      </c>
      <c r="W20" s="4" t="str">
        <f t="shared" si="5"/>
        <v/>
      </c>
    </row>
    <row r="21" spans="1:23" x14ac:dyDescent="0.3">
      <c r="A21" s="4" t="str">
        <f>IF(T21="","",IFERROR(INDEX(激励事件明细!$C$2:$C$501,MATCH(T21,激励事件明细!$A$2:$A$501,0)),""))</f>
        <v/>
      </c>
      <c r="B21" s="4" t="str">
        <f>IF(A21="","",IFERROR(INDEX(激励事件明细!$D$2:$D$501,MATCH(T21,激励事件明细!$A$2:$A$501,0)),""))</f>
        <v/>
      </c>
      <c r="C21" s="4" t="str">
        <f>IF(A21="","",IFERROR(INDEX(激励事件明细!$H$2:$H$501,MATCH(T21,激励事件明细!$A$2:$A$501,0)),""))</f>
        <v/>
      </c>
      <c r="D21" s="9"/>
      <c r="E21" s="9"/>
      <c r="F21" s="15" t="str">
        <f>IF(A21="","",IFERROR(INDEX(激励事件明细!$AA$2:$AA$501,MATCH(T21,激励事件明细!$A$2:$A$501,0)),""))</f>
        <v/>
      </c>
      <c r="G21" s="17" t="str">
        <f>IF(A21="","",IFERROR(INDEX(激励事件明细!$AB$2:$AB$501,MATCH(T21,激励事件明细!$A$2:$A$501,0)),""))</f>
        <v/>
      </c>
      <c r="H21" s="17" t="str">
        <f>IF(A21="","",IFERROR(INDEX(激励事件明细!$AC$2:$AC$501,MATCH(T21,激励事件明细!$A$2:$A$501,0)),""))</f>
        <v/>
      </c>
      <c r="I21" s="13"/>
      <c r="J21" s="14"/>
      <c r="K21" s="14"/>
      <c r="L21" s="9"/>
      <c r="M21" s="15" t="str">
        <f t="shared" si="0"/>
        <v/>
      </c>
      <c r="N21" s="15" t="str">
        <f t="shared" si="1"/>
        <v/>
      </c>
      <c r="O21" s="4" t="str">
        <f t="shared" ca="1" si="2"/>
        <v/>
      </c>
      <c r="P21" s="17" t="str">
        <f>IF(A21="","",IFERROR(IF(INDEX(激励事件明细!$P$2:$P$501,MATCH(T21,激励事件明细!$A$2:$A$501,0))=0,"",INDEX(激励事件明细!$P$2:$P$501,MATCH(T21,激励事件明细!$A$2:$A$501,0))),""))</f>
        <v/>
      </c>
      <c r="Q21" s="4" t="str">
        <f t="shared" si="3"/>
        <v>无效</v>
      </c>
      <c r="R21" s="4" t="str">
        <f t="shared" ca="1" si="4"/>
        <v>异常：必须关联有效事件编号或税额批次</v>
      </c>
      <c r="S21" s="9"/>
      <c r="T21" s="4" t="str">
        <f>IF(D21&lt;&gt;"",IF(COUNTIF(激励事件明细!$A$2:$A$501,D21)=1,D21,""),IF(E21&lt;&gt;"",IFERROR(INDEX(激励事件明细!$A$2:$A$501,MATCH(E21,激励事件明细!$B$2:$B$501,0)),""),""))</f>
        <v/>
      </c>
      <c r="U21" s="4" t="str">
        <f>IF(T21="","",IFERROR(INDEX(激励事件明细!$B$2:$B$501,MATCH(T21,激励事件明细!$A$2:$A$501,0)),""))</f>
        <v/>
      </c>
      <c r="V21" s="4" t="str">
        <f>IF(A21="","",COUNTIF($A$2:A21,A21))</f>
        <v/>
      </c>
      <c r="W21" s="4" t="str">
        <f t="shared" si="5"/>
        <v/>
      </c>
    </row>
    <row r="22" spans="1:23" x14ac:dyDescent="0.3">
      <c r="A22" s="4" t="str">
        <f>IF(T22="","",IFERROR(INDEX(激励事件明细!$C$2:$C$501,MATCH(T22,激励事件明细!$A$2:$A$501,0)),""))</f>
        <v/>
      </c>
      <c r="B22" s="4" t="str">
        <f>IF(A22="","",IFERROR(INDEX(激励事件明细!$D$2:$D$501,MATCH(T22,激励事件明细!$A$2:$A$501,0)),""))</f>
        <v/>
      </c>
      <c r="C22" s="4" t="str">
        <f>IF(A22="","",IFERROR(INDEX(激励事件明细!$H$2:$H$501,MATCH(T22,激励事件明细!$A$2:$A$501,0)),""))</f>
        <v/>
      </c>
      <c r="D22" s="9"/>
      <c r="E22" s="9"/>
      <c r="F22" s="15" t="str">
        <f>IF(A22="","",IFERROR(INDEX(激励事件明细!$AA$2:$AA$501,MATCH(T22,激励事件明细!$A$2:$A$501,0)),""))</f>
        <v/>
      </c>
      <c r="G22" s="17" t="str">
        <f>IF(A22="","",IFERROR(INDEX(激励事件明细!$AB$2:$AB$501,MATCH(T22,激励事件明细!$A$2:$A$501,0)),""))</f>
        <v/>
      </c>
      <c r="H22" s="17" t="str">
        <f>IF(A22="","",IFERROR(INDEX(激励事件明细!$AC$2:$AC$501,MATCH(T22,激励事件明细!$A$2:$A$501,0)),""))</f>
        <v/>
      </c>
      <c r="I22" s="13"/>
      <c r="J22" s="14"/>
      <c r="K22" s="14"/>
      <c r="L22" s="9"/>
      <c r="M22" s="15" t="str">
        <f t="shared" si="0"/>
        <v/>
      </c>
      <c r="N22" s="15" t="str">
        <f t="shared" si="1"/>
        <v/>
      </c>
      <c r="O22" s="4" t="str">
        <f t="shared" ca="1" si="2"/>
        <v/>
      </c>
      <c r="P22" s="17" t="str">
        <f>IF(A22="","",IFERROR(IF(INDEX(激励事件明细!$P$2:$P$501,MATCH(T22,激励事件明细!$A$2:$A$501,0))=0,"",INDEX(激励事件明细!$P$2:$P$501,MATCH(T22,激励事件明细!$A$2:$A$501,0))),""))</f>
        <v/>
      </c>
      <c r="Q22" s="4" t="str">
        <f t="shared" si="3"/>
        <v>无效</v>
      </c>
      <c r="R22" s="4" t="str">
        <f t="shared" ca="1" si="4"/>
        <v>异常：必须关联有效事件编号或税额批次</v>
      </c>
      <c r="S22" s="9"/>
      <c r="T22" s="4" t="str">
        <f>IF(D22&lt;&gt;"",IF(COUNTIF(激励事件明细!$A$2:$A$501,D22)=1,D22,""),IF(E22&lt;&gt;"",IFERROR(INDEX(激励事件明细!$A$2:$A$501,MATCH(E22,激励事件明细!$B$2:$B$501,0)),""),""))</f>
        <v/>
      </c>
      <c r="U22" s="4" t="str">
        <f>IF(T22="","",IFERROR(INDEX(激励事件明细!$B$2:$B$501,MATCH(T22,激励事件明细!$A$2:$A$501,0)),""))</f>
        <v/>
      </c>
      <c r="V22" s="4" t="str">
        <f>IF(A22="","",COUNTIF($A$2:A22,A22))</f>
        <v/>
      </c>
      <c r="W22" s="4" t="str">
        <f t="shared" si="5"/>
        <v/>
      </c>
    </row>
    <row r="23" spans="1:23" x14ac:dyDescent="0.3">
      <c r="A23" s="4" t="str">
        <f>IF(T23="","",IFERROR(INDEX(激励事件明细!$C$2:$C$501,MATCH(T23,激励事件明细!$A$2:$A$501,0)),""))</f>
        <v/>
      </c>
      <c r="B23" s="4" t="str">
        <f>IF(A23="","",IFERROR(INDEX(激励事件明细!$D$2:$D$501,MATCH(T23,激励事件明细!$A$2:$A$501,0)),""))</f>
        <v/>
      </c>
      <c r="C23" s="4" t="str">
        <f>IF(A23="","",IFERROR(INDEX(激励事件明细!$H$2:$H$501,MATCH(T23,激励事件明细!$A$2:$A$501,0)),""))</f>
        <v/>
      </c>
      <c r="D23" s="9"/>
      <c r="E23" s="9"/>
      <c r="F23" s="15" t="str">
        <f>IF(A23="","",IFERROR(INDEX(激励事件明细!$AA$2:$AA$501,MATCH(T23,激励事件明细!$A$2:$A$501,0)),""))</f>
        <v/>
      </c>
      <c r="G23" s="17" t="str">
        <f>IF(A23="","",IFERROR(INDEX(激励事件明细!$AB$2:$AB$501,MATCH(T23,激励事件明细!$A$2:$A$501,0)),""))</f>
        <v/>
      </c>
      <c r="H23" s="17" t="str">
        <f>IF(A23="","",IFERROR(INDEX(激励事件明细!$AC$2:$AC$501,MATCH(T23,激励事件明细!$A$2:$A$501,0)),""))</f>
        <v/>
      </c>
      <c r="I23" s="13"/>
      <c r="J23" s="14"/>
      <c r="K23" s="14"/>
      <c r="L23" s="9"/>
      <c r="M23" s="15" t="str">
        <f t="shared" si="0"/>
        <v/>
      </c>
      <c r="N23" s="15" t="str">
        <f t="shared" si="1"/>
        <v/>
      </c>
      <c r="O23" s="4" t="str">
        <f t="shared" ca="1" si="2"/>
        <v/>
      </c>
      <c r="P23" s="17" t="str">
        <f>IF(A23="","",IFERROR(IF(INDEX(激励事件明细!$P$2:$P$501,MATCH(T23,激励事件明细!$A$2:$A$501,0))=0,"",INDEX(激励事件明细!$P$2:$P$501,MATCH(T23,激励事件明细!$A$2:$A$501,0))),""))</f>
        <v/>
      </c>
      <c r="Q23" s="4" t="str">
        <f t="shared" si="3"/>
        <v>无效</v>
      </c>
      <c r="R23" s="4" t="str">
        <f t="shared" ca="1" si="4"/>
        <v>异常：必须关联有效事件编号或税额批次</v>
      </c>
      <c r="S23" s="9"/>
      <c r="T23" s="4" t="str">
        <f>IF(D23&lt;&gt;"",IF(COUNTIF(激励事件明细!$A$2:$A$501,D23)=1,D23,""),IF(E23&lt;&gt;"",IFERROR(INDEX(激励事件明细!$A$2:$A$501,MATCH(E23,激励事件明细!$B$2:$B$501,0)),""),""))</f>
        <v/>
      </c>
      <c r="U23" s="4" t="str">
        <f>IF(T23="","",IFERROR(INDEX(激励事件明细!$B$2:$B$501,MATCH(T23,激励事件明细!$A$2:$A$501,0)),""))</f>
        <v/>
      </c>
      <c r="V23" s="4" t="str">
        <f>IF(A23="","",COUNTIF($A$2:A23,A23))</f>
        <v/>
      </c>
      <c r="W23" s="4" t="str">
        <f t="shared" si="5"/>
        <v/>
      </c>
    </row>
    <row r="24" spans="1:23" x14ac:dyDescent="0.3">
      <c r="A24" s="4" t="str">
        <f>IF(T24="","",IFERROR(INDEX(激励事件明细!$C$2:$C$501,MATCH(T24,激励事件明细!$A$2:$A$501,0)),""))</f>
        <v/>
      </c>
      <c r="B24" s="4" t="str">
        <f>IF(A24="","",IFERROR(INDEX(激励事件明细!$D$2:$D$501,MATCH(T24,激励事件明细!$A$2:$A$501,0)),""))</f>
        <v/>
      </c>
      <c r="C24" s="4" t="str">
        <f>IF(A24="","",IFERROR(INDEX(激励事件明细!$H$2:$H$501,MATCH(T24,激励事件明细!$A$2:$A$501,0)),""))</f>
        <v/>
      </c>
      <c r="D24" s="9"/>
      <c r="E24" s="9"/>
      <c r="F24" s="15" t="str">
        <f>IF(A24="","",IFERROR(INDEX(激励事件明细!$AA$2:$AA$501,MATCH(T24,激励事件明细!$A$2:$A$501,0)),""))</f>
        <v/>
      </c>
      <c r="G24" s="17" t="str">
        <f>IF(A24="","",IFERROR(INDEX(激励事件明细!$AB$2:$AB$501,MATCH(T24,激励事件明细!$A$2:$A$501,0)),""))</f>
        <v/>
      </c>
      <c r="H24" s="17" t="str">
        <f>IF(A24="","",IFERROR(INDEX(激励事件明细!$AC$2:$AC$501,MATCH(T24,激励事件明细!$A$2:$A$501,0)),""))</f>
        <v/>
      </c>
      <c r="I24" s="13"/>
      <c r="J24" s="14"/>
      <c r="K24" s="14"/>
      <c r="L24" s="9"/>
      <c r="M24" s="15" t="str">
        <f t="shared" si="0"/>
        <v/>
      </c>
      <c r="N24" s="15" t="str">
        <f t="shared" si="1"/>
        <v/>
      </c>
      <c r="O24" s="4" t="str">
        <f t="shared" ca="1" si="2"/>
        <v/>
      </c>
      <c r="P24" s="17" t="str">
        <f>IF(A24="","",IFERROR(IF(INDEX(激励事件明细!$P$2:$P$501,MATCH(T24,激励事件明细!$A$2:$A$501,0))=0,"",INDEX(激励事件明细!$P$2:$P$501,MATCH(T24,激励事件明细!$A$2:$A$501,0))),""))</f>
        <v/>
      </c>
      <c r="Q24" s="4" t="str">
        <f t="shared" si="3"/>
        <v>无效</v>
      </c>
      <c r="R24" s="4" t="str">
        <f t="shared" ca="1" si="4"/>
        <v>异常：必须关联有效事件编号或税额批次</v>
      </c>
      <c r="S24" s="9"/>
      <c r="T24" s="4" t="str">
        <f>IF(D24&lt;&gt;"",IF(COUNTIF(激励事件明细!$A$2:$A$501,D24)=1,D24,""),IF(E24&lt;&gt;"",IFERROR(INDEX(激励事件明细!$A$2:$A$501,MATCH(E24,激励事件明细!$B$2:$B$501,0)),""),""))</f>
        <v/>
      </c>
      <c r="U24" s="4" t="str">
        <f>IF(T24="","",IFERROR(INDEX(激励事件明细!$B$2:$B$501,MATCH(T24,激励事件明细!$A$2:$A$501,0)),""))</f>
        <v/>
      </c>
      <c r="V24" s="4" t="str">
        <f>IF(A24="","",COUNTIF($A$2:A24,A24))</f>
        <v/>
      </c>
      <c r="W24" s="4" t="str">
        <f t="shared" si="5"/>
        <v/>
      </c>
    </row>
    <row r="25" spans="1:23" x14ac:dyDescent="0.3">
      <c r="A25" s="4" t="str">
        <f>IF(T25="","",IFERROR(INDEX(激励事件明细!$C$2:$C$501,MATCH(T25,激励事件明细!$A$2:$A$501,0)),""))</f>
        <v/>
      </c>
      <c r="B25" s="4" t="str">
        <f>IF(A25="","",IFERROR(INDEX(激励事件明细!$D$2:$D$501,MATCH(T25,激励事件明细!$A$2:$A$501,0)),""))</f>
        <v/>
      </c>
      <c r="C25" s="4" t="str">
        <f>IF(A25="","",IFERROR(INDEX(激励事件明细!$H$2:$H$501,MATCH(T25,激励事件明细!$A$2:$A$501,0)),""))</f>
        <v/>
      </c>
      <c r="D25" s="9"/>
      <c r="E25" s="9"/>
      <c r="F25" s="15" t="str">
        <f>IF(A25="","",IFERROR(INDEX(激励事件明细!$AA$2:$AA$501,MATCH(T25,激励事件明细!$A$2:$A$501,0)),""))</f>
        <v/>
      </c>
      <c r="G25" s="17" t="str">
        <f>IF(A25="","",IFERROR(INDEX(激励事件明细!$AB$2:$AB$501,MATCH(T25,激励事件明细!$A$2:$A$501,0)),""))</f>
        <v/>
      </c>
      <c r="H25" s="17" t="str">
        <f>IF(A25="","",IFERROR(INDEX(激励事件明细!$AC$2:$AC$501,MATCH(T25,激励事件明细!$A$2:$A$501,0)),""))</f>
        <v/>
      </c>
      <c r="I25" s="13"/>
      <c r="J25" s="14"/>
      <c r="K25" s="14"/>
      <c r="L25" s="9"/>
      <c r="M25" s="15" t="str">
        <f t="shared" si="0"/>
        <v/>
      </c>
      <c r="N25" s="15" t="str">
        <f t="shared" si="1"/>
        <v/>
      </c>
      <c r="O25" s="4" t="str">
        <f t="shared" ca="1" si="2"/>
        <v/>
      </c>
      <c r="P25" s="17" t="str">
        <f>IF(A25="","",IFERROR(IF(INDEX(激励事件明细!$P$2:$P$501,MATCH(T25,激励事件明细!$A$2:$A$501,0))=0,"",INDEX(激励事件明细!$P$2:$P$501,MATCH(T25,激励事件明细!$A$2:$A$501,0))),""))</f>
        <v/>
      </c>
      <c r="Q25" s="4" t="str">
        <f t="shared" si="3"/>
        <v>无效</v>
      </c>
      <c r="R25" s="4" t="str">
        <f t="shared" ca="1" si="4"/>
        <v>异常：必须关联有效事件编号或税额批次</v>
      </c>
      <c r="S25" s="9"/>
      <c r="T25" s="4" t="str">
        <f>IF(D25&lt;&gt;"",IF(COUNTIF(激励事件明细!$A$2:$A$501,D25)=1,D25,""),IF(E25&lt;&gt;"",IFERROR(INDEX(激励事件明细!$A$2:$A$501,MATCH(E25,激励事件明细!$B$2:$B$501,0)),""),""))</f>
        <v/>
      </c>
      <c r="U25" s="4" t="str">
        <f>IF(T25="","",IFERROR(INDEX(激励事件明细!$B$2:$B$501,MATCH(T25,激励事件明细!$A$2:$A$501,0)),""))</f>
        <v/>
      </c>
      <c r="V25" s="4" t="str">
        <f>IF(A25="","",COUNTIF($A$2:A25,A25))</f>
        <v/>
      </c>
      <c r="W25" s="4" t="str">
        <f t="shared" si="5"/>
        <v/>
      </c>
    </row>
    <row r="26" spans="1:23" x14ac:dyDescent="0.3">
      <c r="A26" s="4" t="str">
        <f>IF(T26="","",IFERROR(INDEX(激励事件明细!$C$2:$C$501,MATCH(T26,激励事件明细!$A$2:$A$501,0)),""))</f>
        <v/>
      </c>
      <c r="B26" s="4" t="str">
        <f>IF(A26="","",IFERROR(INDEX(激励事件明细!$D$2:$D$501,MATCH(T26,激励事件明细!$A$2:$A$501,0)),""))</f>
        <v/>
      </c>
      <c r="C26" s="4" t="str">
        <f>IF(A26="","",IFERROR(INDEX(激励事件明细!$H$2:$H$501,MATCH(T26,激励事件明细!$A$2:$A$501,0)),""))</f>
        <v/>
      </c>
      <c r="D26" s="9"/>
      <c r="E26" s="9"/>
      <c r="F26" s="15" t="str">
        <f>IF(A26="","",IFERROR(INDEX(激励事件明细!$AA$2:$AA$501,MATCH(T26,激励事件明细!$A$2:$A$501,0)),""))</f>
        <v/>
      </c>
      <c r="G26" s="17" t="str">
        <f>IF(A26="","",IFERROR(INDEX(激励事件明细!$AB$2:$AB$501,MATCH(T26,激励事件明细!$A$2:$A$501,0)),""))</f>
        <v/>
      </c>
      <c r="H26" s="17" t="str">
        <f>IF(A26="","",IFERROR(INDEX(激励事件明细!$AC$2:$AC$501,MATCH(T26,激励事件明细!$A$2:$A$501,0)),""))</f>
        <v/>
      </c>
      <c r="I26" s="13"/>
      <c r="J26" s="14"/>
      <c r="K26" s="14"/>
      <c r="L26" s="9"/>
      <c r="M26" s="15" t="str">
        <f t="shared" si="0"/>
        <v/>
      </c>
      <c r="N26" s="15" t="str">
        <f t="shared" si="1"/>
        <v/>
      </c>
      <c r="O26" s="4" t="str">
        <f t="shared" ca="1" si="2"/>
        <v/>
      </c>
      <c r="P26" s="17" t="str">
        <f>IF(A26="","",IFERROR(IF(INDEX(激励事件明细!$P$2:$P$501,MATCH(T26,激励事件明细!$A$2:$A$501,0))=0,"",INDEX(激励事件明细!$P$2:$P$501,MATCH(T26,激励事件明细!$A$2:$A$501,0))),""))</f>
        <v/>
      </c>
      <c r="Q26" s="4" t="str">
        <f t="shared" si="3"/>
        <v>无效</v>
      </c>
      <c r="R26" s="4" t="str">
        <f t="shared" ca="1" si="4"/>
        <v>异常：必须关联有效事件编号或税额批次</v>
      </c>
      <c r="S26" s="9"/>
      <c r="T26" s="4" t="str">
        <f>IF(D26&lt;&gt;"",IF(COUNTIF(激励事件明细!$A$2:$A$501,D26)=1,D26,""),IF(E26&lt;&gt;"",IFERROR(INDEX(激励事件明细!$A$2:$A$501,MATCH(E26,激励事件明细!$B$2:$B$501,0)),""),""))</f>
        <v/>
      </c>
      <c r="U26" s="4" t="str">
        <f>IF(T26="","",IFERROR(INDEX(激励事件明细!$B$2:$B$501,MATCH(T26,激励事件明细!$A$2:$A$501,0)),""))</f>
        <v/>
      </c>
      <c r="V26" s="4" t="str">
        <f>IF(A26="","",COUNTIF($A$2:A26,A26))</f>
        <v/>
      </c>
      <c r="W26" s="4" t="str">
        <f t="shared" si="5"/>
        <v/>
      </c>
    </row>
    <row r="27" spans="1:23" x14ac:dyDescent="0.3">
      <c r="A27" s="4" t="str">
        <f>IF(T27="","",IFERROR(INDEX(激励事件明细!$C$2:$C$501,MATCH(T27,激励事件明细!$A$2:$A$501,0)),""))</f>
        <v/>
      </c>
      <c r="B27" s="4" t="str">
        <f>IF(A27="","",IFERROR(INDEX(激励事件明细!$D$2:$D$501,MATCH(T27,激励事件明细!$A$2:$A$501,0)),""))</f>
        <v/>
      </c>
      <c r="C27" s="4" t="str">
        <f>IF(A27="","",IFERROR(INDEX(激励事件明细!$H$2:$H$501,MATCH(T27,激励事件明细!$A$2:$A$501,0)),""))</f>
        <v/>
      </c>
      <c r="D27" s="9"/>
      <c r="E27" s="9"/>
      <c r="F27" s="15" t="str">
        <f>IF(A27="","",IFERROR(INDEX(激励事件明细!$AA$2:$AA$501,MATCH(T27,激励事件明细!$A$2:$A$501,0)),""))</f>
        <v/>
      </c>
      <c r="G27" s="17" t="str">
        <f>IF(A27="","",IFERROR(INDEX(激励事件明细!$AB$2:$AB$501,MATCH(T27,激励事件明细!$A$2:$A$501,0)),""))</f>
        <v/>
      </c>
      <c r="H27" s="17" t="str">
        <f>IF(A27="","",IFERROR(INDEX(激励事件明细!$AC$2:$AC$501,MATCH(T27,激励事件明细!$A$2:$A$501,0)),""))</f>
        <v/>
      </c>
      <c r="I27" s="13"/>
      <c r="J27" s="14"/>
      <c r="K27" s="14"/>
      <c r="L27" s="9"/>
      <c r="M27" s="15" t="str">
        <f t="shared" si="0"/>
        <v/>
      </c>
      <c r="N27" s="15" t="str">
        <f t="shared" si="1"/>
        <v/>
      </c>
      <c r="O27" s="4" t="str">
        <f t="shared" ca="1" si="2"/>
        <v/>
      </c>
      <c r="P27" s="17" t="str">
        <f>IF(A27="","",IFERROR(IF(INDEX(激励事件明细!$P$2:$P$501,MATCH(T27,激励事件明细!$A$2:$A$501,0))=0,"",INDEX(激励事件明细!$P$2:$P$501,MATCH(T27,激励事件明细!$A$2:$A$501,0))),""))</f>
        <v/>
      </c>
      <c r="Q27" s="4" t="str">
        <f t="shared" si="3"/>
        <v>无效</v>
      </c>
      <c r="R27" s="4" t="str">
        <f t="shared" ca="1" si="4"/>
        <v>异常：必须关联有效事件编号或税额批次</v>
      </c>
      <c r="S27" s="9"/>
      <c r="T27" s="4" t="str">
        <f>IF(D27&lt;&gt;"",IF(COUNTIF(激励事件明细!$A$2:$A$501,D27)=1,D27,""),IF(E27&lt;&gt;"",IFERROR(INDEX(激励事件明细!$A$2:$A$501,MATCH(E27,激励事件明细!$B$2:$B$501,0)),""),""))</f>
        <v/>
      </c>
      <c r="U27" s="4" t="str">
        <f>IF(T27="","",IFERROR(INDEX(激励事件明细!$B$2:$B$501,MATCH(T27,激励事件明细!$A$2:$A$501,0)),""))</f>
        <v/>
      </c>
      <c r="V27" s="4" t="str">
        <f>IF(A27="","",COUNTIF($A$2:A27,A27))</f>
        <v/>
      </c>
      <c r="W27" s="4" t="str">
        <f t="shared" si="5"/>
        <v/>
      </c>
    </row>
    <row r="28" spans="1:23" x14ac:dyDescent="0.3">
      <c r="A28" s="4" t="str">
        <f>IF(T28="","",IFERROR(INDEX(激励事件明细!$C$2:$C$501,MATCH(T28,激励事件明细!$A$2:$A$501,0)),""))</f>
        <v/>
      </c>
      <c r="B28" s="4" t="str">
        <f>IF(A28="","",IFERROR(INDEX(激励事件明细!$D$2:$D$501,MATCH(T28,激励事件明细!$A$2:$A$501,0)),""))</f>
        <v/>
      </c>
      <c r="C28" s="4" t="str">
        <f>IF(A28="","",IFERROR(INDEX(激励事件明细!$H$2:$H$501,MATCH(T28,激励事件明细!$A$2:$A$501,0)),""))</f>
        <v/>
      </c>
      <c r="D28" s="9"/>
      <c r="E28" s="9"/>
      <c r="F28" s="15" t="str">
        <f>IF(A28="","",IFERROR(INDEX(激励事件明细!$AA$2:$AA$501,MATCH(T28,激励事件明细!$A$2:$A$501,0)),""))</f>
        <v/>
      </c>
      <c r="G28" s="17" t="str">
        <f>IF(A28="","",IFERROR(INDEX(激励事件明细!$AB$2:$AB$501,MATCH(T28,激励事件明细!$A$2:$A$501,0)),""))</f>
        <v/>
      </c>
      <c r="H28" s="17" t="str">
        <f>IF(A28="","",IFERROR(INDEX(激励事件明细!$AC$2:$AC$501,MATCH(T28,激励事件明细!$A$2:$A$501,0)),""))</f>
        <v/>
      </c>
      <c r="I28" s="13"/>
      <c r="J28" s="14"/>
      <c r="K28" s="14"/>
      <c r="L28" s="9"/>
      <c r="M28" s="15" t="str">
        <f t="shared" si="0"/>
        <v/>
      </c>
      <c r="N28" s="15" t="str">
        <f t="shared" si="1"/>
        <v/>
      </c>
      <c r="O28" s="4" t="str">
        <f t="shared" ca="1" si="2"/>
        <v/>
      </c>
      <c r="P28" s="17" t="str">
        <f>IF(A28="","",IFERROR(IF(INDEX(激励事件明细!$P$2:$P$501,MATCH(T28,激励事件明细!$A$2:$A$501,0))=0,"",INDEX(激励事件明细!$P$2:$P$501,MATCH(T28,激励事件明细!$A$2:$A$501,0))),""))</f>
        <v/>
      </c>
      <c r="Q28" s="4" t="str">
        <f t="shared" si="3"/>
        <v>无效</v>
      </c>
      <c r="R28" s="4" t="str">
        <f t="shared" ca="1" si="4"/>
        <v>异常：必须关联有效事件编号或税额批次</v>
      </c>
      <c r="S28" s="9"/>
      <c r="T28" s="4" t="str">
        <f>IF(D28&lt;&gt;"",IF(COUNTIF(激励事件明细!$A$2:$A$501,D28)=1,D28,""),IF(E28&lt;&gt;"",IFERROR(INDEX(激励事件明细!$A$2:$A$501,MATCH(E28,激励事件明细!$B$2:$B$501,0)),""),""))</f>
        <v/>
      </c>
      <c r="U28" s="4" t="str">
        <f>IF(T28="","",IFERROR(INDEX(激励事件明细!$B$2:$B$501,MATCH(T28,激励事件明细!$A$2:$A$501,0)),""))</f>
        <v/>
      </c>
      <c r="V28" s="4" t="str">
        <f>IF(A28="","",COUNTIF($A$2:A28,A28))</f>
        <v/>
      </c>
      <c r="W28" s="4" t="str">
        <f t="shared" si="5"/>
        <v/>
      </c>
    </row>
    <row r="29" spans="1:23" x14ac:dyDescent="0.3">
      <c r="A29" s="4" t="str">
        <f>IF(T29="","",IFERROR(INDEX(激励事件明细!$C$2:$C$501,MATCH(T29,激励事件明细!$A$2:$A$501,0)),""))</f>
        <v/>
      </c>
      <c r="B29" s="4" t="str">
        <f>IF(A29="","",IFERROR(INDEX(激励事件明细!$D$2:$D$501,MATCH(T29,激励事件明细!$A$2:$A$501,0)),""))</f>
        <v/>
      </c>
      <c r="C29" s="4" t="str">
        <f>IF(A29="","",IFERROR(INDEX(激励事件明细!$H$2:$H$501,MATCH(T29,激励事件明细!$A$2:$A$501,0)),""))</f>
        <v/>
      </c>
      <c r="D29" s="9"/>
      <c r="E29" s="9"/>
      <c r="F29" s="15" t="str">
        <f>IF(A29="","",IFERROR(INDEX(激励事件明细!$AA$2:$AA$501,MATCH(T29,激励事件明细!$A$2:$A$501,0)),""))</f>
        <v/>
      </c>
      <c r="G29" s="17" t="str">
        <f>IF(A29="","",IFERROR(INDEX(激励事件明细!$AB$2:$AB$501,MATCH(T29,激励事件明细!$A$2:$A$501,0)),""))</f>
        <v/>
      </c>
      <c r="H29" s="17" t="str">
        <f>IF(A29="","",IFERROR(INDEX(激励事件明细!$AC$2:$AC$501,MATCH(T29,激励事件明细!$A$2:$A$501,0)),""))</f>
        <v/>
      </c>
      <c r="I29" s="13"/>
      <c r="J29" s="14"/>
      <c r="K29" s="14"/>
      <c r="L29" s="9"/>
      <c r="M29" s="15" t="str">
        <f t="shared" si="0"/>
        <v/>
      </c>
      <c r="N29" s="15" t="str">
        <f t="shared" si="1"/>
        <v/>
      </c>
      <c r="O29" s="4" t="str">
        <f t="shared" ca="1" si="2"/>
        <v/>
      </c>
      <c r="P29" s="17" t="str">
        <f>IF(A29="","",IFERROR(IF(INDEX(激励事件明细!$P$2:$P$501,MATCH(T29,激励事件明细!$A$2:$A$501,0))=0,"",INDEX(激励事件明细!$P$2:$P$501,MATCH(T29,激励事件明细!$A$2:$A$501,0))),""))</f>
        <v/>
      </c>
      <c r="Q29" s="4" t="str">
        <f t="shared" si="3"/>
        <v>无效</v>
      </c>
      <c r="R29" s="4" t="str">
        <f t="shared" ca="1" si="4"/>
        <v>异常：必须关联有效事件编号或税额批次</v>
      </c>
      <c r="S29" s="9"/>
      <c r="T29" s="4" t="str">
        <f>IF(D29&lt;&gt;"",IF(COUNTIF(激励事件明细!$A$2:$A$501,D29)=1,D29,""),IF(E29&lt;&gt;"",IFERROR(INDEX(激励事件明细!$A$2:$A$501,MATCH(E29,激励事件明细!$B$2:$B$501,0)),""),""))</f>
        <v/>
      </c>
      <c r="U29" s="4" t="str">
        <f>IF(T29="","",IFERROR(INDEX(激励事件明细!$B$2:$B$501,MATCH(T29,激励事件明细!$A$2:$A$501,0)),""))</f>
        <v/>
      </c>
      <c r="V29" s="4" t="str">
        <f>IF(A29="","",COUNTIF($A$2:A29,A29))</f>
        <v/>
      </c>
      <c r="W29" s="4" t="str">
        <f t="shared" si="5"/>
        <v/>
      </c>
    </row>
    <row r="30" spans="1:23" x14ac:dyDescent="0.3">
      <c r="A30" s="4" t="str">
        <f>IF(T30="","",IFERROR(INDEX(激励事件明细!$C$2:$C$501,MATCH(T30,激励事件明细!$A$2:$A$501,0)),""))</f>
        <v/>
      </c>
      <c r="B30" s="4" t="str">
        <f>IF(A30="","",IFERROR(INDEX(激励事件明细!$D$2:$D$501,MATCH(T30,激励事件明细!$A$2:$A$501,0)),""))</f>
        <v/>
      </c>
      <c r="C30" s="4" t="str">
        <f>IF(A30="","",IFERROR(INDEX(激励事件明细!$H$2:$H$501,MATCH(T30,激励事件明细!$A$2:$A$501,0)),""))</f>
        <v/>
      </c>
      <c r="D30" s="9"/>
      <c r="E30" s="9"/>
      <c r="F30" s="15" t="str">
        <f>IF(A30="","",IFERROR(INDEX(激励事件明细!$AA$2:$AA$501,MATCH(T30,激励事件明细!$A$2:$A$501,0)),""))</f>
        <v/>
      </c>
      <c r="G30" s="17" t="str">
        <f>IF(A30="","",IFERROR(INDEX(激励事件明细!$AB$2:$AB$501,MATCH(T30,激励事件明细!$A$2:$A$501,0)),""))</f>
        <v/>
      </c>
      <c r="H30" s="17" t="str">
        <f>IF(A30="","",IFERROR(INDEX(激励事件明细!$AC$2:$AC$501,MATCH(T30,激励事件明细!$A$2:$A$501,0)),""))</f>
        <v/>
      </c>
      <c r="I30" s="13"/>
      <c r="J30" s="14"/>
      <c r="K30" s="14"/>
      <c r="L30" s="9"/>
      <c r="M30" s="15" t="str">
        <f t="shared" si="0"/>
        <v/>
      </c>
      <c r="N30" s="15" t="str">
        <f t="shared" si="1"/>
        <v/>
      </c>
      <c r="O30" s="4" t="str">
        <f t="shared" ca="1" si="2"/>
        <v/>
      </c>
      <c r="P30" s="17" t="str">
        <f>IF(A30="","",IFERROR(IF(INDEX(激励事件明细!$P$2:$P$501,MATCH(T30,激励事件明细!$A$2:$A$501,0))=0,"",INDEX(激励事件明细!$P$2:$P$501,MATCH(T30,激励事件明细!$A$2:$A$501,0))),""))</f>
        <v/>
      </c>
      <c r="Q30" s="4" t="str">
        <f t="shared" si="3"/>
        <v>无效</v>
      </c>
      <c r="R30" s="4" t="str">
        <f t="shared" ca="1" si="4"/>
        <v>异常：必须关联有效事件编号或税额批次</v>
      </c>
      <c r="S30" s="9"/>
      <c r="T30" s="4" t="str">
        <f>IF(D30&lt;&gt;"",IF(COUNTIF(激励事件明细!$A$2:$A$501,D30)=1,D30,""),IF(E30&lt;&gt;"",IFERROR(INDEX(激励事件明细!$A$2:$A$501,MATCH(E30,激励事件明细!$B$2:$B$501,0)),""),""))</f>
        <v/>
      </c>
      <c r="U30" s="4" t="str">
        <f>IF(T30="","",IFERROR(INDEX(激励事件明细!$B$2:$B$501,MATCH(T30,激励事件明细!$A$2:$A$501,0)),""))</f>
        <v/>
      </c>
      <c r="V30" s="4" t="str">
        <f>IF(A30="","",COUNTIF($A$2:A30,A30))</f>
        <v/>
      </c>
      <c r="W30" s="4" t="str">
        <f t="shared" si="5"/>
        <v/>
      </c>
    </row>
    <row r="31" spans="1:23" x14ac:dyDescent="0.3">
      <c r="A31" s="4" t="str">
        <f>IF(T31="","",IFERROR(INDEX(激励事件明细!$C$2:$C$501,MATCH(T31,激励事件明细!$A$2:$A$501,0)),""))</f>
        <v/>
      </c>
      <c r="B31" s="4" t="str">
        <f>IF(A31="","",IFERROR(INDEX(激励事件明细!$D$2:$D$501,MATCH(T31,激励事件明细!$A$2:$A$501,0)),""))</f>
        <v/>
      </c>
      <c r="C31" s="4" t="str">
        <f>IF(A31="","",IFERROR(INDEX(激励事件明细!$H$2:$H$501,MATCH(T31,激励事件明细!$A$2:$A$501,0)),""))</f>
        <v/>
      </c>
      <c r="D31" s="9"/>
      <c r="E31" s="9"/>
      <c r="F31" s="15" t="str">
        <f>IF(A31="","",IFERROR(INDEX(激励事件明细!$AA$2:$AA$501,MATCH(T31,激励事件明细!$A$2:$A$501,0)),""))</f>
        <v/>
      </c>
      <c r="G31" s="17" t="str">
        <f>IF(A31="","",IFERROR(INDEX(激励事件明细!$AB$2:$AB$501,MATCH(T31,激励事件明细!$A$2:$A$501,0)),""))</f>
        <v/>
      </c>
      <c r="H31" s="17" t="str">
        <f>IF(A31="","",IFERROR(INDEX(激励事件明细!$AC$2:$AC$501,MATCH(T31,激励事件明细!$A$2:$A$501,0)),""))</f>
        <v/>
      </c>
      <c r="I31" s="13"/>
      <c r="J31" s="14"/>
      <c r="K31" s="14"/>
      <c r="L31" s="9"/>
      <c r="M31" s="15" t="str">
        <f t="shared" si="0"/>
        <v/>
      </c>
      <c r="N31" s="15" t="str">
        <f t="shared" si="1"/>
        <v/>
      </c>
      <c r="O31" s="4" t="str">
        <f t="shared" ca="1" si="2"/>
        <v/>
      </c>
      <c r="P31" s="17" t="str">
        <f>IF(A31="","",IFERROR(IF(INDEX(激励事件明细!$P$2:$P$501,MATCH(T31,激励事件明细!$A$2:$A$501,0))=0,"",INDEX(激励事件明细!$P$2:$P$501,MATCH(T31,激励事件明细!$A$2:$A$501,0))),""))</f>
        <v/>
      </c>
      <c r="Q31" s="4" t="str">
        <f t="shared" si="3"/>
        <v>无效</v>
      </c>
      <c r="R31" s="4" t="str">
        <f t="shared" ca="1" si="4"/>
        <v>异常：必须关联有效事件编号或税额批次</v>
      </c>
      <c r="S31" s="9"/>
      <c r="T31" s="4" t="str">
        <f>IF(D31&lt;&gt;"",IF(COUNTIF(激励事件明细!$A$2:$A$501,D31)=1,D31,""),IF(E31&lt;&gt;"",IFERROR(INDEX(激励事件明细!$A$2:$A$501,MATCH(E31,激励事件明细!$B$2:$B$501,0)),""),""))</f>
        <v/>
      </c>
      <c r="U31" s="4" t="str">
        <f>IF(T31="","",IFERROR(INDEX(激励事件明细!$B$2:$B$501,MATCH(T31,激励事件明细!$A$2:$A$501,0)),""))</f>
        <v/>
      </c>
      <c r="V31" s="4" t="str">
        <f>IF(A31="","",COUNTIF($A$2:A31,A31))</f>
        <v/>
      </c>
      <c r="W31" s="4" t="str">
        <f t="shared" si="5"/>
        <v/>
      </c>
    </row>
    <row r="32" spans="1:23" x14ac:dyDescent="0.3">
      <c r="A32" s="4" t="str">
        <f>IF(T32="","",IFERROR(INDEX(激励事件明细!$C$2:$C$501,MATCH(T32,激励事件明细!$A$2:$A$501,0)),""))</f>
        <v/>
      </c>
      <c r="B32" s="4" t="str">
        <f>IF(A32="","",IFERROR(INDEX(激励事件明细!$D$2:$D$501,MATCH(T32,激励事件明细!$A$2:$A$501,0)),""))</f>
        <v/>
      </c>
      <c r="C32" s="4" t="str">
        <f>IF(A32="","",IFERROR(INDEX(激励事件明细!$H$2:$H$501,MATCH(T32,激励事件明细!$A$2:$A$501,0)),""))</f>
        <v/>
      </c>
      <c r="D32" s="9"/>
      <c r="E32" s="9"/>
      <c r="F32" s="15" t="str">
        <f>IF(A32="","",IFERROR(INDEX(激励事件明细!$AA$2:$AA$501,MATCH(T32,激励事件明细!$A$2:$A$501,0)),""))</f>
        <v/>
      </c>
      <c r="G32" s="17" t="str">
        <f>IF(A32="","",IFERROR(INDEX(激励事件明细!$AB$2:$AB$501,MATCH(T32,激励事件明细!$A$2:$A$501,0)),""))</f>
        <v/>
      </c>
      <c r="H32" s="17" t="str">
        <f>IF(A32="","",IFERROR(INDEX(激励事件明细!$AC$2:$AC$501,MATCH(T32,激励事件明细!$A$2:$A$501,0)),""))</f>
        <v/>
      </c>
      <c r="I32" s="13"/>
      <c r="J32" s="14"/>
      <c r="K32" s="14"/>
      <c r="L32" s="9"/>
      <c r="M32" s="15" t="str">
        <f t="shared" si="0"/>
        <v/>
      </c>
      <c r="N32" s="15" t="str">
        <f t="shared" si="1"/>
        <v/>
      </c>
      <c r="O32" s="4" t="str">
        <f t="shared" ca="1" si="2"/>
        <v/>
      </c>
      <c r="P32" s="17" t="str">
        <f>IF(A32="","",IFERROR(IF(INDEX(激励事件明细!$P$2:$P$501,MATCH(T32,激励事件明细!$A$2:$A$501,0))=0,"",INDEX(激励事件明细!$P$2:$P$501,MATCH(T32,激励事件明细!$A$2:$A$501,0))),""))</f>
        <v/>
      </c>
      <c r="Q32" s="4" t="str">
        <f t="shared" si="3"/>
        <v>无效</v>
      </c>
      <c r="R32" s="4" t="str">
        <f t="shared" ca="1" si="4"/>
        <v>异常：必须关联有效事件编号或税额批次</v>
      </c>
      <c r="S32" s="9"/>
      <c r="T32" s="4" t="str">
        <f>IF(D32&lt;&gt;"",IF(COUNTIF(激励事件明细!$A$2:$A$501,D32)=1,D32,""),IF(E32&lt;&gt;"",IFERROR(INDEX(激励事件明细!$A$2:$A$501,MATCH(E32,激励事件明细!$B$2:$B$501,0)),""),""))</f>
        <v/>
      </c>
      <c r="U32" s="4" t="str">
        <f>IF(T32="","",IFERROR(INDEX(激励事件明细!$B$2:$B$501,MATCH(T32,激励事件明细!$A$2:$A$501,0)),""))</f>
        <v/>
      </c>
      <c r="V32" s="4" t="str">
        <f>IF(A32="","",COUNTIF($A$2:A32,A32))</f>
        <v/>
      </c>
      <c r="W32" s="4" t="str">
        <f t="shared" si="5"/>
        <v/>
      </c>
    </row>
    <row r="33" spans="1:23" x14ac:dyDescent="0.3">
      <c r="A33" s="4" t="str">
        <f>IF(T33="","",IFERROR(INDEX(激励事件明细!$C$2:$C$501,MATCH(T33,激励事件明细!$A$2:$A$501,0)),""))</f>
        <v/>
      </c>
      <c r="B33" s="4" t="str">
        <f>IF(A33="","",IFERROR(INDEX(激励事件明细!$D$2:$D$501,MATCH(T33,激励事件明细!$A$2:$A$501,0)),""))</f>
        <v/>
      </c>
      <c r="C33" s="4" t="str">
        <f>IF(A33="","",IFERROR(INDEX(激励事件明细!$H$2:$H$501,MATCH(T33,激励事件明细!$A$2:$A$501,0)),""))</f>
        <v/>
      </c>
      <c r="D33" s="9"/>
      <c r="E33" s="9"/>
      <c r="F33" s="15" t="str">
        <f>IF(A33="","",IFERROR(INDEX(激励事件明细!$AA$2:$AA$501,MATCH(T33,激励事件明细!$A$2:$A$501,0)),""))</f>
        <v/>
      </c>
      <c r="G33" s="17" t="str">
        <f>IF(A33="","",IFERROR(INDEX(激励事件明细!$AB$2:$AB$501,MATCH(T33,激励事件明细!$A$2:$A$501,0)),""))</f>
        <v/>
      </c>
      <c r="H33" s="17" t="str">
        <f>IF(A33="","",IFERROR(INDEX(激励事件明细!$AC$2:$AC$501,MATCH(T33,激励事件明细!$A$2:$A$501,0)),""))</f>
        <v/>
      </c>
      <c r="I33" s="13"/>
      <c r="J33" s="14"/>
      <c r="K33" s="14"/>
      <c r="L33" s="9"/>
      <c r="M33" s="15" t="str">
        <f t="shared" si="0"/>
        <v/>
      </c>
      <c r="N33" s="15" t="str">
        <f t="shared" si="1"/>
        <v/>
      </c>
      <c r="O33" s="4" t="str">
        <f t="shared" ca="1" si="2"/>
        <v/>
      </c>
      <c r="P33" s="17" t="str">
        <f>IF(A33="","",IFERROR(IF(INDEX(激励事件明细!$P$2:$P$501,MATCH(T33,激励事件明细!$A$2:$A$501,0))=0,"",INDEX(激励事件明细!$P$2:$P$501,MATCH(T33,激励事件明细!$A$2:$A$501,0))),""))</f>
        <v/>
      </c>
      <c r="Q33" s="4" t="str">
        <f t="shared" si="3"/>
        <v>无效</v>
      </c>
      <c r="R33" s="4" t="str">
        <f t="shared" ca="1" si="4"/>
        <v>异常：必须关联有效事件编号或税额批次</v>
      </c>
      <c r="S33" s="9"/>
      <c r="T33" s="4" t="str">
        <f>IF(D33&lt;&gt;"",IF(COUNTIF(激励事件明细!$A$2:$A$501,D33)=1,D33,""),IF(E33&lt;&gt;"",IFERROR(INDEX(激励事件明细!$A$2:$A$501,MATCH(E33,激励事件明细!$B$2:$B$501,0)),""),""))</f>
        <v/>
      </c>
      <c r="U33" s="4" t="str">
        <f>IF(T33="","",IFERROR(INDEX(激励事件明细!$B$2:$B$501,MATCH(T33,激励事件明细!$A$2:$A$501,0)),""))</f>
        <v/>
      </c>
      <c r="V33" s="4" t="str">
        <f>IF(A33="","",COUNTIF($A$2:A33,A33))</f>
        <v/>
      </c>
      <c r="W33" s="4" t="str">
        <f t="shared" si="5"/>
        <v/>
      </c>
    </row>
    <row r="34" spans="1:23" x14ac:dyDescent="0.3">
      <c r="A34" s="4" t="str">
        <f>IF(T34="","",IFERROR(INDEX(激励事件明细!$C$2:$C$501,MATCH(T34,激励事件明细!$A$2:$A$501,0)),""))</f>
        <v/>
      </c>
      <c r="B34" s="4" t="str">
        <f>IF(A34="","",IFERROR(INDEX(激励事件明细!$D$2:$D$501,MATCH(T34,激励事件明细!$A$2:$A$501,0)),""))</f>
        <v/>
      </c>
      <c r="C34" s="4" t="str">
        <f>IF(A34="","",IFERROR(INDEX(激励事件明细!$H$2:$H$501,MATCH(T34,激励事件明细!$A$2:$A$501,0)),""))</f>
        <v/>
      </c>
      <c r="D34" s="9"/>
      <c r="E34" s="9"/>
      <c r="F34" s="15" t="str">
        <f>IF(A34="","",IFERROR(INDEX(激励事件明细!$AA$2:$AA$501,MATCH(T34,激励事件明细!$A$2:$A$501,0)),""))</f>
        <v/>
      </c>
      <c r="G34" s="17" t="str">
        <f>IF(A34="","",IFERROR(INDEX(激励事件明细!$AB$2:$AB$501,MATCH(T34,激励事件明细!$A$2:$A$501,0)),""))</f>
        <v/>
      </c>
      <c r="H34" s="17" t="str">
        <f>IF(A34="","",IFERROR(INDEX(激励事件明细!$AC$2:$AC$501,MATCH(T34,激励事件明细!$A$2:$A$501,0)),""))</f>
        <v/>
      </c>
      <c r="I34" s="13"/>
      <c r="J34" s="14"/>
      <c r="K34" s="14"/>
      <c r="L34" s="9"/>
      <c r="M34" s="15" t="str">
        <f t="shared" si="0"/>
        <v/>
      </c>
      <c r="N34" s="15" t="str">
        <f t="shared" si="1"/>
        <v/>
      </c>
      <c r="O34" s="4" t="str">
        <f t="shared" ca="1" si="2"/>
        <v/>
      </c>
      <c r="P34" s="17" t="str">
        <f>IF(A34="","",IFERROR(IF(INDEX(激励事件明细!$P$2:$P$501,MATCH(T34,激励事件明细!$A$2:$A$501,0))=0,"",INDEX(激励事件明细!$P$2:$P$501,MATCH(T34,激励事件明细!$A$2:$A$501,0))),""))</f>
        <v/>
      </c>
      <c r="Q34" s="4" t="str">
        <f t="shared" si="3"/>
        <v>无效</v>
      </c>
      <c r="R34" s="4" t="str">
        <f t="shared" ca="1" si="4"/>
        <v>异常：必须关联有效事件编号或税额批次</v>
      </c>
      <c r="S34" s="9"/>
      <c r="T34" s="4" t="str">
        <f>IF(D34&lt;&gt;"",IF(COUNTIF(激励事件明细!$A$2:$A$501,D34)=1,D34,""),IF(E34&lt;&gt;"",IFERROR(INDEX(激励事件明细!$A$2:$A$501,MATCH(E34,激励事件明细!$B$2:$B$501,0)),""),""))</f>
        <v/>
      </c>
      <c r="U34" s="4" t="str">
        <f>IF(T34="","",IFERROR(INDEX(激励事件明细!$B$2:$B$501,MATCH(T34,激励事件明细!$A$2:$A$501,0)),""))</f>
        <v/>
      </c>
      <c r="V34" s="4" t="str">
        <f>IF(A34="","",COUNTIF($A$2:A34,A34))</f>
        <v/>
      </c>
      <c r="W34" s="4" t="str">
        <f t="shared" si="5"/>
        <v/>
      </c>
    </row>
    <row r="35" spans="1:23" x14ac:dyDescent="0.3">
      <c r="A35" s="4" t="str">
        <f>IF(T35="","",IFERROR(INDEX(激励事件明细!$C$2:$C$501,MATCH(T35,激励事件明细!$A$2:$A$501,0)),""))</f>
        <v/>
      </c>
      <c r="B35" s="4" t="str">
        <f>IF(A35="","",IFERROR(INDEX(激励事件明细!$D$2:$D$501,MATCH(T35,激励事件明细!$A$2:$A$501,0)),""))</f>
        <v/>
      </c>
      <c r="C35" s="4" t="str">
        <f>IF(A35="","",IFERROR(INDEX(激励事件明细!$H$2:$H$501,MATCH(T35,激励事件明细!$A$2:$A$501,0)),""))</f>
        <v/>
      </c>
      <c r="D35" s="9"/>
      <c r="E35" s="9"/>
      <c r="F35" s="15" t="str">
        <f>IF(A35="","",IFERROR(INDEX(激励事件明细!$AA$2:$AA$501,MATCH(T35,激励事件明细!$A$2:$A$501,0)),""))</f>
        <v/>
      </c>
      <c r="G35" s="17" t="str">
        <f>IF(A35="","",IFERROR(INDEX(激励事件明细!$AB$2:$AB$501,MATCH(T35,激励事件明细!$A$2:$A$501,0)),""))</f>
        <v/>
      </c>
      <c r="H35" s="17" t="str">
        <f>IF(A35="","",IFERROR(INDEX(激励事件明细!$AC$2:$AC$501,MATCH(T35,激励事件明细!$A$2:$A$501,0)),""))</f>
        <v/>
      </c>
      <c r="I35" s="13"/>
      <c r="J35" s="14"/>
      <c r="K35" s="14"/>
      <c r="L35" s="9"/>
      <c r="M35" s="15" t="str">
        <f t="shared" si="0"/>
        <v/>
      </c>
      <c r="N35" s="15" t="str">
        <f t="shared" si="1"/>
        <v/>
      </c>
      <c r="O35" s="4" t="str">
        <f t="shared" ca="1" si="2"/>
        <v/>
      </c>
      <c r="P35" s="17" t="str">
        <f>IF(A35="","",IFERROR(IF(INDEX(激励事件明细!$P$2:$P$501,MATCH(T35,激励事件明细!$A$2:$A$501,0))=0,"",INDEX(激励事件明细!$P$2:$P$501,MATCH(T35,激励事件明细!$A$2:$A$501,0))),""))</f>
        <v/>
      </c>
      <c r="Q35" s="4" t="str">
        <f t="shared" si="3"/>
        <v>无效</v>
      </c>
      <c r="R35" s="4" t="str">
        <f t="shared" ca="1" si="4"/>
        <v>异常：必须关联有效事件编号或税额批次</v>
      </c>
      <c r="S35" s="9"/>
      <c r="T35" s="4" t="str">
        <f>IF(D35&lt;&gt;"",IF(COUNTIF(激励事件明细!$A$2:$A$501,D35)=1,D35,""),IF(E35&lt;&gt;"",IFERROR(INDEX(激励事件明细!$A$2:$A$501,MATCH(E35,激励事件明细!$B$2:$B$501,0)),""),""))</f>
        <v/>
      </c>
      <c r="U35" s="4" t="str">
        <f>IF(T35="","",IFERROR(INDEX(激励事件明细!$B$2:$B$501,MATCH(T35,激励事件明细!$A$2:$A$501,0)),""))</f>
        <v/>
      </c>
      <c r="V35" s="4" t="str">
        <f>IF(A35="","",COUNTIF($A$2:A35,A35))</f>
        <v/>
      </c>
      <c r="W35" s="4" t="str">
        <f t="shared" si="5"/>
        <v/>
      </c>
    </row>
    <row r="36" spans="1:23" x14ac:dyDescent="0.3">
      <c r="A36" s="4" t="str">
        <f>IF(T36="","",IFERROR(INDEX(激励事件明细!$C$2:$C$501,MATCH(T36,激励事件明细!$A$2:$A$501,0)),""))</f>
        <v/>
      </c>
      <c r="B36" s="4" t="str">
        <f>IF(A36="","",IFERROR(INDEX(激励事件明细!$D$2:$D$501,MATCH(T36,激励事件明细!$A$2:$A$501,0)),""))</f>
        <v/>
      </c>
      <c r="C36" s="4" t="str">
        <f>IF(A36="","",IFERROR(INDEX(激励事件明细!$H$2:$H$501,MATCH(T36,激励事件明细!$A$2:$A$501,0)),""))</f>
        <v/>
      </c>
      <c r="D36" s="9"/>
      <c r="E36" s="9"/>
      <c r="F36" s="15" t="str">
        <f>IF(A36="","",IFERROR(INDEX(激励事件明细!$AA$2:$AA$501,MATCH(T36,激励事件明细!$A$2:$A$501,0)),""))</f>
        <v/>
      </c>
      <c r="G36" s="17" t="str">
        <f>IF(A36="","",IFERROR(INDEX(激励事件明细!$AB$2:$AB$501,MATCH(T36,激励事件明细!$A$2:$A$501,0)),""))</f>
        <v/>
      </c>
      <c r="H36" s="17" t="str">
        <f>IF(A36="","",IFERROR(INDEX(激励事件明细!$AC$2:$AC$501,MATCH(T36,激励事件明细!$A$2:$A$501,0)),""))</f>
        <v/>
      </c>
      <c r="I36" s="13"/>
      <c r="J36" s="14"/>
      <c r="K36" s="14"/>
      <c r="L36" s="9"/>
      <c r="M36" s="15" t="str">
        <f t="shared" si="0"/>
        <v/>
      </c>
      <c r="N36" s="15" t="str">
        <f t="shared" si="1"/>
        <v/>
      </c>
      <c r="O36" s="4" t="str">
        <f t="shared" ca="1" si="2"/>
        <v/>
      </c>
      <c r="P36" s="17" t="str">
        <f>IF(A36="","",IFERROR(IF(INDEX(激励事件明细!$P$2:$P$501,MATCH(T36,激励事件明细!$A$2:$A$501,0))=0,"",INDEX(激励事件明细!$P$2:$P$501,MATCH(T36,激励事件明细!$A$2:$A$501,0))),""))</f>
        <v/>
      </c>
      <c r="Q36" s="4" t="str">
        <f t="shared" si="3"/>
        <v>无效</v>
      </c>
      <c r="R36" s="4" t="str">
        <f t="shared" ca="1" si="4"/>
        <v>异常：必须关联有效事件编号或税额批次</v>
      </c>
      <c r="S36" s="9"/>
      <c r="T36" s="4" t="str">
        <f>IF(D36&lt;&gt;"",IF(COUNTIF(激励事件明细!$A$2:$A$501,D36)=1,D36,""),IF(E36&lt;&gt;"",IFERROR(INDEX(激励事件明细!$A$2:$A$501,MATCH(E36,激励事件明细!$B$2:$B$501,0)),""),""))</f>
        <v/>
      </c>
      <c r="U36" s="4" t="str">
        <f>IF(T36="","",IFERROR(INDEX(激励事件明细!$B$2:$B$501,MATCH(T36,激励事件明细!$A$2:$A$501,0)),""))</f>
        <v/>
      </c>
      <c r="V36" s="4" t="str">
        <f>IF(A36="","",COUNTIF($A$2:A36,A36))</f>
        <v/>
      </c>
      <c r="W36" s="4" t="str">
        <f t="shared" si="5"/>
        <v/>
      </c>
    </row>
    <row r="37" spans="1:23" x14ac:dyDescent="0.3">
      <c r="A37" s="4" t="str">
        <f>IF(T37="","",IFERROR(INDEX(激励事件明细!$C$2:$C$501,MATCH(T37,激励事件明细!$A$2:$A$501,0)),""))</f>
        <v/>
      </c>
      <c r="B37" s="4" t="str">
        <f>IF(A37="","",IFERROR(INDEX(激励事件明细!$D$2:$D$501,MATCH(T37,激励事件明细!$A$2:$A$501,0)),""))</f>
        <v/>
      </c>
      <c r="C37" s="4" t="str">
        <f>IF(A37="","",IFERROR(INDEX(激励事件明细!$H$2:$H$501,MATCH(T37,激励事件明细!$A$2:$A$501,0)),""))</f>
        <v/>
      </c>
      <c r="D37" s="9"/>
      <c r="E37" s="9"/>
      <c r="F37" s="15" t="str">
        <f>IF(A37="","",IFERROR(INDEX(激励事件明细!$AA$2:$AA$501,MATCH(T37,激励事件明细!$A$2:$A$501,0)),""))</f>
        <v/>
      </c>
      <c r="G37" s="17" t="str">
        <f>IF(A37="","",IFERROR(INDEX(激励事件明细!$AB$2:$AB$501,MATCH(T37,激励事件明细!$A$2:$A$501,0)),""))</f>
        <v/>
      </c>
      <c r="H37" s="17" t="str">
        <f>IF(A37="","",IFERROR(INDEX(激励事件明细!$AC$2:$AC$501,MATCH(T37,激励事件明细!$A$2:$A$501,0)),""))</f>
        <v/>
      </c>
      <c r="I37" s="13"/>
      <c r="J37" s="14"/>
      <c r="K37" s="14"/>
      <c r="L37" s="9"/>
      <c r="M37" s="15" t="str">
        <f t="shared" si="0"/>
        <v/>
      </c>
      <c r="N37" s="15" t="str">
        <f t="shared" si="1"/>
        <v/>
      </c>
      <c r="O37" s="4" t="str">
        <f t="shared" ca="1" si="2"/>
        <v/>
      </c>
      <c r="P37" s="17" t="str">
        <f>IF(A37="","",IFERROR(IF(INDEX(激励事件明细!$P$2:$P$501,MATCH(T37,激励事件明细!$A$2:$A$501,0))=0,"",INDEX(激励事件明细!$P$2:$P$501,MATCH(T37,激励事件明细!$A$2:$A$501,0))),""))</f>
        <v/>
      </c>
      <c r="Q37" s="4" t="str">
        <f t="shared" si="3"/>
        <v>无效</v>
      </c>
      <c r="R37" s="4" t="str">
        <f t="shared" ca="1" si="4"/>
        <v>异常：必须关联有效事件编号或税额批次</v>
      </c>
      <c r="S37" s="9"/>
      <c r="T37" s="4" t="str">
        <f>IF(D37&lt;&gt;"",IF(COUNTIF(激励事件明细!$A$2:$A$501,D37)=1,D37,""),IF(E37&lt;&gt;"",IFERROR(INDEX(激励事件明细!$A$2:$A$501,MATCH(E37,激励事件明细!$B$2:$B$501,0)),""),""))</f>
        <v/>
      </c>
      <c r="U37" s="4" t="str">
        <f>IF(T37="","",IFERROR(INDEX(激励事件明细!$B$2:$B$501,MATCH(T37,激励事件明细!$A$2:$A$501,0)),""))</f>
        <v/>
      </c>
      <c r="V37" s="4" t="str">
        <f>IF(A37="","",COUNTIF($A$2:A37,A37))</f>
        <v/>
      </c>
      <c r="W37" s="4" t="str">
        <f t="shared" si="5"/>
        <v/>
      </c>
    </row>
    <row r="38" spans="1:23" x14ac:dyDescent="0.3">
      <c r="A38" s="4" t="str">
        <f>IF(T38="","",IFERROR(INDEX(激励事件明细!$C$2:$C$501,MATCH(T38,激励事件明细!$A$2:$A$501,0)),""))</f>
        <v/>
      </c>
      <c r="B38" s="4" t="str">
        <f>IF(A38="","",IFERROR(INDEX(激励事件明细!$D$2:$D$501,MATCH(T38,激励事件明细!$A$2:$A$501,0)),""))</f>
        <v/>
      </c>
      <c r="C38" s="4" t="str">
        <f>IF(A38="","",IFERROR(INDEX(激励事件明细!$H$2:$H$501,MATCH(T38,激励事件明细!$A$2:$A$501,0)),""))</f>
        <v/>
      </c>
      <c r="D38" s="9"/>
      <c r="E38" s="9"/>
      <c r="F38" s="15" t="str">
        <f>IF(A38="","",IFERROR(INDEX(激励事件明细!$AA$2:$AA$501,MATCH(T38,激励事件明细!$A$2:$A$501,0)),""))</f>
        <v/>
      </c>
      <c r="G38" s="17" t="str">
        <f>IF(A38="","",IFERROR(INDEX(激励事件明细!$AB$2:$AB$501,MATCH(T38,激励事件明细!$A$2:$A$501,0)),""))</f>
        <v/>
      </c>
      <c r="H38" s="17" t="str">
        <f>IF(A38="","",IFERROR(INDEX(激励事件明细!$AC$2:$AC$501,MATCH(T38,激励事件明细!$A$2:$A$501,0)),""))</f>
        <v/>
      </c>
      <c r="I38" s="13"/>
      <c r="J38" s="14"/>
      <c r="K38" s="14"/>
      <c r="L38" s="9"/>
      <c r="M38" s="15" t="str">
        <f t="shared" si="0"/>
        <v/>
      </c>
      <c r="N38" s="15" t="str">
        <f t="shared" si="1"/>
        <v/>
      </c>
      <c r="O38" s="4" t="str">
        <f t="shared" ca="1" si="2"/>
        <v/>
      </c>
      <c r="P38" s="17" t="str">
        <f>IF(A38="","",IFERROR(IF(INDEX(激励事件明细!$P$2:$P$501,MATCH(T38,激励事件明细!$A$2:$A$501,0))=0,"",INDEX(激励事件明细!$P$2:$P$501,MATCH(T38,激励事件明细!$A$2:$A$501,0))),""))</f>
        <v/>
      </c>
      <c r="Q38" s="4" t="str">
        <f t="shared" si="3"/>
        <v>无效</v>
      </c>
      <c r="R38" s="4" t="str">
        <f t="shared" ca="1" si="4"/>
        <v>异常：必须关联有效事件编号或税额批次</v>
      </c>
      <c r="S38" s="9"/>
      <c r="T38" s="4" t="str">
        <f>IF(D38&lt;&gt;"",IF(COUNTIF(激励事件明细!$A$2:$A$501,D38)=1,D38,""),IF(E38&lt;&gt;"",IFERROR(INDEX(激励事件明细!$A$2:$A$501,MATCH(E38,激励事件明细!$B$2:$B$501,0)),""),""))</f>
        <v/>
      </c>
      <c r="U38" s="4" t="str">
        <f>IF(T38="","",IFERROR(INDEX(激励事件明细!$B$2:$B$501,MATCH(T38,激励事件明细!$A$2:$A$501,0)),""))</f>
        <v/>
      </c>
      <c r="V38" s="4" t="str">
        <f>IF(A38="","",COUNTIF($A$2:A38,A38))</f>
        <v/>
      </c>
      <c r="W38" s="4" t="str">
        <f t="shared" si="5"/>
        <v/>
      </c>
    </row>
    <row r="39" spans="1:23" x14ac:dyDescent="0.3">
      <c r="A39" s="4" t="str">
        <f>IF(T39="","",IFERROR(INDEX(激励事件明细!$C$2:$C$501,MATCH(T39,激励事件明细!$A$2:$A$501,0)),""))</f>
        <v/>
      </c>
      <c r="B39" s="4" t="str">
        <f>IF(A39="","",IFERROR(INDEX(激励事件明细!$D$2:$D$501,MATCH(T39,激励事件明细!$A$2:$A$501,0)),""))</f>
        <v/>
      </c>
      <c r="C39" s="4" t="str">
        <f>IF(A39="","",IFERROR(INDEX(激励事件明细!$H$2:$H$501,MATCH(T39,激励事件明细!$A$2:$A$501,0)),""))</f>
        <v/>
      </c>
      <c r="D39" s="9"/>
      <c r="E39" s="9"/>
      <c r="F39" s="15" t="str">
        <f>IF(A39="","",IFERROR(INDEX(激励事件明细!$AA$2:$AA$501,MATCH(T39,激励事件明细!$A$2:$A$501,0)),""))</f>
        <v/>
      </c>
      <c r="G39" s="17" t="str">
        <f>IF(A39="","",IFERROR(INDEX(激励事件明细!$AB$2:$AB$501,MATCH(T39,激励事件明细!$A$2:$A$501,0)),""))</f>
        <v/>
      </c>
      <c r="H39" s="17" t="str">
        <f>IF(A39="","",IFERROR(INDEX(激励事件明细!$AC$2:$AC$501,MATCH(T39,激励事件明细!$A$2:$A$501,0)),""))</f>
        <v/>
      </c>
      <c r="I39" s="13"/>
      <c r="J39" s="14"/>
      <c r="K39" s="14"/>
      <c r="L39" s="9"/>
      <c r="M39" s="15" t="str">
        <f t="shared" si="0"/>
        <v/>
      </c>
      <c r="N39" s="15" t="str">
        <f t="shared" si="1"/>
        <v/>
      </c>
      <c r="O39" s="4" t="str">
        <f t="shared" ca="1" si="2"/>
        <v/>
      </c>
      <c r="P39" s="17" t="str">
        <f>IF(A39="","",IFERROR(IF(INDEX(激励事件明细!$P$2:$P$501,MATCH(T39,激励事件明细!$A$2:$A$501,0))=0,"",INDEX(激励事件明细!$P$2:$P$501,MATCH(T39,激励事件明细!$A$2:$A$501,0))),""))</f>
        <v/>
      </c>
      <c r="Q39" s="4" t="str">
        <f t="shared" si="3"/>
        <v>无效</v>
      </c>
      <c r="R39" s="4" t="str">
        <f t="shared" ca="1" si="4"/>
        <v>异常：必须关联有效事件编号或税额批次</v>
      </c>
      <c r="S39" s="9"/>
      <c r="T39" s="4" t="str">
        <f>IF(D39&lt;&gt;"",IF(COUNTIF(激励事件明细!$A$2:$A$501,D39)=1,D39,""),IF(E39&lt;&gt;"",IFERROR(INDEX(激励事件明细!$A$2:$A$501,MATCH(E39,激励事件明细!$B$2:$B$501,0)),""),""))</f>
        <v/>
      </c>
      <c r="U39" s="4" t="str">
        <f>IF(T39="","",IFERROR(INDEX(激励事件明细!$B$2:$B$501,MATCH(T39,激励事件明细!$A$2:$A$501,0)),""))</f>
        <v/>
      </c>
      <c r="V39" s="4" t="str">
        <f>IF(A39="","",COUNTIF($A$2:A39,A39))</f>
        <v/>
      </c>
      <c r="W39" s="4" t="str">
        <f t="shared" si="5"/>
        <v/>
      </c>
    </row>
    <row r="40" spans="1:23" x14ac:dyDescent="0.3">
      <c r="A40" s="4" t="str">
        <f>IF(T40="","",IFERROR(INDEX(激励事件明细!$C$2:$C$501,MATCH(T40,激励事件明细!$A$2:$A$501,0)),""))</f>
        <v/>
      </c>
      <c r="B40" s="4" t="str">
        <f>IF(A40="","",IFERROR(INDEX(激励事件明细!$D$2:$D$501,MATCH(T40,激励事件明细!$A$2:$A$501,0)),""))</f>
        <v/>
      </c>
      <c r="C40" s="4" t="str">
        <f>IF(A40="","",IFERROR(INDEX(激励事件明细!$H$2:$H$501,MATCH(T40,激励事件明细!$A$2:$A$501,0)),""))</f>
        <v/>
      </c>
      <c r="D40" s="9"/>
      <c r="E40" s="9"/>
      <c r="F40" s="15" t="str">
        <f>IF(A40="","",IFERROR(INDEX(激励事件明细!$AA$2:$AA$501,MATCH(T40,激励事件明细!$A$2:$A$501,0)),""))</f>
        <v/>
      </c>
      <c r="G40" s="17" t="str">
        <f>IF(A40="","",IFERROR(INDEX(激励事件明细!$AB$2:$AB$501,MATCH(T40,激励事件明细!$A$2:$A$501,0)),""))</f>
        <v/>
      </c>
      <c r="H40" s="17" t="str">
        <f>IF(A40="","",IFERROR(INDEX(激励事件明细!$AC$2:$AC$501,MATCH(T40,激励事件明细!$A$2:$A$501,0)),""))</f>
        <v/>
      </c>
      <c r="I40" s="13"/>
      <c r="J40" s="14"/>
      <c r="K40" s="14"/>
      <c r="L40" s="9"/>
      <c r="M40" s="15" t="str">
        <f t="shared" si="0"/>
        <v/>
      </c>
      <c r="N40" s="15" t="str">
        <f t="shared" si="1"/>
        <v/>
      </c>
      <c r="O40" s="4" t="str">
        <f t="shared" ca="1" si="2"/>
        <v/>
      </c>
      <c r="P40" s="17" t="str">
        <f>IF(A40="","",IFERROR(IF(INDEX(激励事件明细!$P$2:$P$501,MATCH(T40,激励事件明细!$A$2:$A$501,0))=0,"",INDEX(激励事件明细!$P$2:$P$501,MATCH(T40,激励事件明细!$A$2:$A$501,0))),""))</f>
        <v/>
      </c>
      <c r="Q40" s="4" t="str">
        <f t="shared" si="3"/>
        <v>无效</v>
      </c>
      <c r="R40" s="4" t="str">
        <f t="shared" ca="1" si="4"/>
        <v>异常：必须关联有效事件编号或税额批次</v>
      </c>
      <c r="S40" s="9"/>
      <c r="T40" s="4" t="str">
        <f>IF(D40&lt;&gt;"",IF(COUNTIF(激励事件明细!$A$2:$A$501,D40)=1,D40,""),IF(E40&lt;&gt;"",IFERROR(INDEX(激励事件明细!$A$2:$A$501,MATCH(E40,激励事件明细!$B$2:$B$501,0)),""),""))</f>
        <v/>
      </c>
      <c r="U40" s="4" t="str">
        <f>IF(T40="","",IFERROR(INDEX(激励事件明细!$B$2:$B$501,MATCH(T40,激励事件明细!$A$2:$A$501,0)),""))</f>
        <v/>
      </c>
      <c r="V40" s="4" t="str">
        <f>IF(A40="","",COUNTIF($A$2:A40,A40))</f>
        <v/>
      </c>
      <c r="W40" s="4" t="str">
        <f t="shared" si="5"/>
        <v/>
      </c>
    </row>
    <row r="41" spans="1:23" x14ac:dyDescent="0.3">
      <c r="A41" s="4" t="str">
        <f>IF(T41="","",IFERROR(INDEX(激励事件明细!$C$2:$C$501,MATCH(T41,激励事件明细!$A$2:$A$501,0)),""))</f>
        <v/>
      </c>
      <c r="B41" s="4" t="str">
        <f>IF(A41="","",IFERROR(INDEX(激励事件明细!$D$2:$D$501,MATCH(T41,激励事件明细!$A$2:$A$501,0)),""))</f>
        <v/>
      </c>
      <c r="C41" s="4" t="str">
        <f>IF(A41="","",IFERROR(INDEX(激励事件明细!$H$2:$H$501,MATCH(T41,激励事件明细!$A$2:$A$501,0)),""))</f>
        <v/>
      </c>
      <c r="D41" s="9"/>
      <c r="E41" s="9"/>
      <c r="F41" s="15" t="str">
        <f>IF(A41="","",IFERROR(INDEX(激励事件明细!$AA$2:$AA$501,MATCH(T41,激励事件明细!$A$2:$A$501,0)),""))</f>
        <v/>
      </c>
      <c r="G41" s="17" t="str">
        <f>IF(A41="","",IFERROR(INDEX(激励事件明细!$AB$2:$AB$501,MATCH(T41,激励事件明细!$A$2:$A$501,0)),""))</f>
        <v/>
      </c>
      <c r="H41" s="17" t="str">
        <f>IF(A41="","",IFERROR(INDEX(激励事件明细!$AC$2:$AC$501,MATCH(T41,激励事件明细!$A$2:$A$501,0)),""))</f>
        <v/>
      </c>
      <c r="I41" s="13"/>
      <c r="J41" s="14"/>
      <c r="K41" s="14"/>
      <c r="L41" s="9"/>
      <c r="M41" s="15" t="str">
        <f t="shared" si="0"/>
        <v/>
      </c>
      <c r="N41" s="15" t="str">
        <f t="shared" si="1"/>
        <v/>
      </c>
      <c r="O41" s="4" t="str">
        <f t="shared" ca="1" si="2"/>
        <v/>
      </c>
      <c r="P41" s="17" t="str">
        <f>IF(A41="","",IFERROR(IF(INDEX(激励事件明细!$P$2:$P$501,MATCH(T41,激励事件明细!$A$2:$A$501,0))=0,"",INDEX(激励事件明细!$P$2:$P$501,MATCH(T41,激励事件明细!$A$2:$A$501,0))),""))</f>
        <v/>
      </c>
      <c r="Q41" s="4" t="str">
        <f t="shared" si="3"/>
        <v>无效</v>
      </c>
      <c r="R41" s="4" t="str">
        <f t="shared" ca="1" si="4"/>
        <v>异常：必须关联有效事件编号或税额批次</v>
      </c>
      <c r="S41" s="9"/>
      <c r="T41" s="4" t="str">
        <f>IF(D41&lt;&gt;"",IF(COUNTIF(激励事件明细!$A$2:$A$501,D41)=1,D41,""),IF(E41&lt;&gt;"",IFERROR(INDEX(激励事件明细!$A$2:$A$501,MATCH(E41,激励事件明细!$B$2:$B$501,0)),""),""))</f>
        <v/>
      </c>
      <c r="U41" s="4" t="str">
        <f>IF(T41="","",IFERROR(INDEX(激励事件明细!$B$2:$B$501,MATCH(T41,激励事件明细!$A$2:$A$501,0)),""))</f>
        <v/>
      </c>
      <c r="V41" s="4" t="str">
        <f>IF(A41="","",COUNTIF($A$2:A41,A41))</f>
        <v/>
      </c>
      <c r="W41" s="4" t="str">
        <f t="shared" si="5"/>
        <v/>
      </c>
    </row>
    <row r="42" spans="1:23" x14ac:dyDescent="0.3">
      <c r="A42" s="4" t="str">
        <f>IF(T42="","",IFERROR(INDEX(激励事件明细!$C$2:$C$501,MATCH(T42,激励事件明细!$A$2:$A$501,0)),""))</f>
        <v/>
      </c>
      <c r="B42" s="4" t="str">
        <f>IF(A42="","",IFERROR(INDEX(激励事件明细!$D$2:$D$501,MATCH(T42,激励事件明细!$A$2:$A$501,0)),""))</f>
        <v/>
      </c>
      <c r="C42" s="4" t="str">
        <f>IF(A42="","",IFERROR(INDEX(激励事件明细!$H$2:$H$501,MATCH(T42,激励事件明细!$A$2:$A$501,0)),""))</f>
        <v/>
      </c>
      <c r="D42" s="9"/>
      <c r="E42" s="9"/>
      <c r="F42" s="15" t="str">
        <f>IF(A42="","",IFERROR(INDEX(激励事件明细!$AA$2:$AA$501,MATCH(T42,激励事件明细!$A$2:$A$501,0)),""))</f>
        <v/>
      </c>
      <c r="G42" s="17" t="str">
        <f>IF(A42="","",IFERROR(INDEX(激励事件明细!$AB$2:$AB$501,MATCH(T42,激励事件明细!$A$2:$A$501,0)),""))</f>
        <v/>
      </c>
      <c r="H42" s="17" t="str">
        <f>IF(A42="","",IFERROR(INDEX(激励事件明细!$AC$2:$AC$501,MATCH(T42,激励事件明细!$A$2:$A$501,0)),""))</f>
        <v/>
      </c>
      <c r="I42" s="13"/>
      <c r="J42" s="14"/>
      <c r="K42" s="14"/>
      <c r="L42" s="9"/>
      <c r="M42" s="15" t="str">
        <f t="shared" si="0"/>
        <v/>
      </c>
      <c r="N42" s="15" t="str">
        <f t="shared" si="1"/>
        <v/>
      </c>
      <c r="O42" s="4" t="str">
        <f t="shared" ca="1" si="2"/>
        <v/>
      </c>
      <c r="P42" s="17" t="str">
        <f>IF(A42="","",IFERROR(IF(INDEX(激励事件明细!$P$2:$P$501,MATCH(T42,激励事件明细!$A$2:$A$501,0))=0,"",INDEX(激励事件明细!$P$2:$P$501,MATCH(T42,激励事件明细!$A$2:$A$501,0))),""))</f>
        <v/>
      </c>
      <c r="Q42" s="4" t="str">
        <f t="shared" si="3"/>
        <v>无效</v>
      </c>
      <c r="R42" s="4" t="str">
        <f t="shared" ca="1" si="4"/>
        <v>异常：必须关联有效事件编号或税额批次</v>
      </c>
      <c r="S42" s="9"/>
      <c r="T42" s="4" t="str">
        <f>IF(D42&lt;&gt;"",IF(COUNTIF(激励事件明细!$A$2:$A$501,D42)=1,D42,""),IF(E42&lt;&gt;"",IFERROR(INDEX(激励事件明细!$A$2:$A$501,MATCH(E42,激励事件明细!$B$2:$B$501,0)),""),""))</f>
        <v/>
      </c>
      <c r="U42" s="4" t="str">
        <f>IF(T42="","",IFERROR(INDEX(激励事件明细!$B$2:$B$501,MATCH(T42,激励事件明细!$A$2:$A$501,0)),""))</f>
        <v/>
      </c>
      <c r="V42" s="4" t="str">
        <f>IF(A42="","",COUNTIF($A$2:A42,A42))</f>
        <v/>
      </c>
      <c r="W42" s="4" t="str">
        <f t="shared" si="5"/>
        <v/>
      </c>
    </row>
    <row r="43" spans="1:23" x14ac:dyDescent="0.3">
      <c r="A43" s="4" t="str">
        <f>IF(T43="","",IFERROR(INDEX(激励事件明细!$C$2:$C$501,MATCH(T43,激励事件明细!$A$2:$A$501,0)),""))</f>
        <v/>
      </c>
      <c r="B43" s="4" t="str">
        <f>IF(A43="","",IFERROR(INDEX(激励事件明细!$D$2:$D$501,MATCH(T43,激励事件明细!$A$2:$A$501,0)),""))</f>
        <v/>
      </c>
      <c r="C43" s="4" t="str">
        <f>IF(A43="","",IFERROR(INDEX(激励事件明细!$H$2:$H$501,MATCH(T43,激励事件明细!$A$2:$A$501,0)),""))</f>
        <v/>
      </c>
      <c r="D43" s="9"/>
      <c r="E43" s="9"/>
      <c r="F43" s="15" t="str">
        <f>IF(A43="","",IFERROR(INDEX(激励事件明细!$AA$2:$AA$501,MATCH(T43,激励事件明细!$A$2:$A$501,0)),""))</f>
        <v/>
      </c>
      <c r="G43" s="17" t="str">
        <f>IF(A43="","",IFERROR(INDEX(激励事件明细!$AB$2:$AB$501,MATCH(T43,激励事件明细!$A$2:$A$501,0)),""))</f>
        <v/>
      </c>
      <c r="H43" s="17" t="str">
        <f>IF(A43="","",IFERROR(INDEX(激励事件明细!$AC$2:$AC$501,MATCH(T43,激励事件明细!$A$2:$A$501,0)),""))</f>
        <v/>
      </c>
      <c r="I43" s="13"/>
      <c r="J43" s="14"/>
      <c r="K43" s="14"/>
      <c r="L43" s="9"/>
      <c r="M43" s="15" t="str">
        <f t="shared" si="0"/>
        <v/>
      </c>
      <c r="N43" s="15" t="str">
        <f t="shared" si="1"/>
        <v/>
      </c>
      <c r="O43" s="4" t="str">
        <f t="shared" ca="1" si="2"/>
        <v/>
      </c>
      <c r="P43" s="17" t="str">
        <f>IF(A43="","",IFERROR(IF(INDEX(激励事件明细!$P$2:$P$501,MATCH(T43,激励事件明细!$A$2:$A$501,0))=0,"",INDEX(激励事件明细!$P$2:$P$501,MATCH(T43,激励事件明细!$A$2:$A$501,0))),""))</f>
        <v/>
      </c>
      <c r="Q43" s="4" t="str">
        <f t="shared" si="3"/>
        <v>无效</v>
      </c>
      <c r="R43" s="4" t="str">
        <f t="shared" ca="1" si="4"/>
        <v>异常：必须关联有效事件编号或税额批次</v>
      </c>
      <c r="S43" s="9"/>
      <c r="T43" s="4" t="str">
        <f>IF(D43&lt;&gt;"",IF(COUNTIF(激励事件明细!$A$2:$A$501,D43)=1,D43,""),IF(E43&lt;&gt;"",IFERROR(INDEX(激励事件明细!$A$2:$A$501,MATCH(E43,激励事件明细!$B$2:$B$501,0)),""),""))</f>
        <v/>
      </c>
      <c r="U43" s="4" t="str">
        <f>IF(T43="","",IFERROR(INDEX(激励事件明细!$B$2:$B$501,MATCH(T43,激励事件明细!$A$2:$A$501,0)),""))</f>
        <v/>
      </c>
      <c r="V43" s="4" t="str">
        <f>IF(A43="","",COUNTIF($A$2:A43,A43))</f>
        <v/>
      </c>
      <c r="W43" s="4" t="str">
        <f t="shared" si="5"/>
        <v/>
      </c>
    </row>
    <row r="44" spans="1:23" x14ac:dyDescent="0.3">
      <c r="A44" s="4" t="str">
        <f>IF(T44="","",IFERROR(INDEX(激励事件明细!$C$2:$C$501,MATCH(T44,激励事件明细!$A$2:$A$501,0)),""))</f>
        <v/>
      </c>
      <c r="B44" s="4" t="str">
        <f>IF(A44="","",IFERROR(INDEX(激励事件明细!$D$2:$D$501,MATCH(T44,激励事件明细!$A$2:$A$501,0)),""))</f>
        <v/>
      </c>
      <c r="C44" s="4" t="str">
        <f>IF(A44="","",IFERROR(INDEX(激励事件明细!$H$2:$H$501,MATCH(T44,激励事件明细!$A$2:$A$501,0)),""))</f>
        <v/>
      </c>
      <c r="D44" s="9"/>
      <c r="E44" s="9"/>
      <c r="F44" s="15" t="str">
        <f>IF(A44="","",IFERROR(INDEX(激励事件明细!$AA$2:$AA$501,MATCH(T44,激励事件明细!$A$2:$A$501,0)),""))</f>
        <v/>
      </c>
      <c r="G44" s="17" t="str">
        <f>IF(A44="","",IFERROR(INDEX(激励事件明细!$AB$2:$AB$501,MATCH(T44,激励事件明细!$A$2:$A$501,0)),""))</f>
        <v/>
      </c>
      <c r="H44" s="17" t="str">
        <f>IF(A44="","",IFERROR(INDEX(激励事件明细!$AC$2:$AC$501,MATCH(T44,激励事件明细!$A$2:$A$501,0)),""))</f>
        <v/>
      </c>
      <c r="I44" s="13"/>
      <c r="J44" s="14"/>
      <c r="K44" s="14"/>
      <c r="L44" s="9"/>
      <c r="M44" s="15" t="str">
        <f t="shared" si="0"/>
        <v/>
      </c>
      <c r="N44" s="15" t="str">
        <f t="shared" si="1"/>
        <v/>
      </c>
      <c r="O44" s="4" t="str">
        <f t="shared" ca="1" si="2"/>
        <v/>
      </c>
      <c r="P44" s="17" t="str">
        <f>IF(A44="","",IFERROR(IF(INDEX(激励事件明细!$P$2:$P$501,MATCH(T44,激励事件明细!$A$2:$A$501,0))=0,"",INDEX(激励事件明细!$P$2:$P$501,MATCH(T44,激励事件明细!$A$2:$A$501,0))),""))</f>
        <v/>
      </c>
      <c r="Q44" s="4" t="str">
        <f t="shared" si="3"/>
        <v>无效</v>
      </c>
      <c r="R44" s="4" t="str">
        <f t="shared" ca="1" si="4"/>
        <v>异常：必须关联有效事件编号或税额批次</v>
      </c>
      <c r="S44" s="9"/>
      <c r="T44" s="4" t="str">
        <f>IF(D44&lt;&gt;"",IF(COUNTIF(激励事件明细!$A$2:$A$501,D44)=1,D44,""),IF(E44&lt;&gt;"",IFERROR(INDEX(激励事件明细!$A$2:$A$501,MATCH(E44,激励事件明细!$B$2:$B$501,0)),""),""))</f>
        <v/>
      </c>
      <c r="U44" s="4" t="str">
        <f>IF(T44="","",IFERROR(INDEX(激励事件明细!$B$2:$B$501,MATCH(T44,激励事件明细!$A$2:$A$501,0)),""))</f>
        <v/>
      </c>
      <c r="V44" s="4" t="str">
        <f>IF(A44="","",COUNTIF($A$2:A44,A44))</f>
        <v/>
      </c>
      <c r="W44" s="4" t="str">
        <f t="shared" si="5"/>
        <v/>
      </c>
    </row>
    <row r="45" spans="1:23" x14ac:dyDescent="0.3">
      <c r="A45" s="4" t="str">
        <f>IF(T45="","",IFERROR(INDEX(激励事件明细!$C$2:$C$501,MATCH(T45,激励事件明细!$A$2:$A$501,0)),""))</f>
        <v/>
      </c>
      <c r="B45" s="4" t="str">
        <f>IF(A45="","",IFERROR(INDEX(激励事件明细!$D$2:$D$501,MATCH(T45,激励事件明细!$A$2:$A$501,0)),""))</f>
        <v/>
      </c>
      <c r="C45" s="4" t="str">
        <f>IF(A45="","",IFERROR(INDEX(激励事件明细!$H$2:$H$501,MATCH(T45,激励事件明细!$A$2:$A$501,0)),""))</f>
        <v/>
      </c>
      <c r="D45" s="9"/>
      <c r="E45" s="9"/>
      <c r="F45" s="15" t="str">
        <f>IF(A45="","",IFERROR(INDEX(激励事件明细!$AA$2:$AA$501,MATCH(T45,激励事件明细!$A$2:$A$501,0)),""))</f>
        <v/>
      </c>
      <c r="G45" s="17" t="str">
        <f>IF(A45="","",IFERROR(INDEX(激励事件明细!$AB$2:$AB$501,MATCH(T45,激励事件明细!$A$2:$A$501,0)),""))</f>
        <v/>
      </c>
      <c r="H45" s="17" t="str">
        <f>IF(A45="","",IFERROR(INDEX(激励事件明细!$AC$2:$AC$501,MATCH(T45,激励事件明细!$A$2:$A$501,0)),""))</f>
        <v/>
      </c>
      <c r="I45" s="13"/>
      <c r="J45" s="14"/>
      <c r="K45" s="14"/>
      <c r="L45" s="9"/>
      <c r="M45" s="15" t="str">
        <f t="shared" si="0"/>
        <v/>
      </c>
      <c r="N45" s="15" t="str">
        <f t="shared" si="1"/>
        <v/>
      </c>
      <c r="O45" s="4" t="str">
        <f t="shared" ca="1" si="2"/>
        <v/>
      </c>
      <c r="P45" s="17" t="str">
        <f>IF(A45="","",IFERROR(IF(INDEX(激励事件明细!$P$2:$P$501,MATCH(T45,激励事件明细!$A$2:$A$501,0))=0,"",INDEX(激励事件明细!$P$2:$P$501,MATCH(T45,激励事件明细!$A$2:$A$501,0))),""))</f>
        <v/>
      </c>
      <c r="Q45" s="4" t="str">
        <f t="shared" si="3"/>
        <v>无效</v>
      </c>
      <c r="R45" s="4" t="str">
        <f t="shared" ca="1" si="4"/>
        <v>异常：必须关联有效事件编号或税额批次</v>
      </c>
      <c r="S45" s="9"/>
      <c r="T45" s="4" t="str">
        <f>IF(D45&lt;&gt;"",IF(COUNTIF(激励事件明细!$A$2:$A$501,D45)=1,D45,""),IF(E45&lt;&gt;"",IFERROR(INDEX(激励事件明细!$A$2:$A$501,MATCH(E45,激励事件明细!$B$2:$B$501,0)),""),""))</f>
        <v/>
      </c>
      <c r="U45" s="4" t="str">
        <f>IF(T45="","",IFERROR(INDEX(激励事件明细!$B$2:$B$501,MATCH(T45,激励事件明细!$A$2:$A$501,0)),""))</f>
        <v/>
      </c>
      <c r="V45" s="4" t="str">
        <f>IF(A45="","",COUNTIF($A$2:A45,A45))</f>
        <v/>
      </c>
      <c r="W45" s="4" t="str">
        <f t="shared" si="5"/>
        <v/>
      </c>
    </row>
    <row r="46" spans="1:23" x14ac:dyDescent="0.3">
      <c r="A46" s="4" t="str">
        <f>IF(T46="","",IFERROR(INDEX(激励事件明细!$C$2:$C$501,MATCH(T46,激励事件明细!$A$2:$A$501,0)),""))</f>
        <v/>
      </c>
      <c r="B46" s="4" t="str">
        <f>IF(A46="","",IFERROR(INDEX(激励事件明细!$D$2:$D$501,MATCH(T46,激励事件明细!$A$2:$A$501,0)),""))</f>
        <v/>
      </c>
      <c r="C46" s="4" t="str">
        <f>IF(A46="","",IFERROR(INDEX(激励事件明细!$H$2:$H$501,MATCH(T46,激励事件明细!$A$2:$A$501,0)),""))</f>
        <v/>
      </c>
      <c r="D46" s="9"/>
      <c r="E46" s="9"/>
      <c r="F46" s="15" t="str">
        <f>IF(A46="","",IFERROR(INDEX(激励事件明细!$AA$2:$AA$501,MATCH(T46,激励事件明细!$A$2:$A$501,0)),""))</f>
        <v/>
      </c>
      <c r="G46" s="17" t="str">
        <f>IF(A46="","",IFERROR(INDEX(激励事件明细!$AB$2:$AB$501,MATCH(T46,激励事件明细!$A$2:$A$501,0)),""))</f>
        <v/>
      </c>
      <c r="H46" s="17" t="str">
        <f>IF(A46="","",IFERROR(INDEX(激励事件明细!$AC$2:$AC$501,MATCH(T46,激励事件明细!$A$2:$A$501,0)),""))</f>
        <v/>
      </c>
      <c r="I46" s="13"/>
      <c r="J46" s="14"/>
      <c r="K46" s="14"/>
      <c r="L46" s="9"/>
      <c r="M46" s="15" t="str">
        <f t="shared" si="0"/>
        <v/>
      </c>
      <c r="N46" s="15" t="str">
        <f t="shared" si="1"/>
        <v/>
      </c>
      <c r="O46" s="4" t="str">
        <f t="shared" ca="1" si="2"/>
        <v/>
      </c>
      <c r="P46" s="17" t="str">
        <f>IF(A46="","",IFERROR(IF(INDEX(激励事件明细!$P$2:$P$501,MATCH(T46,激励事件明细!$A$2:$A$501,0))=0,"",INDEX(激励事件明细!$P$2:$P$501,MATCH(T46,激励事件明细!$A$2:$A$501,0))),""))</f>
        <v/>
      </c>
      <c r="Q46" s="4" t="str">
        <f t="shared" si="3"/>
        <v>无效</v>
      </c>
      <c r="R46" s="4" t="str">
        <f t="shared" ca="1" si="4"/>
        <v>异常：必须关联有效事件编号或税额批次</v>
      </c>
      <c r="S46" s="9"/>
      <c r="T46" s="4" t="str">
        <f>IF(D46&lt;&gt;"",IF(COUNTIF(激励事件明细!$A$2:$A$501,D46)=1,D46,""),IF(E46&lt;&gt;"",IFERROR(INDEX(激励事件明细!$A$2:$A$501,MATCH(E46,激励事件明细!$B$2:$B$501,0)),""),""))</f>
        <v/>
      </c>
      <c r="U46" s="4" t="str">
        <f>IF(T46="","",IFERROR(INDEX(激励事件明细!$B$2:$B$501,MATCH(T46,激励事件明细!$A$2:$A$501,0)),""))</f>
        <v/>
      </c>
      <c r="V46" s="4" t="str">
        <f>IF(A46="","",COUNTIF($A$2:A46,A46))</f>
        <v/>
      </c>
      <c r="W46" s="4" t="str">
        <f t="shared" si="5"/>
        <v/>
      </c>
    </row>
    <row r="47" spans="1:23" x14ac:dyDescent="0.3">
      <c r="A47" s="4" t="str">
        <f>IF(T47="","",IFERROR(INDEX(激励事件明细!$C$2:$C$501,MATCH(T47,激励事件明细!$A$2:$A$501,0)),""))</f>
        <v/>
      </c>
      <c r="B47" s="4" t="str">
        <f>IF(A47="","",IFERROR(INDEX(激励事件明细!$D$2:$D$501,MATCH(T47,激励事件明细!$A$2:$A$501,0)),""))</f>
        <v/>
      </c>
      <c r="C47" s="4" t="str">
        <f>IF(A47="","",IFERROR(INDEX(激励事件明细!$H$2:$H$501,MATCH(T47,激励事件明细!$A$2:$A$501,0)),""))</f>
        <v/>
      </c>
      <c r="D47" s="9"/>
      <c r="E47" s="9"/>
      <c r="F47" s="15" t="str">
        <f>IF(A47="","",IFERROR(INDEX(激励事件明细!$AA$2:$AA$501,MATCH(T47,激励事件明细!$A$2:$A$501,0)),""))</f>
        <v/>
      </c>
      <c r="G47" s="17" t="str">
        <f>IF(A47="","",IFERROR(INDEX(激励事件明细!$AB$2:$AB$501,MATCH(T47,激励事件明细!$A$2:$A$501,0)),""))</f>
        <v/>
      </c>
      <c r="H47" s="17" t="str">
        <f>IF(A47="","",IFERROR(INDEX(激励事件明细!$AC$2:$AC$501,MATCH(T47,激励事件明细!$A$2:$A$501,0)),""))</f>
        <v/>
      </c>
      <c r="I47" s="13"/>
      <c r="J47" s="14"/>
      <c r="K47" s="14"/>
      <c r="L47" s="9"/>
      <c r="M47" s="15" t="str">
        <f t="shared" si="0"/>
        <v/>
      </c>
      <c r="N47" s="15" t="str">
        <f t="shared" si="1"/>
        <v/>
      </c>
      <c r="O47" s="4" t="str">
        <f t="shared" ca="1" si="2"/>
        <v/>
      </c>
      <c r="P47" s="17" t="str">
        <f>IF(A47="","",IFERROR(IF(INDEX(激励事件明细!$P$2:$P$501,MATCH(T47,激励事件明细!$A$2:$A$501,0))=0,"",INDEX(激励事件明细!$P$2:$P$501,MATCH(T47,激励事件明细!$A$2:$A$501,0))),""))</f>
        <v/>
      </c>
      <c r="Q47" s="4" t="str">
        <f t="shared" si="3"/>
        <v>无效</v>
      </c>
      <c r="R47" s="4" t="str">
        <f t="shared" ca="1" si="4"/>
        <v>异常：必须关联有效事件编号或税额批次</v>
      </c>
      <c r="S47" s="9"/>
      <c r="T47" s="4" t="str">
        <f>IF(D47&lt;&gt;"",IF(COUNTIF(激励事件明细!$A$2:$A$501,D47)=1,D47,""),IF(E47&lt;&gt;"",IFERROR(INDEX(激励事件明细!$A$2:$A$501,MATCH(E47,激励事件明细!$B$2:$B$501,0)),""),""))</f>
        <v/>
      </c>
      <c r="U47" s="4" t="str">
        <f>IF(T47="","",IFERROR(INDEX(激励事件明细!$B$2:$B$501,MATCH(T47,激励事件明细!$A$2:$A$501,0)),""))</f>
        <v/>
      </c>
      <c r="V47" s="4" t="str">
        <f>IF(A47="","",COUNTIF($A$2:A47,A47))</f>
        <v/>
      </c>
      <c r="W47" s="4" t="str">
        <f t="shared" si="5"/>
        <v/>
      </c>
    </row>
    <row r="48" spans="1:23" x14ac:dyDescent="0.3">
      <c r="A48" s="4" t="str">
        <f>IF(T48="","",IFERROR(INDEX(激励事件明细!$C$2:$C$501,MATCH(T48,激励事件明细!$A$2:$A$501,0)),""))</f>
        <v/>
      </c>
      <c r="B48" s="4" t="str">
        <f>IF(A48="","",IFERROR(INDEX(激励事件明细!$D$2:$D$501,MATCH(T48,激励事件明细!$A$2:$A$501,0)),""))</f>
        <v/>
      </c>
      <c r="C48" s="4" t="str">
        <f>IF(A48="","",IFERROR(INDEX(激励事件明细!$H$2:$H$501,MATCH(T48,激励事件明细!$A$2:$A$501,0)),""))</f>
        <v/>
      </c>
      <c r="D48" s="9"/>
      <c r="E48" s="9"/>
      <c r="F48" s="15" t="str">
        <f>IF(A48="","",IFERROR(INDEX(激励事件明细!$AA$2:$AA$501,MATCH(T48,激励事件明细!$A$2:$A$501,0)),""))</f>
        <v/>
      </c>
      <c r="G48" s="17" t="str">
        <f>IF(A48="","",IFERROR(INDEX(激励事件明细!$AB$2:$AB$501,MATCH(T48,激励事件明细!$A$2:$A$501,0)),""))</f>
        <v/>
      </c>
      <c r="H48" s="17" t="str">
        <f>IF(A48="","",IFERROR(INDEX(激励事件明细!$AC$2:$AC$501,MATCH(T48,激励事件明细!$A$2:$A$501,0)),""))</f>
        <v/>
      </c>
      <c r="I48" s="13"/>
      <c r="J48" s="14"/>
      <c r="K48" s="14"/>
      <c r="L48" s="9"/>
      <c r="M48" s="15" t="str">
        <f t="shared" si="0"/>
        <v/>
      </c>
      <c r="N48" s="15" t="str">
        <f t="shared" si="1"/>
        <v/>
      </c>
      <c r="O48" s="4" t="str">
        <f t="shared" ca="1" si="2"/>
        <v/>
      </c>
      <c r="P48" s="17" t="str">
        <f>IF(A48="","",IFERROR(IF(INDEX(激励事件明细!$P$2:$P$501,MATCH(T48,激励事件明细!$A$2:$A$501,0))=0,"",INDEX(激励事件明细!$P$2:$P$501,MATCH(T48,激励事件明细!$A$2:$A$501,0))),""))</f>
        <v/>
      </c>
      <c r="Q48" s="4" t="str">
        <f t="shared" si="3"/>
        <v>无效</v>
      </c>
      <c r="R48" s="4" t="str">
        <f t="shared" ca="1" si="4"/>
        <v>异常：必须关联有效事件编号或税额批次</v>
      </c>
      <c r="S48" s="9"/>
      <c r="T48" s="4" t="str">
        <f>IF(D48&lt;&gt;"",IF(COUNTIF(激励事件明细!$A$2:$A$501,D48)=1,D48,""),IF(E48&lt;&gt;"",IFERROR(INDEX(激励事件明细!$A$2:$A$501,MATCH(E48,激励事件明细!$B$2:$B$501,0)),""),""))</f>
        <v/>
      </c>
      <c r="U48" s="4" t="str">
        <f>IF(T48="","",IFERROR(INDEX(激励事件明细!$B$2:$B$501,MATCH(T48,激励事件明细!$A$2:$A$501,0)),""))</f>
        <v/>
      </c>
      <c r="V48" s="4" t="str">
        <f>IF(A48="","",COUNTIF($A$2:A48,A48))</f>
        <v/>
      </c>
      <c r="W48" s="4" t="str">
        <f t="shared" si="5"/>
        <v/>
      </c>
    </row>
    <row r="49" spans="1:23" x14ac:dyDescent="0.3">
      <c r="A49" s="4" t="str">
        <f>IF(T49="","",IFERROR(INDEX(激励事件明细!$C$2:$C$501,MATCH(T49,激励事件明细!$A$2:$A$501,0)),""))</f>
        <v/>
      </c>
      <c r="B49" s="4" t="str">
        <f>IF(A49="","",IFERROR(INDEX(激励事件明细!$D$2:$D$501,MATCH(T49,激励事件明细!$A$2:$A$501,0)),""))</f>
        <v/>
      </c>
      <c r="C49" s="4" t="str">
        <f>IF(A49="","",IFERROR(INDEX(激励事件明细!$H$2:$H$501,MATCH(T49,激励事件明细!$A$2:$A$501,0)),""))</f>
        <v/>
      </c>
      <c r="D49" s="9"/>
      <c r="E49" s="9"/>
      <c r="F49" s="15" t="str">
        <f>IF(A49="","",IFERROR(INDEX(激励事件明细!$AA$2:$AA$501,MATCH(T49,激励事件明细!$A$2:$A$501,0)),""))</f>
        <v/>
      </c>
      <c r="G49" s="17" t="str">
        <f>IF(A49="","",IFERROR(INDEX(激励事件明细!$AB$2:$AB$501,MATCH(T49,激励事件明细!$A$2:$A$501,0)),""))</f>
        <v/>
      </c>
      <c r="H49" s="17" t="str">
        <f>IF(A49="","",IFERROR(INDEX(激励事件明细!$AC$2:$AC$501,MATCH(T49,激励事件明细!$A$2:$A$501,0)),""))</f>
        <v/>
      </c>
      <c r="I49" s="13"/>
      <c r="J49" s="14"/>
      <c r="K49" s="14"/>
      <c r="L49" s="9"/>
      <c r="M49" s="15" t="str">
        <f t="shared" si="0"/>
        <v/>
      </c>
      <c r="N49" s="15" t="str">
        <f t="shared" si="1"/>
        <v/>
      </c>
      <c r="O49" s="4" t="str">
        <f t="shared" ca="1" si="2"/>
        <v/>
      </c>
      <c r="P49" s="17" t="str">
        <f>IF(A49="","",IFERROR(IF(INDEX(激励事件明细!$P$2:$P$501,MATCH(T49,激励事件明细!$A$2:$A$501,0))=0,"",INDEX(激励事件明细!$P$2:$P$501,MATCH(T49,激励事件明细!$A$2:$A$501,0))),""))</f>
        <v/>
      </c>
      <c r="Q49" s="4" t="str">
        <f t="shared" si="3"/>
        <v>无效</v>
      </c>
      <c r="R49" s="4" t="str">
        <f t="shared" ca="1" si="4"/>
        <v>异常：必须关联有效事件编号或税额批次</v>
      </c>
      <c r="S49" s="9"/>
      <c r="T49" s="4" t="str">
        <f>IF(D49&lt;&gt;"",IF(COUNTIF(激励事件明细!$A$2:$A$501,D49)=1,D49,""),IF(E49&lt;&gt;"",IFERROR(INDEX(激励事件明细!$A$2:$A$501,MATCH(E49,激励事件明细!$B$2:$B$501,0)),""),""))</f>
        <v/>
      </c>
      <c r="U49" s="4" t="str">
        <f>IF(T49="","",IFERROR(INDEX(激励事件明细!$B$2:$B$501,MATCH(T49,激励事件明细!$A$2:$A$501,0)),""))</f>
        <v/>
      </c>
      <c r="V49" s="4" t="str">
        <f>IF(A49="","",COUNTIF($A$2:A49,A49))</f>
        <v/>
      </c>
      <c r="W49" s="4" t="str">
        <f t="shared" si="5"/>
        <v/>
      </c>
    </row>
    <row r="50" spans="1:23" x14ac:dyDescent="0.3">
      <c r="A50" s="4" t="str">
        <f>IF(T50="","",IFERROR(INDEX(激励事件明细!$C$2:$C$501,MATCH(T50,激励事件明细!$A$2:$A$501,0)),""))</f>
        <v/>
      </c>
      <c r="B50" s="4" t="str">
        <f>IF(A50="","",IFERROR(INDEX(激励事件明细!$D$2:$D$501,MATCH(T50,激励事件明细!$A$2:$A$501,0)),""))</f>
        <v/>
      </c>
      <c r="C50" s="4" t="str">
        <f>IF(A50="","",IFERROR(INDEX(激励事件明细!$H$2:$H$501,MATCH(T50,激励事件明细!$A$2:$A$501,0)),""))</f>
        <v/>
      </c>
      <c r="D50" s="9"/>
      <c r="E50" s="9"/>
      <c r="F50" s="15" t="str">
        <f>IF(A50="","",IFERROR(INDEX(激励事件明细!$AA$2:$AA$501,MATCH(T50,激励事件明细!$A$2:$A$501,0)),""))</f>
        <v/>
      </c>
      <c r="G50" s="17" t="str">
        <f>IF(A50="","",IFERROR(INDEX(激励事件明细!$AB$2:$AB$501,MATCH(T50,激励事件明细!$A$2:$A$501,0)),""))</f>
        <v/>
      </c>
      <c r="H50" s="17" t="str">
        <f>IF(A50="","",IFERROR(INDEX(激励事件明细!$AC$2:$AC$501,MATCH(T50,激励事件明细!$A$2:$A$501,0)),""))</f>
        <v/>
      </c>
      <c r="I50" s="13"/>
      <c r="J50" s="14"/>
      <c r="K50" s="14"/>
      <c r="L50" s="9"/>
      <c r="M50" s="15" t="str">
        <f t="shared" si="0"/>
        <v/>
      </c>
      <c r="N50" s="15" t="str">
        <f t="shared" si="1"/>
        <v/>
      </c>
      <c r="O50" s="4" t="str">
        <f t="shared" ca="1" si="2"/>
        <v/>
      </c>
      <c r="P50" s="17" t="str">
        <f>IF(A50="","",IFERROR(IF(INDEX(激励事件明细!$P$2:$P$501,MATCH(T50,激励事件明细!$A$2:$A$501,0))=0,"",INDEX(激励事件明细!$P$2:$P$501,MATCH(T50,激励事件明细!$A$2:$A$501,0))),""))</f>
        <v/>
      </c>
      <c r="Q50" s="4" t="str">
        <f t="shared" si="3"/>
        <v>无效</v>
      </c>
      <c r="R50" s="4" t="str">
        <f t="shared" ca="1" si="4"/>
        <v>异常：必须关联有效事件编号或税额批次</v>
      </c>
      <c r="S50" s="9"/>
      <c r="T50" s="4" t="str">
        <f>IF(D50&lt;&gt;"",IF(COUNTIF(激励事件明细!$A$2:$A$501,D50)=1,D50,""),IF(E50&lt;&gt;"",IFERROR(INDEX(激励事件明细!$A$2:$A$501,MATCH(E50,激励事件明细!$B$2:$B$501,0)),""),""))</f>
        <v/>
      </c>
      <c r="U50" s="4" t="str">
        <f>IF(T50="","",IFERROR(INDEX(激励事件明细!$B$2:$B$501,MATCH(T50,激励事件明细!$A$2:$A$501,0)),""))</f>
        <v/>
      </c>
      <c r="V50" s="4" t="str">
        <f>IF(A50="","",COUNTIF($A$2:A50,A50))</f>
        <v/>
      </c>
      <c r="W50" s="4" t="str">
        <f t="shared" si="5"/>
        <v/>
      </c>
    </row>
    <row r="51" spans="1:23" x14ac:dyDescent="0.3">
      <c r="A51" s="4" t="str">
        <f>IF(T51="","",IFERROR(INDEX(激励事件明细!$C$2:$C$501,MATCH(T51,激励事件明细!$A$2:$A$501,0)),""))</f>
        <v/>
      </c>
      <c r="B51" s="4" t="str">
        <f>IF(A51="","",IFERROR(INDEX(激励事件明细!$D$2:$D$501,MATCH(T51,激励事件明细!$A$2:$A$501,0)),""))</f>
        <v/>
      </c>
      <c r="C51" s="4" t="str">
        <f>IF(A51="","",IFERROR(INDEX(激励事件明细!$H$2:$H$501,MATCH(T51,激励事件明细!$A$2:$A$501,0)),""))</f>
        <v/>
      </c>
      <c r="D51" s="9"/>
      <c r="E51" s="9"/>
      <c r="F51" s="15" t="str">
        <f>IF(A51="","",IFERROR(INDEX(激励事件明细!$AA$2:$AA$501,MATCH(T51,激励事件明细!$A$2:$A$501,0)),""))</f>
        <v/>
      </c>
      <c r="G51" s="17" t="str">
        <f>IF(A51="","",IFERROR(INDEX(激励事件明细!$AB$2:$AB$501,MATCH(T51,激励事件明细!$A$2:$A$501,0)),""))</f>
        <v/>
      </c>
      <c r="H51" s="17" t="str">
        <f>IF(A51="","",IFERROR(INDEX(激励事件明细!$AC$2:$AC$501,MATCH(T51,激励事件明细!$A$2:$A$501,0)),""))</f>
        <v/>
      </c>
      <c r="I51" s="13"/>
      <c r="J51" s="14"/>
      <c r="K51" s="14"/>
      <c r="L51" s="9"/>
      <c r="M51" s="15" t="str">
        <f t="shared" si="0"/>
        <v/>
      </c>
      <c r="N51" s="15" t="str">
        <f t="shared" si="1"/>
        <v/>
      </c>
      <c r="O51" s="4" t="str">
        <f t="shared" ca="1" si="2"/>
        <v/>
      </c>
      <c r="P51" s="17" t="str">
        <f>IF(A51="","",IFERROR(IF(INDEX(激励事件明细!$P$2:$P$501,MATCH(T51,激励事件明细!$A$2:$A$501,0))=0,"",INDEX(激励事件明细!$P$2:$P$501,MATCH(T51,激励事件明细!$A$2:$A$501,0))),""))</f>
        <v/>
      </c>
      <c r="Q51" s="4" t="str">
        <f t="shared" si="3"/>
        <v>无效</v>
      </c>
      <c r="R51" s="4" t="str">
        <f t="shared" ca="1" si="4"/>
        <v>异常：必须关联有效事件编号或税额批次</v>
      </c>
      <c r="S51" s="9"/>
      <c r="T51" s="4" t="str">
        <f>IF(D51&lt;&gt;"",IF(COUNTIF(激励事件明细!$A$2:$A$501,D51)=1,D51,""),IF(E51&lt;&gt;"",IFERROR(INDEX(激励事件明细!$A$2:$A$501,MATCH(E51,激励事件明细!$B$2:$B$501,0)),""),""))</f>
        <v/>
      </c>
      <c r="U51" s="4" t="str">
        <f>IF(T51="","",IFERROR(INDEX(激励事件明细!$B$2:$B$501,MATCH(T51,激励事件明细!$A$2:$A$501,0)),""))</f>
        <v/>
      </c>
      <c r="V51" s="4" t="str">
        <f>IF(A51="","",COUNTIF($A$2:A51,A51))</f>
        <v/>
      </c>
      <c r="W51" s="4" t="str">
        <f t="shared" si="5"/>
        <v/>
      </c>
    </row>
    <row r="52" spans="1:23" x14ac:dyDescent="0.3">
      <c r="A52" s="4" t="str">
        <f>IF(T52="","",IFERROR(INDEX(激励事件明细!$C$2:$C$501,MATCH(T52,激励事件明细!$A$2:$A$501,0)),""))</f>
        <v/>
      </c>
      <c r="B52" s="4" t="str">
        <f>IF(A52="","",IFERROR(INDEX(激励事件明细!$D$2:$D$501,MATCH(T52,激励事件明细!$A$2:$A$501,0)),""))</f>
        <v/>
      </c>
      <c r="C52" s="4" t="str">
        <f>IF(A52="","",IFERROR(INDEX(激励事件明细!$H$2:$H$501,MATCH(T52,激励事件明细!$A$2:$A$501,0)),""))</f>
        <v/>
      </c>
      <c r="D52" s="9"/>
      <c r="E52" s="9"/>
      <c r="F52" s="15" t="str">
        <f>IF(A52="","",IFERROR(INDEX(激励事件明细!$AA$2:$AA$501,MATCH(T52,激励事件明细!$A$2:$A$501,0)),""))</f>
        <v/>
      </c>
      <c r="G52" s="17" t="str">
        <f>IF(A52="","",IFERROR(INDEX(激励事件明细!$AB$2:$AB$501,MATCH(T52,激励事件明细!$A$2:$A$501,0)),""))</f>
        <v/>
      </c>
      <c r="H52" s="17" t="str">
        <f>IF(A52="","",IFERROR(INDEX(激励事件明细!$AC$2:$AC$501,MATCH(T52,激励事件明细!$A$2:$A$501,0)),""))</f>
        <v/>
      </c>
      <c r="I52" s="13"/>
      <c r="J52" s="14"/>
      <c r="K52" s="14"/>
      <c r="L52" s="9"/>
      <c r="M52" s="15" t="str">
        <f t="shared" si="0"/>
        <v/>
      </c>
      <c r="N52" s="15" t="str">
        <f t="shared" si="1"/>
        <v/>
      </c>
      <c r="O52" s="4" t="str">
        <f t="shared" ca="1" si="2"/>
        <v/>
      </c>
      <c r="P52" s="17" t="str">
        <f>IF(A52="","",IFERROR(IF(INDEX(激励事件明细!$P$2:$P$501,MATCH(T52,激励事件明细!$A$2:$A$501,0))=0,"",INDEX(激励事件明细!$P$2:$P$501,MATCH(T52,激励事件明细!$A$2:$A$501,0))),""))</f>
        <v/>
      </c>
      <c r="Q52" s="4" t="str">
        <f t="shared" si="3"/>
        <v>无效</v>
      </c>
      <c r="R52" s="4" t="str">
        <f t="shared" ca="1" si="4"/>
        <v>异常：必须关联有效事件编号或税额批次</v>
      </c>
      <c r="S52" s="9"/>
      <c r="T52" s="4" t="str">
        <f>IF(D52&lt;&gt;"",IF(COUNTIF(激励事件明细!$A$2:$A$501,D52)=1,D52,""),IF(E52&lt;&gt;"",IFERROR(INDEX(激励事件明细!$A$2:$A$501,MATCH(E52,激励事件明细!$B$2:$B$501,0)),""),""))</f>
        <v/>
      </c>
      <c r="U52" s="4" t="str">
        <f>IF(T52="","",IFERROR(INDEX(激励事件明细!$B$2:$B$501,MATCH(T52,激励事件明细!$A$2:$A$501,0)),""))</f>
        <v/>
      </c>
      <c r="V52" s="4" t="str">
        <f>IF(A52="","",COUNTIF($A$2:A52,A52))</f>
        <v/>
      </c>
      <c r="W52" s="4" t="str">
        <f t="shared" si="5"/>
        <v/>
      </c>
    </row>
    <row r="53" spans="1:23" x14ac:dyDescent="0.3">
      <c r="A53" s="4" t="str">
        <f>IF(T53="","",IFERROR(INDEX(激励事件明细!$C$2:$C$501,MATCH(T53,激励事件明细!$A$2:$A$501,0)),""))</f>
        <v/>
      </c>
      <c r="B53" s="4" t="str">
        <f>IF(A53="","",IFERROR(INDEX(激励事件明细!$D$2:$D$501,MATCH(T53,激励事件明细!$A$2:$A$501,0)),""))</f>
        <v/>
      </c>
      <c r="C53" s="4" t="str">
        <f>IF(A53="","",IFERROR(INDEX(激励事件明细!$H$2:$H$501,MATCH(T53,激励事件明细!$A$2:$A$501,0)),""))</f>
        <v/>
      </c>
      <c r="D53" s="9"/>
      <c r="E53" s="9"/>
      <c r="F53" s="15" t="str">
        <f>IF(A53="","",IFERROR(INDEX(激励事件明细!$AA$2:$AA$501,MATCH(T53,激励事件明细!$A$2:$A$501,0)),""))</f>
        <v/>
      </c>
      <c r="G53" s="17" t="str">
        <f>IF(A53="","",IFERROR(INDEX(激励事件明细!$AB$2:$AB$501,MATCH(T53,激励事件明细!$A$2:$A$501,0)),""))</f>
        <v/>
      </c>
      <c r="H53" s="17" t="str">
        <f>IF(A53="","",IFERROR(INDEX(激励事件明细!$AC$2:$AC$501,MATCH(T53,激励事件明细!$A$2:$A$501,0)),""))</f>
        <v/>
      </c>
      <c r="I53" s="13"/>
      <c r="J53" s="14"/>
      <c r="K53" s="14"/>
      <c r="L53" s="9"/>
      <c r="M53" s="15" t="str">
        <f t="shared" si="0"/>
        <v/>
      </c>
      <c r="N53" s="15" t="str">
        <f t="shared" si="1"/>
        <v/>
      </c>
      <c r="O53" s="4" t="str">
        <f t="shared" ca="1" si="2"/>
        <v/>
      </c>
      <c r="P53" s="17" t="str">
        <f>IF(A53="","",IFERROR(IF(INDEX(激励事件明细!$P$2:$P$501,MATCH(T53,激励事件明细!$A$2:$A$501,0))=0,"",INDEX(激励事件明细!$P$2:$P$501,MATCH(T53,激励事件明细!$A$2:$A$501,0))),""))</f>
        <v/>
      </c>
      <c r="Q53" s="4" t="str">
        <f t="shared" si="3"/>
        <v>无效</v>
      </c>
      <c r="R53" s="4" t="str">
        <f t="shared" ca="1" si="4"/>
        <v>异常：必须关联有效事件编号或税额批次</v>
      </c>
      <c r="S53" s="9"/>
      <c r="T53" s="4" t="str">
        <f>IF(D53&lt;&gt;"",IF(COUNTIF(激励事件明细!$A$2:$A$501,D53)=1,D53,""),IF(E53&lt;&gt;"",IFERROR(INDEX(激励事件明细!$A$2:$A$501,MATCH(E53,激励事件明细!$B$2:$B$501,0)),""),""))</f>
        <v/>
      </c>
      <c r="U53" s="4" t="str">
        <f>IF(T53="","",IFERROR(INDEX(激励事件明细!$B$2:$B$501,MATCH(T53,激励事件明细!$A$2:$A$501,0)),""))</f>
        <v/>
      </c>
      <c r="V53" s="4" t="str">
        <f>IF(A53="","",COUNTIF($A$2:A53,A53))</f>
        <v/>
      </c>
      <c r="W53" s="4" t="str">
        <f t="shared" si="5"/>
        <v/>
      </c>
    </row>
    <row r="54" spans="1:23" x14ac:dyDescent="0.3">
      <c r="A54" s="4" t="str">
        <f>IF(T54="","",IFERROR(INDEX(激励事件明细!$C$2:$C$501,MATCH(T54,激励事件明细!$A$2:$A$501,0)),""))</f>
        <v/>
      </c>
      <c r="B54" s="4" t="str">
        <f>IF(A54="","",IFERROR(INDEX(激励事件明细!$D$2:$D$501,MATCH(T54,激励事件明细!$A$2:$A$501,0)),""))</f>
        <v/>
      </c>
      <c r="C54" s="4" t="str">
        <f>IF(A54="","",IFERROR(INDEX(激励事件明细!$H$2:$H$501,MATCH(T54,激励事件明细!$A$2:$A$501,0)),""))</f>
        <v/>
      </c>
      <c r="D54" s="9"/>
      <c r="E54" s="9"/>
      <c r="F54" s="15" t="str">
        <f>IF(A54="","",IFERROR(INDEX(激励事件明细!$AA$2:$AA$501,MATCH(T54,激励事件明细!$A$2:$A$501,0)),""))</f>
        <v/>
      </c>
      <c r="G54" s="17" t="str">
        <f>IF(A54="","",IFERROR(INDEX(激励事件明细!$AB$2:$AB$501,MATCH(T54,激励事件明细!$A$2:$A$501,0)),""))</f>
        <v/>
      </c>
      <c r="H54" s="17" t="str">
        <f>IF(A54="","",IFERROR(INDEX(激励事件明细!$AC$2:$AC$501,MATCH(T54,激励事件明细!$A$2:$A$501,0)),""))</f>
        <v/>
      </c>
      <c r="I54" s="13"/>
      <c r="J54" s="14"/>
      <c r="K54" s="14"/>
      <c r="L54" s="9"/>
      <c r="M54" s="15" t="str">
        <f t="shared" si="0"/>
        <v/>
      </c>
      <c r="N54" s="15" t="str">
        <f t="shared" si="1"/>
        <v/>
      </c>
      <c r="O54" s="4" t="str">
        <f t="shared" ca="1" si="2"/>
        <v/>
      </c>
      <c r="P54" s="17" t="str">
        <f>IF(A54="","",IFERROR(IF(INDEX(激励事件明细!$P$2:$P$501,MATCH(T54,激励事件明细!$A$2:$A$501,0))=0,"",INDEX(激励事件明细!$P$2:$P$501,MATCH(T54,激励事件明细!$A$2:$A$501,0))),""))</f>
        <v/>
      </c>
      <c r="Q54" s="4" t="str">
        <f t="shared" si="3"/>
        <v>无效</v>
      </c>
      <c r="R54" s="4" t="str">
        <f t="shared" ca="1" si="4"/>
        <v>异常：必须关联有效事件编号或税额批次</v>
      </c>
      <c r="S54" s="9"/>
      <c r="T54" s="4" t="str">
        <f>IF(D54&lt;&gt;"",IF(COUNTIF(激励事件明细!$A$2:$A$501,D54)=1,D54,""),IF(E54&lt;&gt;"",IFERROR(INDEX(激励事件明细!$A$2:$A$501,MATCH(E54,激励事件明细!$B$2:$B$501,0)),""),""))</f>
        <v/>
      </c>
      <c r="U54" s="4" t="str">
        <f>IF(T54="","",IFERROR(INDEX(激励事件明细!$B$2:$B$501,MATCH(T54,激励事件明细!$A$2:$A$501,0)),""))</f>
        <v/>
      </c>
      <c r="V54" s="4" t="str">
        <f>IF(A54="","",COUNTIF($A$2:A54,A54))</f>
        <v/>
      </c>
      <c r="W54" s="4" t="str">
        <f t="shared" si="5"/>
        <v/>
      </c>
    </row>
    <row r="55" spans="1:23" x14ac:dyDescent="0.3">
      <c r="A55" s="4" t="str">
        <f>IF(T55="","",IFERROR(INDEX(激励事件明细!$C$2:$C$501,MATCH(T55,激励事件明细!$A$2:$A$501,0)),""))</f>
        <v/>
      </c>
      <c r="B55" s="4" t="str">
        <f>IF(A55="","",IFERROR(INDEX(激励事件明细!$D$2:$D$501,MATCH(T55,激励事件明细!$A$2:$A$501,0)),""))</f>
        <v/>
      </c>
      <c r="C55" s="4" t="str">
        <f>IF(A55="","",IFERROR(INDEX(激励事件明细!$H$2:$H$501,MATCH(T55,激励事件明细!$A$2:$A$501,0)),""))</f>
        <v/>
      </c>
      <c r="D55" s="9"/>
      <c r="E55" s="9"/>
      <c r="F55" s="15" t="str">
        <f>IF(A55="","",IFERROR(INDEX(激励事件明细!$AA$2:$AA$501,MATCH(T55,激励事件明细!$A$2:$A$501,0)),""))</f>
        <v/>
      </c>
      <c r="G55" s="17" t="str">
        <f>IF(A55="","",IFERROR(INDEX(激励事件明细!$AB$2:$AB$501,MATCH(T55,激励事件明细!$A$2:$A$501,0)),""))</f>
        <v/>
      </c>
      <c r="H55" s="17" t="str">
        <f>IF(A55="","",IFERROR(INDEX(激励事件明细!$AC$2:$AC$501,MATCH(T55,激励事件明细!$A$2:$A$501,0)),""))</f>
        <v/>
      </c>
      <c r="I55" s="13"/>
      <c r="J55" s="14"/>
      <c r="K55" s="14"/>
      <c r="L55" s="9"/>
      <c r="M55" s="15" t="str">
        <f t="shared" si="0"/>
        <v/>
      </c>
      <c r="N55" s="15" t="str">
        <f t="shared" si="1"/>
        <v/>
      </c>
      <c r="O55" s="4" t="str">
        <f t="shared" ca="1" si="2"/>
        <v/>
      </c>
      <c r="P55" s="17" t="str">
        <f>IF(A55="","",IFERROR(IF(INDEX(激励事件明细!$P$2:$P$501,MATCH(T55,激励事件明细!$A$2:$A$501,0))=0,"",INDEX(激励事件明细!$P$2:$P$501,MATCH(T55,激励事件明细!$A$2:$A$501,0))),""))</f>
        <v/>
      </c>
      <c r="Q55" s="4" t="str">
        <f t="shared" si="3"/>
        <v>无效</v>
      </c>
      <c r="R55" s="4" t="str">
        <f t="shared" ca="1" si="4"/>
        <v>异常：必须关联有效事件编号或税额批次</v>
      </c>
      <c r="S55" s="9"/>
      <c r="T55" s="4" t="str">
        <f>IF(D55&lt;&gt;"",IF(COUNTIF(激励事件明细!$A$2:$A$501,D55)=1,D55,""),IF(E55&lt;&gt;"",IFERROR(INDEX(激励事件明细!$A$2:$A$501,MATCH(E55,激励事件明细!$B$2:$B$501,0)),""),""))</f>
        <v/>
      </c>
      <c r="U55" s="4" t="str">
        <f>IF(T55="","",IFERROR(INDEX(激励事件明细!$B$2:$B$501,MATCH(T55,激励事件明细!$A$2:$A$501,0)),""))</f>
        <v/>
      </c>
      <c r="V55" s="4" t="str">
        <f>IF(A55="","",COUNTIF($A$2:A55,A55))</f>
        <v/>
      </c>
      <c r="W55" s="4" t="str">
        <f t="shared" si="5"/>
        <v/>
      </c>
    </row>
    <row r="56" spans="1:23" x14ac:dyDescent="0.3">
      <c r="A56" s="4" t="str">
        <f>IF(T56="","",IFERROR(INDEX(激励事件明细!$C$2:$C$501,MATCH(T56,激励事件明细!$A$2:$A$501,0)),""))</f>
        <v/>
      </c>
      <c r="B56" s="4" t="str">
        <f>IF(A56="","",IFERROR(INDEX(激励事件明细!$D$2:$D$501,MATCH(T56,激励事件明细!$A$2:$A$501,0)),""))</f>
        <v/>
      </c>
      <c r="C56" s="4" t="str">
        <f>IF(A56="","",IFERROR(INDEX(激励事件明细!$H$2:$H$501,MATCH(T56,激励事件明细!$A$2:$A$501,0)),""))</f>
        <v/>
      </c>
      <c r="D56" s="9"/>
      <c r="E56" s="9"/>
      <c r="F56" s="15" t="str">
        <f>IF(A56="","",IFERROR(INDEX(激励事件明细!$AA$2:$AA$501,MATCH(T56,激励事件明细!$A$2:$A$501,0)),""))</f>
        <v/>
      </c>
      <c r="G56" s="17" t="str">
        <f>IF(A56="","",IFERROR(INDEX(激励事件明细!$AB$2:$AB$501,MATCH(T56,激励事件明细!$A$2:$A$501,0)),""))</f>
        <v/>
      </c>
      <c r="H56" s="17" t="str">
        <f>IF(A56="","",IFERROR(INDEX(激励事件明细!$AC$2:$AC$501,MATCH(T56,激励事件明细!$A$2:$A$501,0)),""))</f>
        <v/>
      </c>
      <c r="I56" s="13"/>
      <c r="J56" s="14"/>
      <c r="K56" s="14"/>
      <c r="L56" s="9"/>
      <c r="M56" s="15" t="str">
        <f t="shared" si="0"/>
        <v/>
      </c>
      <c r="N56" s="15" t="str">
        <f t="shared" si="1"/>
        <v/>
      </c>
      <c r="O56" s="4" t="str">
        <f t="shared" ca="1" si="2"/>
        <v/>
      </c>
      <c r="P56" s="17" t="str">
        <f>IF(A56="","",IFERROR(IF(INDEX(激励事件明细!$P$2:$P$501,MATCH(T56,激励事件明细!$A$2:$A$501,0))=0,"",INDEX(激励事件明细!$P$2:$P$501,MATCH(T56,激励事件明细!$A$2:$A$501,0))),""))</f>
        <v/>
      </c>
      <c r="Q56" s="4" t="str">
        <f t="shared" si="3"/>
        <v>无效</v>
      </c>
      <c r="R56" s="4" t="str">
        <f t="shared" ca="1" si="4"/>
        <v>异常：必须关联有效事件编号或税额批次</v>
      </c>
      <c r="S56" s="9"/>
      <c r="T56" s="4" t="str">
        <f>IF(D56&lt;&gt;"",IF(COUNTIF(激励事件明细!$A$2:$A$501,D56)=1,D56,""),IF(E56&lt;&gt;"",IFERROR(INDEX(激励事件明细!$A$2:$A$501,MATCH(E56,激励事件明细!$B$2:$B$501,0)),""),""))</f>
        <v/>
      </c>
      <c r="U56" s="4" t="str">
        <f>IF(T56="","",IFERROR(INDEX(激励事件明细!$B$2:$B$501,MATCH(T56,激励事件明细!$A$2:$A$501,0)),""))</f>
        <v/>
      </c>
      <c r="V56" s="4" t="str">
        <f>IF(A56="","",COUNTIF($A$2:A56,A56))</f>
        <v/>
      </c>
      <c r="W56" s="4" t="str">
        <f t="shared" si="5"/>
        <v/>
      </c>
    </row>
    <row r="57" spans="1:23" x14ac:dyDescent="0.3">
      <c r="A57" s="4" t="str">
        <f>IF(T57="","",IFERROR(INDEX(激励事件明细!$C$2:$C$501,MATCH(T57,激励事件明细!$A$2:$A$501,0)),""))</f>
        <v/>
      </c>
      <c r="B57" s="4" t="str">
        <f>IF(A57="","",IFERROR(INDEX(激励事件明细!$D$2:$D$501,MATCH(T57,激励事件明细!$A$2:$A$501,0)),""))</f>
        <v/>
      </c>
      <c r="C57" s="4" t="str">
        <f>IF(A57="","",IFERROR(INDEX(激励事件明细!$H$2:$H$501,MATCH(T57,激励事件明细!$A$2:$A$501,0)),""))</f>
        <v/>
      </c>
      <c r="D57" s="9"/>
      <c r="E57" s="9"/>
      <c r="F57" s="15" t="str">
        <f>IF(A57="","",IFERROR(INDEX(激励事件明细!$AA$2:$AA$501,MATCH(T57,激励事件明细!$A$2:$A$501,0)),""))</f>
        <v/>
      </c>
      <c r="G57" s="17" t="str">
        <f>IF(A57="","",IFERROR(INDEX(激励事件明细!$AB$2:$AB$501,MATCH(T57,激励事件明细!$A$2:$A$501,0)),""))</f>
        <v/>
      </c>
      <c r="H57" s="17" t="str">
        <f>IF(A57="","",IFERROR(INDEX(激励事件明细!$AC$2:$AC$501,MATCH(T57,激励事件明细!$A$2:$A$501,0)),""))</f>
        <v/>
      </c>
      <c r="I57" s="13"/>
      <c r="J57" s="14"/>
      <c r="K57" s="14"/>
      <c r="L57" s="9"/>
      <c r="M57" s="15" t="str">
        <f t="shared" si="0"/>
        <v/>
      </c>
      <c r="N57" s="15" t="str">
        <f t="shared" si="1"/>
        <v/>
      </c>
      <c r="O57" s="4" t="str">
        <f t="shared" ca="1" si="2"/>
        <v/>
      </c>
      <c r="P57" s="17" t="str">
        <f>IF(A57="","",IFERROR(IF(INDEX(激励事件明细!$P$2:$P$501,MATCH(T57,激励事件明细!$A$2:$A$501,0))=0,"",INDEX(激励事件明细!$P$2:$P$501,MATCH(T57,激励事件明细!$A$2:$A$501,0))),""))</f>
        <v/>
      </c>
      <c r="Q57" s="4" t="str">
        <f t="shared" si="3"/>
        <v>无效</v>
      </c>
      <c r="R57" s="4" t="str">
        <f t="shared" ca="1" si="4"/>
        <v>异常：必须关联有效事件编号或税额批次</v>
      </c>
      <c r="S57" s="9"/>
      <c r="T57" s="4" t="str">
        <f>IF(D57&lt;&gt;"",IF(COUNTIF(激励事件明细!$A$2:$A$501,D57)=1,D57,""),IF(E57&lt;&gt;"",IFERROR(INDEX(激励事件明细!$A$2:$A$501,MATCH(E57,激励事件明细!$B$2:$B$501,0)),""),""))</f>
        <v/>
      </c>
      <c r="U57" s="4" t="str">
        <f>IF(T57="","",IFERROR(INDEX(激励事件明细!$B$2:$B$501,MATCH(T57,激励事件明细!$A$2:$A$501,0)),""))</f>
        <v/>
      </c>
      <c r="V57" s="4" t="str">
        <f>IF(A57="","",COUNTIF($A$2:A57,A57))</f>
        <v/>
      </c>
      <c r="W57" s="4" t="str">
        <f t="shared" si="5"/>
        <v/>
      </c>
    </row>
    <row r="58" spans="1:23" x14ac:dyDescent="0.3">
      <c r="A58" s="4" t="str">
        <f>IF(T58="","",IFERROR(INDEX(激励事件明细!$C$2:$C$501,MATCH(T58,激励事件明细!$A$2:$A$501,0)),""))</f>
        <v/>
      </c>
      <c r="B58" s="4" t="str">
        <f>IF(A58="","",IFERROR(INDEX(激励事件明细!$D$2:$D$501,MATCH(T58,激励事件明细!$A$2:$A$501,0)),""))</f>
        <v/>
      </c>
      <c r="C58" s="4" t="str">
        <f>IF(A58="","",IFERROR(INDEX(激励事件明细!$H$2:$H$501,MATCH(T58,激励事件明细!$A$2:$A$501,0)),""))</f>
        <v/>
      </c>
      <c r="D58" s="9"/>
      <c r="E58" s="9"/>
      <c r="F58" s="15" t="str">
        <f>IF(A58="","",IFERROR(INDEX(激励事件明细!$AA$2:$AA$501,MATCH(T58,激励事件明细!$A$2:$A$501,0)),""))</f>
        <v/>
      </c>
      <c r="G58" s="17" t="str">
        <f>IF(A58="","",IFERROR(INDEX(激励事件明细!$AB$2:$AB$501,MATCH(T58,激励事件明细!$A$2:$A$501,0)),""))</f>
        <v/>
      </c>
      <c r="H58" s="17" t="str">
        <f>IF(A58="","",IFERROR(INDEX(激励事件明细!$AC$2:$AC$501,MATCH(T58,激励事件明细!$A$2:$A$501,0)),""))</f>
        <v/>
      </c>
      <c r="I58" s="13"/>
      <c r="J58" s="14"/>
      <c r="K58" s="14"/>
      <c r="L58" s="9"/>
      <c r="M58" s="15" t="str">
        <f t="shared" si="0"/>
        <v/>
      </c>
      <c r="N58" s="15" t="str">
        <f t="shared" si="1"/>
        <v/>
      </c>
      <c r="O58" s="4" t="str">
        <f t="shared" ca="1" si="2"/>
        <v/>
      </c>
      <c r="P58" s="17" t="str">
        <f>IF(A58="","",IFERROR(IF(INDEX(激励事件明细!$P$2:$P$501,MATCH(T58,激励事件明细!$A$2:$A$501,0))=0,"",INDEX(激励事件明细!$P$2:$P$501,MATCH(T58,激励事件明细!$A$2:$A$501,0))),""))</f>
        <v/>
      </c>
      <c r="Q58" s="4" t="str">
        <f t="shared" si="3"/>
        <v>无效</v>
      </c>
      <c r="R58" s="4" t="str">
        <f t="shared" ca="1" si="4"/>
        <v>异常：必须关联有效事件编号或税额批次</v>
      </c>
      <c r="S58" s="9"/>
      <c r="T58" s="4" t="str">
        <f>IF(D58&lt;&gt;"",IF(COUNTIF(激励事件明细!$A$2:$A$501,D58)=1,D58,""),IF(E58&lt;&gt;"",IFERROR(INDEX(激励事件明细!$A$2:$A$501,MATCH(E58,激励事件明细!$B$2:$B$501,0)),""),""))</f>
        <v/>
      </c>
      <c r="U58" s="4" t="str">
        <f>IF(T58="","",IFERROR(INDEX(激励事件明细!$B$2:$B$501,MATCH(T58,激励事件明细!$A$2:$A$501,0)),""))</f>
        <v/>
      </c>
      <c r="V58" s="4" t="str">
        <f>IF(A58="","",COUNTIF($A$2:A58,A58))</f>
        <v/>
      </c>
      <c r="W58" s="4" t="str">
        <f t="shared" si="5"/>
        <v/>
      </c>
    </row>
    <row r="59" spans="1:23" x14ac:dyDescent="0.3">
      <c r="A59" s="4" t="str">
        <f>IF(T59="","",IFERROR(INDEX(激励事件明细!$C$2:$C$501,MATCH(T59,激励事件明细!$A$2:$A$501,0)),""))</f>
        <v/>
      </c>
      <c r="B59" s="4" t="str">
        <f>IF(A59="","",IFERROR(INDEX(激励事件明细!$D$2:$D$501,MATCH(T59,激励事件明细!$A$2:$A$501,0)),""))</f>
        <v/>
      </c>
      <c r="C59" s="4" t="str">
        <f>IF(A59="","",IFERROR(INDEX(激励事件明细!$H$2:$H$501,MATCH(T59,激励事件明细!$A$2:$A$501,0)),""))</f>
        <v/>
      </c>
      <c r="D59" s="9"/>
      <c r="E59" s="9"/>
      <c r="F59" s="15" t="str">
        <f>IF(A59="","",IFERROR(INDEX(激励事件明细!$AA$2:$AA$501,MATCH(T59,激励事件明细!$A$2:$A$501,0)),""))</f>
        <v/>
      </c>
      <c r="G59" s="17" t="str">
        <f>IF(A59="","",IFERROR(INDEX(激励事件明细!$AB$2:$AB$501,MATCH(T59,激励事件明细!$A$2:$A$501,0)),""))</f>
        <v/>
      </c>
      <c r="H59" s="17" t="str">
        <f>IF(A59="","",IFERROR(INDEX(激励事件明细!$AC$2:$AC$501,MATCH(T59,激励事件明细!$A$2:$A$501,0)),""))</f>
        <v/>
      </c>
      <c r="I59" s="13"/>
      <c r="J59" s="14"/>
      <c r="K59" s="14"/>
      <c r="L59" s="9"/>
      <c r="M59" s="15" t="str">
        <f t="shared" si="0"/>
        <v/>
      </c>
      <c r="N59" s="15" t="str">
        <f t="shared" si="1"/>
        <v/>
      </c>
      <c r="O59" s="4" t="str">
        <f t="shared" ca="1" si="2"/>
        <v/>
      </c>
      <c r="P59" s="17" t="str">
        <f>IF(A59="","",IFERROR(IF(INDEX(激励事件明细!$P$2:$P$501,MATCH(T59,激励事件明细!$A$2:$A$501,0))=0,"",INDEX(激励事件明细!$P$2:$P$501,MATCH(T59,激励事件明细!$A$2:$A$501,0))),""))</f>
        <v/>
      </c>
      <c r="Q59" s="4" t="str">
        <f t="shared" si="3"/>
        <v>无效</v>
      </c>
      <c r="R59" s="4" t="str">
        <f t="shared" ca="1" si="4"/>
        <v>异常：必须关联有效事件编号或税额批次</v>
      </c>
      <c r="S59" s="9"/>
      <c r="T59" s="4" t="str">
        <f>IF(D59&lt;&gt;"",IF(COUNTIF(激励事件明细!$A$2:$A$501,D59)=1,D59,""),IF(E59&lt;&gt;"",IFERROR(INDEX(激励事件明细!$A$2:$A$501,MATCH(E59,激励事件明细!$B$2:$B$501,0)),""),""))</f>
        <v/>
      </c>
      <c r="U59" s="4" t="str">
        <f>IF(T59="","",IFERROR(INDEX(激励事件明细!$B$2:$B$501,MATCH(T59,激励事件明细!$A$2:$A$501,0)),""))</f>
        <v/>
      </c>
      <c r="V59" s="4" t="str">
        <f>IF(A59="","",COUNTIF($A$2:A59,A59))</f>
        <v/>
      </c>
      <c r="W59" s="4" t="str">
        <f t="shared" si="5"/>
        <v/>
      </c>
    </row>
    <row r="60" spans="1:23" x14ac:dyDescent="0.3">
      <c r="A60" s="4" t="str">
        <f>IF(T60="","",IFERROR(INDEX(激励事件明细!$C$2:$C$501,MATCH(T60,激励事件明细!$A$2:$A$501,0)),""))</f>
        <v/>
      </c>
      <c r="B60" s="4" t="str">
        <f>IF(A60="","",IFERROR(INDEX(激励事件明细!$D$2:$D$501,MATCH(T60,激励事件明细!$A$2:$A$501,0)),""))</f>
        <v/>
      </c>
      <c r="C60" s="4" t="str">
        <f>IF(A60="","",IFERROR(INDEX(激励事件明细!$H$2:$H$501,MATCH(T60,激励事件明细!$A$2:$A$501,0)),""))</f>
        <v/>
      </c>
      <c r="D60" s="9"/>
      <c r="E60" s="9"/>
      <c r="F60" s="15" t="str">
        <f>IF(A60="","",IFERROR(INDEX(激励事件明细!$AA$2:$AA$501,MATCH(T60,激励事件明细!$A$2:$A$501,0)),""))</f>
        <v/>
      </c>
      <c r="G60" s="17" t="str">
        <f>IF(A60="","",IFERROR(INDEX(激励事件明细!$AB$2:$AB$501,MATCH(T60,激励事件明细!$A$2:$A$501,0)),""))</f>
        <v/>
      </c>
      <c r="H60" s="17" t="str">
        <f>IF(A60="","",IFERROR(INDEX(激励事件明细!$AC$2:$AC$501,MATCH(T60,激励事件明细!$A$2:$A$501,0)),""))</f>
        <v/>
      </c>
      <c r="I60" s="13"/>
      <c r="J60" s="14"/>
      <c r="K60" s="14"/>
      <c r="L60" s="9"/>
      <c r="M60" s="15" t="str">
        <f t="shared" si="0"/>
        <v/>
      </c>
      <c r="N60" s="15" t="str">
        <f t="shared" si="1"/>
        <v/>
      </c>
      <c r="O60" s="4" t="str">
        <f t="shared" ca="1" si="2"/>
        <v/>
      </c>
      <c r="P60" s="17" t="str">
        <f>IF(A60="","",IFERROR(IF(INDEX(激励事件明细!$P$2:$P$501,MATCH(T60,激励事件明细!$A$2:$A$501,0))=0,"",INDEX(激励事件明细!$P$2:$P$501,MATCH(T60,激励事件明细!$A$2:$A$501,0))),""))</f>
        <v/>
      </c>
      <c r="Q60" s="4" t="str">
        <f t="shared" si="3"/>
        <v>无效</v>
      </c>
      <c r="R60" s="4" t="str">
        <f t="shared" ca="1" si="4"/>
        <v>异常：必须关联有效事件编号或税额批次</v>
      </c>
      <c r="S60" s="9"/>
      <c r="T60" s="4" t="str">
        <f>IF(D60&lt;&gt;"",IF(COUNTIF(激励事件明细!$A$2:$A$501,D60)=1,D60,""),IF(E60&lt;&gt;"",IFERROR(INDEX(激励事件明细!$A$2:$A$501,MATCH(E60,激励事件明细!$B$2:$B$501,0)),""),""))</f>
        <v/>
      </c>
      <c r="U60" s="4" t="str">
        <f>IF(T60="","",IFERROR(INDEX(激励事件明细!$B$2:$B$501,MATCH(T60,激励事件明细!$A$2:$A$501,0)),""))</f>
        <v/>
      </c>
      <c r="V60" s="4" t="str">
        <f>IF(A60="","",COUNTIF($A$2:A60,A60))</f>
        <v/>
      </c>
      <c r="W60" s="4" t="str">
        <f t="shared" si="5"/>
        <v/>
      </c>
    </row>
    <row r="61" spans="1:23" x14ac:dyDescent="0.3">
      <c r="A61" s="4" t="str">
        <f>IF(T61="","",IFERROR(INDEX(激励事件明细!$C$2:$C$501,MATCH(T61,激励事件明细!$A$2:$A$501,0)),""))</f>
        <v/>
      </c>
      <c r="B61" s="4" t="str">
        <f>IF(A61="","",IFERROR(INDEX(激励事件明细!$D$2:$D$501,MATCH(T61,激励事件明细!$A$2:$A$501,0)),""))</f>
        <v/>
      </c>
      <c r="C61" s="4" t="str">
        <f>IF(A61="","",IFERROR(INDEX(激励事件明细!$H$2:$H$501,MATCH(T61,激励事件明细!$A$2:$A$501,0)),""))</f>
        <v/>
      </c>
      <c r="D61" s="9"/>
      <c r="E61" s="9"/>
      <c r="F61" s="15" t="str">
        <f>IF(A61="","",IFERROR(INDEX(激励事件明细!$AA$2:$AA$501,MATCH(T61,激励事件明细!$A$2:$A$501,0)),""))</f>
        <v/>
      </c>
      <c r="G61" s="17" t="str">
        <f>IF(A61="","",IFERROR(INDEX(激励事件明细!$AB$2:$AB$501,MATCH(T61,激励事件明细!$A$2:$A$501,0)),""))</f>
        <v/>
      </c>
      <c r="H61" s="17" t="str">
        <f>IF(A61="","",IFERROR(INDEX(激励事件明细!$AC$2:$AC$501,MATCH(T61,激励事件明细!$A$2:$A$501,0)),""))</f>
        <v/>
      </c>
      <c r="I61" s="13"/>
      <c r="J61" s="14"/>
      <c r="K61" s="14"/>
      <c r="L61" s="9"/>
      <c r="M61" s="15" t="str">
        <f t="shared" si="0"/>
        <v/>
      </c>
      <c r="N61" s="15" t="str">
        <f t="shared" si="1"/>
        <v/>
      </c>
      <c r="O61" s="4" t="str">
        <f t="shared" ca="1" si="2"/>
        <v/>
      </c>
      <c r="P61" s="17" t="str">
        <f>IF(A61="","",IFERROR(IF(INDEX(激励事件明细!$P$2:$P$501,MATCH(T61,激励事件明细!$A$2:$A$501,0))=0,"",INDEX(激励事件明细!$P$2:$P$501,MATCH(T61,激励事件明细!$A$2:$A$501,0))),""))</f>
        <v/>
      </c>
      <c r="Q61" s="4" t="str">
        <f t="shared" si="3"/>
        <v>无效</v>
      </c>
      <c r="R61" s="4" t="str">
        <f t="shared" ca="1" si="4"/>
        <v>异常：必须关联有效事件编号或税额批次</v>
      </c>
      <c r="S61" s="9"/>
      <c r="T61" s="4" t="str">
        <f>IF(D61&lt;&gt;"",IF(COUNTIF(激励事件明细!$A$2:$A$501,D61)=1,D61,""),IF(E61&lt;&gt;"",IFERROR(INDEX(激励事件明细!$A$2:$A$501,MATCH(E61,激励事件明细!$B$2:$B$501,0)),""),""))</f>
        <v/>
      </c>
      <c r="U61" s="4" t="str">
        <f>IF(T61="","",IFERROR(INDEX(激励事件明细!$B$2:$B$501,MATCH(T61,激励事件明细!$A$2:$A$501,0)),""))</f>
        <v/>
      </c>
      <c r="V61" s="4" t="str">
        <f>IF(A61="","",COUNTIF($A$2:A61,A61))</f>
        <v/>
      </c>
      <c r="W61" s="4" t="str">
        <f t="shared" si="5"/>
        <v/>
      </c>
    </row>
    <row r="62" spans="1:23" x14ac:dyDescent="0.3">
      <c r="A62" s="4" t="str">
        <f>IF(T62="","",IFERROR(INDEX(激励事件明细!$C$2:$C$501,MATCH(T62,激励事件明细!$A$2:$A$501,0)),""))</f>
        <v/>
      </c>
      <c r="B62" s="4" t="str">
        <f>IF(A62="","",IFERROR(INDEX(激励事件明细!$D$2:$D$501,MATCH(T62,激励事件明细!$A$2:$A$501,0)),""))</f>
        <v/>
      </c>
      <c r="C62" s="4" t="str">
        <f>IF(A62="","",IFERROR(INDEX(激励事件明细!$H$2:$H$501,MATCH(T62,激励事件明细!$A$2:$A$501,0)),""))</f>
        <v/>
      </c>
      <c r="D62" s="9"/>
      <c r="E62" s="9"/>
      <c r="F62" s="15" t="str">
        <f>IF(A62="","",IFERROR(INDEX(激励事件明细!$AA$2:$AA$501,MATCH(T62,激励事件明细!$A$2:$A$501,0)),""))</f>
        <v/>
      </c>
      <c r="G62" s="17" t="str">
        <f>IF(A62="","",IFERROR(INDEX(激励事件明细!$AB$2:$AB$501,MATCH(T62,激励事件明细!$A$2:$A$501,0)),""))</f>
        <v/>
      </c>
      <c r="H62" s="17" t="str">
        <f>IF(A62="","",IFERROR(INDEX(激励事件明细!$AC$2:$AC$501,MATCH(T62,激励事件明细!$A$2:$A$501,0)),""))</f>
        <v/>
      </c>
      <c r="I62" s="13"/>
      <c r="J62" s="14"/>
      <c r="K62" s="14"/>
      <c r="L62" s="9"/>
      <c r="M62" s="15" t="str">
        <f t="shared" si="0"/>
        <v/>
      </c>
      <c r="N62" s="15" t="str">
        <f t="shared" si="1"/>
        <v/>
      </c>
      <c r="O62" s="4" t="str">
        <f t="shared" ca="1" si="2"/>
        <v/>
      </c>
      <c r="P62" s="17" t="str">
        <f>IF(A62="","",IFERROR(IF(INDEX(激励事件明细!$P$2:$P$501,MATCH(T62,激励事件明细!$A$2:$A$501,0))=0,"",INDEX(激励事件明细!$P$2:$P$501,MATCH(T62,激励事件明细!$A$2:$A$501,0))),""))</f>
        <v/>
      </c>
      <c r="Q62" s="4" t="str">
        <f t="shared" si="3"/>
        <v>无效</v>
      </c>
      <c r="R62" s="4" t="str">
        <f t="shared" ca="1" si="4"/>
        <v>异常：必须关联有效事件编号或税额批次</v>
      </c>
      <c r="S62" s="9"/>
      <c r="T62" s="4" t="str">
        <f>IF(D62&lt;&gt;"",IF(COUNTIF(激励事件明细!$A$2:$A$501,D62)=1,D62,""),IF(E62&lt;&gt;"",IFERROR(INDEX(激励事件明细!$A$2:$A$501,MATCH(E62,激励事件明细!$B$2:$B$501,0)),""),""))</f>
        <v/>
      </c>
      <c r="U62" s="4" t="str">
        <f>IF(T62="","",IFERROR(INDEX(激励事件明细!$B$2:$B$501,MATCH(T62,激励事件明细!$A$2:$A$501,0)),""))</f>
        <v/>
      </c>
      <c r="V62" s="4" t="str">
        <f>IF(A62="","",COUNTIF($A$2:A62,A62))</f>
        <v/>
      </c>
      <c r="W62" s="4" t="str">
        <f t="shared" si="5"/>
        <v/>
      </c>
    </row>
    <row r="63" spans="1:23" x14ac:dyDescent="0.3">
      <c r="A63" s="4" t="str">
        <f>IF(T63="","",IFERROR(INDEX(激励事件明细!$C$2:$C$501,MATCH(T63,激励事件明细!$A$2:$A$501,0)),""))</f>
        <v/>
      </c>
      <c r="B63" s="4" t="str">
        <f>IF(A63="","",IFERROR(INDEX(激励事件明细!$D$2:$D$501,MATCH(T63,激励事件明细!$A$2:$A$501,0)),""))</f>
        <v/>
      </c>
      <c r="C63" s="4" t="str">
        <f>IF(A63="","",IFERROR(INDEX(激励事件明细!$H$2:$H$501,MATCH(T63,激励事件明细!$A$2:$A$501,0)),""))</f>
        <v/>
      </c>
      <c r="D63" s="9"/>
      <c r="E63" s="9"/>
      <c r="F63" s="15" t="str">
        <f>IF(A63="","",IFERROR(INDEX(激励事件明细!$AA$2:$AA$501,MATCH(T63,激励事件明细!$A$2:$A$501,0)),""))</f>
        <v/>
      </c>
      <c r="G63" s="17" t="str">
        <f>IF(A63="","",IFERROR(INDEX(激励事件明细!$AB$2:$AB$501,MATCH(T63,激励事件明细!$A$2:$A$501,0)),""))</f>
        <v/>
      </c>
      <c r="H63" s="17" t="str">
        <f>IF(A63="","",IFERROR(INDEX(激励事件明细!$AC$2:$AC$501,MATCH(T63,激励事件明细!$A$2:$A$501,0)),""))</f>
        <v/>
      </c>
      <c r="I63" s="13"/>
      <c r="J63" s="14"/>
      <c r="K63" s="14"/>
      <c r="L63" s="9"/>
      <c r="M63" s="15" t="str">
        <f t="shared" si="0"/>
        <v/>
      </c>
      <c r="N63" s="15" t="str">
        <f t="shared" si="1"/>
        <v/>
      </c>
      <c r="O63" s="4" t="str">
        <f t="shared" ca="1" si="2"/>
        <v/>
      </c>
      <c r="P63" s="17" t="str">
        <f>IF(A63="","",IFERROR(IF(INDEX(激励事件明细!$P$2:$P$501,MATCH(T63,激励事件明细!$A$2:$A$501,0))=0,"",INDEX(激励事件明细!$P$2:$P$501,MATCH(T63,激励事件明细!$A$2:$A$501,0))),""))</f>
        <v/>
      </c>
      <c r="Q63" s="4" t="str">
        <f t="shared" si="3"/>
        <v>无效</v>
      </c>
      <c r="R63" s="4" t="str">
        <f t="shared" ca="1" si="4"/>
        <v>异常：必须关联有效事件编号或税额批次</v>
      </c>
      <c r="S63" s="9"/>
      <c r="T63" s="4" t="str">
        <f>IF(D63&lt;&gt;"",IF(COUNTIF(激励事件明细!$A$2:$A$501,D63)=1,D63,""),IF(E63&lt;&gt;"",IFERROR(INDEX(激励事件明细!$A$2:$A$501,MATCH(E63,激励事件明细!$B$2:$B$501,0)),""),""))</f>
        <v/>
      </c>
      <c r="U63" s="4" t="str">
        <f>IF(T63="","",IFERROR(INDEX(激励事件明细!$B$2:$B$501,MATCH(T63,激励事件明细!$A$2:$A$501,0)),""))</f>
        <v/>
      </c>
      <c r="V63" s="4" t="str">
        <f>IF(A63="","",COUNTIF($A$2:A63,A63))</f>
        <v/>
      </c>
      <c r="W63" s="4" t="str">
        <f t="shared" si="5"/>
        <v/>
      </c>
    </row>
    <row r="64" spans="1:23" x14ac:dyDescent="0.3">
      <c r="A64" s="4" t="str">
        <f>IF(T64="","",IFERROR(INDEX(激励事件明细!$C$2:$C$501,MATCH(T64,激励事件明细!$A$2:$A$501,0)),""))</f>
        <v/>
      </c>
      <c r="B64" s="4" t="str">
        <f>IF(A64="","",IFERROR(INDEX(激励事件明细!$D$2:$D$501,MATCH(T64,激励事件明细!$A$2:$A$501,0)),""))</f>
        <v/>
      </c>
      <c r="C64" s="4" t="str">
        <f>IF(A64="","",IFERROR(INDEX(激励事件明细!$H$2:$H$501,MATCH(T64,激励事件明细!$A$2:$A$501,0)),""))</f>
        <v/>
      </c>
      <c r="D64" s="9"/>
      <c r="E64" s="9"/>
      <c r="F64" s="15" t="str">
        <f>IF(A64="","",IFERROR(INDEX(激励事件明细!$AA$2:$AA$501,MATCH(T64,激励事件明细!$A$2:$A$501,0)),""))</f>
        <v/>
      </c>
      <c r="G64" s="17" t="str">
        <f>IF(A64="","",IFERROR(INDEX(激励事件明细!$AB$2:$AB$501,MATCH(T64,激励事件明细!$A$2:$A$501,0)),""))</f>
        <v/>
      </c>
      <c r="H64" s="17" t="str">
        <f>IF(A64="","",IFERROR(INDEX(激励事件明细!$AC$2:$AC$501,MATCH(T64,激励事件明细!$A$2:$A$501,0)),""))</f>
        <v/>
      </c>
      <c r="I64" s="13"/>
      <c r="J64" s="14"/>
      <c r="K64" s="14"/>
      <c r="L64" s="9"/>
      <c r="M64" s="15" t="str">
        <f t="shared" si="0"/>
        <v/>
      </c>
      <c r="N64" s="15" t="str">
        <f t="shared" si="1"/>
        <v/>
      </c>
      <c r="O64" s="4" t="str">
        <f t="shared" ca="1" si="2"/>
        <v/>
      </c>
      <c r="P64" s="17" t="str">
        <f>IF(A64="","",IFERROR(IF(INDEX(激励事件明细!$P$2:$P$501,MATCH(T64,激励事件明细!$A$2:$A$501,0))=0,"",INDEX(激励事件明细!$P$2:$P$501,MATCH(T64,激励事件明细!$A$2:$A$501,0))),""))</f>
        <v/>
      </c>
      <c r="Q64" s="4" t="str">
        <f t="shared" si="3"/>
        <v>无效</v>
      </c>
      <c r="R64" s="4" t="str">
        <f t="shared" ca="1" si="4"/>
        <v>异常：必须关联有效事件编号或税额批次</v>
      </c>
      <c r="S64" s="9"/>
      <c r="T64" s="4" t="str">
        <f>IF(D64&lt;&gt;"",IF(COUNTIF(激励事件明细!$A$2:$A$501,D64)=1,D64,""),IF(E64&lt;&gt;"",IFERROR(INDEX(激励事件明细!$A$2:$A$501,MATCH(E64,激励事件明细!$B$2:$B$501,0)),""),""))</f>
        <v/>
      </c>
      <c r="U64" s="4" t="str">
        <f>IF(T64="","",IFERROR(INDEX(激励事件明细!$B$2:$B$501,MATCH(T64,激励事件明细!$A$2:$A$501,0)),""))</f>
        <v/>
      </c>
      <c r="V64" s="4" t="str">
        <f>IF(A64="","",COUNTIF($A$2:A64,A64))</f>
        <v/>
      </c>
      <c r="W64" s="4" t="str">
        <f t="shared" si="5"/>
        <v/>
      </c>
    </row>
    <row r="65" spans="1:23" x14ac:dyDescent="0.3">
      <c r="A65" s="4" t="str">
        <f>IF(T65="","",IFERROR(INDEX(激励事件明细!$C$2:$C$501,MATCH(T65,激励事件明细!$A$2:$A$501,0)),""))</f>
        <v/>
      </c>
      <c r="B65" s="4" t="str">
        <f>IF(A65="","",IFERROR(INDEX(激励事件明细!$D$2:$D$501,MATCH(T65,激励事件明细!$A$2:$A$501,0)),""))</f>
        <v/>
      </c>
      <c r="C65" s="4" t="str">
        <f>IF(A65="","",IFERROR(INDEX(激励事件明细!$H$2:$H$501,MATCH(T65,激励事件明细!$A$2:$A$501,0)),""))</f>
        <v/>
      </c>
      <c r="D65" s="9"/>
      <c r="E65" s="9"/>
      <c r="F65" s="15" t="str">
        <f>IF(A65="","",IFERROR(INDEX(激励事件明细!$AA$2:$AA$501,MATCH(T65,激励事件明细!$A$2:$A$501,0)),""))</f>
        <v/>
      </c>
      <c r="G65" s="17" t="str">
        <f>IF(A65="","",IFERROR(INDEX(激励事件明细!$AB$2:$AB$501,MATCH(T65,激励事件明细!$A$2:$A$501,0)),""))</f>
        <v/>
      </c>
      <c r="H65" s="17" t="str">
        <f>IF(A65="","",IFERROR(INDEX(激励事件明细!$AC$2:$AC$501,MATCH(T65,激励事件明细!$A$2:$A$501,0)),""))</f>
        <v/>
      </c>
      <c r="I65" s="13"/>
      <c r="J65" s="14"/>
      <c r="K65" s="14"/>
      <c r="L65" s="9"/>
      <c r="M65" s="15" t="str">
        <f t="shared" si="0"/>
        <v/>
      </c>
      <c r="N65" s="15" t="str">
        <f t="shared" si="1"/>
        <v/>
      </c>
      <c r="O65" s="4" t="str">
        <f t="shared" ca="1" si="2"/>
        <v/>
      </c>
      <c r="P65" s="17" t="str">
        <f>IF(A65="","",IFERROR(IF(INDEX(激励事件明细!$P$2:$P$501,MATCH(T65,激励事件明细!$A$2:$A$501,0))=0,"",INDEX(激励事件明细!$P$2:$P$501,MATCH(T65,激励事件明细!$A$2:$A$501,0))),""))</f>
        <v/>
      </c>
      <c r="Q65" s="4" t="str">
        <f t="shared" si="3"/>
        <v>无效</v>
      </c>
      <c r="R65" s="4" t="str">
        <f t="shared" ca="1" si="4"/>
        <v>异常：必须关联有效事件编号或税额批次</v>
      </c>
      <c r="S65" s="9"/>
      <c r="T65" s="4" t="str">
        <f>IF(D65&lt;&gt;"",IF(COUNTIF(激励事件明细!$A$2:$A$501,D65)=1,D65,""),IF(E65&lt;&gt;"",IFERROR(INDEX(激励事件明细!$A$2:$A$501,MATCH(E65,激励事件明细!$B$2:$B$501,0)),""),""))</f>
        <v/>
      </c>
      <c r="U65" s="4" t="str">
        <f>IF(T65="","",IFERROR(INDEX(激励事件明细!$B$2:$B$501,MATCH(T65,激励事件明细!$A$2:$A$501,0)),""))</f>
        <v/>
      </c>
      <c r="V65" s="4" t="str">
        <f>IF(A65="","",COUNTIF($A$2:A65,A65))</f>
        <v/>
      </c>
      <c r="W65" s="4" t="str">
        <f t="shared" si="5"/>
        <v/>
      </c>
    </row>
    <row r="66" spans="1:23" x14ac:dyDescent="0.3">
      <c r="A66" s="4" t="str">
        <f>IF(T66="","",IFERROR(INDEX(激励事件明细!$C$2:$C$501,MATCH(T66,激励事件明细!$A$2:$A$501,0)),""))</f>
        <v/>
      </c>
      <c r="B66" s="4" t="str">
        <f>IF(A66="","",IFERROR(INDEX(激励事件明细!$D$2:$D$501,MATCH(T66,激励事件明细!$A$2:$A$501,0)),""))</f>
        <v/>
      </c>
      <c r="C66" s="4" t="str">
        <f>IF(A66="","",IFERROR(INDEX(激励事件明细!$H$2:$H$501,MATCH(T66,激励事件明细!$A$2:$A$501,0)),""))</f>
        <v/>
      </c>
      <c r="D66" s="9"/>
      <c r="E66" s="9"/>
      <c r="F66" s="15" t="str">
        <f>IF(A66="","",IFERROR(INDEX(激励事件明细!$AA$2:$AA$501,MATCH(T66,激励事件明细!$A$2:$A$501,0)),""))</f>
        <v/>
      </c>
      <c r="G66" s="17" t="str">
        <f>IF(A66="","",IFERROR(INDEX(激励事件明细!$AB$2:$AB$501,MATCH(T66,激励事件明细!$A$2:$A$501,0)),""))</f>
        <v/>
      </c>
      <c r="H66" s="17" t="str">
        <f>IF(A66="","",IFERROR(INDEX(激励事件明细!$AC$2:$AC$501,MATCH(T66,激励事件明细!$A$2:$A$501,0)),""))</f>
        <v/>
      </c>
      <c r="I66" s="13"/>
      <c r="J66" s="14"/>
      <c r="K66" s="14"/>
      <c r="L66" s="9"/>
      <c r="M66" s="15" t="str">
        <f t="shared" ref="M66:M129" si="6">IF(T66="","",SUMIFS($K$2:$K$501,$T$2:$T$501,T66,$Q$2:$Q$501,"有效"))</f>
        <v/>
      </c>
      <c r="N66" s="15" t="str">
        <f t="shared" ref="N66:N129" si="7">IF(F66="","",MAX(0,F66-M66))</f>
        <v/>
      </c>
      <c r="O66" s="4" t="str">
        <f t="shared" ref="O66:O129" ca="1" si="8">IF(A66="","",IF(AND(I66&lt;&gt;"",I66&gt;H66),"是",IF(AND(TODAY()&gt;H66,N66&gt;0),"是","否")))</f>
        <v/>
      </c>
      <c r="P66" s="17" t="str">
        <f>IF(A66="","",IFERROR(IF(INDEX(激励事件明细!$P$2:$P$501,MATCH(T66,激励事件明细!$A$2:$A$501,0))=0,"",INDEX(激励事件明细!$P$2:$P$501,MATCH(T66,激励事件明细!$A$2:$A$501,0))),""))</f>
        <v/>
      </c>
      <c r="Q66" s="4" t="str">
        <f t="shared" ref="Q66:Q129" si="9">IF(AND(D66="",E66=""),"无效",IF(T66="","无效",IF(AND(D66&lt;&gt;"",E66&lt;&gt;"",U66&lt;&gt;E66),"冲突","有效")))</f>
        <v>无效</v>
      </c>
      <c r="R66" s="4" t="str">
        <f t="shared" ref="R66:R129" ca="1" si="10">IF(Q66="冲突","异常：事件编号与税额批次冲突",IF(Q66="无效","异常：必须关联有效事件编号或税额批次",IF(AND(ISNUMBER(P66),P66&gt;0,ISNUMBER(I66),K66&gt;0,I66&gt;P66),"异常：离职后缴税",IF(M66&gt;F66,"异常：本批次超额缴税",IF(AND(I66&lt;&gt;"",I66&gt;H66),"异常：超过事件截止日",IF(AND(ISNUMBER(P66),P66&gt;0,TODAY()&gt;=P66,N66&gt;0),"异常：离职前未缴清","正常"))))))</f>
        <v>异常：必须关联有效事件编号或税额批次</v>
      </c>
      <c r="S66" s="9"/>
      <c r="T66" s="4" t="str">
        <f>IF(D66&lt;&gt;"",IF(COUNTIF(激励事件明细!$A$2:$A$501,D66)=1,D66,""),IF(E66&lt;&gt;"",IFERROR(INDEX(激励事件明细!$A$2:$A$501,MATCH(E66,激励事件明细!$B$2:$B$501,0)),""),""))</f>
        <v/>
      </c>
      <c r="U66" s="4" t="str">
        <f>IF(T66="","",IFERROR(INDEX(激励事件明细!$B$2:$B$501,MATCH(T66,激励事件明细!$A$2:$A$501,0)),""))</f>
        <v/>
      </c>
      <c r="V66" s="4" t="str">
        <f>IF(A66="","",COUNTIF($A$2:A66,A66))</f>
        <v/>
      </c>
      <c r="W66" s="4" t="str">
        <f t="shared" ref="W66:W129" si="11">IF(A66="","",A66&amp;"|"&amp;V66)</f>
        <v/>
      </c>
    </row>
    <row r="67" spans="1:23" x14ac:dyDescent="0.3">
      <c r="A67" s="4" t="str">
        <f>IF(T67="","",IFERROR(INDEX(激励事件明细!$C$2:$C$501,MATCH(T67,激励事件明细!$A$2:$A$501,0)),""))</f>
        <v/>
      </c>
      <c r="B67" s="4" t="str">
        <f>IF(A67="","",IFERROR(INDEX(激励事件明细!$D$2:$D$501,MATCH(T67,激励事件明细!$A$2:$A$501,0)),""))</f>
        <v/>
      </c>
      <c r="C67" s="4" t="str">
        <f>IF(A67="","",IFERROR(INDEX(激励事件明细!$H$2:$H$501,MATCH(T67,激励事件明细!$A$2:$A$501,0)),""))</f>
        <v/>
      </c>
      <c r="D67" s="9"/>
      <c r="E67" s="9"/>
      <c r="F67" s="15" t="str">
        <f>IF(A67="","",IFERROR(INDEX(激励事件明细!$AA$2:$AA$501,MATCH(T67,激励事件明细!$A$2:$A$501,0)),""))</f>
        <v/>
      </c>
      <c r="G67" s="17" t="str">
        <f>IF(A67="","",IFERROR(INDEX(激励事件明细!$AB$2:$AB$501,MATCH(T67,激励事件明细!$A$2:$A$501,0)),""))</f>
        <v/>
      </c>
      <c r="H67" s="17" t="str">
        <f>IF(A67="","",IFERROR(INDEX(激励事件明细!$AC$2:$AC$501,MATCH(T67,激励事件明细!$A$2:$A$501,0)),""))</f>
        <v/>
      </c>
      <c r="I67" s="13"/>
      <c r="J67" s="14"/>
      <c r="K67" s="14"/>
      <c r="L67" s="9"/>
      <c r="M67" s="15" t="str">
        <f t="shared" si="6"/>
        <v/>
      </c>
      <c r="N67" s="15" t="str">
        <f t="shared" si="7"/>
        <v/>
      </c>
      <c r="O67" s="4" t="str">
        <f t="shared" ca="1" si="8"/>
        <v/>
      </c>
      <c r="P67" s="17" t="str">
        <f>IF(A67="","",IFERROR(IF(INDEX(激励事件明细!$P$2:$P$501,MATCH(T67,激励事件明细!$A$2:$A$501,0))=0,"",INDEX(激励事件明细!$P$2:$P$501,MATCH(T67,激励事件明细!$A$2:$A$501,0))),""))</f>
        <v/>
      </c>
      <c r="Q67" s="4" t="str">
        <f t="shared" si="9"/>
        <v>无效</v>
      </c>
      <c r="R67" s="4" t="str">
        <f t="shared" ca="1" si="10"/>
        <v>异常：必须关联有效事件编号或税额批次</v>
      </c>
      <c r="S67" s="9"/>
      <c r="T67" s="4" t="str">
        <f>IF(D67&lt;&gt;"",IF(COUNTIF(激励事件明细!$A$2:$A$501,D67)=1,D67,""),IF(E67&lt;&gt;"",IFERROR(INDEX(激励事件明细!$A$2:$A$501,MATCH(E67,激励事件明细!$B$2:$B$501,0)),""),""))</f>
        <v/>
      </c>
      <c r="U67" s="4" t="str">
        <f>IF(T67="","",IFERROR(INDEX(激励事件明细!$B$2:$B$501,MATCH(T67,激励事件明细!$A$2:$A$501,0)),""))</f>
        <v/>
      </c>
      <c r="V67" s="4" t="str">
        <f>IF(A67="","",COUNTIF($A$2:A67,A67))</f>
        <v/>
      </c>
      <c r="W67" s="4" t="str">
        <f t="shared" si="11"/>
        <v/>
      </c>
    </row>
    <row r="68" spans="1:23" x14ac:dyDescent="0.3">
      <c r="A68" s="4" t="str">
        <f>IF(T68="","",IFERROR(INDEX(激励事件明细!$C$2:$C$501,MATCH(T68,激励事件明细!$A$2:$A$501,0)),""))</f>
        <v/>
      </c>
      <c r="B68" s="4" t="str">
        <f>IF(A68="","",IFERROR(INDEX(激励事件明细!$D$2:$D$501,MATCH(T68,激励事件明细!$A$2:$A$501,0)),""))</f>
        <v/>
      </c>
      <c r="C68" s="4" t="str">
        <f>IF(A68="","",IFERROR(INDEX(激励事件明细!$H$2:$H$501,MATCH(T68,激励事件明细!$A$2:$A$501,0)),""))</f>
        <v/>
      </c>
      <c r="D68" s="9"/>
      <c r="E68" s="9"/>
      <c r="F68" s="15" t="str">
        <f>IF(A68="","",IFERROR(INDEX(激励事件明细!$AA$2:$AA$501,MATCH(T68,激励事件明细!$A$2:$A$501,0)),""))</f>
        <v/>
      </c>
      <c r="G68" s="17" t="str">
        <f>IF(A68="","",IFERROR(INDEX(激励事件明细!$AB$2:$AB$501,MATCH(T68,激励事件明细!$A$2:$A$501,0)),""))</f>
        <v/>
      </c>
      <c r="H68" s="17" t="str">
        <f>IF(A68="","",IFERROR(INDEX(激励事件明细!$AC$2:$AC$501,MATCH(T68,激励事件明细!$A$2:$A$501,0)),""))</f>
        <v/>
      </c>
      <c r="I68" s="13"/>
      <c r="J68" s="14"/>
      <c r="K68" s="14"/>
      <c r="L68" s="9"/>
      <c r="M68" s="15" t="str">
        <f t="shared" si="6"/>
        <v/>
      </c>
      <c r="N68" s="15" t="str">
        <f t="shared" si="7"/>
        <v/>
      </c>
      <c r="O68" s="4" t="str">
        <f t="shared" ca="1" si="8"/>
        <v/>
      </c>
      <c r="P68" s="17" t="str">
        <f>IF(A68="","",IFERROR(IF(INDEX(激励事件明细!$P$2:$P$501,MATCH(T68,激励事件明细!$A$2:$A$501,0))=0,"",INDEX(激励事件明细!$P$2:$P$501,MATCH(T68,激励事件明细!$A$2:$A$501,0))),""))</f>
        <v/>
      </c>
      <c r="Q68" s="4" t="str">
        <f t="shared" si="9"/>
        <v>无效</v>
      </c>
      <c r="R68" s="4" t="str">
        <f t="shared" ca="1" si="10"/>
        <v>异常：必须关联有效事件编号或税额批次</v>
      </c>
      <c r="S68" s="9"/>
      <c r="T68" s="4" t="str">
        <f>IF(D68&lt;&gt;"",IF(COUNTIF(激励事件明细!$A$2:$A$501,D68)=1,D68,""),IF(E68&lt;&gt;"",IFERROR(INDEX(激励事件明细!$A$2:$A$501,MATCH(E68,激励事件明细!$B$2:$B$501,0)),""),""))</f>
        <v/>
      </c>
      <c r="U68" s="4" t="str">
        <f>IF(T68="","",IFERROR(INDEX(激励事件明细!$B$2:$B$501,MATCH(T68,激励事件明细!$A$2:$A$501,0)),""))</f>
        <v/>
      </c>
      <c r="V68" s="4" t="str">
        <f>IF(A68="","",COUNTIF($A$2:A68,A68))</f>
        <v/>
      </c>
      <c r="W68" s="4" t="str">
        <f t="shared" si="11"/>
        <v/>
      </c>
    </row>
    <row r="69" spans="1:23" x14ac:dyDescent="0.3">
      <c r="A69" s="4" t="str">
        <f>IF(T69="","",IFERROR(INDEX(激励事件明细!$C$2:$C$501,MATCH(T69,激励事件明细!$A$2:$A$501,0)),""))</f>
        <v/>
      </c>
      <c r="B69" s="4" t="str">
        <f>IF(A69="","",IFERROR(INDEX(激励事件明细!$D$2:$D$501,MATCH(T69,激励事件明细!$A$2:$A$501,0)),""))</f>
        <v/>
      </c>
      <c r="C69" s="4" t="str">
        <f>IF(A69="","",IFERROR(INDEX(激励事件明细!$H$2:$H$501,MATCH(T69,激励事件明细!$A$2:$A$501,0)),""))</f>
        <v/>
      </c>
      <c r="D69" s="9"/>
      <c r="E69" s="9"/>
      <c r="F69" s="15" t="str">
        <f>IF(A69="","",IFERROR(INDEX(激励事件明细!$AA$2:$AA$501,MATCH(T69,激励事件明细!$A$2:$A$501,0)),""))</f>
        <v/>
      </c>
      <c r="G69" s="17" t="str">
        <f>IF(A69="","",IFERROR(INDEX(激励事件明细!$AB$2:$AB$501,MATCH(T69,激励事件明细!$A$2:$A$501,0)),""))</f>
        <v/>
      </c>
      <c r="H69" s="17" t="str">
        <f>IF(A69="","",IFERROR(INDEX(激励事件明细!$AC$2:$AC$501,MATCH(T69,激励事件明细!$A$2:$A$501,0)),""))</f>
        <v/>
      </c>
      <c r="I69" s="13"/>
      <c r="J69" s="14"/>
      <c r="K69" s="14"/>
      <c r="L69" s="9"/>
      <c r="M69" s="15" t="str">
        <f t="shared" si="6"/>
        <v/>
      </c>
      <c r="N69" s="15" t="str">
        <f t="shared" si="7"/>
        <v/>
      </c>
      <c r="O69" s="4" t="str">
        <f t="shared" ca="1" si="8"/>
        <v/>
      </c>
      <c r="P69" s="17" t="str">
        <f>IF(A69="","",IFERROR(IF(INDEX(激励事件明细!$P$2:$P$501,MATCH(T69,激励事件明细!$A$2:$A$501,0))=0,"",INDEX(激励事件明细!$P$2:$P$501,MATCH(T69,激励事件明细!$A$2:$A$501,0))),""))</f>
        <v/>
      </c>
      <c r="Q69" s="4" t="str">
        <f t="shared" si="9"/>
        <v>无效</v>
      </c>
      <c r="R69" s="4" t="str">
        <f t="shared" ca="1" si="10"/>
        <v>异常：必须关联有效事件编号或税额批次</v>
      </c>
      <c r="S69" s="9"/>
      <c r="T69" s="4" t="str">
        <f>IF(D69&lt;&gt;"",IF(COUNTIF(激励事件明细!$A$2:$A$501,D69)=1,D69,""),IF(E69&lt;&gt;"",IFERROR(INDEX(激励事件明细!$A$2:$A$501,MATCH(E69,激励事件明细!$B$2:$B$501,0)),""),""))</f>
        <v/>
      </c>
      <c r="U69" s="4" t="str">
        <f>IF(T69="","",IFERROR(INDEX(激励事件明细!$B$2:$B$501,MATCH(T69,激励事件明细!$A$2:$A$501,0)),""))</f>
        <v/>
      </c>
      <c r="V69" s="4" t="str">
        <f>IF(A69="","",COUNTIF($A$2:A69,A69))</f>
        <v/>
      </c>
      <c r="W69" s="4" t="str">
        <f t="shared" si="11"/>
        <v/>
      </c>
    </row>
    <row r="70" spans="1:23" x14ac:dyDescent="0.3">
      <c r="A70" s="4" t="str">
        <f>IF(T70="","",IFERROR(INDEX(激励事件明细!$C$2:$C$501,MATCH(T70,激励事件明细!$A$2:$A$501,0)),""))</f>
        <v/>
      </c>
      <c r="B70" s="4" t="str">
        <f>IF(A70="","",IFERROR(INDEX(激励事件明细!$D$2:$D$501,MATCH(T70,激励事件明细!$A$2:$A$501,0)),""))</f>
        <v/>
      </c>
      <c r="C70" s="4" t="str">
        <f>IF(A70="","",IFERROR(INDEX(激励事件明细!$H$2:$H$501,MATCH(T70,激励事件明细!$A$2:$A$501,0)),""))</f>
        <v/>
      </c>
      <c r="D70" s="9"/>
      <c r="E70" s="9"/>
      <c r="F70" s="15" t="str">
        <f>IF(A70="","",IFERROR(INDEX(激励事件明细!$AA$2:$AA$501,MATCH(T70,激励事件明细!$A$2:$A$501,0)),""))</f>
        <v/>
      </c>
      <c r="G70" s="17" t="str">
        <f>IF(A70="","",IFERROR(INDEX(激励事件明细!$AB$2:$AB$501,MATCH(T70,激励事件明细!$A$2:$A$501,0)),""))</f>
        <v/>
      </c>
      <c r="H70" s="17" t="str">
        <f>IF(A70="","",IFERROR(INDEX(激励事件明细!$AC$2:$AC$501,MATCH(T70,激励事件明细!$A$2:$A$501,0)),""))</f>
        <v/>
      </c>
      <c r="I70" s="13"/>
      <c r="J70" s="14"/>
      <c r="K70" s="14"/>
      <c r="L70" s="9"/>
      <c r="M70" s="15" t="str">
        <f t="shared" si="6"/>
        <v/>
      </c>
      <c r="N70" s="15" t="str">
        <f t="shared" si="7"/>
        <v/>
      </c>
      <c r="O70" s="4" t="str">
        <f t="shared" ca="1" si="8"/>
        <v/>
      </c>
      <c r="P70" s="17" t="str">
        <f>IF(A70="","",IFERROR(IF(INDEX(激励事件明细!$P$2:$P$501,MATCH(T70,激励事件明细!$A$2:$A$501,0))=0,"",INDEX(激励事件明细!$P$2:$P$501,MATCH(T70,激励事件明细!$A$2:$A$501,0))),""))</f>
        <v/>
      </c>
      <c r="Q70" s="4" t="str">
        <f t="shared" si="9"/>
        <v>无效</v>
      </c>
      <c r="R70" s="4" t="str">
        <f t="shared" ca="1" si="10"/>
        <v>异常：必须关联有效事件编号或税额批次</v>
      </c>
      <c r="S70" s="9"/>
      <c r="T70" s="4" t="str">
        <f>IF(D70&lt;&gt;"",IF(COUNTIF(激励事件明细!$A$2:$A$501,D70)=1,D70,""),IF(E70&lt;&gt;"",IFERROR(INDEX(激励事件明细!$A$2:$A$501,MATCH(E70,激励事件明细!$B$2:$B$501,0)),""),""))</f>
        <v/>
      </c>
      <c r="U70" s="4" t="str">
        <f>IF(T70="","",IFERROR(INDEX(激励事件明细!$B$2:$B$501,MATCH(T70,激励事件明细!$A$2:$A$501,0)),""))</f>
        <v/>
      </c>
      <c r="V70" s="4" t="str">
        <f>IF(A70="","",COUNTIF($A$2:A70,A70))</f>
        <v/>
      </c>
      <c r="W70" s="4" t="str">
        <f t="shared" si="11"/>
        <v/>
      </c>
    </row>
    <row r="71" spans="1:23" x14ac:dyDescent="0.3">
      <c r="A71" s="4" t="str">
        <f>IF(T71="","",IFERROR(INDEX(激励事件明细!$C$2:$C$501,MATCH(T71,激励事件明细!$A$2:$A$501,0)),""))</f>
        <v/>
      </c>
      <c r="B71" s="4" t="str">
        <f>IF(A71="","",IFERROR(INDEX(激励事件明细!$D$2:$D$501,MATCH(T71,激励事件明细!$A$2:$A$501,0)),""))</f>
        <v/>
      </c>
      <c r="C71" s="4" t="str">
        <f>IF(A71="","",IFERROR(INDEX(激励事件明细!$H$2:$H$501,MATCH(T71,激励事件明细!$A$2:$A$501,0)),""))</f>
        <v/>
      </c>
      <c r="D71" s="9"/>
      <c r="E71" s="9"/>
      <c r="F71" s="15" t="str">
        <f>IF(A71="","",IFERROR(INDEX(激励事件明细!$AA$2:$AA$501,MATCH(T71,激励事件明细!$A$2:$A$501,0)),""))</f>
        <v/>
      </c>
      <c r="G71" s="17" t="str">
        <f>IF(A71="","",IFERROR(INDEX(激励事件明细!$AB$2:$AB$501,MATCH(T71,激励事件明细!$A$2:$A$501,0)),""))</f>
        <v/>
      </c>
      <c r="H71" s="17" t="str">
        <f>IF(A71="","",IFERROR(INDEX(激励事件明细!$AC$2:$AC$501,MATCH(T71,激励事件明细!$A$2:$A$501,0)),""))</f>
        <v/>
      </c>
      <c r="I71" s="13"/>
      <c r="J71" s="14"/>
      <c r="K71" s="14"/>
      <c r="L71" s="9"/>
      <c r="M71" s="15" t="str">
        <f t="shared" si="6"/>
        <v/>
      </c>
      <c r="N71" s="15" t="str">
        <f t="shared" si="7"/>
        <v/>
      </c>
      <c r="O71" s="4" t="str">
        <f t="shared" ca="1" si="8"/>
        <v/>
      </c>
      <c r="P71" s="17" t="str">
        <f>IF(A71="","",IFERROR(IF(INDEX(激励事件明细!$P$2:$P$501,MATCH(T71,激励事件明细!$A$2:$A$501,0))=0,"",INDEX(激励事件明细!$P$2:$P$501,MATCH(T71,激励事件明细!$A$2:$A$501,0))),""))</f>
        <v/>
      </c>
      <c r="Q71" s="4" t="str">
        <f t="shared" si="9"/>
        <v>无效</v>
      </c>
      <c r="R71" s="4" t="str">
        <f t="shared" ca="1" si="10"/>
        <v>异常：必须关联有效事件编号或税额批次</v>
      </c>
      <c r="S71" s="9"/>
      <c r="T71" s="4" t="str">
        <f>IF(D71&lt;&gt;"",IF(COUNTIF(激励事件明细!$A$2:$A$501,D71)=1,D71,""),IF(E71&lt;&gt;"",IFERROR(INDEX(激励事件明细!$A$2:$A$501,MATCH(E71,激励事件明细!$B$2:$B$501,0)),""),""))</f>
        <v/>
      </c>
      <c r="U71" s="4" t="str">
        <f>IF(T71="","",IFERROR(INDEX(激励事件明细!$B$2:$B$501,MATCH(T71,激励事件明细!$A$2:$A$501,0)),""))</f>
        <v/>
      </c>
      <c r="V71" s="4" t="str">
        <f>IF(A71="","",COUNTIF($A$2:A71,A71))</f>
        <v/>
      </c>
      <c r="W71" s="4" t="str">
        <f t="shared" si="11"/>
        <v/>
      </c>
    </row>
    <row r="72" spans="1:23" x14ac:dyDescent="0.3">
      <c r="A72" s="4" t="str">
        <f>IF(T72="","",IFERROR(INDEX(激励事件明细!$C$2:$C$501,MATCH(T72,激励事件明细!$A$2:$A$501,0)),""))</f>
        <v/>
      </c>
      <c r="B72" s="4" t="str">
        <f>IF(A72="","",IFERROR(INDEX(激励事件明细!$D$2:$D$501,MATCH(T72,激励事件明细!$A$2:$A$501,0)),""))</f>
        <v/>
      </c>
      <c r="C72" s="4" t="str">
        <f>IF(A72="","",IFERROR(INDEX(激励事件明细!$H$2:$H$501,MATCH(T72,激励事件明细!$A$2:$A$501,0)),""))</f>
        <v/>
      </c>
      <c r="D72" s="9"/>
      <c r="E72" s="9"/>
      <c r="F72" s="15" t="str">
        <f>IF(A72="","",IFERROR(INDEX(激励事件明细!$AA$2:$AA$501,MATCH(T72,激励事件明细!$A$2:$A$501,0)),""))</f>
        <v/>
      </c>
      <c r="G72" s="17" t="str">
        <f>IF(A72="","",IFERROR(INDEX(激励事件明细!$AB$2:$AB$501,MATCH(T72,激励事件明细!$A$2:$A$501,0)),""))</f>
        <v/>
      </c>
      <c r="H72" s="17" t="str">
        <f>IF(A72="","",IFERROR(INDEX(激励事件明细!$AC$2:$AC$501,MATCH(T72,激励事件明细!$A$2:$A$501,0)),""))</f>
        <v/>
      </c>
      <c r="I72" s="13"/>
      <c r="J72" s="14"/>
      <c r="K72" s="14"/>
      <c r="L72" s="9"/>
      <c r="M72" s="15" t="str">
        <f t="shared" si="6"/>
        <v/>
      </c>
      <c r="N72" s="15" t="str">
        <f t="shared" si="7"/>
        <v/>
      </c>
      <c r="O72" s="4" t="str">
        <f t="shared" ca="1" si="8"/>
        <v/>
      </c>
      <c r="P72" s="17" t="str">
        <f>IF(A72="","",IFERROR(IF(INDEX(激励事件明细!$P$2:$P$501,MATCH(T72,激励事件明细!$A$2:$A$501,0))=0,"",INDEX(激励事件明细!$P$2:$P$501,MATCH(T72,激励事件明细!$A$2:$A$501,0))),""))</f>
        <v/>
      </c>
      <c r="Q72" s="4" t="str">
        <f t="shared" si="9"/>
        <v>无效</v>
      </c>
      <c r="R72" s="4" t="str">
        <f t="shared" ca="1" si="10"/>
        <v>异常：必须关联有效事件编号或税额批次</v>
      </c>
      <c r="S72" s="9"/>
      <c r="T72" s="4" t="str">
        <f>IF(D72&lt;&gt;"",IF(COUNTIF(激励事件明细!$A$2:$A$501,D72)=1,D72,""),IF(E72&lt;&gt;"",IFERROR(INDEX(激励事件明细!$A$2:$A$501,MATCH(E72,激励事件明细!$B$2:$B$501,0)),""),""))</f>
        <v/>
      </c>
      <c r="U72" s="4" t="str">
        <f>IF(T72="","",IFERROR(INDEX(激励事件明细!$B$2:$B$501,MATCH(T72,激励事件明细!$A$2:$A$501,0)),""))</f>
        <v/>
      </c>
      <c r="V72" s="4" t="str">
        <f>IF(A72="","",COUNTIF($A$2:A72,A72))</f>
        <v/>
      </c>
      <c r="W72" s="4" t="str">
        <f t="shared" si="11"/>
        <v/>
      </c>
    </row>
    <row r="73" spans="1:23" x14ac:dyDescent="0.3">
      <c r="A73" s="4" t="str">
        <f>IF(T73="","",IFERROR(INDEX(激励事件明细!$C$2:$C$501,MATCH(T73,激励事件明细!$A$2:$A$501,0)),""))</f>
        <v/>
      </c>
      <c r="B73" s="4" t="str">
        <f>IF(A73="","",IFERROR(INDEX(激励事件明细!$D$2:$D$501,MATCH(T73,激励事件明细!$A$2:$A$501,0)),""))</f>
        <v/>
      </c>
      <c r="C73" s="4" t="str">
        <f>IF(A73="","",IFERROR(INDEX(激励事件明细!$H$2:$H$501,MATCH(T73,激励事件明细!$A$2:$A$501,0)),""))</f>
        <v/>
      </c>
      <c r="D73" s="9"/>
      <c r="E73" s="9"/>
      <c r="F73" s="15" t="str">
        <f>IF(A73="","",IFERROR(INDEX(激励事件明细!$AA$2:$AA$501,MATCH(T73,激励事件明细!$A$2:$A$501,0)),""))</f>
        <v/>
      </c>
      <c r="G73" s="17" t="str">
        <f>IF(A73="","",IFERROR(INDEX(激励事件明细!$AB$2:$AB$501,MATCH(T73,激励事件明细!$A$2:$A$501,0)),""))</f>
        <v/>
      </c>
      <c r="H73" s="17" t="str">
        <f>IF(A73="","",IFERROR(INDEX(激励事件明细!$AC$2:$AC$501,MATCH(T73,激励事件明细!$A$2:$A$501,0)),""))</f>
        <v/>
      </c>
      <c r="I73" s="13"/>
      <c r="J73" s="14"/>
      <c r="K73" s="14"/>
      <c r="L73" s="9"/>
      <c r="M73" s="15" t="str">
        <f t="shared" si="6"/>
        <v/>
      </c>
      <c r="N73" s="15" t="str">
        <f t="shared" si="7"/>
        <v/>
      </c>
      <c r="O73" s="4" t="str">
        <f t="shared" ca="1" si="8"/>
        <v/>
      </c>
      <c r="P73" s="17" t="str">
        <f>IF(A73="","",IFERROR(IF(INDEX(激励事件明细!$P$2:$P$501,MATCH(T73,激励事件明细!$A$2:$A$501,0))=0,"",INDEX(激励事件明细!$P$2:$P$501,MATCH(T73,激励事件明细!$A$2:$A$501,0))),""))</f>
        <v/>
      </c>
      <c r="Q73" s="4" t="str">
        <f t="shared" si="9"/>
        <v>无效</v>
      </c>
      <c r="R73" s="4" t="str">
        <f t="shared" ca="1" si="10"/>
        <v>异常：必须关联有效事件编号或税额批次</v>
      </c>
      <c r="S73" s="9"/>
      <c r="T73" s="4" t="str">
        <f>IF(D73&lt;&gt;"",IF(COUNTIF(激励事件明细!$A$2:$A$501,D73)=1,D73,""),IF(E73&lt;&gt;"",IFERROR(INDEX(激励事件明细!$A$2:$A$501,MATCH(E73,激励事件明细!$B$2:$B$501,0)),""),""))</f>
        <v/>
      </c>
      <c r="U73" s="4" t="str">
        <f>IF(T73="","",IFERROR(INDEX(激励事件明细!$B$2:$B$501,MATCH(T73,激励事件明细!$A$2:$A$501,0)),""))</f>
        <v/>
      </c>
      <c r="V73" s="4" t="str">
        <f>IF(A73="","",COUNTIF($A$2:A73,A73))</f>
        <v/>
      </c>
      <c r="W73" s="4" t="str">
        <f t="shared" si="11"/>
        <v/>
      </c>
    </row>
    <row r="74" spans="1:23" x14ac:dyDescent="0.3">
      <c r="A74" s="4" t="str">
        <f>IF(T74="","",IFERROR(INDEX(激励事件明细!$C$2:$C$501,MATCH(T74,激励事件明细!$A$2:$A$501,0)),""))</f>
        <v/>
      </c>
      <c r="B74" s="4" t="str">
        <f>IF(A74="","",IFERROR(INDEX(激励事件明细!$D$2:$D$501,MATCH(T74,激励事件明细!$A$2:$A$501,0)),""))</f>
        <v/>
      </c>
      <c r="C74" s="4" t="str">
        <f>IF(A74="","",IFERROR(INDEX(激励事件明细!$H$2:$H$501,MATCH(T74,激励事件明细!$A$2:$A$501,0)),""))</f>
        <v/>
      </c>
      <c r="D74" s="9"/>
      <c r="E74" s="9"/>
      <c r="F74" s="15" t="str">
        <f>IF(A74="","",IFERROR(INDEX(激励事件明细!$AA$2:$AA$501,MATCH(T74,激励事件明细!$A$2:$A$501,0)),""))</f>
        <v/>
      </c>
      <c r="G74" s="17" t="str">
        <f>IF(A74="","",IFERROR(INDEX(激励事件明细!$AB$2:$AB$501,MATCH(T74,激励事件明细!$A$2:$A$501,0)),""))</f>
        <v/>
      </c>
      <c r="H74" s="17" t="str">
        <f>IF(A74="","",IFERROR(INDEX(激励事件明细!$AC$2:$AC$501,MATCH(T74,激励事件明细!$A$2:$A$501,0)),""))</f>
        <v/>
      </c>
      <c r="I74" s="13"/>
      <c r="J74" s="14"/>
      <c r="K74" s="14"/>
      <c r="L74" s="9"/>
      <c r="M74" s="15" t="str">
        <f t="shared" si="6"/>
        <v/>
      </c>
      <c r="N74" s="15" t="str">
        <f t="shared" si="7"/>
        <v/>
      </c>
      <c r="O74" s="4" t="str">
        <f t="shared" ca="1" si="8"/>
        <v/>
      </c>
      <c r="P74" s="17" t="str">
        <f>IF(A74="","",IFERROR(IF(INDEX(激励事件明细!$P$2:$P$501,MATCH(T74,激励事件明细!$A$2:$A$501,0))=0,"",INDEX(激励事件明细!$P$2:$P$501,MATCH(T74,激励事件明细!$A$2:$A$501,0))),""))</f>
        <v/>
      </c>
      <c r="Q74" s="4" t="str">
        <f t="shared" si="9"/>
        <v>无效</v>
      </c>
      <c r="R74" s="4" t="str">
        <f t="shared" ca="1" si="10"/>
        <v>异常：必须关联有效事件编号或税额批次</v>
      </c>
      <c r="S74" s="9"/>
      <c r="T74" s="4" t="str">
        <f>IF(D74&lt;&gt;"",IF(COUNTIF(激励事件明细!$A$2:$A$501,D74)=1,D74,""),IF(E74&lt;&gt;"",IFERROR(INDEX(激励事件明细!$A$2:$A$501,MATCH(E74,激励事件明细!$B$2:$B$501,0)),""),""))</f>
        <v/>
      </c>
      <c r="U74" s="4" t="str">
        <f>IF(T74="","",IFERROR(INDEX(激励事件明细!$B$2:$B$501,MATCH(T74,激励事件明细!$A$2:$A$501,0)),""))</f>
        <v/>
      </c>
      <c r="V74" s="4" t="str">
        <f>IF(A74="","",COUNTIF($A$2:A74,A74))</f>
        <v/>
      </c>
      <c r="W74" s="4" t="str">
        <f t="shared" si="11"/>
        <v/>
      </c>
    </row>
    <row r="75" spans="1:23" x14ac:dyDescent="0.3">
      <c r="A75" s="4" t="str">
        <f>IF(T75="","",IFERROR(INDEX(激励事件明细!$C$2:$C$501,MATCH(T75,激励事件明细!$A$2:$A$501,0)),""))</f>
        <v/>
      </c>
      <c r="B75" s="4" t="str">
        <f>IF(A75="","",IFERROR(INDEX(激励事件明细!$D$2:$D$501,MATCH(T75,激励事件明细!$A$2:$A$501,0)),""))</f>
        <v/>
      </c>
      <c r="C75" s="4" t="str">
        <f>IF(A75="","",IFERROR(INDEX(激励事件明细!$H$2:$H$501,MATCH(T75,激励事件明细!$A$2:$A$501,0)),""))</f>
        <v/>
      </c>
      <c r="D75" s="9"/>
      <c r="E75" s="9"/>
      <c r="F75" s="15" t="str">
        <f>IF(A75="","",IFERROR(INDEX(激励事件明细!$AA$2:$AA$501,MATCH(T75,激励事件明细!$A$2:$A$501,0)),""))</f>
        <v/>
      </c>
      <c r="G75" s="17" t="str">
        <f>IF(A75="","",IFERROR(INDEX(激励事件明细!$AB$2:$AB$501,MATCH(T75,激励事件明细!$A$2:$A$501,0)),""))</f>
        <v/>
      </c>
      <c r="H75" s="17" t="str">
        <f>IF(A75="","",IFERROR(INDEX(激励事件明细!$AC$2:$AC$501,MATCH(T75,激励事件明细!$A$2:$A$501,0)),""))</f>
        <v/>
      </c>
      <c r="I75" s="13"/>
      <c r="J75" s="14"/>
      <c r="K75" s="14"/>
      <c r="L75" s="9"/>
      <c r="M75" s="15" t="str">
        <f t="shared" si="6"/>
        <v/>
      </c>
      <c r="N75" s="15" t="str">
        <f t="shared" si="7"/>
        <v/>
      </c>
      <c r="O75" s="4" t="str">
        <f t="shared" ca="1" si="8"/>
        <v/>
      </c>
      <c r="P75" s="17" t="str">
        <f>IF(A75="","",IFERROR(IF(INDEX(激励事件明细!$P$2:$P$501,MATCH(T75,激励事件明细!$A$2:$A$501,0))=0,"",INDEX(激励事件明细!$P$2:$P$501,MATCH(T75,激励事件明细!$A$2:$A$501,0))),""))</f>
        <v/>
      </c>
      <c r="Q75" s="4" t="str">
        <f t="shared" si="9"/>
        <v>无效</v>
      </c>
      <c r="R75" s="4" t="str">
        <f t="shared" ca="1" si="10"/>
        <v>异常：必须关联有效事件编号或税额批次</v>
      </c>
      <c r="S75" s="9"/>
      <c r="T75" s="4" t="str">
        <f>IF(D75&lt;&gt;"",IF(COUNTIF(激励事件明细!$A$2:$A$501,D75)=1,D75,""),IF(E75&lt;&gt;"",IFERROR(INDEX(激励事件明细!$A$2:$A$501,MATCH(E75,激励事件明细!$B$2:$B$501,0)),""),""))</f>
        <v/>
      </c>
      <c r="U75" s="4" t="str">
        <f>IF(T75="","",IFERROR(INDEX(激励事件明细!$B$2:$B$501,MATCH(T75,激励事件明细!$A$2:$A$501,0)),""))</f>
        <v/>
      </c>
      <c r="V75" s="4" t="str">
        <f>IF(A75="","",COUNTIF($A$2:A75,A75))</f>
        <v/>
      </c>
      <c r="W75" s="4" t="str">
        <f t="shared" si="11"/>
        <v/>
      </c>
    </row>
    <row r="76" spans="1:23" x14ac:dyDescent="0.3">
      <c r="A76" s="4" t="str">
        <f>IF(T76="","",IFERROR(INDEX(激励事件明细!$C$2:$C$501,MATCH(T76,激励事件明细!$A$2:$A$501,0)),""))</f>
        <v/>
      </c>
      <c r="B76" s="4" t="str">
        <f>IF(A76="","",IFERROR(INDEX(激励事件明细!$D$2:$D$501,MATCH(T76,激励事件明细!$A$2:$A$501,0)),""))</f>
        <v/>
      </c>
      <c r="C76" s="4" t="str">
        <f>IF(A76="","",IFERROR(INDEX(激励事件明细!$H$2:$H$501,MATCH(T76,激励事件明细!$A$2:$A$501,0)),""))</f>
        <v/>
      </c>
      <c r="D76" s="9"/>
      <c r="E76" s="9"/>
      <c r="F76" s="15" t="str">
        <f>IF(A76="","",IFERROR(INDEX(激励事件明细!$AA$2:$AA$501,MATCH(T76,激励事件明细!$A$2:$A$501,0)),""))</f>
        <v/>
      </c>
      <c r="G76" s="17" t="str">
        <f>IF(A76="","",IFERROR(INDEX(激励事件明细!$AB$2:$AB$501,MATCH(T76,激励事件明细!$A$2:$A$501,0)),""))</f>
        <v/>
      </c>
      <c r="H76" s="17" t="str">
        <f>IF(A76="","",IFERROR(INDEX(激励事件明细!$AC$2:$AC$501,MATCH(T76,激励事件明细!$A$2:$A$501,0)),""))</f>
        <v/>
      </c>
      <c r="I76" s="13"/>
      <c r="J76" s="14"/>
      <c r="K76" s="14"/>
      <c r="L76" s="9"/>
      <c r="M76" s="15" t="str">
        <f t="shared" si="6"/>
        <v/>
      </c>
      <c r="N76" s="15" t="str">
        <f t="shared" si="7"/>
        <v/>
      </c>
      <c r="O76" s="4" t="str">
        <f t="shared" ca="1" si="8"/>
        <v/>
      </c>
      <c r="P76" s="17" t="str">
        <f>IF(A76="","",IFERROR(IF(INDEX(激励事件明细!$P$2:$P$501,MATCH(T76,激励事件明细!$A$2:$A$501,0))=0,"",INDEX(激励事件明细!$P$2:$P$501,MATCH(T76,激励事件明细!$A$2:$A$501,0))),""))</f>
        <v/>
      </c>
      <c r="Q76" s="4" t="str">
        <f t="shared" si="9"/>
        <v>无效</v>
      </c>
      <c r="R76" s="4" t="str">
        <f t="shared" ca="1" si="10"/>
        <v>异常：必须关联有效事件编号或税额批次</v>
      </c>
      <c r="S76" s="9"/>
      <c r="T76" s="4" t="str">
        <f>IF(D76&lt;&gt;"",IF(COUNTIF(激励事件明细!$A$2:$A$501,D76)=1,D76,""),IF(E76&lt;&gt;"",IFERROR(INDEX(激励事件明细!$A$2:$A$501,MATCH(E76,激励事件明细!$B$2:$B$501,0)),""),""))</f>
        <v/>
      </c>
      <c r="U76" s="4" t="str">
        <f>IF(T76="","",IFERROR(INDEX(激励事件明细!$B$2:$B$501,MATCH(T76,激励事件明细!$A$2:$A$501,0)),""))</f>
        <v/>
      </c>
      <c r="V76" s="4" t="str">
        <f>IF(A76="","",COUNTIF($A$2:A76,A76))</f>
        <v/>
      </c>
      <c r="W76" s="4" t="str">
        <f t="shared" si="11"/>
        <v/>
      </c>
    </row>
    <row r="77" spans="1:23" x14ac:dyDescent="0.3">
      <c r="A77" s="4" t="str">
        <f>IF(T77="","",IFERROR(INDEX(激励事件明细!$C$2:$C$501,MATCH(T77,激励事件明细!$A$2:$A$501,0)),""))</f>
        <v/>
      </c>
      <c r="B77" s="4" t="str">
        <f>IF(A77="","",IFERROR(INDEX(激励事件明细!$D$2:$D$501,MATCH(T77,激励事件明细!$A$2:$A$501,0)),""))</f>
        <v/>
      </c>
      <c r="C77" s="4" t="str">
        <f>IF(A77="","",IFERROR(INDEX(激励事件明细!$H$2:$H$501,MATCH(T77,激励事件明细!$A$2:$A$501,0)),""))</f>
        <v/>
      </c>
      <c r="D77" s="9"/>
      <c r="E77" s="9"/>
      <c r="F77" s="15" t="str">
        <f>IF(A77="","",IFERROR(INDEX(激励事件明细!$AA$2:$AA$501,MATCH(T77,激励事件明细!$A$2:$A$501,0)),""))</f>
        <v/>
      </c>
      <c r="G77" s="17" t="str">
        <f>IF(A77="","",IFERROR(INDEX(激励事件明细!$AB$2:$AB$501,MATCH(T77,激励事件明细!$A$2:$A$501,0)),""))</f>
        <v/>
      </c>
      <c r="H77" s="17" t="str">
        <f>IF(A77="","",IFERROR(INDEX(激励事件明细!$AC$2:$AC$501,MATCH(T77,激励事件明细!$A$2:$A$501,0)),""))</f>
        <v/>
      </c>
      <c r="I77" s="13"/>
      <c r="J77" s="14"/>
      <c r="K77" s="14"/>
      <c r="L77" s="9"/>
      <c r="M77" s="15" t="str">
        <f t="shared" si="6"/>
        <v/>
      </c>
      <c r="N77" s="15" t="str">
        <f t="shared" si="7"/>
        <v/>
      </c>
      <c r="O77" s="4" t="str">
        <f t="shared" ca="1" si="8"/>
        <v/>
      </c>
      <c r="P77" s="17" t="str">
        <f>IF(A77="","",IFERROR(IF(INDEX(激励事件明细!$P$2:$P$501,MATCH(T77,激励事件明细!$A$2:$A$501,0))=0,"",INDEX(激励事件明细!$P$2:$P$501,MATCH(T77,激励事件明细!$A$2:$A$501,0))),""))</f>
        <v/>
      </c>
      <c r="Q77" s="4" t="str">
        <f t="shared" si="9"/>
        <v>无效</v>
      </c>
      <c r="R77" s="4" t="str">
        <f t="shared" ca="1" si="10"/>
        <v>异常：必须关联有效事件编号或税额批次</v>
      </c>
      <c r="S77" s="9"/>
      <c r="T77" s="4" t="str">
        <f>IF(D77&lt;&gt;"",IF(COUNTIF(激励事件明细!$A$2:$A$501,D77)=1,D77,""),IF(E77&lt;&gt;"",IFERROR(INDEX(激励事件明细!$A$2:$A$501,MATCH(E77,激励事件明细!$B$2:$B$501,0)),""),""))</f>
        <v/>
      </c>
      <c r="U77" s="4" t="str">
        <f>IF(T77="","",IFERROR(INDEX(激励事件明细!$B$2:$B$501,MATCH(T77,激励事件明细!$A$2:$A$501,0)),""))</f>
        <v/>
      </c>
      <c r="V77" s="4" t="str">
        <f>IF(A77="","",COUNTIF($A$2:A77,A77))</f>
        <v/>
      </c>
      <c r="W77" s="4" t="str">
        <f t="shared" si="11"/>
        <v/>
      </c>
    </row>
    <row r="78" spans="1:23" x14ac:dyDescent="0.3">
      <c r="A78" s="4" t="str">
        <f>IF(T78="","",IFERROR(INDEX(激励事件明细!$C$2:$C$501,MATCH(T78,激励事件明细!$A$2:$A$501,0)),""))</f>
        <v/>
      </c>
      <c r="B78" s="4" t="str">
        <f>IF(A78="","",IFERROR(INDEX(激励事件明细!$D$2:$D$501,MATCH(T78,激励事件明细!$A$2:$A$501,0)),""))</f>
        <v/>
      </c>
      <c r="C78" s="4" t="str">
        <f>IF(A78="","",IFERROR(INDEX(激励事件明细!$H$2:$H$501,MATCH(T78,激励事件明细!$A$2:$A$501,0)),""))</f>
        <v/>
      </c>
      <c r="D78" s="9"/>
      <c r="E78" s="9"/>
      <c r="F78" s="15" t="str">
        <f>IF(A78="","",IFERROR(INDEX(激励事件明细!$AA$2:$AA$501,MATCH(T78,激励事件明细!$A$2:$A$501,0)),""))</f>
        <v/>
      </c>
      <c r="G78" s="17" t="str">
        <f>IF(A78="","",IFERROR(INDEX(激励事件明细!$AB$2:$AB$501,MATCH(T78,激励事件明细!$A$2:$A$501,0)),""))</f>
        <v/>
      </c>
      <c r="H78" s="17" t="str">
        <f>IF(A78="","",IFERROR(INDEX(激励事件明细!$AC$2:$AC$501,MATCH(T78,激励事件明细!$A$2:$A$501,0)),""))</f>
        <v/>
      </c>
      <c r="I78" s="13"/>
      <c r="J78" s="14"/>
      <c r="K78" s="14"/>
      <c r="L78" s="9"/>
      <c r="M78" s="15" t="str">
        <f t="shared" si="6"/>
        <v/>
      </c>
      <c r="N78" s="15" t="str">
        <f t="shared" si="7"/>
        <v/>
      </c>
      <c r="O78" s="4" t="str">
        <f t="shared" ca="1" si="8"/>
        <v/>
      </c>
      <c r="P78" s="17" t="str">
        <f>IF(A78="","",IFERROR(IF(INDEX(激励事件明细!$P$2:$P$501,MATCH(T78,激励事件明细!$A$2:$A$501,0))=0,"",INDEX(激励事件明细!$P$2:$P$501,MATCH(T78,激励事件明细!$A$2:$A$501,0))),""))</f>
        <v/>
      </c>
      <c r="Q78" s="4" t="str">
        <f t="shared" si="9"/>
        <v>无效</v>
      </c>
      <c r="R78" s="4" t="str">
        <f t="shared" ca="1" si="10"/>
        <v>异常：必须关联有效事件编号或税额批次</v>
      </c>
      <c r="S78" s="9"/>
      <c r="T78" s="4" t="str">
        <f>IF(D78&lt;&gt;"",IF(COUNTIF(激励事件明细!$A$2:$A$501,D78)=1,D78,""),IF(E78&lt;&gt;"",IFERROR(INDEX(激励事件明细!$A$2:$A$501,MATCH(E78,激励事件明细!$B$2:$B$501,0)),""),""))</f>
        <v/>
      </c>
      <c r="U78" s="4" t="str">
        <f>IF(T78="","",IFERROR(INDEX(激励事件明细!$B$2:$B$501,MATCH(T78,激励事件明细!$A$2:$A$501,0)),""))</f>
        <v/>
      </c>
      <c r="V78" s="4" t="str">
        <f>IF(A78="","",COUNTIF($A$2:A78,A78))</f>
        <v/>
      </c>
      <c r="W78" s="4" t="str">
        <f t="shared" si="11"/>
        <v/>
      </c>
    </row>
    <row r="79" spans="1:23" x14ac:dyDescent="0.3">
      <c r="A79" s="4" t="str">
        <f>IF(T79="","",IFERROR(INDEX(激励事件明细!$C$2:$C$501,MATCH(T79,激励事件明细!$A$2:$A$501,0)),""))</f>
        <v/>
      </c>
      <c r="B79" s="4" t="str">
        <f>IF(A79="","",IFERROR(INDEX(激励事件明细!$D$2:$D$501,MATCH(T79,激励事件明细!$A$2:$A$501,0)),""))</f>
        <v/>
      </c>
      <c r="C79" s="4" t="str">
        <f>IF(A79="","",IFERROR(INDEX(激励事件明细!$H$2:$H$501,MATCH(T79,激励事件明细!$A$2:$A$501,0)),""))</f>
        <v/>
      </c>
      <c r="D79" s="9"/>
      <c r="E79" s="9"/>
      <c r="F79" s="15" t="str">
        <f>IF(A79="","",IFERROR(INDEX(激励事件明细!$AA$2:$AA$501,MATCH(T79,激励事件明细!$A$2:$A$501,0)),""))</f>
        <v/>
      </c>
      <c r="G79" s="17" t="str">
        <f>IF(A79="","",IFERROR(INDEX(激励事件明细!$AB$2:$AB$501,MATCH(T79,激励事件明细!$A$2:$A$501,0)),""))</f>
        <v/>
      </c>
      <c r="H79" s="17" t="str">
        <f>IF(A79="","",IFERROR(INDEX(激励事件明细!$AC$2:$AC$501,MATCH(T79,激励事件明细!$A$2:$A$501,0)),""))</f>
        <v/>
      </c>
      <c r="I79" s="13"/>
      <c r="J79" s="14"/>
      <c r="K79" s="14"/>
      <c r="L79" s="9"/>
      <c r="M79" s="15" t="str">
        <f t="shared" si="6"/>
        <v/>
      </c>
      <c r="N79" s="15" t="str">
        <f t="shared" si="7"/>
        <v/>
      </c>
      <c r="O79" s="4" t="str">
        <f t="shared" ca="1" si="8"/>
        <v/>
      </c>
      <c r="P79" s="17" t="str">
        <f>IF(A79="","",IFERROR(IF(INDEX(激励事件明细!$P$2:$P$501,MATCH(T79,激励事件明细!$A$2:$A$501,0))=0,"",INDEX(激励事件明细!$P$2:$P$501,MATCH(T79,激励事件明细!$A$2:$A$501,0))),""))</f>
        <v/>
      </c>
      <c r="Q79" s="4" t="str">
        <f t="shared" si="9"/>
        <v>无效</v>
      </c>
      <c r="R79" s="4" t="str">
        <f t="shared" ca="1" si="10"/>
        <v>异常：必须关联有效事件编号或税额批次</v>
      </c>
      <c r="S79" s="9"/>
      <c r="T79" s="4" t="str">
        <f>IF(D79&lt;&gt;"",IF(COUNTIF(激励事件明细!$A$2:$A$501,D79)=1,D79,""),IF(E79&lt;&gt;"",IFERROR(INDEX(激励事件明细!$A$2:$A$501,MATCH(E79,激励事件明细!$B$2:$B$501,0)),""),""))</f>
        <v/>
      </c>
      <c r="U79" s="4" t="str">
        <f>IF(T79="","",IFERROR(INDEX(激励事件明细!$B$2:$B$501,MATCH(T79,激励事件明细!$A$2:$A$501,0)),""))</f>
        <v/>
      </c>
      <c r="V79" s="4" t="str">
        <f>IF(A79="","",COUNTIF($A$2:A79,A79))</f>
        <v/>
      </c>
      <c r="W79" s="4" t="str">
        <f t="shared" si="11"/>
        <v/>
      </c>
    </row>
    <row r="80" spans="1:23" x14ac:dyDescent="0.3">
      <c r="A80" s="4" t="str">
        <f>IF(T80="","",IFERROR(INDEX(激励事件明细!$C$2:$C$501,MATCH(T80,激励事件明细!$A$2:$A$501,0)),""))</f>
        <v/>
      </c>
      <c r="B80" s="4" t="str">
        <f>IF(A80="","",IFERROR(INDEX(激励事件明细!$D$2:$D$501,MATCH(T80,激励事件明细!$A$2:$A$501,0)),""))</f>
        <v/>
      </c>
      <c r="C80" s="4" t="str">
        <f>IF(A80="","",IFERROR(INDEX(激励事件明细!$H$2:$H$501,MATCH(T80,激励事件明细!$A$2:$A$501,0)),""))</f>
        <v/>
      </c>
      <c r="D80" s="9"/>
      <c r="E80" s="9"/>
      <c r="F80" s="15" t="str">
        <f>IF(A80="","",IFERROR(INDEX(激励事件明细!$AA$2:$AA$501,MATCH(T80,激励事件明细!$A$2:$A$501,0)),""))</f>
        <v/>
      </c>
      <c r="G80" s="17" t="str">
        <f>IF(A80="","",IFERROR(INDEX(激励事件明细!$AB$2:$AB$501,MATCH(T80,激励事件明细!$A$2:$A$501,0)),""))</f>
        <v/>
      </c>
      <c r="H80" s="17" t="str">
        <f>IF(A80="","",IFERROR(INDEX(激励事件明细!$AC$2:$AC$501,MATCH(T80,激励事件明细!$A$2:$A$501,0)),""))</f>
        <v/>
      </c>
      <c r="I80" s="13"/>
      <c r="J80" s="14"/>
      <c r="K80" s="14"/>
      <c r="L80" s="9"/>
      <c r="M80" s="15" t="str">
        <f t="shared" si="6"/>
        <v/>
      </c>
      <c r="N80" s="15" t="str">
        <f t="shared" si="7"/>
        <v/>
      </c>
      <c r="O80" s="4" t="str">
        <f t="shared" ca="1" si="8"/>
        <v/>
      </c>
      <c r="P80" s="17" t="str">
        <f>IF(A80="","",IFERROR(IF(INDEX(激励事件明细!$P$2:$P$501,MATCH(T80,激励事件明细!$A$2:$A$501,0))=0,"",INDEX(激励事件明细!$P$2:$P$501,MATCH(T80,激励事件明细!$A$2:$A$501,0))),""))</f>
        <v/>
      </c>
      <c r="Q80" s="4" t="str">
        <f t="shared" si="9"/>
        <v>无效</v>
      </c>
      <c r="R80" s="4" t="str">
        <f t="shared" ca="1" si="10"/>
        <v>异常：必须关联有效事件编号或税额批次</v>
      </c>
      <c r="S80" s="9"/>
      <c r="T80" s="4" t="str">
        <f>IF(D80&lt;&gt;"",IF(COUNTIF(激励事件明细!$A$2:$A$501,D80)=1,D80,""),IF(E80&lt;&gt;"",IFERROR(INDEX(激励事件明细!$A$2:$A$501,MATCH(E80,激励事件明细!$B$2:$B$501,0)),""),""))</f>
        <v/>
      </c>
      <c r="U80" s="4" t="str">
        <f>IF(T80="","",IFERROR(INDEX(激励事件明细!$B$2:$B$501,MATCH(T80,激励事件明细!$A$2:$A$501,0)),""))</f>
        <v/>
      </c>
      <c r="V80" s="4" t="str">
        <f>IF(A80="","",COUNTIF($A$2:A80,A80))</f>
        <v/>
      </c>
      <c r="W80" s="4" t="str">
        <f t="shared" si="11"/>
        <v/>
      </c>
    </row>
    <row r="81" spans="1:23" x14ac:dyDescent="0.3">
      <c r="A81" s="4" t="str">
        <f>IF(T81="","",IFERROR(INDEX(激励事件明细!$C$2:$C$501,MATCH(T81,激励事件明细!$A$2:$A$501,0)),""))</f>
        <v/>
      </c>
      <c r="B81" s="4" t="str">
        <f>IF(A81="","",IFERROR(INDEX(激励事件明细!$D$2:$D$501,MATCH(T81,激励事件明细!$A$2:$A$501,0)),""))</f>
        <v/>
      </c>
      <c r="C81" s="4" t="str">
        <f>IF(A81="","",IFERROR(INDEX(激励事件明细!$H$2:$H$501,MATCH(T81,激励事件明细!$A$2:$A$501,0)),""))</f>
        <v/>
      </c>
      <c r="D81" s="9"/>
      <c r="E81" s="9"/>
      <c r="F81" s="15" t="str">
        <f>IF(A81="","",IFERROR(INDEX(激励事件明细!$AA$2:$AA$501,MATCH(T81,激励事件明细!$A$2:$A$501,0)),""))</f>
        <v/>
      </c>
      <c r="G81" s="17" t="str">
        <f>IF(A81="","",IFERROR(INDEX(激励事件明细!$AB$2:$AB$501,MATCH(T81,激励事件明细!$A$2:$A$501,0)),""))</f>
        <v/>
      </c>
      <c r="H81" s="17" t="str">
        <f>IF(A81="","",IFERROR(INDEX(激励事件明细!$AC$2:$AC$501,MATCH(T81,激励事件明细!$A$2:$A$501,0)),""))</f>
        <v/>
      </c>
      <c r="I81" s="13"/>
      <c r="J81" s="14"/>
      <c r="K81" s="14"/>
      <c r="L81" s="9"/>
      <c r="M81" s="15" t="str">
        <f t="shared" si="6"/>
        <v/>
      </c>
      <c r="N81" s="15" t="str">
        <f t="shared" si="7"/>
        <v/>
      </c>
      <c r="O81" s="4" t="str">
        <f t="shared" ca="1" si="8"/>
        <v/>
      </c>
      <c r="P81" s="17" t="str">
        <f>IF(A81="","",IFERROR(IF(INDEX(激励事件明细!$P$2:$P$501,MATCH(T81,激励事件明细!$A$2:$A$501,0))=0,"",INDEX(激励事件明细!$P$2:$P$501,MATCH(T81,激励事件明细!$A$2:$A$501,0))),""))</f>
        <v/>
      </c>
      <c r="Q81" s="4" t="str">
        <f t="shared" si="9"/>
        <v>无效</v>
      </c>
      <c r="R81" s="4" t="str">
        <f t="shared" ca="1" si="10"/>
        <v>异常：必须关联有效事件编号或税额批次</v>
      </c>
      <c r="S81" s="9"/>
      <c r="T81" s="4" t="str">
        <f>IF(D81&lt;&gt;"",IF(COUNTIF(激励事件明细!$A$2:$A$501,D81)=1,D81,""),IF(E81&lt;&gt;"",IFERROR(INDEX(激励事件明细!$A$2:$A$501,MATCH(E81,激励事件明细!$B$2:$B$501,0)),""),""))</f>
        <v/>
      </c>
      <c r="U81" s="4" t="str">
        <f>IF(T81="","",IFERROR(INDEX(激励事件明细!$B$2:$B$501,MATCH(T81,激励事件明细!$A$2:$A$501,0)),""))</f>
        <v/>
      </c>
      <c r="V81" s="4" t="str">
        <f>IF(A81="","",COUNTIF($A$2:A81,A81))</f>
        <v/>
      </c>
      <c r="W81" s="4" t="str">
        <f t="shared" si="11"/>
        <v/>
      </c>
    </row>
    <row r="82" spans="1:23" x14ac:dyDescent="0.3">
      <c r="A82" s="4" t="str">
        <f>IF(T82="","",IFERROR(INDEX(激励事件明细!$C$2:$C$501,MATCH(T82,激励事件明细!$A$2:$A$501,0)),""))</f>
        <v/>
      </c>
      <c r="B82" s="4" t="str">
        <f>IF(A82="","",IFERROR(INDEX(激励事件明细!$D$2:$D$501,MATCH(T82,激励事件明细!$A$2:$A$501,0)),""))</f>
        <v/>
      </c>
      <c r="C82" s="4" t="str">
        <f>IF(A82="","",IFERROR(INDEX(激励事件明细!$H$2:$H$501,MATCH(T82,激励事件明细!$A$2:$A$501,0)),""))</f>
        <v/>
      </c>
      <c r="D82" s="9"/>
      <c r="E82" s="9"/>
      <c r="F82" s="15" t="str">
        <f>IF(A82="","",IFERROR(INDEX(激励事件明细!$AA$2:$AA$501,MATCH(T82,激励事件明细!$A$2:$A$501,0)),""))</f>
        <v/>
      </c>
      <c r="G82" s="17" t="str">
        <f>IF(A82="","",IFERROR(INDEX(激励事件明细!$AB$2:$AB$501,MATCH(T82,激励事件明细!$A$2:$A$501,0)),""))</f>
        <v/>
      </c>
      <c r="H82" s="17" t="str">
        <f>IF(A82="","",IFERROR(INDEX(激励事件明细!$AC$2:$AC$501,MATCH(T82,激励事件明细!$A$2:$A$501,0)),""))</f>
        <v/>
      </c>
      <c r="I82" s="13"/>
      <c r="J82" s="14"/>
      <c r="K82" s="14"/>
      <c r="L82" s="9"/>
      <c r="M82" s="15" t="str">
        <f t="shared" si="6"/>
        <v/>
      </c>
      <c r="N82" s="15" t="str">
        <f t="shared" si="7"/>
        <v/>
      </c>
      <c r="O82" s="4" t="str">
        <f t="shared" ca="1" si="8"/>
        <v/>
      </c>
      <c r="P82" s="17" t="str">
        <f>IF(A82="","",IFERROR(IF(INDEX(激励事件明细!$P$2:$P$501,MATCH(T82,激励事件明细!$A$2:$A$501,0))=0,"",INDEX(激励事件明细!$P$2:$P$501,MATCH(T82,激励事件明细!$A$2:$A$501,0))),""))</f>
        <v/>
      </c>
      <c r="Q82" s="4" t="str">
        <f t="shared" si="9"/>
        <v>无效</v>
      </c>
      <c r="R82" s="4" t="str">
        <f t="shared" ca="1" si="10"/>
        <v>异常：必须关联有效事件编号或税额批次</v>
      </c>
      <c r="S82" s="9"/>
      <c r="T82" s="4" t="str">
        <f>IF(D82&lt;&gt;"",IF(COUNTIF(激励事件明细!$A$2:$A$501,D82)=1,D82,""),IF(E82&lt;&gt;"",IFERROR(INDEX(激励事件明细!$A$2:$A$501,MATCH(E82,激励事件明细!$B$2:$B$501,0)),""),""))</f>
        <v/>
      </c>
      <c r="U82" s="4" t="str">
        <f>IF(T82="","",IFERROR(INDEX(激励事件明细!$B$2:$B$501,MATCH(T82,激励事件明细!$A$2:$A$501,0)),""))</f>
        <v/>
      </c>
      <c r="V82" s="4" t="str">
        <f>IF(A82="","",COUNTIF($A$2:A82,A82))</f>
        <v/>
      </c>
      <c r="W82" s="4" t="str">
        <f t="shared" si="11"/>
        <v/>
      </c>
    </row>
    <row r="83" spans="1:23" x14ac:dyDescent="0.3">
      <c r="A83" s="4" t="str">
        <f>IF(T83="","",IFERROR(INDEX(激励事件明细!$C$2:$C$501,MATCH(T83,激励事件明细!$A$2:$A$501,0)),""))</f>
        <v/>
      </c>
      <c r="B83" s="4" t="str">
        <f>IF(A83="","",IFERROR(INDEX(激励事件明细!$D$2:$D$501,MATCH(T83,激励事件明细!$A$2:$A$501,0)),""))</f>
        <v/>
      </c>
      <c r="C83" s="4" t="str">
        <f>IF(A83="","",IFERROR(INDEX(激励事件明细!$H$2:$H$501,MATCH(T83,激励事件明细!$A$2:$A$501,0)),""))</f>
        <v/>
      </c>
      <c r="D83" s="9"/>
      <c r="E83" s="9"/>
      <c r="F83" s="15" t="str">
        <f>IF(A83="","",IFERROR(INDEX(激励事件明细!$AA$2:$AA$501,MATCH(T83,激励事件明细!$A$2:$A$501,0)),""))</f>
        <v/>
      </c>
      <c r="G83" s="17" t="str">
        <f>IF(A83="","",IFERROR(INDEX(激励事件明细!$AB$2:$AB$501,MATCH(T83,激励事件明细!$A$2:$A$501,0)),""))</f>
        <v/>
      </c>
      <c r="H83" s="17" t="str">
        <f>IF(A83="","",IFERROR(INDEX(激励事件明细!$AC$2:$AC$501,MATCH(T83,激励事件明细!$A$2:$A$501,0)),""))</f>
        <v/>
      </c>
      <c r="I83" s="13"/>
      <c r="J83" s="14"/>
      <c r="K83" s="14"/>
      <c r="L83" s="9"/>
      <c r="M83" s="15" t="str">
        <f t="shared" si="6"/>
        <v/>
      </c>
      <c r="N83" s="15" t="str">
        <f t="shared" si="7"/>
        <v/>
      </c>
      <c r="O83" s="4" t="str">
        <f t="shared" ca="1" si="8"/>
        <v/>
      </c>
      <c r="P83" s="17" t="str">
        <f>IF(A83="","",IFERROR(IF(INDEX(激励事件明细!$P$2:$P$501,MATCH(T83,激励事件明细!$A$2:$A$501,0))=0,"",INDEX(激励事件明细!$P$2:$P$501,MATCH(T83,激励事件明细!$A$2:$A$501,0))),""))</f>
        <v/>
      </c>
      <c r="Q83" s="4" t="str">
        <f t="shared" si="9"/>
        <v>无效</v>
      </c>
      <c r="R83" s="4" t="str">
        <f t="shared" ca="1" si="10"/>
        <v>异常：必须关联有效事件编号或税额批次</v>
      </c>
      <c r="S83" s="9"/>
      <c r="T83" s="4" t="str">
        <f>IF(D83&lt;&gt;"",IF(COUNTIF(激励事件明细!$A$2:$A$501,D83)=1,D83,""),IF(E83&lt;&gt;"",IFERROR(INDEX(激励事件明细!$A$2:$A$501,MATCH(E83,激励事件明细!$B$2:$B$501,0)),""),""))</f>
        <v/>
      </c>
      <c r="U83" s="4" t="str">
        <f>IF(T83="","",IFERROR(INDEX(激励事件明细!$B$2:$B$501,MATCH(T83,激励事件明细!$A$2:$A$501,0)),""))</f>
        <v/>
      </c>
      <c r="V83" s="4" t="str">
        <f>IF(A83="","",COUNTIF($A$2:A83,A83))</f>
        <v/>
      </c>
      <c r="W83" s="4" t="str">
        <f t="shared" si="11"/>
        <v/>
      </c>
    </row>
    <row r="84" spans="1:23" x14ac:dyDescent="0.3">
      <c r="A84" s="4" t="str">
        <f>IF(T84="","",IFERROR(INDEX(激励事件明细!$C$2:$C$501,MATCH(T84,激励事件明细!$A$2:$A$501,0)),""))</f>
        <v/>
      </c>
      <c r="B84" s="4" t="str">
        <f>IF(A84="","",IFERROR(INDEX(激励事件明细!$D$2:$D$501,MATCH(T84,激励事件明细!$A$2:$A$501,0)),""))</f>
        <v/>
      </c>
      <c r="C84" s="4" t="str">
        <f>IF(A84="","",IFERROR(INDEX(激励事件明细!$H$2:$H$501,MATCH(T84,激励事件明细!$A$2:$A$501,0)),""))</f>
        <v/>
      </c>
      <c r="D84" s="9"/>
      <c r="E84" s="9"/>
      <c r="F84" s="15" t="str">
        <f>IF(A84="","",IFERROR(INDEX(激励事件明细!$AA$2:$AA$501,MATCH(T84,激励事件明细!$A$2:$A$501,0)),""))</f>
        <v/>
      </c>
      <c r="G84" s="17" t="str">
        <f>IF(A84="","",IFERROR(INDEX(激励事件明细!$AB$2:$AB$501,MATCH(T84,激励事件明细!$A$2:$A$501,0)),""))</f>
        <v/>
      </c>
      <c r="H84" s="17" t="str">
        <f>IF(A84="","",IFERROR(INDEX(激励事件明细!$AC$2:$AC$501,MATCH(T84,激励事件明细!$A$2:$A$501,0)),""))</f>
        <v/>
      </c>
      <c r="I84" s="13"/>
      <c r="J84" s="14"/>
      <c r="K84" s="14"/>
      <c r="L84" s="9"/>
      <c r="M84" s="15" t="str">
        <f t="shared" si="6"/>
        <v/>
      </c>
      <c r="N84" s="15" t="str">
        <f t="shared" si="7"/>
        <v/>
      </c>
      <c r="O84" s="4" t="str">
        <f t="shared" ca="1" si="8"/>
        <v/>
      </c>
      <c r="P84" s="17" t="str">
        <f>IF(A84="","",IFERROR(IF(INDEX(激励事件明细!$P$2:$P$501,MATCH(T84,激励事件明细!$A$2:$A$501,0))=0,"",INDEX(激励事件明细!$P$2:$P$501,MATCH(T84,激励事件明细!$A$2:$A$501,0))),""))</f>
        <v/>
      </c>
      <c r="Q84" s="4" t="str">
        <f t="shared" si="9"/>
        <v>无效</v>
      </c>
      <c r="R84" s="4" t="str">
        <f t="shared" ca="1" si="10"/>
        <v>异常：必须关联有效事件编号或税额批次</v>
      </c>
      <c r="S84" s="9"/>
      <c r="T84" s="4" t="str">
        <f>IF(D84&lt;&gt;"",IF(COUNTIF(激励事件明细!$A$2:$A$501,D84)=1,D84,""),IF(E84&lt;&gt;"",IFERROR(INDEX(激励事件明细!$A$2:$A$501,MATCH(E84,激励事件明细!$B$2:$B$501,0)),""),""))</f>
        <v/>
      </c>
      <c r="U84" s="4" t="str">
        <f>IF(T84="","",IFERROR(INDEX(激励事件明细!$B$2:$B$501,MATCH(T84,激励事件明细!$A$2:$A$501,0)),""))</f>
        <v/>
      </c>
      <c r="V84" s="4" t="str">
        <f>IF(A84="","",COUNTIF($A$2:A84,A84))</f>
        <v/>
      </c>
      <c r="W84" s="4" t="str">
        <f t="shared" si="11"/>
        <v/>
      </c>
    </row>
    <row r="85" spans="1:23" x14ac:dyDescent="0.3">
      <c r="A85" s="4" t="str">
        <f>IF(T85="","",IFERROR(INDEX(激励事件明细!$C$2:$C$501,MATCH(T85,激励事件明细!$A$2:$A$501,0)),""))</f>
        <v/>
      </c>
      <c r="B85" s="4" t="str">
        <f>IF(A85="","",IFERROR(INDEX(激励事件明细!$D$2:$D$501,MATCH(T85,激励事件明细!$A$2:$A$501,0)),""))</f>
        <v/>
      </c>
      <c r="C85" s="4" t="str">
        <f>IF(A85="","",IFERROR(INDEX(激励事件明细!$H$2:$H$501,MATCH(T85,激励事件明细!$A$2:$A$501,0)),""))</f>
        <v/>
      </c>
      <c r="D85" s="9"/>
      <c r="E85" s="9"/>
      <c r="F85" s="15" t="str">
        <f>IF(A85="","",IFERROR(INDEX(激励事件明细!$AA$2:$AA$501,MATCH(T85,激励事件明细!$A$2:$A$501,0)),""))</f>
        <v/>
      </c>
      <c r="G85" s="17" t="str">
        <f>IF(A85="","",IFERROR(INDEX(激励事件明细!$AB$2:$AB$501,MATCH(T85,激励事件明细!$A$2:$A$501,0)),""))</f>
        <v/>
      </c>
      <c r="H85" s="17" t="str">
        <f>IF(A85="","",IFERROR(INDEX(激励事件明细!$AC$2:$AC$501,MATCH(T85,激励事件明细!$A$2:$A$501,0)),""))</f>
        <v/>
      </c>
      <c r="I85" s="13"/>
      <c r="J85" s="14"/>
      <c r="K85" s="14"/>
      <c r="L85" s="9"/>
      <c r="M85" s="15" t="str">
        <f t="shared" si="6"/>
        <v/>
      </c>
      <c r="N85" s="15" t="str">
        <f t="shared" si="7"/>
        <v/>
      </c>
      <c r="O85" s="4" t="str">
        <f t="shared" ca="1" si="8"/>
        <v/>
      </c>
      <c r="P85" s="17" t="str">
        <f>IF(A85="","",IFERROR(IF(INDEX(激励事件明细!$P$2:$P$501,MATCH(T85,激励事件明细!$A$2:$A$501,0))=0,"",INDEX(激励事件明细!$P$2:$P$501,MATCH(T85,激励事件明细!$A$2:$A$501,0))),""))</f>
        <v/>
      </c>
      <c r="Q85" s="4" t="str">
        <f t="shared" si="9"/>
        <v>无效</v>
      </c>
      <c r="R85" s="4" t="str">
        <f t="shared" ca="1" si="10"/>
        <v>异常：必须关联有效事件编号或税额批次</v>
      </c>
      <c r="S85" s="9"/>
      <c r="T85" s="4" t="str">
        <f>IF(D85&lt;&gt;"",IF(COUNTIF(激励事件明细!$A$2:$A$501,D85)=1,D85,""),IF(E85&lt;&gt;"",IFERROR(INDEX(激励事件明细!$A$2:$A$501,MATCH(E85,激励事件明细!$B$2:$B$501,0)),""),""))</f>
        <v/>
      </c>
      <c r="U85" s="4" t="str">
        <f>IF(T85="","",IFERROR(INDEX(激励事件明细!$B$2:$B$501,MATCH(T85,激励事件明细!$A$2:$A$501,0)),""))</f>
        <v/>
      </c>
      <c r="V85" s="4" t="str">
        <f>IF(A85="","",COUNTIF($A$2:A85,A85))</f>
        <v/>
      </c>
      <c r="W85" s="4" t="str">
        <f t="shared" si="11"/>
        <v/>
      </c>
    </row>
    <row r="86" spans="1:23" x14ac:dyDescent="0.3">
      <c r="A86" s="4" t="str">
        <f>IF(T86="","",IFERROR(INDEX(激励事件明细!$C$2:$C$501,MATCH(T86,激励事件明细!$A$2:$A$501,0)),""))</f>
        <v/>
      </c>
      <c r="B86" s="4" t="str">
        <f>IF(A86="","",IFERROR(INDEX(激励事件明细!$D$2:$D$501,MATCH(T86,激励事件明细!$A$2:$A$501,0)),""))</f>
        <v/>
      </c>
      <c r="C86" s="4" t="str">
        <f>IF(A86="","",IFERROR(INDEX(激励事件明细!$H$2:$H$501,MATCH(T86,激励事件明细!$A$2:$A$501,0)),""))</f>
        <v/>
      </c>
      <c r="D86" s="9"/>
      <c r="E86" s="9"/>
      <c r="F86" s="15" t="str">
        <f>IF(A86="","",IFERROR(INDEX(激励事件明细!$AA$2:$AA$501,MATCH(T86,激励事件明细!$A$2:$A$501,0)),""))</f>
        <v/>
      </c>
      <c r="G86" s="17" t="str">
        <f>IF(A86="","",IFERROR(INDEX(激励事件明细!$AB$2:$AB$501,MATCH(T86,激励事件明细!$A$2:$A$501,0)),""))</f>
        <v/>
      </c>
      <c r="H86" s="17" t="str">
        <f>IF(A86="","",IFERROR(INDEX(激励事件明细!$AC$2:$AC$501,MATCH(T86,激励事件明细!$A$2:$A$501,0)),""))</f>
        <v/>
      </c>
      <c r="I86" s="13"/>
      <c r="J86" s="14"/>
      <c r="K86" s="14"/>
      <c r="L86" s="9"/>
      <c r="M86" s="15" t="str">
        <f t="shared" si="6"/>
        <v/>
      </c>
      <c r="N86" s="15" t="str">
        <f t="shared" si="7"/>
        <v/>
      </c>
      <c r="O86" s="4" t="str">
        <f t="shared" ca="1" si="8"/>
        <v/>
      </c>
      <c r="P86" s="17" t="str">
        <f>IF(A86="","",IFERROR(IF(INDEX(激励事件明细!$P$2:$P$501,MATCH(T86,激励事件明细!$A$2:$A$501,0))=0,"",INDEX(激励事件明细!$P$2:$P$501,MATCH(T86,激励事件明细!$A$2:$A$501,0))),""))</f>
        <v/>
      </c>
      <c r="Q86" s="4" t="str">
        <f t="shared" si="9"/>
        <v>无效</v>
      </c>
      <c r="R86" s="4" t="str">
        <f t="shared" ca="1" si="10"/>
        <v>异常：必须关联有效事件编号或税额批次</v>
      </c>
      <c r="S86" s="9"/>
      <c r="T86" s="4" t="str">
        <f>IF(D86&lt;&gt;"",IF(COUNTIF(激励事件明细!$A$2:$A$501,D86)=1,D86,""),IF(E86&lt;&gt;"",IFERROR(INDEX(激励事件明细!$A$2:$A$501,MATCH(E86,激励事件明细!$B$2:$B$501,0)),""),""))</f>
        <v/>
      </c>
      <c r="U86" s="4" t="str">
        <f>IF(T86="","",IFERROR(INDEX(激励事件明细!$B$2:$B$501,MATCH(T86,激励事件明细!$A$2:$A$501,0)),""))</f>
        <v/>
      </c>
      <c r="V86" s="4" t="str">
        <f>IF(A86="","",COUNTIF($A$2:A86,A86))</f>
        <v/>
      </c>
      <c r="W86" s="4" t="str">
        <f t="shared" si="11"/>
        <v/>
      </c>
    </row>
    <row r="87" spans="1:23" x14ac:dyDescent="0.3">
      <c r="A87" s="4" t="str">
        <f>IF(T87="","",IFERROR(INDEX(激励事件明细!$C$2:$C$501,MATCH(T87,激励事件明细!$A$2:$A$501,0)),""))</f>
        <v/>
      </c>
      <c r="B87" s="4" t="str">
        <f>IF(A87="","",IFERROR(INDEX(激励事件明细!$D$2:$D$501,MATCH(T87,激励事件明细!$A$2:$A$501,0)),""))</f>
        <v/>
      </c>
      <c r="C87" s="4" t="str">
        <f>IF(A87="","",IFERROR(INDEX(激励事件明细!$H$2:$H$501,MATCH(T87,激励事件明细!$A$2:$A$501,0)),""))</f>
        <v/>
      </c>
      <c r="D87" s="9"/>
      <c r="E87" s="9"/>
      <c r="F87" s="15" t="str">
        <f>IF(A87="","",IFERROR(INDEX(激励事件明细!$AA$2:$AA$501,MATCH(T87,激励事件明细!$A$2:$A$501,0)),""))</f>
        <v/>
      </c>
      <c r="G87" s="17" t="str">
        <f>IF(A87="","",IFERROR(INDEX(激励事件明细!$AB$2:$AB$501,MATCH(T87,激励事件明细!$A$2:$A$501,0)),""))</f>
        <v/>
      </c>
      <c r="H87" s="17" t="str">
        <f>IF(A87="","",IFERROR(INDEX(激励事件明细!$AC$2:$AC$501,MATCH(T87,激励事件明细!$A$2:$A$501,0)),""))</f>
        <v/>
      </c>
      <c r="I87" s="13"/>
      <c r="J87" s="14"/>
      <c r="K87" s="14"/>
      <c r="L87" s="9"/>
      <c r="M87" s="15" t="str">
        <f t="shared" si="6"/>
        <v/>
      </c>
      <c r="N87" s="15" t="str">
        <f t="shared" si="7"/>
        <v/>
      </c>
      <c r="O87" s="4" t="str">
        <f t="shared" ca="1" si="8"/>
        <v/>
      </c>
      <c r="P87" s="17" t="str">
        <f>IF(A87="","",IFERROR(IF(INDEX(激励事件明细!$P$2:$P$501,MATCH(T87,激励事件明细!$A$2:$A$501,0))=0,"",INDEX(激励事件明细!$P$2:$P$501,MATCH(T87,激励事件明细!$A$2:$A$501,0))),""))</f>
        <v/>
      </c>
      <c r="Q87" s="4" t="str">
        <f t="shared" si="9"/>
        <v>无效</v>
      </c>
      <c r="R87" s="4" t="str">
        <f t="shared" ca="1" si="10"/>
        <v>异常：必须关联有效事件编号或税额批次</v>
      </c>
      <c r="S87" s="9"/>
      <c r="T87" s="4" t="str">
        <f>IF(D87&lt;&gt;"",IF(COUNTIF(激励事件明细!$A$2:$A$501,D87)=1,D87,""),IF(E87&lt;&gt;"",IFERROR(INDEX(激励事件明细!$A$2:$A$501,MATCH(E87,激励事件明细!$B$2:$B$501,0)),""),""))</f>
        <v/>
      </c>
      <c r="U87" s="4" t="str">
        <f>IF(T87="","",IFERROR(INDEX(激励事件明细!$B$2:$B$501,MATCH(T87,激励事件明细!$A$2:$A$501,0)),""))</f>
        <v/>
      </c>
      <c r="V87" s="4" t="str">
        <f>IF(A87="","",COUNTIF($A$2:A87,A87))</f>
        <v/>
      </c>
      <c r="W87" s="4" t="str">
        <f t="shared" si="11"/>
        <v/>
      </c>
    </row>
    <row r="88" spans="1:23" x14ac:dyDescent="0.3">
      <c r="A88" s="4" t="str">
        <f>IF(T88="","",IFERROR(INDEX(激励事件明细!$C$2:$C$501,MATCH(T88,激励事件明细!$A$2:$A$501,0)),""))</f>
        <v/>
      </c>
      <c r="B88" s="4" t="str">
        <f>IF(A88="","",IFERROR(INDEX(激励事件明细!$D$2:$D$501,MATCH(T88,激励事件明细!$A$2:$A$501,0)),""))</f>
        <v/>
      </c>
      <c r="C88" s="4" t="str">
        <f>IF(A88="","",IFERROR(INDEX(激励事件明细!$H$2:$H$501,MATCH(T88,激励事件明细!$A$2:$A$501,0)),""))</f>
        <v/>
      </c>
      <c r="D88" s="9"/>
      <c r="E88" s="9"/>
      <c r="F88" s="15" t="str">
        <f>IF(A88="","",IFERROR(INDEX(激励事件明细!$AA$2:$AA$501,MATCH(T88,激励事件明细!$A$2:$A$501,0)),""))</f>
        <v/>
      </c>
      <c r="G88" s="17" t="str">
        <f>IF(A88="","",IFERROR(INDEX(激励事件明细!$AB$2:$AB$501,MATCH(T88,激励事件明细!$A$2:$A$501,0)),""))</f>
        <v/>
      </c>
      <c r="H88" s="17" t="str">
        <f>IF(A88="","",IFERROR(INDEX(激励事件明细!$AC$2:$AC$501,MATCH(T88,激励事件明细!$A$2:$A$501,0)),""))</f>
        <v/>
      </c>
      <c r="I88" s="13"/>
      <c r="J88" s="14"/>
      <c r="K88" s="14"/>
      <c r="L88" s="9"/>
      <c r="M88" s="15" t="str">
        <f t="shared" si="6"/>
        <v/>
      </c>
      <c r="N88" s="15" t="str">
        <f t="shared" si="7"/>
        <v/>
      </c>
      <c r="O88" s="4" t="str">
        <f t="shared" ca="1" si="8"/>
        <v/>
      </c>
      <c r="P88" s="17" t="str">
        <f>IF(A88="","",IFERROR(IF(INDEX(激励事件明细!$P$2:$P$501,MATCH(T88,激励事件明细!$A$2:$A$501,0))=0,"",INDEX(激励事件明细!$P$2:$P$501,MATCH(T88,激励事件明细!$A$2:$A$501,0))),""))</f>
        <v/>
      </c>
      <c r="Q88" s="4" t="str">
        <f t="shared" si="9"/>
        <v>无效</v>
      </c>
      <c r="R88" s="4" t="str">
        <f t="shared" ca="1" si="10"/>
        <v>异常：必须关联有效事件编号或税额批次</v>
      </c>
      <c r="S88" s="9"/>
      <c r="T88" s="4" t="str">
        <f>IF(D88&lt;&gt;"",IF(COUNTIF(激励事件明细!$A$2:$A$501,D88)=1,D88,""),IF(E88&lt;&gt;"",IFERROR(INDEX(激励事件明细!$A$2:$A$501,MATCH(E88,激励事件明细!$B$2:$B$501,0)),""),""))</f>
        <v/>
      </c>
      <c r="U88" s="4" t="str">
        <f>IF(T88="","",IFERROR(INDEX(激励事件明细!$B$2:$B$501,MATCH(T88,激励事件明细!$A$2:$A$501,0)),""))</f>
        <v/>
      </c>
      <c r="V88" s="4" t="str">
        <f>IF(A88="","",COUNTIF($A$2:A88,A88))</f>
        <v/>
      </c>
      <c r="W88" s="4" t="str">
        <f t="shared" si="11"/>
        <v/>
      </c>
    </row>
    <row r="89" spans="1:23" x14ac:dyDescent="0.3">
      <c r="A89" s="4" t="str">
        <f>IF(T89="","",IFERROR(INDEX(激励事件明细!$C$2:$C$501,MATCH(T89,激励事件明细!$A$2:$A$501,0)),""))</f>
        <v/>
      </c>
      <c r="B89" s="4" t="str">
        <f>IF(A89="","",IFERROR(INDEX(激励事件明细!$D$2:$D$501,MATCH(T89,激励事件明细!$A$2:$A$501,0)),""))</f>
        <v/>
      </c>
      <c r="C89" s="4" t="str">
        <f>IF(A89="","",IFERROR(INDEX(激励事件明细!$H$2:$H$501,MATCH(T89,激励事件明细!$A$2:$A$501,0)),""))</f>
        <v/>
      </c>
      <c r="D89" s="9"/>
      <c r="E89" s="9"/>
      <c r="F89" s="15" t="str">
        <f>IF(A89="","",IFERROR(INDEX(激励事件明细!$AA$2:$AA$501,MATCH(T89,激励事件明细!$A$2:$A$501,0)),""))</f>
        <v/>
      </c>
      <c r="G89" s="17" t="str">
        <f>IF(A89="","",IFERROR(INDEX(激励事件明细!$AB$2:$AB$501,MATCH(T89,激励事件明细!$A$2:$A$501,0)),""))</f>
        <v/>
      </c>
      <c r="H89" s="17" t="str">
        <f>IF(A89="","",IFERROR(INDEX(激励事件明细!$AC$2:$AC$501,MATCH(T89,激励事件明细!$A$2:$A$501,0)),""))</f>
        <v/>
      </c>
      <c r="I89" s="13"/>
      <c r="J89" s="14"/>
      <c r="K89" s="14"/>
      <c r="L89" s="9"/>
      <c r="M89" s="15" t="str">
        <f t="shared" si="6"/>
        <v/>
      </c>
      <c r="N89" s="15" t="str">
        <f t="shared" si="7"/>
        <v/>
      </c>
      <c r="O89" s="4" t="str">
        <f t="shared" ca="1" si="8"/>
        <v/>
      </c>
      <c r="P89" s="17" t="str">
        <f>IF(A89="","",IFERROR(IF(INDEX(激励事件明细!$P$2:$P$501,MATCH(T89,激励事件明细!$A$2:$A$501,0))=0,"",INDEX(激励事件明细!$P$2:$P$501,MATCH(T89,激励事件明细!$A$2:$A$501,0))),""))</f>
        <v/>
      </c>
      <c r="Q89" s="4" t="str">
        <f t="shared" si="9"/>
        <v>无效</v>
      </c>
      <c r="R89" s="4" t="str">
        <f t="shared" ca="1" si="10"/>
        <v>异常：必须关联有效事件编号或税额批次</v>
      </c>
      <c r="S89" s="9"/>
      <c r="T89" s="4" t="str">
        <f>IF(D89&lt;&gt;"",IF(COUNTIF(激励事件明细!$A$2:$A$501,D89)=1,D89,""),IF(E89&lt;&gt;"",IFERROR(INDEX(激励事件明细!$A$2:$A$501,MATCH(E89,激励事件明细!$B$2:$B$501,0)),""),""))</f>
        <v/>
      </c>
      <c r="U89" s="4" t="str">
        <f>IF(T89="","",IFERROR(INDEX(激励事件明细!$B$2:$B$501,MATCH(T89,激励事件明细!$A$2:$A$501,0)),""))</f>
        <v/>
      </c>
      <c r="V89" s="4" t="str">
        <f>IF(A89="","",COUNTIF($A$2:A89,A89))</f>
        <v/>
      </c>
      <c r="W89" s="4" t="str">
        <f t="shared" si="11"/>
        <v/>
      </c>
    </row>
    <row r="90" spans="1:23" x14ac:dyDescent="0.3">
      <c r="A90" s="4" t="str">
        <f>IF(T90="","",IFERROR(INDEX(激励事件明细!$C$2:$C$501,MATCH(T90,激励事件明细!$A$2:$A$501,0)),""))</f>
        <v/>
      </c>
      <c r="B90" s="4" t="str">
        <f>IF(A90="","",IFERROR(INDEX(激励事件明细!$D$2:$D$501,MATCH(T90,激励事件明细!$A$2:$A$501,0)),""))</f>
        <v/>
      </c>
      <c r="C90" s="4" t="str">
        <f>IF(A90="","",IFERROR(INDEX(激励事件明细!$H$2:$H$501,MATCH(T90,激励事件明细!$A$2:$A$501,0)),""))</f>
        <v/>
      </c>
      <c r="D90" s="9"/>
      <c r="E90" s="9"/>
      <c r="F90" s="15" t="str">
        <f>IF(A90="","",IFERROR(INDEX(激励事件明细!$AA$2:$AA$501,MATCH(T90,激励事件明细!$A$2:$A$501,0)),""))</f>
        <v/>
      </c>
      <c r="G90" s="17" t="str">
        <f>IF(A90="","",IFERROR(INDEX(激励事件明细!$AB$2:$AB$501,MATCH(T90,激励事件明细!$A$2:$A$501,0)),""))</f>
        <v/>
      </c>
      <c r="H90" s="17" t="str">
        <f>IF(A90="","",IFERROR(INDEX(激励事件明细!$AC$2:$AC$501,MATCH(T90,激励事件明细!$A$2:$A$501,0)),""))</f>
        <v/>
      </c>
      <c r="I90" s="13"/>
      <c r="J90" s="14"/>
      <c r="K90" s="14"/>
      <c r="L90" s="9"/>
      <c r="M90" s="15" t="str">
        <f t="shared" si="6"/>
        <v/>
      </c>
      <c r="N90" s="15" t="str">
        <f t="shared" si="7"/>
        <v/>
      </c>
      <c r="O90" s="4" t="str">
        <f t="shared" ca="1" si="8"/>
        <v/>
      </c>
      <c r="P90" s="17" t="str">
        <f>IF(A90="","",IFERROR(IF(INDEX(激励事件明细!$P$2:$P$501,MATCH(T90,激励事件明细!$A$2:$A$501,0))=0,"",INDEX(激励事件明细!$P$2:$P$501,MATCH(T90,激励事件明细!$A$2:$A$501,0))),""))</f>
        <v/>
      </c>
      <c r="Q90" s="4" t="str">
        <f t="shared" si="9"/>
        <v>无效</v>
      </c>
      <c r="R90" s="4" t="str">
        <f t="shared" ca="1" si="10"/>
        <v>异常：必须关联有效事件编号或税额批次</v>
      </c>
      <c r="S90" s="9"/>
      <c r="T90" s="4" t="str">
        <f>IF(D90&lt;&gt;"",IF(COUNTIF(激励事件明细!$A$2:$A$501,D90)=1,D90,""),IF(E90&lt;&gt;"",IFERROR(INDEX(激励事件明细!$A$2:$A$501,MATCH(E90,激励事件明细!$B$2:$B$501,0)),""),""))</f>
        <v/>
      </c>
      <c r="U90" s="4" t="str">
        <f>IF(T90="","",IFERROR(INDEX(激励事件明细!$B$2:$B$501,MATCH(T90,激励事件明细!$A$2:$A$501,0)),""))</f>
        <v/>
      </c>
      <c r="V90" s="4" t="str">
        <f>IF(A90="","",COUNTIF($A$2:A90,A90))</f>
        <v/>
      </c>
      <c r="W90" s="4" t="str">
        <f t="shared" si="11"/>
        <v/>
      </c>
    </row>
    <row r="91" spans="1:23" x14ac:dyDescent="0.3">
      <c r="A91" s="4" t="str">
        <f>IF(T91="","",IFERROR(INDEX(激励事件明细!$C$2:$C$501,MATCH(T91,激励事件明细!$A$2:$A$501,0)),""))</f>
        <v/>
      </c>
      <c r="B91" s="4" t="str">
        <f>IF(A91="","",IFERROR(INDEX(激励事件明细!$D$2:$D$501,MATCH(T91,激励事件明细!$A$2:$A$501,0)),""))</f>
        <v/>
      </c>
      <c r="C91" s="4" t="str">
        <f>IF(A91="","",IFERROR(INDEX(激励事件明细!$H$2:$H$501,MATCH(T91,激励事件明细!$A$2:$A$501,0)),""))</f>
        <v/>
      </c>
      <c r="D91" s="9"/>
      <c r="E91" s="9"/>
      <c r="F91" s="15" t="str">
        <f>IF(A91="","",IFERROR(INDEX(激励事件明细!$AA$2:$AA$501,MATCH(T91,激励事件明细!$A$2:$A$501,0)),""))</f>
        <v/>
      </c>
      <c r="G91" s="17" t="str">
        <f>IF(A91="","",IFERROR(INDEX(激励事件明细!$AB$2:$AB$501,MATCH(T91,激励事件明细!$A$2:$A$501,0)),""))</f>
        <v/>
      </c>
      <c r="H91" s="17" t="str">
        <f>IF(A91="","",IFERROR(INDEX(激励事件明细!$AC$2:$AC$501,MATCH(T91,激励事件明细!$A$2:$A$501,0)),""))</f>
        <v/>
      </c>
      <c r="I91" s="13"/>
      <c r="J91" s="14"/>
      <c r="K91" s="14"/>
      <c r="L91" s="9"/>
      <c r="M91" s="15" t="str">
        <f t="shared" si="6"/>
        <v/>
      </c>
      <c r="N91" s="15" t="str">
        <f t="shared" si="7"/>
        <v/>
      </c>
      <c r="O91" s="4" t="str">
        <f t="shared" ca="1" si="8"/>
        <v/>
      </c>
      <c r="P91" s="17" t="str">
        <f>IF(A91="","",IFERROR(IF(INDEX(激励事件明细!$P$2:$P$501,MATCH(T91,激励事件明细!$A$2:$A$501,0))=0,"",INDEX(激励事件明细!$P$2:$P$501,MATCH(T91,激励事件明细!$A$2:$A$501,0))),""))</f>
        <v/>
      </c>
      <c r="Q91" s="4" t="str">
        <f t="shared" si="9"/>
        <v>无效</v>
      </c>
      <c r="R91" s="4" t="str">
        <f t="shared" ca="1" si="10"/>
        <v>异常：必须关联有效事件编号或税额批次</v>
      </c>
      <c r="S91" s="9"/>
      <c r="T91" s="4" t="str">
        <f>IF(D91&lt;&gt;"",IF(COUNTIF(激励事件明细!$A$2:$A$501,D91)=1,D91,""),IF(E91&lt;&gt;"",IFERROR(INDEX(激励事件明细!$A$2:$A$501,MATCH(E91,激励事件明细!$B$2:$B$501,0)),""),""))</f>
        <v/>
      </c>
      <c r="U91" s="4" t="str">
        <f>IF(T91="","",IFERROR(INDEX(激励事件明细!$B$2:$B$501,MATCH(T91,激励事件明细!$A$2:$A$501,0)),""))</f>
        <v/>
      </c>
      <c r="V91" s="4" t="str">
        <f>IF(A91="","",COUNTIF($A$2:A91,A91))</f>
        <v/>
      </c>
      <c r="W91" s="4" t="str">
        <f t="shared" si="11"/>
        <v/>
      </c>
    </row>
    <row r="92" spans="1:23" x14ac:dyDescent="0.3">
      <c r="A92" s="4" t="str">
        <f>IF(T92="","",IFERROR(INDEX(激励事件明细!$C$2:$C$501,MATCH(T92,激励事件明细!$A$2:$A$501,0)),""))</f>
        <v/>
      </c>
      <c r="B92" s="4" t="str">
        <f>IF(A92="","",IFERROR(INDEX(激励事件明细!$D$2:$D$501,MATCH(T92,激励事件明细!$A$2:$A$501,0)),""))</f>
        <v/>
      </c>
      <c r="C92" s="4" t="str">
        <f>IF(A92="","",IFERROR(INDEX(激励事件明细!$H$2:$H$501,MATCH(T92,激励事件明细!$A$2:$A$501,0)),""))</f>
        <v/>
      </c>
      <c r="D92" s="9"/>
      <c r="E92" s="9"/>
      <c r="F92" s="15" t="str">
        <f>IF(A92="","",IFERROR(INDEX(激励事件明细!$AA$2:$AA$501,MATCH(T92,激励事件明细!$A$2:$A$501,0)),""))</f>
        <v/>
      </c>
      <c r="G92" s="17" t="str">
        <f>IF(A92="","",IFERROR(INDEX(激励事件明细!$AB$2:$AB$501,MATCH(T92,激励事件明细!$A$2:$A$501,0)),""))</f>
        <v/>
      </c>
      <c r="H92" s="17" t="str">
        <f>IF(A92="","",IFERROR(INDEX(激励事件明细!$AC$2:$AC$501,MATCH(T92,激励事件明细!$A$2:$A$501,0)),""))</f>
        <v/>
      </c>
      <c r="I92" s="13"/>
      <c r="J92" s="14"/>
      <c r="K92" s="14"/>
      <c r="L92" s="9"/>
      <c r="M92" s="15" t="str">
        <f t="shared" si="6"/>
        <v/>
      </c>
      <c r="N92" s="15" t="str">
        <f t="shared" si="7"/>
        <v/>
      </c>
      <c r="O92" s="4" t="str">
        <f t="shared" ca="1" si="8"/>
        <v/>
      </c>
      <c r="P92" s="17" t="str">
        <f>IF(A92="","",IFERROR(IF(INDEX(激励事件明细!$P$2:$P$501,MATCH(T92,激励事件明细!$A$2:$A$501,0))=0,"",INDEX(激励事件明细!$P$2:$P$501,MATCH(T92,激励事件明细!$A$2:$A$501,0))),""))</f>
        <v/>
      </c>
      <c r="Q92" s="4" t="str">
        <f t="shared" si="9"/>
        <v>无效</v>
      </c>
      <c r="R92" s="4" t="str">
        <f t="shared" ca="1" si="10"/>
        <v>异常：必须关联有效事件编号或税额批次</v>
      </c>
      <c r="S92" s="9"/>
      <c r="T92" s="4" t="str">
        <f>IF(D92&lt;&gt;"",IF(COUNTIF(激励事件明细!$A$2:$A$501,D92)=1,D92,""),IF(E92&lt;&gt;"",IFERROR(INDEX(激励事件明细!$A$2:$A$501,MATCH(E92,激励事件明细!$B$2:$B$501,0)),""),""))</f>
        <v/>
      </c>
      <c r="U92" s="4" t="str">
        <f>IF(T92="","",IFERROR(INDEX(激励事件明细!$B$2:$B$501,MATCH(T92,激励事件明细!$A$2:$A$501,0)),""))</f>
        <v/>
      </c>
      <c r="V92" s="4" t="str">
        <f>IF(A92="","",COUNTIF($A$2:A92,A92))</f>
        <v/>
      </c>
      <c r="W92" s="4" t="str">
        <f t="shared" si="11"/>
        <v/>
      </c>
    </row>
    <row r="93" spans="1:23" x14ac:dyDescent="0.3">
      <c r="A93" s="4" t="str">
        <f>IF(T93="","",IFERROR(INDEX(激励事件明细!$C$2:$C$501,MATCH(T93,激励事件明细!$A$2:$A$501,0)),""))</f>
        <v/>
      </c>
      <c r="B93" s="4" t="str">
        <f>IF(A93="","",IFERROR(INDEX(激励事件明细!$D$2:$D$501,MATCH(T93,激励事件明细!$A$2:$A$501,0)),""))</f>
        <v/>
      </c>
      <c r="C93" s="4" t="str">
        <f>IF(A93="","",IFERROR(INDEX(激励事件明细!$H$2:$H$501,MATCH(T93,激励事件明细!$A$2:$A$501,0)),""))</f>
        <v/>
      </c>
      <c r="D93" s="9"/>
      <c r="E93" s="9"/>
      <c r="F93" s="15" t="str">
        <f>IF(A93="","",IFERROR(INDEX(激励事件明细!$AA$2:$AA$501,MATCH(T93,激励事件明细!$A$2:$A$501,0)),""))</f>
        <v/>
      </c>
      <c r="G93" s="17" t="str">
        <f>IF(A93="","",IFERROR(INDEX(激励事件明细!$AB$2:$AB$501,MATCH(T93,激励事件明细!$A$2:$A$501,0)),""))</f>
        <v/>
      </c>
      <c r="H93" s="17" t="str">
        <f>IF(A93="","",IFERROR(INDEX(激励事件明细!$AC$2:$AC$501,MATCH(T93,激励事件明细!$A$2:$A$501,0)),""))</f>
        <v/>
      </c>
      <c r="I93" s="13"/>
      <c r="J93" s="14"/>
      <c r="K93" s="14"/>
      <c r="L93" s="9"/>
      <c r="M93" s="15" t="str">
        <f t="shared" si="6"/>
        <v/>
      </c>
      <c r="N93" s="15" t="str">
        <f t="shared" si="7"/>
        <v/>
      </c>
      <c r="O93" s="4" t="str">
        <f t="shared" ca="1" si="8"/>
        <v/>
      </c>
      <c r="P93" s="17" t="str">
        <f>IF(A93="","",IFERROR(IF(INDEX(激励事件明细!$P$2:$P$501,MATCH(T93,激励事件明细!$A$2:$A$501,0))=0,"",INDEX(激励事件明细!$P$2:$P$501,MATCH(T93,激励事件明细!$A$2:$A$501,0))),""))</f>
        <v/>
      </c>
      <c r="Q93" s="4" t="str">
        <f t="shared" si="9"/>
        <v>无效</v>
      </c>
      <c r="R93" s="4" t="str">
        <f t="shared" ca="1" si="10"/>
        <v>异常：必须关联有效事件编号或税额批次</v>
      </c>
      <c r="S93" s="9"/>
      <c r="T93" s="4" t="str">
        <f>IF(D93&lt;&gt;"",IF(COUNTIF(激励事件明细!$A$2:$A$501,D93)=1,D93,""),IF(E93&lt;&gt;"",IFERROR(INDEX(激励事件明细!$A$2:$A$501,MATCH(E93,激励事件明细!$B$2:$B$501,0)),""),""))</f>
        <v/>
      </c>
      <c r="U93" s="4" t="str">
        <f>IF(T93="","",IFERROR(INDEX(激励事件明细!$B$2:$B$501,MATCH(T93,激励事件明细!$A$2:$A$501,0)),""))</f>
        <v/>
      </c>
      <c r="V93" s="4" t="str">
        <f>IF(A93="","",COUNTIF($A$2:A93,A93))</f>
        <v/>
      </c>
      <c r="W93" s="4" t="str">
        <f t="shared" si="11"/>
        <v/>
      </c>
    </row>
    <row r="94" spans="1:23" x14ac:dyDescent="0.3">
      <c r="A94" s="4" t="str">
        <f>IF(T94="","",IFERROR(INDEX(激励事件明细!$C$2:$C$501,MATCH(T94,激励事件明细!$A$2:$A$501,0)),""))</f>
        <v/>
      </c>
      <c r="B94" s="4" t="str">
        <f>IF(A94="","",IFERROR(INDEX(激励事件明细!$D$2:$D$501,MATCH(T94,激励事件明细!$A$2:$A$501,0)),""))</f>
        <v/>
      </c>
      <c r="C94" s="4" t="str">
        <f>IF(A94="","",IFERROR(INDEX(激励事件明细!$H$2:$H$501,MATCH(T94,激励事件明细!$A$2:$A$501,0)),""))</f>
        <v/>
      </c>
      <c r="D94" s="9"/>
      <c r="E94" s="9"/>
      <c r="F94" s="15" t="str">
        <f>IF(A94="","",IFERROR(INDEX(激励事件明细!$AA$2:$AA$501,MATCH(T94,激励事件明细!$A$2:$A$501,0)),""))</f>
        <v/>
      </c>
      <c r="G94" s="17" t="str">
        <f>IF(A94="","",IFERROR(INDEX(激励事件明细!$AB$2:$AB$501,MATCH(T94,激励事件明细!$A$2:$A$501,0)),""))</f>
        <v/>
      </c>
      <c r="H94" s="17" t="str">
        <f>IF(A94="","",IFERROR(INDEX(激励事件明细!$AC$2:$AC$501,MATCH(T94,激励事件明细!$A$2:$A$501,0)),""))</f>
        <v/>
      </c>
      <c r="I94" s="13"/>
      <c r="J94" s="14"/>
      <c r="K94" s="14"/>
      <c r="L94" s="9"/>
      <c r="M94" s="15" t="str">
        <f t="shared" si="6"/>
        <v/>
      </c>
      <c r="N94" s="15" t="str">
        <f t="shared" si="7"/>
        <v/>
      </c>
      <c r="O94" s="4" t="str">
        <f t="shared" ca="1" si="8"/>
        <v/>
      </c>
      <c r="P94" s="17" t="str">
        <f>IF(A94="","",IFERROR(IF(INDEX(激励事件明细!$P$2:$P$501,MATCH(T94,激励事件明细!$A$2:$A$501,0))=0,"",INDEX(激励事件明细!$P$2:$P$501,MATCH(T94,激励事件明细!$A$2:$A$501,0))),""))</f>
        <v/>
      </c>
      <c r="Q94" s="4" t="str">
        <f t="shared" si="9"/>
        <v>无效</v>
      </c>
      <c r="R94" s="4" t="str">
        <f t="shared" ca="1" si="10"/>
        <v>异常：必须关联有效事件编号或税额批次</v>
      </c>
      <c r="S94" s="9"/>
      <c r="T94" s="4" t="str">
        <f>IF(D94&lt;&gt;"",IF(COUNTIF(激励事件明细!$A$2:$A$501,D94)=1,D94,""),IF(E94&lt;&gt;"",IFERROR(INDEX(激励事件明细!$A$2:$A$501,MATCH(E94,激励事件明细!$B$2:$B$501,0)),""),""))</f>
        <v/>
      </c>
      <c r="U94" s="4" t="str">
        <f>IF(T94="","",IFERROR(INDEX(激励事件明细!$B$2:$B$501,MATCH(T94,激励事件明细!$A$2:$A$501,0)),""))</f>
        <v/>
      </c>
      <c r="V94" s="4" t="str">
        <f>IF(A94="","",COUNTIF($A$2:A94,A94))</f>
        <v/>
      </c>
      <c r="W94" s="4" t="str">
        <f t="shared" si="11"/>
        <v/>
      </c>
    </row>
    <row r="95" spans="1:23" x14ac:dyDescent="0.3">
      <c r="A95" s="4" t="str">
        <f>IF(T95="","",IFERROR(INDEX(激励事件明细!$C$2:$C$501,MATCH(T95,激励事件明细!$A$2:$A$501,0)),""))</f>
        <v/>
      </c>
      <c r="B95" s="4" t="str">
        <f>IF(A95="","",IFERROR(INDEX(激励事件明细!$D$2:$D$501,MATCH(T95,激励事件明细!$A$2:$A$501,0)),""))</f>
        <v/>
      </c>
      <c r="C95" s="4" t="str">
        <f>IF(A95="","",IFERROR(INDEX(激励事件明细!$H$2:$H$501,MATCH(T95,激励事件明细!$A$2:$A$501,0)),""))</f>
        <v/>
      </c>
      <c r="D95" s="9"/>
      <c r="E95" s="9"/>
      <c r="F95" s="15" t="str">
        <f>IF(A95="","",IFERROR(INDEX(激励事件明细!$AA$2:$AA$501,MATCH(T95,激励事件明细!$A$2:$A$501,0)),""))</f>
        <v/>
      </c>
      <c r="G95" s="17" t="str">
        <f>IF(A95="","",IFERROR(INDEX(激励事件明细!$AB$2:$AB$501,MATCH(T95,激励事件明细!$A$2:$A$501,0)),""))</f>
        <v/>
      </c>
      <c r="H95" s="17" t="str">
        <f>IF(A95="","",IFERROR(INDEX(激励事件明细!$AC$2:$AC$501,MATCH(T95,激励事件明细!$A$2:$A$501,0)),""))</f>
        <v/>
      </c>
      <c r="I95" s="13"/>
      <c r="J95" s="14"/>
      <c r="K95" s="14"/>
      <c r="L95" s="9"/>
      <c r="M95" s="15" t="str">
        <f t="shared" si="6"/>
        <v/>
      </c>
      <c r="N95" s="15" t="str">
        <f t="shared" si="7"/>
        <v/>
      </c>
      <c r="O95" s="4" t="str">
        <f t="shared" ca="1" si="8"/>
        <v/>
      </c>
      <c r="P95" s="17" t="str">
        <f>IF(A95="","",IFERROR(IF(INDEX(激励事件明细!$P$2:$P$501,MATCH(T95,激励事件明细!$A$2:$A$501,0))=0,"",INDEX(激励事件明细!$P$2:$P$501,MATCH(T95,激励事件明细!$A$2:$A$501,0))),""))</f>
        <v/>
      </c>
      <c r="Q95" s="4" t="str">
        <f t="shared" si="9"/>
        <v>无效</v>
      </c>
      <c r="R95" s="4" t="str">
        <f t="shared" ca="1" si="10"/>
        <v>异常：必须关联有效事件编号或税额批次</v>
      </c>
      <c r="S95" s="9"/>
      <c r="T95" s="4" t="str">
        <f>IF(D95&lt;&gt;"",IF(COUNTIF(激励事件明细!$A$2:$A$501,D95)=1,D95,""),IF(E95&lt;&gt;"",IFERROR(INDEX(激励事件明细!$A$2:$A$501,MATCH(E95,激励事件明细!$B$2:$B$501,0)),""),""))</f>
        <v/>
      </c>
      <c r="U95" s="4" t="str">
        <f>IF(T95="","",IFERROR(INDEX(激励事件明细!$B$2:$B$501,MATCH(T95,激励事件明细!$A$2:$A$501,0)),""))</f>
        <v/>
      </c>
      <c r="V95" s="4" t="str">
        <f>IF(A95="","",COUNTIF($A$2:A95,A95))</f>
        <v/>
      </c>
      <c r="W95" s="4" t="str">
        <f t="shared" si="11"/>
        <v/>
      </c>
    </row>
    <row r="96" spans="1:23" x14ac:dyDescent="0.3">
      <c r="A96" s="4" t="str">
        <f>IF(T96="","",IFERROR(INDEX(激励事件明细!$C$2:$C$501,MATCH(T96,激励事件明细!$A$2:$A$501,0)),""))</f>
        <v/>
      </c>
      <c r="B96" s="4" t="str">
        <f>IF(A96="","",IFERROR(INDEX(激励事件明细!$D$2:$D$501,MATCH(T96,激励事件明细!$A$2:$A$501,0)),""))</f>
        <v/>
      </c>
      <c r="C96" s="4" t="str">
        <f>IF(A96="","",IFERROR(INDEX(激励事件明细!$H$2:$H$501,MATCH(T96,激励事件明细!$A$2:$A$501,0)),""))</f>
        <v/>
      </c>
      <c r="D96" s="9"/>
      <c r="E96" s="9"/>
      <c r="F96" s="15" t="str">
        <f>IF(A96="","",IFERROR(INDEX(激励事件明细!$AA$2:$AA$501,MATCH(T96,激励事件明细!$A$2:$A$501,0)),""))</f>
        <v/>
      </c>
      <c r="G96" s="17" t="str">
        <f>IF(A96="","",IFERROR(INDEX(激励事件明细!$AB$2:$AB$501,MATCH(T96,激励事件明细!$A$2:$A$501,0)),""))</f>
        <v/>
      </c>
      <c r="H96" s="17" t="str">
        <f>IF(A96="","",IFERROR(INDEX(激励事件明细!$AC$2:$AC$501,MATCH(T96,激励事件明细!$A$2:$A$501,0)),""))</f>
        <v/>
      </c>
      <c r="I96" s="13"/>
      <c r="J96" s="14"/>
      <c r="K96" s="14"/>
      <c r="L96" s="9"/>
      <c r="M96" s="15" t="str">
        <f t="shared" si="6"/>
        <v/>
      </c>
      <c r="N96" s="15" t="str">
        <f t="shared" si="7"/>
        <v/>
      </c>
      <c r="O96" s="4" t="str">
        <f t="shared" ca="1" si="8"/>
        <v/>
      </c>
      <c r="P96" s="17" t="str">
        <f>IF(A96="","",IFERROR(IF(INDEX(激励事件明细!$P$2:$P$501,MATCH(T96,激励事件明细!$A$2:$A$501,0))=0,"",INDEX(激励事件明细!$P$2:$P$501,MATCH(T96,激励事件明细!$A$2:$A$501,0))),""))</f>
        <v/>
      </c>
      <c r="Q96" s="4" t="str">
        <f t="shared" si="9"/>
        <v>无效</v>
      </c>
      <c r="R96" s="4" t="str">
        <f t="shared" ca="1" si="10"/>
        <v>异常：必须关联有效事件编号或税额批次</v>
      </c>
      <c r="S96" s="9"/>
      <c r="T96" s="4" t="str">
        <f>IF(D96&lt;&gt;"",IF(COUNTIF(激励事件明细!$A$2:$A$501,D96)=1,D96,""),IF(E96&lt;&gt;"",IFERROR(INDEX(激励事件明细!$A$2:$A$501,MATCH(E96,激励事件明细!$B$2:$B$501,0)),""),""))</f>
        <v/>
      </c>
      <c r="U96" s="4" t="str">
        <f>IF(T96="","",IFERROR(INDEX(激励事件明细!$B$2:$B$501,MATCH(T96,激励事件明细!$A$2:$A$501,0)),""))</f>
        <v/>
      </c>
      <c r="V96" s="4" t="str">
        <f>IF(A96="","",COUNTIF($A$2:A96,A96))</f>
        <v/>
      </c>
      <c r="W96" s="4" t="str">
        <f t="shared" si="11"/>
        <v/>
      </c>
    </row>
    <row r="97" spans="1:23" x14ac:dyDescent="0.3">
      <c r="A97" s="4" t="str">
        <f>IF(T97="","",IFERROR(INDEX(激励事件明细!$C$2:$C$501,MATCH(T97,激励事件明细!$A$2:$A$501,0)),""))</f>
        <v/>
      </c>
      <c r="B97" s="4" t="str">
        <f>IF(A97="","",IFERROR(INDEX(激励事件明细!$D$2:$D$501,MATCH(T97,激励事件明细!$A$2:$A$501,0)),""))</f>
        <v/>
      </c>
      <c r="C97" s="4" t="str">
        <f>IF(A97="","",IFERROR(INDEX(激励事件明细!$H$2:$H$501,MATCH(T97,激励事件明细!$A$2:$A$501,0)),""))</f>
        <v/>
      </c>
      <c r="D97" s="9"/>
      <c r="E97" s="9"/>
      <c r="F97" s="15" t="str">
        <f>IF(A97="","",IFERROR(INDEX(激励事件明细!$AA$2:$AA$501,MATCH(T97,激励事件明细!$A$2:$A$501,0)),""))</f>
        <v/>
      </c>
      <c r="G97" s="17" t="str">
        <f>IF(A97="","",IFERROR(INDEX(激励事件明细!$AB$2:$AB$501,MATCH(T97,激励事件明细!$A$2:$A$501,0)),""))</f>
        <v/>
      </c>
      <c r="H97" s="17" t="str">
        <f>IF(A97="","",IFERROR(INDEX(激励事件明细!$AC$2:$AC$501,MATCH(T97,激励事件明细!$A$2:$A$501,0)),""))</f>
        <v/>
      </c>
      <c r="I97" s="13"/>
      <c r="J97" s="14"/>
      <c r="K97" s="14"/>
      <c r="L97" s="9"/>
      <c r="M97" s="15" t="str">
        <f t="shared" si="6"/>
        <v/>
      </c>
      <c r="N97" s="15" t="str">
        <f t="shared" si="7"/>
        <v/>
      </c>
      <c r="O97" s="4" t="str">
        <f t="shared" ca="1" si="8"/>
        <v/>
      </c>
      <c r="P97" s="17" t="str">
        <f>IF(A97="","",IFERROR(IF(INDEX(激励事件明细!$P$2:$P$501,MATCH(T97,激励事件明细!$A$2:$A$501,0))=0,"",INDEX(激励事件明细!$P$2:$P$501,MATCH(T97,激励事件明细!$A$2:$A$501,0))),""))</f>
        <v/>
      </c>
      <c r="Q97" s="4" t="str">
        <f t="shared" si="9"/>
        <v>无效</v>
      </c>
      <c r="R97" s="4" t="str">
        <f t="shared" ca="1" si="10"/>
        <v>异常：必须关联有效事件编号或税额批次</v>
      </c>
      <c r="S97" s="9"/>
      <c r="T97" s="4" t="str">
        <f>IF(D97&lt;&gt;"",IF(COUNTIF(激励事件明细!$A$2:$A$501,D97)=1,D97,""),IF(E97&lt;&gt;"",IFERROR(INDEX(激励事件明细!$A$2:$A$501,MATCH(E97,激励事件明细!$B$2:$B$501,0)),""),""))</f>
        <v/>
      </c>
      <c r="U97" s="4" t="str">
        <f>IF(T97="","",IFERROR(INDEX(激励事件明细!$B$2:$B$501,MATCH(T97,激励事件明细!$A$2:$A$501,0)),""))</f>
        <v/>
      </c>
      <c r="V97" s="4" t="str">
        <f>IF(A97="","",COUNTIF($A$2:A97,A97))</f>
        <v/>
      </c>
      <c r="W97" s="4" t="str">
        <f t="shared" si="11"/>
        <v/>
      </c>
    </row>
    <row r="98" spans="1:23" x14ac:dyDescent="0.3">
      <c r="A98" s="4" t="str">
        <f>IF(T98="","",IFERROR(INDEX(激励事件明细!$C$2:$C$501,MATCH(T98,激励事件明细!$A$2:$A$501,0)),""))</f>
        <v/>
      </c>
      <c r="B98" s="4" t="str">
        <f>IF(A98="","",IFERROR(INDEX(激励事件明细!$D$2:$D$501,MATCH(T98,激励事件明细!$A$2:$A$501,0)),""))</f>
        <v/>
      </c>
      <c r="C98" s="4" t="str">
        <f>IF(A98="","",IFERROR(INDEX(激励事件明细!$H$2:$H$501,MATCH(T98,激励事件明细!$A$2:$A$501,0)),""))</f>
        <v/>
      </c>
      <c r="D98" s="9"/>
      <c r="E98" s="9"/>
      <c r="F98" s="15" t="str">
        <f>IF(A98="","",IFERROR(INDEX(激励事件明细!$AA$2:$AA$501,MATCH(T98,激励事件明细!$A$2:$A$501,0)),""))</f>
        <v/>
      </c>
      <c r="G98" s="17" t="str">
        <f>IF(A98="","",IFERROR(INDEX(激励事件明细!$AB$2:$AB$501,MATCH(T98,激励事件明细!$A$2:$A$501,0)),""))</f>
        <v/>
      </c>
      <c r="H98" s="17" t="str">
        <f>IF(A98="","",IFERROR(INDEX(激励事件明细!$AC$2:$AC$501,MATCH(T98,激励事件明细!$A$2:$A$501,0)),""))</f>
        <v/>
      </c>
      <c r="I98" s="13"/>
      <c r="J98" s="14"/>
      <c r="K98" s="14"/>
      <c r="L98" s="9"/>
      <c r="M98" s="15" t="str">
        <f t="shared" si="6"/>
        <v/>
      </c>
      <c r="N98" s="15" t="str">
        <f t="shared" si="7"/>
        <v/>
      </c>
      <c r="O98" s="4" t="str">
        <f t="shared" ca="1" si="8"/>
        <v/>
      </c>
      <c r="P98" s="17" t="str">
        <f>IF(A98="","",IFERROR(IF(INDEX(激励事件明细!$P$2:$P$501,MATCH(T98,激励事件明细!$A$2:$A$501,0))=0,"",INDEX(激励事件明细!$P$2:$P$501,MATCH(T98,激励事件明细!$A$2:$A$501,0))),""))</f>
        <v/>
      </c>
      <c r="Q98" s="4" t="str">
        <f t="shared" si="9"/>
        <v>无效</v>
      </c>
      <c r="R98" s="4" t="str">
        <f t="shared" ca="1" si="10"/>
        <v>异常：必须关联有效事件编号或税额批次</v>
      </c>
      <c r="S98" s="9"/>
      <c r="T98" s="4" t="str">
        <f>IF(D98&lt;&gt;"",IF(COUNTIF(激励事件明细!$A$2:$A$501,D98)=1,D98,""),IF(E98&lt;&gt;"",IFERROR(INDEX(激励事件明细!$A$2:$A$501,MATCH(E98,激励事件明细!$B$2:$B$501,0)),""),""))</f>
        <v/>
      </c>
      <c r="U98" s="4" t="str">
        <f>IF(T98="","",IFERROR(INDEX(激励事件明细!$B$2:$B$501,MATCH(T98,激励事件明细!$A$2:$A$501,0)),""))</f>
        <v/>
      </c>
      <c r="V98" s="4" t="str">
        <f>IF(A98="","",COUNTIF($A$2:A98,A98))</f>
        <v/>
      </c>
      <c r="W98" s="4" t="str">
        <f t="shared" si="11"/>
        <v/>
      </c>
    </row>
    <row r="99" spans="1:23" x14ac:dyDescent="0.3">
      <c r="A99" s="4" t="str">
        <f>IF(T99="","",IFERROR(INDEX(激励事件明细!$C$2:$C$501,MATCH(T99,激励事件明细!$A$2:$A$501,0)),""))</f>
        <v/>
      </c>
      <c r="B99" s="4" t="str">
        <f>IF(A99="","",IFERROR(INDEX(激励事件明细!$D$2:$D$501,MATCH(T99,激励事件明细!$A$2:$A$501,0)),""))</f>
        <v/>
      </c>
      <c r="C99" s="4" t="str">
        <f>IF(A99="","",IFERROR(INDEX(激励事件明细!$H$2:$H$501,MATCH(T99,激励事件明细!$A$2:$A$501,0)),""))</f>
        <v/>
      </c>
      <c r="D99" s="9"/>
      <c r="E99" s="9"/>
      <c r="F99" s="15" t="str">
        <f>IF(A99="","",IFERROR(INDEX(激励事件明细!$AA$2:$AA$501,MATCH(T99,激励事件明细!$A$2:$A$501,0)),""))</f>
        <v/>
      </c>
      <c r="G99" s="17" t="str">
        <f>IF(A99="","",IFERROR(INDEX(激励事件明细!$AB$2:$AB$501,MATCH(T99,激励事件明细!$A$2:$A$501,0)),""))</f>
        <v/>
      </c>
      <c r="H99" s="17" t="str">
        <f>IF(A99="","",IFERROR(INDEX(激励事件明细!$AC$2:$AC$501,MATCH(T99,激励事件明细!$A$2:$A$501,0)),""))</f>
        <v/>
      </c>
      <c r="I99" s="13"/>
      <c r="J99" s="14"/>
      <c r="K99" s="14"/>
      <c r="L99" s="9"/>
      <c r="M99" s="15" t="str">
        <f t="shared" si="6"/>
        <v/>
      </c>
      <c r="N99" s="15" t="str">
        <f t="shared" si="7"/>
        <v/>
      </c>
      <c r="O99" s="4" t="str">
        <f t="shared" ca="1" si="8"/>
        <v/>
      </c>
      <c r="P99" s="17" t="str">
        <f>IF(A99="","",IFERROR(IF(INDEX(激励事件明细!$P$2:$P$501,MATCH(T99,激励事件明细!$A$2:$A$501,0))=0,"",INDEX(激励事件明细!$P$2:$P$501,MATCH(T99,激励事件明细!$A$2:$A$501,0))),""))</f>
        <v/>
      </c>
      <c r="Q99" s="4" t="str">
        <f t="shared" si="9"/>
        <v>无效</v>
      </c>
      <c r="R99" s="4" t="str">
        <f t="shared" ca="1" si="10"/>
        <v>异常：必须关联有效事件编号或税额批次</v>
      </c>
      <c r="S99" s="9"/>
      <c r="T99" s="4" t="str">
        <f>IF(D99&lt;&gt;"",IF(COUNTIF(激励事件明细!$A$2:$A$501,D99)=1,D99,""),IF(E99&lt;&gt;"",IFERROR(INDEX(激励事件明细!$A$2:$A$501,MATCH(E99,激励事件明细!$B$2:$B$501,0)),""),""))</f>
        <v/>
      </c>
      <c r="U99" s="4" t="str">
        <f>IF(T99="","",IFERROR(INDEX(激励事件明细!$B$2:$B$501,MATCH(T99,激励事件明细!$A$2:$A$501,0)),""))</f>
        <v/>
      </c>
      <c r="V99" s="4" t="str">
        <f>IF(A99="","",COUNTIF($A$2:A99,A99))</f>
        <v/>
      </c>
      <c r="W99" s="4" t="str">
        <f t="shared" si="11"/>
        <v/>
      </c>
    </row>
    <row r="100" spans="1:23" x14ac:dyDescent="0.3">
      <c r="A100" s="4" t="str">
        <f>IF(T100="","",IFERROR(INDEX(激励事件明细!$C$2:$C$501,MATCH(T100,激励事件明细!$A$2:$A$501,0)),""))</f>
        <v/>
      </c>
      <c r="B100" s="4" t="str">
        <f>IF(A100="","",IFERROR(INDEX(激励事件明细!$D$2:$D$501,MATCH(T100,激励事件明细!$A$2:$A$501,0)),""))</f>
        <v/>
      </c>
      <c r="C100" s="4" t="str">
        <f>IF(A100="","",IFERROR(INDEX(激励事件明细!$H$2:$H$501,MATCH(T100,激励事件明细!$A$2:$A$501,0)),""))</f>
        <v/>
      </c>
      <c r="D100" s="9"/>
      <c r="E100" s="9"/>
      <c r="F100" s="15" t="str">
        <f>IF(A100="","",IFERROR(INDEX(激励事件明细!$AA$2:$AA$501,MATCH(T100,激励事件明细!$A$2:$A$501,0)),""))</f>
        <v/>
      </c>
      <c r="G100" s="17" t="str">
        <f>IF(A100="","",IFERROR(INDEX(激励事件明细!$AB$2:$AB$501,MATCH(T100,激励事件明细!$A$2:$A$501,0)),""))</f>
        <v/>
      </c>
      <c r="H100" s="17" t="str">
        <f>IF(A100="","",IFERROR(INDEX(激励事件明细!$AC$2:$AC$501,MATCH(T100,激励事件明细!$A$2:$A$501,0)),""))</f>
        <v/>
      </c>
      <c r="I100" s="13"/>
      <c r="J100" s="14"/>
      <c r="K100" s="14"/>
      <c r="L100" s="9"/>
      <c r="M100" s="15" t="str">
        <f t="shared" si="6"/>
        <v/>
      </c>
      <c r="N100" s="15" t="str">
        <f t="shared" si="7"/>
        <v/>
      </c>
      <c r="O100" s="4" t="str">
        <f t="shared" ca="1" si="8"/>
        <v/>
      </c>
      <c r="P100" s="17" t="str">
        <f>IF(A100="","",IFERROR(IF(INDEX(激励事件明细!$P$2:$P$501,MATCH(T100,激励事件明细!$A$2:$A$501,0))=0,"",INDEX(激励事件明细!$P$2:$P$501,MATCH(T100,激励事件明细!$A$2:$A$501,0))),""))</f>
        <v/>
      </c>
      <c r="Q100" s="4" t="str">
        <f t="shared" si="9"/>
        <v>无效</v>
      </c>
      <c r="R100" s="4" t="str">
        <f t="shared" ca="1" si="10"/>
        <v>异常：必须关联有效事件编号或税额批次</v>
      </c>
      <c r="S100" s="9"/>
      <c r="T100" s="4" t="str">
        <f>IF(D100&lt;&gt;"",IF(COUNTIF(激励事件明细!$A$2:$A$501,D100)=1,D100,""),IF(E100&lt;&gt;"",IFERROR(INDEX(激励事件明细!$A$2:$A$501,MATCH(E100,激励事件明细!$B$2:$B$501,0)),""),""))</f>
        <v/>
      </c>
      <c r="U100" s="4" t="str">
        <f>IF(T100="","",IFERROR(INDEX(激励事件明细!$B$2:$B$501,MATCH(T100,激励事件明细!$A$2:$A$501,0)),""))</f>
        <v/>
      </c>
      <c r="V100" s="4" t="str">
        <f>IF(A100="","",COUNTIF($A$2:A100,A100))</f>
        <v/>
      </c>
      <c r="W100" s="4" t="str">
        <f t="shared" si="11"/>
        <v/>
      </c>
    </row>
    <row r="101" spans="1:23" x14ac:dyDescent="0.3">
      <c r="A101" s="4" t="str">
        <f>IF(T101="","",IFERROR(INDEX(激励事件明细!$C$2:$C$501,MATCH(T101,激励事件明细!$A$2:$A$501,0)),""))</f>
        <v/>
      </c>
      <c r="B101" s="4" t="str">
        <f>IF(A101="","",IFERROR(INDEX(激励事件明细!$D$2:$D$501,MATCH(T101,激励事件明细!$A$2:$A$501,0)),""))</f>
        <v/>
      </c>
      <c r="C101" s="4" t="str">
        <f>IF(A101="","",IFERROR(INDEX(激励事件明细!$H$2:$H$501,MATCH(T101,激励事件明细!$A$2:$A$501,0)),""))</f>
        <v/>
      </c>
      <c r="D101" s="9"/>
      <c r="E101" s="9"/>
      <c r="F101" s="15" t="str">
        <f>IF(A101="","",IFERROR(INDEX(激励事件明细!$AA$2:$AA$501,MATCH(T101,激励事件明细!$A$2:$A$501,0)),""))</f>
        <v/>
      </c>
      <c r="G101" s="17" t="str">
        <f>IF(A101="","",IFERROR(INDEX(激励事件明细!$AB$2:$AB$501,MATCH(T101,激励事件明细!$A$2:$A$501,0)),""))</f>
        <v/>
      </c>
      <c r="H101" s="17" t="str">
        <f>IF(A101="","",IFERROR(INDEX(激励事件明细!$AC$2:$AC$501,MATCH(T101,激励事件明细!$A$2:$A$501,0)),""))</f>
        <v/>
      </c>
      <c r="I101" s="13"/>
      <c r="J101" s="14"/>
      <c r="K101" s="14"/>
      <c r="L101" s="9"/>
      <c r="M101" s="15" t="str">
        <f t="shared" si="6"/>
        <v/>
      </c>
      <c r="N101" s="15" t="str">
        <f t="shared" si="7"/>
        <v/>
      </c>
      <c r="O101" s="4" t="str">
        <f t="shared" ca="1" si="8"/>
        <v/>
      </c>
      <c r="P101" s="17" t="str">
        <f>IF(A101="","",IFERROR(IF(INDEX(激励事件明细!$P$2:$P$501,MATCH(T101,激励事件明细!$A$2:$A$501,0))=0,"",INDEX(激励事件明细!$P$2:$P$501,MATCH(T101,激励事件明细!$A$2:$A$501,0))),""))</f>
        <v/>
      </c>
      <c r="Q101" s="4" t="str">
        <f t="shared" si="9"/>
        <v>无效</v>
      </c>
      <c r="R101" s="4" t="str">
        <f t="shared" ca="1" si="10"/>
        <v>异常：必须关联有效事件编号或税额批次</v>
      </c>
      <c r="S101" s="9"/>
      <c r="T101" s="4" t="str">
        <f>IF(D101&lt;&gt;"",IF(COUNTIF(激励事件明细!$A$2:$A$501,D101)=1,D101,""),IF(E101&lt;&gt;"",IFERROR(INDEX(激励事件明细!$A$2:$A$501,MATCH(E101,激励事件明细!$B$2:$B$501,0)),""),""))</f>
        <v/>
      </c>
      <c r="U101" s="4" t="str">
        <f>IF(T101="","",IFERROR(INDEX(激励事件明细!$B$2:$B$501,MATCH(T101,激励事件明细!$A$2:$A$501,0)),""))</f>
        <v/>
      </c>
      <c r="V101" s="4" t="str">
        <f>IF(A101="","",COUNTIF($A$2:A101,A101))</f>
        <v/>
      </c>
      <c r="W101" s="4" t="str">
        <f t="shared" si="11"/>
        <v/>
      </c>
    </row>
    <row r="102" spans="1:23" x14ac:dyDescent="0.3">
      <c r="A102" s="4" t="str">
        <f>IF(T102="","",IFERROR(INDEX(激励事件明细!$C$2:$C$501,MATCH(T102,激励事件明细!$A$2:$A$501,0)),""))</f>
        <v/>
      </c>
      <c r="B102" s="4" t="str">
        <f>IF(A102="","",IFERROR(INDEX(激励事件明细!$D$2:$D$501,MATCH(T102,激励事件明细!$A$2:$A$501,0)),""))</f>
        <v/>
      </c>
      <c r="C102" s="4" t="str">
        <f>IF(A102="","",IFERROR(INDEX(激励事件明细!$H$2:$H$501,MATCH(T102,激励事件明细!$A$2:$A$501,0)),""))</f>
        <v/>
      </c>
      <c r="D102" s="9"/>
      <c r="E102" s="9"/>
      <c r="F102" s="15" t="str">
        <f>IF(A102="","",IFERROR(INDEX(激励事件明细!$AA$2:$AA$501,MATCH(T102,激励事件明细!$A$2:$A$501,0)),""))</f>
        <v/>
      </c>
      <c r="G102" s="17" t="str">
        <f>IF(A102="","",IFERROR(INDEX(激励事件明细!$AB$2:$AB$501,MATCH(T102,激励事件明细!$A$2:$A$501,0)),""))</f>
        <v/>
      </c>
      <c r="H102" s="17" t="str">
        <f>IF(A102="","",IFERROR(INDEX(激励事件明细!$AC$2:$AC$501,MATCH(T102,激励事件明细!$A$2:$A$501,0)),""))</f>
        <v/>
      </c>
      <c r="I102" s="13"/>
      <c r="J102" s="14"/>
      <c r="K102" s="14"/>
      <c r="L102" s="9"/>
      <c r="M102" s="15" t="str">
        <f t="shared" si="6"/>
        <v/>
      </c>
      <c r="N102" s="15" t="str">
        <f t="shared" si="7"/>
        <v/>
      </c>
      <c r="O102" s="4" t="str">
        <f t="shared" ca="1" si="8"/>
        <v/>
      </c>
      <c r="P102" s="17" t="str">
        <f>IF(A102="","",IFERROR(IF(INDEX(激励事件明细!$P$2:$P$501,MATCH(T102,激励事件明细!$A$2:$A$501,0))=0,"",INDEX(激励事件明细!$P$2:$P$501,MATCH(T102,激励事件明细!$A$2:$A$501,0))),""))</f>
        <v/>
      </c>
      <c r="Q102" s="4" t="str">
        <f t="shared" si="9"/>
        <v>无效</v>
      </c>
      <c r="R102" s="4" t="str">
        <f t="shared" ca="1" si="10"/>
        <v>异常：必须关联有效事件编号或税额批次</v>
      </c>
      <c r="S102" s="9"/>
      <c r="T102" s="4" t="str">
        <f>IF(D102&lt;&gt;"",IF(COUNTIF(激励事件明细!$A$2:$A$501,D102)=1,D102,""),IF(E102&lt;&gt;"",IFERROR(INDEX(激励事件明细!$A$2:$A$501,MATCH(E102,激励事件明细!$B$2:$B$501,0)),""),""))</f>
        <v/>
      </c>
      <c r="U102" s="4" t="str">
        <f>IF(T102="","",IFERROR(INDEX(激励事件明细!$B$2:$B$501,MATCH(T102,激励事件明细!$A$2:$A$501,0)),""))</f>
        <v/>
      </c>
      <c r="V102" s="4" t="str">
        <f>IF(A102="","",COUNTIF($A$2:A102,A102))</f>
        <v/>
      </c>
      <c r="W102" s="4" t="str">
        <f t="shared" si="11"/>
        <v/>
      </c>
    </row>
    <row r="103" spans="1:23" x14ac:dyDescent="0.3">
      <c r="A103" s="4" t="str">
        <f>IF(T103="","",IFERROR(INDEX(激励事件明细!$C$2:$C$501,MATCH(T103,激励事件明细!$A$2:$A$501,0)),""))</f>
        <v/>
      </c>
      <c r="B103" s="4" t="str">
        <f>IF(A103="","",IFERROR(INDEX(激励事件明细!$D$2:$D$501,MATCH(T103,激励事件明细!$A$2:$A$501,0)),""))</f>
        <v/>
      </c>
      <c r="C103" s="4" t="str">
        <f>IF(A103="","",IFERROR(INDEX(激励事件明细!$H$2:$H$501,MATCH(T103,激励事件明细!$A$2:$A$501,0)),""))</f>
        <v/>
      </c>
      <c r="D103" s="9"/>
      <c r="E103" s="9"/>
      <c r="F103" s="15" t="str">
        <f>IF(A103="","",IFERROR(INDEX(激励事件明细!$AA$2:$AA$501,MATCH(T103,激励事件明细!$A$2:$A$501,0)),""))</f>
        <v/>
      </c>
      <c r="G103" s="17" t="str">
        <f>IF(A103="","",IFERROR(INDEX(激励事件明细!$AB$2:$AB$501,MATCH(T103,激励事件明细!$A$2:$A$501,0)),""))</f>
        <v/>
      </c>
      <c r="H103" s="17" t="str">
        <f>IF(A103="","",IFERROR(INDEX(激励事件明细!$AC$2:$AC$501,MATCH(T103,激励事件明细!$A$2:$A$501,0)),""))</f>
        <v/>
      </c>
      <c r="I103" s="13"/>
      <c r="J103" s="14"/>
      <c r="K103" s="14"/>
      <c r="L103" s="9"/>
      <c r="M103" s="15" t="str">
        <f t="shared" si="6"/>
        <v/>
      </c>
      <c r="N103" s="15" t="str">
        <f t="shared" si="7"/>
        <v/>
      </c>
      <c r="O103" s="4" t="str">
        <f t="shared" ca="1" si="8"/>
        <v/>
      </c>
      <c r="P103" s="17" t="str">
        <f>IF(A103="","",IFERROR(IF(INDEX(激励事件明细!$P$2:$P$501,MATCH(T103,激励事件明细!$A$2:$A$501,0))=0,"",INDEX(激励事件明细!$P$2:$P$501,MATCH(T103,激励事件明细!$A$2:$A$501,0))),""))</f>
        <v/>
      </c>
      <c r="Q103" s="4" t="str">
        <f t="shared" si="9"/>
        <v>无效</v>
      </c>
      <c r="R103" s="4" t="str">
        <f t="shared" ca="1" si="10"/>
        <v>异常：必须关联有效事件编号或税额批次</v>
      </c>
      <c r="S103" s="9"/>
      <c r="T103" s="4" t="str">
        <f>IF(D103&lt;&gt;"",IF(COUNTIF(激励事件明细!$A$2:$A$501,D103)=1,D103,""),IF(E103&lt;&gt;"",IFERROR(INDEX(激励事件明细!$A$2:$A$501,MATCH(E103,激励事件明细!$B$2:$B$501,0)),""),""))</f>
        <v/>
      </c>
      <c r="U103" s="4" t="str">
        <f>IF(T103="","",IFERROR(INDEX(激励事件明细!$B$2:$B$501,MATCH(T103,激励事件明细!$A$2:$A$501,0)),""))</f>
        <v/>
      </c>
      <c r="V103" s="4" t="str">
        <f>IF(A103="","",COUNTIF($A$2:A103,A103))</f>
        <v/>
      </c>
      <c r="W103" s="4" t="str">
        <f t="shared" si="11"/>
        <v/>
      </c>
    </row>
    <row r="104" spans="1:23" x14ac:dyDescent="0.3">
      <c r="A104" s="4" t="str">
        <f>IF(T104="","",IFERROR(INDEX(激励事件明细!$C$2:$C$501,MATCH(T104,激励事件明细!$A$2:$A$501,0)),""))</f>
        <v/>
      </c>
      <c r="B104" s="4" t="str">
        <f>IF(A104="","",IFERROR(INDEX(激励事件明细!$D$2:$D$501,MATCH(T104,激励事件明细!$A$2:$A$501,0)),""))</f>
        <v/>
      </c>
      <c r="C104" s="4" t="str">
        <f>IF(A104="","",IFERROR(INDEX(激励事件明细!$H$2:$H$501,MATCH(T104,激励事件明细!$A$2:$A$501,0)),""))</f>
        <v/>
      </c>
      <c r="D104" s="9"/>
      <c r="E104" s="9"/>
      <c r="F104" s="15" t="str">
        <f>IF(A104="","",IFERROR(INDEX(激励事件明细!$AA$2:$AA$501,MATCH(T104,激励事件明细!$A$2:$A$501,0)),""))</f>
        <v/>
      </c>
      <c r="G104" s="17" t="str">
        <f>IF(A104="","",IFERROR(INDEX(激励事件明细!$AB$2:$AB$501,MATCH(T104,激励事件明细!$A$2:$A$501,0)),""))</f>
        <v/>
      </c>
      <c r="H104" s="17" t="str">
        <f>IF(A104="","",IFERROR(INDEX(激励事件明细!$AC$2:$AC$501,MATCH(T104,激励事件明细!$A$2:$A$501,0)),""))</f>
        <v/>
      </c>
      <c r="I104" s="13"/>
      <c r="J104" s="14"/>
      <c r="K104" s="14"/>
      <c r="L104" s="9"/>
      <c r="M104" s="15" t="str">
        <f t="shared" si="6"/>
        <v/>
      </c>
      <c r="N104" s="15" t="str">
        <f t="shared" si="7"/>
        <v/>
      </c>
      <c r="O104" s="4" t="str">
        <f t="shared" ca="1" si="8"/>
        <v/>
      </c>
      <c r="P104" s="17" t="str">
        <f>IF(A104="","",IFERROR(IF(INDEX(激励事件明细!$P$2:$P$501,MATCH(T104,激励事件明细!$A$2:$A$501,0))=0,"",INDEX(激励事件明细!$P$2:$P$501,MATCH(T104,激励事件明细!$A$2:$A$501,0))),""))</f>
        <v/>
      </c>
      <c r="Q104" s="4" t="str">
        <f t="shared" si="9"/>
        <v>无效</v>
      </c>
      <c r="R104" s="4" t="str">
        <f t="shared" ca="1" si="10"/>
        <v>异常：必须关联有效事件编号或税额批次</v>
      </c>
      <c r="S104" s="9"/>
      <c r="T104" s="4" t="str">
        <f>IF(D104&lt;&gt;"",IF(COUNTIF(激励事件明细!$A$2:$A$501,D104)=1,D104,""),IF(E104&lt;&gt;"",IFERROR(INDEX(激励事件明细!$A$2:$A$501,MATCH(E104,激励事件明细!$B$2:$B$501,0)),""),""))</f>
        <v/>
      </c>
      <c r="U104" s="4" t="str">
        <f>IF(T104="","",IFERROR(INDEX(激励事件明细!$B$2:$B$501,MATCH(T104,激励事件明细!$A$2:$A$501,0)),""))</f>
        <v/>
      </c>
      <c r="V104" s="4" t="str">
        <f>IF(A104="","",COUNTIF($A$2:A104,A104))</f>
        <v/>
      </c>
      <c r="W104" s="4" t="str">
        <f t="shared" si="11"/>
        <v/>
      </c>
    </row>
    <row r="105" spans="1:23" x14ac:dyDescent="0.3">
      <c r="A105" s="4" t="str">
        <f>IF(T105="","",IFERROR(INDEX(激励事件明细!$C$2:$C$501,MATCH(T105,激励事件明细!$A$2:$A$501,0)),""))</f>
        <v/>
      </c>
      <c r="B105" s="4" t="str">
        <f>IF(A105="","",IFERROR(INDEX(激励事件明细!$D$2:$D$501,MATCH(T105,激励事件明细!$A$2:$A$501,0)),""))</f>
        <v/>
      </c>
      <c r="C105" s="4" t="str">
        <f>IF(A105="","",IFERROR(INDEX(激励事件明细!$H$2:$H$501,MATCH(T105,激励事件明细!$A$2:$A$501,0)),""))</f>
        <v/>
      </c>
      <c r="D105" s="9"/>
      <c r="E105" s="9"/>
      <c r="F105" s="15" t="str">
        <f>IF(A105="","",IFERROR(INDEX(激励事件明细!$AA$2:$AA$501,MATCH(T105,激励事件明细!$A$2:$A$501,0)),""))</f>
        <v/>
      </c>
      <c r="G105" s="17" t="str">
        <f>IF(A105="","",IFERROR(INDEX(激励事件明细!$AB$2:$AB$501,MATCH(T105,激励事件明细!$A$2:$A$501,0)),""))</f>
        <v/>
      </c>
      <c r="H105" s="17" t="str">
        <f>IF(A105="","",IFERROR(INDEX(激励事件明细!$AC$2:$AC$501,MATCH(T105,激励事件明细!$A$2:$A$501,0)),""))</f>
        <v/>
      </c>
      <c r="I105" s="13"/>
      <c r="J105" s="14"/>
      <c r="K105" s="14"/>
      <c r="L105" s="9"/>
      <c r="M105" s="15" t="str">
        <f t="shared" si="6"/>
        <v/>
      </c>
      <c r="N105" s="15" t="str">
        <f t="shared" si="7"/>
        <v/>
      </c>
      <c r="O105" s="4" t="str">
        <f t="shared" ca="1" si="8"/>
        <v/>
      </c>
      <c r="P105" s="17" t="str">
        <f>IF(A105="","",IFERROR(IF(INDEX(激励事件明细!$P$2:$P$501,MATCH(T105,激励事件明细!$A$2:$A$501,0))=0,"",INDEX(激励事件明细!$P$2:$P$501,MATCH(T105,激励事件明细!$A$2:$A$501,0))),""))</f>
        <v/>
      </c>
      <c r="Q105" s="4" t="str">
        <f t="shared" si="9"/>
        <v>无效</v>
      </c>
      <c r="R105" s="4" t="str">
        <f t="shared" ca="1" si="10"/>
        <v>异常：必须关联有效事件编号或税额批次</v>
      </c>
      <c r="S105" s="9"/>
      <c r="T105" s="4" t="str">
        <f>IF(D105&lt;&gt;"",IF(COUNTIF(激励事件明细!$A$2:$A$501,D105)=1,D105,""),IF(E105&lt;&gt;"",IFERROR(INDEX(激励事件明细!$A$2:$A$501,MATCH(E105,激励事件明细!$B$2:$B$501,0)),""),""))</f>
        <v/>
      </c>
      <c r="U105" s="4" t="str">
        <f>IF(T105="","",IFERROR(INDEX(激励事件明细!$B$2:$B$501,MATCH(T105,激励事件明细!$A$2:$A$501,0)),""))</f>
        <v/>
      </c>
      <c r="V105" s="4" t="str">
        <f>IF(A105="","",COUNTIF($A$2:A105,A105))</f>
        <v/>
      </c>
      <c r="W105" s="4" t="str">
        <f t="shared" si="11"/>
        <v/>
      </c>
    </row>
    <row r="106" spans="1:23" x14ac:dyDescent="0.3">
      <c r="A106" s="4" t="str">
        <f>IF(T106="","",IFERROR(INDEX(激励事件明细!$C$2:$C$501,MATCH(T106,激励事件明细!$A$2:$A$501,0)),""))</f>
        <v/>
      </c>
      <c r="B106" s="4" t="str">
        <f>IF(A106="","",IFERROR(INDEX(激励事件明细!$D$2:$D$501,MATCH(T106,激励事件明细!$A$2:$A$501,0)),""))</f>
        <v/>
      </c>
      <c r="C106" s="4" t="str">
        <f>IF(A106="","",IFERROR(INDEX(激励事件明细!$H$2:$H$501,MATCH(T106,激励事件明细!$A$2:$A$501,0)),""))</f>
        <v/>
      </c>
      <c r="D106" s="9"/>
      <c r="E106" s="9"/>
      <c r="F106" s="15" t="str">
        <f>IF(A106="","",IFERROR(INDEX(激励事件明细!$AA$2:$AA$501,MATCH(T106,激励事件明细!$A$2:$A$501,0)),""))</f>
        <v/>
      </c>
      <c r="G106" s="17" t="str">
        <f>IF(A106="","",IFERROR(INDEX(激励事件明细!$AB$2:$AB$501,MATCH(T106,激励事件明细!$A$2:$A$501,0)),""))</f>
        <v/>
      </c>
      <c r="H106" s="17" t="str">
        <f>IF(A106="","",IFERROR(INDEX(激励事件明细!$AC$2:$AC$501,MATCH(T106,激励事件明细!$A$2:$A$501,0)),""))</f>
        <v/>
      </c>
      <c r="I106" s="13"/>
      <c r="J106" s="14"/>
      <c r="K106" s="14"/>
      <c r="L106" s="9"/>
      <c r="M106" s="15" t="str">
        <f t="shared" si="6"/>
        <v/>
      </c>
      <c r="N106" s="15" t="str">
        <f t="shared" si="7"/>
        <v/>
      </c>
      <c r="O106" s="4" t="str">
        <f t="shared" ca="1" si="8"/>
        <v/>
      </c>
      <c r="P106" s="17" t="str">
        <f>IF(A106="","",IFERROR(IF(INDEX(激励事件明细!$P$2:$P$501,MATCH(T106,激励事件明细!$A$2:$A$501,0))=0,"",INDEX(激励事件明细!$P$2:$P$501,MATCH(T106,激励事件明细!$A$2:$A$501,0))),""))</f>
        <v/>
      </c>
      <c r="Q106" s="4" t="str">
        <f t="shared" si="9"/>
        <v>无效</v>
      </c>
      <c r="R106" s="4" t="str">
        <f t="shared" ca="1" si="10"/>
        <v>异常：必须关联有效事件编号或税额批次</v>
      </c>
      <c r="S106" s="9"/>
      <c r="T106" s="4" t="str">
        <f>IF(D106&lt;&gt;"",IF(COUNTIF(激励事件明细!$A$2:$A$501,D106)=1,D106,""),IF(E106&lt;&gt;"",IFERROR(INDEX(激励事件明细!$A$2:$A$501,MATCH(E106,激励事件明细!$B$2:$B$501,0)),""),""))</f>
        <v/>
      </c>
      <c r="U106" s="4" t="str">
        <f>IF(T106="","",IFERROR(INDEX(激励事件明细!$B$2:$B$501,MATCH(T106,激励事件明细!$A$2:$A$501,0)),""))</f>
        <v/>
      </c>
      <c r="V106" s="4" t="str">
        <f>IF(A106="","",COUNTIF($A$2:A106,A106))</f>
        <v/>
      </c>
      <c r="W106" s="4" t="str">
        <f t="shared" si="11"/>
        <v/>
      </c>
    </row>
    <row r="107" spans="1:23" x14ac:dyDescent="0.3">
      <c r="A107" s="4" t="str">
        <f>IF(T107="","",IFERROR(INDEX(激励事件明细!$C$2:$C$501,MATCH(T107,激励事件明细!$A$2:$A$501,0)),""))</f>
        <v/>
      </c>
      <c r="B107" s="4" t="str">
        <f>IF(A107="","",IFERROR(INDEX(激励事件明细!$D$2:$D$501,MATCH(T107,激励事件明细!$A$2:$A$501,0)),""))</f>
        <v/>
      </c>
      <c r="C107" s="4" t="str">
        <f>IF(A107="","",IFERROR(INDEX(激励事件明细!$H$2:$H$501,MATCH(T107,激励事件明细!$A$2:$A$501,0)),""))</f>
        <v/>
      </c>
      <c r="D107" s="9"/>
      <c r="E107" s="9"/>
      <c r="F107" s="15" t="str">
        <f>IF(A107="","",IFERROR(INDEX(激励事件明细!$AA$2:$AA$501,MATCH(T107,激励事件明细!$A$2:$A$501,0)),""))</f>
        <v/>
      </c>
      <c r="G107" s="17" t="str">
        <f>IF(A107="","",IFERROR(INDEX(激励事件明细!$AB$2:$AB$501,MATCH(T107,激励事件明细!$A$2:$A$501,0)),""))</f>
        <v/>
      </c>
      <c r="H107" s="17" t="str">
        <f>IF(A107="","",IFERROR(INDEX(激励事件明细!$AC$2:$AC$501,MATCH(T107,激励事件明细!$A$2:$A$501,0)),""))</f>
        <v/>
      </c>
      <c r="I107" s="13"/>
      <c r="J107" s="14"/>
      <c r="K107" s="14"/>
      <c r="L107" s="9"/>
      <c r="M107" s="15" t="str">
        <f t="shared" si="6"/>
        <v/>
      </c>
      <c r="N107" s="15" t="str">
        <f t="shared" si="7"/>
        <v/>
      </c>
      <c r="O107" s="4" t="str">
        <f t="shared" ca="1" si="8"/>
        <v/>
      </c>
      <c r="P107" s="17" t="str">
        <f>IF(A107="","",IFERROR(IF(INDEX(激励事件明细!$P$2:$P$501,MATCH(T107,激励事件明细!$A$2:$A$501,0))=0,"",INDEX(激励事件明细!$P$2:$P$501,MATCH(T107,激励事件明细!$A$2:$A$501,0))),""))</f>
        <v/>
      </c>
      <c r="Q107" s="4" t="str">
        <f t="shared" si="9"/>
        <v>无效</v>
      </c>
      <c r="R107" s="4" t="str">
        <f t="shared" ca="1" si="10"/>
        <v>异常：必须关联有效事件编号或税额批次</v>
      </c>
      <c r="S107" s="9"/>
      <c r="T107" s="4" t="str">
        <f>IF(D107&lt;&gt;"",IF(COUNTIF(激励事件明细!$A$2:$A$501,D107)=1,D107,""),IF(E107&lt;&gt;"",IFERROR(INDEX(激励事件明细!$A$2:$A$501,MATCH(E107,激励事件明细!$B$2:$B$501,0)),""),""))</f>
        <v/>
      </c>
      <c r="U107" s="4" t="str">
        <f>IF(T107="","",IFERROR(INDEX(激励事件明细!$B$2:$B$501,MATCH(T107,激励事件明细!$A$2:$A$501,0)),""))</f>
        <v/>
      </c>
      <c r="V107" s="4" t="str">
        <f>IF(A107="","",COUNTIF($A$2:A107,A107))</f>
        <v/>
      </c>
      <c r="W107" s="4" t="str">
        <f t="shared" si="11"/>
        <v/>
      </c>
    </row>
    <row r="108" spans="1:23" x14ac:dyDescent="0.3">
      <c r="A108" s="4" t="str">
        <f>IF(T108="","",IFERROR(INDEX(激励事件明细!$C$2:$C$501,MATCH(T108,激励事件明细!$A$2:$A$501,0)),""))</f>
        <v/>
      </c>
      <c r="B108" s="4" t="str">
        <f>IF(A108="","",IFERROR(INDEX(激励事件明细!$D$2:$D$501,MATCH(T108,激励事件明细!$A$2:$A$501,0)),""))</f>
        <v/>
      </c>
      <c r="C108" s="4" t="str">
        <f>IF(A108="","",IFERROR(INDEX(激励事件明细!$H$2:$H$501,MATCH(T108,激励事件明细!$A$2:$A$501,0)),""))</f>
        <v/>
      </c>
      <c r="D108" s="9"/>
      <c r="E108" s="9"/>
      <c r="F108" s="15" t="str">
        <f>IF(A108="","",IFERROR(INDEX(激励事件明细!$AA$2:$AA$501,MATCH(T108,激励事件明细!$A$2:$A$501,0)),""))</f>
        <v/>
      </c>
      <c r="G108" s="17" t="str">
        <f>IF(A108="","",IFERROR(INDEX(激励事件明细!$AB$2:$AB$501,MATCH(T108,激励事件明细!$A$2:$A$501,0)),""))</f>
        <v/>
      </c>
      <c r="H108" s="17" t="str">
        <f>IF(A108="","",IFERROR(INDEX(激励事件明细!$AC$2:$AC$501,MATCH(T108,激励事件明细!$A$2:$A$501,0)),""))</f>
        <v/>
      </c>
      <c r="I108" s="13"/>
      <c r="J108" s="14"/>
      <c r="K108" s="14"/>
      <c r="L108" s="9"/>
      <c r="M108" s="15" t="str">
        <f t="shared" si="6"/>
        <v/>
      </c>
      <c r="N108" s="15" t="str">
        <f t="shared" si="7"/>
        <v/>
      </c>
      <c r="O108" s="4" t="str">
        <f t="shared" ca="1" si="8"/>
        <v/>
      </c>
      <c r="P108" s="17" t="str">
        <f>IF(A108="","",IFERROR(IF(INDEX(激励事件明细!$P$2:$P$501,MATCH(T108,激励事件明细!$A$2:$A$501,0))=0,"",INDEX(激励事件明细!$P$2:$P$501,MATCH(T108,激励事件明细!$A$2:$A$501,0))),""))</f>
        <v/>
      </c>
      <c r="Q108" s="4" t="str">
        <f t="shared" si="9"/>
        <v>无效</v>
      </c>
      <c r="R108" s="4" t="str">
        <f t="shared" ca="1" si="10"/>
        <v>异常：必须关联有效事件编号或税额批次</v>
      </c>
      <c r="S108" s="9"/>
      <c r="T108" s="4" t="str">
        <f>IF(D108&lt;&gt;"",IF(COUNTIF(激励事件明细!$A$2:$A$501,D108)=1,D108,""),IF(E108&lt;&gt;"",IFERROR(INDEX(激励事件明细!$A$2:$A$501,MATCH(E108,激励事件明细!$B$2:$B$501,0)),""),""))</f>
        <v/>
      </c>
      <c r="U108" s="4" t="str">
        <f>IF(T108="","",IFERROR(INDEX(激励事件明细!$B$2:$B$501,MATCH(T108,激励事件明细!$A$2:$A$501,0)),""))</f>
        <v/>
      </c>
      <c r="V108" s="4" t="str">
        <f>IF(A108="","",COUNTIF($A$2:A108,A108))</f>
        <v/>
      </c>
      <c r="W108" s="4" t="str">
        <f t="shared" si="11"/>
        <v/>
      </c>
    </row>
    <row r="109" spans="1:23" x14ac:dyDescent="0.3">
      <c r="A109" s="4" t="str">
        <f>IF(T109="","",IFERROR(INDEX(激励事件明细!$C$2:$C$501,MATCH(T109,激励事件明细!$A$2:$A$501,0)),""))</f>
        <v/>
      </c>
      <c r="B109" s="4" t="str">
        <f>IF(A109="","",IFERROR(INDEX(激励事件明细!$D$2:$D$501,MATCH(T109,激励事件明细!$A$2:$A$501,0)),""))</f>
        <v/>
      </c>
      <c r="C109" s="4" t="str">
        <f>IF(A109="","",IFERROR(INDEX(激励事件明细!$H$2:$H$501,MATCH(T109,激励事件明细!$A$2:$A$501,0)),""))</f>
        <v/>
      </c>
      <c r="D109" s="9"/>
      <c r="E109" s="9"/>
      <c r="F109" s="15" t="str">
        <f>IF(A109="","",IFERROR(INDEX(激励事件明细!$AA$2:$AA$501,MATCH(T109,激励事件明细!$A$2:$A$501,0)),""))</f>
        <v/>
      </c>
      <c r="G109" s="17" t="str">
        <f>IF(A109="","",IFERROR(INDEX(激励事件明细!$AB$2:$AB$501,MATCH(T109,激励事件明细!$A$2:$A$501,0)),""))</f>
        <v/>
      </c>
      <c r="H109" s="17" t="str">
        <f>IF(A109="","",IFERROR(INDEX(激励事件明细!$AC$2:$AC$501,MATCH(T109,激励事件明细!$A$2:$A$501,0)),""))</f>
        <v/>
      </c>
      <c r="I109" s="13"/>
      <c r="J109" s="14"/>
      <c r="K109" s="14"/>
      <c r="L109" s="9"/>
      <c r="M109" s="15" t="str">
        <f t="shared" si="6"/>
        <v/>
      </c>
      <c r="N109" s="15" t="str">
        <f t="shared" si="7"/>
        <v/>
      </c>
      <c r="O109" s="4" t="str">
        <f t="shared" ca="1" si="8"/>
        <v/>
      </c>
      <c r="P109" s="17" t="str">
        <f>IF(A109="","",IFERROR(IF(INDEX(激励事件明细!$P$2:$P$501,MATCH(T109,激励事件明细!$A$2:$A$501,0))=0,"",INDEX(激励事件明细!$P$2:$P$501,MATCH(T109,激励事件明细!$A$2:$A$501,0))),""))</f>
        <v/>
      </c>
      <c r="Q109" s="4" t="str">
        <f t="shared" si="9"/>
        <v>无效</v>
      </c>
      <c r="R109" s="4" t="str">
        <f t="shared" ca="1" si="10"/>
        <v>异常：必须关联有效事件编号或税额批次</v>
      </c>
      <c r="S109" s="9"/>
      <c r="T109" s="4" t="str">
        <f>IF(D109&lt;&gt;"",IF(COUNTIF(激励事件明细!$A$2:$A$501,D109)=1,D109,""),IF(E109&lt;&gt;"",IFERROR(INDEX(激励事件明细!$A$2:$A$501,MATCH(E109,激励事件明细!$B$2:$B$501,0)),""),""))</f>
        <v/>
      </c>
      <c r="U109" s="4" t="str">
        <f>IF(T109="","",IFERROR(INDEX(激励事件明细!$B$2:$B$501,MATCH(T109,激励事件明细!$A$2:$A$501,0)),""))</f>
        <v/>
      </c>
      <c r="V109" s="4" t="str">
        <f>IF(A109="","",COUNTIF($A$2:A109,A109))</f>
        <v/>
      </c>
      <c r="W109" s="4" t="str">
        <f t="shared" si="11"/>
        <v/>
      </c>
    </row>
    <row r="110" spans="1:23" x14ac:dyDescent="0.3">
      <c r="A110" s="4" t="str">
        <f>IF(T110="","",IFERROR(INDEX(激励事件明细!$C$2:$C$501,MATCH(T110,激励事件明细!$A$2:$A$501,0)),""))</f>
        <v/>
      </c>
      <c r="B110" s="4" t="str">
        <f>IF(A110="","",IFERROR(INDEX(激励事件明细!$D$2:$D$501,MATCH(T110,激励事件明细!$A$2:$A$501,0)),""))</f>
        <v/>
      </c>
      <c r="C110" s="4" t="str">
        <f>IF(A110="","",IFERROR(INDEX(激励事件明细!$H$2:$H$501,MATCH(T110,激励事件明细!$A$2:$A$501,0)),""))</f>
        <v/>
      </c>
      <c r="D110" s="9"/>
      <c r="E110" s="9"/>
      <c r="F110" s="15" t="str">
        <f>IF(A110="","",IFERROR(INDEX(激励事件明细!$AA$2:$AA$501,MATCH(T110,激励事件明细!$A$2:$A$501,0)),""))</f>
        <v/>
      </c>
      <c r="G110" s="17" t="str">
        <f>IF(A110="","",IFERROR(INDEX(激励事件明细!$AB$2:$AB$501,MATCH(T110,激励事件明细!$A$2:$A$501,0)),""))</f>
        <v/>
      </c>
      <c r="H110" s="17" t="str">
        <f>IF(A110="","",IFERROR(INDEX(激励事件明细!$AC$2:$AC$501,MATCH(T110,激励事件明细!$A$2:$A$501,0)),""))</f>
        <v/>
      </c>
      <c r="I110" s="13"/>
      <c r="J110" s="14"/>
      <c r="K110" s="14"/>
      <c r="L110" s="9"/>
      <c r="M110" s="15" t="str">
        <f t="shared" si="6"/>
        <v/>
      </c>
      <c r="N110" s="15" t="str">
        <f t="shared" si="7"/>
        <v/>
      </c>
      <c r="O110" s="4" t="str">
        <f t="shared" ca="1" si="8"/>
        <v/>
      </c>
      <c r="P110" s="17" t="str">
        <f>IF(A110="","",IFERROR(IF(INDEX(激励事件明细!$P$2:$P$501,MATCH(T110,激励事件明细!$A$2:$A$501,0))=0,"",INDEX(激励事件明细!$P$2:$P$501,MATCH(T110,激励事件明细!$A$2:$A$501,0))),""))</f>
        <v/>
      </c>
      <c r="Q110" s="4" t="str">
        <f t="shared" si="9"/>
        <v>无效</v>
      </c>
      <c r="R110" s="4" t="str">
        <f t="shared" ca="1" si="10"/>
        <v>异常：必须关联有效事件编号或税额批次</v>
      </c>
      <c r="S110" s="9"/>
      <c r="T110" s="4" t="str">
        <f>IF(D110&lt;&gt;"",IF(COUNTIF(激励事件明细!$A$2:$A$501,D110)=1,D110,""),IF(E110&lt;&gt;"",IFERROR(INDEX(激励事件明细!$A$2:$A$501,MATCH(E110,激励事件明细!$B$2:$B$501,0)),""),""))</f>
        <v/>
      </c>
      <c r="U110" s="4" t="str">
        <f>IF(T110="","",IFERROR(INDEX(激励事件明细!$B$2:$B$501,MATCH(T110,激励事件明细!$A$2:$A$501,0)),""))</f>
        <v/>
      </c>
      <c r="V110" s="4" t="str">
        <f>IF(A110="","",COUNTIF($A$2:A110,A110))</f>
        <v/>
      </c>
      <c r="W110" s="4" t="str">
        <f t="shared" si="11"/>
        <v/>
      </c>
    </row>
    <row r="111" spans="1:23" x14ac:dyDescent="0.3">
      <c r="A111" s="4" t="str">
        <f>IF(T111="","",IFERROR(INDEX(激励事件明细!$C$2:$C$501,MATCH(T111,激励事件明细!$A$2:$A$501,0)),""))</f>
        <v/>
      </c>
      <c r="B111" s="4" t="str">
        <f>IF(A111="","",IFERROR(INDEX(激励事件明细!$D$2:$D$501,MATCH(T111,激励事件明细!$A$2:$A$501,0)),""))</f>
        <v/>
      </c>
      <c r="C111" s="4" t="str">
        <f>IF(A111="","",IFERROR(INDEX(激励事件明细!$H$2:$H$501,MATCH(T111,激励事件明细!$A$2:$A$501,0)),""))</f>
        <v/>
      </c>
      <c r="D111" s="9"/>
      <c r="E111" s="9"/>
      <c r="F111" s="15" t="str">
        <f>IF(A111="","",IFERROR(INDEX(激励事件明细!$AA$2:$AA$501,MATCH(T111,激励事件明细!$A$2:$A$501,0)),""))</f>
        <v/>
      </c>
      <c r="G111" s="17" t="str">
        <f>IF(A111="","",IFERROR(INDEX(激励事件明细!$AB$2:$AB$501,MATCH(T111,激励事件明细!$A$2:$A$501,0)),""))</f>
        <v/>
      </c>
      <c r="H111" s="17" t="str">
        <f>IF(A111="","",IFERROR(INDEX(激励事件明细!$AC$2:$AC$501,MATCH(T111,激励事件明细!$A$2:$A$501,0)),""))</f>
        <v/>
      </c>
      <c r="I111" s="13"/>
      <c r="J111" s="14"/>
      <c r="K111" s="14"/>
      <c r="L111" s="9"/>
      <c r="M111" s="15" t="str">
        <f t="shared" si="6"/>
        <v/>
      </c>
      <c r="N111" s="15" t="str">
        <f t="shared" si="7"/>
        <v/>
      </c>
      <c r="O111" s="4" t="str">
        <f t="shared" ca="1" si="8"/>
        <v/>
      </c>
      <c r="P111" s="17" t="str">
        <f>IF(A111="","",IFERROR(IF(INDEX(激励事件明细!$P$2:$P$501,MATCH(T111,激励事件明细!$A$2:$A$501,0))=0,"",INDEX(激励事件明细!$P$2:$P$501,MATCH(T111,激励事件明细!$A$2:$A$501,0))),""))</f>
        <v/>
      </c>
      <c r="Q111" s="4" t="str">
        <f t="shared" si="9"/>
        <v>无效</v>
      </c>
      <c r="R111" s="4" t="str">
        <f t="shared" ca="1" si="10"/>
        <v>异常：必须关联有效事件编号或税额批次</v>
      </c>
      <c r="S111" s="9"/>
      <c r="T111" s="4" t="str">
        <f>IF(D111&lt;&gt;"",IF(COUNTIF(激励事件明细!$A$2:$A$501,D111)=1,D111,""),IF(E111&lt;&gt;"",IFERROR(INDEX(激励事件明细!$A$2:$A$501,MATCH(E111,激励事件明细!$B$2:$B$501,0)),""),""))</f>
        <v/>
      </c>
      <c r="U111" s="4" t="str">
        <f>IF(T111="","",IFERROR(INDEX(激励事件明细!$B$2:$B$501,MATCH(T111,激励事件明细!$A$2:$A$501,0)),""))</f>
        <v/>
      </c>
      <c r="V111" s="4" t="str">
        <f>IF(A111="","",COUNTIF($A$2:A111,A111))</f>
        <v/>
      </c>
      <c r="W111" s="4" t="str">
        <f t="shared" si="11"/>
        <v/>
      </c>
    </row>
    <row r="112" spans="1:23" x14ac:dyDescent="0.3">
      <c r="A112" s="4" t="str">
        <f>IF(T112="","",IFERROR(INDEX(激励事件明细!$C$2:$C$501,MATCH(T112,激励事件明细!$A$2:$A$501,0)),""))</f>
        <v/>
      </c>
      <c r="B112" s="4" t="str">
        <f>IF(A112="","",IFERROR(INDEX(激励事件明细!$D$2:$D$501,MATCH(T112,激励事件明细!$A$2:$A$501,0)),""))</f>
        <v/>
      </c>
      <c r="C112" s="4" t="str">
        <f>IF(A112="","",IFERROR(INDEX(激励事件明细!$H$2:$H$501,MATCH(T112,激励事件明细!$A$2:$A$501,0)),""))</f>
        <v/>
      </c>
      <c r="D112" s="9"/>
      <c r="E112" s="9"/>
      <c r="F112" s="15" t="str">
        <f>IF(A112="","",IFERROR(INDEX(激励事件明细!$AA$2:$AA$501,MATCH(T112,激励事件明细!$A$2:$A$501,0)),""))</f>
        <v/>
      </c>
      <c r="G112" s="17" t="str">
        <f>IF(A112="","",IFERROR(INDEX(激励事件明细!$AB$2:$AB$501,MATCH(T112,激励事件明细!$A$2:$A$501,0)),""))</f>
        <v/>
      </c>
      <c r="H112" s="17" t="str">
        <f>IF(A112="","",IFERROR(INDEX(激励事件明细!$AC$2:$AC$501,MATCH(T112,激励事件明细!$A$2:$A$501,0)),""))</f>
        <v/>
      </c>
      <c r="I112" s="13"/>
      <c r="J112" s="14"/>
      <c r="K112" s="14"/>
      <c r="L112" s="9"/>
      <c r="M112" s="15" t="str">
        <f t="shared" si="6"/>
        <v/>
      </c>
      <c r="N112" s="15" t="str">
        <f t="shared" si="7"/>
        <v/>
      </c>
      <c r="O112" s="4" t="str">
        <f t="shared" ca="1" si="8"/>
        <v/>
      </c>
      <c r="P112" s="17" t="str">
        <f>IF(A112="","",IFERROR(IF(INDEX(激励事件明细!$P$2:$P$501,MATCH(T112,激励事件明细!$A$2:$A$501,0))=0,"",INDEX(激励事件明细!$P$2:$P$501,MATCH(T112,激励事件明细!$A$2:$A$501,0))),""))</f>
        <v/>
      </c>
      <c r="Q112" s="4" t="str">
        <f t="shared" si="9"/>
        <v>无效</v>
      </c>
      <c r="R112" s="4" t="str">
        <f t="shared" ca="1" si="10"/>
        <v>异常：必须关联有效事件编号或税额批次</v>
      </c>
      <c r="S112" s="9"/>
      <c r="T112" s="4" t="str">
        <f>IF(D112&lt;&gt;"",IF(COUNTIF(激励事件明细!$A$2:$A$501,D112)=1,D112,""),IF(E112&lt;&gt;"",IFERROR(INDEX(激励事件明细!$A$2:$A$501,MATCH(E112,激励事件明细!$B$2:$B$501,0)),""),""))</f>
        <v/>
      </c>
      <c r="U112" s="4" t="str">
        <f>IF(T112="","",IFERROR(INDEX(激励事件明细!$B$2:$B$501,MATCH(T112,激励事件明细!$A$2:$A$501,0)),""))</f>
        <v/>
      </c>
      <c r="V112" s="4" t="str">
        <f>IF(A112="","",COUNTIF($A$2:A112,A112))</f>
        <v/>
      </c>
      <c r="W112" s="4" t="str">
        <f t="shared" si="11"/>
        <v/>
      </c>
    </row>
    <row r="113" spans="1:23" x14ac:dyDescent="0.3">
      <c r="A113" s="4" t="str">
        <f>IF(T113="","",IFERROR(INDEX(激励事件明细!$C$2:$C$501,MATCH(T113,激励事件明细!$A$2:$A$501,0)),""))</f>
        <v/>
      </c>
      <c r="B113" s="4" t="str">
        <f>IF(A113="","",IFERROR(INDEX(激励事件明细!$D$2:$D$501,MATCH(T113,激励事件明细!$A$2:$A$501,0)),""))</f>
        <v/>
      </c>
      <c r="C113" s="4" t="str">
        <f>IF(A113="","",IFERROR(INDEX(激励事件明细!$H$2:$H$501,MATCH(T113,激励事件明细!$A$2:$A$501,0)),""))</f>
        <v/>
      </c>
      <c r="D113" s="9"/>
      <c r="E113" s="9"/>
      <c r="F113" s="15" t="str">
        <f>IF(A113="","",IFERROR(INDEX(激励事件明细!$AA$2:$AA$501,MATCH(T113,激励事件明细!$A$2:$A$501,0)),""))</f>
        <v/>
      </c>
      <c r="G113" s="17" t="str">
        <f>IF(A113="","",IFERROR(INDEX(激励事件明细!$AB$2:$AB$501,MATCH(T113,激励事件明细!$A$2:$A$501,0)),""))</f>
        <v/>
      </c>
      <c r="H113" s="17" t="str">
        <f>IF(A113="","",IFERROR(INDEX(激励事件明细!$AC$2:$AC$501,MATCH(T113,激励事件明细!$A$2:$A$501,0)),""))</f>
        <v/>
      </c>
      <c r="I113" s="13"/>
      <c r="J113" s="14"/>
      <c r="K113" s="14"/>
      <c r="L113" s="9"/>
      <c r="M113" s="15" t="str">
        <f t="shared" si="6"/>
        <v/>
      </c>
      <c r="N113" s="15" t="str">
        <f t="shared" si="7"/>
        <v/>
      </c>
      <c r="O113" s="4" t="str">
        <f t="shared" ca="1" si="8"/>
        <v/>
      </c>
      <c r="P113" s="17" t="str">
        <f>IF(A113="","",IFERROR(IF(INDEX(激励事件明细!$P$2:$P$501,MATCH(T113,激励事件明细!$A$2:$A$501,0))=0,"",INDEX(激励事件明细!$P$2:$P$501,MATCH(T113,激励事件明细!$A$2:$A$501,0))),""))</f>
        <v/>
      </c>
      <c r="Q113" s="4" t="str">
        <f t="shared" si="9"/>
        <v>无效</v>
      </c>
      <c r="R113" s="4" t="str">
        <f t="shared" ca="1" si="10"/>
        <v>异常：必须关联有效事件编号或税额批次</v>
      </c>
      <c r="S113" s="9"/>
      <c r="T113" s="4" t="str">
        <f>IF(D113&lt;&gt;"",IF(COUNTIF(激励事件明细!$A$2:$A$501,D113)=1,D113,""),IF(E113&lt;&gt;"",IFERROR(INDEX(激励事件明细!$A$2:$A$501,MATCH(E113,激励事件明细!$B$2:$B$501,0)),""),""))</f>
        <v/>
      </c>
      <c r="U113" s="4" t="str">
        <f>IF(T113="","",IFERROR(INDEX(激励事件明细!$B$2:$B$501,MATCH(T113,激励事件明细!$A$2:$A$501,0)),""))</f>
        <v/>
      </c>
      <c r="V113" s="4" t="str">
        <f>IF(A113="","",COUNTIF($A$2:A113,A113))</f>
        <v/>
      </c>
      <c r="W113" s="4" t="str">
        <f t="shared" si="11"/>
        <v/>
      </c>
    </row>
    <row r="114" spans="1:23" x14ac:dyDescent="0.3">
      <c r="A114" s="4" t="str">
        <f>IF(T114="","",IFERROR(INDEX(激励事件明细!$C$2:$C$501,MATCH(T114,激励事件明细!$A$2:$A$501,0)),""))</f>
        <v/>
      </c>
      <c r="B114" s="4" t="str">
        <f>IF(A114="","",IFERROR(INDEX(激励事件明细!$D$2:$D$501,MATCH(T114,激励事件明细!$A$2:$A$501,0)),""))</f>
        <v/>
      </c>
      <c r="C114" s="4" t="str">
        <f>IF(A114="","",IFERROR(INDEX(激励事件明细!$H$2:$H$501,MATCH(T114,激励事件明细!$A$2:$A$501,0)),""))</f>
        <v/>
      </c>
      <c r="D114" s="9"/>
      <c r="E114" s="9"/>
      <c r="F114" s="15" t="str">
        <f>IF(A114="","",IFERROR(INDEX(激励事件明细!$AA$2:$AA$501,MATCH(T114,激励事件明细!$A$2:$A$501,0)),""))</f>
        <v/>
      </c>
      <c r="G114" s="17" t="str">
        <f>IF(A114="","",IFERROR(INDEX(激励事件明细!$AB$2:$AB$501,MATCH(T114,激励事件明细!$A$2:$A$501,0)),""))</f>
        <v/>
      </c>
      <c r="H114" s="17" t="str">
        <f>IF(A114="","",IFERROR(INDEX(激励事件明细!$AC$2:$AC$501,MATCH(T114,激励事件明细!$A$2:$A$501,0)),""))</f>
        <v/>
      </c>
      <c r="I114" s="13"/>
      <c r="J114" s="14"/>
      <c r="K114" s="14"/>
      <c r="L114" s="9"/>
      <c r="M114" s="15" t="str">
        <f t="shared" si="6"/>
        <v/>
      </c>
      <c r="N114" s="15" t="str">
        <f t="shared" si="7"/>
        <v/>
      </c>
      <c r="O114" s="4" t="str">
        <f t="shared" ca="1" si="8"/>
        <v/>
      </c>
      <c r="P114" s="17" t="str">
        <f>IF(A114="","",IFERROR(IF(INDEX(激励事件明细!$P$2:$P$501,MATCH(T114,激励事件明细!$A$2:$A$501,0))=0,"",INDEX(激励事件明细!$P$2:$P$501,MATCH(T114,激励事件明细!$A$2:$A$501,0))),""))</f>
        <v/>
      </c>
      <c r="Q114" s="4" t="str">
        <f t="shared" si="9"/>
        <v>无效</v>
      </c>
      <c r="R114" s="4" t="str">
        <f t="shared" ca="1" si="10"/>
        <v>异常：必须关联有效事件编号或税额批次</v>
      </c>
      <c r="S114" s="9"/>
      <c r="T114" s="4" t="str">
        <f>IF(D114&lt;&gt;"",IF(COUNTIF(激励事件明细!$A$2:$A$501,D114)=1,D114,""),IF(E114&lt;&gt;"",IFERROR(INDEX(激励事件明细!$A$2:$A$501,MATCH(E114,激励事件明细!$B$2:$B$501,0)),""),""))</f>
        <v/>
      </c>
      <c r="U114" s="4" t="str">
        <f>IF(T114="","",IFERROR(INDEX(激励事件明细!$B$2:$B$501,MATCH(T114,激励事件明细!$A$2:$A$501,0)),""))</f>
        <v/>
      </c>
      <c r="V114" s="4" t="str">
        <f>IF(A114="","",COUNTIF($A$2:A114,A114))</f>
        <v/>
      </c>
      <c r="W114" s="4" t="str">
        <f t="shared" si="11"/>
        <v/>
      </c>
    </row>
    <row r="115" spans="1:23" x14ac:dyDescent="0.3">
      <c r="A115" s="4" t="str">
        <f>IF(T115="","",IFERROR(INDEX(激励事件明细!$C$2:$C$501,MATCH(T115,激励事件明细!$A$2:$A$501,0)),""))</f>
        <v/>
      </c>
      <c r="B115" s="4" t="str">
        <f>IF(A115="","",IFERROR(INDEX(激励事件明细!$D$2:$D$501,MATCH(T115,激励事件明细!$A$2:$A$501,0)),""))</f>
        <v/>
      </c>
      <c r="C115" s="4" t="str">
        <f>IF(A115="","",IFERROR(INDEX(激励事件明细!$H$2:$H$501,MATCH(T115,激励事件明细!$A$2:$A$501,0)),""))</f>
        <v/>
      </c>
      <c r="D115" s="9"/>
      <c r="E115" s="9"/>
      <c r="F115" s="15" t="str">
        <f>IF(A115="","",IFERROR(INDEX(激励事件明细!$AA$2:$AA$501,MATCH(T115,激励事件明细!$A$2:$A$501,0)),""))</f>
        <v/>
      </c>
      <c r="G115" s="17" t="str">
        <f>IF(A115="","",IFERROR(INDEX(激励事件明细!$AB$2:$AB$501,MATCH(T115,激励事件明细!$A$2:$A$501,0)),""))</f>
        <v/>
      </c>
      <c r="H115" s="17" t="str">
        <f>IF(A115="","",IFERROR(INDEX(激励事件明细!$AC$2:$AC$501,MATCH(T115,激励事件明细!$A$2:$A$501,0)),""))</f>
        <v/>
      </c>
      <c r="I115" s="13"/>
      <c r="J115" s="14"/>
      <c r="K115" s="14"/>
      <c r="L115" s="9"/>
      <c r="M115" s="15" t="str">
        <f t="shared" si="6"/>
        <v/>
      </c>
      <c r="N115" s="15" t="str">
        <f t="shared" si="7"/>
        <v/>
      </c>
      <c r="O115" s="4" t="str">
        <f t="shared" ca="1" si="8"/>
        <v/>
      </c>
      <c r="P115" s="17" t="str">
        <f>IF(A115="","",IFERROR(IF(INDEX(激励事件明细!$P$2:$P$501,MATCH(T115,激励事件明细!$A$2:$A$501,0))=0,"",INDEX(激励事件明细!$P$2:$P$501,MATCH(T115,激励事件明细!$A$2:$A$501,0))),""))</f>
        <v/>
      </c>
      <c r="Q115" s="4" t="str">
        <f t="shared" si="9"/>
        <v>无效</v>
      </c>
      <c r="R115" s="4" t="str">
        <f t="shared" ca="1" si="10"/>
        <v>异常：必须关联有效事件编号或税额批次</v>
      </c>
      <c r="S115" s="9"/>
      <c r="T115" s="4" t="str">
        <f>IF(D115&lt;&gt;"",IF(COUNTIF(激励事件明细!$A$2:$A$501,D115)=1,D115,""),IF(E115&lt;&gt;"",IFERROR(INDEX(激励事件明细!$A$2:$A$501,MATCH(E115,激励事件明细!$B$2:$B$501,0)),""),""))</f>
        <v/>
      </c>
      <c r="U115" s="4" t="str">
        <f>IF(T115="","",IFERROR(INDEX(激励事件明细!$B$2:$B$501,MATCH(T115,激励事件明细!$A$2:$A$501,0)),""))</f>
        <v/>
      </c>
      <c r="V115" s="4" t="str">
        <f>IF(A115="","",COUNTIF($A$2:A115,A115))</f>
        <v/>
      </c>
      <c r="W115" s="4" t="str">
        <f t="shared" si="11"/>
        <v/>
      </c>
    </row>
    <row r="116" spans="1:23" x14ac:dyDescent="0.3">
      <c r="A116" s="4" t="str">
        <f>IF(T116="","",IFERROR(INDEX(激励事件明细!$C$2:$C$501,MATCH(T116,激励事件明细!$A$2:$A$501,0)),""))</f>
        <v/>
      </c>
      <c r="B116" s="4" t="str">
        <f>IF(A116="","",IFERROR(INDEX(激励事件明细!$D$2:$D$501,MATCH(T116,激励事件明细!$A$2:$A$501,0)),""))</f>
        <v/>
      </c>
      <c r="C116" s="4" t="str">
        <f>IF(A116="","",IFERROR(INDEX(激励事件明细!$H$2:$H$501,MATCH(T116,激励事件明细!$A$2:$A$501,0)),""))</f>
        <v/>
      </c>
      <c r="D116" s="9"/>
      <c r="E116" s="9"/>
      <c r="F116" s="15" t="str">
        <f>IF(A116="","",IFERROR(INDEX(激励事件明细!$AA$2:$AA$501,MATCH(T116,激励事件明细!$A$2:$A$501,0)),""))</f>
        <v/>
      </c>
      <c r="G116" s="17" t="str">
        <f>IF(A116="","",IFERROR(INDEX(激励事件明细!$AB$2:$AB$501,MATCH(T116,激励事件明细!$A$2:$A$501,0)),""))</f>
        <v/>
      </c>
      <c r="H116" s="17" t="str">
        <f>IF(A116="","",IFERROR(INDEX(激励事件明细!$AC$2:$AC$501,MATCH(T116,激励事件明细!$A$2:$A$501,0)),""))</f>
        <v/>
      </c>
      <c r="I116" s="13"/>
      <c r="J116" s="14"/>
      <c r="K116" s="14"/>
      <c r="L116" s="9"/>
      <c r="M116" s="15" t="str">
        <f t="shared" si="6"/>
        <v/>
      </c>
      <c r="N116" s="15" t="str">
        <f t="shared" si="7"/>
        <v/>
      </c>
      <c r="O116" s="4" t="str">
        <f t="shared" ca="1" si="8"/>
        <v/>
      </c>
      <c r="P116" s="17" t="str">
        <f>IF(A116="","",IFERROR(IF(INDEX(激励事件明细!$P$2:$P$501,MATCH(T116,激励事件明细!$A$2:$A$501,0))=0,"",INDEX(激励事件明细!$P$2:$P$501,MATCH(T116,激励事件明细!$A$2:$A$501,0))),""))</f>
        <v/>
      </c>
      <c r="Q116" s="4" t="str">
        <f t="shared" si="9"/>
        <v>无效</v>
      </c>
      <c r="R116" s="4" t="str">
        <f t="shared" ca="1" si="10"/>
        <v>异常：必须关联有效事件编号或税额批次</v>
      </c>
      <c r="S116" s="9"/>
      <c r="T116" s="4" t="str">
        <f>IF(D116&lt;&gt;"",IF(COUNTIF(激励事件明细!$A$2:$A$501,D116)=1,D116,""),IF(E116&lt;&gt;"",IFERROR(INDEX(激励事件明细!$A$2:$A$501,MATCH(E116,激励事件明细!$B$2:$B$501,0)),""),""))</f>
        <v/>
      </c>
      <c r="U116" s="4" t="str">
        <f>IF(T116="","",IFERROR(INDEX(激励事件明细!$B$2:$B$501,MATCH(T116,激励事件明细!$A$2:$A$501,0)),""))</f>
        <v/>
      </c>
      <c r="V116" s="4" t="str">
        <f>IF(A116="","",COUNTIF($A$2:A116,A116))</f>
        <v/>
      </c>
      <c r="W116" s="4" t="str">
        <f t="shared" si="11"/>
        <v/>
      </c>
    </row>
    <row r="117" spans="1:23" x14ac:dyDescent="0.3">
      <c r="A117" s="4" t="str">
        <f>IF(T117="","",IFERROR(INDEX(激励事件明细!$C$2:$C$501,MATCH(T117,激励事件明细!$A$2:$A$501,0)),""))</f>
        <v/>
      </c>
      <c r="B117" s="4" t="str">
        <f>IF(A117="","",IFERROR(INDEX(激励事件明细!$D$2:$D$501,MATCH(T117,激励事件明细!$A$2:$A$501,0)),""))</f>
        <v/>
      </c>
      <c r="C117" s="4" t="str">
        <f>IF(A117="","",IFERROR(INDEX(激励事件明细!$H$2:$H$501,MATCH(T117,激励事件明细!$A$2:$A$501,0)),""))</f>
        <v/>
      </c>
      <c r="D117" s="9"/>
      <c r="E117" s="9"/>
      <c r="F117" s="15" t="str">
        <f>IF(A117="","",IFERROR(INDEX(激励事件明细!$AA$2:$AA$501,MATCH(T117,激励事件明细!$A$2:$A$501,0)),""))</f>
        <v/>
      </c>
      <c r="G117" s="17" t="str">
        <f>IF(A117="","",IFERROR(INDEX(激励事件明细!$AB$2:$AB$501,MATCH(T117,激励事件明细!$A$2:$A$501,0)),""))</f>
        <v/>
      </c>
      <c r="H117" s="17" t="str">
        <f>IF(A117="","",IFERROR(INDEX(激励事件明细!$AC$2:$AC$501,MATCH(T117,激励事件明细!$A$2:$A$501,0)),""))</f>
        <v/>
      </c>
      <c r="I117" s="13"/>
      <c r="J117" s="14"/>
      <c r="K117" s="14"/>
      <c r="L117" s="9"/>
      <c r="M117" s="15" t="str">
        <f t="shared" si="6"/>
        <v/>
      </c>
      <c r="N117" s="15" t="str">
        <f t="shared" si="7"/>
        <v/>
      </c>
      <c r="O117" s="4" t="str">
        <f t="shared" ca="1" si="8"/>
        <v/>
      </c>
      <c r="P117" s="17" t="str">
        <f>IF(A117="","",IFERROR(IF(INDEX(激励事件明细!$P$2:$P$501,MATCH(T117,激励事件明细!$A$2:$A$501,0))=0,"",INDEX(激励事件明细!$P$2:$P$501,MATCH(T117,激励事件明细!$A$2:$A$501,0))),""))</f>
        <v/>
      </c>
      <c r="Q117" s="4" t="str">
        <f t="shared" si="9"/>
        <v>无效</v>
      </c>
      <c r="R117" s="4" t="str">
        <f t="shared" ca="1" si="10"/>
        <v>异常：必须关联有效事件编号或税额批次</v>
      </c>
      <c r="S117" s="9"/>
      <c r="T117" s="4" t="str">
        <f>IF(D117&lt;&gt;"",IF(COUNTIF(激励事件明细!$A$2:$A$501,D117)=1,D117,""),IF(E117&lt;&gt;"",IFERROR(INDEX(激励事件明细!$A$2:$A$501,MATCH(E117,激励事件明细!$B$2:$B$501,0)),""),""))</f>
        <v/>
      </c>
      <c r="U117" s="4" t="str">
        <f>IF(T117="","",IFERROR(INDEX(激励事件明细!$B$2:$B$501,MATCH(T117,激励事件明细!$A$2:$A$501,0)),""))</f>
        <v/>
      </c>
      <c r="V117" s="4" t="str">
        <f>IF(A117="","",COUNTIF($A$2:A117,A117))</f>
        <v/>
      </c>
      <c r="W117" s="4" t="str">
        <f t="shared" si="11"/>
        <v/>
      </c>
    </row>
    <row r="118" spans="1:23" x14ac:dyDescent="0.3">
      <c r="A118" s="4" t="str">
        <f>IF(T118="","",IFERROR(INDEX(激励事件明细!$C$2:$C$501,MATCH(T118,激励事件明细!$A$2:$A$501,0)),""))</f>
        <v/>
      </c>
      <c r="B118" s="4" t="str">
        <f>IF(A118="","",IFERROR(INDEX(激励事件明细!$D$2:$D$501,MATCH(T118,激励事件明细!$A$2:$A$501,0)),""))</f>
        <v/>
      </c>
      <c r="C118" s="4" t="str">
        <f>IF(A118="","",IFERROR(INDEX(激励事件明细!$H$2:$H$501,MATCH(T118,激励事件明细!$A$2:$A$501,0)),""))</f>
        <v/>
      </c>
      <c r="D118" s="9"/>
      <c r="E118" s="9"/>
      <c r="F118" s="15" t="str">
        <f>IF(A118="","",IFERROR(INDEX(激励事件明细!$AA$2:$AA$501,MATCH(T118,激励事件明细!$A$2:$A$501,0)),""))</f>
        <v/>
      </c>
      <c r="G118" s="17" t="str">
        <f>IF(A118="","",IFERROR(INDEX(激励事件明细!$AB$2:$AB$501,MATCH(T118,激励事件明细!$A$2:$A$501,0)),""))</f>
        <v/>
      </c>
      <c r="H118" s="17" t="str">
        <f>IF(A118="","",IFERROR(INDEX(激励事件明细!$AC$2:$AC$501,MATCH(T118,激励事件明细!$A$2:$A$501,0)),""))</f>
        <v/>
      </c>
      <c r="I118" s="13"/>
      <c r="J118" s="14"/>
      <c r="K118" s="14"/>
      <c r="L118" s="9"/>
      <c r="M118" s="15" t="str">
        <f t="shared" si="6"/>
        <v/>
      </c>
      <c r="N118" s="15" t="str">
        <f t="shared" si="7"/>
        <v/>
      </c>
      <c r="O118" s="4" t="str">
        <f t="shared" ca="1" si="8"/>
        <v/>
      </c>
      <c r="P118" s="17" t="str">
        <f>IF(A118="","",IFERROR(IF(INDEX(激励事件明细!$P$2:$P$501,MATCH(T118,激励事件明细!$A$2:$A$501,0))=0,"",INDEX(激励事件明细!$P$2:$P$501,MATCH(T118,激励事件明细!$A$2:$A$501,0))),""))</f>
        <v/>
      </c>
      <c r="Q118" s="4" t="str">
        <f t="shared" si="9"/>
        <v>无效</v>
      </c>
      <c r="R118" s="4" t="str">
        <f t="shared" ca="1" si="10"/>
        <v>异常：必须关联有效事件编号或税额批次</v>
      </c>
      <c r="S118" s="9"/>
      <c r="T118" s="4" t="str">
        <f>IF(D118&lt;&gt;"",IF(COUNTIF(激励事件明细!$A$2:$A$501,D118)=1,D118,""),IF(E118&lt;&gt;"",IFERROR(INDEX(激励事件明细!$A$2:$A$501,MATCH(E118,激励事件明细!$B$2:$B$501,0)),""),""))</f>
        <v/>
      </c>
      <c r="U118" s="4" t="str">
        <f>IF(T118="","",IFERROR(INDEX(激励事件明细!$B$2:$B$501,MATCH(T118,激励事件明细!$A$2:$A$501,0)),""))</f>
        <v/>
      </c>
      <c r="V118" s="4" t="str">
        <f>IF(A118="","",COUNTIF($A$2:A118,A118))</f>
        <v/>
      </c>
      <c r="W118" s="4" t="str">
        <f t="shared" si="11"/>
        <v/>
      </c>
    </row>
    <row r="119" spans="1:23" x14ac:dyDescent="0.3">
      <c r="A119" s="4" t="str">
        <f>IF(T119="","",IFERROR(INDEX(激励事件明细!$C$2:$C$501,MATCH(T119,激励事件明细!$A$2:$A$501,0)),""))</f>
        <v/>
      </c>
      <c r="B119" s="4" t="str">
        <f>IF(A119="","",IFERROR(INDEX(激励事件明细!$D$2:$D$501,MATCH(T119,激励事件明细!$A$2:$A$501,0)),""))</f>
        <v/>
      </c>
      <c r="C119" s="4" t="str">
        <f>IF(A119="","",IFERROR(INDEX(激励事件明细!$H$2:$H$501,MATCH(T119,激励事件明细!$A$2:$A$501,0)),""))</f>
        <v/>
      </c>
      <c r="D119" s="9"/>
      <c r="E119" s="9"/>
      <c r="F119" s="15" t="str">
        <f>IF(A119="","",IFERROR(INDEX(激励事件明细!$AA$2:$AA$501,MATCH(T119,激励事件明细!$A$2:$A$501,0)),""))</f>
        <v/>
      </c>
      <c r="G119" s="17" t="str">
        <f>IF(A119="","",IFERROR(INDEX(激励事件明细!$AB$2:$AB$501,MATCH(T119,激励事件明细!$A$2:$A$501,0)),""))</f>
        <v/>
      </c>
      <c r="H119" s="17" t="str">
        <f>IF(A119="","",IFERROR(INDEX(激励事件明细!$AC$2:$AC$501,MATCH(T119,激励事件明细!$A$2:$A$501,0)),""))</f>
        <v/>
      </c>
      <c r="I119" s="13"/>
      <c r="J119" s="14"/>
      <c r="K119" s="14"/>
      <c r="L119" s="9"/>
      <c r="M119" s="15" t="str">
        <f t="shared" si="6"/>
        <v/>
      </c>
      <c r="N119" s="15" t="str">
        <f t="shared" si="7"/>
        <v/>
      </c>
      <c r="O119" s="4" t="str">
        <f t="shared" ca="1" si="8"/>
        <v/>
      </c>
      <c r="P119" s="17" t="str">
        <f>IF(A119="","",IFERROR(IF(INDEX(激励事件明细!$P$2:$P$501,MATCH(T119,激励事件明细!$A$2:$A$501,0))=0,"",INDEX(激励事件明细!$P$2:$P$501,MATCH(T119,激励事件明细!$A$2:$A$501,0))),""))</f>
        <v/>
      </c>
      <c r="Q119" s="4" t="str">
        <f t="shared" si="9"/>
        <v>无效</v>
      </c>
      <c r="R119" s="4" t="str">
        <f t="shared" ca="1" si="10"/>
        <v>异常：必须关联有效事件编号或税额批次</v>
      </c>
      <c r="S119" s="9"/>
      <c r="T119" s="4" t="str">
        <f>IF(D119&lt;&gt;"",IF(COUNTIF(激励事件明细!$A$2:$A$501,D119)=1,D119,""),IF(E119&lt;&gt;"",IFERROR(INDEX(激励事件明细!$A$2:$A$501,MATCH(E119,激励事件明细!$B$2:$B$501,0)),""),""))</f>
        <v/>
      </c>
      <c r="U119" s="4" t="str">
        <f>IF(T119="","",IFERROR(INDEX(激励事件明细!$B$2:$B$501,MATCH(T119,激励事件明细!$A$2:$A$501,0)),""))</f>
        <v/>
      </c>
      <c r="V119" s="4" t="str">
        <f>IF(A119="","",COUNTIF($A$2:A119,A119))</f>
        <v/>
      </c>
      <c r="W119" s="4" t="str">
        <f t="shared" si="11"/>
        <v/>
      </c>
    </row>
    <row r="120" spans="1:23" x14ac:dyDescent="0.3">
      <c r="A120" s="4" t="str">
        <f>IF(T120="","",IFERROR(INDEX(激励事件明细!$C$2:$C$501,MATCH(T120,激励事件明细!$A$2:$A$501,0)),""))</f>
        <v/>
      </c>
      <c r="B120" s="4" t="str">
        <f>IF(A120="","",IFERROR(INDEX(激励事件明细!$D$2:$D$501,MATCH(T120,激励事件明细!$A$2:$A$501,0)),""))</f>
        <v/>
      </c>
      <c r="C120" s="4" t="str">
        <f>IF(A120="","",IFERROR(INDEX(激励事件明细!$H$2:$H$501,MATCH(T120,激励事件明细!$A$2:$A$501,0)),""))</f>
        <v/>
      </c>
      <c r="D120" s="9"/>
      <c r="E120" s="9"/>
      <c r="F120" s="15" t="str">
        <f>IF(A120="","",IFERROR(INDEX(激励事件明细!$AA$2:$AA$501,MATCH(T120,激励事件明细!$A$2:$A$501,0)),""))</f>
        <v/>
      </c>
      <c r="G120" s="17" t="str">
        <f>IF(A120="","",IFERROR(INDEX(激励事件明细!$AB$2:$AB$501,MATCH(T120,激励事件明细!$A$2:$A$501,0)),""))</f>
        <v/>
      </c>
      <c r="H120" s="17" t="str">
        <f>IF(A120="","",IFERROR(INDEX(激励事件明细!$AC$2:$AC$501,MATCH(T120,激励事件明细!$A$2:$A$501,0)),""))</f>
        <v/>
      </c>
      <c r="I120" s="13"/>
      <c r="J120" s="14"/>
      <c r="K120" s="14"/>
      <c r="L120" s="9"/>
      <c r="M120" s="15" t="str">
        <f t="shared" si="6"/>
        <v/>
      </c>
      <c r="N120" s="15" t="str">
        <f t="shared" si="7"/>
        <v/>
      </c>
      <c r="O120" s="4" t="str">
        <f t="shared" ca="1" si="8"/>
        <v/>
      </c>
      <c r="P120" s="17" t="str">
        <f>IF(A120="","",IFERROR(IF(INDEX(激励事件明细!$P$2:$P$501,MATCH(T120,激励事件明细!$A$2:$A$501,0))=0,"",INDEX(激励事件明细!$P$2:$P$501,MATCH(T120,激励事件明细!$A$2:$A$501,0))),""))</f>
        <v/>
      </c>
      <c r="Q120" s="4" t="str">
        <f t="shared" si="9"/>
        <v>无效</v>
      </c>
      <c r="R120" s="4" t="str">
        <f t="shared" ca="1" si="10"/>
        <v>异常：必须关联有效事件编号或税额批次</v>
      </c>
      <c r="S120" s="9"/>
      <c r="T120" s="4" t="str">
        <f>IF(D120&lt;&gt;"",IF(COUNTIF(激励事件明细!$A$2:$A$501,D120)=1,D120,""),IF(E120&lt;&gt;"",IFERROR(INDEX(激励事件明细!$A$2:$A$501,MATCH(E120,激励事件明细!$B$2:$B$501,0)),""),""))</f>
        <v/>
      </c>
      <c r="U120" s="4" t="str">
        <f>IF(T120="","",IFERROR(INDEX(激励事件明细!$B$2:$B$501,MATCH(T120,激励事件明细!$A$2:$A$501,0)),""))</f>
        <v/>
      </c>
      <c r="V120" s="4" t="str">
        <f>IF(A120="","",COUNTIF($A$2:A120,A120))</f>
        <v/>
      </c>
      <c r="W120" s="4" t="str">
        <f t="shared" si="11"/>
        <v/>
      </c>
    </row>
    <row r="121" spans="1:23" x14ac:dyDescent="0.3">
      <c r="A121" s="4" t="str">
        <f>IF(T121="","",IFERROR(INDEX(激励事件明细!$C$2:$C$501,MATCH(T121,激励事件明细!$A$2:$A$501,0)),""))</f>
        <v/>
      </c>
      <c r="B121" s="4" t="str">
        <f>IF(A121="","",IFERROR(INDEX(激励事件明细!$D$2:$D$501,MATCH(T121,激励事件明细!$A$2:$A$501,0)),""))</f>
        <v/>
      </c>
      <c r="C121" s="4" t="str">
        <f>IF(A121="","",IFERROR(INDEX(激励事件明细!$H$2:$H$501,MATCH(T121,激励事件明细!$A$2:$A$501,0)),""))</f>
        <v/>
      </c>
      <c r="D121" s="9"/>
      <c r="E121" s="9"/>
      <c r="F121" s="15" t="str">
        <f>IF(A121="","",IFERROR(INDEX(激励事件明细!$AA$2:$AA$501,MATCH(T121,激励事件明细!$A$2:$A$501,0)),""))</f>
        <v/>
      </c>
      <c r="G121" s="17" t="str">
        <f>IF(A121="","",IFERROR(INDEX(激励事件明细!$AB$2:$AB$501,MATCH(T121,激励事件明细!$A$2:$A$501,0)),""))</f>
        <v/>
      </c>
      <c r="H121" s="17" t="str">
        <f>IF(A121="","",IFERROR(INDEX(激励事件明细!$AC$2:$AC$501,MATCH(T121,激励事件明细!$A$2:$A$501,0)),""))</f>
        <v/>
      </c>
      <c r="I121" s="13"/>
      <c r="J121" s="14"/>
      <c r="K121" s="14"/>
      <c r="L121" s="9"/>
      <c r="M121" s="15" t="str">
        <f t="shared" si="6"/>
        <v/>
      </c>
      <c r="N121" s="15" t="str">
        <f t="shared" si="7"/>
        <v/>
      </c>
      <c r="O121" s="4" t="str">
        <f t="shared" ca="1" si="8"/>
        <v/>
      </c>
      <c r="P121" s="17" t="str">
        <f>IF(A121="","",IFERROR(IF(INDEX(激励事件明细!$P$2:$P$501,MATCH(T121,激励事件明细!$A$2:$A$501,0))=0,"",INDEX(激励事件明细!$P$2:$P$501,MATCH(T121,激励事件明细!$A$2:$A$501,0))),""))</f>
        <v/>
      </c>
      <c r="Q121" s="4" t="str">
        <f t="shared" si="9"/>
        <v>无效</v>
      </c>
      <c r="R121" s="4" t="str">
        <f t="shared" ca="1" si="10"/>
        <v>异常：必须关联有效事件编号或税额批次</v>
      </c>
      <c r="S121" s="9"/>
      <c r="T121" s="4" t="str">
        <f>IF(D121&lt;&gt;"",IF(COUNTIF(激励事件明细!$A$2:$A$501,D121)=1,D121,""),IF(E121&lt;&gt;"",IFERROR(INDEX(激励事件明细!$A$2:$A$501,MATCH(E121,激励事件明细!$B$2:$B$501,0)),""),""))</f>
        <v/>
      </c>
      <c r="U121" s="4" t="str">
        <f>IF(T121="","",IFERROR(INDEX(激励事件明细!$B$2:$B$501,MATCH(T121,激励事件明细!$A$2:$A$501,0)),""))</f>
        <v/>
      </c>
      <c r="V121" s="4" t="str">
        <f>IF(A121="","",COUNTIF($A$2:A121,A121))</f>
        <v/>
      </c>
      <c r="W121" s="4" t="str">
        <f t="shared" si="11"/>
        <v/>
      </c>
    </row>
    <row r="122" spans="1:23" x14ac:dyDescent="0.3">
      <c r="A122" s="4" t="str">
        <f>IF(T122="","",IFERROR(INDEX(激励事件明细!$C$2:$C$501,MATCH(T122,激励事件明细!$A$2:$A$501,0)),""))</f>
        <v/>
      </c>
      <c r="B122" s="4" t="str">
        <f>IF(A122="","",IFERROR(INDEX(激励事件明细!$D$2:$D$501,MATCH(T122,激励事件明细!$A$2:$A$501,0)),""))</f>
        <v/>
      </c>
      <c r="C122" s="4" t="str">
        <f>IF(A122="","",IFERROR(INDEX(激励事件明细!$H$2:$H$501,MATCH(T122,激励事件明细!$A$2:$A$501,0)),""))</f>
        <v/>
      </c>
      <c r="D122" s="9"/>
      <c r="E122" s="9"/>
      <c r="F122" s="15" t="str">
        <f>IF(A122="","",IFERROR(INDEX(激励事件明细!$AA$2:$AA$501,MATCH(T122,激励事件明细!$A$2:$A$501,0)),""))</f>
        <v/>
      </c>
      <c r="G122" s="17" t="str">
        <f>IF(A122="","",IFERROR(INDEX(激励事件明细!$AB$2:$AB$501,MATCH(T122,激励事件明细!$A$2:$A$501,0)),""))</f>
        <v/>
      </c>
      <c r="H122" s="17" t="str">
        <f>IF(A122="","",IFERROR(INDEX(激励事件明细!$AC$2:$AC$501,MATCH(T122,激励事件明细!$A$2:$A$501,0)),""))</f>
        <v/>
      </c>
      <c r="I122" s="13"/>
      <c r="J122" s="14"/>
      <c r="K122" s="14"/>
      <c r="L122" s="9"/>
      <c r="M122" s="15" t="str">
        <f t="shared" si="6"/>
        <v/>
      </c>
      <c r="N122" s="15" t="str">
        <f t="shared" si="7"/>
        <v/>
      </c>
      <c r="O122" s="4" t="str">
        <f t="shared" ca="1" si="8"/>
        <v/>
      </c>
      <c r="P122" s="17" t="str">
        <f>IF(A122="","",IFERROR(IF(INDEX(激励事件明细!$P$2:$P$501,MATCH(T122,激励事件明细!$A$2:$A$501,0))=0,"",INDEX(激励事件明细!$P$2:$P$501,MATCH(T122,激励事件明细!$A$2:$A$501,0))),""))</f>
        <v/>
      </c>
      <c r="Q122" s="4" t="str">
        <f t="shared" si="9"/>
        <v>无效</v>
      </c>
      <c r="R122" s="4" t="str">
        <f t="shared" ca="1" si="10"/>
        <v>异常：必须关联有效事件编号或税额批次</v>
      </c>
      <c r="S122" s="9"/>
      <c r="T122" s="4" t="str">
        <f>IF(D122&lt;&gt;"",IF(COUNTIF(激励事件明细!$A$2:$A$501,D122)=1,D122,""),IF(E122&lt;&gt;"",IFERROR(INDEX(激励事件明细!$A$2:$A$501,MATCH(E122,激励事件明细!$B$2:$B$501,0)),""),""))</f>
        <v/>
      </c>
      <c r="U122" s="4" t="str">
        <f>IF(T122="","",IFERROR(INDEX(激励事件明细!$B$2:$B$501,MATCH(T122,激励事件明细!$A$2:$A$501,0)),""))</f>
        <v/>
      </c>
      <c r="V122" s="4" t="str">
        <f>IF(A122="","",COUNTIF($A$2:A122,A122))</f>
        <v/>
      </c>
      <c r="W122" s="4" t="str">
        <f t="shared" si="11"/>
        <v/>
      </c>
    </row>
    <row r="123" spans="1:23" x14ac:dyDescent="0.3">
      <c r="A123" s="4" t="str">
        <f>IF(T123="","",IFERROR(INDEX(激励事件明细!$C$2:$C$501,MATCH(T123,激励事件明细!$A$2:$A$501,0)),""))</f>
        <v/>
      </c>
      <c r="B123" s="4" t="str">
        <f>IF(A123="","",IFERROR(INDEX(激励事件明细!$D$2:$D$501,MATCH(T123,激励事件明细!$A$2:$A$501,0)),""))</f>
        <v/>
      </c>
      <c r="C123" s="4" t="str">
        <f>IF(A123="","",IFERROR(INDEX(激励事件明细!$H$2:$H$501,MATCH(T123,激励事件明细!$A$2:$A$501,0)),""))</f>
        <v/>
      </c>
      <c r="D123" s="9"/>
      <c r="E123" s="9"/>
      <c r="F123" s="15" t="str">
        <f>IF(A123="","",IFERROR(INDEX(激励事件明细!$AA$2:$AA$501,MATCH(T123,激励事件明细!$A$2:$A$501,0)),""))</f>
        <v/>
      </c>
      <c r="G123" s="17" t="str">
        <f>IF(A123="","",IFERROR(INDEX(激励事件明细!$AB$2:$AB$501,MATCH(T123,激励事件明细!$A$2:$A$501,0)),""))</f>
        <v/>
      </c>
      <c r="H123" s="17" t="str">
        <f>IF(A123="","",IFERROR(INDEX(激励事件明细!$AC$2:$AC$501,MATCH(T123,激励事件明细!$A$2:$A$501,0)),""))</f>
        <v/>
      </c>
      <c r="I123" s="13"/>
      <c r="J123" s="14"/>
      <c r="K123" s="14"/>
      <c r="L123" s="9"/>
      <c r="M123" s="15" t="str">
        <f t="shared" si="6"/>
        <v/>
      </c>
      <c r="N123" s="15" t="str">
        <f t="shared" si="7"/>
        <v/>
      </c>
      <c r="O123" s="4" t="str">
        <f t="shared" ca="1" si="8"/>
        <v/>
      </c>
      <c r="P123" s="17" t="str">
        <f>IF(A123="","",IFERROR(IF(INDEX(激励事件明细!$P$2:$P$501,MATCH(T123,激励事件明细!$A$2:$A$501,0))=0,"",INDEX(激励事件明细!$P$2:$P$501,MATCH(T123,激励事件明细!$A$2:$A$501,0))),""))</f>
        <v/>
      </c>
      <c r="Q123" s="4" t="str">
        <f t="shared" si="9"/>
        <v>无效</v>
      </c>
      <c r="R123" s="4" t="str">
        <f t="shared" ca="1" si="10"/>
        <v>异常：必须关联有效事件编号或税额批次</v>
      </c>
      <c r="S123" s="9"/>
      <c r="T123" s="4" t="str">
        <f>IF(D123&lt;&gt;"",IF(COUNTIF(激励事件明细!$A$2:$A$501,D123)=1,D123,""),IF(E123&lt;&gt;"",IFERROR(INDEX(激励事件明细!$A$2:$A$501,MATCH(E123,激励事件明细!$B$2:$B$501,0)),""),""))</f>
        <v/>
      </c>
      <c r="U123" s="4" t="str">
        <f>IF(T123="","",IFERROR(INDEX(激励事件明细!$B$2:$B$501,MATCH(T123,激励事件明细!$A$2:$A$501,0)),""))</f>
        <v/>
      </c>
      <c r="V123" s="4" t="str">
        <f>IF(A123="","",COUNTIF($A$2:A123,A123))</f>
        <v/>
      </c>
      <c r="W123" s="4" t="str">
        <f t="shared" si="11"/>
        <v/>
      </c>
    </row>
    <row r="124" spans="1:23" x14ac:dyDescent="0.3">
      <c r="A124" s="4" t="str">
        <f>IF(T124="","",IFERROR(INDEX(激励事件明细!$C$2:$C$501,MATCH(T124,激励事件明细!$A$2:$A$501,0)),""))</f>
        <v/>
      </c>
      <c r="B124" s="4" t="str">
        <f>IF(A124="","",IFERROR(INDEX(激励事件明细!$D$2:$D$501,MATCH(T124,激励事件明细!$A$2:$A$501,0)),""))</f>
        <v/>
      </c>
      <c r="C124" s="4" t="str">
        <f>IF(A124="","",IFERROR(INDEX(激励事件明细!$H$2:$H$501,MATCH(T124,激励事件明细!$A$2:$A$501,0)),""))</f>
        <v/>
      </c>
      <c r="D124" s="9"/>
      <c r="E124" s="9"/>
      <c r="F124" s="15" t="str">
        <f>IF(A124="","",IFERROR(INDEX(激励事件明细!$AA$2:$AA$501,MATCH(T124,激励事件明细!$A$2:$A$501,0)),""))</f>
        <v/>
      </c>
      <c r="G124" s="17" t="str">
        <f>IF(A124="","",IFERROR(INDEX(激励事件明细!$AB$2:$AB$501,MATCH(T124,激励事件明细!$A$2:$A$501,0)),""))</f>
        <v/>
      </c>
      <c r="H124" s="17" t="str">
        <f>IF(A124="","",IFERROR(INDEX(激励事件明细!$AC$2:$AC$501,MATCH(T124,激励事件明细!$A$2:$A$501,0)),""))</f>
        <v/>
      </c>
      <c r="I124" s="13"/>
      <c r="J124" s="14"/>
      <c r="K124" s="14"/>
      <c r="L124" s="9"/>
      <c r="M124" s="15" t="str">
        <f t="shared" si="6"/>
        <v/>
      </c>
      <c r="N124" s="15" t="str">
        <f t="shared" si="7"/>
        <v/>
      </c>
      <c r="O124" s="4" t="str">
        <f t="shared" ca="1" si="8"/>
        <v/>
      </c>
      <c r="P124" s="17" t="str">
        <f>IF(A124="","",IFERROR(IF(INDEX(激励事件明细!$P$2:$P$501,MATCH(T124,激励事件明细!$A$2:$A$501,0))=0,"",INDEX(激励事件明细!$P$2:$P$501,MATCH(T124,激励事件明细!$A$2:$A$501,0))),""))</f>
        <v/>
      </c>
      <c r="Q124" s="4" t="str">
        <f t="shared" si="9"/>
        <v>无效</v>
      </c>
      <c r="R124" s="4" t="str">
        <f t="shared" ca="1" si="10"/>
        <v>异常：必须关联有效事件编号或税额批次</v>
      </c>
      <c r="S124" s="9"/>
      <c r="T124" s="4" t="str">
        <f>IF(D124&lt;&gt;"",IF(COUNTIF(激励事件明细!$A$2:$A$501,D124)=1,D124,""),IF(E124&lt;&gt;"",IFERROR(INDEX(激励事件明细!$A$2:$A$501,MATCH(E124,激励事件明细!$B$2:$B$501,0)),""),""))</f>
        <v/>
      </c>
      <c r="U124" s="4" t="str">
        <f>IF(T124="","",IFERROR(INDEX(激励事件明细!$B$2:$B$501,MATCH(T124,激励事件明细!$A$2:$A$501,0)),""))</f>
        <v/>
      </c>
      <c r="V124" s="4" t="str">
        <f>IF(A124="","",COUNTIF($A$2:A124,A124))</f>
        <v/>
      </c>
      <c r="W124" s="4" t="str">
        <f t="shared" si="11"/>
        <v/>
      </c>
    </row>
    <row r="125" spans="1:23" x14ac:dyDescent="0.3">
      <c r="A125" s="4" t="str">
        <f>IF(T125="","",IFERROR(INDEX(激励事件明细!$C$2:$C$501,MATCH(T125,激励事件明细!$A$2:$A$501,0)),""))</f>
        <v/>
      </c>
      <c r="B125" s="4" t="str">
        <f>IF(A125="","",IFERROR(INDEX(激励事件明细!$D$2:$D$501,MATCH(T125,激励事件明细!$A$2:$A$501,0)),""))</f>
        <v/>
      </c>
      <c r="C125" s="4" t="str">
        <f>IF(A125="","",IFERROR(INDEX(激励事件明细!$H$2:$H$501,MATCH(T125,激励事件明细!$A$2:$A$501,0)),""))</f>
        <v/>
      </c>
      <c r="D125" s="9"/>
      <c r="E125" s="9"/>
      <c r="F125" s="15" t="str">
        <f>IF(A125="","",IFERROR(INDEX(激励事件明细!$AA$2:$AA$501,MATCH(T125,激励事件明细!$A$2:$A$501,0)),""))</f>
        <v/>
      </c>
      <c r="G125" s="17" t="str">
        <f>IF(A125="","",IFERROR(INDEX(激励事件明细!$AB$2:$AB$501,MATCH(T125,激励事件明细!$A$2:$A$501,0)),""))</f>
        <v/>
      </c>
      <c r="H125" s="17" t="str">
        <f>IF(A125="","",IFERROR(INDEX(激励事件明细!$AC$2:$AC$501,MATCH(T125,激励事件明细!$A$2:$A$501,0)),""))</f>
        <v/>
      </c>
      <c r="I125" s="13"/>
      <c r="J125" s="14"/>
      <c r="K125" s="14"/>
      <c r="L125" s="9"/>
      <c r="M125" s="15" t="str">
        <f t="shared" si="6"/>
        <v/>
      </c>
      <c r="N125" s="15" t="str">
        <f t="shared" si="7"/>
        <v/>
      </c>
      <c r="O125" s="4" t="str">
        <f t="shared" ca="1" si="8"/>
        <v/>
      </c>
      <c r="P125" s="17" t="str">
        <f>IF(A125="","",IFERROR(IF(INDEX(激励事件明细!$P$2:$P$501,MATCH(T125,激励事件明细!$A$2:$A$501,0))=0,"",INDEX(激励事件明细!$P$2:$P$501,MATCH(T125,激励事件明细!$A$2:$A$501,0))),""))</f>
        <v/>
      </c>
      <c r="Q125" s="4" t="str">
        <f t="shared" si="9"/>
        <v>无效</v>
      </c>
      <c r="R125" s="4" t="str">
        <f t="shared" ca="1" si="10"/>
        <v>异常：必须关联有效事件编号或税额批次</v>
      </c>
      <c r="S125" s="9"/>
      <c r="T125" s="4" t="str">
        <f>IF(D125&lt;&gt;"",IF(COUNTIF(激励事件明细!$A$2:$A$501,D125)=1,D125,""),IF(E125&lt;&gt;"",IFERROR(INDEX(激励事件明细!$A$2:$A$501,MATCH(E125,激励事件明细!$B$2:$B$501,0)),""),""))</f>
        <v/>
      </c>
      <c r="U125" s="4" t="str">
        <f>IF(T125="","",IFERROR(INDEX(激励事件明细!$B$2:$B$501,MATCH(T125,激励事件明细!$A$2:$A$501,0)),""))</f>
        <v/>
      </c>
      <c r="V125" s="4" t="str">
        <f>IF(A125="","",COUNTIF($A$2:A125,A125))</f>
        <v/>
      </c>
      <c r="W125" s="4" t="str">
        <f t="shared" si="11"/>
        <v/>
      </c>
    </row>
    <row r="126" spans="1:23" x14ac:dyDescent="0.3">
      <c r="A126" s="4" t="str">
        <f>IF(T126="","",IFERROR(INDEX(激励事件明细!$C$2:$C$501,MATCH(T126,激励事件明细!$A$2:$A$501,0)),""))</f>
        <v/>
      </c>
      <c r="B126" s="4" t="str">
        <f>IF(A126="","",IFERROR(INDEX(激励事件明细!$D$2:$D$501,MATCH(T126,激励事件明细!$A$2:$A$501,0)),""))</f>
        <v/>
      </c>
      <c r="C126" s="4" t="str">
        <f>IF(A126="","",IFERROR(INDEX(激励事件明细!$H$2:$H$501,MATCH(T126,激励事件明细!$A$2:$A$501,0)),""))</f>
        <v/>
      </c>
      <c r="D126" s="9"/>
      <c r="E126" s="9"/>
      <c r="F126" s="15" t="str">
        <f>IF(A126="","",IFERROR(INDEX(激励事件明细!$AA$2:$AA$501,MATCH(T126,激励事件明细!$A$2:$A$501,0)),""))</f>
        <v/>
      </c>
      <c r="G126" s="17" t="str">
        <f>IF(A126="","",IFERROR(INDEX(激励事件明细!$AB$2:$AB$501,MATCH(T126,激励事件明细!$A$2:$A$501,0)),""))</f>
        <v/>
      </c>
      <c r="H126" s="17" t="str">
        <f>IF(A126="","",IFERROR(INDEX(激励事件明细!$AC$2:$AC$501,MATCH(T126,激励事件明细!$A$2:$A$501,0)),""))</f>
        <v/>
      </c>
      <c r="I126" s="13"/>
      <c r="J126" s="14"/>
      <c r="K126" s="14"/>
      <c r="L126" s="9"/>
      <c r="M126" s="15" t="str">
        <f t="shared" si="6"/>
        <v/>
      </c>
      <c r="N126" s="15" t="str">
        <f t="shared" si="7"/>
        <v/>
      </c>
      <c r="O126" s="4" t="str">
        <f t="shared" ca="1" si="8"/>
        <v/>
      </c>
      <c r="P126" s="17" t="str">
        <f>IF(A126="","",IFERROR(IF(INDEX(激励事件明细!$P$2:$P$501,MATCH(T126,激励事件明细!$A$2:$A$501,0))=0,"",INDEX(激励事件明细!$P$2:$P$501,MATCH(T126,激励事件明细!$A$2:$A$501,0))),""))</f>
        <v/>
      </c>
      <c r="Q126" s="4" t="str">
        <f t="shared" si="9"/>
        <v>无效</v>
      </c>
      <c r="R126" s="4" t="str">
        <f t="shared" ca="1" si="10"/>
        <v>异常：必须关联有效事件编号或税额批次</v>
      </c>
      <c r="S126" s="9"/>
      <c r="T126" s="4" t="str">
        <f>IF(D126&lt;&gt;"",IF(COUNTIF(激励事件明细!$A$2:$A$501,D126)=1,D126,""),IF(E126&lt;&gt;"",IFERROR(INDEX(激励事件明细!$A$2:$A$501,MATCH(E126,激励事件明细!$B$2:$B$501,0)),""),""))</f>
        <v/>
      </c>
      <c r="U126" s="4" t="str">
        <f>IF(T126="","",IFERROR(INDEX(激励事件明细!$B$2:$B$501,MATCH(T126,激励事件明细!$A$2:$A$501,0)),""))</f>
        <v/>
      </c>
      <c r="V126" s="4" t="str">
        <f>IF(A126="","",COUNTIF($A$2:A126,A126))</f>
        <v/>
      </c>
      <c r="W126" s="4" t="str">
        <f t="shared" si="11"/>
        <v/>
      </c>
    </row>
    <row r="127" spans="1:23" x14ac:dyDescent="0.3">
      <c r="A127" s="4" t="str">
        <f>IF(T127="","",IFERROR(INDEX(激励事件明细!$C$2:$C$501,MATCH(T127,激励事件明细!$A$2:$A$501,0)),""))</f>
        <v/>
      </c>
      <c r="B127" s="4" t="str">
        <f>IF(A127="","",IFERROR(INDEX(激励事件明细!$D$2:$D$501,MATCH(T127,激励事件明细!$A$2:$A$501,0)),""))</f>
        <v/>
      </c>
      <c r="C127" s="4" t="str">
        <f>IF(A127="","",IFERROR(INDEX(激励事件明细!$H$2:$H$501,MATCH(T127,激励事件明细!$A$2:$A$501,0)),""))</f>
        <v/>
      </c>
      <c r="D127" s="9"/>
      <c r="E127" s="9"/>
      <c r="F127" s="15" t="str">
        <f>IF(A127="","",IFERROR(INDEX(激励事件明细!$AA$2:$AA$501,MATCH(T127,激励事件明细!$A$2:$A$501,0)),""))</f>
        <v/>
      </c>
      <c r="G127" s="17" t="str">
        <f>IF(A127="","",IFERROR(INDEX(激励事件明细!$AB$2:$AB$501,MATCH(T127,激励事件明细!$A$2:$A$501,0)),""))</f>
        <v/>
      </c>
      <c r="H127" s="17" t="str">
        <f>IF(A127="","",IFERROR(INDEX(激励事件明细!$AC$2:$AC$501,MATCH(T127,激励事件明细!$A$2:$A$501,0)),""))</f>
        <v/>
      </c>
      <c r="I127" s="13"/>
      <c r="J127" s="14"/>
      <c r="K127" s="14"/>
      <c r="L127" s="9"/>
      <c r="M127" s="15" t="str">
        <f t="shared" si="6"/>
        <v/>
      </c>
      <c r="N127" s="15" t="str">
        <f t="shared" si="7"/>
        <v/>
      </c>
      <c r="O127" s="4" t="str">
        <f t="shared" ca="1" si="8"/>
        <v/>
      </c>
      <c r="P127" s="17" t="str">
        <f>IF(A127="","",IFERROR(IF(INDEX(激励事件明细!$P$2:$P$501,MATCH(T127,激励事件明细!$A$2:$A$501,0))=0,"",INDEX(激励事件明细!$P$2:$P$501,MATCH(T127,激励事件明细!$A$2:$A$501,0))),""))</f>
        <v/>
      </c>
      <c r="Q127" s="4" t="str">
        <f t="shared" si="9"/>
        <v>无效</v>
      </c>
      <c r="R127" s="4" t="str">
        <f t="shared" ca="1" si="10"/>
        <v>异常：必须关联有效事件编号或税额批次</v>
      </c>
      <c r="S127" s="9"/>
      <c r="T127" s="4" t="str">
        <f>IF(D127&lt;&gt;"",IF(COUNTIF(激励事件明细!$A$2:$A$501,D127)=1,D127,""),IF(E127&lt;&gt;"",IFERROR(INDEX(激励事件明细!$A$2:$A$501,MATCH(E127,激励事件明细!$B$2:$B$501,0)),""),""))</f>
        <v/>
      </c>
      <c r="U127" s="4" t="str">
        <f>IF(T127="","",IFERROR(INDEX(激励事件明细!$B$2:$B$501,MATCH(T127,激励事件明细!$A$2:$A$501,0)),""))</f>
        <v/>
      </c>
      <c r="V127" s="4" t="str">
        <f>IF(A127="","",COUNTIF($A$2:A127,A127))</f>
        <v/>
      </c>
      <c r="W127" s="4" t="str">
        <f t="shared" si="11"/>
        <v/>
      </c>
    </row>
    <row r="128" spans="1:23" x14ac:dyDescent="0.3">
      <c r="A128" s="4" t="str">
        <f>IF(T128="","",IFERROR(INDEX(激励事件明细!$C$2:$C$501,MATCH(T128,激励事件明细!$A$2:$A$501,0)),""))</f>
        <v/>
      </c>
      <c r="B128" s="4" t="str">
        <f>IF(A128="","",IFERROR(INDEX(激励事件明细!$D$2:$D$501,MATCH(T128,激励事件明细!$A$2:$A$501,0)),""))</f>
        <v/>
      </c>
      <c r="C128" s="4" t="str">
        <f>IF(A128="","",IFERROR(INDEX(激励事件明细!$H$2:$H$501,MATCH(T128,激励事件明细!$A$2:$A$501,0)),""))</f>
        <v/>
      </c>
      <c r="D128" s="9"/>
      <c r="E128" s="9"/>
      <c r="F128" s="15" t="str">
        <f>IF(A128="","",IFERROR(INDEX(激励事件明细!$AA$2:$AA$501,MATCH(T128,激励事件明细!$A$2:$A$501,0)),""))</f>
        <v/>
      </c>
      <c r="G128" s="17" t="str">
        <f>IF(A128="","",IFERROR(INDEX(激励事件明细!$AB$2:$AB$501,MATCH(T128,激励事件明细!$A$2:$A$501,0)),""))</f>
        <v/>
      </c>
      <c r="H128" s="17" t="str">
        <f>IF(A128="","",IFERROR(INDEX(激励事件明细!$AC$2:$AC$501,MATCH(T128,激励事件明细!$A$2:$A$501,0)),""))</f>
        <v/>
      </c>
      <c r="I128" s="13"/>
      <c r="J128" s="14"/>
      <c r="K128" s="14"/>
      <c r="L128" s="9"/>
      <c r="M128" s="15" t="str">
        <f t="shared" si="6"/>
        <v/>
      </c>
      <c r="N128" s="15" t="str">
        <f t="shared" si="7"/>
        <v/>
      </c>
      <c r="O128" s="4" t="str">
        <f t="shared" ca="1" si="8"/>
        <v/>
      </c>
      <c r="P128" s="17" t="str">
        <f>IF(A128="","",IFERROR(IF(INDEX(激励事件明细!$P$2:$P$501,MATCH(T128,激励事件明细!$A$2:$A$501,0))=0,"",INDEX(激励事件明细!$P$2:$P$501,MATCH(T128,激励事件明细!$A$2:$A$501,0))),""))</f>
        <v/>
      </c>
      <c r="Q128" s="4" t="str">
        <f t="shared" si="9"/>
        <v>无效</v>
      </c>
      <c r="R128" s="4" t="str">
        <f t="shared" ca="1" si="10"/>
        <v>异常：必须关联有效事件编号或税额批次</v>
      </c>
      <c r="S128" s="9"/>
      <c r="T128" s="4" t="str">
        <f>IF(D128&lt;&gt;"",IF(COUNTIF(激励事件明细!$A$2:$A$501,D128)=1,D128,""),IF(E128&lt;&gt;"",IFERROR(INDEX(激励事件明细!$A$2:$A$501,MATCH(E128,激励事件明细!$B$2:$B$501,0)),""),""))</f>
        <v/>
      </c>
      <c r="U128" s="4" t="str">
        <f>IF(T128="","",IFERROR(INDEX(激励事件明细!$B$2:$B$501,MATCH(T128,激励事件明细!$A$2:$A$501,0)),""))</f>
        <v/>
      </c>
      <c r="V128" s="4" t="str">
        <f>IF(A128="","",COUNTIF($A$2:A128,A128))</f>
        <v/>
      </c>
      <c r="W128" s="4" t="str">
        <f t="shared" si="11"/>
        <v/>
      </c>
    </row>
    <row r="129" spans="1:23" x14ac:dyDescent="0.3">
      <c r="A129" s="4" t="str">
        <f>IF(T129="","",IFERROR(INDEX(激励事件明细!$C$2:$C$501,MATCH(T129,激励事件明细!$A$2:$A$501,0)),""))</f>
        <v/>
      </c>
      <c r="B129" s="4" t="str">
        <f>IF(A129="","",IFERROR(INDEX(激励事件明细!$D$2:$D$501,MATCH(T129,激励事件明细!$A$2:$A$501,0)),""))</f>
        <v/>
      </c>
      <c r="C129" s="4" t="str">
        <f>IF(A129="","",IFERROR(INDEX(激励事件明细!$H$2:$H$501,MATCH(T129,激励事件明细!$A$2:$A$501,0)),""))</f>
        <v/>
      </c>
      <c r="D129" s="9"/>
      <c r="E129" s="9"/>
      <c r="F129" s="15" t="str">
        <f>IF(A129="","",IFERROR(INDEX(激励事件明细!$AA$2:$AA$501,MATCH(T129,激励事件明细!$A$2:$A$501,0)),""))</f>
        <v/>
      </c>
      <c r="G129" s="17" t="str">
        <f>IF(A129="","",IFERROR(INDEX(激励事件明细!$AB$2:$AB$501,MATCH(T129,激励事件明细!$A$2:$A$501,0)),""))</f>
        <v/>
      </c>
      <c r="H129" s="17" t="str">
        <f>IF(A129="","",IFERROR(INDEX(激励事件明细!$AC$2:$AC$501,MATCH(T129,激励事件明细!$A$2:$A$501,0)),""))</f>
        <v/>
      </c>
      <c r="I129" s="13"/>
      <c r="J129" s="14"/>
      <c r="K129" s="14"/>
      <c r="L129" s="9"/>
      <c r="M129" s="15" t="str">
        <f t="shared" si="6"/>
        <v/>
      </c>
      <c r="N129" s="15" t="str">
        <f t="shared" si="7"/>
        <v/>
      </c>
      <c r="O129" s="4" t="str">
        <f t="shared" ca="1" si="8"/>
        <v/>
      </c>
      <c r="P129" s="17" t="str">
        <f>IF(A129="","",IFERROR(IF(INDEX(激励事件明细!$P$2:$P$501,MATCH(T129,激励事件明细!$A$2:$A$501,0))=0,"",INDEX(激励事件明细!$P$2:$P$501,MATCH(T129,激励事件明细!$A$2:$A$501,0))),""))</f>
        <v/>
      </c>
      <c r="Q129" s="4" t="str">
        <f t="shared" si="9"/>
        <v>无效</v>
      </c>
      <c r="R129" s="4" t="str">
        <f t="shared" ca="1" si="10"/>
        <v>异常：必须关联有效事件编号或税额批次</v>
      </c>
      <c r="S129" s="9"/>
      <c r="T129" s="4" t="str">
        <f>IF(D129&lt;&gt;"",IF(COUNTIF(激励事件明细!$A$2:$A$501,D129)=1,D129,""),IF(E129&lt;&gt;"",IFERROR(INDEX(激励事件明细!$A$2:$A$501,MATCH(E129,激励事件明细!$B$2:$B$501,0)),""),""))</f>
        <v/>
      </c>
      <c r="U129" s="4" t="str">
        <f>IF(T129="","",IFERROR(INDEX(激励事件明细!$B$2:$B$501,MATCH(T129,激励事件明细!$A$2:$A$501,0)),""))</f>
        <v/>
      </c>
      <c r="V129" s="4" t="str">
        <f>IF(A129="","",COUNTIF($A$2:A129,A129))</f>
        <v/>
      </c>
      <c r="W129" s="4" t="str">
        <f t="shared" si="11"/>
        <v/>
      </c>
    </row>
    <row r="130" spans="1:23" x14ac:dyDescent="0.3">
      <c r="A130" s="4" t="str">
        <f>IF(T130="","",IFERROR(INDEX(激励事件明细!$C$2:$C$501,MATCH(T130,激励事件明细!$A$2:$A$501,0)),""))</f>
        <v/>
      </c>
      <c r="B130" s="4" t="str">
        <f>IF(A130="","",IFERROR(INDEX(激励事件明细!$D$2:$D$501,MATCH(T130,激励事件明细!$A$2:$A$501,0)),""))</f>
        <v/>
      </c>
      <c r="C130" s="4" t="str">
        <f>IF(A130="","",IFERROR(INDEX(激励事件明细!$H$2:$H$501,MATCH(T130,激励事件明细!$A$2:$A$501,0)),""))</f>
        <v/>
      </c>
      <c r="D130" s="9"/>
      <c r="E130" s="9"/>
      <c r="F130" s="15" t="str">
        <f>IF(A130="","",IFERROR(INDEX(激励事件明细!$AA$2:$AA$501,MATCH(T130,激励事件明细!$A$2:$A$501,0)),""))</f>
        <v/>
      </c>
      <c r="G130" s="17" t="str">
        <f>IF(A130="","",IFERROR(INDEX(激励事件明细!$AB$2:$AB$501,MATCH(T130,激励事件明细!$A$2:$A$501,0)),""))</f>
        <v/>
      </c>
      <c r="H130" s="17" t="str">
        <f>IF(A130="","",IFERROR(INDEX(激励事件明细!$AC$2:$AC$501,MATCH(T130,激励事件明细!$A$2:$A$501,0)),""))</f>
        <v/>
      </c>
      <c r="I130" s="13"/>
      <c r="J130" s="14"/>
      <c r="K130" s="14"/>
      <c r="L130" s="9"/>
      <c r="M130" s="15" t="str">
        <f t="shared" ref="M130:M193" si="12">IF(T130="","",SUMIFS($K$2:$K$501,$T$2:$T$501,T130,$Q$2:$Q$501,"有效"))</f>
        <v/>
      </c>
      <c r="N130" s="15" t="str">
        <f t="shared" ref="N130:N193" si="13">IF(F130="","",MAX(0,F130-M130))</f>
        <v/>
      </c>
      <c r="O130" s="4" t="str">
        <f t="shared" ref="O130:O193" ca="1" si="14">IF(A130="","",IF(AND(I130&lt;&gt;"",I130&gt;H130),"是",IF(AND(TODAY()&gt;H130,N130&gt;0),"是","否")))</f>
        <v/>
      </c>
      <c r="P130" s="17" t="str">
        <f>IF(A130="","",IFERROR(IF(INDEX(激励事件明细!$P$2:$P$501,MATCH(T130,激励事件明细!$A$2:$A$501,0))=0,"",INDEX(激励事件明细!$P$2:$P$501,MATCH(T130,激励事件明细!$A$2:$A$501,0))),""))</f>
        <v/>
      </c>
      <c r="Q130" s="4" t="str">
        <f t="shared" ref="Q130:Q193" si="15">IF(AND(D130="",E130=""),"无效",IF(T130="","无效",IF(AND(D130&lt;&gt;"",E130&lt;&gt;"",U130&lt;&gt;E130),"冲突","有效")))</f>
        <v>无效</v>
      </c>
      <c r="R130" s="4" t="str">
        <f t="shared" ref="R130:R193" ca="1" si="16">IF(Q130="冲突","异常：事件编号与税额批次冲突",IF(Q130="无效","异常：必须关联有效事件编号或税额批次",IF(AND(ISNUMBER(P130),P130&gt;0,ISNUMBER(I130),K130&gt;0,I130&gt;P130),"异常：离职后缴税",IF(M130&gt;F130,"异常：本批次超额缴税",IF(AND(I130&lt;&gt;"",I130&gt;H130),"异常：超过事件截止日",IF(AND(ISNUMBER(P130),P130&gt;0,TODAY()&gt;=P130,N130&gt;0),"异常：离职前未缴清","正常"))))))</f>
        <v>异常：必须关联有效事件编号或税额批次</v>
      </c>
      <c r="S130" s="9"/>
      <c r="T130" s="4" t="str">
        <f>IF(D130&lt;&gt;"",IF(COUNTIF(激励事件明细!$A$2:$A$501,D130)=1,D130,""),IF(E130&lt;&gt;"",IFERROR(INDEX(激励事件明细!$A$2:$A$501,MATCH(E130,激励事件明细!$B$2:$B$501,0)),""),""))</f>
        <v/>
      </c>
      <c r="U130" s="4" t="str">
        <f>IF(T130="","",IFERROR(INDEX(激励事件明细!$B$2:$B$501,MATCH(T130,激励事件明细!$A$2:$A$501,0)),""))</f>
        <v/>
      </c>
      <c r="V130" s="4" t="str">
        <f>IF(A130="","",COUNTIF($A$2:A130,A130))</f>
        <v/>
      </c>
      <c r="W130" s="4" t="str">
        <f t="shared" ref="W130:W193" si="17">IF(A130="","",A130&amp;"|"&amp;V130)</f>
        <v/>
      </c>
    </row>
    <row r="131" spans="1:23" x14ac:dyDescent="0.3">
      <c r="A131" s="4" t="str">
        <f>IF(T131="","",IFERROR(INDEX(激励事件明细!$C$2:$C$501,MATCH(T131,激励事件明细!$A$2:$A$501,0)),""))</f>
        <v/>
      </c>
      <c r="B131" s="4" t="str">
        <f>IF(A131="","",IFERROR(INDEX(激励事件明细!$D$2:$D$501,MATCH(T131,激励事件明细!$A$2:$A$501,0)),""))</f>
        <v/>
      </c>
      <c r="C131" s="4" t="str">
        <f>IF(A131="","",IFERROR(INDEX(激励事件明细!$H$2:$H$501,MATCH(T131,激励事件明细!$A$2:$A$501,0)),""))</f>
        <v/>
      </c>
      <c r="D131" s="9"/>
      <c r="E131" s="9"/>
      <c r="F131" s="15" t="str">
        <f>IF(A131="","",IFERROR(INDEX(激励事件明细!$AA$2:$AA$501,MATCH(T131,激励事件明细!$A$2:$A$501,0)),""))</f>
        <v/>
      </c>
      <c r="G131" s="17" t="str">
        <f>IF(A131="","",IFERROR(INDEX(激励事件明细!$AB$2:$AB$501,MATCH(T131,激励事件明细!$A$2:$A$501,0)),""))</f>
        <v/>
      </c>
      <c r="H131" s="17" t="str">
        <f>IF(A131="","",IFERROR(INDEX(激励事件明细!$AC$2:$AC$501,MATCH(T131,激励事件明细!$A$2:$A$501,0)),""))</f>
        <v/>
      </c>
      <c r="I131" s="13"/>
      <c r="J131" s="14"/>
      <c r="K131" s="14"/>
      <c r="L131" s="9"/>
      <c r="M131" s="15" t="str">
        <f t="shared" si="12"/>
        <v/>
      </c>
      <c r="N131" s="15" t="str">
        <f t="shared" si="13"/>
        <v/>
      </c>
      <c r="O131" s="4" t="str">
        <f t="shared" ca="1" si="14"/>
        <v/>
      </c>
      <c r="P131" s="17" t="str">
        <f>IF(A131="","",IFERROR(IF(INDEX(激励事件明细!$P$2:$P$501,MATCH(T131,激励事件明细!$A$2:$A$501,0))=0,"",INDEX(激励事件明细!$P$2:$P$501,MATCH(T131,激励事件明细!$A$2:$A$501,0))),""))</f>
        <v/>
      </c>
      <c r="Q131" s="4" t="str">
        <f t="shared" si="15"/>
        <v>无效</v>
      </c>
      <c r="R131" s="4" t="str">
        <f t="shared" ca="1" si="16"/>
        <v>异常：必须关联有效事件编号或税额批次</v>
      </c>
      <c r="S131" s="9"/>
      <c r="T131" s="4" t="str">
        <f>IF(D131&lt;&gt;"",IF(COUNTIF(激励事件明细!$A$2:$A$501,D131)=1,D131,""),IF(E131&lt;&gt;"",IFERROR(INDEX(激励事件明细!$A$2:$A$501,MATCH(E131,激励事件明细!$B$2:$B$501,0)),""),""))</f>
        <v/>
      </c>
      <c r="U131" s="4" t="str">
        <f>IF(T131="","",IFERROR(INDEX(激励事件明细!$B$2:$B$501,MATCH(T131,激励事件明细!$A$2:$A$501,0)),""))</f>
        <v/>
      </c>
      <c r="V131" s="4" t="str">
        <f>IF(A131="","",COUNTIF($A$2:A131,A131))</f>
        <v/>
      </c>
      <c r="W131" s="4" t="str">
        <f t="shared" si="17"/>
        <v/>
      </c>
    </row>
    <row r="132" spans="1:23" x14ac:dyDescent="0.3">
      <c r="A132" s="4" t="str">
        <f>IF(T132="","",IFERROR(INDEX(激励事件明细!$C$2:$C$501,MATCH(T132,激励事件明细!$A$2:$A$501,0)),""))</f>
        <v/>
      </c>
      <c r="B132" s="4" t="str">
        <f>IF(A132="","",IFERROR(INDEX(激励事件明细!$D$2:$D$501,MATCH(T132,激励事件明细!$A$2:$A$501,0)),""))</f>
        <v/>
      </c>
      <c r="C132" s="4" t="str">
        <f>IF(A132="","",IFERROR(INDEX(激励事件明细!$H$2:$H$501,MATCH(T132,激励事件明细!$A$2:$A$501,0)),""))</f>
        <v/>
      </c>
      <c r="D132" s="9"/>
      <c r="E132" s="9"/>
      <c r="F132" s="15" t="str">
        <f>IF(A132="","",IFERROR(INDEX(激励事件明细!$AA$2:$AA$501,MATCH(T132,激励事件明细!$A$2:$A$501,0)),""))</f>
        <v/>
      </c>
      <c r="G132" s="17" t="str">
        <f>IF(A132="","",IFERROR(INDEX(激励事件明细!$AB$2:$AB$501,MATCH(T132,激励事件明细!$A$2:$A$501,0)),""))</f>
        <v/>
      </c>
      <c r="H132" s="17" t="str">
        <f>IF(A132="","",IFERROR(INDEX(激励事件明细!$AC$2:$AC$501,MATCH(T132,激励事件明细!$A$2:$A$501,0)),""))</f>
        <v/>
      </c>
      <c r="I132" s="13"/>
      <c r="J132" s="14"/>
      <c r="K132" s="14"/>
      <c r="L132" s="9"/>
      <c r="M132" s="15" t="str">
        <f t="shared" si="12"/>
        <v/>
      </c>
      <c r="N132" s="15" t="str">
        <f t="shared" si="13"/>
        <v/>
      </c>
      <c r="O132" s="4" t="str">
        <f t="shared" ca="1" si="14"/>
        <v/>
      </c>
      <c r="P132" s="17" t="str">
        <f>IF(A132="","",IFERROR(IF(INDEX(激励事件明细!$P$2:$P$501,MATCH(T132,激励事件明细!$A$2:$A$501,0))=0,"",INDEX(激励事件明细!$P$2:$P$501,MATCH(T132,激励事件明细!$A$2:$A$501,0))),""))</f>
        <v/>
      </c>
      <c r="Q132" s="4" t="str">
        <f t="shared" si="15"/>
        <v>无效</v>
      </c>
      <c r="R132" s="4" t="str">
        <f t="shared" ca="1" si="16"/>
        <v>异常：必须关联有效事件编号或税额批次</v>
      </c>
      <c r="S132" s="9"/>
      <c r="T132" s="4" t="str">
        <f>IF(D132&lt;&gt;"",IF(COUNTIF(激励事件明细!$A$2:$A$501,D132)=1,D132,""),IF(E132&lt;&gt;"",IFERROR(INDEX(激励事件明细!$A$2:$A$501,MATCH(E132,激励事件明细!$B$2:$B$501,0)),""),""))</f>
        <v/>
      </c>
      <c r="U132" s="4" t="str">
        <f>IF(T132="","",IFERROR(INDEX(激励事件明细!$B$2:$B$501,MATCH(T132,激励事件明细!$A$2:$A$501,0)),""))</f>
        <v/>
      </c>
      <c r="V132" s="4" t="str">
        <f>IF(A132="","",COUNTIF($A$2:A132,A132))</f>
        <v/>
      </c>
      <c r="W132" s="4" t="str">
        <f t="shared" si="17"/>
        <v/>
      </c>
    </row>
    <row r="133" spans="1:23" x14ac:dyDescent="0.3">
      <c r="A133" s="4" t="str">
        <f>IF(T133="","",IFERROR(INDEX(激励事件明细!$C$2:$C$501,MATCH(T133,激励事件明细!$A$2:$A$501,0)),""))</f>
        <v/>
      </c>
      <c r="B133" s="4" t="str">
        <f>IF(A133="","",IFERROR(INDEX(激励事件明细!$D$2:$D$501,MATCH(T133,激励事件明细!$A$2:$A$501,0)),""))</f>
        <v/>
      </c>
      <c r="C133" s="4" t="str">
        <f>IF(A133="","",IFERROR(INDEX(激励事件明细!$H$2:$H$501,MATCH(T133,激励事件明细!$A$2:$A$501,0)),""))</f>
        <v/>
      </c>
      <c r="D133" s="9"/>
      <c r="E133" s="9"/>
      <c r="F133" s="15" t="str">
        <f>IF(A133="","",IFERROR(INDEX(激励事件明细!$AA$2:$AA$501,MATCH(T133,激励事件明细!$A$2:$A$501,0)),""))</f>
        <v/>
      </c>
      <c r="G133" s="17" t="str">
        <f>IF(A133="","",IFERROR(INDEX(激励事件明细!$AB$2:$AB$501,MATCH(T133,激励事件明细!$A$2:$A$501,0)),""))</f>
        <v/>
      </c>
      <c r="H133" s="17" t="str">
        <f>IF(A133="","",IFERROR(INDEX(激励事件明细!$AC$2:$AC$501,MATCH(T133,激励事件明细!$A$2:$A$501,0)),""))</f>
        <v/>
      </c>
      <c r="I133" s="13"/>
      <c r="J133" s="14"/>
      <c r="K133" s="14"/>
      <c r="L133" s="9"/>
      <c r="M133" s="15" t="str">
        <f t="shared" si="12"/>
        <v/>
      </c>
      <c r="N133" s="15" t="str">
        <f t="shared" si="13"/>
        <v/>
      </c>
      <c r="O133" s="4" t="str">
        <f t="shared" ca="1" si="14"/>
        <v/>
      </c>
      <c r="P133" s="17" t="str">
        <f>IF(A133="","",IFERROR(IF(INDEX(激励事件明细!$P$2:$P$501,MATCH(T133,激励事件明细!$A$2:$A$501,0))=0,"",INDEX(激励事件明细!$P$2:$P$501,MATCH(T133,激励事件明细!$A$2:$A$501,0))),""))</f>
        <v/>
      </c>
      <c r="Q133" s="4" t="str">
        <f t="shared" si="15"/>
        <v>无效</v>
      </c>
      <c r="R133" s="4" t="str">
        <f t="shared" ca="1" si="16"/>
        <v>异常：必须关联有效事件编号或税额批次</v>
      </c>
      <c r="S133" s="9"/>
      <c r="T133" s="4" t="str">
        <f>IF(D133&lt;&gt;"",IF(COUNTIF(激励事件明细!$A$2:$A$501,D133)=1,D133,""),IF(E133&lt;&gt;"",IFERROR(INDEX(激励事件明细!$A$2:$A$501,MATCH(E133,激励事件明细!$B$2:$B$501,0)),""),""))</f>
        <v/>
      </c>
      <c r="U133" s="4" t="str">
        <f>IF(T133="","",IFERROR(INDEX(激励事件明细!$B$2:$B$501,MATCH(T133,激励事件明细!$A$2:$A$501,0)),""))</f>
        <v/>
      </c>
      <c r="V133" s="4" t="str">
        <f>IF(A133="","",COUNTIF($A$2:A133,A133))</f>
        <v/>
      </c>
      <c r="W133" s="4" t="str">
        <f t="shared" si="17"/>
        <v/>
      </c>
    </row>
    <row r="134" spans="1:23" x14ac:dyDescent="0.3">
      <c r="A134" s="4" t="str">
        <f>IF(T134="","",IFERROR(INDEX(激励事件明细!$C$2:$C$501,MATCH(T134,激励事件明细!$A$2:$A$501,0)),""))</f>
        <v/>
      </c>
      <c r="B134" s="4" t="str">
        <f>IF(A134="","",IFERROR(INDEX(激励事件明细!$D$2:$D$501,MATCH(T134,激励事件明细!$A$2:$A$501,0)),""))</f>
        <v/>
      </c>
      <c r="C134" s="4" t="str">
        <f>IF(A134="","",IFERROR(INDEX(激励事件明细!$H$2:$H$501,MATCH(T134,激励事件明细!$A$2:$A$501,0)),""))</f>
        <v/>
      </c>
      <c r="D134" s="9"/>
      <c r="E134" s="9"/>
      <c r="F134" s="15" t="str">
        <f>IF(A134="","",IFERROR(INDEX(激励事件明细!$AA$2:$AA$501,MATCH(T134,激励事件明细!$A$2:$A$501,0)),""))</f>
        <v/>
      </c>
      <c r="G134" s="17" t="str">
        <f>IF(A134="","",IFERROR(INDEX(激励事件明细!$AB$2:$AB$501,MATCH(T134,激励事件明细!$A$2:$A$501,0)),""))</f>
        <v/>
      </c>
      <c r="H134" s="17" t="str">
        <f>IF(A134="","",IFERROR(INDEX(激励事件明细!$AC$2:$AC$501,MATCH(T134,激励事件明细!$A$2:$A$501,0)),""))</f>
        <v/>
      </c>
      <c r="I134" s="13"/>
      <c r="J134" s="14"/>
      <c r="K134" s="14"/>
      <c r="L134" s="9"/>
      <c r="M134" s="15" t="str">
        <f t="shared" si="12"/>
        <v/>
      </c>
      <c r="N134" s="15" t="str">
        <f t="shared" si="13"/>
        <v/>
      </c>
      <c r="O134" s="4" t="str">
        <f t="shared" ca="1" si="14"/>
        <v/>
      </c>
      <c r="P134" s="17" t="str">
        <f>IF(A134="","",IFERROR(IF(INDEX(激励事件明细!$P$2:$P$501,MATCH(T134,激励事件明细!$A$2:$A$501,0))=0,"",INDEX(激励事件明细!$P$2:$P$501,MATCH(T134,激励事件明细!$A$2:$A$501,0))),""))</f>
        <v/>
      </c>
      <c r="Q134" s="4" t="str">
        <f t="shared" si="15"/>
        <v>无效</v>
      </c>
      <c r="R134" s="4" t="str">
        <f t="shared" ca="1" si="16"/>
        <v>异常：必须关联有效事件编号或税额批次</v>
      </c>
      <c r="S134" s="9"/>
      <c r="T134" s="4" t="str">
        <f>IF(D134&lt;&gt;"",IF(COUNTIF(激励事件明细!$A$2:$A$501,D134)=1,D134,""),IF(E134&lt;&gt;"",IFERROR(INDEX(激励事件明细!$A$2:$A$501,MATCH(E134,激励事件明细!$B$2:$B$501,0)),""),""))</f>
        <v/>
      </c>
      <c r="U134" s="4" t="str">
        <f>IF(T134="","",IFERROR(INDEX(激励事件明细!$B$2:$B$501,MATCH(T134,激励事件明细!$A$2:$A$501,0)),""))</f>
        <v/>
      </c>
      <c r="V134" s="4" t="str">
        <f>IF(A134="","",COUNTIF($A$2:A134,A134))</f>
        <v/>
      </c>
      <c r="W134" s="4" t="str">
        <f t="shared" si="17"/>
        <v/>
      </c>
    </row>
    <row r="135" spans="1:23" x14ac:dyDescent="0.3">
      <c r="A135" s="4" t="str">
        <f>IF(T135="","",IFERROR(INDEX(激励事件明细!$C$2:$C$501,MATCH(T135,激励事件明细!$A$2:$A$501,0)),""))</f>
        <v/>
      </c>
      <c r="B135" s="4" t="str">
        <f>IF(A135="","",IFERROR(INDEX(激励事件明细!$D$2:$D$501,MATCH(T135,激励事件明细!$A$2:$A$501,0)),""))</f>
        <v/>
      </c>
      <c r="C135" s="4" t="str">
        <f>IF(A135="","",IFERROR(INDEX(激励事件明细!$H$2:$H$501,MATCH(T135,激励事件明细!$A$2:$A$501,0)),""))</f>
        <v/>
      </c>
      <c r="D135" s="9"/>
      <c r="E135" s="9"/>
      <c r="F135" s="15" t="str">
        <f>IF(A135="","",IFERROR(INDEX(激励事件明细!$AA$2:$AA$501,MATCH(T135,激励事件明细!$A$2:$A$501,0)),""))</f>
        <v/>
      </c>
      <c r="G135" s="17" t="str">
        <f>IF(A135="","",IFERROR(INDEX(激励事件明细!$AB$2:$AB$501,MATCH(T135,激励事件明细!$A$2:$A$501,0)),""))</f>
        <v/>
      </c>
      <c r="H135" s="17" t="str">
        <f>IF(A135="","",IFERROR(INDEX(激励事件明细!$AC$2:$AC$501,MATCH(T135,激励事件明细!$A$2:$A$501,0)),""))</f>
        <v/>
      </c>
      <c r="I135" s="13"/>
      <c r="J135" s="14"/>
      <c r="K135" s="14"/>
      <c r="L135" s="9"/>
      <c r="M135" s="15" t="str">
        <f t="shared" si="12"/>
        <v/>
      </c>
      <c r="N135" s="15" t="str">
        <f t="shared" si="13"/>
        <v/>
      </c>
      <c r="O135" s="4" t="str">
        <f t="shared" ca="1" si="14"/>
        <v/>
      </c>
      <c r="P135" s="17" t="str">
        <f>IF(A135="","",IFERROR(IF(INDEX(激励事件明细!$P$2:$P$501,MATCH(T135,激励事件明细!$A$2:$A$501,0))=0,"",INDEX(激励事件明细!$P$2:$P$501,MATCH(T135,激励事件明细!$A$2:$A$501,0))),""))</f>
        <v/>
      </c>
      <c r="Q135" s="4" t="str">
        <f t="shared" si="15"/>
        <v>无效</v>
      </c>
      <c r="R135" s="4" t="str">
        <f t="shared" ca="1" si="16"/>
        <v>异常：必须关联有效事件编号或税额批次</v>
      </c>
      <c r="S135" s="9"/>
      <c r="T135" s="4" t="str">
        <f>IF(D135&lt;&gt;"",IF(COUNTIF(激励事件明细!$A$2:$A$501,D135)=1,D135,""),IF(E135&lt;&gt;"",IFERROR(INDEX(激励事件明细!$A$2:$A$501,MATCH(E135,激励事件明细!$B$2:$B$501,0)),""),""))</f>
        <v/>
      </c>
      <c r="U135" s="4" t="str">
        <f>IF(T135="","",IFERROR(INDEX(激励事件明细!$B$2:$B$501,MATCH(T135,激励事件明细!$A$2:$A$501,0)),""))</f>
        <v/>
      </c>
      <c r="V135" s="4" t="str">
        <f>IF(A135="","",COUNTIF($A$2:A135,A135))</f>
        <v/>
      </c>
      <c r="W135" s="4" t="str">
        <f t="shared" si="17"/>
        <v/>
      </c>
    </row>
    <row r="136" spans="1:23" x14ac:dyDescent="0.3">
      <c r="A136" s="4" t="str">
        <f>IF(T136="","",IFERROR(INDEX(激励事件明细!$C$2:$C$501,MATCH(T136,激励事件明细!$A$2:$A$501,0)),""))</f>
        <v/>
      </c>
      <c r="B136" s="4" t="str">
        <f>IF(A136="","",IFERROR(INDEX(激励事件明细!$D$2:$D$501,MATCH(T136,激励事件明细!$A$2:$A$501,0)),""))</f>
        <v/>
      </c>
      <c r="C136" s="4" t="str">
        <f>IF(A136="","",IFERROR(INDEX(激励事件明细!$H$2:$H$501,MATCH(T136,激励事件明细!$A$2:$A$501,0)),""))</f>
        <v/>
      </c>
      <c r="D136" s="9"/>
      <c r="E136" s="9"/>
      <c r="F136" s="15" t="str">
        <f>IF(A136="","",IFERROR(INDEX(激励事件明细!$AA$2:$AA$501,MATCH(T136,激励事件明细!$A$2:$A$501,0)),""))</f>
        <v/>
      </c>
      <c r="G136" s="17" t="str">
        <f>IF(A136="","",IFERROR(INDEX(激励事件明细!$AB$2:$AB$501,MATCH(T136,激励事件明细!$A$2:$A$501,0)),""))</f>
        <v/>
      </c>
      <c r="H136" s="17" t="str">
        <f>IF(A136="","",IFERROR(INDEX(激励事件明细!$AC$2:$AC$501,MATCH(T136,激励事件明细!$A$2:$A$501,0)),""))</f>
        <v/>
      </c>
      <c r="I136" s="13"/>
      <c r="J136" s="14"/>
      <c r="K136" s="14"/>
      <c r="L136" s="9"/>
      <c r="M136" s="15" t="str">
        <f t="shared" si="12"/>
        <v/>
      </c>
      <c r="N136" s="15" t="str">
        <f t="shared" si="13"/>
        <v/>
      </c>
      <c r="O136" s="4" t="str">
        <f t="shared" ca="1" si="14"/>
        <v/>
      </c>
      <c r="P136" s="17" t="str">
        <f>IF(A136="","",IFERROR(IF(INDEX(激励事件明细!$P$2:$P$501,MATCH(T136,激励事件明细!$A$2:$A$501,0))=0,"",INDEX(激励事件明细!$P$2:$P$501,MATCH(T136,激励事件明细!$A$2:$A$501,0))),""))</f>
        <v/>
      </c>
      <c r="Q136" s="4" t="str">
        <f t="shared" si="15"/>
        <v>无效</v>
      </c>
      <c r="R136" s="4" t="str">
        <f t="shared" ca="1" si="16"/>
        <v>异常：必须关联有效事件编号或税额批次</v>
      </c>
      <c r="S136" s="9"/>
      <c r="T136" s="4" t="str">
        <f>IF(D136&lt;&gt;"",IF(COUNTIF(激励事件明细!$A$2:$A$501,D136)=1,D136,""),IF(E136&lt;&gt;"",IFERROR(INDEX(激励事件明细!$A$2:$A$501,MATCH(E136,激励事件明细!$B$2:$B$501,0)),""),""))</f>
        <v/>
      </c>
      <c r="U136" s="4" t="str">
        <f>IF(T136="","",IFERROR(INDEX(激励事件明细!$B$2:$B$501,MATCH(T136,激励事件明细!$A$2:$A$501,0)),""))</f>
        <v/>
      </c>
      <c r="V136" s="4" t="str">
        <f>IF(A136="","",COUNTIF($A$2:A136,A136))</f>
        <v/>
      </c>
      <c r="W136" s="4" t="str">
        <f t="shared" si="17"/>
        <v/>
      </c>
    </row>
    <row r="137" spans="1:23" x14ac:dyDescent="0.3">
      <c r="A137" s="4" t="str">
        <f>IF(T137="","",IFERROR(INDEX(激励事件明细!$C$2:$C$501,MATCH(T137,激励事件明细!$A$2:$A$501,0)),""))</f>
        <v/>
      </c>
      <c r="B137" s="4" t="str">
        <f>IF(A137="","",IFERROR(INDEX(激励事件明细!$D$2:$D$501,MATCH(T137,激励事件明细!$A$2:$A$501,0)),""))</f>
        <v/>
      </c>
      <c r="C137" s="4" t="str">
        <f>IF(A137="","",IFERROR(INDEX(激励事件明细!$H$2:$H$501,MATCH(T137,激励事件明细!$A$2:$A$501,0)),""))</f>
        <v/>
      </c>
      <c r="D137" s="9"/>
      <c r="E137" s="9"/>
      <c r="F137" s="15" t="str">
        <f>IF(A137="","",IFERROR(INDEX(激励事件明细!$AA$2:$AA$501,MATCH(T137,激励事件明细!$A$2:$A$501,0)),""))</f>
        <v/>
      </c>
      <c r="G137" s="17" t="str">
        <f>IF(A137="","",IFERROR(INDEX(激励事件明细!$AB$2:$AB$501,MATCH(T137,激励事件明细!$A$2:$A$501,0)),""))</f>
        <v/>
      </c>
      <c r="H137" s="17" t="str">
        <f>IF(A137="","",IFERROR(INDEX(激励事件明细!$AC$2:$AC$501,MATCH(T137,激励事件明细!$A$2:$A$501,0)),""))</f>
        <v/>
      </c>
      <c r="I137" s="13"/>
      <c r="J137" s="14"/>
      <c r="K137" s="14"/>
      <c r="L137" s="9"/>
      <c r="M137" s="15" t="str">
        <f t="shared" si="12"/>
        <v/>
      </c>
      <c r="N137" s="15" t="str">
        <f t="shared" si="13"/>
        <v/>
      </c>
      <c r="O137" s="4" t="str">
        <f t="shared" ca="1" si="14"/>
        <v/>
      </c>
      <c r="P137" s="17" t="str">
        <f>IF(A137="","",IFERROR(IF(INDEX(激励事件明细!$P$2:$P$501,MATCH(T137,激励事件明细!$A$2:$A$501,0))=0,"",INDEX(激励事件明细!$P$2:$P$501,MATCH(T137,激励事件明细!$A$2:$A$501,0))),""))</f>
        <v/>
      </c>
      <c r="Q137" s="4" t="str">
        <f t="shared" si="15"/>
        <v>无效</v>
      </c>
      <c r="R137" s="4" t="str">
        <f t="shared" ca="1" si="16"/>
        <v>异常：必须关联有效事件编号或税额批次</v>
      </c>
      <c r="S137" s="9"/>
      <c r="T137" s="4" t="str">
        <f>IF(D137&lt;&gt;"",IF(COUNTIF(激励事件明细!$A$2:$A$501,D137)=1,D137,""),IF(E137&lt;&gt;"",IFERROR(INDEX(激励事件明细!$A$2:$A$501,MATCH(E137,激励事件明细!$B$2:$B$501,0)),""),""))</f>
        <v/>
      </c>
      <c r="U137" s="4" t="str">
        <f>IF(T137="","",IFERROR(INDEX(激励事件明细!$B$2:$B$501,MATCH(T137,激励事件明细!$A$2:$A$501,0)),""))</f>
        <v/>
      </c>
      <c r="V137" s="4" t="str">
        <f>IF(A137="","",COUNTIF($A$2:A137,A137))</f>
        <v/>
      </c>
      <c r="W137" s="4" t="str">
        <f t="shared" si="17"/>
        <v/>
      </c>
    </row>
    <row r="138" spans="1:23" x14ac:dyDescent="0.3">
      <c r="A138" s="4" t="str">
        <f>IF(T138="","",IFERROR(INDEX(激励事件明细!$C$2:$C$501,MATCH(T138,激励事件明细!$A$2:$A$501,0)),""))</f>
        <v/>
      </c>
      <c r="B138" s="4" t="str">
        <f>IF(A138="","",IFERROR(INDEX(激励事件明细!$D$2:$D$501,MATCH(T138,激励事件明细!$A$2:$A$501,0)),""))</f>
        <v/>
      </c>
      <c r="C138" s="4" t="str">
        <f>IF(A138="","",IFERROR(INDEX(激励事件明细!$H$2:$H$501,MATCH(T138,激励事件明细!$A$2:$A$501,0)),""))</f>
        <v/>
      </c>
      <c r="D138" s="9"/>
      <c r="E138" s="9"/>
      <c r="F138" s="15" t="str">
        <f>IF(A138="","",IFERROR(INDEX(激励事件明细!$AA$2:$AA$501,MATCH(T138,激励事件明细!$A$2:$A$501,0)),""))</f>
        <v/>
      </c>
      <c r="G138" s="17" t="str">
        <f>IF(A138="","",IFERROR(INDEX(激励事件明细!$AB$2:$AB$501,MATCH(T138,激励事件明细!$A$2:$A$501,0)),""))</f>
        <v/>
      </c>
      <c r="H138" s="17" t="str">
        <f>IF(A138="","",IFERROR(INDEX(激励事件明细!$AC$2:$AC$501,MATCH(T138,激励事件明细!$A$2:$A$501,0)),""))</f>
        <v/>
      </c>
      <c r="I138" s="13"/>
      <c r="J138" s="14"/>
      <c r="K138" s="14"/>
      <c r="L138" s="9"/>
      <c r="M138" s="15" t="str">
        <f t="shared" si="12"/>
        <v/>
      </c>
      <c r="N138" s="15" t="str">
        <f t="shared" si="13"/>
        <v/>
      </c>
      <c r="O138" s="4" t="str">
        <f t="shared" ca="1" si="14"/>
        <v/>
      </c>
      <c r="P138" s="17" t="str">
        <f>IF(A138="","",IFERROR(IF(INDEX(激励事件明细!$P$2:$P$501,MATCH(T138,激励事件明细!$A$2:$A$501,0))=0,"",INDEX(激励事件明细!$P$2:$P$501,MATCH(T138,激励事件明细!$A$2:$A$501,0))),""))</f>
        <v/>
      </c>
      <c r="Q138" s="4" t="str">
        <f t="shared" si="15"/>
        <v>无效</v>
      </c>
      <c r="R138" s="4" t="str">
        <f t="shared" ca="1" si="16"/>
        <v>异常：必须关联有效事件编号或税额批次</v>
      </c>
      <c r="S138" s="9"/>
      <c r="T138" s="4" t="str">
        <f>IF(D138&lt;&gt;"",IF(COUNTIF(激励事件明细!$A$2:$A$501,D138)=1,D138,""),IF(E138&lt;&gt;"",IFERROR(INDEX(激励事件明细!$A$2:$A$501,MATCH(E138,激励事件明细!$B$2:$B$501,0)),""),""))</f>
        <v/>
      </c>
      <c r="U138" s="4" t="str">
        <f>IF(T138="","",IFERROR(INDEX(激励事件明细!$B$2:$B$501,MATCH(T138,激励事件明细!$A$2:$A$501,0)),""))</f>
        <v/>
      </c>
      <c r="V138" s="4" t="str">
        <f>IF(A138="","",COUNTIF($A$2:A138,A138))</f>
        <v/>
      </c>
      <c r="W138" s="4" t="str">
        <f t="shared" si="17"/>
        <v/>
      </c>
    </row>
    <row r="139" spans="1:23" x14ac:dyDescent="0.3">
      <c r="A139" s="4" t="str">
        <f>IF(T139="","",IFERROR(INDEX(激励事件明细!$C$2:$C$501,MATCH(T139,激励事件明细!$A$2:$A$501,0)),""))</f>
        <v/>
      </c>
      <c r="B139" s="4" t="str">
        <f>IF(A139="","",IFERROR(INDEX(激励事件明细!$D$2:$D$501,MATCH(T139,激励事件明细!$A$2:$A$501,0)),""))</f>
        <v/>
      </c>
      <c r="C139" s="4" t="str">
        <f>IF(A139="","",IFERROR(INDEX(激励事件明细!$H$2:$H$501,MATCH(T139,激励事件明细!$A$2:$A$501,0)),""))</f>
        <v/>
      </c>
      <c r="D139" s="9"/>
      <c r="E139" s="9"/>
      <c r="F139" s="15" t="str">
        <f>IF(A139="","",IFERROR(INDEX(激励事件明细!$AA$2:$AA$501,MATCH(T139,激励事件明细!$A$2:$A$501,0)),""))</f>
        <v/>
      </c>
      <c r="G139" s="17" t="str">
        <f>IF(A139="","",IFERROR(INDEX(激励事件明细!$AB$2:$AB$501,MATCH(T139,激励事件明细!$A$2:$A$501,0)),""))</f>
        <v/>
      </c>
      <c r="H139" s="17" t="str">
        <f>IF(A139="","",IFERROR(INDEX(激励事件明细!$AC$2:$AC$501,MATCH(T139,激励事件明细!$A$2:$A$501,0)),""))</f>
        <v/>
      </c>
      <c r="I139" s="13"/>
      <c r="J139" s="14"/>
      <c r="K139" s="14"/>
      <c r="L139" s="9"/>
      <c r="M139" s="15" t="str">
        <f t="shared" si="12"/>
        <v/>
      </c>
      <c r="N139" s="15" t="str">
        <f t="shared" si="13"/>
        <v/>
      </c>
      <c r="O139" s="4" t="str">
        <f t="shared" ca="1" si="14"/>
        <v/>
      </c>
      <c r="P139" s="17" t="str">
        <f>IF(A139="","",IFERROR(IF(INDEX(激励事件明细!$P$2:$P$501,MATCH(T139,激励事件明细!$A$2:$A$501,0))=0,"",INDEX(激励事件明细!$P$2:$P$501,MATCH(T139,激励事件明细!$A$2:$A$501,0))),""))</f>
        <v/>
      </c>
      <c r="Q139" s="4" t="str">
        <f t="shared" si="15"/>
        <v>无效</v>
      </c>
      <c r="R139" s="4" t="str">
        <f t="shared" ca="1" si="16"/>
        <v>异常：必须关联有效事件编号或税额批次</v>
      </c>
      <c r="S139" s="9"/>
      <c r="T139" s="4" t="str">
        <f>IF(D139&lt;&gt;"",IF(COUNTIF(激励事件明细!$A$2:$A$501,D139)=1,D139,""),IF(E139&lt;&gt;"",IFERROR(INDEX(激励事件明细!$A$2:$A$501,MATCH(E139,激励事件明细!$B$2:$B$501,0)),""),""))</f>
        <v/>
      </c>
      <c r="U139" s="4" t="str">
        <f>IF(T139="","",IFERROR(INDEX(激励事件明细!$B$2:$B$501,MATCH(T139,激励事件明细!$A$2:$A$501,0)),""))</f>
        <v/>
      </c>
      <c r="V139" s="4" t="str">
        <f>IF(A139="","",COUNTIF($A$2:A139,A139))</f>
        <v/>
      </c>
      <c r="W139" s="4" t="str">
        <f t="shared" si="17"/>
        <v/>
      </c>
    </row>
    <row r="140" spans="1:23" x14ac:dyDescent="0.3">
      <c r="A140" s="4" t="str">
        <f>IF(T140="","",IFERROR(INDEX(激励事件明细!$C$2:$C$501,MATCH(T140,激励事件明细!$A$2:$A$501,0)),""))</f>
        <v/>
      </c>
      <c r="B140" s="4" t="str">
        <f>IF(A140="","",IFERROR(INDEX(激励事件明细!$D$2:$D$501,MATCH(T140,激励事件明细!$A$2:$A$501,0)),""))</f>
        <v/>
      </c>
      <c r="C140" s="4" t="str">
        <f>IF(A140="","",IFERROR(INDEX(激励事件明细!$H$2:$H$501,MATCH(T140,激励事件明细!$A$2:$A$501,0)),""))</f>
        <v/>
      </c>
      <c r="D140" s="9"/>
      <c r="E140" s="9"/>
      <c r="F140" s="15" t="str">
        <f>IF(A140="","",IFERROR(INDEX(激励事件明细!$AA$2:$AA$501,MATCH(T140,激励事件明细!$A$2:$A$501,0)),""))</f>
        <v/>
      </c>
      <c r="G140" s="17" t="str">
        <f>IF(A140="","",IFERROR(INDEX(激励事件明细!$AB$2:$AB$501,MATCH(T140,激励事件明细!$A$2:$A$501,0)),""))</f>
        <v/>
      </c>
      <c r="H140" s="17" t="str">
        <f>IF(A140="","",IFERROR(INDEX(激励事件明细!$AC$2:$AC$501,MATCH(T140,激励事件明细!$A$2:$A$501,0)),""))</f>
        <v/>
      </c>
      <c r="I140" s="13"/>
      <c r="J140" s="14"/>
      <c r="K140" s="14"/>
      <c r="L140" s="9"/>
      <c r="M140" s="15" t="str">
        <f t="shared" si="12"/>
        <v/>
      </c>
      <c r="N140" s="15" t="str">
        <f t="shared" si="13"/>
        <v/>
      </c>
      <c r="O140" s="4" t="str">
        <f t="shared" ca="1" si="14"/>
        <v/>
      </c>
      <c r="P140" s="17" t="str">
        <f>IF(A140="","",IFERROR(IF(INDEX(激励事件明细!$P$2:$P$501,MATCH(T140,激励事件明细!$A$2:$A$501,0))=0,"",INDEX(激励事件明细!$P$2:$P$501,MATCH(T140,激励事件明细!$A$2:$A$501,0))),""))</f>
        <v/>
      </c>
      <c r="Q140" s="4" t="str">
        <f t="shared" si="15"/>
        <v>无效</v>
      </c>
      <c r="R140" s="4" t="str">
        <f t="shared" ca="1" si="16"/>
        <v>异常：必须关联有效事件编号或税额批次</v>
      </c>
      <c r="S140" s="9"/>
      <c r="T140" s="4" t="str">
        <f>IF(D140&lt;&gt;"",IF(COUNTIF(激励事件明细!$A$2:$A$501,D140)=1,D140,""),IF(E140&lt;&gt;"",IFERROR(INDEX(激励事件明细!$A$2:$A$501,MATCH(E140,激励事件明细!$B$2:$B$501,0)),""),""))</f>
        <v/>
      </c>
      <c r="U140" s="4" t="str">
        <f>IF(T140="","",IFERROR(INDEX(激励事件明细!$B$2:$B$501,MATCH(T140,激励事件明细!$A$2:$A$501,0)),""))</f>
        <v/>
      </c>
      <c r="V140" s="4" t="str">
        <f>IF(A140="","",COUNTIF($A$2:A140,A140))</f>
        <v/>
      </c>
      <c r="W140" s="4" t="str">
        <f t="shared" si="17"/>
        <v/>
      </c>
    </row>
    <row r="141" spans="1:23" x14ac:dyDescent="0.3">
      <c r="A141" s="4" t="str">
        <f>IF(T141="","",IFERROR(INDEX(激励事件明细!$C$2:$C$501,MATCH(T141,激励事件明细!$A$2:$A$501,0)),""))</f>
        <v/>
      </c>
      <c r="B141" s="4" t="str">
        <f>IF(A141="","",IFERROR(INDEX(激励事件明细!$D$2:$D$501,MATCH(T141,激励事件明细!$A$2:$A$501,0)),""))</f>
        <v/>
      </c>
      <c r="C141" s="4" t="str">
        <f>IF(A141="","",IFERROR(INDEX(激励事件明细!$H$2:$H$501,MATCH(T141,激励事件明细!$A$2:$A$501,0)),""))</f>
        <v/>
      </c>
      <c r="D141" s="9"/>
      <c r="E141" s="9"/>
      <c r="F141" s="15" t="str">
        <f>IF(A141="","",IFERROR(INDEX(激励事件明细!$AA$2:$AA$501,MATCH(T141,激励事件明细!$A$2:$A$501,0)),""))</f>
        <v/>
      </c>
      <c r="G141" s="17" t="str">
        <f>IF(A141="","",IFERROR(INDEX(激励事件明细!$AB$2:$AB$501,MATCH(T141,激励事件明细!$A$2:$A$501,0)),""))</f>
        <v/>
      </c>
      <c r="H141" s="17" t="str">
        <f>IF(A141="","",IFERROR(INDEX(激励事件明细!$AC$2:$AC$501,MATCH(T141,激励事件明细!$A$2:$A$501,0)),""))</f>
        <v/>
      </c>
      <c r="I141" s="13"/>
      <c r="J141" s="14"/>
      <c r="K141" s="14"/>
      <c r="L141" s="9"/>
      <c r="M141" s="15" t="str">
        <f t="shared" si="12"/>
        <v/>
      </c>
      <c r="N141" s="15" t="str">
        <f t="shared" si="13"/>
        <v/>
      </c>
      <c r="O141" s="4" t="str">
        <f t="shared" ca="1" si="14"/>
        <v/>
      </c>
      <c r="P141" s="17" t="str">
        <f>IF(A141="","",IFERROR(IF(INDEX(激励事件明细!$P$2:$P$501,MATCH(T141,激励事件明细!$A$2:$A$501,0))=0,"",INDEX(激励事件明细!$P$2:$P$501,MATCH(T141,激励事件明细!$A$2:$A$501,0))),""))</f>
        <v/>
      </c>
      <c r="Q141" s="4" t="str">
        <f t="shared" si="15"/>
        <v>无效</v>
      </c>
      <c r="R141" s="4" t="str">
        <f t="shared" ca="1" si="16"/>
        <v>异常：必须关联有效事件编号或税额批次</v>
      </c>
      <c r="S141" s="9"/>
      <c r="T141" s="4" t="str">
        <f>IF(D141&lt;&gt;"",IF(COUNTIF(激励事件明细!$A$2:$A$501,D141)=1,D141,""),IF(E141&lt;&gt;"",IFERROR(INDEX(激励事件明细!$A$2:$A$501,MATCH(E141,激励事件明细!$B$2:$B$501,0)),""),""))</f>
        <v/>
      </c>
      <c r="U141" s="4" t="str">
        <f>IF(T141="","",IFERROR(INDEX(激励事件明细!$B$2:$B$501,MATCH(T141,激励事件明细!$A$2:$A$501,0)),""))</f>
        <v/>
      </c>
      <c r="V141" s="4" t="str">
        <f>IF(A141="","",COUNTIF($A$2:A141,A141))</f>
        <v/>
      </c>
      <c r="W141" s="4" t="str">
        <f t="shared" si="17"/>
        <v/>
      </c>
    </row>
    <row r="142" spans="1:23" x14ac:dyDescent="0.3">
      <c r="A142" s="4" t="str">
        <f>IF(T142="","",IFERROR(INDEX(激励事件明细!$C$2:$C$501,MATCH(T142,激励事件明细!$A$2:$A$501,0)),""))</f>
        <v/>
      </c>
      <c r="B142" s="4" t="str">
        <f>IF(A142="","",IFERROR(INDEX(激励事件明细!$D$2:$D$501,MATCH(T142,激励事件明细!$A$2:$A$501,0)),""))</f>
        <v/>
      </c>
      <c r="C142" s="4" t="str">
        <f>IF(A142="","",IFERROR(INDEX(激励事件明细!$H$2:$H$501,MATCH(T142,激励事件明细!$A$2:$A$501,0)),""))</f>
        <v/>
      </c>
      <c r="D142" s="9"/>
      <c r="E142" s="9"/>
      <c r="F142" s="15" t="str">
        <f>IF(A142="","",IFERROR(INDEX(激励事件明细!$AA$2:$AA$501,MATCH(T142,激励事件明细!$A$2:$A$501,0)),""))</f>
        <v/>
      </c>
      <c r="G142" s="17" t="str">
        <f>IF(A142="","",IFERROR(INDEX(激励事件明细!$AB$2:$AB$501,MATCH(T142,激励事件明细!$A$2:$A$501,0)),""))</f>
        <v/>
      </c>
      <c r="H142" s="17" t="str">
        <f>IF(A142="","",IFERROR(INDEX(激励事件明细!$AC$2:$AC$501,MATCH(T142,激励事件明细!$A$2:$A$501,0)),""))</f>
        <v/>
      </c>
      <c r="I142" s="13"/>
      <c r="J142" s="14"/>
      <c r="K142" s="14"/>
      <c r="L142" s="9"/>
      <c r="M142" s="15" t="str">
        <f t="shared" si="12"/>
        <v/>
      </c>
      <c r="N142" s="15" t="str">
        <f t="shared" si="13"/>
        <v/>
      </c>
      <c r="O142" s="4" t="str">
        <f t="shared" ca="1" si="14"/>
        <v/>
      </c>
      <c r="P142" s="17" t="str">
        <f>IF(A142="","",IFERROR(IF(INDEX(激励事件明细!$P$2:$P$501,MATCH(T142,激励事件明细!$A$2:$A$501,0))=0,"",INDEX(激励事件明细!$P$2:$P$501,MATCH(T142,激励事件明细!$A$2:$A$501,0))),""))</f>
        <v/>
      </c>
      <c r="Q142" s="4" t="str">
        <f t="shared" si="15"/>
        <v>无效</v>
      </c>
      <c r="R142" s="4" t="str">
        <f t="shared" ca="1" si="16"/>
        <v>异常：必须关联有效事件编号或税额批次</v>
      </c>
      <c r="S142" s="9"/>
      <c r="T142" s="4" t="str">
        <f>IF(D142&lt;&gt;"",IF(COUNTIF(激励事件明细!$A$2:$A$501,D142)=1,D142,""),IF(E142&lt;&gt;"",IFERROR(INDEX(激励事件明细!$A$2:$A$501,MATCH(E142,激励事件明细!$B$2:$B$501,0)),""),""))</f>
        <v/>
      </c>
      <c r="U142" s="4" t="str">
        <f>IF(T142="","",IFERROR(INDEX(激励事件明细!$B$2:$B$501,MATCH(T142,激励事件明细!$A$2:$A$501,0)),""))</f>
        <v/>
      </c>
      <c r="V142" s="4" t="str">
        <f>IF(A142="","",COUNTIF($A$2:A142,A142))</f>
        <v/>
      </c>
      <c r="W142" s="4" t="str">
        <f t="shared" si="17"/>
        <v/>
      </c>
    </row>
    <row r="143" spans="1:23" x14ac:dyDescent="0.3">
      <c r="A143" s="4" t="str">
        <f>IF(T143="","",IFERROR(INDEX(激励事件明细!$C$2:$C$501,MATCH(T143,激励事件明细!$A$2:$A$501,0)),""))</f>
        <v/>
      </c>
      <c r="B143" s="4" t="str">
        <f>IF(A143="","",IFERROR(INDEX(激励事件明细!$D$2:$D$501,MATCH(T143,激励事件明细!$A$2:$A$501,0)),""))</f>
        <v/>
      </c>
      <c r="C143" s="4" t="str">
        <f>IF(A143="","",IFERROR(INDEX(激励事件明细!$H$2:$H$501,MATCH(T143,激励事件明细!$A$2:$A$501,0)),""))</f>
        <v/>
      </c>
      <c r="D143" s="9"/>
      <c r="E143" s="9"/>
      <c r="F143" s="15" t="str">
        <f>IF(A143="","",IFERROR(INDEX(激励事件明细!$AA$2:$AA$501,MATCH(T143,激励事件明细!$A$2:$A$501,0)),""))</f>
        <v/>
      </c>
      <c r="G143" s="17" t="str">
        <f>IF(A143="","",IFERROR(INDEX(激励事件明细!$AB$2:$AB$501,MATCH(T143,激励事件明细!$A$2:$A$501,0)),""))</f>
        <v/>
      </c>
      <c r="H143" s="17" t="str">
        <f>IF(A143="","",IFERROR(INDEX(激励事件明细!$AC$2:$AC$501,MATCH(T143,激励事件明细!$A$2:$A$501,0)),""))</f>
        <v/>
      </c>
      <c r="I143" s="13"/>
      <c r="J143" s="14"/>
      <c r="K143" s="14"/>
      <c r="L143" s="9"/>
      <c r="M143" s="15" t="str">
        <f t="shared" si="12"/>
        <v/>
      </c>
      <c r="N143" s="15" t="str">
        <f t="shared" si="13"/>
        <v/>
      </c>
      <c r="O143" s="4" t="str">
        <f t="shared" ca="1" si="14"/>
        <v/>
      </c>
      <c r="P143" s="17" t="str">
        <f>IF(A143="","",IFERROR(IF(INDEX(激励事件明细!$P$2:$P$501,MATCH(T143,激励事件明细!$A$2:$A$501,0))=0,"",INDEX(激励事件明细!$P$2:$P$501,MATCH(T143,激励事件明细!$A$2:$A$501,0))),""))</f>
        <v/>
      </c>
      <c r="Q143" s="4" t="str">
        <f t="shared" si="15"/>
        <v>无效</v>
      </c>
      <c r="R143" s="4" t="str">
        <f t="shared" ca="1" si="16"/>
        <v>异常：必须关联有效事件编号或税额批次</v>
      </c>
      <c r="S143" s="9"/>
      <c r="T143" s="4" t="str">
        <f>IF(D143&lt;&gt;"",IF(COUNTIF(激励事件明细!$A$2:$A$501,D143)=1,D143,""),IF(E143&lt;&gt;"",IFERROR(INDEX(激励事件明细!$A$2:$A$501,MATCH(E143,激励事件明细!$B$2:$B$501,0)),""),""))</f>
        <v/>
      </c>
      <c r="U143" s="4" t="str">
        <f>IF(T143="","",IFERROR(INDEX(激励事件明细!$B$2:$B$501,MATCH(T143,激励事件明细!$A$2:$A$501,0)),""))</f>
        <v/>
      </c>
      <c r="V143" s="4" t="str">
        <f>IF(A143="","",COUNTIF($A$2:A143,A143))</f>
        <v/>
      </c>
      <c r="W143" s="4" t="str">
        <f t="shared" si="17"/>
        <v/>
      </c>
    </row>
    <row r="144" spans="1:23" x14ac:dyDescent="0.3">
      <c r="A144" s="4" t="str">
        <f>IF(T144="","",IFERROR(INDEX(激励事件明细!$C$2:$C$501,MATCH(T144,激励事件明细!$A$2:$A$501,0)),""))</f>
        <v/>
      </c>
      <c r="B144" s="4" t="str">
        <f>IF(A144="","",IFERROR(INDEX(激励事件明细!$D$2:$D$501,MATCH(T144,激励事件明细!$A$2:$A$501,0)),""))</f>
        <v/>
      </c>
      <c r="C144" s="4" t="str">
        <f>IF(A144="","",IFERROR(INDEX(激励事件明细!$H$2:$H$501,MATCH(T144,激励事件明细!$A$2:$A$501,0)),""))</f>
        <v/>
      </c>
      <c r="D144" s="9"/>
      <c r="E144" s="9"/>
      <c r="F144" s="15" t="str">
        <f>IF(A144="","",IFERROR(INDEX(激励事件明细!$AA$2:$AA$501,MATCH(T144,激励事件明细!$A$2:$A$501,0)),""))</f>
        <v/>
      </c>
      <c r="G144" s="17" t="str">
        <f>IF(A144="","",IFERROR(INDEX(激励事件明细!$AB$2:$AB$501,MATCH(T144,激励事件明细!$A$2:$A$501,0)),""))</f>
        <v/>
      </c>
      <c r="H144" s="17" t="str">
        <f>IF(A144="","",IFERROR(INDEX(激励事件明细!$AC$2:$AC$501,MATCH(T144,激励事件明细!$A$2:$A$501,0)),""))</f>
        <v/>
      </c>
      <c r="I144" s="13"/>
      <c r="J144" s="14"/>
      <c r="K144" s="14"/>
      <c r="L144" s="9"/>
      <c r="M144" s="15" t="str">
        <f t="shared" si="12"/>
        <v/>
      </c>
      <c r="N144" s="15" t="str">
        <f t="shared" si="13"/>
        <v/>
      </c>
      <c r="O144" s="4" t="str">
        <f t="shared" ca="1" si="14"/>
        <v/>
      </c>
      <c r="P144" s="17" t="str">
        <f>IF(A144="","",IFERROR(IF(INDEX(激励事件明细!$P$2:$P$501,MATCH(T144,激励事件明细!$A$2:$A$501,0))=0,"",INDEX(激励事件明细!$P$2:$P$501,MATCH(T144,激励事件明细!$A$2:$A$501,0))),""))</f>
        <v/>
      </c>
      <c r="Q144" s="4" t="str">
        <f t="shared" si="15"/>
        <v>无效</v>
      </c>
      <c r="R144" s="4" t="str">
        <f t="shared" ca="1" si="16"/>
        <v>异常：必须关联有效事件编号或税额批次</v>
      </c>
      <c r="S144" s="9"/>
      <c r="T144" s="4" t="str">
        <f>IF(D144&lt;&gt;"",IF(COUNTIF(激励事件明细!$A$2:$A$501,D144)=1,D144,""),IF(E144&lt;&gt;"",IFERROR(INDEX(激励事件明细!$A$2:$A$501,MATCH(E144,激励事件明细!$B$2:$B$501,0)),""),""))</f>
        <v/>
      </c>
      <c r="U144" s="4" t="str">
        <f>IF(T144="","",IFERROR(INDEX(激励事件明细!$B$2:$B$501,MATCH(T144,激励事件明细!$A$2:$A$501,0)),""))</f>
        <v/>
      </c>
      <c r="V144" s="4" t="str">
        <f>IF(A144="","",COUNTIF($A$2:A144,A144))</f>
        <v/>
      </c>
      <c r="W144" s="4" t="str">
        <f t="shared" si="17"/>
        <v/>
      </c>
    </row>
    <row r="145" spans="1:23" x14ac:dyDescent="0.3">
      <c r="A145" s="4" t="str">
        <f>IF(T145="","",IFERROR(INDEX(激励事件明细!$C$2:$C$501,MATCH(T145,激励事件明细!$A$2:$A$501,0)),""))</f>
        <v/>
      </c>
      <c r="B145" s="4" t="str">
        <f>IF(A145="","",IFERROR(INDEX(激励事件明细!$D$2:$D$501,MATCH(T145,激励事件明细!$A$2:$A$501,0)),""))</f>
        <v/>
      </c>
      <c r="C145" s="4" t="str">
        <f>IF(A145="","",IFERROR(INDEX(激励事件明细!$H$2:$H$501,MATCH(T145,激励事件明细!$A$2:$A$501,0)),""))</f>
        <v/>
      </c>
      <c r="D145" s="9"/>
      <c r="E145" s="9"/>
      <c r="F145" s="15" t="str">
        <f>IF(A145="","",IFERROR(INDEX(激励事件明细!$AA$2:$AA$501,MATCH(T145,激励事件明细!$A$2:$A$501,0)),""))</f>
        <v/>
      </c>
      <c r="G145" s="17" t="str">
        <f>IF(A145="","",IFERROR(INDEX(激励事件明细!$AB$2:$AB$501,MATCH(T145,激励事件明细!$A$2:$A$501,0)),""))</f>
        <v/>
      </c>
      <c r="H145" s="17" t="str">
        <f>IF(A145="","",IFERROR(INDEX(激励事件明细!$AC$2:$AC$501,MATCH(T145,激励事件明细!$A$2:$A$501,0)),""))</f>
        <v/>
      </c>
      <c r="I145" s="13"/>
      <c r="J145" s="14"/>
      <c r="K145" s="14"/>
      <c r="L145" s="9"/>
      <c r="M145" s="15" t="str">
        <f t="shared" si="12"/>
        <v/>
      </c>
      <c r="N145" s="15" t="str">
        <f t="shared" si="13"/>
        <v/>
      </c>
      <c r="O145" s="4" t="str">
        <f t="shared" ca="1" si="14"/>
        <v/>
      </c>
      <c r="P145" s="17" t="str">
        <f>IF(A145="","",IFERROR(IF(INDEX(激励事件明细!$P$2:$P$501,MATCH(T145,激励事件明细!$A$2:$A$501,0))=0,"",INDEX(激励事件明细!$P$2:$P$501,MATCH(T145,激励事件明细!$A$2:$A$501,0))),""))</f>
        <v/>
      </c>
      <c r="Q145" s="4" t="str">
        <f t="shared" si="15"/>
        <v>无效</v>
      </c>
      <c r="R145" s="4" t="str">
        <f t="shared" ca="1" si="16"/>
        <v>异常：必须关联有效事件编号或税额批次</v>
      </c>
      <c r="S145" s="9"/>
      <c r="T145" s="4" t="str">
        <f>IF(D145&lt;&gt;"",IF(COUNTIF(激励事件明细!$A$2:$A$501,D145)=1,D145,""),IF(E145&lt;&gt;"",IFERROR(INDEX(激励事件明细!$A$2:$A$501,MATCH(E145,激励事件明细!$B$2:$B$501,0)),""),""))</f>
        <v/>
      </c>
      <c r="U145" s="4" t="str">
        <f>IF(T145="","",IFERROR(INDEX(激励事件明细!$B$2:$B$501,MATCH(T145,激励事件明细!$A$2:$A$501,0)),""))</f>
        <v/>
      </c>
      <c r="V145" s="4" t="str">
        <f>IF(A145="","",COUNTIF($A$2:A145,A145))</f>
        <v/>
      </c>
      <c r="W145" s="4" t="str">
        <f t="shared" si="17"/>
        <v/>
      </c>
    </row>
    <row r="146" spans="1:23" x14ac:dyDescent="0.3">
      <c r="A146" s="4" t="str">
        <f>IF(T146="","",IFERROR(INDEX(激励事件明细!$C$2:$C$501,MATCH(T146,激励事件明细!$A$2:$A$501,0)),""))</f>
        <v/>
      </c>
      <c r="B146" s="4" t="str">
        <f>IF(A146="","",IFERROR(INDEX(激励事件明细!$D$2:$D$501,MATCH(T146,激励事件明细!$A$2:$A$501,0)),""))</f>
        <v/>
      </c>
      <c r="C146" s="4" t="str">
        <f>IF(A146="","",IFERROR(INDEX(激励事件明细!$H$2:$H$501,MATCH(T146,激励事件明细!$A$2:$A$501,0)),""))</f>
        <v/>
      </c>
      <c r="D146" s="9"/>
      <c r="E146" s="9"/>
      <c r="F146" s="15" t="str">
        <f>IF(A146="","",IFERROR(INDEX(激励事件明细!$AA$2:$AA$501,MATCH(T146,激励事件明细!$A$2:$A$501,0)),""))</f>
        <v/>
      </c>
      <c r="G146" s="17" t="str">
        <f>IF(A146="","",IFERROR(INDEX(激励事件明细!$AB$2:$AB$501,MATCH(T146,激励事件明细!$A$2:$A$501,0)),""))</f>
        <v/>
      </c>
      <c r="H146" s="17" t="str">
        <f>IF(A146="","",IFERROR(INDEX(激励事件明细!$AC$2:$AC$501,MATCH(T146,激励事件明细!$A$2:$A$501,0)),""))</f>
        <v/>
      </c>
      <c r="I146" s="13"/>
      <c r="J146" s="14"/>
      <c r="K146" s="14"/>
      <c r="L146" s="9"/>
      <c r="M146" s="15" t="str">
        <f t="shared" si="12"/>
        <v/>
      </c>
      <c r="N146" s="15" t="str">
        <f t="shared" si="13"/>
        <v/>
      </c>
      <c r="O146" s="4" t="str">
        <f t="shared" ca="1" si="14"/>
        <v/>
      </c>
      <c r="P146" s="17" t="str">
        <f>IF(A146="","",IFERROR(IF(INDEX(激励事件明细!$P$2:$P$501,MATCH(T146,激励事件明细!$A$2:$A$501,0))=0,"",INDEX(激励事件明细!$P$2:$P$501,MATCH(T146,激励事件明细!$A$2:$A$501,0))),""))</f>
        <v/>
      </c>
      <c r="Q146" s="4" t="str">
        <f t="shared" si="15"/>
        <v>无效</v>
      </c>
      <c r="R146" s="4" t="str">
        <f t="shared" ca="1" si="16"/>
        <v>异常：必须关联有效事件编号或税额批次</v>
      </c>
      <c r="S146" s="9"/>
      <c r="T146" s="4" t="str">
        <f>IF(D146&lt;&gt;"",IF(COUNTIF(激励事件明细!$A$2:$A$501,D146)=1,D146,""),IF(E146&lt;&gt;"",IFERROR(INDEX(激励事件明细!$A$2:$A$501,MATCH(E146,激励事件明细!$B$2:$B$501,0)),""),""))</f>
        <v/>
      </c>
      <c r="U146" s="4" t="str">
        <f>IF(T146="","",IFERROR(INDEX(激励事件明细!$B$2:$B$501,MATCH(T146,激励事件明细!$A$2:$A$501,0)),""))</f>
        <v/>
      </c>
      <c r="V146" s="4" t="str">
        <f>IF(A146="","",COUNTIF($A$2:A146,A146))</f>
        <v/>
      </c>
      <c r="W146" s="4" t="str">
        <f t="shared" si="17"/>
        <v/>
      </c>
    </row>
    <row r="147" spans="1:23" x14ac:dyDescent="0.3">
      <c r="A147" s="4" t="str">
        <f>IF(T147="","",IFERROR(INDEX(激励事件明细!$C$2:$C$501,MATCH(T147,激励事件明细!$A$2:$A$501,0)),""))</f>
        <v/>
      </c>
      <c r="B147" s="4" t="str">
        <f>IF(A147="","",IFERROR(INDEX(激励事件明细!$D$2:$D$501,MATCH(T147,激励事件明细!$A$2:$A$501,0)),""))</f>
        <v/>
      </c>
      <c r="C147" s="4" t="str">
        <f>IF(A147="","",IFERROR(INDEX(激励事件明细!$H$2:$H$501,MATCH(T147,激励事件明细!$A$2:$A$501,0)),""))</f>
        <v/>
      </c>
      <c r="D147" s="9"/>
      <c r="E147" s="9"/>
      <c r="F147" s="15" t="str">
        <f>IF(A147="","",IFERROR(INDEX(激励事件明细!$AA$2:$AA$501,MATCH(T147,激励事件明细!$A$2:$A$501,0)),""))</f>
        <v/>
      </c>
      <c r="G147" s="17" t="str">
        <f>IF(A147="","",IFERROR(INDEX(激励事件明细!$AB$2:$AB$501,MATCH(T147,激励事件明细!$A$2:$A$501,0)),""))</f>
        <v/>
      </c>
      <c r="H147" s="17" t="str">
        <f>IF(A147="","",IFERROR(INDEX(激励事件明细!$AC$2:$AC$501,MATCH(T147,激励事件明细!$A$2:$A$501,0)),""))</f>
        <v/>
      </c>
      <c r="I147" s="13"/>
      <c r="J147" s="14"/>
      <c r="K147" s="14"/>
      <c r="L147" s="9"/>
      <c r="M147" s="15" t="str">
        <f t="shared" si="12"/>
        <v/>
      </c>
      <c r="N147" s="15" t="str">
        <f t="shared" si="13"/>
        <v/>
      </c>
      <c r="O147" s="4" t="str">
        <f t="shared" ca="1" si="14"/>
        <v/>
      </c>
      <c r="P147" s="17" t="str">
        <f>IF(A147="","",IFERROR(IF(INDEX(激励事件明细!$P$2:$P$501,MATCH(T147,激励事件明细!$A$2:$A$501,0))=0,"",INDEX(激励事件明细!$P$2:$P$501,MATCH(T147,激励事件明细!$A$2:$A$501,0))),""))</f>
        <v/>
      </c>
      <c r="Q147" s="4" t="str">
        <f t="shared" si="15"/>
        <v>无效</v>
      </c>
      <c r="R147" s="4" t="str">
        <f t="shared" ca="1" si="16"/>
        <v>异常：必须关联有效事件编号或税额批次</v>
      </c>
      <c r="S147" s="9"/>
      <c r="T147" s="4" t="str">
        <f>IF(D147&lt;&gt;"",IF(COUNTIF(激励事件明细!$A$2:$A$501,D147)=1,D147,""),IF(E147&lt;&gt;"",IFERROR(INDEX(激励事件明细!$A$2:$A$501,MATCH(E147,激励事件明细!$B$2:$B$501,0)),""),""))</f>
        <v/>
      </c>
      <c r="U147" s="4" t="str">
        <f>IF(T147="","",IFERROR(INDEX(激励事件明细!$B$2:$B$501,MATCH(T147,激励事件明细!$A$2:$A$501,0)),""))</f>
        <v/>
      </c>
      <c r="V147" s="4" t="str">
        <f>IF(A147="","",COUNTIF($A$2:A147,A147))</f>
        <v/>
      </c>
      <c r="W147" s="4" t="str">
        <f t="shared" si="17"/>
        <v/>
      </c>
    </row>
    <row r="148" spans="1:23" x14ac:dyDescent="0.3">
      <c r="A148" s="4" t="str">
        <f>IF(T148="","",IFERROR(INDEX(激励事件明细!$C$2:$C$501,MATCH(T148,激励事件明细!$A$2:$A$501,0)),""))</f>
        <v/>
      </c>
      <c r="B148" s="4" t="str">
        <f>IF(A148="","",IFERROR(INDEX(激励事件明细!$D$2:$D$501,MATCH(T148,激励事件明细!$A$2:$A$501,0)),""))</f>
        <v/>
      </c>
      <c r="C148" s="4" t="str">
        <f>IF(A148="","",IFERROR(INDEX(激励事件明细!$H$2:$H$501,MATCH(T148,激励事件明细!$A$2:$A$501,0)),""))</f>
        <v/>
      </c>
      <c r="D148" s="9"/>
      <c r="E148" s="9"/>
      <c r="F148" s="15" t="str">
        <f>IF(A148="","",IFERROR(INDEX(激励事件明细!$AA$2:$AA$501,MATCH(T148,激励事件明细!$A$2:$A$501,0)),""))</f>
        <v/>
      </c>
      <c r="G148" s="17" t="str">
        <f>IF(A148="","",IFERROR(INDEX(激励事件明细!$AB$2:$AB$501,MATCH(T148,激励事件明细!$A$2:$A$501,0)),""))</f>
        <v/>
      </c>
      <c r="H148" s="17" t="str">
        <f>IF(A148="","",IFERROR(INDEX(激励事件明细!$AC$2:$AC$501,MATCH(T148,激励事件明细!$A$2:$A$501,0)),""))</f>
        <v/>
      </c>
      <c r="I148" s="13"/>
      <c r="J148" s="14"/>
      <c r="K148" s="14"/>
      <c r="L148" s="9"/>
      <c r="M148" s="15" t="str">
        <f t="shared" si="12"/>
        <v/>
      </c>
      <c r="N148" s="15" t="str">
        <f t="shared" si="13"/>
        <v/>
      </c>
      <c r="O148" s="4" t="str">
        <f t="shared" ca="1" si="14"/>
        <v/>
      </c>
      <c r="P148" s="17" t="str">
        <f>IF(A148="","",IFERROR(IF(INDEX(激励事件明细!$P$2:$P$501,MATCH(T148,激励事件明细!$A$2:$A$501,0))=0,"",INDEX(激励事件明细!$P$2:$P$501,MATCH(T148,激励事件明细!$A$2:$A$501,0))),""))</f>
        <v/>
      </c>
      <c r="Q148" s="4" t="str">
        <f t="shared" si="15"/>
        <v>无效</v>
      </c>
      <c r="R148" s="4" t="str">
        <f t="shared" ca="1" si="16"/>
        <v>异常：必须关联有效事件编号或税额批次</v>
      </c>
      <c r="S148" s="9"/>
      <c r="T148" s="4" t="str">
        <f>IF(D148&lt;&gt;"",IF(COUNTIF(激励事件明细!$A$2:$A$501,D148)=1,D148,""),IF(E148&lt;&gt;"",IFERROR(INDEX(激励事件明细!$A$2:$A$501,MATCH(E148,激励事件明细!$B$2:$B$501,0)),""),""))</f>
        <v/>
      </c>
      <c r="U148" s="4" t="str">
        <f>IF(T148="","",IFERROR(INDEX(激励事件明细!$B$2:$B$501,MATCH(T148,激励事件明细!$A$2:$A$501,0)),""))</f>
        <v/>
      </c>
      <c r="V148" s="4" t="str">
        <f>IF(A148="","",COUNTIF($A$2:A148,A148))</f>
        <v/>
      </c>
      <c r="W148" s="4" t="str">
        <f t="shared" si="17"/>
        <v/>
      </c>
    </row>
    <row r="149" spans="1:23" x14ac:dyDescent="0.3">
      <c r="A149" s="4" t="str">
        <f>IF(T149="","",IFERROR(INDEX(激励事件明细!$C$2:$C$501,MATCH(T149,激励事件明细!$A$2:$A$501,0)),""))</f>
        <v/>
      </c>
      <c r="B149" s="4" t="str">
        <f>IF(A149="","",IFERROR(INDEX(激励事件明细!$D$2:$D$501,MATCH(T149,激励事件明细!$A$2:$A$501,0)),""))</f>
        <v/>
      </c>
      <c r="C149" s="4" t="str">
        <f>IF(A149="","",IFERROR(INDEX(激励事件明细!$H$2:$H$501,MATCH(T149,激励事件明细!$A$2:$A$501,0)),""))</f>
        <v/>
      </c>
      <c r="D149" s="9"/>
      <c r="E149" s="9"/>
      <c r="F149" s="15" t="str">
        <f>IF(A149="","",IFERROR(INDEX(激励事件明细!$AA$2:$AA$501,MATCH(T149,激励事件明细!$A$2:$A$501,0)),""))</f>
        <v/>
      </c>
      <c r="G149" s="17" t="str">
        <f>IF(A149="","",IFERROR(INDEX(激励事件明细!$AB$2:$AB$501,MATCH(T149,激励事件明细!$A$2:$A$501,0)),""))</f>
        <v/>
      </c>
      <c r="H149" s="17" t="str">
        <f>IF(A149="","",IFERROR(INDEX(激励事件明细!$AC$2:$AC$501,MATCH(T149,激励事件明细!$A$2:$A$501,0)),""))</f>
        <v/>
      </c>
      <c r="I149" s="13"/>
      <c r="J149" s="14"/>
      <c r="K149" s="14"/>
      <c r="L149" s="9"/>
      <c r="M149" s="15" t="str">
        <f t="shared" si="12"/>
        <v/>
      </c>
      <c r="N149" s="15" t="str">
        <f t="shared" si="13"/>
        <v/>
      </c>
      <c r="O149" s="4" t="str">
        <f t="shared" ca="1" si="14"/>
        <v/>
      </c>
      <c r="P149" s="17" t="str">
        <f>IF(A149="","",IFERROR(IF(INDEX(激励事件明细!$P$2:$P$501,MATCH(T149,激励事件明细!$A$2:$A$501,0))=0,"",INDEX(激励事件明细!$P$2:$P$501,MATCH(T149,激励事件明细!$A$2:$A$501,0))),""))</f>
        <v/>
      </c>
      <c r="Q149" s="4" t="str">
        <f t="shared" si="15"/>
        <v>无效</v>
      </c>
      <c r="R149" s="4" t="str">
        <f t="shared" ca="1" si="16"/>
        <v>异常：必须关联有效事件编号或税额批次</v>
      </c>
      <c r="S149" s="9"/>
      <c r="T149" s="4" t="str">
        <f>IF(D149&lt;&gt;"",IF(COUNTIF(激励事件明细!$A$2:$A$501,D149)=1,D149,""),IF(E149&lt;&gt;"",IFERROR(INDEX(激励事件明细!$A$2:$A$501,MATCH(E149,激励事件明细!$B$2:$B$501,0)),""),""))</f>
        <v/>
      </c>
      <c r="U149" s="4" t="str">
        <f>IF(T149="","",IFERROR(INDEX(激励事件明细!$B$2:$B$501,MATCH(T149,激励事件明细!$A$2:$A$501,0)),""))</f>
        <v/>
      </c>
      <c r="V149" s="4" t="str">
        <f>IF(A149="","",COUNTIF($A$2:A149,A149))</f>
        <v/>
      </c>
      <c r="W149" s="4" t="str">
        <f t="shared" si="17"/>
        <v/>
      </c>
    </row>
    <row r="150" spans="1:23" x14ac:dyDescent="0.3">
      <c r="A150" s="4" t="str">
        <f>IF(T150="","",IFERROR(INDEX(激励事件明细!$C$2:$C$501,MATCH(T150,激励事件明细!$A$2:$A$501,0)),""))</f>
        <v/>
      </c>
      <c r="B150" s="4" t="str">
        <f>IF(A150="","",IFERROR(INDEX(激励事件明细!$D$2:$D$501,MATCH(T150,激励事件明细!$A$2:$A$501,0)),""))</f>
        <v/>
      </c>
      <c r="C150" s="4" t="str">
        <f>IF(A150="","",IFERROR(INDEX(激励事件明细!$H$2:$H$501,MATCH(T150,激励事件明细!$A$2:$A$501,0)),""))</f>
        <v/>
      </c>
      <c r="D150" s="9"/>
      <c r="E150" s="9"/>
      <c r="F150" s="15" t="str">
        <f>IF(A150="","",IFERROR(INDEX(激励事件明细!$AA$2:$AA$501,MATCH(T150,激励事件明细!$A$2:$A$501,0)),""))</f>
        <v/>
      </c>
      <c r="G150" s="17" t="str">
        <f>IF(A150="","",IFERROR(INDEX(激励事件明细!$AB$2:$AB$501,MATCH(T150,激励事件明细!$A$2:$A$501,0)),""))</f>
        <v/>
      </c>
      <c r="H150" s="17" t="str">
        <f>IF(A150="","",IFERROR(INDEX(激励事件明细!$AC$2:$AC$501,MATCH(T150,激励事件明细!$A$2:$A$501,0)),""))</f>
        <v/>
      </c>
      <c r="I150" s="13"/>
      <c r="J150" s="14"/>
      <c r="K150" s="14"/>
      <c r="L150" s="9"/>
      <c r="M150" s="15" t="str">
        <f t="shared" si="12"/>
        <v/>
      </c>
      <c r="N150" s="15" t="str">
        <f t="shared" si="13"/>
        <v/>
      </c>
      <c r="O150" s="4" t="str">
        <f t="shared" ca="1" si="14"/>
        <v/>
      </c>
      <c r="P150" s="17" t="str">
        <f>IF(A150="","",IFERROR(IF(INDEX(激励事件明细!$P$2:$P$501,MATCH(T150,激励事件明细!$A$2:$A$501,0))=0,"",INDEX(激励事件明细!$P$2:$P$501,MATCH(T150,激励事件明细!$A$2:$A$501,0))),""))</f>
        <v/>
      </c>
      <c r="Q150" s="4" t="str">
        <f t="shared" si="15"/>
        <v>无效</v>
      </c>
      <c r="R150" s="4" t="str">
        <f t="shared" ca="1" si="16"/>
        <v>异常：必须关联有效事件编号或税额批次</v>
      </c>
      <c r="S150" s="9"/>
      <c r="T150" s="4" t="str">
        <f>IF(D150&lt;&gt;"",IF(COUNTIF(激励事件明细!$A$2:$A$501,D150)=1,D150,""),IF(E150&lt;&gt;"",IFERROR(INDEX(激励事件明细!$A$2:$A$501,MATCH(E150,激励事件明细!$B$2:$B$501,0)),""),""))</f>
        <v/>
      </c>
      <c r="U150" s="4" t="str">
        <f>IF(T150="","",IFERROR(INDEX(激励事件明细!$B$2:$B$501,MATCH(T150,激励事件明细!$A$2:$A$501,0)),""))</f>
        <v/>
      </c>
      <c r="V150" s="4" t="str">
        <f>IF(A150="","",COUNTIF($A$2:A150,A150))</f>
        <v/>
      </c>
      <c r="W150" s="4" t="str">
        <f t="shared" si="17"/>
        <v/>
      </c>
    </row>
    <row r="151" spans="1:23" x14ac:dyDescent="0.3">
      <c r="A151" s="4" t="str">
        <f>IF(T151="","",IFERROR(INDEX(激励事件明细!$C$2:$C$501,MATCH(T151,激励事件明细!$A$2:$A$501,0)),""))</f>
        <v/>
      </c>
      <c r="B151" s="4" t="str">
        <f>IF(A151="","",IFERROR(INDEX(激励事件明细!$D$2:$D$501,MATCH(T151,激励事件明细!$A$2:$A$501,0)),""))</f>
        <v/>
      </c>
      <c r="C151" s="4" t="str">
        <f>IF(A151="","",IFERROR(INDEX(激励事件明细!$H$2:$H$501,MATCH(T151,激励事件明细!$A$2:$A$501,0)),""))</f>
        <v/>
      </c>
      <c r="D151" s="9"/>
      <c r="E151" s="9"/>
      <c r="F151" s="15" t="str">
        <f>IF(A151="","",IFERROR(INDEX(激励事件明细!$AA$2:$AA$501,MATCH(T151,激励事件明细!$A$2:$A$501,0)),""))</f>
        <v/>
      </c>
      <c r="G151" s="17" t="str">
        <f>IF(A151="","",IFERROR(INDEX(激励事件明细!$AB$2:$AB$501,MATCH(T151,激励事件明细!$A$2:$A$501,0)),""))</f>
        <v/>
      </c>
      <c r="H151" s="17" t="str">
        <f>IF(A151="","",IFERROR(INDEX(激励事件明细!$AC$2:$AC$501,MATCH(T151,激励事件明细!$A$2:$A$501,0)),""))</f>
        <v/>
      </c>
      <c r="I151" s="13"/>
      <c r="J151" s="14"/>
      <c r="K151" s="14"/>
      <c r="L151" s="9"/>
      <c r="M151" s="15" t="str">
        <f t="shared" si="12"/>
        <v/>
      </c>
      <c r="N151" s="15" t="str">
        <f t="shared" si="13"/>
        <v/>
      </c>
      <c r="O151" s="4" t="str">
        <f t="shared" ca="1" si="14"/>
        <v/>
      </c>
      <c r="P151" s="17" t="str">
        <f>IF(A151="","",IFERROR(IF(INDEX(激励事件明细!$P$2:$P$501,MATCH(T151,激励事件明细!$A$2:$A$501,0))=0,"",INDEX(激励事件明细!$P$2:$P$501,MATCH(T151,激励事件明细!$A$2:$A$501,0))),""))</f>
        <v/>
      </c>
      <c r="Q151" s="4" t="str">
        <f t="shared" si="15"/>
        <v>无效</v>
      </c>
      <c r="R151" s="4" t="str">
        <f t="shared" ca="1" si="16"/>
        <v>异常：必须关联有效事件编号或税额批次</v>
      </c>
      <c r="S151" s="9"/>
      <c r="T151" s="4" t="str">
        <f>IF(D151&lt;&gt;"",IF(COUNTIF(激励事件明细!$A$2:$A$501,D151)=1,D151,""),IF(E151&lt;&gt;"",IFERROR(INDEX(激励事件明细!$A$2:$A$501,MATCH(E151,激励事件明细!$B$2:$B$501,0)),""),""))</f>
        <v/>
      </c>
      <c r="U151" s="4" t="str">
        <f>IF(T151="","",IFERROR(INDEX(激励事件明细!$B$2:$B$501,MATCH(T151,激励事件明细!$A$2:$A$501,0)),""))</f>
        <v/>
      </c>
      <c r="V151" s="4" t="str">
        <f>IF(A151="","",COUNTIF($A$2:A151,A151))</f>
        <v/>
      </c>
      <c r="W151" s="4" t="str">
        <f t="shared" si="17"/>
        <v/>
      </c>
    </row>
    <row r="152" spans="1:23" x14ac:dyDescent="0.3">
      <c r="A152" s="4" t="str">
        <f>IF(T152="","",IFERROR(INDEX(激励事件明细!$C$2:$C$501,MATCH(T152,激励事件明细!$A$2:$A$501,0)),""))</f>
        <v/>
      </c>
      <c r="B152" s="4" t="str">
        <f>IF(A152="","",IFERROR(INDEX(激励事件明细!$D$2:$D$501,MATCH(T152,激励事件明细!$A$2:$A$501,0)),""))</f>
        <v/>
      </c>
      <c r="C152" s="4" t="str">
        <f>IF(A152="","",IFERROR(INDEX(激励事件明细!$H$2:$H$501,MATCH(T152,激励事件明细!$A$2:$A$501,0)),""))</f>
        <v/>
      </c>
      <c r="D152" s="9"/>
      <c r="E152" s="9"/>
      <c r="F152" s="15" t="str">
        <f>IF(A152="","",IFERROR(INDEX(激励事件明细!$AA$2:$AA$501,MATCH(T152,激励事件明细!$A$2:$A$501,0)),""))</f>
        <v/>
      </c>
      <c r="G152" s="17" t="str">
        <f>IF(A152="","",IFERROR(INDEX(激励事件明细!$AB$2:$AB$501,MATCH(T152,激励事件明细!$A$2:$A$501,0)),""))</f>
        <v/>
      </c>
      <c r="H152" s="17" t="str">
        <f>IF(A152="","",IFERROR(INDEX(激励事件明细!$AC$2:$AC$501,MATCH(T152,激励事件明细!$A$2:$A$501,0)),""))</f>
        <v/>
      </c>
      <c r="I152" s="13"/>
      <c r="J152" s="14"/>
      <c r="K152" s="14"/>
      <c r="L152" s="9"/>
      <c r="M152" s="15" t="str">
        <f t="shared" si="12"/>
        <v/>
      </c>
      <c r="N152" s="15" t="str">
        <f t="shared" si="13"/>
        <v/>
      </c>
      <c r="O152" s="4" t="str">
        <f t="shared" ca="1" si="14"/>
        <v/>
      </c>
      <c r="P152" s="17" t="str">
        <f>IF(A152="","",IFERROR(IF(INDEX(激励事件明细!$P$2:$P$501,MATCH(T152,激励事件明细!$A$2:$A$501,0))=0,"",INDEX(激励事件明细!$P$2:$P$501,MATCH(T152,激励事件明细!$A$2:$A$501,0))),""))</f>
        <v/>
      </c>
      <c r="Q152" s="4" t="str">
        <f t="shared" si="15"/>
        <v>无效</v>
      </c>
      <c r="R152" s="4" t="str">
        <f t="shared" ca="1" si="16"/>
        <v>异常：必须关联有效事件编号或税额批次</v>
      </c>
      <c r="S152" s="9"/>
      <c r="T152" s="4" t="str">
        <f>IF(D152&lt;&gt;"",IF(COUNTIF(激励事件明细!$A$2:$A$501,D152)=1,D152,""),IF(E152&lt;&gt;"",IFERROR(INDEX(激励事件明细!$A$2:$A$501,MATCH(E152,激励事件明细!$B$2:$B$501,0)),""),""))</f>
        <v/>
      </c>
      <c r="U152" s="4" t="str">
        <f>IF(T152="","",IFERROR(INDEX(激励事件明细!$B$2:$B$501,MATCH(T152,激励事件明细!$A$2:$A$501,0)),""))</f>
        <v/>
      </c>
      <c r="V152" s="4" t="str">
        <f>IF(A152="","",COUNTIF($A$2:A152,A152))</f>
        <v/>
      </c>
      <c r="W152" s="4" t="str">
        <f t="shared" si="17"/>
        <v/>
      </c>
    </row>
    <row r="153" spans="1:23" x14ac:dyDescent="0.3">
      <c r="A153" s="4" t="str">
        <f>IF(T153="","",IFERROR(INDEX(激励事件明细!$C$2:$C$501,MATCH(T153,激励事件明细!$A$2:$A$501,0)),""))</f>
        <v/>
      </c>
      <c r="B153" s="4" t="str">
        <f>IF(A153="","",IFERROR(INDEX(激励事件明细!$D$2:$D$501,MATCH(T153,激励事件明细!$A$2:$A$501,0)),""))</f>
        <v/>
      </c>
      <c r="C153" s="4" t="str">
        <f>IF(A153="","",IFERROR(INDEX(激励事件明细!$H$2:$H$501,MATCH(T153,激励事件明细!$A$2:$A$501,0)),""))</f>
        <v/>
      </c>
      <c r="D153" s="9"/>
      <c r="E153" s="9"/>
      <c r="F153" s="15" t="str">
        <f>IF(A153="","",IFERROR(INDEX(激励事件明细!$AA$2:$AA$501,MATCH(T153,激励事件明细!$A$2:$A$501,0)),""))</f>
        <v/>
      </c>
      <c r="G153" s="17" t="str">
        <f>IF(A153="","",IFERROR(INDEX(激励事件明细!$AB$2:$AB$501,MATCH(T153,激励事件明细!$A$2:$A$501,0)),""))</f>
        <v/>
      </c>
      <c r="H153" s="17" t="str">
        <f>IF(A153="","",IFERROR(INDEX(激励事件明细!$AC$2:$AC$501,MATCH(T153,激励事件明细!$A$2:$A$501,0)),""))</f>
        <v/>
      </c>
      <c r="I153" s="13"/>
      <c r="J153" s="14"/>
      <c r="K153" s="14"/>
      <c r="L153" s="9"/>
      <c r="M153" s="15" t="str">
        <f t="shared" si="12"/>
        <v/>
      </c>
      <c r="N153" s="15" t="str">
        <f t="shared" si="13"/>
        <v/>
      </c>
      <c r="O153" s="4" t="str">
        <f t="shared" ca="1" si="14"/>
        <v/>
      </c>
      <c r="P153" s="17" t="str">
        <f>IF(A153="","",IFERROR(IF(INDEX(激励事件明细!$P$2:$P$501,MATCH(T153,激励事件明细!$A$2:$A$501,0))=0,"",INDEX(激励事件明细!$P$2:$P$501,MATCH(T153,激励事件明细!$A$2:$A$501,0))),""))</f>
        <v/>
      </c>
      <c r="Q153" s="4" t="str">
        <f t="shared" si="15"/>
        <v>无效</v>
      </c>
      <c r="R153" s="4" t="str">
        <f t="shared" ca="1" si="16"/>
        <v>异常：必须关联有效事件编号或税额批次</v>
      </c>
      <c r="S153" s="9"/>
      <c r="T153" s="4" t="str">
        <f>IF(D153&lt;&gt;"",IF(COUNTIF(激励事件明细!$A$2:$A$501,D153)=1,D153,""),IF(E153&lt;&gt;"",IFERROR(INDEX(激励事件明细!$A$2:$A$501,MATCH(E153,激励事件明细!$B$2:$B$501,0)),""),""))</f>
        <v/>
      </c>
      <c r="U153" s="4" t="str">
        <f>IF(T153="","",IFERROR(INDEX(激励事件明细!$B$2:$B$501,MATCH(T153,激励事件明细!$A$2:$A$501,0)),""))</f>
        <v/>
      </c>
      <c r="V153" s="4" t="str">
        <f>IF(A153="","",COUNTIF($A$2:A153,A153))</f>
        <v/>
      </c>
      <c r="W153" s="4" t="str">
        <f t="shared" si="17"/>
        <v/>
      </c>
    </row>
    <row r="154" spans="1:23" x14ac:dyDescent="0.3">
      <c r="A154" s="4" t="str">
        <f>IF(T154="","",IFERROR(INDEX(激励事件明细!$C$2:$C$501,MATCH(T154,激励事件明细!$A$2:$A$501,0)),""))</f>
        <v/>
      </c>
      <c r="B154" s="4" t="str">
        <f>IF(A154="","",IFERROR(INDEX(激励事件明细!$D$2:$D$501,MATCH(T154,激励事件明细!$A$2:$A$501,0)),""))</f>
        <v/>
      </c>
      <c r="C154" s="4" t="str">
        <f>IF(A154="","",IFERROR(INDEX(激励事件明细!$H$2:$H$501,MATCH(T154,激励事件明细!$A$2:$A$501,0)),""))</f>
        <v/>
      </c>
      <c r="D154" s="9"/>
      <c r="E154" s="9"/>
      <c r="F154" s="15" t="str">
        <f>IF(A154="","",IFERROR(INDEX(激励事件明细!$AA$2:$AA$501,MATCH(T154,激励事件明细!$A$2:$A$501,0)),""))</f>
        <v/>
      </c>
      <c r="G154" s="17" t="str">
        <f>IF(A154="","",IFERROR(INDEX(激励事件明细!$AB$2:$AB$501,MATCH(T154,激励事件明细!$A$2:$A$501,0)),""))</f>
        <v/>
      </c>
      <c r="H154" s="17" t="str">
        <f>IF(A154="","",IFERROR(INDEX(激励事件明细!$AC$2:$AC$501,MATCH(T154,激励事件明细!$A$2:$A$501,0)),""))</f>
        <v/>
      </c>
      <c r="I154" s="13"/>
      <c r="J154" s="14"/>
      <c r="K154" s="14"/>
      <c r="L154" s="9"/>
      <c r="M154" s="15" t="str">
        <f t="shared" si="12"/>
        <v/>
      </c>
      <c r="N154" s="15" t="str">
        <f t="shared" si="13"/>
        <v/>
      </c>
      <c r="O154" s="4" t="str">
        <f t="shared" ca="1" si="14"/>
        <v/>
      </c>
      <c r="P154" s="17" t="str">
        <f>IF(A154="","",IFERROR(IF(INDEX(激励事件明细!$P$2:$P$501,MATCH(T154,激励事件明细!$A$2:$A$501,0))=0,"",INDEX(激励事件明细!$P$2:$P$501,MATCH(T154,激励事件明细!$A$2:$A$501,0))),""))</f>
        <v/>
      </c>
      <c r="Q154" s="4" t="str">
        <f t="shared" si="15"/>
        <v>无效</v>
      </c>
      <c r="R154" s="4" t="str">
        <f t="shared" ca="1" si="16"/>
        <v>异常：必须关联有效事件编号或税额批次</v>
      </c>
      <c r="S154" s="9"/>
      <c r="T154" s="4" t="str">
        <f>IF(D154&lt;&gt;"",IF(COUNTIF(激励事件明细!$A$2:$A$501,D154)=1,D154,""),IF(E154&lt;&gt;"",IFERROR(INDEX(激励事件明细!$A$2:$A$501,MATCH(E154,激励事件明细!$B$2:$B$501,0)),""),""))</f>
        <v/>
      </c>
      <c r="U154" s="4" t="str">
        <f>IF(T154="","",IFERROR(INDEX(激励事件明细!$B$2:$B$501,MATCH(T154,激励事件明细!$A$2:$A$501,0)),""))</f>
        <v/>
      </c>
      <c r="V154" s="4" t="str">
        <f>IF(A154="","",COUNTIF($A$2:A154,A154))</f>
        <v/>
      </c>
      <c r="W154" s="4" t="str">
        <f t="shared" si="17"/>
        <v/>
      </c>
    </row>
    <row r="155" spans="1:23" x14ac:dyDescent="0.3">
      <c r="A155" s="4" t="str">
        <f>IF(T155="","",IFERROR(INDEX(激励事件明细!$C$2:$C$501,MATCH(T155,激励事件明细!$A$2:$A$501,0)),""))</f>
        <v/>
      </c>
      <c r="B155" s="4" t="str">
        <f>IF(A155="","",IFERROR(INDEX(激励事件明细!$D$2:$D$501,MATCH(T155,激励事件明细!$A$2:$A$501,0)),""))</f>
        <v/>
      </c>
      <c r="C155" s="4" t="str">
        <f>IF(A155="","",IFERROR(INDEX(激励事件明细!$H$2:$H$501,MATCH(T155,激励事件明细!$A$2:$A$501,0)),""))</f>
        <v/>
      </c>
      <c r="D155" s="9"/>
      <c r="E155" s="9"/>
      <c r="F155" s="15" t="str">
        <f>IF(A155="","",IFERROR(INDEX(激励事件明细!$AA$2:$AA$501,MATCH(T155,激励事件明细!$A$2:$A$501,0)),""))</f>
        <v/>
      </c>
      <c r="G155" s="17" t="str">
        <f>IF(A155="","",IFERROR(INDEX(激励事件明细!$AB$2:$AB$501,MATCH(T155,激励事件明细!$A$2:$A$501,0)),""))</f>
        <v/>
      </c>
      <c r="H155" s="17" t="str">
        <f>IF(A155="","",IFERROR(INDEX(激励事件明细!$AC$2:$AC$501,MATCH(T155,激励事件明细!$A$2:$A$501,0)),""))</f>
        <v/>
      </c>
      <c r="I155" s="13"/>
      <c r="J155" s="14"/>
      <c r="K155" s="14"/>
      <c r="L155" s="9"/>
      <c r="M155" s="15" t="str">
        <f t="shared" si="12"/>
        <v/>
      </c>
      <c r="N155" s="15" t="str">
        <f t="shared" si="13"/>
        <v/>
      </c>
      <c r="O155" s="4" t="str">
        <f t="shared" ca="1" si="14"/>
        <v/>
      </c>
      <c r="P155" s="17" t="str">
        <f>IF(A155="","",IFERROR(IF(INDEX(激励事件明细!$P$2:$P$501,MATCH(T155,激励事件明细!$A$2:$A$501,0))=0,"",INDEX(激励事件明细!$P$2:$P$501,MATCH(T155,激励事件明细!$A$2:$A$501,0))),""))</f>
        <v/>
      </c>
      <c r="Q155" s="4" t="str">
        <f t="shared" si="15"/>
        <v>无效</v>
      </c>
      <c r="R155" s="4" t="str">
        <f t="shared" ca="1" si="16"/>
        <v>异常：必须关联有效事件编号或税额批次</v>
      </c>
      <c r="S155" s="9"/>
      <c r="T155" s="4" t="str">
        <f>IF(D155&lt;&gt;"",IF(COUNTIF(激励事件明细!$A$2:$A$501,D155)=1,D155,""),IF(E155&lt;&gt;"",IFERROR(INDEX(激励事件明细!$A$2:$A$501,MATCH(E155,激励事件明细!$B$2:$B$501,0)),""),""))</f>
        <v/>
      </c>
      <c r="U155" s="4" t="str">
        <f>IF(T155="","",IFERROR(INDEX(激励事件明细!$B$2:$B$501,MATCH(T155,激励事件明细!$A$2:$A$501,0)),""))</f>
        <v/>
      </c>
      <c r="V155" s="4" t="str">
        <f>IF(A155="","",COUNTIF($A$2:A155,A155))</f>
        <v/>
      </c>
      <c r="W155" s="4" t="str">
        <f t="shared" si="17"/>
        <v/>
      </c>
    </row>
    <row r="156" spans="1:23" x14ac:dyDescent="0.3">
      <c r="A156" s="4" t="str">
        <f>IF(T156="","",IFERROR(INDEX(激励事件明细!$C$2:$C$501,MATCH(T156,激励事件明细!$A$2:$A$501,0)),""))</f>
        <v/>
      </c>
      <c r="B156" s="4" t="str">
        <f>IF(A156="","",IFERROR(INDEX(激励事件明细!$D$2:$D$501,MATCH(T156,激励事件明细!$A$2:$A$501,0)),""))</f>
        <v/>
      </c>
      <c r="C156" s="4" t="str">
        <f>IF(A156="","",IFERROR(INDEX(激励事件明细!$H$2:$H$501,MATCH(T156,激励事件明细!$A$2:$A$501,0)),""))</f>
        <v/>
      </c>
      <c r="D156" s="9"/>
      <c r="E156" s="9"/>
      <c r="F156" s="15" t="str">
        <f>IF(A156="","",IFERROR(INDEX(激励事件明细!$AA$2:$AA$501,MATCH(T156,激励事件明细!$A$2:$A$501,0)),""))</f>
        <v/>
      </c>
      <c r="G156" s="17" t="str">
        <f>IF(A156="","",IFERROR(INDEX(激励事件明细!$AB$2:$AB$501,MATCH(T156,激励事件明细!$A$2:$A$501,0)),""))</f>
        <v/>
      </c>
      <c r="H156" s="17" t="str">
        <f>IF(A156="","",IFERROR(INDEX(激励事件明细!$AC$2:$AC$501,MATCH(T156,激励事件明细!$A$2:$A$501,0)),""))</f>
        <v/>
      </c>
      <c r="I156" s="13"/>
      <c r="J156" s="14"/>
      <c r="K156" s="14"/>
      <c r="L156" s="9"/>
      <c r="M156" s="15" t="str">
        <f t="shared" si="12"/>
        <v/>
      </c>
      <c r="N156" s="15" t="str">
        <f t="shared" si="13"/>
        <v/>
      </c>
      <c r="O156" s="4" t="str">
        <f t="shared" ca="1" si="14"/>
        <v/>
      </c>
      <c r="P156" s="17" t="str">
        <f>IF(A156="","",IFERROR(IF(INDEX(激励事件明细!$P$2:$P$501,MATCH(T156,激励事件明细!$A$2:$A$501,0))=0,"",INDEX(激励事件明细!$P$2:$P$501,MATCH(T156,激励事件明细!$A$2:$A$501,0))),""))</f>
        <v/>
      </c>
      <c r="Q156" s="4" t="str">
        <f t="shared" si="15"/>
        <v>无效</v>
      </c>
      <c r="R156" s="4" t="str">
        <f t="shared" ca="1" si="16"/>
        <v>异常：必须关联有效事件编号或税额批次</v>
      </c>
      <c r="S156" s="9"/>
      <c r="T156" s="4" t="str">
        <f>IF(D156&lt;&gt;"",IF(COUNTIF(激励事件明细!$A$2:$A$501,D156)=1,D156,""),IF(E156&lt;&gt;"",IFERROR(INDEX(激励事件明细!$A$2:$A$501,MATCH(E156,激励事件明细!$B$2:$B$501,0)),""),""))</f>
        <v/>
      </c>
      <c r="U156" s="4" t="str">
        <f>IF(T156="","",IFERROR(INDEX(激励事件明细!$B$2:$B$501,MATCH(T156,激励事件明细!$A$2:$A$501,0)),""))</f>
        <v/>
      </c>
      <c r="V156" s="4" t="str">
        <f>IF(A156="","",COUNTIF($A$2:A156,A156))</f>
        <v/>
      </c>
      <c r="W156" s="4" t="str">
        <f t="shared" si="17"/>
        <v/>
      </c>
    </row>
    <row r="157" spans="1:23" x14ac:dyDescent="0.3">
      <c r="A157" s="4" t="str">
        <f>IF(T157="","",IFERROR(INDEX(激励事件明细!$C$2:$C$501,MATCH(T157,激励事件明细!$A$2:$A$501,0)),""))</f>
        <v/>
      </c>
      <c r="B157" s="4" t="str">
        <f>IF(A157="","",IFERROR(INDEX(激励事件明细!$D$2:$D$501,MATCH(T157,激励事件明细!$A$2:$A$501,0)),""))</f>
        <v/>
      </c>
      <c r="C157" s="4" t="str">
        <f>IF(A157="","",IFERROR(INDEX(激励事件明细!$H$2:$H$501,MATCH(T157,激励事件明细!$A$2:$A$501,0)),""))</f>
        <v/>
      </c>
      <c r="D157" s="9"/>
      <c r="E157" s="9"/>
      <c r="F157" s="15" t="str">
        <f>IF(A157="","",IFERROR(INDEX(激励事件明细!$AA$2:$AA$501,MATCH(T157,激励事件明细!$A$2:$A$501,0)),""))</f>
        <v/>
      </c>
      <c r="G157" s="17" t="str">
        <f>IF(A157="","",IFERROR(INDEX(激励事件明细!$AB$2:$AB$501,MATCH(T157,激励事件明细!$A$2:$A$501,0)),""))</f>
        <v/>
      </c>
      <c r="H157" s="17" t="str">
        <f>IF(A157="","",IFERROR(INDEX(激励事件明细!$AC$2:$AC$501,MATCH(T157,激励事件明细!$A$2:$A$501,0)),""))</f>
        <v/>
      </c>
      <c r="I157" s="13"/>
      <c r="J157" s="14"/>
      <c r="K157" s="14"/>
      <c r="L157" s="9"/>
      <c r="M157" s="15" t="str">
        <f t="shared" si="12"/>
        <v/>
      </c>
      <c r="N157" s="15" t="str">
        <f t="shared" si="13"/>
        <v/>
      </c>
      <c r="O157" s="4" t="str">
        <f t="shared" ca="1" si="14"/>
        <v/>
      </c>
      <c r="P157" s="17" t="str">
        <f>IF(A157="","",IFERROR(IF(INDEX(激励事件明细!$P$2:$P$501,MATCH(T157,激励事件明细!$A$2:$A$501,0))=0,"",INDEX(激励事件明细!$P$2:$P$501,MATCH(T157,激励事件明细!$A$2:$A$501,0))),""))</f>
        <v/>
      </c>
      <c r="Q157" s="4" t="str">
        <f t="shared" si="15"/>
        <v>无效</v>
      </c>
      <c r="R157" s="4" t="str">
        <f t="shared" ca="1" si="16"/>
        <v>异常：必须关联有效事件编号或税额批次</v>
      </c>
      <c r="S157" s="9"/>
      <c r="T157" s="4" t="str">
        <f>IF(D157&lt;&gt;"",IF(COUNTIF(激励事件明细!$A$2:$A$501,D157)=1,D157,""),IF(E157&lt;&gt;"",IFERROR(INDEX(激励事件明细!$A$2:$A$501,MATCH(E157,激励事件明细!$B$2:$B$501,0)),""),""))</f>
        <v/>
      </c>
      <c r="U157" s="4" t="str">
        <f>IF(T157="","",IFERROR(INDEX(激励事件明细!$B$2:$B$501,MATCH(T157,激励事件明细!$A$2:$A$501,0)),""))</f>
        <v/>
      </c>
      <c r="V157" s="4" t="str">
        <f>IF(A157="","",COUNTIF($A$2:A157,A157))</f>
        <v/>
      </c>
      <c r="W157" s="4" t="str">
        <f t="shared" si="17"/>
        <v/>
      </c>
    </row>
    <row r="158" spans="1:23" x14ac:dyDescent="0.3">
      <c r="A158" s="4" t="str">
        <f>IF(T158="","",IFERROR(INDEX(激励事件明细!$C$2:$C$501,MATCH(T158,激励事件明细!$A$2:$A$501,0)),""))</f>
        <v/>
      </c>
      <c r="B158" s="4" t="str">
        <f>IF(A158="","",IFERROR(INDEX(激励事件明细!$D$2:$D$501,MATCH(T158,激励事件明细!$A$2:$A$501,0)),""))</f>
        <v/>
      </c>
      <c r="C158" s="4" t="str">
        <f>IF(A158="","",IFERROR(INDEX(激励事件明细!$H$2:$H$501,MATCH(T158,激励事件明细!$A$2:$A$501,0)),""))</f>
        <v/>
      </c>
      <c r="D158" s="9"/>
      <c r="E158" s="9"/>
      <c r="F158" s="15" t="str">
        <f>IF(A158="","",IFERROR(INDEX(激励事件明细!$AA$2:$AA$501,MATCH(T158,激励事件明细!$A$2:$A$501,0)),""))</f>
        <v/>
      </c>
      <c r="G158" s="17" t="str">
        <f>IF(A158="","",IFERROR(INDEX(激励事件明细!$AB$2:$AB$501,MATCH(T158,激励事件明细!$A$2:$A$501,0)),""))</f>
        <v/>
      </c>
      <c r="H158" s="17" t="str">
        <f>IF(A158="","",IFERROR(INDEX(激励事件明细!$AC$2:$AC$501,MATCH(T158,激励事件明细!$A$2:$A$501,0)),""))</f>
        <v/>
      </c>
      <c r="I158" s="13"/>
      <c r="J158" s="14"/>
      <c r="K158" s="14"/>
      <c r="L158" s="9"/>
      <c r="M158" s="15" t="str">
        <f t="shared" si="12"/>
        <v/>
      </c>
      <c r="N158" s="15" t="str">
        <f t="shared" si="13"/>
        <v/>
      </c>
      <c r="O158" s="4" t="str">
        <f t="shared" ca="1" si="14"/>
        <v/>
      </c>
      <c r="P158" s="17" t="str">
        <f>IF(A158="","",IFERROR(IF(INDEX(激励事件明细!$P$2:$P$501,MATCH(T158,激励事件明细!$A$2:$A$501,0))=0,"",INDEX(激励事件明细!$P$2:$P$501,MATCH(T158,激励事件明细!$A$2:$A$501,0))),""))</f>
        <v/>
      </c>
      <c r="Q158" s="4" t="str">
        <f t="shared" si="15"/>
        <v>无效</v>
      </c>
      <c r="R158" s="4" t="str">
        <f t="shared" ca="1" si="16"/>
        <v>异常：必须关联有效事件编号或税额批次</v>
      </c>
      <c r="S158" s="9"/>
      <c r="T158" s="4" t="str">
        <f>IF(D158&lt;&gt;"",IF(COUNTIF(激励事件明细!$A$2:$A$501,D158)=1,D158,""),IF(E158&lt;&gt;"",IFERROR(INDEX(激励事件明细!$A$2:$A$501,MATCH(E158,激励事件明细!$B$2:$B$501,0)),""),""))</f>
        <v/>
      </c>
      <c r="U158" s="4" t="str">
        <f>IF(T158="","",IFERROR(INDEX(激励事件明细!$B$2:$B$501,MATCH(T158,激励事件明细!$A$2:$A$501,0)),""))</f>
        <v/>
      </c>
      <c r="V158" s="4" t="str">
        <f>IF(A158="","",COUNTIF($A$2:A158,A158))</f>
        <v/>
      </c>
      <c r="W158" s="4" t="str">
        <f t="shared" si="17"/>
        <v/>
      </c>
    </row>
    <row r="159" spans="1:23" x14ac:dyDescent="0.3">
      <c r="A159" s="4" t="str">
        <f>IF(T159="","",IFERROR(INDEX(激励事件明细!$C$2:$C$501,MATCH(T159,激励事件明细!$A$2:$A$501,0)),""))</f>
        <v/>
      </c>
      <c r="B159" s="4" t="str">
        <f>IF(A159="","",IFERROR(INDEX(激励事件明细!$D$2:$D$501,MATCH(T159,激励事件明细!$A$2:$A$501,0)),""))</f>
        <v/>
      </c>
      <c r="C159" s="4" t="str">
        <f>IF(A159="","",IFERROR(INDEX(激励事件明细!$H$2:$H$501,MATCH(T159,激励事件明细!$A$2:$A$501,0)),""))</f>
        <v/>
      </c>
      <c r="D159" s="9"/>
      <c r="E159" s="9"/>
      <c r="F159" s="15" t="str">
        <f>IF(A159="","",IFERROR(INDEX(激励事件明细!$AA$2:$AA$501,MATCH(T159,激励事件明细!$A$2:$A$501,0)),""))</f>
        <v/>
      </c>
      <c r="G159" s="17" t="str">
        <f>IF(A159="","",IFERROR(INDEX(激励事件明细!$AB$2:$AB$501,MATCH(T159,激励事件明细!$A$2:$A$501,0)),""))</f>
        <v/>
      </c>
      <c r="H159" s="17" t="str">
        <f>IF(A159="","",IFERROR(INDEX(激励事件明细!$AC$2:$AC$501,MATCH(T159,激励事件明细!$A$2:$A$501,0)),""))</f>
        <v/>
      </c>
      <c r="I159" s="13"/>
      <c r="J159" s="14"/>
      <c r="K159" s="14"/>
      <c r="L159" s="9"/>
      <c r="M159" s="15" t="str">
        <f t="shared" si="12"/>
        <v/>
      </c>
      <c r="N159" s="15" t="str">
        <f t="shared" si="13"/>
        <v/>
      </c>
      <c r="O159" s="4" t="str">
        <f t="shared" ca="1" si="14"/>
        <v/>
      </c>
      <c r="P159" s="17" t="str">
        <f>IF(A159="","",IFERROR(IF(INDEX(激励事件明细!$P$2:$P$501,MATCH(T159,激励事件明细!$A$2:$A$501,0))=0,"",INDEX(激励事件明细!$P$2:$P$501,MATCH(T159,激励事件明细!$A$2:$A$501,0))),""))</f>
        <v/>
      </c>
      <c r="Q159" s="4" t="str">
        <f t="shared" si="15"/>
        <v>无效</v>
      </c>
      <c r="R159" s="4" t="str">
        <f t="shared" ca="1" si="16"/>
        <v>异常：必须关联有效事件编号或税额批次</v>
      </c>
      <c r="S159" s="9"/>
      <c r="T159" s="4" t="str">
        <f>IF(D159&lt;&gt;"",IF(COUNTIF(激励事件明细!$A$2:$A$501,D159)=1,D159,""),IF(E159&lt;&gt;"",IFERROR(INDEX(激励事件明细!$A$2:$A$501,MATCH(E159,激励事件明细!$B$2:$B$501,0)),""),""))</f>
        <v/>
      </c>
      <c r="U159" s="4" t="str">
        <f>IF(T159="","",IFERROR(INDEX(激励事件明细!$B$2:$B$501,MATCH(T159,激励事件明细!$A$2:$A$501,0)),""))</f>
        <v/>
      </c>
      <c r="V159" s="4" t="str">
        <f>IF(A159="","",COUNTIF($A$2:A159,A159))</f>
        <v/>
      </c>
      <c r="W159" s="4" t="str">
        <f t="shared" si="17"/>
        <v/>
      </c>
    </row>
    <row r="160" spans="1:23" x14ac:dyDescent="0.3">
      <c r="A160" s="4" t="str">
        <f>IF(T160="","",IFERROR(INDEX(激励事件明细!$C$2:$C$501,MATCH(T160,激励事件明细!$A$2:$A$501,0)),""))</f>
        <v/>
      </c>
      <c r="B160" s="4" t="str">
        <f>IF(A160="","",IFERROR(INDEX(激励事件明细!$D$2:$D$501,MATCH(T160,激励事件明细!$A$2:$A$501,0)),""))</f>
        <v/>
      </c>
      <c r="C160" s="4" t="str">
        <f>IF(A160="","",IFERROR(INDEX(激励事件明细!$H$2:$H$501,MATCH(T160,激励事件明细!$A$2:$A$501,0)),""))</f>
        <v/>
      </c>
      <c r="D160" s="9"/>
      <c r="E160" s="9"/>
      <c r="F160" s="15" t="str">
        <f>IF(A160="","",IFERROR(INDEX(激励事件明细!$AA$2:$AA$501,MATCH(T160,激励事件明细!$A$2:$A$501,0)),""))</f>
        <v/>
      </c>
      <c r="G160" s="17" t="str">
        <f>IF(A160="","",IFERROR(INDEX(激励事件明细!$AB$2:$AB$501,MATCH(T160,激励事件明细!$A$2:$A$501,0)),""))</f>
        <v/>
      </c>
      <c r="H160" s="17" t="str">
        <f>IF(A160="","",IFERROR(INDEX(激励事件明细!$AC$2:$AC$501,MATCH(T160,激励事件明细!$A$2:$A$501,0)),""))</f>
        <v/>
      </c>
      <c r="I160" s="13"/>
      <c r="J160" s="14"/>
      <c r="K160" s="14"/>
      <c r="L160" s="9"/>
      <c r="M160" s="15" t="str">
        <f t="shared" si="12"/>
        <v/>
      </c>
      <c r="N160" s="15" t="str">
        <f t="shared" si="13"/>
        <v/>
      </c>
      <c r="O160" s="4" t="str">
        <f t="shared" ca="1" si="14"/>
        <v/>
      </c>
      <c r="P160" s="17" t="str">
        <f>IF(A160="","",IFERROR(IF(INDEX(激励事件明细!$P$2:$P$501,MATCH(T160,激励事件明细!$A$2:$A$501,0))=0,"",INDEX(激励事件明细!$P$2:$P$501,MATCH(T160,激励事件明细!$A$2:$A$501,0))),""))</f>
        <v/>
      </c>
      <c r="Q160" s="4" t="str">
        <f t="shared" si="15"/>
        <v>无效</v>
      </c>
      <c r="R160" s="4" t="str">
        <f t="shared" ca="1" si="16"/>
        <v>异常：必须关联有效事件编号或税额批次</v>
      </c>
      <c r="S160" s="9"/>
      <c r="T160" s="4" t="str">
        <f>IF(D160&lt;&gt;"",IF(COUNTIF(激励事件明细!$A$2:$A$501,D160)=1,D160,""),IF(E160&lt;&gt;"",IFERROR(INDEX(激励事件明细!$A$2:$A$501,MATCH(E160,激励事件明细!$B$2:$B$501,0)),""),""))</f>
        <v/>
      </c>
      <c r="U160" s="4" t="str">
        <f>IF(T160="","",IFERROR(INDEX(激励事件明细!$B$2:$B$501,MATCH(T160,激励事件明细!$A$2:$A$501,0)),""))</f>
        <v/>
      </c>
      <c r="V160" s="4" t="str">
        <f>IF(A160="","",COUNTIF($A$2:A160,A160))</f>
        <v/>
      </c>
      <c r="W160" s="4" t="str">
        <f t="shared" si="17"/>
        <v/>
      </c>
    </row>
    <row r="161" spans="1:23" x14ac:dyDescent="0.3">
      <c r="A161" s="4" t="str">
        <f>IF(T161="","",IFERROR(INDEX(激励事件明细!$C$2:$C$501,MATCH(T161,激励事件明细!$A$2:$A$501,0)),""))</f>
        <v/>
      </c>
      <c r="B161" s="4" t="str">
        <f>IF(A161="","",IFERROR(INDEX(激励事件明细!$D$2:$D$501,MATCH(T161,激励事件明细!$A$2:$A$501,0)),""))</f>
        <v/>
      </c>
      <c r="C161" s="4" t="str">
        <f>IF(A161="","",IFERROR(INDEX(激励事件明细!$H$2:$H$501,MATCH(T161,激励事件明细!$A$2:$A$501,0)),""))</f>
        <v/>
      </c>
      <c r="D161" s="9"/>
      <c r="E161" s="9"/>
      <c r="F161" s="15" t="str">
        <f>IF(A161="","",IFERROR(INDEX(激励事件明细!$AA$2:$AA$501,MATCH(T161,激励事件明细!$A$2:$A$501,0)),""))</f>
        <v/>
      </c>
      <c r="G161" s="17" t="str">
        <f>IF(A161="","",IFERROR(INDEX(激励事件明细!$AB$2:$AB$501,MATCH(T161,激励事件明细!$A$2:$A$501,0)),""))</f>
        <v/>
      </c>
      <c r="H161" s="17" t="str">
        <f>IF(A161="","",IFERROR(INDEX(激励事件明细!$AC$2:$AC$501,MATCH(T161,激励事件明细!$A$2:$A$501,0)),""))</f>
        <v/>
      </c>
      <c r="I161" s="13"/>
      <c r="J161" s="14"/>
      <c r="K161" s="14"/>
      <c r="L161" s="9"/>
      <c r="M161" s="15" t="str">
        <f t="shared" si="12"/>
        <v/>
      </c>
      <c r="N161" s="15" t="str">
        <f t="shared" si="13"/>
        <v/>
      </c>
      <c r="O161" s="4" t="str">
        <f t="shared" ca="1" si="14"/>
        <v/>
      </c>
      <c r="P161" s="17" t="str">
        <f>IF(A161="","",IFERROR(IF(INDEX(激励事件明细!$P$2:$P$501,MATCH(T161,激励事件明细!$A$2:$A$501,0))=0,"",INDEX(激励事件明细!$P$2:$P$501,MATCH(T161,激励事件明细!$A$2:$A$501,0))),""))</f>
        <v/>
      </c>
      <c r="Q161" s="4" t="str">
        <f t="shared" si="15"/>
        <v>无效</v>
      </c>
      <c r="R161" s="4" t="str">
        <f t="shared" ca="1" si="16"/>
        <v>异常：必须关联有效事件编号或税额批次</v>
      </c>
      <c r="S161" s="9"/>
      <c r="T161" s="4" t="str">
        <f>IF(D161&lt;&gt;"",IF(COUNTIF(激励事件明细!$A$2:$A$501,D161)=1,D161,""),IF(E161&lt;&gt;"",IFERROR(INDEX(激励事件明细!$A$2:$A$501,MATCH(E161,激励事件明细!$B$2:$B$501,0)),""),""))</f>
        <v/>
      </c>
      <c r="U161" s="4" t="str">
        <f>IF(T161="","",IFERROR(INDEX(激励事件明细!$B$2:$B$501,MATCH(T161,激励事件明细!$A$2:$A$501,0)),""))</f>
        <v/>
      </c>
      <c r="V161" s="4" t="str">
        <f>IF(A161="","",COUNTIF($A$2:A161,A161))</f>
        <v/>
      </c>
      <c r="W161" s="4" t="str">
        <f t="shared" si="17"/>
        <v/>
      </c>
    </row>
    <row r="162" spans="1:23" x14ac:dyDescent="0.3">
      <c r="A162" s="4" t="str">
        <f>IF(T162="","",IFERROR(INDEX(激励事件明细!$C$2:$C$501,MATCH(T162,激励事件明细!$A$2:$A$501,0)),""))</f>
        <v/>
      </c>
      <c r="B162" s="4" t="str">
        <f>IF(A162="","",IFERROR(INDEX(激励事件明细!$D$2:$D$501,MATCH(T162,激励事件明细!$A$2:$A$501,0)),""))</f>
        <v/>
      </c>
      <c r="C162" s="4" t="str">
        <f>IF(A162="","",IFERROR(INDEX(激励事件明细!$H$2:$H$501,MATCH(T162,激励事件明细!$A$2:$A$501,0)),""))</f>
        <v/>
      </c>
      <c r="D162" s="9"/>
      <c r="E162" s="9"/>
      <c r="F162" s="15" t="str">
        <f>IF(A162="","",IFERROR(INDEX(激励事件明细!$AA$2:$AA$501,MATCH(T162,激励事件明细!$A$2:$A$501,0)),""))</f>
        <v/>
      </c>
      <c r="G162" s="17" t="str">
        <f>IF(A162="","",IFERROR(INDEX(激励事件明细!$AB$2:$AB$501,MATCH(T162,激励事件明细!$A$2:$A$501,0)),""))</f>
        <v/>
      </c>
      <c r="H162" s="17" t="str">
        <f>IF(A162="","",IFERROR(INDEX(激励事件明细!$AC$2:$AC$501,MATCH(T162,激励事件明细!$A$2:$A$501,0)),""))</f>
        <v/>
      </c>
      <c r="I162" s="13"/>
      <c r="J162" s="14"/>
      <c r="K162" s="14"/>
      <c r="L162" s="9"/>
      <c r="M162" s="15" t="str">
        <f t="shared" si="12"/>
        <v/>
      </c>
      <c r="N162" s="15" t="str">
        <f t="shared" si="13"/>
        <v/>
      </c>
      <c r="O162" s="4" t="str">
        <f t="shared" ca="1" si="14"/>
        <v/>
      </c>
      <c r="P162" s="17" t="str">
        <f>IF(A162="","",IFERROR(IF(INDEX(激励事件明细!$P$2:$P$501,MATCH(T162,激励事件明细!$A$2:$A$501,0))=0,"",INDEX(激励事件明细!$P$2:$P$501,MATCH(T162,激励事件明细!$A$2:$A$501,0))),""))</f>
        <v/>
      </c>
      <c r="Q162" s="4" t="str">
        <f t="shared" si="15"/>
        <v>无效</v>
      </c>
      <c r="R162" s="4" t="str">
        <f t="shared" ca="1" si="16"/>
        <v>异常：必须关联有效事件编号或税额批次</v>
      </c>
      <c r="S162" s="9"/>
      <c r="T162" s="4" t="str">
        <f>IF(D162&lt;&gt;"",IF(COUNTIF(激励事件明细!$A$2:$A$501,D162)=1,D162,""),IF(E162&lt;&gt;"",IFERROR(INDEX(激励事件明细!$A$2:$A$501,MATCH(E162,激励事件明细!$B$2:$B$501,0)),""),""))</f>
        <v/>
      </c>
      <c r="U162" s="4" t="str">
        <f>IF(T162="","",IFERROR(INDEX(激励事件明细!$B$2:$B$501,MATCH(T162,激励事件明细!$A$2:$A$501,0)),""))</f>
        <v/>
      </c>
      <c r="V162" s="4" t="str">
        <f>IF(A162="","",COUNTIF($A$2:A162,A162))</f>
        <v/>
      </c>
      <c r="W162" s="4" t="str">
        <f t="shared" si="17"/>
        <v/>
      </c>
    </row>
    <row r="163" spans="1:23" x14ac:dyDescent="0.3">
      <c r="A163" s="4" t="str">
        <f>IF(T163="","",IFERROR(INDEX(激励事件明细!$C$2:$C$501,MATCH(T163,激励事件明细!$A$2:$A$501,0)),""))</f>
        <v/>
      </c>
      <c r="B163" s="4" t="str">
        <f>IF(A163="","",IFERROR(INDEX(激励事件明细!$D$2:$D$501,MATCH(T163,激励事件明细!$A$2:$A$501,0)),""))</f>
        <v/>
      </c>
      <c r="C163" s="4" t="str">
        <f>IF(A163="","",IFERROR(INDEX(激励事件明细!$H$2:$H$501,MATCH(T163,激励事件明细!$A$2:$A$501,0)),""))</f>
        <v/>
      </c>
      <c r="D163" s="9"/>
      <c r="E163" s="9"/>
      <c r="F163" s="15" t="str">
        <f>IF(A163="","",IFERROR(INDEX(激励事件明细!$AA$2:$AA$501,MATCH(T163,激励事件明细!$A$2:$A$501,0)),""))</f>
        <v/>
      </c>
      <c r="G163" s="17" t="str">
        <f>IF(A163="","",IFERROR(INDEX(激励事件明细!$AB$2:$AB$501,MATCH(T163,激励事件明细!$A$2:$A$501,0)),""))</f>
        <v/>
      </c>
      <c r="H163" s="17" t="str">
        <f>IF(A163="","",IFERROR(INDEX(激励事件明细!$AC$2:$AC$501,MATCH(T163,激励事件明细!$A$2:$A$501,0)),""))</f>
        <v/>
      </c>
      <c r="I163" s="13"/>
      <c r="J163" s="14"/>
      <c r="K163" s="14"/>
      <c r="L163" s="9"/>
      <c r="M163" s="15" t="str">
        <f t="shared" si="12"/>
        <v/>
      </c>
      <c r="N163" s="15" t="str">
        <f t="shared" si="13"/>
        <v/>
      </c>
      <c r="O163" s="4" t="str">
        <f t="shared" ca="1" si="14"/>
        <v/>
      </c>
      <c r="P163" s="17" t="str">
        <f>IF(A163="","",IFERROR(IF(INDEX(激励事件明细!$P$2:$P$501,MATCH(T163,激励事件明细!$A$2:$A$501,0))=0,"",INDEX(激励事件明细!$P$2:$P$501,MATCH(T163,激励事件明细!$A$2:$A$501,0))),""))</f>
        <v/>
      </c>
      <c r="Q163" s="4" t="str">
        <f t="shared" si="15"/>
        <v>无效</v>
      </c>
      <c r="R163" s="4" t="str">
        <f t="shared" ca="1" si="16"/>
        <v>异常：必须关联有效事件编号或税额批次</v>
      </c>
      <c r="S163" s="9"/>
      <c r="T163" s="4" t="str">
        <f>IF(D163&lt;&gt;"",IF(COUNTIF(激励事件明细!$A$2:$A$501,D163)=1,D163,""),IF(E163&lt;&gt;"",IFERROR(INDEX(激励事件明细!$A$2:$A$501,MATCH(E163,激励事件明细!$B$2:$B$501,0)),""),""))</f>
        <v/>
      </c>
      <c r="U163" s="4" t="str">
        <f>IF(T163="","",IFERROR(INDEX(激励事件明细!$B$2:$B$501,MATCH(T163,激励事件明细!$A$2:$A$501,0)),""))</f>
        <v/>
      </c>
      <c r="V163" s="4" t="str">
        <f>IF(A163="","",COUNTIF($A$2:A163,A163))</f>
        <v/>
      </c>
      <c r="W163" s="4" t="str">
        <f t="shared" si="17"/>
        <v/>
      </c>
    </row>
    <row r="164" spans="1:23" x14ac:dyDescent="0.3">
      <c r="A164" s="4" t="str">
        <f>IF(T164="","",IFERROR(INDEX(激励事件明细!$C$2:$C$501,MATCH(T164,激励事件明细!$A$2:$A$501,0)),""))</f>
        <v/>
      </c>
      <c r="B164" s="4" t="str">
        <f>IF(A164="","",IFERROR(INDEX(激励事件明细!$D$2:$D$501,MATCH(T164,激励事件明细!$A$2:$A$501,0)),""))</f>
        <v/>
      </c>
      <c r="C164" s="4" t="str">
        <f>IF(A164="","",IFERROR(INDEX(激励事件明细!$H$2:$H$501,MATCH(T164,激励事件明细!$A$2:$A$501,0)),""))</f>
        <v/>
      </c>
      <c r="D164" s="9"/>
      <c r="E164" s="9"/>
      <c r="F164" s="15" t="str">
        <f>IF(A164="","",IFERROR(INDEX(激励事件明细!$AA$2:$AA$501,MATCH(T164,激励事件明细!$A$2:$A$501,0)),""))</f>
        <v/>
      </c>
      <c r="G164" s="17" t="str">
        <f>IF(A164="","",IFERROR(INDEX(激励事件明细!$AB$2:$AB$501,MATCH(T164,激励事件明细!$A$2:$A$501,0)),""))</f>
        <v/>
      </c>
      <c r="H164" s="17" t="str">
        <f>IF(A164="","",IFERROR(INDEX(激励事件明细!$AC$2:$AC$501,MATCH(T164,激励事件明细!$A$2:$A$501,0)),""))</f>
        <v/>
      </c>
      <c r="I164" s="13"/>
      <c r="J164" s="14"/>
      <c r="K164" s="14"/>
      <c r="L164" s="9"/>
      <c r="M164" s="15" t="str">
        <f t="shared" si="12"/>
        <v/>
      </c>
      <c r="N164" s="15" t="str">
        <f t="shared" si="13"/>
        <v/>
      </c>
      <c r="O164" s="4" t="str">
        <f t="shared" ca="1" si="14"/>
        <v/>
      </c>
      <c r="P164" s="17" t="str">
        <f>IF(A164="","",IFERROR(IF(INDEX(激励事件明细!$P$2:$P$501,MATCH(T164,激励事件明细!$A$2:$A$501,0))=0,"",INDEX(激励事件明细!$P$2:$P$501,MATCH(T164,激励事件明细!$A$2:$A$501,0))),""))</f>
        <v/>
      </c>
      <c r="Q164" s="4" t="str">
        <f t="shared" si="15"/>
        <v>无效</v>
      </c>
      <c r="R164" s="4" t="str">
        <f t="shared" ca="1" si="16"/>
        <v>异常：必须关联有效事件编号或税额批次</v>
      </c>
      <c r="S164" s="9"/>
      <c r="T164" s="4" t="str">
        <f>IF(D164&lt;&gt;"",IF(COUNTIF(激励事件明细!$A$2:$A$501,D164)=1,D164,""),IF(E164&lt;&gt;"",IFERROR(INDEX(激励事件明细!$A$2:$A$501,MATCH(E164,激励事件明细!$B$2:$B$501,0)),""),""))</f>
        <v/>
      </c>
      <c r="U164" s="4" t="str">
        <f>IF(T164="","",IFERROR(INDEX(激励事件明细!$B$2:$B$501,MATCH(T164,激励事件明细!$A$2:$A$501,0)),""))</f>
        <v/>
      </c>
      <c r="V164" s="4" t="str">
        <f>IF(A164="","",COUNTIF($A$2:A164,A164))</f>
        <v/>
      </c>
      <c r="W164" s="4" t="str">
        <f t="shared" si="17"/>
        <v/>
      </c>
    </row>
    <row r="165" spans="1:23" x14ac:dyDescent="0.3">
      <c r="A165" s="4" t="str">
        <f>IF(T165="","",IFERROR(INDEX(激励事件明细!$C$2:$C$501,MATCH(T165,激励事件明细!$A$2:$A$501,0)),""))</f>
        <v/>
      </c>
      <c r="B165" s="4" t="str">
        <f>IF(A165="","",IFERROR(INDEX(激励事件明细!$D$2:$D$501,MATCH(T165,激励事件明细!$A$2:$A$501,0)),""))</f>
        <v/>
      </c>
      <c r="C165" s="4" t="str">
        <f>IF(A165="","",IFERROR(INDEX(激励事件明细!$H$2:$H$501,MATCH(T165,激励事件明细!$A$2:$A$501,0)),""))</f>
        <v/>
      </c>
      <c r="D165" s="9"/>
      <c r="E165" s="9"/>
      <c r="F165" s="15" t="str">
        <f>IF(A165="","",IFERROR(INDEX(激励事件明细!$AA$2:$AA$501,MATCH(T165,激励事件明细!$A$2:$A$501,0)),""))</f>
        <v/>
      </c>
      <c r="G165" s="17" t="str">
        <f>IF(A165="","",IFERROR(INDEX(激励事件明细!$AB$2:$AB$501,MATCH(T165,激励事件明细!$A$2:$A$501,0)),""))</f>
        <v/>
      </c>
      <c r="H165" s="17" t="str">
        <f>IF(A165="","",IFERROR(INDEX(激励事件明细!$AC$2:$AC$501,MATCH(T165,激励事件明细!$A$2:$A$501,0)),""))</f>
        <v/>
      </c>
      <c r="I165" s="13"/>
      <c r="J165" s="14"/>
      <c r="K165" s="14"/>
      <c r="L165" s="9"/>
      <c r="M165" s="15" t="str">
        <f t="shared" si="12"/>
        <v/>
      </c>
      <c r="N165" s="15" t="str">
        <f t="shared" si="13"/>
        <v/>
      </c>
      <c r="O165" s="4" t="str">
        <f t="shared" ca="1" si="14"/>
        <v/>
      </c>
      <c r="P165" s="17" t="str">
        <f>IF(A165="","",IFERROR(IF(INDEX(激励事件明细!$P$2:$P$501,MATCH(T165,激励事件明细!$A$2:$A$501,0))=0,"",INDEX(激励事件明细!$P$2:$P$501,MATCH(T165,激励事件明细!$A$2:$A$501,0))),""))</f>
        <v/>
      </c>
      <c r="Q165" s="4" t="str">
        <f t="shared" si="15"/>
        <v>无效</v>
      </c>
      <c r="R165" s="4" t="str">
        <f t="shared" ca="1" si="16"/>
        <v>异常：必须关联有效事件编号或税额批次</v>
      </c>
      <c r="S165" s="9"/>
      <c r="T165" s="4" t="str">
        <f>IF(D165&lt;&gt;"",IF(COUNTIF(激励事件明细!$A$2:$A$501,D165)=1,D165,""),IF(E165&lt;&gt;"",IFERROR(INDEX(激励事件明细!$A$2:$A$501,MATCH(E165,激励事件明细!$B$2:$B$501,0)),""),""))</f>
        <v/>
      </c>
      <c r="U165" s="4" t="str">
        <f>IF(T165="","",IFERROR(INDEX(激励事件明细!$B$2:$B$501,MATCH(T165,激励事件明细!$A$2:$A$501,0)),""))</f>
        <v/>
      </c>
      <c r="V165" s="4" t="str">
        <f>IF(A165="","",COUNTIF($A$2:A165,A165))</f>
        <v/>
      </c>
      <c r="W165" s="4" t="str">
        <f t="shared" si="17"/>
        <v/>
      </c>
    </row>
    <row r="166" spans="1:23" x14ac:dyDescent="0.3">
      <c r="A166" s="4" t="str">
        <f>IF(T166="","",IFERROR(INDEX(激励事件明细!$C$2:$C$501,MATCH(T166,激励事件明细!$A$2:$A$501,0)),""))</f>
        <v/>
      </c>
      <c r="B166" s="4" t="str">
        <f>IF(A166="","",IFERROR(INDEX(激励事件明细!$D$2:$D$501,MATCH(T166,激励事件明细!$A$2:$A$501,0)),""))</f>
        <v/>
      </c>
      <c r="C166" s="4" t="str">
        <f>IF(A166="","",IFERROR(INDEX(激励事件明细!$H$2:$H$501,MATCH(T166,激励事件明细!$A$2:$A$501,0)),""))</f>
        <v/>
      </c>
      <c r="D166" s="9"/>
      <c r="E166" s="9"/>
      <c r="F166" s="15" t="str">
        <f>IF(A166="","",IFERROR(INDEX(激励事件明细!$AA$2:$AA$501,MATCH(T166,激励事件明细!$A$2:$A$501,0)),""))</f>
        <v/>
      </c>
      <c r="G166" s="17" t="str">
        <f>IF(A166="","",IFERROR(INDEX(激励事件明细!$AB$2:$AB$501,MATCH(T166,激励事件明细!$A$2:$A$501,0)),""))</f>
        <v/>
      </c>
      <c r="H166" s="17" t="str">
        <f>IF(A166="","",IFERROR(INDEX(激励事件明细!$AC$2:$AC$501,MATCH(T166,激励事件明细!$A$2:$A$501,0)),""))</f>
        <v/>
      </c>
      <c r="I166" s="13"/>
      <c r="J166" s="14"/>
      <c r="K166" s="14"/>
      <c r="L166" s="9"/>
      <c r="M166" s="15" t="str">
        <f t="shared" si="12"/>
        <v/>
      </c>
      <c r="N166" s="15" t="str">
        <f t="shared" si="13"/>
        <v/>
      </c>
      <c r="O166" s="4" t="str">
        <f t="shared" ca="1" si="14"/>
        <v/>
      </c>
      <c r="P166" s="17" t="str">
        <f>IF(A166="","",IFERROR(IF(INDEX(激励事件明细!$P$2:$P$501,MATCH(T166,激励事件明细!$A$2:$A$501,0))=0,"",INDEX(激励事件明细!$P$2:$P$501,MATCH(T166,激励事件明细!$A$2:$A$501,0))),""))</f>
        <v/>
      </c>
      <c r="Q166" s="4" t="str">
        <f t="shared" si="15"/>
        <v>无效</v>
      </c>
      <c r="R166" s="4" t="str">
        <f t="shared" ca="1" si="16"/>
        <v>异常：必须关联有效事件编号或税额批次</v>
      </c>
      <c r="S166" s="9"/>
      <c r="T166" s="4" t="str">
        <f>IF(D166&lt;&gt;"",IF(COUNTIF(激励事件明细!$A$2:$A$501,D166)=1,D166,""),IF(E166&lt;&gt;"",IFERROR(INDEX(激励事件明细!$A$2:$A$501,MATCH(E166,激励事件明细!$B$2:$B$501,0)),""),""))</f>
        <v/>
      </c>
      <c r="U166" s="4" t="str">
        <f>IF(T166="","",IFERROR(INDEX(激励事件明细!$B$2:$B$501,MATCH(T166,激励事件明细!$A$2:$A$501,0)),""))</f>
        <v/>
      </c>
      <c r="V166" s="4" t="str">
        <f>IF(A166="","",COUNTIF($A$2:A166,A166))</f>
        <v/>
      </c>
      <c r="W166" s="4" t="str">
        <f t="shared" si="17"/>
        <v/>
      </c>
    </row>
    <row r="167" spans="1:23" x14ac:dyDescent="0.3">
      <c r="A167" s="4" t="str">
        <f>IF(T167="","",IFERROR(INDEX(激励事件明细!$C$2:$C$501,MATCH(T167,激励事件明细!$A$2:$A$501,0)),""))</f>
        <v/>
      </c>
      <c r="B167" s="4" t="str">
        <f>IF(A167="","",IFERROR(INDEX(激励事件明细!$D$2:$D$501,MATCH(T167,激励事件明细!$A$2:$A$501,0)),""))</f>
        <v/>
      </c>
      <c r="C167" s="4" t="str">
        <f>IF(A167="","",IFERROR(INDEX(激励事件明细!$H$2:$H$501,MATCH(T167,激励事件明细!$A$2:$A$501,0)),""))</f>
        <v/>
      </c>
      <c r="D167" s="9"/>
      <c r="E167" s="9"/>
      <c r="F167" s="15" t="str">
        <f>IF(A167="","",IFERROR(INDEX(激励事件明细!$AA$2:$AA$501,MATCH(T167,激励事件明细!$A$2:$A$501,0)),""))</f>
        <v/>
      </c>
      <c r="G167" s="17" t="str">
        <f>IF(A167="","",IFERROR(INDEX(激励事件明细!$AB$2:$AB$501,MATCH(T167,激励事件明细!$A$2:$A$501,0)),""))</f>
        <v/>
      </c>
      <c r="H167" s="17" t="str">
        <f>IF(A167="","",IFERROR(INDEX(激励事件明细!$AC$2:$AC$501,MATCH(T167,激励事件明细!$A$2:$A$501,0)),""))</f>
        <v/>
      </c>
      <c r="I167" s="13"/>
      <c r="J167" s="14"/>
      <c r="K167" s="14"/>
      <c r="L167" s="9"/>
      <c r="M167" s="15" t="str">
        <f t="shared" si="12"/>
        <v/>
      </c>
      <c r="N167" s="15" t="str">
        <f t="shared" si="13"/>
        <v/>
      </c>
      <c r="O167" s="4" t="str">
        <f t="shared" ca="1" si="14"/>
        <v/>
      </c>
      <c r="P167" s="17" t="str">
        <f>IF(A167="","",IFERROR(IF(INDEX(激励事件明细!$P$2:$P$501,MATCH(T167,激励事件明细!$A$2:$A$501,0))=0,"",INDEX(激励事件明细!$P$2:$P$501,MATCH(T167,激励事件明细!$A$2:$A$501,0))),""))</f>
        <v/>
      </c>
      <c r="Q167" s="4" t="str">
        <f t="shared" si="15"/>
        <v>无效</v>
      </c>
      <c r="R167" s="4" t="str">
        <f t="shared" ca="1" si="16"/>
        <v>异常：必须关联有效事件编号或税额批次</v>
      </c>
      <c r="S167" s="9"/>
      <c r="T167" s="4" t="str">
        <f>IF(D167&lt;&gt;"",IF(COUNTIF(激励事件明细!$A$2:$A$501,D167)=1,D167,""),IF(E167&lt;&gt;"",IFERROR(INDEX(激励事件明细!$A$2:$A$501,MATCH(E167,激励事件明细!$B$2:$B$501,0)),""),""))</f>
        <v/>
      </c>
      <c r="U167" s="4" t="str">
        <f>IF(T167="","",IFERROR(INDEX(激励事件明细!$B$2:$B$501,MATCH(T167,激励事件明细!$A$2:$A$501,0)),""))</f>
        <v/>
      </c>
      <c r="V167" s="4" t="str">
        <f>IF(A167="","",COUNTIF($A$2:A167,A167))</f>
        <v/>
      </c>
      <c r="W167" s="4" t="str">
        <f t="shared" si="17"/>
        <v/>
      </c>
    </row>
    <row r="168" spans="1:23" x14ac:dyDescent="0.3">
      <c r="A168" s="4" t="str">
        <f>IF(T168="","",IFERROR(INDEX(激励事件明细!$C$2:$C$501,MATCH(T168,激励事件明细!$A$2:$A$501,0)),""))</f>
        <v/>
      </c>
      <c r="B168" s="4" t="str">
        <f>IF(A168="","",IFERROR(INDEX(激励事件明细!$D$2:$D$501,MATCH(T168,激励事件明细!$A$2:$A$501,0)),""))</f>
        <v/>
      </c>
      <c r="C168" s="4" t="str">
        <f>IF(A168="","",IFERROR(INDEX(激励事件明细!$H$2:$H$501,MATCH(T168,激励事件明细!$A$2:$A$501,0)),""))</f>
        <v/>
      </c>
      <c r="D168" s="9"/>
      <c r="E168" s="9"/>
      <c r="F168" s="15" t="str">
        <f>IF(A168="","",IFERROR(INDEX(激励事件明细!$AA$2:$AA$501,MATCH(T168,激励事件明细!$A$2:$A$501,0)),""))</f>
        <v/>
      </c>
      <c r="G168" s="17" t="str">
        <f>IF(A168="","",IFERROR(INDEX(激励事件明细!$AB$2:$AB$501,MATCH(T168,激励事件明细!$A$2:$A$501,0)),""))</f>
        <v/>
      </c>
      <c r="H168" s="17" t="str">
        <f>IF(A168="","",IFERROR(INDEX(激励事件明细!$AC$2:$AC$501,MATCH(T168,激励事件明细!$A$2:$A$501,0)),""))</f>
        <v/>
      </c>
      <c r="I168" s="13"/>
      <c r="J168" s="14"/>
      <c r="K168" s="14"/>
      <c r="L168" s="9"/>
      <c r="M168" s="15" t="str">
        <f t="shared" si="12"/>
        <v/>
      </c>
      <c r="N168" s="15" t="str">
        <f t="shared" si="13"/>
        <v/>
      </c>
      <c r="O168" s="4" t="str">
        <f t="shared" ca="1" si="14"/>
        <v/>
      </c>
      <c r="P168" s="17" t="str">
        <f>IF(A168="","",IFERROR(IF(INDEX(激励事件明细!$P$2:$P$501,MATCH(T168,激励事件明细!$A$2:$A$501,0))=0,"",INDEX(激励事件明细!$P$2:$P$501,MATCH(T168,激励事件明细!$A$2:$A$501,0))),""))</f>
        <v/>
      </c>
      <c r="Q168" s="4" t="str">
        <f t="shared" si="15"/>
        <v>无效</v>
      </c>
      <c r="R168" s="4" t="str">
        <f t="shared" ca="1" si="16"/>
        <v>异常：必须关联有效事件编号或税额批次</v>
      </c>
      <c r="S168" s="9"/>
      <c r="T168" s="4" t="str">
        <f>IF(D168&lt;&gt;"",IF(COUNTIF(激励事件明细!$A$2:$A$501,D168)=1,D168,""),IF(E168&lt;&gt;"",IFERROR(INDEX(激励事件明细!$A$2:$A$501,MATCH(E168,激励事件明细!$B$2:$B$501,0)),""),""))</f>
        <v/>
      </c>
      <c r="U168" s="4" t="str">
        <f>IF(T168="","",IFERROR(INDEX(激励事件明细!$B$2:$B$501,MATCH(T168,激励事件明细!$A$2:$A$501,0)),""))</f>
        <v/>
      </c>
      <c r="V168" s="4" t="str">
        <f>IF(A168="","",COUNTIF($A$2:A168,A168))</f>
        <v/>
      </c>
      <c r="W168" s="4" t="str">
        <f t="shared" si="17"/>
        <v/>
      </c>
    </row>
    <row r="169" spans="1:23" x14ac:dyDescent="0.3">
      <c r="A169" s="4" t="str">
        <f>IF(T169="","",IFERROR(INDEX(激励事件明细!$C$2:$C$501,MATCH(T169,激励事件明细!$A$2:$A$501,0)),""))</f>
        <v/>
      </c>
      <c r="B169" s="4" t="str">
        <f>IF(A169="","",IFERROR(INDEX(激励事件明细!$D$2:$D$501,MATCH(T169,激励事件明细!$A$2:$A$501,0)),""))</f>
        <v/>
      </c>
      <c r="C169" s="4" t="str">
        <f>IF(A169="","",IFERROR(INDEX(激励事件明细!$H$2:$H$501,MATCH(T169,激励事件明细!$A$2:$A$501,0)),""))</f>
        <v/>
      </c>
      <c r="D169" s="9"/>
      <c r="E169" s="9"/>
      <c r="F169" s="15" t="str">
        <f>IF(A169="","",IFERROR(INDEX(激励事件明细!$AA$2:$AA$501,MATCH(T169,激励事件明细!$A$2:$A$501,0)),""))</f>
        <v/>
      </c>
      <c r="G169" s="17" t="str">
        <f>IF(A169="","",IFERROR(INDEX(激励事件明细!$AB$2:$AB$501,MATCH(T169,激励事件明细!$A$2:$A$501,0)),""))</f>
        <v/>
      </c>
      <c r="H169" s="17" t="str">
        <f>IF(A169="","",IFERROR(INDEX(激励事件明细!$AC$2:$AC$501,MATCH(T169,激励事件明细!$A$2:$A$501,0)),""))</f>
        <v/>
      </c>
      <c r="I169" s="13"/>
      <c r="J169" s="14"/>
      <c r="K169" s="14"/>
      <c r="L169" s="9"/>
      <c r="M169" s="15" t="str">
        <f t="shared" si="12"/>
        <v/>
      </c>
      <c r="N169" s="15" t="str">
        <f t="shared" si="13"/>
        <v/>
      </c>
      <c r="O169" s="4" t="str">
        <f t="shared" ca="1" si="14"/>
        <v/>
      </c>
      <c r="P169" s="17" t="str">
        <f>IF(A169="","",IFERROR(IF(INDEX(激励事件明细!$P$2:$P$501,MATCH(T169,激励事件明细!$A$2:$A$501,0))=0,"",INDEX(激励事件明细!$P$2:$P$501,MATCH(T169,激励事件明细!$A$2:$A$501,0))),""))</f>
        <v/>
      </c>
      <c r="Q169" s="4" t="str">
        <f t="shared" si="15"/>
        <v>无效</v>
      </c>
      <c r="R169" s="4" t="str">
        <f t="shared" ca="1" si="16"/>
        <v>异常：必须关联有效事件编号或税额批次</v>
      </c>
      <c r="S169" s="9"/>
      <c r="T169" s="4" t="str">
        <f>IF(D169&lt;&gt;"",IF(COUNTIF(激励事件明细!$A$2:$A$501,D169)=1,D169,""),IF(E169&lt;&gt;"",IFERROR(INDEX(激励事件明细!$A$2:$A$501,MATCH(E169,激励事件明细!$B$2:$B$501,0)),""),""))</f>
        <v/>
      </c>
      <c r="U169" s="4" t="str">
        <f>IF(T169="","",IFERROR(INDEX(激励事件明细!$B$2:$B$501,MATCH(T169,激励事件明细!$A$2:$A$501,0)),""))</f>
        <v/>
      </c>
      <c r="V169" s="4" t="str">
        <f>IF(A169="","",COUNTIF($A$2:A169,A169))</f>
        <v/>
      </c>
      <c r="W169" s="4" t="str">
        <f t="shared" si="17"/>
        <v/>
      </c>
    </row>
    <row r="170" spans="1:23" x14ac:dyDescent="0.3">
      <c r="A170" s="4" t="str">
        <f>IF(T170="","",IFERROR(INDEX(激励事件明细!$C$2:$C$501,MATCH(T170,激励事件明细!$A$2:$A$501,0)),""))</f>
        <v/>
      </c>
      <c r="B170" s="4" t="str">
        <f>IF(A170="","",IFERROR(INDEX(激励事件明细!$D$2:$D$501,MATCH(T170,激励事件明细!$A$2:$A$501,0)),""))</f>
        <v/>
      </c>
      <c r="C170" s="4" t="str">
        <f>IF(A170="","",IFERROR(INDEX(激励事件明细!$H$2:$H$501,MATCH(T170,激励事件明细!$A$2:$A$501,0)),""))</f>
        <v/>
      </c>
      <c r="D170" s="9"/>
      <c r="E170" s="9"/>
      <c r="F170" s="15" t="str">
        <f>IF(A170="","",IFERROR(INDEX(激励事件明细!$AA$2:$AA$501,MATCH(T170,激励事件明细!$A$2:$A$501,0)),""))</f>
        <v/>
      </c>
      <c r="G170" s="17" t="str">
        <f>IF(A170="","",IFERROR(INDEX(激励事件明细!$AB$2:$AB$501,MATCH(T170,激励事件明细!$A$2:$A$501,0)),""))</f>
        <v/>
      </c>
      <c r="H170" s="17" t="str">
        <f>IF(A170="","",IFERROR(INDEX(激励事件明细!$AC$2:$AC$501,MATCH(T170,激励事件明细!$A$2:$A$501,0)),""))</f>
        <v/>
      </c>
      <c r="I170" s="13"/>
      <c r="J170" s="14"/>
      <c r="K170" s="14"/>
      <c r="L170" s="9"/>
      <c r="M170" s="15" t="str">
        <f t="shared" si="12"/>
        <v/>
      </c>
      <c r="N170" s="15" t="str">
        <f t="shared" si="13"/>
        <v/>
      </c>
      <c r="O170" s="4" t="str">
        <f t="shared" ca="1" si="14"/>
        <v/>
      </c>
      <c r="P170" s="17" t="str">
        <f>IF(A170="","",IFERROR(IF(INDEX(激励事件明细!$P$2:$P$501,MATCH(T170,激励事件明细!$A$2:$A$501,0))=0,"",INDEX(激励事件明细!$P$2:$P$501,MATCH(T170,激励事件明细!$A$2:$A$501,0))),""))</f>
        <v/>
      </c>
      <c r="Q170" s="4" t="str">
        <f t="shared" si="15"/>
        <v>无效</v>
      </c>
      <c r="R170" s="4" t="str">
        <f t="shared" ca="1" si="16"/>
        <v>异常：必须关联有效事件编号或税额批次</v>
      </c>
      <c r="S170" s="9"/>
      <c r="T170" s="4" t="str">
        <f>IF(D170&lt;&gt;"",IF(COUNTIF(激励事件明细!$A$2:$A$501,D170)=1,D170,""),IF(E170&lt;&gt;"",IFERROR(INDEX(激励事件明细!$A$2:$A$501,MATCH(E170,激励事件明细!$B$2:$B$501,0)),""),""))</f>
        <v/>
      </c>
      <c r="U170" s="4" t="str">
        <f>IF(T170="","",IFERROR(INDEX(激励事件明细!$B$2:$B$501,MATCH(T170,激励事件明细!$A$2:$A$501,0)),""))</f>
        <v/>
      </c>
      <c r="V170" s="4" t="str">
        <f>IF(A170="","",COUNTIF($A$2:A170,A170))</f>
        <v/>
      </c>
      <c r="W170" s="4" t="str">
        <f t="shared" si="17"/>
        <v/>
      </c>
    </row>
    <row r="171" spans="1:23" x14ac:dyDescent="0.3">
      <c r="A171" s="4" t="str">
        <f>IF(T171="","",IFERROR(INDEX(激励事件明细!$C$2:$C$501,MATCH(T171,激励事件明细!$A$2:$A$501,0)),""))</f>
        <v/>
      </c>
      <c r="B171" s="4" t="str">
        <f>IF(A171="","",IFERROR(INDEX(激励事件明细!$D$2:$D$501,MATCH(T171,激励事件明细!$A$2:$A$501,0)),""))</f>
        <v/>
      </c>
      <c r="C171" s="4" t="str">
        <f>IF(A171="","",IFERROR(INDEX(激励事件明细!$H$2:$H$501,MATCH(T171,激励事件明细!$A$2:$A$501,0)),""))</f>
        <v/>
      </c>
      <c r="D171" s="9"/>
      <c r="E171" s="9"/>
      <c r="F171" s="15" t="str">
        <f>IF(A171="","",IFERROR(INDEX(激励事件明细!$AA$2:$AA$501,MATCH(T171,激励事件明细!$A$2:$A$501,0)),""))</f>
        <v/>
      </c>
      <c r="G171" s="17" t="str">
        <f>IF(A171="","",IFERROR(INDEX(激励事件明细!$AB$2:$AB$501,MATCH(T171,激励事件明细!$A$2:$A$501,0)),""))</f>
        <v/>
      </c>
      <c r="H171" s="17" t="str">
        <f>IF(A171="","",IFERROR(INDEX(激励事件明细!$AC$2:$AC$501,MATCH(T171,激励事件明细!$A$2:$A$501,0)),""))</f>
        <v/>
      </c>
      <c r="I171" s="13"/>
      <c r="J171" s="14"/>
      <c r="K171" s="14"/>
      <c r="L171" s="9"/>
      <c r="M171" s="15" t="str">
        <f t="shared" si="12"/>
        <v/>
      </c>
      <c r="N171" s="15" t="str">
        <f t="shared" si="13"/>
        <v/>
      </c>
      <c r="O171" s="4" t="str">
        <f t="shared" ca="1" si="14"/>
        <v/>
      </c>
      <c r="P171" s="17" t="str">
        <f>IF(A171="","",IFERROR(IF(INDEX(激励事件明细!$P$2:$P$501,MATCH(T171,激励事件明细!$A$2:$A$501,0))=0,"",INDEX(激励事件明细!$P$2:$P$501,MATCH(T171,激励事件明细!$A$2:$A$501,0))),""))</f>
        <v/>
      </c>
      <c r="Q171" s="4" t="str">
        <f t="shared" si="15"/>
        <v>无效</v>
      </c>
      <c r="R171" s="4" t="str">
        <f t="shared" ca="1" si="16"/>
        <v>异常：必须关联有效事件编号或税额批次</v>
      </c>
      <c r="S171" s="9"/>
      <c r="T171" s="4" t="str">
        <f>IF(D171&lt;&gt;"",IF(COUNTIF(激励事件明细!$A$2:$A$501,D171)=1,D171,""),IF(E171&lt;&gt;"",IFERROR(INDEX(激励事件明细!$A$2:$A$501,MATCH(E171,激励事件明细!$B$2:$B$501,0)),""),""))</f>
        <v/>
      </c>
      <c r="U171" s="4" t="str">
        <f>IF(T171="","",IFERROR(INDEX(激励事件明细!$B$2:$B$501,MATCH(T171,激励事件明细!$A$2:$A$501,0)),""))</f>
        <v/>
      </c>
      <c r="V171" s="4" t="str">
        <f>IF(A171="","",COUNTIF($A$2:A171,A171))</f>
        <v/>
      </c>
      <c r="W171" s="4" t="str">
        <f t="shared" si="17"/>
        <v/>
      </c>
    </row>
    <row r="172" spans="1:23" x14ac:dyDescent="0.3">
      <c r="A172" s="4" t="str">
        <f>IF(T172="","",IFERROR(INDEX(激励事件明细!$C$2:$C$501,MATCH(T172,激励事件明细!$A$2:$A$501,0)),""))</f>
        <v/>
      </c>
      <c r="B172" s="4" t="str">
        <f>IF(A172="","",IFERROR(INDEX(激励事件明细!$D$2:$D$501,MATCH(T172,激励事件明细!$A$2:$A$501,0)),""))</f>
        <v/>
      </c>
      <c r="C172" s="4" t="str">
        <f>IF(A172="","",IFERROR(INDEX(激励事件明细!$H$2:$H$501,MATCH(T172,激励事件明细!$A$2:$A$501,0)),""))</f>
        <v/>
      </c>
      <c r="D172" s="9"/>
      <c r="E172" s="9"/>
      <c r="F172" s="15" t="str">
        <f>IF(A172="","",IFERROR(INDEX(激励事件明细!$AA$2:$AA$501,MATCH(T172,激励事件明细!$A$2:$A$501,0)),""))</f>
        <v/>
      </c>
      <c r="G172" s="17" t="str">
        <f>IF(A172="","",IFERROR(INDEX(激励事件明细!$AB$2:$AB$501,MATCH(T172,激励事件明细!$A$2:$A$501,0)),""))</f>
        <v/>
      </c>
      <c r="H172" s="17" t="str">
        <f>IF(A172="","",IFERROR(INDEX(激励事件明细!$AC$2:$AC$501,MATCH(T172,激励事件明细!$A$2:$A$501,0)),""))</f>
        <v/>
      </c>
      <c r="I172" s="13"/>
      <c r="J172" s="14"/>
      <c r="K172" s="14"/>
      <c r="L172" s="9"/>
      <c r="M172" s="15" t="str">
        <f t="shared" si="12"/>
        <v/>
      </c>
      <c r="N172" s="15" t="str">
        <f t="shared" si="13"/>
        <v/>
      </c>
      <c r="O172" s="4" t="str">
        <f t="shared" ca="1" si="14"/>
        <v/>
      </c>
      <c r="P172" s="17" t="str">
        <f>IF(A172="","",IFERROR(IF(INDEX(激励事件明细!$P$2:$P$501,MATCH(T172,激励事件明细!$A$2:$A$501,0))=0,"",INDEX(激励事件明细!$P$2:$P$501,MATCH(T172,激励事件明细!$A$2:$A$501,0))),""))</f>
        <v/>
      </c>
      <c r="Q172" s="4" t="str">
        <f t="shared" si="15"/>
        <v>无效</v>
      </c>
      <c r="R172" s="4" t="str">
        <f t="shared" ca="1" si="16"/>
        <v>异常：必须关联有效事件编号或税额批次</v>
      </c>
      <c r="S172" s="9"/>
      <c r="T172" s="4" t="str">
        <f>IF(D172&lt;&gt;"",IF(COUNTIF(激励事件明细!$A$2:$A$501,D172)=1,D172,""),IF(E172&lt;&gt;"",IFERROR(INDEX(激励事件明细!$A$2:$A$501,MATCH(E172,激励事件明细!$B$2:$B$501,0)),""),""))</f>
        <v/>
      </c>
      <c r="U172" s="4" t="str">
        <f>IF(T172="","",IFERROR(INDEX(激励事件明细!$B$2:$B$501,MATCH(T172,激励事件明细!$A$2:$A$501,0)),""))</f>
        <v/>
      </c>
      <c r="V172" s="4" t="str">
        <f>IF(A172="","",COUNTIF($A$2:A172,A172))</f>
        <v/>
      </c>
      <c r="W172" s="4" t="str">
        <f t="shared" si="17"/>
        <v/>
      </c>
    </row>
    <row r="173" spans="1:23" x14ac:dyDescent="0.3">
      <c r="A173" s="4" t="str">
        <f>IF(T173="","",IFERROR(INDEX(激励事件明细!$C$2:$C$501,MATCH(T173,激励事件明细!$A$2:$A$501,0)),""))</f>
        <v/>
      </c>
      <c r="B173" s="4" t="str">
        <f>IF(A173="","",IFERROR(INDEX(激励事件明细!$D$2:$D$501,MATCH(T173,激励事件明细!$A$2:$A$501,0)),""))</f>
        <v/>
      </c>
      <c r="C173" s="4" t="str">
        <f>IF(A173="","",IFERROR(INDEX(激励事件明细!$H$2:$H$501,MATCH(T173,激励事件明细!$A$2:$A$501,0)),""))</f>
        <v/>
      </c>
      <c r="D173" s="9"/>
      <c r="E173" s="9"/>
      <c r="F173" s="15" t="str">
        <f>IF(A173="","",IFERROR(INDEX(激励事件明细!$AA$2:$AA$501,MATCH(T173,激励事件明细!$A$2:$A$501,0)),""))</f>
        <v/>
      </c>
      <c r="G173" s="17" t="str">
        <f>IF(A173="","",IFERROR(INDEX(激励事件明细!$AB$2:$AB$501,MATCH(T173,激励事件明细!$A$2:$A$501,0)),""))</f>
        <v/>
      </c>
      <c r="H173" s="17" t="str">
        <f>IF(A173="","",IFERROR(INDEX(激励事件明细!$AC$2:$AC$501,MATCH(T173,激励事件明细!$A$2:$A$501,0)),""))</f>
        <v/>
      </c>
      <c r="I173" s="13"/>
      <c r="J173" s="14"/>
      <c r="K173" s="14"/>
      <c r="L173" s="9"/>
      <c r="M173" s="15" t="str">
        <f t="shared" si="12"/>
        <v/>
      </c>
      <c r="N173" s="15" t="str">
        <f t="shared" si="13"/>
        <v/>
      </c>
      <c r="O173" s="4" t="str">
        <f t="shared" ca="1" si="14"/>
        <v/>
      </c>
      <c r="P173" s="17" t="str">
        <f>IF(A173="","",IFERROR(IF(INDEX(激励事件明细!$P$2:$P$501,MATCH(T173,激励事件明细!$A$2:$A$501,0))=0,"",INDEX(激励事件明细!$P$2:$P$501,MATCH(T173,激励事件明细!$A$2:$A$501,0))),""))</f>
        <v/>
      </c>
      <c r="Q173" s="4" t="str">
        <f t="shared" si="15"/>
        <v>无效</v>
      </c>
      <c r="R173" s="4" t="str">
        <f t="shared" ca="1" si="16"/>
        <v>异常：必须关联有效事件编号或税额批次</v>
      </c>
      <c r="S173" s="9"/>
      <c r="T173" s="4" t="str">
        <f>IF(D173&lt;&gt;"",IF(COUNTIF(激励事件明细!$A$2:$A$501,D173)=1,D173,""),IF(E173&lt;&gt;"",IFERROR(INDEX(激励事件明细!$A$2:$A$501,MATCH(E173,激励事件明细!$B$2:$B$501,0)),""),""))</f>
        <v/>
      </c>
      <c r="U173" s="4" t="str">
        <f>IF(T173="","",IFERROR(INDEX(激励事件明细!$B$2:$B$501,MATCH(T173,激励事件明细!$A$2:$A$501,0)),""))</f>
        <v/>
      </c>
      <c r="V173" s="4" t="str">
        <f>IF(A173="","",COUNTIF($A$2:A173,A173))</f>
        <v/>
      </c>
      <c r="W173" s="4" t="str">
        <f t="shared" si="17"/>
        <v/>
      </c>
    </row>
    <row r="174" spans="1:23" x14ac:dyDescent="0.3">
      <c r="A174" s="4" t="str">
        <f>IF(T174="","",IFERROR(INDEX(激励事件明细!$C$2:$C$501,MATCH(T174,激励事件明细!$A$2:$A$501,0)),""))</f>
        <v/>
      </c>
      <c r="B174" s="4" t="str">
        <f>IF(A174="","",IFERROR(INDEX(激励事件明细!$D$2:$D$501,MATCH(T174,激励事件明细!$A$2:$A$501,0)),""))</f>
        <v/>
      </c>
      <c r="C174" s="4" t="str">
        <f>IF(A174="","",IFERROR(INDEX(激励事件明细!$H$2:$H$501,MATCH(T174,激励事件明细!$A$2:$A$501,0)),""))</f>
        <v/>
      </c>
      <c r="D174" s="9"/>
      <c r="E174" s="9"/>
      <c r="F174" s="15" t="str">
        <f>IF(A174="","",IFERROR(INDEX(激励事件明细!$AA$2:$AA$501,MATCH(T174,激励事件明细!$A$2:$A$501,0)),""))</f>
        <v/>
      </c>
      <c r="G174" s="17" t="str">
        <f>IF(A174="","",IFERROR(INDEX(激励事件明细!$AB$2:$AB$501,MATCH(T174,激励事件明细!$A$2:$A$501,0)),""))</f>
        <v/>
      </c>
      <c r="H174" s="17" t="str">
        <f>IF(A174="","",IFERROR(INDEX(激励事件明细!$AC$2:$AC$501,MATCH(T174,激励事件明细!$A$2:$A$501,0)),""))</f>
        <v/>
      </c>
      <c r="I174" s="13"/>
      <c r="J174" s="14"/>
      <c r="K174" s="14"/>
      <c r="L174" s="9"/>
      <c r="M174" s="15" t="str">
        <f t="shared" si="12"/>
        <v/>
      </c>
      <c r="N174" s="15" t="str">
        <f t="shared" si="13"/>
        <v/>
      </c>
      <c r="O174" s="4" t="str">
        <f t="shared" ca="1" si="14"/>
        <v/>
      </c>
      <c r="P174" s="17" t="str">
        <f>IF(A174="","",IFERROR(IF(INDEX(激励事件明细!$P$2:$P$501,MATCH(T174,激励事件明细!$A$2:$A$501,0))=0,"",INDEX(激励事件明细!$P$2:$P$501,MATCH(T174,激励事件明细!$A$2:$A$501,0))),""))</f>
        <v/>
      </c>
      <c r="Q174" s="4" t="str">
        <f t="shared" si="15"/>
        <v>无效</v>
      </c>
      <c r="R174" s="4" t="str">
        <f t="shared" ca="1" si="16"/>
        <v>异常：必须关联有效事件编号或税额批次</v>
      </c>
      <c r="S174" s="9"/>
      <c r="T174" s="4" t="str">
        <f>IF(D174&lt;&gt;"",IF(COUNTIF(激励事件明细!$A$2:$A$501,D174)=1,D174,""),IF(E174&lt;&gt;"",IFERROR(INDEX(激励事件明细!$A$2:$A$501,MATCH(E174,激励事件明细!$B$2:$B$501,0)),""),""))</f>
        <v/>
      </c>
      <c r="U174" s="4" t="str">
        <f>IF(T174="","",IFERROR(INDEX(激励事件明细!$B$2:$B$501,MATCH(T174,激励事件明细!$A$2:$A$501,0)),""))</f>
        <v/>
      </c>
      <c r="V174" s="4" t="str">
        <f>IF(A174="","",COUNTIF($A$2:A174,A174))</f>
        <v/>
      </c>
      <c r="W174" s="4" t="str">
        <f t="shared" si="17"/>
        <v/>
      </c>
    </row>
    <row r="175" spans="1:23" x14ac:dyDescent="0.3">
      <c r="A175" s="4" t="str">
        <f>IF(T175="","",IFERROR(INDEX(激励事件明细!$C$2:$C$501,MATCH(T175,激励事件明细!$A$2:$A$501,0)),""))</f>
        <v/>
      </c>
      <c r="B175" s="4" t="str">
        <f>IF(A175="","",IFERROR(INDEX(激励事件明细!$D$2:$D$501,MATCH(T175,激励事件明细!$A$2:$A$501,0)),""))</f>
        <v/>
      </c>
      <c r="C175" s="4" t="str">
        <f>IF(A175="","",IFERROR(INDEX(激励事件明细!$H$2:$H$501,MATCH(T175,激励事件明细!$A$2:$A$501,0)),""))</f>
        <v/>
      </c>
      <c r="D175" s="9"/>
      <c r="E175" s="9"/>
      <c r="F175" s="15" t="str">
        <f>IF(A175="","",IFERROR(INDEX(激励事件明细!$AA$2:$AA$501,MATCH(T175,激励事件明细!$A$2:$A$501,0)),""))</f>
        <v/>
      </c>
      <c r="G175" s="17" t="str">
        <f>IF(A175="","",IFERROR(INDEX(激励事件明细!$AB$2:$AB$501,MATCH(T175,激励事件明细!$A$2:$A$501,0)),""))</f>
        <v/>
      </c>
      <c r="H175" s="17" t="str">
        <f>IF(A175="","",IFERROR(INDEX(激励事件明细!$AC$2:$AC$501,MATCH(T175,激励事件明细!$A$2:$A$501,0)),""))</f>
        <v/>
      </c>
      <c r="I175" s="13"/>
      <c r="J175" s="14"/>
      <c r="K175" s="14"/>
      <c r="L175" s="9"/>
      <c r="M175" s="15" t="str">
        <f t="shared" si="12"/>
        <v/>
      </c>
      <c r="N175" s="15" t="str">
        <f t="shared" si="13"/>
        <v/>
      </c>
      <c r="O175" s="4" t="str">
        <f t="shared" ca="1" si="14"/>
        <v/>
      </c>
      <c r="P175" s="17" t="str">
        <f>IF(A175="","",IFERROR(IF(INDEX(激励事件明细!$P$2:$P$501,MATCH(T175,激励事件明细!$A$2:$A$501,0))=0,"",INDEX(激励事件明细!$P$2:$P$501,MATCH(T175,激励事件明细!$A$2:$A$501,0))),""))</f>
        <v/>
      </c>
      <c r="Q175" s="4" t="str">
        <f t="shared" si="15"/>
        <v>无效</v>
      </c>
      <c r="R175" s="4" t="str">
        <f t="shared" ca="1" si="16"/>
        <v>异常：必须关联有效事件编号或税额批次</v>
      </c>
      <c r="S175" s="9"/>
      <c r="T175" s="4" t="str">
        <f>IF(D175&lt;&gt;"",IF(COUNTIF(激励事件明细!$A$2:$A$501,D175)=1,D175,""),IF(E175&lt;&gt;"",IFERROR(INDEX(激励事件明细!$A$2:$A$501,MATCH(E175,激励事件明细!$B$2:$B$501,0)),""),""))</f>
        <v/>
      </c>
      <c r="U175" s="4" t="str">
        <f>IF(T175="","",IFERROR(INDEX(激励事件明细!$B$2:$B$501,MATCH(T175,激励事件明细!$A$2:$A$501,0)),""))</f>
        <v/>
      </c>
      <c r="V175" s="4" t="str">
        <f>IF(A175="","",COUNTIF($A$2:A175,A175))</f>
        <v/>
      </c>
      <c r="W175" s="4" t="str">
        <f t="shared" si="17"/>
        <v/>
      </c>
    </row>
    <row r="176" spans="1:23" x14ac:dyDescent="0.3">
      <c r="A176" s="4" t="str">
        <f>IF(T176="","",IFERROR(INDEX(激励事件明细!$C$2:$C$501,MATCH(T176,激励事件明细!$A$2:$A$501,0)),""))</f>
        <v/>
      </c>
      <c r="B176" s="4" t="str">
        <f>IF(A176="","",IFERROR(INDEX(激励事件明细!$D$2:$D$501,MATCH(T176,激励事件明细!$A$2:$A$501,0)),""))</f>
        <v/>
      </c>
      <c r="C176" s="4" t="str">
        <f>IF(A176="","",IFERROR(INDEX(激励事件明细!$H$2:$H$501,MATCH(T176,激励事件明细!$A$2:$A$501,0)),""))</f>
        <v/>
      </c>
      <c r="D176" s="9"/>
      <c r="E176" s="9"/>
      <c r="F176" s="15" t="str">
        <f>IF(A176="","",IFERROR(INDEX(激励事件明细!$AA$2:$AA$501,MATCH(T176,激励事件明细!$A$2:$A$501,0)),""))</f>
        <v/>
      </c>
      <c r="G176" s="17" t="str">
        <f>IF(A176="","",IFERROR(INDEX(激励事件明细!$AB$2:$AB$501,MATCH(T176,激励事件明细!$A$2:$A$501,0)),""))</f>
        <v/>
      </c>
      <c r="H176" s="17" t="str">
        <f>IF(A176="","",IFERROR(INDEX(激励事件明细!$AC$2:$AC$501,MATCH(T176,激励事件明细!$A$2:$A$501,0)),""))</f>
        <v/>
      </c>
      <c r="I176" s="13"/>
      <c r="J176" s="14"/>
      <c r="K176" s="14"/>
      <c r="L176" s="9"/>
      <c r="M176" s="15" t="str">
        <f t="shared" si="12"/>
        <v/>
      </c>
      <c r="N176" s="15" t="str">
        <f t="shared" si="13"/>
        <v/>
      </c>
      <c r="O176" s="4" t="str">
        <f t="shared" ca="1" si="14"/>
        <v/>
      </c>
      <c r="P176" s="17" t="str">
        <f>IF(A176="","",IFERROR(IF(INDEX(激励事件明细!$P$2:$P$501,MATCH(T176,激励事件明细!$A$2:$A$501,0))=0,"",INDEX(激励事件明细!$P$2:$P$501,MATCH(T176,激励事件明细!$A$2:$A$501,0))),""))</f>
        <v/>
      </c>
      <c r="Q176" s="4" t="str">
        <f t="shared" si="15"/>
        <v>无效</v>
      </c>
      <c r="R176" s="4" t="str">
        <f t="shared" ca="1" si="16"/>
        <v>异常：必须关联有效事件编号或税额批次</v>
      </c>
      <c r="S176" s="9"/>
      <c r="T176" s="4" t="str">
        <f>IF(D176&lt;&gt;"",IF(COUNTIF(激励事件明细!$A$2:$A$501,D176)=1,D176,""),IF(E176&lt;&gt;"",IFERROR(INDEX(激励事件明细!$A$2:$A$501,MATCH(E176,激励事件明细!$B$2:$B$501,0)),""),""))</f>
        <v/>
      </c>
      <c r="U176" s="4" t="str">
        <f>IF(T176="","",IFERROR(INDEX(激励事件明细!$B$2:$B$501,MATCH(T176,激励事件明细!$A$2:$A$501,0)),""))</f>
        <v/>
      </c>
      <c r="V176" s="4" t="str">
        <f>IF(A176="","",COUNTIF($A$2:A176,A176))</f>
        <v/>
      </c>
      <c r="W176" s="4" t="str">
        <f t="shared" si="17"/>
        <v/>
      </c>
    </row>
    <row r="177" spans="1:23" x14ac:dyDescent="0.3">
      <c r="A177" s="4" t="str">
        <f>IF(T177="","",IFERROR(INDEX(激励事件明细!$C$2:$C$501,MATCH(T177,激励事件明细!$A$2:$A$501,0)),""))</f>
        <v/>
      </c>
      <c r="B177" s="4" t="str">
        <f>IF(A177="","",IFERROR(INDEX(激励事件明细!$D$2:$D$501,MATCH(T177,激励事件明细!$A$2:$A$501,0)),""))</f>
        <v/>
      </c>
      <c r="C177" s="4" t="str">
        <f>IF(A177="","",IFERROR(INDEX(激励事件明细!$H$2:$H$501,MATCH(T177,激励事件明细!$A$2:$A$501,0)),""))</f>
        <v/>
      </c>
      <c r="D177" s="9"/>
      <c r="E177" s="9"/>
      <c r="F177" s="15" t="str">
        <f>IF(A177="","",IFERROR(INDEX(激励事件明细!$AA$2:$AA$501,MATCH(T177,激励事件明细!$A$2:$A$501,0)),""))</f>
        <v/>
      </c>
      <c r="G177" s="17" t="str">
        <f>IF(A177="","",IFERROR(INDEX(激励事件明细!$AB$2:$AB$501,MATCH(T177,激励事件明细!$A$2:$A$501,0)),""))</f>
        <v/>
      </c>
      <c r="H177" s="17" t="str">
        <f>IF(A177="","",IFERROR(INDEX(激励事件明细!$AC$2:$AC$501,MATCH(T177,激励事件明细!$A$2:$A$501,0)),""))</f>
        <v/>
      </c>
      <c r="I177" s="13"/>
      <c r="J177" s="14"/>
      <c r="K177" s="14"/>
      <c r="L177" s="9"/>
      <c r="M177" s="15" t="str">
        <f t="shared" si="12"/>
        <v/>
      </c>
      <c r="N177" s="15" t="str">
        <f t="shared" si="13"/>
        <v/>
      </c>
      <c r="O177" s="4" t="str">
        <f t="shared" ca="1" si="14"/>
        <v/>
      </c>
      <c r="P177" s="17" t="str">
        <f>IF(A177="","",IFERROR(IF(INDEX(激励事件明细!$P$2:$P$501,MATCH(T177,激励事件明细!$A$2:$A$501,0))=0,"",INDEX(激励事件明细!$P$2:$P$501,MATCH(T177,激励事件明细!$A$2:$A$501,0))),""))</f>
        <v/>
      </c>
      <c r="Q177" s="4" t="str">
        <f t="shared" si="15"/>
        <v>无效</v>
      </c>
      <c r="R177" s="4" t="str">
        <f t="shared" ca="1" si="16"/>
        <v>异常：必须关联有效事件编号或税额批次</v>
      </c>
      <c r="S177" s="9"/>
      <c r="T177" s="4" t="str">
        <f>IF(D177&lt;&gt;"",IF(COUNTIF(激励事件明细!$A$2:$A$501,D177)=1,D177,""),IF(E177&lt;&gt;"",IFERROR(INDEX(激励事件明细!$A$2:$A$501,MATCH(E177,激励事件明细!$B$2:$B$501,0)),""),""))</f>
        <v/>
      </c>
      <c r="U177" s="4" t="str">
        <f>IF(T177="","",IFERROR(INDEX(激励事件明细!$B$2:$B$501,MATCH(T177,激励事件明细!$A$2:$A$501,0)),""))</f>
        <v/>
      </c>
      <c r="V177" s="4" t="str">
        <f>IF(A177="","",COUNTIF($A$2:A177,A177))</f>
        <v/>
      </c>
      <c r="W177" s="4" t="str">
        <f t="shared" si="17"/>
        <v/>
      </c>
    </row>
    <row r="178" spans="1:23" x14ac:dyDescent="0.3">
      <c r="A178" s="4" t="str">
        <f>IF(T178="","",IFERROR(INDEX(激励事件明细!$C$2:$C$501,MATCH(T178,激励事件明细!$A$2:$A$501,0)),""))</f>
        <v/>
      </c>
      <c r="B178" s="4" t="str">
        <f>IF(A178="","",IFERROR(INDEX(激励事件明细!$D$2:$D$501,MATCH(T178,激励事件明细!$A$2:$A$501,0)),""))</f>
        <v/>
      </c>
      <c r="C178" s="4" t="str">
        <f>IF(A178="","",IFERROR(INDEX(激励事件明细!$H$2:$H$501,MATCH(T178,激励事件明细!$A$2:$A$501,0)),""))</f>
        <v/>
      </c>
      <c r="D178" s="9"/>
      <c r="E178" s="9"/>
      <c r="F178" s="15" t="str">
        <f>IF(A178="","",IFERROR(INDEX(激励事件明细!$AA$2:$AA$501,MATCH(T178,激励事件明细!$A$2:$A$501,0)),""))</f>
        <v/>
      </c>
      <c r="G178" s="17" t="str">
        <f>IF(A178="","",IFERROR(INDEX(激励事件明细!$AB$2:$AB$501,MATCH(T178,激励事件明细!$A$2:$A$501,0)),""))</f>
        <v/>
      </c>
      <c r="H178" s="17" t="str">
        <f>IF(A178="","",IFERROR(INDEX(激励事件明细!$AC$2:$AC$501,MATCH(T178,激励事件明细!$A$2:$A$501,0)),""))</f>
        <v/>
      </c>
      <c r="I178" s="13"/>
      <c r="J178" s="14"/>
      <c r="K178" s="14"/>
      <c r="L178" s="9"/>
      <c r="M178" s="15" t="str">
        <f t="shared" si="12"/>
        <v/>
      </c>
      <c r="N178" s="15" t="str">
        <f t="shared" si="13"/>
        <v/>
      </c>
      <c r="O178" s="4" t="str">
        <f t="shared" ca="1" si="14"/>
        <v/>
      </c>
      <c r="P178" s="17" t="str">
        <f>IF(A178="","",IFERROR(IF(INDEX(激励事件明细!$P$2:$P$501,MATCH(T178,激励事件明细!$A$2:$A$501,0))=0,"",INDEX(激励事件明细!$P$2:$P$501,MATCH(T178,激励事件明细!$A$2:$A$501,0))),""))</f>
        <v/>
      </c>
      <c r="Q178" s="4" t="str">
        <f t="shared" si="15"/>
        <v>无效</v>
      </c>
      <c r="R178" s="4" t="str">
        <f t="shared" ca="1" si="16"/>
        <v>异常：必须关联有效事件编号或税额批次</v>
      </c>
      <c r="S178" s="9"/>
      <c r="T178" s="4" t="str">
        <f>IF(D178&lt;&gt;"",IF(COUNTIF(激励事件明细!$A$2:$A$501,D178)=1,D178,""),IF(E178&lt;&gt;"",IFERROR(INDEX(激励事件明细!$A$2:$A$501,MATCH(E178,激励事件明细!$B$2:$B$501,0)),""),""))</f>
        <v/>
      </c>
      <c r="U178" s="4" t="str">
        <f>IF(T178="","",IFERROR(INDEX(激励事件明细!$B$2:$B$501,MATCH(T178,激励事件明细!$A$2:$A$501,0)),""))</f>
        <v/>
      </c>
      <c r="V178" s="4" t="str">
        <f>IF(A178="","",COUNTIF($A$2:A178,A178))</f>
        <v/>
      </c>
      <c r="W178" s="4" t="str">
        <f t="shared" si="17"/>
        <v/>
      </c>
    </row>
    <row r="179" spans="1:23" x14ac:dyDescent="0.3">
      <c r="A179" s="4" t="str">
        <f>IF(T179="","",IFERROR(INDEX(激励事件明细!$C$2:$C$501,MATCH(T179,激励事件明细!$A$2:$A$501,0)),""))</f>
        <v/>
      </c>
      <c r="B179" s="4" t="str">
        <f>IF(A179="","",IFERROR(INDEX(激励事件明细!$D$2:$D$501,MATCH(T179,激励事件明细!$A$2:$A$501,0)),""))</f>
        <v/>
      </c>
      <c r="C179" s="4" t="str">
        <f>IF(A179="","",IFERROR(INDEX(激励事件明细!$H$2:$H$501,MATCH(T179,激励事件明细!$A$2:$A$501,0)),""))</f>
        <v/>
      </c>
      <c r="D179" s="9"/>
      <c r="E179" s="9"/>
      <c r="F179" s="15" t="str">
        <f>IF(A179="","",IFERROR(INDEX(激励事件明细!$AA$2:$AA$501,MATCH(T179,激励事件明细!$A$2:$A$501,0)),""))</f>
        <v/>
      </c>
      <c r="G179" s="17" t="str">
        <f>IF(A179="","",IFERROR(INDEX(激励事件明细!$AB$2:$AB$501,MATCH(T179,激励事件明细!$A$2:$A$501,0)),""))</f>
        <v/>
      </c>
      <c r="H179" s="17" t="str">
        <f>IF(A179="","",IFERROR(INDEX(激励事件明细!$AC$2:$AC$501,MATCH(T179,激励事件明细!$A$2:$A$501,0)),""))</f>
        <v/>
      </c>
      <c r="I179" s="13"/>
      <c r="J179" s="14"/>
      <c r="K179" s="14"/>
      <c r="L179" s="9"/>
      <c r="M179" s="15" t="str">
        <f t="shared" si="12"/>
        <v/>
      </c>
      <c r="N179" s="15" t="str">
        <f t="shared" si="13"/>
        <v/>
      </c>
      <c r="O179" s="4" t="str">
        <f t="shared" ca="1" si="14"/>
        <v/>
      </c>
      <c r="P179" s="17" t="str">
        <f>IF(A179="","",IFERROR(IF(INDEX(激励事件明细!$P$2:$P$501,MATCH(T179,激励事件明细!$A$2:$A$501,0))=0,"",INDEX(激励事件明细!$P$2:$P$501,MATCH(T179,激励事件明细!$A$2:$A$501,0))),""))</f>
        <v/>
      </c>
      <c r="Q179" s="4" t="str">
        <f t="shared" si="15"/>
        <v>无效</v>
      </c>
      <c r="R179" s="4" t="str">
        <f t="shared" ca="1" si="16"/>
        <v>异常：必须关联有效事件编号或税额批次</v>
      </c>
      <c r="S179" s="9"/>
      <c r="T179" s="4" t="str">
        <f>IF(D179&lt;&gt;"",IF(COUNTIF(激励事件明细!$A$2:$A$501,D179)=1,D179,""),IF(E179&lt;&gt;"",IFERROR(INDEX(激励事件明细!$A$2:$A$501,MATCH(E179,激励事件明细!$B$2:$B$501,0)),""),""))</f>
        <v/>
      </c>
      <c r="U179" s="4" t="str">
        <f>IF(T179="","",IFERROR(INDEX(激励事件明细!$B$2:$B$501,MATCH(T179,激励事件明细!$A$2:$A$501,0)),""))</f>
        <v/>
      </c>
      <c r="V179" s="4" t="str">
        <f>IF(A179="","",COUNTIF($A$2:A179,A179))</f>
        <v/>
      </c>
      <c r="W179" s="4" t="str">
        <f t="shared" si="17"/>
        <v/>
      </c>
    </row>
    <row r="180" spans="1:23" x14ac:dyDescent="0.3">
      <c r="A180" s="4" t="str">
        <f>IF(T180="","",IFERROR(INDEX(激励事件明细!$C$2:$C$501,MATCH(T180,激励事件明细!$A$2:$A$501,0)),""))</f>
        <v/>
      </c>
      <c r="B180" s="4" t="str">
        <f>IF(A180="","",IFERROR(INDEX(激励事件明细!$D$2:$D$501,MATCH(T180,激励事件明细!$A$2:$A$501,0)),""))</f>
        <v/>
      </c>
      <c r="C180" s="4" t="str">
        <f>IF(A180="","",IFERROR(INDEX(激励事件明细!$H$2:$H$501,MATCH(T180,激励事件明细!$A$2:$A$501,0)),""))</f>
        <v/>
      </c>
      <c r="D180" s="9"/>
      <c r="E180" s="9"/>
      <c r="F180" s="15" t="str">
        <f>IF(A180="","",IFERROR(INDEX(激励事件明细!$AA$2:$AA$501,MATCH(T180,激励事件明细!$A$2:$A$501,0)),""))</f>
        <v/>
      </c>
      <c r="G180" s="17" t="str">
        <f>IF(A180="","",IFERROR(INDEX(激励事件明细!$AB$2:$AB$501,MATCH(T180,激励事件明细!$A$2:$A$501,0)),""))</f>
        <v/>
      </c>
      <c r="H180" s="17" t="str">
        <f>IF(A180="","",IFERROR(INDEX(激励事件明细!$AC$2:$AC$501,MATCH(T180,激励事件明细!$A$2:$A$501,0)),""))</f>
        <v/>
      </c>
      <c r="I180" s="13"/>
      <c r="J180" s="14"/>
      <c r="K180" s="14"/>
      <c r="L180" s="9"/>
      <c r="M180" s="15" t="str">
        <f t="shared" si="12"/>
        <v/>
      </c>
      <c r="N180" s="15" t="str">
        <f t="shared" si="13"/>
        <v/>
      </c>
      <c r="O180" s="4" t="str">
        <f t="shared" ca="1" si="14"/>
        <v/>
      </c>
      <c r="P180" s="17" t="str">
        <f>IF(A180="","",IFERROR(IF(INDEX(激励事件明细!$P$2:$P$501,MATCH(T180,激励事件明细!$A$2:$A$501,0))=0,"",INDEX(激励事件明细!$P$2:$P$501,MATCH(T180,激励事件明细!$A$2:$A$501,0))),""))</f>
        <v/>
      </c>
      <c r="Q180" s="4" t="str">
        <f t="shared" si="15"/>
        <v>无效</v>
      </c>
      <c r="R180" s="4" t="str">
        <f t="shared" ca="1" si="16"/>
        <v>异常：必须关联有效事件编号或税额批次</v>
      </c>
      <c r="S180" s="9"/>
      <c r="T180" s="4" t="str">
        <f>IF(D180&lt;&gt;"",IF(COUNTIF(激励事件明细!$A$2:$A$501,D180)=1,D180,""),IF(E180&lt;&gt;"",IFERROR(INDEX(激励事件明细!$A$2:$A$501,MATCH(E180,激励事件明细!$B$2:$B$501,0)),""),""))</f>
        <v/>
      </c>
      <c r="U180" s="4" t="str">
        <f>IF(T180="","",IFERROR(INDEX(激励事件明细!$B$2:$B$501,MATCH(T180,激励事件明细!$A$2:$A$501,0)),""))</f>
        <v/>
      </c>
      <c r="V180" s="4" t="str">
        <f>IF(A180="","",COUNTIF($A$2:A180,A180))</f>
        <v/>
      </c>
      <c r="W180" s="4" t="str">
        <f t="shared" si="17"/>
        <v/>
      </c>
    </row>
    <row r="181" spans="1:23" x14ac:dyDescent="0.3">
      <c r="A181" s="4" t="str">
        <f>IF(T181="","",IFERROR(INDEX(激励事件明细!$C$2:$C$501,MATCH(T181,激励事件明细!$A$2:$A$501,0)),""))</f>
        <v/>
      </c>
      <c r="B181" s="4" t="str">
        <f>IF(A181="","",IFERROR(INDEX(激励事件明细!$D$2:$D$501,MATCH(T181,激励事件明细!$A$2:$A$501,0)),""))</f>
        <v/>
      </c>
      <c r="C181" s="4" t="str">
        <f>IF(A181="","",IFERROR(INDEX(激励事件明细!$H$2:$H$501,MATCH(T181,激励事件明细!$A$2:$A$501,0)),""))</f>
        <v/>
      </c>
      <c r="D181" s="9"/>
      <c r="E181" s="9"/>
      <c r="F181" s="15" t="str">
        <f>IF(A181="","",IFERROR(INDEX(激励事件明细!$AA$2:$AA$501,MATCH(T181,激励事件明细!$A$2:$A$501,0)),""))</f>
        <v/>
      </c>
      <c r="G181" s="17" t="str">
        <f>IF(A181="","",IFERROR(INDEX(激励事件明细!$AB$2:$AB$501,MATCH(T181,激励事件明细!$A$2:$A$501,0)),""))</f>
        <v/>
      </c>
      <c r="H181" s="17" t="str">
        <f>IF(A181="","",IFERROR(INDEX(激励事件明细!$AC$2:$AC$501,MATCH(T181,激励事件明细!$A$2:$A$501,0)),""))</f>
        <v/>
      </c>
      <c r="I181" s="13"/>
      <c r="J181" s="14"/>
      <c r="K181" s="14"/>
      <c r="L181" s="9"/>
      <c r="M181" s="15" t="str">
        <f t="shared" si="12"/>
        <v/>
      </c>
      <c r="N181" s="15" t="str">
        <f t="shared" si="13"/>
        <v/>
      </c>
      <c r="O181" s="4" t="str">
        <f t="shared" ca="1" si="14"/>
        <v/>
      </c>
      <c r="P181" s="17" t="str">
        <f>IF(A181="","",IFERROR(IF(INDEX(激励事件明细!$P$2:$P$501,MATCH(T181,激励事件明细!$A$2:$A$501,0))=0,"",INDEX(激励事件明细!$P$2:$P$501,MATCH(T181,激励事件明细!$A$2:$A$501,0))),""))</f>
        <v/>
      </c>
      <c r="Q181" s="4" t="str">
        <f t="shared" si="15"/>
        <v>无效</v>
      </c>
      <c r="R181" s="4" t="str">
        <f t="shared" ca="1" si="16"/>
        <v>异常：必须关联有效事件编号或税额批次</v>
      </c>
      <c r="S181" s="9"/>
      <c r="T181" s="4" t="str">
        <f>IF(D181&lt;&gt;"",IF(COUNTIF(激励事件明细!$A$2:$A$501,D181)=1,D181,""),IF(E181&lt;&gt;"",IFERROR(INDEX(激励事件明细!$A$2:$A$501,MATCH(E181,激励事件明细!$B$2:$B$501,0)),""),""))</f>
        <v/>
      </c>
      <c r="U181" s="4" t="str">
        <f>IF(T181="","",IFERROR(INDEX(激励事件明细!$B$2:$B$501,MATCH(T181,激励事件明细!$A$2:$A$501,0)),""))</f>
        <v/>
      </c>
      <c r="V181" s="4" t="str">
        <f>IF(A181="","",COUNTIF($A$2:A181,A181))</f>
        <v/>
      </c>
      <c r="W181" s="4" t="str">
        <f t="shared" si="17"/>
        <v/>
      </c>
    </row>
    <row r="182" spans="1:23" x14ac:dyDescent="0.3">
      <c r="A182" s="4" t="str">
        <f>IF(T182="","",IFERROR(INDEX(激励事件明细!$C$2:$C$501,MATCH(T182,激励事件明细!$A$2:$A$501,0)),""))</f>
        <v/>
      </c>
      <c r="B182" s="4" t="str">
        <f>IF(A182="","",IFERROR(INDEX(激励事件明细!$D$2:$D$501,MATCH(T182,激励事件明细!$A$2:$A$501,0)),""))</f>
        <v/>
      </c>
      <c r="C182" s="4" t="str">
        <f>IF(A182="","",IFERROR(INDEX(激励事件明细!$H$2:$H$501,MATCH(T182,激励事件明细!$A$2:$A$501,0)),""))</f>
        <v/>
      </c>
      <c r="D182" s="9"/>
      <c r="E182" s="9"/>
      <c r="F182" s="15" t="str">
        <f>IF(A182="","",IFERROR(INDEX(激励事件明细!$AA$2:$AA$501,MATCH(T182,激励事件明细!$A$2:$A$501,0)),""))</f>
        <v/>
      </c>
      <c r="G182" s="17" t="str">
        <f>IF(A182="","",IFERROR(INDEX(激励事件明细!$AB$2:$AB$501,MATCH(T182,激励事件明细!$A$2:$A$501,0)),""))</f>
        <v/>
      </c>
      <c r="H182" s="17" t="str">
        <f>IF(A182="","",IFERROR(INDEX(激励事件明细!$AC$2:$AC$501,MATCH(T182,激励事件明细!$A$2:$A$501,0)),""))</f>
        <v/>
      </c>
      <c r="I182" s="13"/>
      <c r="J182" s="14"/>
      <c r="K182" s="14"/>
      <c r="L182" s="9"/>
      <c r="M182" s="15" t="str">
        <f t="shared" si="12"/>
        <v/>
      </c>
      <c r="N182" s="15" t="str">
        <f t="shared" si="13"/>
        <v/>
      </c>
      <c r="O182" s="4" t="str">
        <f t="shared" ca="1" si="14"/>
        <v/>
      </c>
      <c r="P182" s="17" t="str">
        <f>IF(A182="","",IFERROR(IF(INDEX(激励事件明细!$P$2:$P$501,MATCH(T182,激励事件明细!$A$2:$A$501,0))=0,"",INDEX(激励事件明细!$P$2:$P$501,MATCH(T182,激励事件明细!$A$2:$A$501,0))),""))</f>
        <v/>
      </c>
      <c r="Q182" s="4" t="str">
        <f t="shared" si="15"/>
        <v>无效</v>
      </c>
      <c r="R182" s="4" t="str">
        <f t="shared" ca="1" si="16"/>
        <v>异常：必须关联有效事件编号或税额批次</v>
      </c>
      <c r="S182" s="9"/>
      <c r="T182" s="4" t="str">
        <f>IF(D182&lt;&gt;"",IF(COUNTIF(激励事件明细!$A$2:$A$501,D182)=1,D182,""),IF(E182&lt;&gt;"",IFERROR(INDEX(激励事件明细!$A$2:$A$501,MATCH(E182,激励事件明细!$B$2:$B$501,0)),""),""))</f>
        <v/>
      </c>
      <c r="U182" s="4" t="str">
        <f>IF(T182="","",IFERROR(INDEX(激励事件明细!$B$2:$B$501,MATCH(T182,激励事件明细!$A$2:$A$501,0)),""))</f>
        <v/>
      </c>
      <c r="V182" s="4" t="str">
        <f>IF(A182="","",COUNTIF($A$2:A182,A182))</f>
        <v/>
      </c>
      <c r="W182" s="4" t="str">
        <f t="shared" si="17"/>
        <v/>
      </c>
    </row>
    <row r="183" spans="1:23" x14ac:dyDescent="0.3">
      <c r="A183" s="4" t="str">
        <f>IF(T183="","",IFERROR(INDEX(激励事件明细!$C$2:$C$501,MATCH(T183,激励事件明细!$A$2:$A$501,0)),""))</f>
        <v/>
      </c>
      <c r="B183" s="4" t="str">
        <f>IF(A183="","",IFERROR(INDEX(激励事件明细!$D$2:$D$501,MATCH(T183,激励事件明细!$A$2:$A$501,0)),""))</f>
        <v/>
      </c>
      <c r="C183" s="4" t="str">
        <f>IF(A183="","",IFERROR(INDEX(激励事件明细!$H$2:$H$501,MATCH(T183,激励事件明细!$A$2:$A$501,0)),""))</f>
        <v/>
      </c>
      <c r="D183" s="9"/>
      <c r="E183" s="9"/>
      <c r="F183" s="15" t="str">
        <f>IF(A183="","",IFERROR(INDEX(激励事件明细!$AA$2:$AA$501,MATCH(T183,激励事件明细!$A$2:$A$501,0)),""))</f>
        <v/>
      </c>
      <c r="G183" s="17" t="str">
        <f>IF(A183="","",IFERROR(INDEX(激励事件明细!$AB$2:$AB$501,MATCH(T183,激励事件明细!$A$2:$A$501,0)),""))</f>
        <v/>
      </c>
      <c r="H183" s="17" t="str">
        <f>IF(A183="","",IFERROR(INDEX(激励事件明细!$AC$2:$AC$501,MATCH(T183,激励事件明细!$A$2:$A$501,0)),""))</f>
        <v/>
      </c>
      <c r="I183" s="13"/>
      <c r="J183" s="14"/>
      <c r="K183" s="14"/>
      <c r="L183" s="9"/>
      <c r="M183" s="15" t="str">
        <f t="shared" si="12"/>
        <v/>
      </c>
      <c r="N183" s="15" t="str">
        <f t="shared" si="13"/>
        <v/>
      </c>
      <c r="O183" s="4" t="str">
        <f t="shared" ca="1" si="14"/>
        <v/>
      </c>
      <c r="P183" s="17" t="str">
        <f>IF(A183="","",IFERROR(IF(INDEX(激励事件明细!$P$2:$P$501,MATCH(T183,激励事件明细!$A$2:$A$501,0))=0,"",INDEX(激励事件明细!$P$2:$P$501,MATCH(T183,激励事件明细!$A$2:$A$501,0))),""))</f>
        <v/>
      </c>
      <c r="Q183" s="4" t="str">
        <f t="shared" si="15"/>
        <v>无效</v>
      </c>
      <c r="R183" s="4" t="str">
        <f t="shared" ca="1" si="16"/>
        <v>异常：必须关联有效事件编号或税额批次</v>
      </c>
      <c r="S183" s="9"/>
      <c r="T183" s="4" t="str">
        <f>IF(D183&lt;&gt;"",IF(COUNTIF(激励事件明细!$A$2:$A$501,D183)=1,D183,""),IF(E183&lt;&gt;"",IFERROR(INDEX(激励事件明细!$A$2:$A$501,MATCH(E183,激励事件明细!$B$2:$B$501,0)),""),""))</f>
        <v/>
      </c>
      <c r="U183" s="4" t="str">
        <f>IF(T183="","",IFERROR(INDEX(激励事件明细!$B$2:$B$501,MATCH(T183,激励事件明细!$A$2:$A$501,0)),""))</f>
        <v/>
      </c>
      <c r="V183" s="4" t="str">
        <f>IF(A183="","",COUNTIF($A$2:A183,A183))</f>
        <v/>
      </c>
      <c r="W183" s="4" t="str">
        <f t="shared" si="17"/>
        <v/>
      </c>
    </row>
    <row r="184" spans="1:23" x14ac:dyDescent="0.3">
      <c r="A184" s="4" t="str">
        <f>IF(T184="","",IFERROR(INDEX(激励事件明细!$C$2:$C$501,MATCH(T184,激励事件明细!$A$2:$A$501,0)),""))</f>
        <v/>
      </c>
      <c r="B184" s="4" t="str">
        <f>IF(A184="","",IFERROR(INDEX(激励事件明细!$D$2:$D$501,MATCH(T184,激励事件明细!$A$2:$A$501,0)),""))</f>
        <v/>
      </c>
      <c r="C184" s="4" t="str">
        <f>IF(A184="","",IFERROR(INDEX(激励事件明细!$H$2:$H$501,MATCH(T184,激励事件明细!$A$2:$A$501,0)),""))</f>
        <v/>
      </c>
      <c r="D184" s="9"/>
      <c r="E184" s="9"/>
      <c r="F184" s="15" t="str">
        <f>IF(A184="","",IFERROR(INDEX(激励事件明细!$AA$2:$AA$501,MATCH(T184,激励事件明细!$A$2:$A$501,0)),""))</f>
        <v/>
      </c>
      <c r="G184" s="17" t="str">
        <f>IF(A184="","",IFERROR(INDEX(激励事件明细!$AB$2:$AB$501,MATCH(T184,激励事件明细!$A$2:$A$501,0)),""))</f>
        <v/>
      </c>
      <c r="H184" s="17" t="str">
        <f>IF(A184="","",IFERROR(INDEX(激励事件明细!$AC$2:$AC$501,MATCH(T184,激励事件明细!$A$2:$A$501,0)),""))</f>
        <v/>
      </c>
      <c r="I184" s="13"/>
      <c r="J184" s="14"/>
      <c r="K184" s="14"/>
      <c r="L184" s="9"/>
      <c r="M184" s="15" t="str">
        <f t="shared" si="12"/>
        <v/>
      </c>
      <c r="N184" s="15" t="str">
        <f t="shared" si="13"/>
        <v/>
      </c>
      <c r="O184" s="4" t="str">
        <f t="shared" ca="1" si="14"/>
        <v/>
      </c>
      <c r="P184" s="17" t="str">
        <f>IF(A184="","",IFERROR(IF(INDEX(激励事件明细!$P$2:$P$501,MATCH(T184,激励事件明细!$A$2:$A$501,0))=0,"",INDEX(激励事件明细!$P$2:$P$501,MATCH(T184,激励事件明细!$A$2:$A$501,0))),""))</f>
        <v/>
      </c>
      <c r="Q184" s="4" t="str">
        <f t="shared" si="15"/>
        <v>无效</v>
      </c>
      <c r="R184" s="4" t="str">
        <f t="shared" ca="1" si="16"/>
        <v>异常：必须关联有效事件编号或税额批次</v>
      </c>
      <c r="S184" s="9"/>
      <c r="T184" s="4" t="str">
        <f>IF(D184&lt;&gt;"",IF(COUNTIF(激励事件明细!$A$2:$A$501,D184)=1,D184,""),IF(E184&lt;&gt;"",IFERROR(INDEX(激励事件明细!$A$2:$A$501,MATCH(E184,激励事件明细!$B$2:$B$501,0)),""),""))</f>
        <v/>
      </c>
      <c r="U184" s="4" t="str">
        <f>IF(T184="","",IFERROR(INDEX(激励事件明细!$B$2:$B$501,MATCH(T184,激励事件明细!$A$2:$A$501,0)),""))</f>
        <v/>
      </c>
      <c r="V184" s="4" t="str">
        <f>IF(A184="","",COUNTIF($A$2:A184,A184))</f>
        <v/>
      </c>
      <c r="W184" s="4" t="str">
        <f t="shared" si="17"/>
        <v/>
      </c>
    </row>
    <row r="185" spans="1:23" x14ac:dyDescent="0.3">
      <c r="A185" s="4" t="str">
        <f>IF(T185="","",IFERROR(INDEX(激励事件明细!$C$2:$C$501,MATCH(T185,激励事件明细!$A$2:$A$501,0)),""))</f>
        <v/>
      </c>
      <c r="B185" s="4" t="str">
        <f>IF(A185="","",IFERROR(INDEX(激励事件明细!$D$2:$D$501,MATCH(T185,激励事件明细!$A$2:$A$501,0)),""))</f>
        <v/>
      </c>
      <c r="C185" s="4" t="str">
        <f>IF(A185="","",IFERROR(INDEX(激励事件明细!$H$2:$H$501,MATCH(T185,激励事件明细!$A$2:$A$501,0)),""))</f>
        <v/>
      </c>
      <c r="D185" s="9"/>
      <c r="E185" s="9"/>
      <c r="F185" s="15" t="str">
        <f>IF(A185="","",IFERROR(INDEX(激励事件明细!$AA$2:$AA$501,MATCH(T185,激励事件明细!$A$2:$A$501,0)),""))</f>
        <v/>
      </c>
      <c r="G185" s="17" t="str">
        <f>IF(A185="","",IFERROR(INDEX(激励事件明细!$AB$2:$AB$501,MATCH(T185,激励事件明细!$A$2:$A$501,0)),""))</f>
        <v/>
      </c>
      <c r="H185" s="17" t="str">
        <f>IF(A185="","",IFERROR(INDEX(激励事件明细!$AC$2:$AC$501,MATCH(T185,激励事件明细!$A$2:$A$501,0)),""))</f>
        <v/>
      </c>
      <c r="I185" s="13"/>
      <c r="J185" s="14"/>
      <c r="K185" s="14"/>
      <c r="L185" s="9"/>
      <c r="M185" s="15" t="str">
        <f t="shared" si="12"/>
        <v/>
      </c>
      <c r="N185" s="15" t="str">
        <f t="shared" si="13"/>
        <v/>
      </c>
      <c r="O185" s="4" t="str">
        <f t="shared" ca="1" si="14"/>
        <v/>
      </c>
      <c r="P185" s="17" t="str">
        <f>IF(A185="","",IFERROR(IF(INDEX(激励事件明细!$P$2:$P$501,MATCH(T185,激励事件明细!$A$2:$A$501,0))=0,"",INDEX(激励事件明细!$P$2:$P$501,MATCH(T185,激励事件明细!$A$2:$A$501,0))),""))</f>
        <v/>
      </c>
      <c r="Q185" s="4" t="str">
        <f t="shared" si="15"/>
        <v>无效</v>
      </c>
      <c r="R185" s="4" t="str">
        <f t="shared" ca="1" si="16"/>
        <v>异常：必须关联有效事件编号或税额批次</v>
      </c>
      <c r="S185" s="9"/>
      <c r="T185" s="4" t="str">
        <f>IF(D185&lt;&gt;"",IF(COUNTIF(激励事件明细!$A$2:$A$501,D185)=1,D185,""),IF(E185&lt;&gt;"",IFERROR(INDEX(激励事件明细!$A$2:$A$501,MATCH(E185,激励事件明细!$B$2:$B$501,0)),""),""))</f>
        <v/>
      </c>
      <c r="U185" s="4" t="str">
        <f>IF(T185="","",IFERROR(INDEX(激励事件明细!$B$2:$B$501,MATCH(T185,激励事件明细!$A$2:$A$501,0)),""))</f>
        <v/>
      </c>
      <c r="V185" s="4" t="str">
        <f>IF(A185="","",COUNTIF($A$2:A185,A185))</f>
        <v/>
      </c>
      <c r="W185" s="4" t="str">
        <f t="shared" si="17"/>
        <v/>
      </c>
    </row>
    <row r="186" spans="1:23" x14ac:dyDescent="0.3">
      <c r="A186" s="4" t="str">
        <f>IF(T186="","",IFERROR(INDEX(激励事件明细!$C$2:$C$501,MATCH(T186,激励事件明细!$A$2:$A$501,0)),""))</f>
        <v/>
      </c>
      <c r="B186" s="4" t="str">
        <f>IF(A186="","",IFERROR(INDEX(激励事件明细!$D$2:$D$501,MATCH(T186,激励事件明细!$A$2:$A$501,0)),""))</f>
        <v/>
      </c>
      <c r="C186" s="4" t="str">
        <f>IF(A186="","",IFERROR(INDEX(激励事件明细!$H$2:$H$501,MATCH(T186,激励事件明细!$A$2:$A$501,0)),""))</f>
        <v/>
      </c>
      <c r="D186" s="9"/>
      <c r="E186" s="9"/>
      <c r="F186" s="15" t="str">
        <f>IF(A186="","",IFERROR(INDEX(激励事件明细!$AA$2:$AA$501,MATCH(T186,激励事件明细!$A$2:$A$501,0)),""))</f>
        <v/>
      </c>
      <c r="G186" s="17" t="str">
        <f>IF(A186="","",IFERROR(INDEX(激励事件明细!$AB$2:$AB$501,MATCH(T186,激励事件明细!$A$2:$A$501,0)),""))</f>
        <v/>
      </c>
      <c r="H186" s="17" t="str">
        <f>IF(A186="","",IFERROR(INDEX(激励事件明细!$AC$2:$AC$501,MATCH(T186,激励事件明细!$A$2:$A$501,0)),""))</f>
        <v/>
      </c>
      <c r="I186" s="13"/>
      <c r="J186" s="14"/>
      <c r="K186" s="14"/>
      <c r="L186" s="9"/>
      <c r="M186" s="15" t="str">
        <f t="shared" si="12"/>
        <v/>
      </c>
      <c r="N186" s="15" t="str">
        <f t="shared" si="13"/>
        <v/>
      </c>
      <c r="O186" s="4" t="str">
        <f t="shared" ca="1" si="14"/>
        <v/>
      </c>
      <c r="P186" s="17" t="str">
        <f>IF(A186="","",IFERROR(IF(INDEX(激励事件明细!$P$2:$P$501,MATCH(T186,激励事件明细!$A$2:$A$501,0))=0,"",INDEX(激励事件明细!$P$2:$P$501,MATCH(T186,激励事件明细!$A$2:$A$501,0))),""))</f>
        <v/>
      </c>
      <c r="Q186" s="4" t="str">
        <f t="shared" si="15"/>
        <v>无效</v>
      </c>
      <c r="R186" s="4" t="str">
        <f t="shared" ca="1" si="16"/>
        <v>异常：必须关联有效事件编号或税额批次</v>
      </c>
      <c r="S186" s="9"/>
      <c r="T186" s="4" t="str">
        <f>IF(D186&lt;&gt;"",IF(COUNTIF(激励事件明细!$A$2:$A$501,D186)=1,D186,""),IF(E186&lt;&gt;"",IFERROR(INDEX(激励事件明细!$A$2:$A$501,MATCH(E186,激励事件明细!$B$2:$B$501,0)),""),""))</f>
        <v/>
      </c>
      <c r="U186" s="4" t="str">
        <f>IF(T186="","",IFERROR(INDEX(激励事件明细!$B$2:$B$501,MATCH(T186,激励事件明细!$A$2:$A$501,0)),""))</f>
        <v/>
      </c>
      <c r="V186" s="4" t="str">
        <f>IF(A186="","",COUNTIF($A$2:A186,A186))</f>
        <v/>
      </c>
      <c r="W186" s="4" t="str">
        <f t="shared" si="17"/>
        <v/>
      </c>
    </row>
    <row r="187" spans="1:23" x14ac:dyDescent="0.3">
      <c r="A187" s="4" t="str">
        <f>IF(T187="","",IFERROR(INDEX(激励事件明细!$C$2:$C$501,MATCH(T187,激励事件明细!$A$2:$A$501,0)),""))</f>
        <v/>
      </c>
      <c r="B187" s="4" t="str">
        <f>IF(A187="","",IFERROR(INDEX(激励事件明细!$D$2:$D$501,MATCH(T187,激励事件明细!$A$2:$A$501,0)),""))</f>
        <v/>
      </c>
      <c r="C187" s="4" t="str">
        <f>IF(A187="","",IFERROR(INDEX(激励事件明细!$H$2:$H$501,MATCH(T187,激励事件明细!$A$2:$A$501,0)),""))</f>
        <v/>
      </c>
      <c r="D187" s="9"/>
      <c r="E187" s="9"/>
      <c r="F187" s="15" t="str">
        <f>IF(A187="","",IFERROR(INDEX(激励事件明细!$AA$2:$AA$501,MATCH(T187,激励事件明细!$A$2:$A$501,0)),""))</f>
        <v/>
      </c>
      <c r="G187" s="17" t="str">
        <f>IF(A187="","",IFERROR(INDEX(激励事件明细!$AB$2:$AB$501,MATCH(T187,激励事件明细!$A$2:$A$501,0)),""))</f>
        <v/>
      </c>
      <c r="H187" s="17" t="str">
        <f>IF(A187="","",IFERROR(INDEX(激励事件明细!$AC$2:$AC$501,MATCH(T187,激励事件明细!$A$2:$A$501,0)),""))</f>
        <v/>
      </c>
      <c r="I187" s="13"/>
      <c r="J187" s="14"/>
      <c r="K187" s="14"/>
      <c r="L187" s="9"/>
      <c r="M187" s="15" t="str">
        <f t="shared" si="12"/>
        <v/>
      </c>
      <c r="N187" s="15" t="str">
        <f t="shared" si="13"/>
        <v/>
      </c>
      <c r="O187" s="4" t="str">
        <f t="shared" ca="1" si="14"/>
        <v/>
      </c>
      <c r="P187" s="17" t="str">
        <f>IF(A187="","",IFERROR(IF(INDEX(激励事件明细!$P$2:$P$501,MATCH(T187,激励事件明细!$A$2:$A$501,0))=0,"",INDEX(激励事件明细!$P$2:$P$501,MATCH(T187,激励事件明细!$A$2:$A$501,0))),""))</f>
        <v/>
      </c>
      <c r="Q187" s="4" t="str">
        <f t="shared" si="15"/>
        <v>无效</v>
      </c>
      <c r="R187" s="4" t="str">
        <f t="shared" ca="1" si="16"/>
        <v>异常：必须关联有效事件编号或税额批次</v>
      </c>
      <c r="S187" s="9"/>
      <c r="T187" s="4" t="str">
        <f>IF(D187&lt;&gt;"",IF(COUNTIF(激励事件明细!$A$2:$A$501,D187)=1,D187,""),IF(E187&lt;&gt;"",IFERROR(INDEX(激励事件明细!$A$2:$A$501,MATCH(E187,激励事件明细!$B$2:$B$501,0)),""),""))</f>
        <v/>
      </c>
      <c r="U187" s="4" t="str">
        <f>IF(T187="","",IFERROR(INDEX(激励事件明细!$B$2:$B$501,MATCH(T187,激励事件明细!$A$2:$A$501,0)),""))</f>
        <v/>
      </c>
      <c r="V187" s="4" t="str">
        <f>IF(A187="","",COUNTIF($A$2:A187,A187))</f>
        <v/>
      </c>
      <c r="W187" s="4" t="str">
        <f t="shared" si="17"/>
        <v/>
      </c>
    </row>
    <row r="188" spans="1:23" x14ac:dyDescent="0.3">
      <c r="A188" s="4" t="str">
        <f>IF(T188="","",IFERROR(INDEX(激励事件明细!$C$2:$C$501,MATCH(T188,激励事件明细!$A$2:$A$501,0)),""))</f>
        <v/>
      </c>
      <c r="B188" s="4" t="str">
        <f>IF(A188="","",IFERROR(INDEX(激励事件明细!$D$2:$D$501,MATCH(T188,激励事件明细!$A$2:$A$501,0)),""))</f>
        <v/>
      </c>
      <c r="C188" s="4" t="str">
        <f>IF(A188="","",IFERROR(INDEX(激励事件明细!$H$2:$H$501,MATCH(T188,激励事件明细!$A$2:$A$501,0)),""))</f>
        <v/>
      </c>
      <c r="D188" s="9"/>
      <c r="E188" s="9"/>
      <c r="F188" s="15" t="str">
        <f>IF(A188="","",IFERROR(INDEX(激励事件明细!$AA$2:$AA$501,MATCH(T188,激励事件明细!$A$2:$A$501,0)),""))</f>
        <v/>
      </c>
      <c r="G188" s="17" t="str">
        <f>IF(A188="","",IFERROR(INDEX(激励事件明细!$AB$2:$AB$501,MATCH(T188,激励事件明细!$A$2:$A$501,0)),""))</f>
        <v/>
      </c>
      <c r="H188" s="17" t="str">
        <f>IF(A188="","",IFERROR(INDEX(激励事件明细!$AC$2:$AC$501,MATCH(T188,激励事件明细!$A$2:$A$501,0)),""))</f>
        <v/>
      </c>
      <c r="I188" s="13"/>
      <c r="J188" s="14"/>
      <c r="K188" s="14"/>
      <c r="L188" s="9"/>
      <c r="M188" s="15" t="str">
        <f t="shared" si="12"/>
        <v/>
      </c>
      <c r="N188" s="15" t="str">
        <f t="shared" si="13"/>
        <v/>
      </c>
      <c r="O188" s="4" t="str">
        <f t="shared" ca="1" si="14"/>
        <v/>
      </c>
      <c r="P188" s="17" t="str">
        <f>IF(A188="","",IFERROR(IF(INDEX(激励事件明细!$P$2:$P$501,MATCH(T188,激励事件明细!$A$2:$A$501,0))=0,"",INDEX(激励事件明细!$P$2:$P$501,MATCH(T188,激励事件明细!$A$2:$A$501,0))),""))</f>
        <v/>
      </c>
      <c r="Q188" s="4" t="str">
        <f t="shared" si="15"/>
        <v>无效</v>
      </c>
      <c r="R188" s="4" t="str">
        <f t="shared" ca="1" si="16"/>
        <v>异常：必须关联有效事件编号或税额批次</v>
      </c>
      <c r="S188" s="9"/>
      <c r="T188" s="4" t="str">
        <f>IF(D188&lt;&gt;"",IF(COUNTIF(激励事件明细!$A$2:$A$501,D188)=1,D188,""),IF(E188&lt;&gt;"",IFERROR(INDEX(激励事件明细!$A$2:$A$501,MATCH(E188,激励事件明细!$B$2:$B$501,0)),""),""))</f>
        <v/>
      </c>
      <c r="U188" s="4" t="str">
        <f>IF(T188="","",IFERROR(INDEX(激励事件明细!$B$2:$B$501,MATCH(T188,激励事件明细!$A$2:$A$501,0)),""))</f>
        <v/>
      </c>
      <c r="V188" s="4" t="str">
        <f>IF(A188="","",COUNTIF($A$2:A188,A188))</f>
        <v/>
      </c>
      <c r="W188" s="4" t="str">
        <f t="shared" si="17"/>
        <v/>
      </c>
    </row>
    <row r="189" spans="1:23" x14ac:dyDescent="0.3">
      <c r="A189" s="4" t="str">
        <f>IF(T189="","",IFERROR(INDEX(激励事件明细!$C$2:$C$501,MATCH(T189,激励事件明细!$A$2:$A$501,0)),""))</f>
        <v/>
      </c>
      <c r="B189" s="4" t="str">
        <f>IF(A189="","",IFERROR(INDEX(激励事件明细!$D$2:$D$501,MATCH(T189,激励事件明细!$A$2:$A$501,0)),""))</f>
        <v/>
      </c>
      <c r="C189" s="4" t="str">
        <f>IF(A189="","",IFERROR(INDEX(激励事件明细!$H$2:$H$501,MATCH(T189,激励事件明细!$A$2:$A$501,0)),""))</f>
        <v/>
      </c>
      <c r="D189" s="9"/>
      <c r="E189" s="9"/>
      <c r="F189" s="15" t="str">
        <f>IF(A189="","",IFERROR(INDEX(激励事件明细!$AA$2:$AA$501,MATCH(T189,激励事件明细!$A$2:$A$501,0)),""))</f>
        <v/>
      </c>
      <c r="G189" s="17" t="str">
        <f>IF(A189="","",IFERROR(INDEX(激励事件明细!$AB$2:$AB$501,MATCH(T189,激励事件明细!$A$2:$A$501,0)),""))</f>
        <v/>
      </c>
      <c r="H189" s="17" t="str">
        <f>IF(A189="","",IFERROR(INDEX(激励事件明细!$AC$2:$AC$501,MATCH(T189,激励事件明细!$A$2:$A$501,0)),""))</f>
        <v/>
      </c>
      <c r="I189" s="13"/>
      <c r="J189" s="14"/>
      <c r="K189" s="14"/>
      <c r="L189" s="9"/>
      <c r="M189" s="15" t="str">
        <f t="shared" si="12"/>
        <v/>
      </c>
      <c r="N189" s="15" t="str">
        <f t="shared" si="13"/>
        <v/>
      </c>
      <c r="O189" s="4" t="str">
        <f t="shared" ca="1" si="14"/>
        <v/>
      </c>
      <c r="P189" s="17" t="str">
        <f>IF(A189="","",IFERROR(IF(INDEX(激励事件明细!$P$2:$P$501,MATCH(T189,激励事件明细!$A$2:$A$501,0))=0,"",INDEX(激励事件明细!$P$2:$P$501,MATCH(T189,激励事件明细!$A$2:$A$501,0))),""))</f>
        <v/>
      </c>
      <c r="Q189" s="4" t="str">
        <f t="shared" si="15"/>
        <v>无效</v>
      </c>
      <c r="R189" s="4" t="str">
        <f t="shared" ca="1" si="16"/>
        <v>异常：必须关联有效事件编号或税额批次</v>
      </c>
      <c r="S189" s="9"/>
      <c r="T189" s="4" t="str">
        <f>IF(D189&lt;&gt;"",IF(COUNTIF(激励事件明细!$A$2:$A$501,D189)=1,D189,""),IF(E189&lt;&gt;"",IFERROR(INDEX(激励事件明细!$A$2:$A$501,MATCH(E189,激励事件明细!$B$2:$B$501,0)),""),""))</f>
        <v/>
      </c>
      <c r="U189" s="4" t="str">
        <f>IF(T189="","",IFERROR(INDEX(激励事件明细!$B$2:$B$501,MATCH(T189,激励事件明细!$A$2:$A$501,0)),""))</f>
        <v/>
      </c>
      <c r="V189" s="4" t="str">
        <f>IF(A189="","",COUNTIF($A$2:A189,A189))</f>
        <v/>
      </c>
      <c r="W189" s="4" t="str">
        <f t="shared" si="17"/>
        <v/>
      </c>
    </row>
    <row r="190" spans="1:23" x14ac:dyDescent="0.3">
      <c r="A190" s="4" t="str">
        <f>IF(T190="","",IFERROR(INDEX(激励事件明细!$C$2:$C$501,MATCH(T190,激励事件明细!$A$2:$A$501,0)),""))</f>
        <v/>
      </c>
      <c r="B190" s="4" t="str">
        <f>IF(A190="","",IFERROR(INDEX(激励事件明细!$D$2:$D$501,MATCH(T190,激励事件明细!$A$2:$A$501,0)),""))</f>
        <v/>
      </c>
      <c r="C190" s="4" t="str">
        <f>IF(A190="","",IFERROR(INDEX(激励事件明细!$H$2:$H$501,MATCH(T190,激励事件明细!$A$2:$A$501,0)),""))</f>
        <v/>
      </c>
      <c r="D190" s="9"/>
      <c r="E190" s="9"/>
      <c r="F190" s="15" t="str">
        <f>IF(A190="","",IFERROR(INDEX(激励事件明细!$AA$2:$AA$501,MATCH(T190,激励事件明细!$A$2:$A$501,0)),""))</f>
        <v/>
      </c>
      <c r="G190" s="17" t="str">
        <f>IF(A190="","",IFERROR(INDEX(激励事件明细!$AB$2:$AB$501,MATCH(T190,激励事件明细!$A$2:$A$501,0)),""))</f>
        <v/>
      </c>
      <c r="H190" s="17" t="str">
        <f>IF(A190="","",IFERROR(INDEX(激励事件明细!$AC$2:$AC$501,MATCH(T190,激励事件明细!$A$2:$A$501,0)),""))</f>
        <v/>
      </c>
      <c r="I190" s="13"/>
      <c r="J190" s="14"/>
      <c r="K190" s="14"/>
      <c r="L190" s="9"/>
      <c r="M190" s="15" t="str">
        <f t="shared" si="12"/>
        <v/>
      </c>
      <c r="N190" s="15" t="str">
        <f t="shared" si="13"/>
        <v/>
      </c>
      <c r="O190" s="4" t="str">
        <f t="shared" ca="1" si="14"/>
        <v/>
      </c>
      <c r="P190" s="17" t="str">
        <f>IF(A190="","",IFERROR(IF(INDEX(激励事件明细!$P$2:$P$501,MATCH(T190,激励事件明细!$A$2:$A$501,0))=0,"",INDEX(激励事件明细!$P$2:$P$501,MATCH(T190,激励事件明细!$A$2:$A$501,0))),""))</f>
        <v/>
      </c>
      <c r="Q190" s="4" t="str">
        <f t="shared" si="15"/>
        <v>无效</v>
      </c>
      <c r="R190" s="4" t="str">
        <f t="shared" ca="1" si="16"/>
        <v>异常：必须关联有效事件编号或税额批次</v>
      </c>
      <c r="S190" s="9"/>
      <c r="T190" s="4" t="str">
        <f>IF(D190&lt;&gt;"",IF(COUNTIF(激励事件明细!$A$2:$A$501,D190)=1,D190,""),IF(E190&lt;&gt;"",IFERROR(INDEX(激励事件明细!$A$2:$A$501,MATCH(E190,激励事件明细!$B$2:$B$501,0)),""),""))</f>
        <v/>
      </c>
      <c r="U190" s="4" t="str">
        <f>IF(T190="","",IFERROR(INDEX(激励事件明细!$B$2:$B$501,MATCH(T190,激励事件明细!$A$2:$A$501,0)),""))</f>
        <v/>
      </c>
      <c r="V190" s="4" t="str">
        <f>IF(A190="","",COUNTIF($A$2:A190,A190))</f>
        <v/>
      </c>
      <c r="W190" s="4" t="str">
        <f t="shared" si="17"/>
        <v/>
      </c>
    </row>
    <row r="191" spans="1:23" x14ac:dyDescent="0.3">
      <c r="A191" s="4" t="str">
        <f>IF(T191="","",IFERROR(INDEX(激励事件明细!$C$2:$C$501,MATCH(T191,激励事件明细!$A$2:$A$501,0)),""))</f>
        <v/>
      </c>
      <c r="B191" s="4" t="str">
        <f>IF(A191="","",IFERROR(INDEX(激励事件明细!$D$2:$D$501,MATCH(T191,激励事件明细!$A$2:$A$501,0)),""))</f>
        <v/>
      </c>
      <c r="C191" s="4" t="str">
        <f>IF(A191="","",IFERROR(INDEX(激励事件明细!$H$2:$H$501,MATCH(T191,激励事件明细!$A$2:$A$501,0)),""))</f>
        <v/>
      </c>
      <c r="D191" s="9"/>
      <c r="E191" s="9"/>
      <c r="F191" s="15" t="str">
        <f>IF(A191="","",IFERROR(INDEX(激励事件明细!$AA$2:$AA$501,MATCH(T191,激励事件明细!$A$2:$A$501,0)),""))</f>
        <v/>
      </c>
      <c r="G191" s="17" t="str">
        <f>IF(A191="","",IFERROR(INDEX(激励事件明细!$AB$2:$AB$501,MATCH(T191,激励事件明细!$A$2:$A$501,0)),""))</f>
        <v/>
      </c>
      <c r="H191" s="17" t="str">
        <f>IF(A191="","",IFERROR(INDEX(激励事件明细!$AC$2:$AC$501,MATCH(T191,激励事件明细!$A$2:$A$501,0)),""))</f>
        <v/>
      </c>
      <c r="I191" s="13"/>
      <c r="J191" s="14"/>
      <c r="K191" s="14"/>
      <c r="L191" s="9"/>
      <c r="M191" s="15" t="str">
        <f t="shared" si="12"/>
        <v/>
      </c>
      <c r="N191" s="15" t="str">
        <f t="shared" si="13"/>
        <v/>
      </c>
      <c r="O191" s="4" t="str">
        <f t="shared" ca="1" si="14"/>
        <v/>
      </c>
      <c r="P191" s="17" t="str">
        <f>IF(A191="","",IFERROR(IF(INDEX(激励事件明细!$P$2:$P$501,MATCH(T191,激励事件明细!$A$2:$A$501,0))=0,"",INDEX(激励事件明细!$P$2:$P$501,MATCH(T191,激励事件明细!$A$2:$A$501,0))),""))</f>
        <v/>
      </c>
      <c r="Q191" s="4" t="str">
        <f t="shared" si="15"/>
        <v>无效</v>
      </c>
      <c r="R191" s="4" t="str">
        <f t="shared" ca="1" si="16"/>
        <v>异常：必须关联有效事件编号或税额批次</v>
      </c>
      <c r="S191" s="9"/>
      <c r="T191" s="4" t="str">
        <f>IF(D191&lt;&gt;"",IF(COUNTIF(激励事件明细!$A$2:$A$501,D191)=1,D191,""),IF(E191&lt;&gt;"",IFERROR(INDEX(激励事件明细!$A$2:$A$501,MATCH(E191,激励事件明细!$B$2:$B$501,0)),""),""))</f>
        <v/>
      </c>
      <c r="U191" s="4" t="str">
        <f>IF(T191="","",IFERROR(INDEX(激励事件明细!$B$2:$B$501,MATCH(T191,激励事件明细!$A$2:$A$501,0)),""))</f>
        <v/>
      </c>
      <c r="V191" s="4" t="str">
        <f>IF(A191="","",COUNTIF($A$2:A191,A191))</f>
        <v/>
      </c>
      <c r="W191" s="4" t="str">
        <f t="shared" si="17"/>
        <v/>
      </c>
    </row>
    <row r="192" spans="1:23" x14ac:dyDescent="0.3">
      <c r="A192" s="4" t="str">
        <f>IF(T192="","",IFERROR(INDEX(激励事件明细!$C$2:$C$501,MATCH(T192,激励事件明细!$A$2:$A$501,0)),""))</f>
        <v/>
      </c>
      <c r="B192" s="4" t="str">
        <f>IF(A192="","",IFERROR(INDEX(激励事件明细!$D$2:$D$501,MATCH(T192,激励事件明细!$A$2:$A$501,0)),""))</f>
        <v/>
      </c>
      <c r="C192" s="4" t="str">
        <f>IF(A192="","",IFERROR(INDEX(激励事件明细!$H$2:$H$501,MATCH(T192,激励事件明细!$A$2:$A$501,0)),""))</f>
        <v/>
      </c>
      <c r="D192" s="9"/>
      <c r="E192" s="9"/>
      <c r="F192" s="15" t="str">
        <f>IF(A192="","",IFERROR(INDEX(激励事件明细!$AA$2:$AA$501,MATCH(T192,激励事件明细!$A$2:$A$501,0)),""))</f>
        <v/>
      </c>
      <c r="G192" s="17" t="str">
        <f>IF(A192="","",IFERROR(INDEX(激励事件明细!$AB$2:$AB$501,MATCH(T192,激励事件明细!$A$2:$A$501,0)),""))</f>
        <v/>
      </c>
      <c r="H192" s="17" t="str">
        <f>IF(A192="","",IFERROR(INDEX(激励事件明细!$AC$2:$AC$501,MATCH(T192,激励事件明细!$A$2:$A$501,0)),""))</f>
        <v/>
      </c>
      <c r="I192" s="13"/>
      <c r="J192" s="14"/>
      <c r="K192" s="14"/>
      <c r="L192" s="9"/>
      <c r="M192" s="15" t="str">
        <f t="shared" si="12"/>
        <v/>
      </c>
      <c r="N192" s="15" t="str">
        <f t="shared" si="13"/>
        <v/>
      </c>
      <c r="O192" s="4" t="str">
        <f t="shared" ca="1" si="14"/>
        <v/>
      </c>
      <c r="P192" s="17" t="str">
        <f>IF(A192="","",IFERROR(IF(INDEX(激励事件明细!$P$2:$P$501,MATCH(T192,激励事件明细!$A$2:$A$501,0))=0,"",INDEX(激励事件明细!$P$2:$P$501,MATCH(T192,激励事件明细!$A$2:$A$501,0))),""))</f>
        <v/>
      </c>
      <c r="Q192" s="4" t="str">
        <f t="shared" si="15"/>
        <v>无效</v>
      </c>
      <c r="R192" s="4" t="str">
        <f t="shared" ca="1" si="16"/>
        <v>异常：必须关联有效事件编号或税额批次</v>
      </c>
      <c r="S192" s="9"/>
      <c r="T192" s="4" t="str">
        <f>IF(D192&lt;&gt;"",IF(COUNTIF(激励事件明细!$A$2:$A$501,D192)=1,D192,""),IF(E192&lt;&gt;"",IFERROR(INDEX(激励事件明细!$A$2:$A$501,MATCH(E192,激励事件明细!$B$2:$B$501,0)),""),""))</f>
        <v/>
      </c>
      <c r="U192" s="4" t="str">
        <f>IF(T192="","",IFERROR(INDEX(激励事件明细!$B$2:$B$501,MATCH(T192,激励事件明细!$A$2:$A$501,0)),""))</f>
        <v/>
      </c>
      <c r="V192" s="4" t="str">
        <f>IF(A192="","",COUNTIF($A$2:A192,A192))</f>
        <v/>
      </c>
      <c r="W192" s="4" t="str">
        <f t="shared" si="17"/>
        <v/>
      </c>
    </row>
    <row r="193" spans="1:23" x14ac:dyDescent="0.3">
      <c r="A193" s="4" t="str">
        <f>IF(T193="","",IFERROR(INDEX(激励事件明细!$C$2:$C$501,MATCH(T193,激励事件明细!$A$2:$A$501,0)),""))</f>
        <v/>
      </c>
      <c r="B193" s="4" t="str">
        <f>IF(A193="","",IFERROR(INDEX(激励事件明细!$D$2:$D$501,MATCH(T193,激励事件明细!$A$2:$A$501,0)),""))</f>
        <v/>
      </c>
      <c r="C193" s="4" t="str">
        <f>IF(A193="","",IFERROR(INDEX(激励事件明细!$H$2:$H$501,MATCH(T193,激励事件明细!$A$2:$A$501,0)),""))</f>
        <v/>
      </c>
      <c r="D193" s="9"/>
      <c r="E193" s="9"/>
      <c r="F193" s="15" t="str">
        <f>IF(A193="","",IFERROR(INDEX(激励事件明细!$AA$2:$AA$501,MATCH(T193,激励事件明细!$A$2:$A$501,0)),""))</f>
        <v/>
      </c>
      <c r="G193" s="17" t="str">
        <f>IF(A193="","",IFERROR(INDEX(激励事件明细!$AB$2:$AB$501,MATCH(T193,激励事件明细!$A$2:$A$501,0)),""))</f>
        <v/>
      </c>
      <c r="H193" s="17" t="str">
        <f>IF(A193="","",IFERROR(INDEX(激励事件明细!$AC$2:$AC$501,MATCH(T193,激励事件明细!$A$2:$A$501,0)),""))</f>
        <v/>
      </c>
      <c r="I193" s="13"/>
      <c r="J193" s="14"/>
      <c r="K193" s="14"/>
      <c r="L193" s="9"/>
      <c r="M193" s="15" t="str">
        <f t="shared" si="12"/>
        <v/>
      </c>
      <c r="N193" s="15" t="str">
        <f t="shared" si="13"/>
        <v/>
      </c>
      <c r="O193" s="4" t="str">
        <f t="shared" ca="1" si="14"/>
        <v/>
      </c>
      <c r="P193" s="17" t="str">
        <f>IF(A193="","",IFERROR(IF(INDEX(激励事件明细!$P$2:$P$501,MATCH(T193,激励事件明细!$A$2:$A$501,0))=0,"",INDEX(激励事件明细!$P$2:$P$501,MATCH(T193,激励事件明细!$A$2:$A$501,0))),""))</f>
        <v/>
      </c>
      <c r="Q193" s="4" t="str">
        <f t="shared" si="15"/>
        <v>无效</v>
      </c>
      <c r="R193" s="4" t="str">
        <f t="shared" ca="1" si="16"/>
        <v>异常：必须关联有效事件编号或税额批次</v>
      </c>
      <c r="S193" s="9"/>
      <c r="T193" s="4" t="str">
        <f>IF(D193&lt;&gt;"",IF(COUNTIF(激励事件明细!$A$2:$A$501,D193)=1,D193,""),IF(E193&lt;&gt;"",IFERROR(INDEX(激励事件明细!$A$2:$A$501,MATCH(E193,激励事件明细!$B$2:$B$501,0)),""),""))</f>
        <v/>
      </c>
      <c r="U193" s="4" t="str">
        <f>IF(T193="","",IFERROR(INDEX(激励事件明细!$B$2:$B$501,MATCH(T193,激励事件明细!$A$2:$A$501,0)),""))</f>
        <v/>
      </c>
      <c r="V193" s="4" t="str">
        <f>IF(A193="","",COUNTIF($A$2:A193,A193))</f>
        <v/>
      </c>
      <c r="W193" s="4" t="str">
        <f t="shared" si="17"/>
        <v/>
      </c>
    </row>
    <row r="194" spans="1:23" x14ac:dyDescent="0.3">
      <c r="A194" s="4" t="str">
        <f>IF(T194="","",IFERROR(INDEX(激励事件明细!$C$2:$C$501,MATCH(T194,激励事件明细!$A$2:$A$501,0)),""))</f>
        <v/>
      </c>
      <c r="B194" s="4" t="str">
        <f>IF(A194="","",IFERROR(INDEX(激励事件明细!$D$2:$D$501,MATCH(T194,激励事件明细!$A$2:$A$501,0)),""))</f>
        <v/>
      </c>
      <c r="C194" s="4" t="str">
        <f>IF(A194="","",IFERROR(INDEX(激励事件明细!$H$2:$H$501,MATCH(T194,激励事件明细!$A$2:$A$501,0)),""))</f>
        <v/>
      </c>
      <c r="D194" s="9"/>
      <c r="E194" s="9"/>
      <c r="F194" s="15" t="str">
        <f>IF(A194="","",IFERROR(INDEX(激励事件明细!$AA$2:$AA$501,MATCH(T194,激励事件明细!$A$2:$A$501,0)),""))</f>
        <v/>
      </c>
      <c r="G194" s="17" t="str">
        <f>IF(A194="","",IFERROR(INDEX(激励事件明细!$AB$2:$AB$501,MATCH(T194,激励事件明细!$A$2:$A$501,0)),""))</f>
        <v/>
      </c>
      <c r="H194" s="17" t="str">
        <f>IF(A194="","",IFERROR(INDEX(激励事件明细!$AC$2:$AC$501,MATCH(T194,激励事件明细!$A$2:$A$501,0)),""))</f>
        <v/>
      </c>
      <c r="I194" s="13"/>
      <c r="J194" s="14"/>
      <c r="K194" s="14"/>
      <c r="L194" s="9"/>
      <c r="M194" s="15" t="str">
        <f t="shared" ref="M194:M257" si="18">IF(T194="","",SUMIFS($K$2:$K$501,$T$2:$T$501,T194,$Q$2:$Q$501,"有效"))</f>
        <v/>
      </c>
      <c r="N194" s="15" t="str">
        <f t="shared" ref="N194:N257" si="19">IF(F194="","",MAX(0,F194-M194))</f>
        <v/>
      </c>
      <c r="O194" s="4" t="str">
        <f t="shared" ref="O194:O257" ca="1" si="20">IF(A194="","",IF(AND(I194&lt;&gt;"",I194&gt;H194),"是",IF(AND(TODAY()&gt;H194,N194&gt;0),"是","否")))</f>
        <v/>
      </c>
      <c r="P194" s="17" t="str">
        <f>IF(A194="","",IFERROR(IF(INDEX(激励事件明细!$P$2:$P$501,MATCH(T194,激励事件明细!$A$2:$A$501,0))=0,"",INDEX(激励事件明细!$P$2:$P$501,MATCH(T194,激励事件明细!$A$2:$A$501,0))),""))</f>
        <v/>
      </c>
      <c r="Q194" s="4" t="str">
        <f t="shared" ref="Q194:Q257" si="21">IF(AND(D194="",E194=""),"无效",IF(T194="","无效",IF(AND(D194&lt;&gt;"",E194&lt;&gt;"",U194&lt;&gt;E194),"冲突","有效")))</f>
        <v>无效</v>
      </c>
      <c r="R194" s="4" t="str">
        <f t="shared" ref="R194:R257" ca="1" si="22">IF(Q194="冲突","异常：事件编号与税额批次冲突",IF(Q194="无效","异常：必须关联有效事件编号或税额批次",IF(AND(ISNUMBER(P194),P194&gt;0,ISNUMBER(I194),K194&gt;0,I194&gt;P194),"异常：离职后缴税",IF(M194&gt;F194,"异常：本批次超额缴税",IF(AND(I194&lt;&gt;"",I194&gt;H194),"异常：超过事件截止日",IF(AND(ISNUMBER(P194),P194&gt;0,TODAY()&gt;=P194,N194&gt;0),"异常：离职前未缴清","正常"))))))</f>
        <v>异常：必须关联有效事件编号或税额批次</v>
      </c>
      <c r="S194" s="9"/>
      <c r="T194" s="4" t="str">
        <f>IF(D194&lt;&gt;"",IF(COUNTIF(激励事件明细!$A$2:$A$501,D194)=1,D194,""),IF(E194&lt;&gt;"",IFERROR(INDEX(激励事件明细!$A$2:$A$501,MATCH(E194,激励事件明细!$B$2:$B$501,0)),""),""))</f>
        <v/>
      </c>
      <c r="U194" s="4" t="str">
        <f>IF(T194="","",IFERROR(INDEX(激励事件明细!$B$2:$B$501,MATCH(T194,激励事件明细!$A$2:$A$501,0)),""))</f>
        <v/>
      </c>
      <c r="V194" s="4" t="str">
        <f>IF(A194="","",COUNTIF($A$2:A194,A194))</f>
        <v/>
      </c>
      <c r="W194" s="4" t="str">
        <f t="shared" ref="W194:W257" si="23">IF(A194="","",A194&amp;"|"&amp;V194)</f>
        <v/>
      </c>
    </row>
    <row r="195" spans="1:23" x14ac:dyDescent="0.3">
      <c r="A195" s="4" t="str">
        <f>IF(T195="","",IFERROR(INDEX(激励事件明细!$C$2:$C$501,MATCH(T195,激励事件明细!$A$2:$A$501,0)),""))</f>
        <v/>
      </c>
      <c r="B195" s="4" t="str">
        <f>IF(A195="","",IFERROR(INDEX(激励事件明细!$D$2:$D$501,MATCH(T195,激励事件明细!$A$2:$A$501,0)),""))</f>
        <v/>
      </c>
      <c r="C195" s="4" t="str">
        <f>IF(A195="","",IFERROR(INDEX(激励事件明细!$H$2:$H$501,MATCH(T195,激励事件明细!$A$2:$A$501,0)),""))</f>
        <v/>
      </c>
      <c r="D195" s="9"/>
      <c r="E195" s="9"/>
      <c r="F195" s="15" t="str">
        <f>IF(A195="","",IFERROR(INDEX(激励事件明细!$AA$2:$AA$501,MATCH(T195,激励事件明细!$A$2:$A$501,0)),""))</f>
        <v/>
      </c>
      <c r="G195" s="17" t="str">
        <f>IF(A195="","",IFERROR(INDEX(激励事件明细!$AB$2:$AB$501,MATCH(T195,激励事件明细!$A$2:$A$501,0)),""))</f>
        <v/>
      </c>
      <c r="H195" s="17" t="str">
        <f>IF(A195="","",IFERROR(INDEX(激励事件明细!$AC$2:$AC$501,MATCH(T195,激励事件明细!$A$2:$A$501,0)),""))</f>
        <v/>
      </c>
      <c r="I195" s="13"/>
      <c r="J195" s="14"/>
      <c r="K195" s="14"/>
      <c r="L195" s="9"/>
      <c r="M195" s="15" t="str">
        <f t="shared" si="18"/>
        <v/>
      </c>
      <c r="N195" s="15" t="str">
        <f t="shared" si="19"/>
        <v/>
      </c>
      <c r="O195" s="4" t="str">
        <f t="shared" ca="1" si="20"/>
        <v/>
      </c>
      <c r="P195" s="17" t="str">
        <f>IF(A195="","",IFERROR(IF(INDEX(激励事件明细!$P$2:$P$501,MATCH(T195,激励事件明细!$A$2:$A$501,0))=0,"",INDEX(激励事件明细!$P$2:$P$501,MATCH(T195,激励事件明细!$A$2:$A$501,0))),""))</f>
        <v/>
      </c>
      <c r="Q195" s="4" t="str">
        <f t="shared" si="21"/>
        <v>无效</v>
      </c>
      <c r="R195" s="4" t="str">
        <f t="shared" ca="1" si="22"/>
        <v>异常：必须关联有效事件编号或税额批次</v>
      </c>
      <c r="S195" s="9"/>
      <c r="T195" s="4" t="str">
        <f>IF(D195&lt;&gt;"",IF(COUNTIF(激励事件明细!$A$2:$A$501,D195)=1,D195,""),IF(E195&lt;&gt;"",IFERROR(INDEX(激励事件明细!$A$2:$A$501,MATCH(E195,激励事件明细!$B$2:$B$501,0)),""),""))</f>
        <v/>
      </c>
      <c r="U195" s="4" t="str">
        <f>IF(T195="","",IFERROR(INDEX(激励事件明细!$B$2:$B$501,MATCH(T195,激励事件明细!$A$2:$A$501,0)),""))</f>
        <v/>
      </c>
      <c r="V195" s="4" t="str">
        <f>IF(A195="","",COUNTIF($A$2:A195,A195))</f>
        <v/>
      </c>
      <c r="W195" s="4" t="str">
        <f t="shared" si="23"/>
        <v/>
      </c>
    </row>
    <row r="196" spans="1:23" x14ac:dyDescent="0.3">
      <c r="A196" s="4" t="str">
        <f>IF(T196="","",IFERROR(INDEX(激励事件明细!$C$2:$C$501,MATCH(T196,激励事件明细!$A$2:$A$501,0)),""))</f>
        <v/>
      </c>
      <c r="B196" s="4" t="str">
        <f>IF(A196="","",IFERROR(INDEX(激励事件明细!$D$2:$D$501,MATCH(T196,激励事件明细!$A$2:$A$501,0)),""))</f>
        <v/>
      </c>
      <c r="C196" s="4" t="str">
        <f>IF(A196="","",IFERROR(INDEX(激励事件明细!$H$2:$H$501,MATCH(T196,激励事件明细!$A$2:$A$501,0)),""))</f>
        <v/>
      </c>
      <c r="D196" s="9"/>
      <c r="E196" s="9"/>
      <c r="F196" s="15" t="str">
        <f>IF(A196="","",IFERROR(INDEX(激励事件明细!$AA$2:$AA$501,MATCH(T196,激励事件明细!$A$2:$A$501,0)),""))</f>
        <v/>
      </c>
      <c r="G196" s="17" t="str">
        <f>IF(A196="","",IFERROR(INDEX(激励事件明细!$AB$2:$AB$501,MATCH(T196,激励事件明细!$A$2:$A$501,0)),""))</f>
        <v/>
      </c>
      <c r="H196" s="17" t="str">
        <f>IF(A196="","",IFERROR(INDEX(激励事件明细!$AC$2:$AC$501,MATCH(T196,激励事件明细!$A$2:$A$501,0)),""))</f>
        <v/>
      </c>
      <c r="I196" s="13"/>
      <c r="J196" s="14"/>
      <c r="K196" s="14"/>
      <c r="L196" s="9"/>
      <c r="M196" s="15" t="str">
        <f t="shared" si="18"/>
        <v/>
      </c>
      <c r="N196" s="15" t="str">
        <f t="shared" si="19"/>
        <v/>
      </c>
      <c r="O196" s="4" t="str">
        <f t="shared" ca="1" si="20"/>
        <v/>
      </c>
      <c r="P196" s="17" t="str">
        <f>IF(A196="","",IFERROR(IF(INDEX(激励事件明细!$P$2:$P$501,MATCH(T196,激励事件明细!$A$2:$A$501,0))=0,"",INDEX(激励事件明细!$P$2:$P$501,MATCH(T196,激励事件明细!$A$2:$A$501,0))),""))</f>
        <v/>
      </c>
      <c r="Q196" s="4" t="str">
        <f t="shared" si="21"/>
        <v>无效</v>
      </c>
      <c r="R196" s="4" t="str">
        <f t="shared" ca="1" si="22"/>
        <v>异常：必须关联有效事件编号或税额批次</v>
      </c>
      <c r="S196" s="9"/>
      <c r="T196" s="4" t="str">
        <f>IF(D196&lt;&gt;"",IF(COUNTIF(激励事件明细!$A$2:$A$501,D196)=1,D196,""),IF(E196&lt;&gt;"",IFERROR(INDEX(激励事件明细!$A$2:$A$501,MATCH(E196,激励事件明细!$B$2:$B$501,0)),""),""))</f>
        <v/>
      </c>
      <c r="U196" s="4" t="str">
        <f>IF(T196="","",IFERROR(INDEX(激励事件明细!$B$2:$B$501,MATCH(T196,激励事件明细!$A$2:$A$501,0)),""))</f>
        <v/>
      </c>
      <c r="V196" s="4" t="str">
        <f>IF(A196="","",COUNTIF($A$2:A196,A196))</f>
        <v/>
      </c>
      <c r="W196" s="4" t="str">
        <f t="shared" si="23"/>
        <v/>
      </c>
    </row>
    <row r="197" spans="1:23" x14ac:dyDescent="0.3">
      <c r="A197" s="4" t="str">
        <f>IF(T197="","",IFERROR(INDEX(激励事件明细!$C$2:$C$501,MATCH(T197,激励事件明细!$A$2:$A$501,0)),""))</f>
        <v/>
      </c>
      <c r="B197" s="4" t="str">
        <f>IF(A197="","",IFERROR(INDEX(激励事件明细!$D$2:$D$501,MATCH(T197,激励事件明细!$A$2:$A$501,0)),""))</f>
        <v/>
      </c>
      <c r="C197" s="4" t="str">
        <f>IF(A197="","",IFERROR(INDEX(激励事件明细!$H$2:$H$501,MATCH(T197,激励事件明细!$A$2:$A$501,0)),""))</f>
        <v/>
      </c>
      <c r="D197" s="9"/>
      <c r="E197" s="9"/>
      <c r="F197" s="15" t="str">
        <f>IF(A197="","",IFERROR(INDEX(激励事件明细!$AA$2:$AA$501,MATCH(T197,激励事件明细!$A$2:$A$501,0)),""))</f>
        <v/>
      </c>
      <c r="G197" s="17" t="str">
        <f>IF(A197="","",IFERROR(INDEX(激励事件明细!$AB$2:$AB$501,MATCH(T197,激励事件明细!$A$2:$A$501,0)),""))</f>
        <v/>
      </c>
      <c r="H197" s="17" t="str">
        <f>IF(A197="","",IFERROR(INDEX(激励事件明细!$AC$2:$AC$501,MATCH(T197,激励事件明细!$A$2:$A$501,0)),""))</f>
        <v/>
      </c>
      <c r="I197" s="13"/>
      <c r="J197" s="14"/>
      <c r="K197" s="14"/>
      <c r="L197" s="9"/>
      <c r="M197" s="15" t="str">
        <f t="shared" si="18"/>
        <v/>
      </c>
      <c r="N197" s="15" t="str">
        <f t="shared" si="19"/>
        <v/>
      </c>
      <c r="O197" s="4" t="str">
        <f t="shared" ca="1" si="20"/>
        <v/>
      </c>
      <c r="P197" s="17" t="str">
        <f>IF(A197="","",IFERROR(IF(INDEX(激励事件明细!$P$2:$P$501,MATCH(T197,激励事件明细!$A$2:$A$501,0))=0,"",INDEX(激励事件明细!$P$2:$P$501,MATCH(T197,激励事件明细!$A$2:$A$501,0))),""))</f>
        <v/>
      </c>
      <c r="Q197" s="4" t="str">
        <f t="shared" si="21"/>
        <v>无效</v>
      </c>
      <c r="R197" s="4" t="str">
        <f t="shared" ca="1" si="22"/>
        <v>异常：必须关联有效事件编号或税额批次</v>
      </c>
      <c r="S197" s="9"/>
      <c r="T197" s="4" t="str">
        <f>IF(D197&lt;&gt;"",IF(COUNTIF(激励事件明细!$A$2:$A$501,D197)=1,D197,""),IF(E197&lt;&gt;"",IFERROR(INDEX(激励事件明细!$A$2:$A$501,MATCH(E197,激励事件明细!$B$2:$B$501,0)),""),""))</f>
        <v/>
      </c>
      <c r="U197" s="4" t="str">
        <f>IF(T197="","",IFERROR(INDEX(激励事件明细!$B$2:$B$501,MATCH(T197,激励事件明细!$A$2:$A$501,0)),""))</f>
        <v/>
      </c>
      <c r="V197" s="4" t="str">
        <f>IF(A197="","",COUNTIF($A$2:A197,A197))</f>
        <v/>
      </c>
      <c r="W197" s="4" t="str">
        <f t="shared" si="23"/>
        <v/>
      </c>
    </row>
    <row r="198" spans="1:23" x14ac:dyDescent="0.3">
      <c r="A198" s="4" t="str">
        <f>IF(T198="","",IFERROR(INDEX(激励事件明细!$C$2:$C$501,MATCH(T198,激励事件明细!$A$2:$A$501,0)),""))</f>
        <v/>
      </c>
      <c r="B198" s="4" t="str">
        <f>IF(A198="","",IFERROR(INDEX(激励事件明细!$D$2:$D$501,MATCH(T198,激励事件明细!$A$2:$A$501,0)),""))</f>
        <v/>
      </c>
      <c r="C198" s="4" t="str">
        <f>IF(A198="","",IFERROR(INDEX(激励事件明细!$H$2:$H$501,MATCH(T198,激励事件明细!$A$2:$A$501,0)),""))</f>
        <v/>
      </c>
      <c r="D198" s="9"/>
      <c r="E198" s="9"/>
      <c r="F198" s="15" t="str">
        <f>IF(A198="","",IFERROR(INDEX(激励事件明细!$AA$2:$AA$501,MATCH(T198,激励事件明细!$A$2:$A$501,0)),""))</f>
        <v/>
      </c>
      <c r="G198" s="17" t="str">
        <f>IF(A198="","",IFERROR(INDEX(激励事件明细!$AB$2:$AB$501,MATCH(T198,激励事件明细!$A$2:$A$501,0)),""))</f>
        <v/>
      </c>
      <c r="H198" s="17" t="str">
        <f>IF(A198="","",IFERROR(INDEX(激励事件明细!$AC$2:$AC$501,MATCH(T198,激励事件明细!$A$2:$A$501,0)),""))</f>
        <v/>
      </c>
      <c r="I198" s="13"/>
      <c r="J198" s="14"/>
      <c r="K198" s="14"/>
      <c r="L198" s="9"/>
      <c r="M198" s="15" t="str">
        <f t="shared" si="18"/>
        <v/>
      </c>
      <c r="N198" s="15" t="str">
        <f t="shared" si="19"/>
        <v/>
      </c>
      <c r="O198" s="4" t="str">
        <f t="shared" ca="1" si="20"/>
        <v/>
      </c>
      <c r="P198" s="17" t="str">
        <f>IF(A198="","",IFERROR(IF(INDEX(激励事件明细!$P$2:$P$501,MATCH(T198,激励事件明细!$A$2:$A$501,0))=0,"",INDEX(激励事件明细!$P$2:$P$501,MATCH(T198,激励事件明细!$A$2:$A$501,0))),""))</f>
        <v/>
      </c>
      <c r="Q198" s="4" t="str">
        <f t="shared" si="21"/>
        <v>无效</v>
      </c>
      <c r="R198" s="4" t="str">
        <f t="shared" ca="1" si="22"/>
        <v>异常：必须关联有效事件编号或税额批次</v>
      </c>
      <c r="S198" s="9"/>
      <c r="T198" s="4" t="str">
        <f>IF(D198&lt;&gt;"",IF(COUNTIF(激励事件明细!$A$2:$A$501,D198)=1,D198,""),IF(E198&lt;&gt;"",IFERROR(INDEX(激励事件明细!$A$2:$A$501,MATCH(E198,激励事件明细!$B$2:$B$501,0)),""),""))</f>
        <v/>
      </c>
      <c r="U198" s="4" t="str">
        <f>IF(T198="","",IFERROR(INDEX(激励事件明细!$B$2:$B$501,MATCH(T198,激励事件明细!$A$2:$A$501,0)),""))</f>
        <v/>
      </c>
      <c r="V198" s="4" t="str">
        <f>IF(A198="","",COUNTIF($A$2:A198,A198))</f>
        <v/>
      </c>
      <c r="W198" s="4" t="str">
        <f t="shared" si="23"/>
        <v/>
      </c>
    </row>
    <row r="199" spans="1:23" x14ac:dyDescent="0.3">
      <c r="A199" s="4" t="str">
        <f>IF(T199="","",IFERROR(INDEX(激励事件明细!$C$2:$C$501,MATCH(T199,激励事件明细!$A$2:$A$501,0)),""))</f>
        <v/>
      </c>
      <c r="B199" s="4" t="str">
        <f>IF(A199="","",IFERROR(INDEX(激励事件明细!$D$2:$D$501,MATCH(T199,激励事件明细!$A$2:$A$501,0)),""))</f>
        <v/>
      </c>
      <c r="C199" s="4" t="str">
        <f>IF(A199="","",IFERROR(INDEX(激励事件明细!$H$2:$H$501,MATCH(T199,激励事件明细!$A$2:$A$501,0)),""))</f>
        <v/>
      </c>
      <c r="D199" s="9"/>
      <c r="E199" s="9"/>
      <c r="F199" s="15" t="str">
        <f>IF(A199="","",IFERROR(INDEX(激励事件明细!$AA$2:$AA$501,MATCH(T199,激励事件明细!$A$2:$A$501,0)),""))</f>
        <v/>
      </c>
      <c r="G199" s="17" t="str">
        <f>IF(A199="","",IFERROR(INDEX(激励事件明细!$AB$2:$AB$501,MATCH(T199,激励事件明细!$A$2:$A$501,0)),""))</f>
        <v/>
      </c>
      <c r="H199" s="17" t="str">
        <f>IF(A199="","",IFERROR(INDEX(激励事件明细!$AC$2:$AC$501,MATCH(T199,激励事件明细!$A$2:$A$501,0)),""))</f>
        <v/>
      </c>
      <c r="I199" s="13"/>
      <c r="J199" s="14"/>
      <c r="K199" s="14"/>
      <c r="L199" s="9"/>
      <c r="M199" s="15" t="str">
        <f t="shared" si="18"/>
        <v/>
      </c>
      <c r="N199" s="15" t="str">
        <f t="shared" si="19"/>
        <v/>
      </c>
      <c r="O199" s="4" t="str">
        <f t="shared" ca="1" si="20"/>
        <v/>
      </c>
      <c r="P199" s="17" t="str">
        <f>IF(A199="","",IFERROR(IF(INDEX(激励事件明细!$P$2:$P$501,MATCH(T199,激励事件明细!$A$2:$A$501,0))=0,"",INDEX(激励事件明细!$P$2:$P$501,MATCH(T199,激励事件明细!$A$2:$A$501,0))),""))</f>
        <v/>
      </c>
      <c r="Q199" s="4" t="str">
        <f t="shared" si="21"/>
        <v>无效</v>
      </c>
      <c r="R199" s="4" t="str">
        <f t="shared" ca="1" si="22"/>
        <v>异常：必须关联有效事件编号或税额批次</v>
      </c>
      <c r="S199" s="9"/>
      <c r="T199" s="4" t="str">
        <f>IF(D199&lt;&gt;"",IF(COUNTIF(激励事件明细!$A$2:$A$501,D199)=1,D199,""),IF(E199&lt;&gt;"",IFERROR(INDEX(激励事件明细!$A$2:$A$501,MATCH(E199,激励事件明细!$B$2:$B$501,0)),""),""))</f>
        <v/>
      </c>
      <c r="U199" s="4" t="str">
        <f>IF(T199="","",IFERROR(INDEX(激励事件明细!$B$2:$B$501,MATCH(T199,激励事件明细!$A$2:$A$501,0)),""))</f>
        <v/>
      </c>
      <c r="V199" s="4" t="str">
        <f>IF(A199="","",COUNTIF($A$2:A199,A199))</f>
        <v/>
      </c>
      <c r="W199" s="4" t="str">
        <f t="shared" si="23"/>
        <v/>
      </c>
    </row>
    <row r="200" spans="1:23" x14ac:dyDescent="0.3">
      <c r="A200" s="4" t="str">
        <f>IF(T200="","",IFERROR(INDEX(激励事件明细!$C$2:$C$501,MATCH(T200,激励事件明细!$A$2:$A$501,0)),""))</f>
        <v/>
      </c>
      <c r="B200" s="4" t="str">
        <f>IF(A200="","",IFERROR(INDEX(激励事件明细!$D$2:$D$501,MATCH(T200,激励事件明细!$A$2:$A$501,0)),""))</f>
        <v/>
      </c>
      <c r="C200" s="4" t="str">
        <f>IF(A200="","",IFERROR(INDEX(激励事件明细!$H$2:$H$501,MATCH(T200,激励事件明细!$A$2:$A$501,0)),""))</f>
        <v/>
      </c>
      <c r="D200" s="9"/>
      <c r="E200" s="9"/>
      <c r="F200" s="15" t="str">
        <f>IF(A200="","",IFERROR(INDEX(激励事件明细!$AA$2:$AA$501,MATCH(T200,激励事件明细!$A$2:$A$501,0)),""))</f>
        <v/>
      </c>
      <c r="G200" s="17" t="str">
        <f>IF(A200="","",IFERROR(INDEX(激励事件明细!$AB$2:$AB$501,MATCH(T200,激励事件明细!$A$2:$A$501,0)),""))</f>
        <v/>
      </c>
      <c r="H200" s="17" t="str">
        <f>IF(A200="","",IFERROR(INDEX(激励事件明细!$AC$2:$AC$501,MATCH(T200,激励事件明细!$A$2:$A$501,0)),""))</f>
        <v/>
      </c>
      <c r="I200" s="13"/>
      <c r="J200" s="14"/>
      <c r="K200" s="14"/>
      <c r="L200" s="9"/>
      <c r="M200" s="15" t="str">
        <f t="shared" si="18"/>
        <v/>
      </c>
      <c r="N200" s="15" t="str">
        <f t="shared" si="19"/>
        <v/>
      </c>
      <c r="O200" s="4" t="str">
        <f t="shared" ca="1" si="20"/>
        <v/>
      </c>
      <c r="P200" s="17" t="str">
        <f>IF(A200="","",IFERROR(IF(INDEX(激励事件明细!$P$2:$P$501,MATCH(T200,激励事件明细!$A$2:$A$501,0))=0,"",INDEX(激励事件明细!$P$2:$P$501,MATCH(T200,激励事件明细!$A$2:$A$501,0))),""))</f>
        <v/>
      </c>
      <c r="Q200" s="4" t="str">
        <f t="shared" si="21"/>
        <v>无效</v>
      </c>
      <c r="R200" s="4" t="str">
        <f t="shared" ca="1" si="22"/>
        <v>异常：必须关联有效事件编号或税额批次</v>
      </c>
      <c r="S200" s="9"/>
      <c r="T200" s="4" t="str">
        <f>IF(D200&lt;&gt;"",IF(COUNTIF(激励事件明细!$A$2:$A$501,D200)=1,D200,""),IF(E200&lt;&gt;"",IFERROR(INDEX(激励事件明细!$A$2:$A$501,MATCH(E200,激励事件明细!$B$2:$B$501,0)),""),""))</f>
        <v/>
      </c>
      <c r="U200" s="4" t="str">
        <f>IF(T200="","",IFERROR(INDEX(激励事件明细!$B$2:$B$501,MATCH(T200,激励事件明细!$A$2:$A$501,0)),""))</f>
        <v/>
      </c>
      <c r="V200" s="4" t="str">
        <f>IF(A200="","",COUNTIF($A$2:A200,A200))</f>
        <v/>
      </c>
      <c r="W200" s="4" t="str">
        <f t="shared" si="23"/>
        <v/>
      </c>
    </row>
    <row r="201" spans="1:23" x14ac:dyDescent="0.3">
      <c r="A201" s="4" t="str">
        <f>IF(T201="","",IFERROR(INDEX(激励事件明细!$C$2:$C$501,MATCH(T201,激励事件明细!$A$2:$A$501,0)),""))</f>
        <v/>
      </c>
      <c r="B201" s="4" t="str">
        <f>IF(A201="","",IFERROR(INDEX(激励事件明细!$D$2:$D$501,MATCH(T201,激励事件明细!$A$2:$A$501,0)),""))</f>
        <v/>
      </c>
      <c r="C201" s="4" t="str">
        <f>IF(A201="","",IFERROR(INDEX(激励事件明细!$H$2:$H$501,MATCH(T201,激励事件明细!$A$2:$A$501,0)),""))</f>
        <v/>
      </c>
      <c r="D201" s="9"/>
      <c r="E201" s="9"/>
      <c r="F201" s="15" t="str">
        <f>IF(A201="","",IFERROR(INDEX(激励事件明细!$AA$2:$AA$501,MATCH(T201,激励事件明细!$A$2:$A$501,0)),""))</f>
        <v/>
      </c>
      <c r="G201" s="17" t="str">
        <f>IF(A201="","",IFERROR(INDEX(激励事件明细!$AB$2:$AB$501,MATCH(T201,激励事件明细!$A$2:$A$501,0)),""))</f>
        <v/>
      </c>
      <c r="H201" s="17" t="str">
        <f>IF(A201="","",IFERROR(INDEX(激励事件明细!$AC$2:$AC$501,MATCH(T201,激励事件明细!$A$2:$A$501,0)),""))</f>
        <v/>
      </c>
      <c r="I201" s="13"/>
      <c r="J201" s="14"/>
      <c r="K201" s="14"/>
      <c r="L201" s="9"/>
      <c r="M201" s="15" t="str">
        <f t="shared" si="18"/>
        <v/>
      </c>
      <c r="N201" s="15" t="str">
        <f t="shared" si="19"/>
        <v/>
      </c>
      <c r="O201" s="4" t="str">
        <f t="shared" ca="1" si="20"/>
        <v/>
      </c>
      <c r="P201" s="17" t="str">
        <f>IF(A201="","",IFERROR(IF(INDEX(激励事件明细!$P$2:$P$501,MATCH(T201,激励事件明细!$A$2:$A$501,0))=0,"",INDEX(激励事件明细!$P$2:$P$501,MATCH(T201,激励事件明细!$A$2:$A$501,0))),""))</f>
        <v/>
      </c>
      <c r="Q201" s="4" t="str">
        <f t="shared" si="21"/>
        <v>无效</v>
      </c>
      <c r="R201" s="4" t="str">
        <f t="shared" ca="1" si="22"/>
        <v>异常：必须关联有效事件编号或税额批次</v>
      </c>
      <c r="S201" s="9"/>
      <c r="T201" s="4" t="str">
        <f>IF(D201&lt;&gt;"",IF(COUNTIF(激励事件明细!$A$2:$A$501,D201)=1,D201,""),IF(E201&lt;&gt;"",IFERROR(INDEX(激励事件明细!$A$2:$A$501,MATCH(E201,激励事件明细!$B$2:$B$501,0)),""),""))</f>
        <v/>
      </c>
      <c r="U201" s="4" t="str">
        <f>IF(T201="","",IFERROR(INDEX(激励事件明细!$B$2:$B$501,MATCH(T201,激励事件明细!$A$2:$A$501,0)),""))</f>
        <v/>
      </c>
      <c r="V201" s="4" t="str">
        <f>IF(A201="","",COUNTIF($A$2:A201,A201))</f>
        <v/>
      </c>
      <c r="W201" s="4" t="str">
        <f t="shared" si="23"/>
        <v/>
      </c>
    </row>
    <row r="202" spans="1:23" x14ac:dyDescent="0.3">
      <c r="A202" s="4" t="str">
        <f>IF(T202="","",IFERROR(INDEX(激励事件明细!$C$2:$C$501,MATCH(T202,激励事件明细!$A$2:$A$501,0)),""))</f>
        <v/>
      </c>
      <c r="B202" s="4" t="str">
        <f>IF(A202="","",IFERROR(INDEX(激励事件明细!$D$2:$D$501,MATCH(T202,激励事件明细!$A$2:$A$501,0)),""))</f>
        <v/>
      </c>
      <c r="C202" s="4" t="str">
        <f>IF(A202="","",IFERROR(INDEX(激励事件明细!$H$2:$H$501,MATCH(T202,激励事件明细!$A$2:$A$501,0)),""))</f>
        <v/>
      </c>
      <c r="D202" s="9"/>
      <c r="E202" s="9"/>
      <c r="F202" s="15" t="str">
        <f>IF(A202="","",IFERROR(INDEX(激励事件明细!$AA$2:$AA$501,MATCH(T202,激励事件明细!$A$2:$A$501,0)),""))</f>
        <v/>
      </c>
      <c r="G202" s="17" t="str">
        <f>IF(A202="","",IFERROR(INDEX(激励事件明细!$AB$2:$AB$501,MATCH(T202,激励事件明细!$A$2:$A$501,0)),""))</f>
        <v/>
      </c>
      <c r="H202" s="17" t="str">
        <f>IF(A202="","",IFERROR(INDEX(激励事件明细!$AC$2:$AC$501,MATCH(T202,激励事件明细!$A$2:$A$501,0)),""))</f>
        <v/>
      </c>
      <c r="I202" s="13"/>
      <c r="J202" s="14"/>
      <c r="K202" s="14"/>
      <c r="L202" s="9"/>
      <c r="M202" s="15" t="str">
        <f t="shared" si="18"/>
        <v/>
      </c>
      <c r="N202" s="15" t="str">
        <f t="shared" si="19"/>
        <v/>
      </c>
      <c r="O202" s="4" t="str">
        <f t="shared" ca="1" si="20"/>
        <v/>
      </c>
      <c r="P202" s="17" t="str">
        <f>IF(A202="","",IFERROR(IF(INDEX(激励事件明细!$P$2:$P$501,MATCH(T202,激励事件明细!$A$2:$A$501,0))=0,"",INDEX(激励事件明细!$P$2:$P$501,MATCH(T202,激励事件明细!$A$2:$A$501,0))),""))</f>
        <v/>
      </c>
      <c r="Q202" s="4" t="str">
        <f t="shared" si="21"/>
        <v>无效</v>
      </c>
      <c r="R202" s="4" t="str">
        <f t="shared" ca="1" si="22"/>
        <v>异常：必须关联有效事件编号或税额批次</v>
      </c>
      <c r="S202" s="9"/>
      <c r="T202" s="4" t="str">
        <f>IF(D202&lt;&gt;"",IF(COUNTIF(激励事件明细!$A$2:$A$501,D202)=1,D202,""),IF(E202&lt;&gt;"",IFERROR(INDEX(激励事件明细!$A$2:$A$501,MATCH(E202,激励事件明细!$B$2:$B$501,0)),""),""))</f>
        <v/>
      </c>
      <c r="U202" s="4" t="str">
        <f>IF(T202="","",IFERROR(INDEX(激励事件明细!$B$2:$B$501,MATCH(T202,激励事件明细!$A$2:$A$501,0)),""))</f>
        <v/>
      </c>
      <c r="V202" s="4" t="str">
        <f>IF(A202="","",COUNTIF($A$2:A202,A202))</f>
        <v/>
      </c>
      <c r="W202" s="4" t="str">
        <f t="shared" si="23"/>
        <v/>
      </c>
    </row>
    <row r="203" spans="1:23" x14ac:dyDescent="0.3">
      <c r="A203" s="4" t="str">
        <f>IF(T203="","",IFERROR(INDEX(激励事件明细!$C$2:$C$501,MATCH(T203,激励事件明细!$A$2:$A$501,0)),""))</f>
        <v/>
      </c>
      <c r="B203" s="4" t="str">
        <f>IF(A203="","",IFERROR(INDEX(激励事件明细!$D$2:$D$501,MATCH(T203,激励事件明细!$A$2:$A$501,0)),""))</f>
        <v/>
      </c>
      <c r="C203" s="4" t="str">
        <f>IF(A203="","",IFERROR(INDEX(激励事件明细!$H$2:$H$501,MATCH(T203,激励事件明细!$A$2:$A$501,0)),""))</f>
        <v/>
      </c>
      <c r="D203" s="9"/>
      <c r="E203" s="9"/>
      <c r="F203" s="15" t="str">
        <f>IF(A203="","",IFERROR(INDEX(激励事件明细!$AA$2:$AA$501,MATCH(T203,激励事件明细!$A$2:$A$501,0)),""))</f>
        <v/>
      </c>
      <c r="G203" s="17" t="str">
        <f>IF(A203="","",IFERROR(INDEX(激励事件明细!$AB$2:$AB$501,MATCH(T203,激励事件明细!$A$2:$A$501,0)),""))</f>
        <v/>
      </c>
      <c r="H203" s="17" t="str">
        <f>IF(A203="","",IFERROR(INDEX(激励事件明细!$AC$2:$AC$501,MATCH(T203,激励事件明细!$A$2:$A$501,0)),""))</f>
        <v/>
      </c>
      <c r="I203" s="13"/>
      <c r="J203" s="14"/>
      <c r="K203" s="14"/>
      <c r="L203" s="9"/>
      <c r="M203" s="15" t="str">
        <f t="shared" si="18"/>
        <v/>
      </c>
      <c r="N203" s="15" t="str">
        <f t="shared" si="19"/>
        <v/>
      </c>
      <c r="O203" s="4" t="str">
        <f t="shared" ca="1" si="20"/>
        <v/>
      </c>
      <c r="P203" s="17" t="str">
        <f>IF(A203="","",IFERROR(IF(INDEX(激励事件明细!$P$2:$P$501,MATCH(T203,激励事件明细!$A$2:$A$501,0))=0,"",INDEX(激励事件明细!$P$2:$P$501,MATCH(T203,激励事件明细!$A$2:$A$501,0))),""))</f>
        <v/>
      </c>
      <c r="Q203" s="4" t="str">
        <f t="shared" si="21"/>
        <v>无效</v>
      </c>
      <c r="R203" s="4" t="str">
        <f t="shared" ca="1" si="22"/>
        <v>异常：必须关联有效事件编号或税额批次</v>
      </c>
      <c r="S203" s="9"/>
      <c r="T203" s="4" t="str">
        <f>IF(D203&lt;&gt;"",IF(COUNTIF(激励事件明细!$A$2:$A$501,D203)=1,D203,""),IF(E203&lt;&gt;"",IFERROR(INDEX(激励事件明细!$A$2:$A$501,MATCH(E203,激励事件明细!$B$2:$B$501,0)),""),""))</f>
        <v/>
      </c>
      <c r="U203" s="4" t="str">
        <f>IF(T203="","",IFERROR(INDEX(激励事件明细!$B$2:$B$501,MATCH(T203,激励事件明细!$A$2:$A$501,0)),""))</f>
        <v/>
      </c>
      <c r="V203" s="4" t="str">
        <f>IF(A203="","",COUNTIF($A$2:A203,A203))</f>
        <v/>
      </c>
      <c r="W203" s="4" t="str">
        <f t="shared" si="23"/>
        <v/>
      </c>
    </row>
    <row r="204" spans="1:23" x14ac:dyDescent="0.3">
      <c r="A204" s="4" t="str">
        <f>IF(T204="","",IFERROR(INDEX(激励事件明细!$C$2:$C$501,MATCH(T204,激励事件明细!$A$2:$A$501,0)),""))</f>
        <v/>
      </c>
      <c r="B204" s="4" t="str">
        <f>IF(A204="","",IFERROR(INDEX(激励事件明细!$D$2:$D$501,MATCH(T204,激励事件明细!$A$2:$A$501,0)),""))</f>
        <v/>
      </c>
      <c r="C204" s="4" t="str">
        <f>IF(A204="","",IFERROR(INDEX(激励事件明细!$H$2:$H$501,MATCH(T204,激励事件明细!$A$2:$A$501,0)),""))</f>
        <v/>
      </c>
      <c r="D204" s="9"/>
      <c r="E204" s="9"/>
      <c r="F204" s="15" t="str">
        <f>IF(A204="","",IFERROR(INDEX(激励事件明细!$AA$2:$AA$501,MATCH(T204,激励事件明细!$A$2:$A$501,0)),""))</f>
        <v/>
      </c>
      <c r="G204" s="17" t="str">
        <f>IF(A204="","",IFERROR(INDEX(激励事件明细!$AB$2:$AB$501,MATCH(T204,激励事件明细!$A$2:$A$501,0)),""))</f>
        <v/>
      </c>
      <c r="H204" s="17" t="str">
        <f>IF(A204="","",IFERROR(INDEX(激励事件明细!$AC$2:$AC$501,MATCH(T204,激励事件明细!$A$2:$A$501,0)),""))</f>
        <v/>
      </c>
      <c r="I204" s="13"/>
      <c r="J204" s="14"/>
      <c r="K204" s="14"/>
      <c r="L204" s="9"/>
      <c r="M204" s="15" t="str">
        <f t="shared" si="18"/>
        <v/>
      </c>
      <c r="N204" s="15" t="str">
        <f t="shared" si="19"/>
        <v/>
      </c>
      <c r="O204" s="4" t="str">
        <f t="shared" ca="1" si="20"/>
        <v/>
      </c>
      <c r="P204" s="17" t="str">
        <f>IF(A204="","",IFERROR(IF(INDEX(激励事件明细!$P$2:$P$501,MATCH(T204,激励事件明细!$A$2:$A$501,0))=0,"",INDEX(激励事件明细!$P$2:$P$501,MATCH(T204,激励事件明细!$A$2:$A$501,0))),""))</f>
        <v/>
      </c>
      <c r="Q204" s="4" t="str">
        <f t="shared" si="21"/>
        <v>无效</v>
      </c>
      <c r="R204" s="4" t="str">
        <f t="shared" ca="1" si="22"/>
        <v>异常：必须关联有效事件编号或税额批次</v>
      </c>
      <c r="S204" s="9"/>
      <c r="T204" s="4" t="str">
        <f>IF(D204&lt;&gt;"",IF(COUNTIF(激励事件明细!$A$2:$A$501,D204)=1,D204,""),IF(E204&lt;&gt;"",IFERROR(INDEX(激励事件明细!$A$2:$A$501,MATCH(E204,激励事件明细!$B$2:$B$501,0)),""),""))</f>
        <v/>
      </c>
      <c r="U204" s="4" t="str">
        <f>IF(T204="","",IFERROR(INDEX(激励事件明细!$B$2:$B$501,MATCH(T204,激励事件明细!$A$2:$A$501,0)),""))</f>
        <v/>
      </c>
      <c r="V204" s="4" t="str">
        <f>IF(A204="","",COUNTIF($A$2:A204,A204))</f>
        <v/>
      </c>
      <c r="W204" s="4" t="str">
        <f t="shared" si="23"/>
        <v/>
      </c>
    </row>
    <row r="205" spans="1:23" x14ac:dyDescent="0.3">
      <c r="A205" s="4" t="str">
        <f>IF(T205="","",IFERROR(INDEX(激励事件明细!$C$2:$C$501,MATCH(T205,激励事件明细!$A$2:$A$501,0)),""))</f>
        <v/>
      </c>
      <c r="B205" s="4" t="str">
        <f>IF(A205="","",IFERROR(INDEX(激励事件明细!$D$2:$D$501,MATCH(T205,激励事件明细!$A$2:$A$501,0)),""))</f>
        <v/>
      </c>
      <c r="C205" s="4" t="str">
        <f>IF(A205="","",IFERROR(INDEX(激励事件明细!$H$2:$H$501,MATCH(T205,激励事件明细!$A$2:$A$501,0)),""))</f>
        <v/>
      </c>
      <c r="D205" s="9"/>
      <c r="E205" s="9"/>
      <c r="F205" s="15" t="str">
        <f>IF(A205="","",IFERROR(INDEX(激励事件明细!$AA$2:$AA$501,MATCH(T205,激励事件明细!$A$2:$A$501,0)),""))</f>
        <v/>
      </c>
      <c r="G205" s="17" t="str">
        <f>IF(A205="","",IFERROR(INDEX(激励事件明细!$AB$2:$AB$501,MATCH(T205,激励事件明细!$A$2:$A$501,0)),""))</f>
        <v/>
      </c>
      <c r="H205" s="17" t="str">
        <f>IF(A205="","",IFERROR(INDEX(激励事件明细!$AC$2:$AC$501,MATCH(T205,激励事件明细!$A$2:$A$501,0)),""))</f>
        <v/>
      </c>
      <c r="I205" s="13"/>
      <c r="J205" s="14"/>
      <c r="K205" s="14"/>
      <c r="L205" s="9"/>
      <c r="M205" s="15" t="str">
        <f t="shared" si="18"/>
        <v/>
      </c>
      <c r="N205" s="15" t="str">
        <f t="shared" si="19"/>
        <v/>
      </c>
      <c r="O205" s="4" t="str">
        <f t="shared" ca="1" si="20"/>
        <v/>
      </c>
      <c r="P205" s="17" t="str">
        <f>IF(A205="","",IFERROR(IF(INDEX(激励事件明细!$P$2:$P$501,MATCH(T205,激励事件明细!$A$2:$A$501,0))=0,"",INDEX(激励事件明细!$P$2:$P$501,MATCH(T205,激励事件明细!$A$2:$A$501,0))),""))</f>
        <v/>
      </c>
      <c r="Q205" s="4" t="str">
        <f t="shared" si="21"/>
        <v>无效</v>
      </c>
      <c r="R205" s="4" t="str">
        <f t="shared" ca="1" si="22"/>
        <v>异常：必须关联有效事件编号或税额批次</v>
      </c>
      <c r="S205" s="9"/>
      <c r="T205" s="4" t="str">
        <f>IF(D205&lt;&gt;"",IF(COUNTIF(激励事件明细!$A$2:$A$501,D205)=1,D205,""),IF(E205&lt;&gt;"",IFERROR(INDEX(激励事件明细!$A$2:$A$501,MATCH(E205,激励事件明细!$B$2:$B$501,0)),""),""))</f>
        <v/>
      </c>
      <c r="U205" s="4" t="str">
        <f>IF(T205="","",IFERROR(INDEX(激励事件明细!$B$2:$B$501,MATCH(T205,激励事件明细!$A$2:$A$501,0)),""))</f>
        <v/>
      </c>
      <c r="V205" s="4" t="str">
        <f>IF(A205="","",COUNTIF($A$2:A205,A205))</f>
        <v/>
      </c>
      <c r="W205" s="4" t="str">
        <f t="shared" si="23"/>
        <v/>
      </c>
    </row>
    <row r="206" spans="1:23" x14ac:dyDescent="0.3">
      <c r="A206" s="4" t="str">
        <f>IF(T206="","",IFERROR(INDEX(激励事件明细!$C$2:$C$501,MATCH(T206,激励事件明细!$A$2:$A$501,0)),""))</f>
        <v/>
      </c>
      <c r="B206" s="4" t="str">
        <f>IF(A206="","",IFERROR(INDEX(激励事件明细!$D$2:$D$501,MATCH(T206,激励事件明细!$A$2:$A$501,0)),""))</f>
        <v/>
      </c>
      <c r="C206" s="4" t="str">
        <f>IF(A206="","",IFERROR(INDEX(激励事件明细!$H$2:$H$501,MATCH(T206,激励事件明细!$A$2:$A$501,0)),""))</f>
        <v/>
      </c>
      <c r="D206" s="9"/>
      <c r="E206" s="9"/>
      <c r="F206" s="15" t="str">
        <f>IF(A206="","",IFERROR(INDEX(激励事件明细!$AA$2:$AA$501,MATCH(T206,激励事件明细!$A$2:$A$501,0)),""))</f>
        <v/>
      </c>
      <c r="G206" s="17" t="str">
        <f>IF(A206="","",IFERROR(INDEX(激励事件明细!$AB$2:$AB$501,MATCH(T206,激励事件明细!$A$2:$A$501,0)),""))</f>
        <v/>
      </c>
      <c r="H206" s="17" t="str">
        <f>IF(A206="","",IFERROR(INDEX(激励事件明细!$AC$2:$AC$501,MATCH(T206,激励事件明细!$A$2:$A$501,0)),""))</f>
        <v/>
      </c>
      <c r="I206" s="13"/>
      <c r="J206" s="14"/>
      <c r="K206" s="14"/>
      <c r="L206" s="9"/>
      <c r="M206" s="15" t="str">
        <f t="shared" si="18"/>
        <v/>
      </c>
      <c r="N206" s="15" t="str">
        <f t="shared" si="19"/>
        <v/>
      </c>
      <c r="O206" s="4" t="str">
        <f t="shared" ca="1" si="20"/>
        <v/>
      </c>
      <c r="P206" s="17" t="str">
        <f>IF(A206="","",IFERROR(IF(INDEX(激励事件明细!$P$2:$P$501,MATCH(T206,激励事件明细!$A$2:$A$501,0))=0,"",INDEX(激励事件明细!$P$2:$P$501,MATCH(T206,激励事件明细!$A$2:$A$501,0))),""))</f>
        <v/>
      </c>
      <c r="Q206" s="4" t="str">
        <f t="shared" si="21"/>
        <v>无效</v>
      </c>
      <c r="R206" s="4" t="str">
        <f t="shared" ca="1" si="22"/>
        <v>异常：必须关联有效事件编号或税额批次</v>
      </c>
      <c r="S206" s="9"/>
      <c r="T206" s="4" t="str">
        <f>IF(D206&lt;&gt;"",IF(COUNTIF(激励事件明细!$A$2:$A$501,D206)=1,D206,""),IF(E206&lt;&gt;"",IFERROR(INDEX(激励事件明细!$A$2:$A$501,MATCH(E206,激励事件明细!$B$2:$B$501,0)),""),""))</f>
        <v/>
      </c>
      <c r="U206" s="4" t="str">
        <f>IF(T206="","",IFERROR(INDEX(激励事件明细!$B$2:$B$501,MATCH(T206,激励事件明细!$A$2:$A$501,0)),""))</f>
        <v/>
      </c>
      <c r="V206" s="4" t="str">
        <f>IF(A206="","",COUNTIF($A$2:A206,A206))</f>
        <v/>
      </c>
      <c r="W206" s="4" t="str">
        <f t="shared" si="23"/>
        <v/>
      </c>
    </row>
    <row r="207" spans="1:23" x14ac:dyDescent="0.3">
      <c r="A207" s="4" t="str">
        <f>IF(T207="","",IFERROR(INDEX(激励事件明细!$C$2:$C$501,MATCH(T207,激励事件明细!$A$2:$A$501,0)),""))</f>
        <v/>
      </c>
      <c r="B207" s="4" t="str">
        <f>IF(A207="","",IFERROR(INDEX(激励事件明细!$D$2:$D$501,MATCH(T207,激励事件明细!$A$2:$A$501,0)),""))</f>
        <v/>
      </c>
      <c r="C207" s="4" t="str">
        <f>IF(A207="","",IFERROR(INDEX(激励事件明细!$H$2:$H$501,MATCH(T207,激励事件明细!$A$2:$A$501,0)),""))</f>
        <v/>
      </c>
      <c r="D207" s="9"/>
      <c r="E207" s="9"/>
      <c r="F207" s="15" t="str">
        <f>IF(A207="","",IFERROR(INDEX(激励事件明细!$AA$2:$AA$501,MATCH(T207,激励事件明细!$A$2:$A$501,0)),""))</f>
        <v/>
      </c>
      <c r="G207" s="17" t="str">
        <f>IF(A207="","",IFERROR(INDEX(激励事件明细!$AB$2:$AB$501,MATCH(T207,激励事件明细!$A$2:$A$501,0)),""))</f>
        <v/>
      </c>
      <c r="H207" s="17" t="str">
        <f>IF(A207="","",IFERROR(INDEX(激励事件明细!$AC$2:$AC$501,MATCH(T207,激励事件明细!$A$2:$A$501,0)),""))</f>
        <v/>
      </c>
      <c r="I207" s="13"/>
      <c r="J207" s="14"/>
      <c r="K207" s="14"/>
      <c r="L207" s="9"/>
      <c r="M207" s="15" t="str">
        <f t="shared" si="18"/>
        <v/>
      </c>
      <c r="N207" s="15" t="str">
        <f t="shared" si="19"/>
        <v/>
      </c>
      <c r="O207" s="4" t="str">
        <f t="shared" ca="1" si="20"/>
        <v/>
      </c>
      <c r="P207" s="17" t="str">
        <f>IF(A207="","",IFERROR(IF(INDEX(激励事件明细!$P$2:$P$501,MATCH(T207,激励事件明细!$A$2:$A$501,0))=0,"",INDEX(激励事件明细!$P$2:$P$501,MATCH(T207,激励事件明细!$A$2:$A$501,0))),""))</f>
        <v/>
      </c>
      <c r="Q207" s="4" t="str">
        <f t="shared" si="21"/>
        <v>无效</v>
      </c>
      <c r="R207" s="4" t="str">
        <f t="shared" ca="1" si="22"/>
        <v>异常：必须关联有效事件编号或税额批次</v>
      </c>
      <c r="S207" s="9"/>
      <c r="T207" s="4" t="str">
        <f>IF(D207&lt;&gt;"",IF(COUNTIF(激励事件明细!$A$2:$A$501,D207)=1,D207,""),IF(E207&lt;&gt;"",IFERROR(INDEX(激励事件明细!$A$2:$A$501,MATCH(E207,激励事件明细!$B$2:$B$501,0)),""),""))</f>
        <v/>
      </c>
      <c r="U207" s="4" t="str">
        <f>IF(T207="","",IFERROR(INDEX(激励事件明细!$B$2:$B$501,MATCH(T207,激励事件明细!$A$2:$A$501,0)),""))</f>
        <v/>
      </c>
      <c r="V207" s="4" t="str">
        <f>IF(A207="","",COUNTIF($A$2:A207,A207))</f>
        <v/>
      </c>
      <c r="W207" s="4" t="str">
        <f t="shared" si="23"/>
        <v/>
      </c>
    </row>
    <row r="208" spans="1:23" x14ac:dyDescent="0.3">
      <c r="A208" s="4" t="str">
        <f>IF(T208="","",IFERROR(INDEX(激励事件明细!$C$2:$C$501,MATCH(T208,激励事件明细!$A$2:$A$501,0)),""))</f>
        <v/>
      </c>
      <c r="B208" s="4" t="str">
        <f>IF(A208="","",IFERROR(INDEX(激励事件明细!$D$2:$D$501,MATCH(T208,激励事件明细!$A$2:$A$501,0)),""))</f>
        <v/>
      </c>
      <c r="C208" s="4" t="str">
        <f>IF(A208="","",IFERROR(INDEX(激励事件明细!$H$2:$H$501,MATCH(T208,激励事件明细!$A$2:$A$501,0)),""))</f>
        <v/>
      </c>
      <c r="D208" s="9"/>
      <c r="E208" s="9"/>
      <c r="F208" s="15" t="str">
        <f>IF(A208="","",IFERROR(INDEX(激励事件明细!$AA$2:$AA$501,MATCH(T208,激励事件明细!$A$2:$A$501,0)),""))</f>
        <v/>
      </c>
      <c r="G208" s="17" t="str">
        <f>IF(A208="","",IFERROR(INDEX(激励事件明细!$AB$2:$AB$501,MATCH(T208,激励事件明细!$A$2:$A$501,0)),""))</f>
        <v/>
      </c>
      <c r="H208" s="17" t="str">
        <f>IF(A208="","",IFERROR(INDEX(激励事件明细!$AC$2:$AC$501,MATCH(T208,激励事件明细!$A$2:$A$501,0)),""))</f>
        <v/>
      </c>
      <c r="I208" s="13"/>
      <c r="J208" s="14"/>
      <c r="K208" s="14"/>
      <c r="L208" s="9"/>
      <c r="M208" s="15" t="str">
        <f t="shared" si="18"/>
        <v/>
      </c>
      <c r="N208" s="15" t="str">
        <f t="shared" si="19"/>
        <v/>
      </c>
      <c r="O208" s="4" t="str">
        <f t="shared" ca="1" si="20"/>
        <v/>
      </c>
      <c r="P208" s="17" t="str">
        <f>IF(A208="","",IFERROR(IF(INDEX(激励事件明细!$P$2:$P$501,MATCH(T208,激励事件明细!$A$2:$A$501,0))=0,"",INDEX(激励事件明细!$P$2:$P$501,MATCH(T208,激励事件明细!$A$2:$A$501,0))),""))</f>
        <v/>
      </c>
      <c r="Q208" s="4" t="str">
        <f t="shared" si="21"/>
        <v>无效</v>
      </c>
      <c r="R208" s="4" t="str">
        <f t="shared" ca="1" si="22"/>
        <v>异常：必须关联有效事件编号或税额批次</v>
      </c>
      <c r="S208" s="9"/>
      <c r="T208" s="4" t="str">
        <f>IF(D208&lt;&gt;"",IF(COUNTIF(激励事件明细!$A$2:$A$501,D208)=1,D208,""),IF(E208&lt;&gt;"",IFERROR(INDEX(激励事件明细!$A$2:$A$501,MATCH(E208,激励事件明细!$B$2:$B$501,0)),""),""))</f>
        <v/>
      </c>
      <c r="U208" s="4" t="str">
        <f>IF(T208="","",IFERROR(INDEX(激励事件明细!$B$2:$B$501,MATCH(T208,激励事件明细!$A$2:$A$501,0)),""))</f>
        <v/>
      </c>
      <c r="V208" s="4" t="str">
        <f>IF(A208="","",COUNTIF($A$2:A208,A208))</f>
        <v/>
      </c>
      <c r="W208" s="4" t="str">
        <f t="shared" si="23"/>
        <v/>
      </c>
    </row>
    <row r="209" spans="1:23" x14ac:dyDescent="0.3">
      <c r="A209" s="4" t="str">
        <f>IF(T209="","",IFERROR(INDEX(激励事件明细!$C$2:$C$501,MATCH(T209,激励事件明细!$A$2:$A$501,0)),""))</f>
        <v/>
      </c>
      <c r="B209" s="4" t="str">
        <f>IF(A209="","",IFERROR(INDEX(激励事件明细!$D$2:$D$501,MATCH(T209,激励事件明细!$A$2:$A$501,0)),""))</f>
        <v/>
      </c>
      <c r="C209" s="4" t="str">
        <f>IF(A209="","",IFERROR(INDEX(激励事件明细!$H$2:$H$501,MATCH(T209,激励事件明细!$A$2:$A$501,0)),""))</f>
        <v/>
      </c>
      <c r="D209" s="9"/>
      <c r="E209" s="9"/>
      <c r="F209" s="15" t="str">
        <f>IF(A209="","",IFERROR(INDEX(激励事件明细!$AA$2:$AA$501,MATCH(T209,激励事件明细!$A$2:$A$501,0)),""))</f>
        <v/>
      </c>
      <c r="G209" s="17" t="str">
        <f>IF(A209="","",IFERROR(INDEX(激励事件明细!$AB$2:$AB$501,MATCH(T209,激励事件明细!$A$2:$A$501,0)),""))</f>
        <v/>
      </c>
      <c r="H209" s="17" t="str">
        <f>IF(A209="","",IFERROR(INDEX(激励事件明细!$AC$2:$AC$501,MATCH(T209,激励事件明细!$A$2:$A$501,0)),""))</f>
        <v/>
      </c>
      <c r="I209" s="13"/>
      <c r="J209" s="14"/>
      <c r="K209" s="14"/>
      <c r="L209" s="9"/>
      <c r="M209" s="15" t="str">
        <f t="shared" si="18"/>
        <v/>
      </c>
      <c r="N209" s="15" t="str">
        <f t="shared" si="19"/>
        <v/>
      </c>
      <c r="O209" s="4" t="str">
        <f t="shared" ca="1" si="20"/>
        <v/>
      </c>
      <c r="P209" s="17" t="str">
        <f>IF(A209="","",IFERROR(IF(INDEX(激励事件明细!$P$2:$P$501,MATCH(T209,激励事件明细!$A$2:$A$501,0))=0,"",INDEX(激励事件明细!$P$2:$P$501,MATCH(T209,激励事件明细!$A$2:$A$501,0))),""))</f>
        <v/>
      </c>
      <c r="Q209" s="4" t="str">
        <f t="shared" si="21"/>
        <v>无效</v>
      </c>
      <c r="R209" s="4" t="str">
        <f t="shared" ca="1" si="22"/>
        <v>异常：必须关联有效事件编号或税额批次</v>
      </c>
      <c r="S209" s="9"/>
      <c r="T209" s="4" t="str">
        <f>IF(D209&lt;&gt;"",IF(COUNTIF(激励事件明细!$A$2:$A$501,D209)=1,D209,""),IF(E209&lt;&gt;"",IFERROR(INDEX(激励事件明细!$A$2:$A$501,MATCH(E209,激励事件明细!$B$2:$B$501,0)),""),""))</f>
        <v/>
      </c>
      <c r="U209" s="4" t="str">
        <f>IF(T209="","",IFERROR(INDEX(激励事件明细!$B$2:$B$501,MATCH(T209,激励事件明细!$A$2:$A$501,0)),""))</f>
        <v/>
      </c>
      <c r="V209" s="4" t="str">
        <f>IF(A209="","",COUNTIF($A$2:A209,A209))</f>
        <v/>
      </c>
      <c r="W209" s="4" t="str">
        <f t="shared" si="23"/>
        <v/>
      </c>
    </row>
    <row r="210" spans="1:23" x14ac:dyDescent="0.3">
      <c r="A210" s="4" t="str">
        <f>IF(T210="","",IFERROR(INDEX(激励事件明细!$C$2:$C$501,MATCH(T210,激励事件明细!$A$2:$A$501,0)),""))</f>
        <v/>
      </c>
      <c r="B210" s="4" t="str">
        <f>IF(A210="","",IFERROR(INDEX(激励事件明细!$D$2:$D$501,MATCH(T210,激励事件明细!$A$2:$A$501,0)),""))</f>
        <v/>
      </c>
      <c r="C210" s="4" t="str">
        <f>IF(A210="","",IFERROR(INDEX(激励事件明细!$H$2:$H$501,MATCH(T210,激励事件明细!$A$2:$A$501,0)),""))</f>
        <v/>
      </c>
      <c r="D210" s="9"/>
      <c r="E210" s="9"/>
      <c r="F210" s="15" t="str">
        <f>IF(A210="","",IFERROR(INDEX(激励事件明细!$AA$2:$AA$501,MATCH(T210,激励事件明细!$A$2:$A$501,0)),""))</f>
        <v/>
      </c>
      <c r="G210" s="17" t="str">
        <f>IF(A210="","",IFERROR(INDEX(激励事件明细!$AB$2:$AB$501,MATCH(T210,激励事件明细!$A$2:$A$501,0)),""))</f>
        <v/>
      </c>
      <c r="H210" s="17" t="str">
        <f>IF(A210="","",IFERROR(INDEX(激励事件明细!$AC$2:$AC$501,MATCH(T210,激励事件明细!$A$2:$A$501,0)),""))</f>
        <v/>
      </c>
      <c r="I210" s="13"/>
      <c r="J210" s="14"/>
      <c r="K210" s="14"/>
      <c r="L210" s="9"/>
      <c r="M210" s="15" t="str">
        <f t="shared" si="18"/>
        <v/>
      </c>
      <c r="N210" s="15" t="str">
        <f t="shared" si="19"/>
        <v/>
      </c>
      <c r="O210" s="4" t="str">
        <f t="shared" ca="1" si="20"/>
        <v/>
      </c>
      <c r="P210" s="17" t="str">
        <f>IF(A210="","",IFERROR(IF(INDEX(激励事件明细!$P$2:$P$501,MATCH(T210,激励事件明细!$A$2:$A$501,0))=0,"",INDEX(激励事件明细!$P$2:$P$501,MATCH(T210,激励事件明细!$A$2:$A$501,0))),""))</f>
        <v/>
      </c>
      <c r="Q210" s="4" t="str">
        <f t="shared" si="21"/>
        <v>无效</v>
      </c>
      <c r="R210" s="4" t="str">
        <f t="shared" ca="1" si="22"/>
        <v>异常：必须关联有效事件编号或税额批次</v>
      </c>
      <c r="S210" s="9"/>
      <c r="T210" s="4" t="str">
        <f>IF(D210&lt;&gt;"",IF(COUNTIF(激励事件明细!$A$2:$A$501,D210)=1,D210,""),IF(E210&lt;&gt;"",IFERROR(INDEX(激励事件明细!$A$2:$A$501,MATCH(E210,激励事件明细!$B$2:$B$501,0)),""),""))</f>
        <v/>
      </c>
      <c r="U210" s="4" t="str">
        <f>IF(T210="","",IFERROR(INDEX(激励事件明细!$B$2:$B$501,MATCH(T210,激励事件明细!$A$2:$A$501,0)),""))</f>
        <v/>
      </c>
      <c r="V210" s="4" t="str">
        <f>IF(A210="","",COUNTIF($A$2:A210,A210))</f>
        <v/>
      </c>
      <c r="W210" s="4" t="str">
        <f t="shared" si="23"/>
        <v/>
      </c>
    </row>
    <row r="211" spans="1:23" x14ac:dyDescent="0.3">
      <c r="A211" s="4" t="str">
        <f>IF(T211="","",IFERROR(INDEX(激励事件明细!$C$2:$C$501,MATCH(T211,激励事件明细!$A$2:$A$501,0)),""))</f>
        <v/>
      </c>
      <c r="B211" s="4" t="str">
        <f>IF(A211="","",IFERROR(INDEX(激励事件明细!$D$2:$D$501,MATCH(T211,激励事件明细!$A$2:$A$501,0)),""))</f>
        <v/>
      </c>
      <c r="C211" s="4" t="str">
        <f>IF(A211="","",IFERROR(INDEX(激励事件明细!$H$2:$H$501,MATCH(T211,激励事件明细!$A$2:$A$501,0)),""))</f>
        <v/>
      </c>
      <c r="D211" s="9"/>
      <c r="E211" s="9"/>
      <c r="F211" s="15" t="str">
        <f>IF(A211="","",IFERROR(INDEX(激励事件明细!$AA$2:$AA$501,MATCH(T211,激励事件明细!$A$2:$A$501,0)),""))</f>
        <v/>
      </c>
      <c r="G211" s="17" t="str">
        <f>IF(A211="","",IFERROR(INDEX(激励事件明细!$AB$2:$AB$501,MATCH(T211,激励事件明细!$A$2:$A$501,0)),""))</f>
        <v/>
      </c>
      <c r="H211" s="17" t="str">
        <f>IF(A211="","",IFERROR(INDEX(激励事件明细!$AC$2:$AC$501,MATCH(T211,激励事件明细!$A$2:$A$501,0)),""))</f>
        <v/>
      </c>
      <c r="I211" s="13"/>
      <c r="J211" s="14"/>
      <c r="K211" s="14"/>
      <c r="L211" s="9"/>
      <c r="M211" s="15" t="str">
        <f t="shared" si="18"/>
        <v/>
      </c>
      <c r="N211" s="15" t="str">
        <f t="shared" si="19"/>
        <v/>
      </c>
      <c r="O211" s="4" t="str">
        <f t="shared" ca="1" si="20"/>
        <v/>
      </c>
      <c r="P211" s="17" t="str">
        <f>IF(A211="","",IFERROR(IF(INDEX(激励事件明细!$P$2:$P$501,MATCH(T211,激励事件明细!$A$2:$A$501,0))=0,"",INDEX(激励事件明细!$P$2:$P$501,MATCH(T211,激励事件明细!$A$2:$A$501,0))),""))</f>
        <v/>
      </c>
      <c r="Q211" s="4" t="str">
        <f t="shared" si="21"/>
        <v>无效</v>
      </c>
      <c r="R211" s="4" t="str">
        <f t="shared" ca="1" si="22"/>
        <v>异常：必须关联有效事件编号或税额批次</v>
      </c>
      <c r="S211" s="9"/>
      <c r="T211" s="4" t="str">
        <f>IF(D211&lt;&gt;"",IF(COUNTIF(激励事件明细!$A$2:$A$501,D211)=1,D211,""),IF(E211&lt;&gt;"",IFERROR(INDEX(激励事件明细!$A$2:$A$501,MATCH(E211,激励事件明细!$B$2:$B$501,0)),""),""))</f>
        <v/>
      </c>
      <c r="U211" s="4" t="str">
        <f>IF(T211="","",IFERROR(INDEX(激励事件明细!$B$2:$B$501,MATCH(T211,激励事件明细!$A$2:$A$501,0)),""))</f>
        <v/>
      </c>
      <c r="V211" s="4" t="str">
        <f>IF(A211="","",COUNTIF($A$2:A211,A211))</f>
        <v/>
      </c>
      <c r="W211" s="4" t="str">
        <f t="shared" si="23"/>
        <v/>
      </c>
    </row>
    <row r="212" spans="1:23" x14ac:dyDescent="0.3">
      <c r="A212" s="4" t="str">
        <f>IF(T212="","",IFERROR(INDEX(激励事件明细!$C$2:$C$501,MATCH(T212,激励事件明细!$A$2:$A$501,0)),""))</f>
        <v/>
      </c>
      <c r="B212" s="4" t="str">
        <f>IF(A212="","",IFERROR(INDEX(激励事件明细!$D$2:$D$501,MATCH(T212,激励事件明细!$A$2:$A$501,0)),""))</f>
        <v/>
      </c>
      <c r="C212" s="4" t="str">
        <f>IF(A212="","",IFERROR(INDEX(激励事件明细!$H$2:$H$501,MATCH(T212,激励事件明细!$A$2:$A$501,0)),""))</f>
        <v/>
      </c>
      <c r="D212" s="9"/>
      <c r="E212" s="9"/>
      <c r="F212" s="15" t="str">
        <f>IF(A212="","",IFERROR(INDEX(激励事件明细!$AA$2:$AA$501,MATCH(T212,激励事件明细!$A$2:$A$501,0)),""))</f>
        <v/>
      </c>
      <c r="G212" s="17" t="str">
        <f>IF(A212="","",IFERROR(INDEX(激励事件明细!$AB$2:$AB$501,MATCH(T212,激励事件明细!$A$2:$A$501,0)),""))</f>
        <v/>
      </c>
      <c r="H212" s="17" t="str">
        <f>IF(A212="","",IFERROR(INDEX(激励事件明细!$AC$2:$AC$501,MATCH(T212,激励事件明细!$A$2:$A$501,0)),""))</f>
        <v/>
      </c>
      <c r="I212" s="13"/>
      <c r="J212" s="14"/>
      <c r="K212" s="14"/>
      <c r="L212" s="9"/>
      <c r="M212" s="15" t="str">
        <f t="shared" si="18"/>
        <v/>
      </c>
      <c r="N212" s="15" t="str">
        <f t="shared" si="19"/>
        <v/>
      </c>
      <c r="O212" s="4" t="str">
        <f t="shared" ca="1" si="20"/>
        <v/>
      </c>
      <c r="P212" s="17" t="str">
        <f>IF(A212="","",IFERROR(IF(INDEX(激励事件明细!$P$2:$P$501,MATCH(T212,激励事件明细!$A$2:$A$501,0))=0,"",INDEX(激励事件明细!$P$2:$P$501,MATCH(T212,激励事件明细!$A$2:$A$501,0))),""))</f>
        <v/>
      </c>
      <c r="Q212" s="4" t="str">
        <f t="shared" si="21"/>
        <v>无效</v>
      </c>
      <c r="R212" s="4" t="str">
        <f t="shared" ca="1" si="22"/>
        <v>异常：必须关联有效事件编号或税额批次</v>
      </c>
      <c r="S212" s="9"/>
      <c r="T212" s="4" t="str">
        <f>IF(D212&lt;&gt;"",IF(COUNTIF(激励事件明细!$A$2:$A$501,D212)=1,D212,""),IF(E212&lt;&gt;"",IFERROR(INDEX(激励事件明细!$A$2:$A$501,MATCH(E212,激励事件明细!$B$2:$B$501,0)),""),""))</f>
        <v/>
      </c>
      <c r="U212" s="4" t="str">
        <f>IF(T212="","",IFERROR(INDEX(激励事件明细!$B$2:$B$501,MATCH(T212,激励事件明细!$A$2:$A$501,0)),""))</f>
        <v/>
      </c>
      <c r="V212" s="4" t="str">
        <f>IF(A212="","",COUNTIF($A$2:A212,A212))</f>
        <v/>
      </c>
      <c r="W212" s="4" t="str">
        <f t="shared" si="23"/>
        <v/>
      </c>
    </row>
    <row r="213" spans="1:23" x14ac:dyDescent="0.3">
      <c r="A213" s="4" t="str">
        <f>IF(T213="","",IFERROR(INDEX(激励事件明细!$C$2:$C$501,MATCH(T213,激励事件明细!$A$2:$A$501,0)),""))</f>
        <v/>
      </c>
      <c r="B213" s="4" t="str">
        <f>IF(A213="","",IFERROR(INDEX(激励事件明细!$D$2:$D$501,MATCH(T213,激励事件明细!$A$2:$A$501,0)),""))</f>
        <v/>
      </c>
      <c r="C213" s="4" t="str">
        <f>IF(A213="","",IFERROR(INDEX(激励事件明细!$H$2:$H$501,MATCH(T213,激励事件明细!$A$2:$A$501,0)),""))</f>
        <v/>
      </c>
      <c r="D213" s="9"/>
      <c r="E213" s="9"/>
      <c r="F213" s="15" t="str">
        <f>IF(A213="","",IFERROR(INDEX(激励事件明细!$AA$2:$AA$501,MATCH(T213,激励事件明细!$A$2:$A$501,0)),""))</f>
        <v/>
      </c>
      <c r="G213" s="17" t="str">
        <f>IF(A213="","",IFERROR(INDEX(激励事件明细!$AB$2:$AB$501,MATCH(T213,激励事件明细!$A$2:$A$501,0)),""))</f>
        <v/>
      </c>
      <c r="H213" s="17" t="str">
        <f>IF(A213="","",IFERROR(INDEX(激励事件明细!$AC$2:$AC$501,MATCH(T213,激励事件明细!$A$2:$A$501,0)),""))</f>
        <v/>
      </c>
      <c r="I213" s="13"/>
      <c r="J213" s="14"/>
      <c r="K213" s="14"/>
      <c r="L213" s="9"/>
      <c r="M213" s="15" t="str">
        <f t="shared" si="18"/>
        <v/>
      </c>
      <c r="N213" s="15" t="str">
        <f t="shared" si="19"/>
        <v/>
      </c>
      <c r="O213" s="4" t="str">
        <f t="shared" ca="1" si="20"/>
        <v/>
      </c>
      <c r="P213" s="17" t="str">
        <f>IF(A213="","",IFERROR(IF(INDEX(激励事件明细!$P$2:$P$501,MATCH(T213,激励事件明细!$A$2:$A$501,0))=0,"",INDEX(激励事件明细!$P$2:$P$501,MATCH(T213,激励事件明细!$A$2:$A$501,0))),""))</f>
        <v/>
      </c>
      <c r="Q213" s="4" t="str">
        <f t="shared" si="21"/>
        <v>无效</v>
      </c>
      <c r="R213" s="4" t="str">
        <f t="shared" ca="1" si="22"/>
        <v>异常：必须关联有效事件编号或税额批次</v>
      </c>
      <c r="S213" s="9"/>
      <c r="T213" s="4" t="str">
        <f>IF(D213&lt;&gt;"",IF(COUNTIF(激励事件明细!$A$2:$A$501,D213)=1,D213,""),IF(E213&lt;&gt;"",IFERROR(INDEX(激励事件明细!$A$2:$A$501,MATCH(E213,激励事件明细!$B$2:$B$501,0)),""),""))</f>
        <v/>
      </c>
      <c r="U213" s="4" t="str">
        <f>IF(T213="","",IFERROR(INDEX(激励事件明细!$B$2:$B$501,MATCH(T213,激励事件明细!$A$2:$A$501,0)),""))</f>
        <v/>
      </c>
      <c r="V213" s="4" t="str">
        <f>IF(A213="","",COUNTIF($A$2:A213,A213))</f>
        <v/>
      </c>
      <c r="W213" s="4" t="str">
        <f t="shared" si="23"/>
        <v/>
      </c>
    </row>
    <row r="214" spans="1:23" x14ac:dyDescent="0.3">
      <c r="A214" s="4" t="str">
        <f>IF(T214="","",IFERROR(INDEX(激励事件明细!$C$2:$C$501,MATCH(T214,激励事件明细!$A$2:$A$501,0)),""))</f>
        <v/>
      </c>
      <c r="B214" s="4" t="str">
        <f>IF(A214="","",IFERROR(INDEX(激励事件明细!$D$2:$D$501,MATCH(T214,激励事件明细!$A$2:$A$501,0)),""))</f>
        <v/>
      </c>
      <c r="C214" s="4" t="str">
        <f>IF(A214="","",IFERROR(INDEX(激励事件明细!$H$2:$H$501,MATCH(T214,激励事件明细!$A$2:$A$501,0)),""))</f>
        <v/>
      </c>
      <c r="D214" s="9"/>
      <c r="E214" s="9"/>
      <c r="F214" s="15" t="str">
        <f>IF(A214="","",IFERROR(INDEX(激励事件明细!$AA$2:$AA$501,MATCH(T214,激励事件明细!$A$2:$A$501,0)),""))</f>
        <v/>
      </c>
      <c r="G214" s="17" t="str">
        <f>IF(A214="","",IFERROR(INDEX(激励事件明细!$AB$2:$AB$501,MATCH(T214,激励事件明细!$A$2:$A$501,0)),""))</f>
        <v/>
      </c>
      <c r="H214" s="17" t="str">
        <f>IF(A214="","",IFERROR(INDEX(激励事件明细!$AC$2:$AC$501,MATCH(T214,激励事件明细!$A$2:$A$501,0)),""))</f>
        <v/>
      </c>
      <c r="I214" s="13"/>
      <c r="J214" s="14"/>
      <c r="K214" s="14"/>
      <c r="L214" s="9"/>
      <c r="M214" s="15" t="str">
        <f t="shared" si="18"/>
        <v/>
      </c>
      <c r="N214" s="15" t="str">
        <f t="shared" si="19"/>
        <v/>
      </c>
      <c r="O214" s="4" t="str">
        <f t="shared" ca="1" si="20"/>
        <v/>
      </c>
      <c r="P214" s="17" t="str">
        <f>IF(A214="","",IFERROR(IF(INDEX(激励事件明细!$P$2:$P$501,MATCH(T214,激励事件明细!$A$2:$A$501,0))=0,"",INDEX(激励事件明细!$P$2:$P$501,MATCH(T214,激励事件明细!$A$2:$A$501,0))),""))</f>
        <v/>
      </c>
      <c r="Q214" s="4" t="str">
        <f t="shared" si="21"/>
        <v>无效</v>
      </c>
      <c r="R214" s="4" t="str">
        <f t="shared" ca="1" si="22"/>
        <v>异常：必须关联有效事件编号或税额批次</v>
      </c>
      <c r="S214" s="9"/>
      <c r="T214" s="4" t="str">
        <f>IF(D214&lt;&gt;"",IF(COUNTIF(激励事件明细!$A$2:$A$501,D214)=1,D214,""),IF(E214&lt;&gt;"",IFERROR(INDEX(激励事件明细!$A$2:$A$501,MATCH(E214,激励事件明细!$B$2:$B$501,0)),""),""))</f>
        <v/>
      </c>
      <c r="U214" s="4" t="str">
        <f>IF(T214="","",IFERROR(INDEX(激励事件明细!$B$2:$B$501,MATCH(T214,激励事件明细!$A$2:$A$501,0)),""))</f>
        <v/>
      </c>
      <c r="V214" s="4" t="str">
        <f>IF(A214="","",COUNTIF($A$2:A214,A214))</f>
        <v/>
      </c>
      <c r="W214" s="4" t="str">
        <f t="shared" si="23"/>
        <v/>
      </c>
    </row>
    <row r="215" spans="1:23" x14ac:dyDescent="0.3">
      <c r="A215" s="4" t="str">
        <f>IF(T215="","",IFERROR(INDEX(激励事件明细!$C$2:$C$501,MATCH(T215,激励事件明细!$A$2:$A$501,0)),""))</f>
        <v/>
      </c>
      <c r="B215" s="4" t="str">
        <f>IF(A215="","",IFERROR(INDEX(激励事件明细!$D$2:$D$501,MATCH(T215,激励事件明细!$A$2:$A$501,0)),""))</f>
        <v/>
      </c>
      <c r="C215" s="4" t="str">
        <f>IF(A215="","",IFERROR(INDEX(激励事件明细!$H$2:$H$501,MATCH(T215,激励事件明细!$A$2:$A$501,0)),""))</f>
        <v/>
      </c>
      <c r="D215" s="9"/>
      <c r="E215" s="9"/>
      <c r="F215" s="15" t="str">
        <f>IF(A215="","",IFERROR(INDEX(激励事件明细!$AA$2:$AA$501,MATCH(T215,激励事件明细!$A$2:$A$501,0)),""))</f>
        <v/>
      </c>
      <c r="G215" s="17" t="str">
        <f>IF(A215="","",IFERROR(INDEX(激励事件明细!$AB$2:$AB$501,MATCH(T215,激励事件明细!$A$2:$A$501,0)),""))</f>
        <v/>
      </c>
      <c r="H215" s="17" t="str">
        <f>IF(A215="","",IFERROR(INDEX(激励事件明细!$AC$2:$AC$501,MATCH(T215,激励事件明细!$A$2:$A$501,0)),""))</f>
        <v/>
      </c>
      <c r="I215" s="13"/>
      <c r="J215" s="14"/>
      <c r="K215" s="14"/>
      <c r="L215" s="9"/>
      <c r="M215" s="15" t="str">
        <f t="shared" si="18"/>
        <v/>
      </c>
      <c r="N215" s="15" t="str">
        <f t="shared" si="19"/>
        <v/>
      </c>
      <c r="O215" s="4" t="str">
        <f t="shared" ca="1" si="20"/>
        <v/>
      </c>
      <c r="P215" s="17" t="str">
        <f>IF(A215="","",IFERROR(IF(INDEX(激励事件明细!$P$2:$P$501,MATCH(T215,激励事件明细!$A$2:$A$501,0))=0,"",INDEX(激励事件明细!$P$2:$P$501,MATCH(T215,激励事件明细!$A$2:$A$501,0))),""))</f>
        <v/>
      </c>
      <c r="Q215" s="4" t="str">
        <f t="shared" si="21"/>
        <v>无效</v>
      </c>
      <c r="R215" s="4" t="str">
        <f t="shared" ca="1" si="22"/>
        <v>异常：必须关联有效事件编号或税额批次</v>
      </c>
      <c r="S215" s="9"/>
      <c r="T215" s="4" t="str">
        <f>IF(D215&lt;&gt;"",IF(COUNTIF(激励事件明细!$A$2:$A$501,D215)=1,D215,""),IF(E215&lt;&gt;"",IFERROR(INDEX(激励事件明细!$A$2:$A$501,MATCH(E215,激励事件明细!$B$2:$B$501,0)),""),""))</f>
        <v/>
      </c>
      <c r="U215" s="4" t="str">
        <f>IF(T215="","",IFERROR(INDEX(激励事件明细!$B$2:$B$501,MATCH(T215,激励事件明细!$A$2:$A$501,0)),""))</f>
        <v/>
      </c>
      <c r="V215" s="4" t="str">
        <f>IF(A215="","",COUNTIF($A$2:A215,A215))</f>
        <v/>
      </c>
      <c r="W215" s="4" t="str">
        <f t="shared" si="23"/>
        <v/>
      </c>
    </row>
    <row r="216" spans="1:23" x14ac:dyDescent="0.3">
      <c r="A216" s="4" t="str">
        <f>IF(T216="","",IFERROR(INDEX(激励事件明细!$C$2:$C$501,MATCH(T216,激励事件明细!$A$2:$A$501,0)),""))</f>
        <v/>
      </c>
      <c r="B216" s="4" t="str">
        <f>IF(A216="","",IFERROR(INDEX(激励事件明细!$D$2:$D$501,MATCH(T216,激励事件明细!$A$2:$A$501,0)),""))</f>
        <v/>
      </c>
      <c r="C216" s="4" t="str">
        <f>IF(A216="","",IFERROR(INDEX(激励事件明细!$H$2:$H$501,MATCH(T216,激励事件明细!$A$2:$A$501,0)),""))</f>
        <v/>
      </c>
      <c r="D216" s="9"/>
      <c r="E216" s="9"/>
      <c r="F216" s="15" t="str">
        <f>IF(A216="","",IFERROR(INDEX(激励事件明细!$AA$2:$AA$501,MATCH(T216,激励事件明细!$A$2:$A$501,0)),""))</f>
        <v/>
      </c>
      <c r="G216" s="17" t="str">
        <f>IF(A216="","",IFERROR(INDEX(激励事件明细!$AB$2:$AB$501,MATCH(T216,激励事件明细!$A$2:$A$501,0)),""))</f>
        <v/>
      </c>
      <c r="H216" s="17" t="str">
        <f>IF(A216="","",IFERROR(INDEX(激励事件明细!$AC$2:$AC$501,MATCH(T216,激励事件明细!$A$2:$A$501,0)),""))</f>
        <v/>
      </c>
      <c r="I216" s="13"/>
      <c r="J216" s="14"/>
      <c r="K216" s="14"/>
      <c r="L216" s="9"/>
      <c r="M216" s="15" t="str">
        <f t="shared" si="18"/>
        <v/>
      </c>
      <c r="N216" s="15" t="str">
        <f t="shared" si="19"/>
        <v/>
      </c>
      <c r="O216" s="4" t="str">
        <f t="shared" ca="1" si="20"/>
        <v/>
      </c>
      <c r="P216" s="17" t="str">
        <f>IF(A216="","",IFERROR(IF(INDEX(激励事件明细!$P$2:$P$501,MATCH(T216,激励事件明细!$A$2:$A$501,0))=0,"",INDEX(激励事件明细!$P$2:$P$501,MATCH(T216,激励事件明细!$A$2:$A$501,0))),""))</f>
        <v/>
      </c>
      <c r="Q216" s="4" t="str">
        <f t="shared" si="21"/>
        <v>无效</v>
      </c>
      <c r="R216" s="4" t="str">
        <f t="shared" ca="1" si="22"/>
        <v>异常：必须关联有效事件编号或税额批次</v>
      </c>
      <c r="S216" s="9"/>
      <c r="T216" s="4" t="str">
        <f>IF(D216&lt;&gt;"",IF(COUNTIF(激励事件明细!$A$2:$A$501,D216)=1,D216,""),IF(E216&lt;&gt;"",IFERROR(INDEX(激励事件明细!$A$2:$A$501,MATCH(E216,激励事件明细!$B$2:$B$501,0)),""),""))</f>
        <v/>
      </c>
      <c r="U216" s="4" t="str">
        <f>IF(T216="","",IFERROR(INDEX(激励事件明细!$B$2:$B$501,MATCH(T216,激励事件明细!$A$2:$A$501,0)),""))</f>
        <v/>
      </c>
      <c r="V216" s="4" t="str">
        <f>IF(A216="","",COUNTIF($A$2:A216,A216))</f>
        <v/>
      </c>
      <c r="W216" s="4" t="str">
        <f t="shared" si="23"/>
        <v/>
      </c>
    </row>
    <row r="217" spans="1:23" x14ac:dyDescent="0.3">
      <c r="A217" s="4" t="str">
        <f>IF(T217="","",IFERROR(INDEX(激励事件明细!$C$2:$C$501,MATCH(T217,激励事件明细!$A$2:$A$501,0)),""))</f>
        <v/>
      </c>
      <c r="B217" s="4" t="str">
        <f>IF(A217="","",IFERROR(INDEX(激励事件明细!$D$2:$D$501,MATCH(T217,激励事件明细!$A$2:$A$501,0)),""))</f>
        <v/>
      </c>
      <c r="C217" s="4" t="str">
        <f>IF(A217="","",IFERROR(INDEX(激励事件明细!$H$2:$H$501,MATCH(T217,激励事件明细!$A$2:$A$501,0)),""))</f>
        <v/>
      </c>
      <c r="D217" s="9"/>
      <c r="E217" s="9"/>
      <c r="F217" s="15" t="str">
        <f>IF(A217="","",IFERROR(INDEX(激励事件明细!$AA$2:$AA$501,MATCH(T217,激励事件明细!$A$2:$A$501,0)),""))</f>
        <v/>
      </c>
      <c r="G217" s="17" t="str">
        <f>IF(A217="","",IFERROR(INDEX(激励事件明细!$AB$2:$AB$501,MATCH(T217,激励事件明细!$A$2:$A$501,0)),""))</f>
        <v/>
      </c>
      <c r="H217" s="17" t="str">
        <f>IF(A217="","",IFERROR(INDEX(激励事件明细!$AC$2:$AC$501,MATCH(T217,激励事件明细!$A$2:$A$501,0)),""))</f>
        <v/>
      </c>
      <c r="I217" s="13"/>
      <c r="J217" s="14"/>
      <c r="K217" s="14"/>
      <c r="L217" s="9"/>
      <c r="M217" s="15" t="str">
        <f t="shared" si="18"/>
        <v/>
      </c>
      <c r="N217" s="15" t="str">
        <f t="shared" si="19"/>
        <v/>
      </c>
      <c r="O217" s="4" t="str">
        <f t="shared" ca="1" si="20"/>
        <v/>
      </c>
      <c r="P217" s="17" t="str">
        <f>IF(A217="","",IFERROR(IF(INDEX(激励事件明细!$P$2:$P$501,MATCH(T217,激励事件明细!$A$2:$A$501,0))=0,"",INDEX(激励事件明细!$P$2:$P$501,MATCH(T217,激励事件明细!$A$2:$A$501,0))),""))</f>
        <v/>
      </c>
      <c r="Q217" s="4" t="str">
        <f t="shared" si="21"/>
        <v>无效</v>
      </c>
      <c r="R217" s="4" t="str">
        <f t="shared" ca="1" si="22"/>
        <v>异常：必须关联有效事件编号或税额批次</v>
      </c>
      <c r="S217" s="9"/>
      <c r="T217" s="4" t="str">
        <f>IF(D217&lt;&gt;"",IF(COUNTIF(激励事件明细!$A$2:$A$501,D217)=1,D217,""),IF(E217&lt;&gt;"",IFERROR(INDEX(激励事件明细!$A$2:$A$501,MATCH(E217,激励事件明细!$B$2:$B$501,0)),""),""))</f>
        <v/>
      </c>
      <c r="U217" s="4" t="str">
        <f>IF(T217="","",IFERROR(INDEX(激励事件明细!$B$2:$B$501,MATCH(T217,激励事件明细!$A$2:$A$501,0)),""))</f>
        <v/>
      </c>
      <c r="V217" s="4" t="str">
        <f>IF(A217="","",COUNTIF($A$2:A217,A217))</f>
        <v/>
      </c>
      <c r="W217" s="4" t="str">
        <f t="shared" si="23"/>
        <v/>
      </c>
    </row>
    <row r="218" spans="1:23" x14ac:dyDescent="0.3">
      <c r="A218" s="4" t="str">
        <f>IF(T218="","",IFERROR(INDEX(激励事件明细!$C$2:$C$501,MATCH(T218,激励事件明细!$A$2:$A$501,0)),""))</f>
        <v/>
      </c>
      <c r="B218" s="4" t="str">
        <f>IF(A218="","",IFERROR(INDEX(激励事件明细!$D$2:$D$501,MATCH(T218,激励事件明细!$A$2:$A$501,0)),""))</f>
        <v/>
      </c>
      <c r="C218" s="4" t="str">
        <f>IF(A218="","",IFERROR(INDEX(激励事件明细!$H$2:$H$501,MATCH(T218,激励事件明细!$A$2:$A$501,0)),""))</f>
        <v/>
      </c>
      <c r="D218" s="9"/>
      <c r="E218" s="9"/>
      <c r="F218" s="15" t="str">
        <f>IF(A218="","",IFERROR(INDEX(激励事件明细!$AA$2:$AA$501,MATCH(T218,激励事件明细!$A$2:$A$501,0)),""))</f>
        <v/>
      </c>
      <c r="G218" s="17" t="str">
        <f>IF(A218="","",IFERROR(INDEX(激励事件明细!$AB$2:$AB$501,MATCH(T218,激励事件明细!$A$2:$A$501,0)),""))</f>
        <v/>
      </c>
      <c r="H218" s="17" t="str">
        <f>IF(A218="","",IFERROR(INDEX(激励事件明细!$AC$2:$AC$501,MATCH(T218,激励事件明细!$A$2:$A$501,0)),""))</f>
        <v/>
      </c>
      <c r="I218" s="13"/>
      <c r="J218" s="14"/>
      <c r="K218" s="14"/>
      <c r="L218" s="9"/>
      <c r="M218" s="15" t="str">
        <f t="shared" si="18"/>
        <v/>
      </c>
      <c r="N218" s="15" t="str">
        <f t="shared" si="19"/>
        <v/>
      </c>
      <c r="O218" s="4" t="str">
        <f t="shared" ca="1" si="20"/>
        <v/>
      </c>
      <c r="P218" s="17" t="str">
        <f>IF(A218="","",IFERROR(IF(INDEX(激励事件明细!$P$2:$P$501,MATCH(T218,激励事件明细!$A$2:$A$501,0))=0,"",INDEX(激励事件明细!$P$2:$P$501,MATCH(T218,激励事件明细!$A$2:$A$501,0))),""))</f>
        <v/>
      </c>
      <c r="Q218" s="4" t="str">
        <f t="shared" si="21"/>
        <v>无效</v>
      </c>
      <c r="R218" s="4" t="str">
        <f t="shared" ca="1" si="22"/>
        <v>异常：必须关联有效事件编号或税额批次</v>
      </c>
      <c r="S218" s="9"/>
      <c r="T218" s="4" t="str">
        <f>IF(D218&lt;&gt;"",IF(COUNTIF(激励事件明细!$A$2:$A$501,D218)=1,D218,""),IF(E218&lt;&gt;"",IFERROR(INDEX(激励事件明细!$A$2:$A$501,MATCH(E218,激励事件明细!$B$2:$B$501,0)),""),""))</f>
        <v/>
      </c>
      <c r="U218" s="4" t="str">
        <f>IF(T218="","",IFERROR(INDEX(激励事件明细!$B$2:$B$501,MATCH(T218,激励事件明细!$A$2:$A$501,0)),""))</f>
        <v/>
      </c>
      <c r="V218" s="4" t="str">
        <f>IF(A218="","",COUNTIF($A$2:A218,A218))</f>
        <v/>
      </c>
      <c r="W218" s="4" t="str">
        <f t="shared" si="23"/>
        <v/>
      </c>
    </row>
    <row r="219" spans="1:23" x14ac:dyDescent="0.3">
      <c r="A219" s="4" t="str">
        <f>IF(T219="","",IFERROR(INDEX(激励事件明细!$C$2:$C$501,MATCH(T219,激励事件明细!$A$2:$A$501,0)),""))</f>
        <v/>
      </c>
      <c r="B219" s="4" t="str">
        <f>IF(A219="","",IFERROR(INDEX(激励事件明细!$D$2:$D$501,MATCH(T219,激励事件明细!$A$2:$A$501,0)),""))</f>
        <v/>
      </c>
      <c r="C219" s="4" t="str">
        <f>IF(A219="","",IFERROR(INDEX(激励事件明细!$H$2:$H$501,MATCH(T219,激励事件明细!$A$2:$A$501,0)),""))</f>
        <v/>
      </c>
      <c r="D219" s="9"/>
      <c r="E219" s="9"/>
      <c r="F219" s="15" t="str">
        <f>IF(A219="","",IFERROR(INDEX(激励事件明细!$AA$2:$AA$501,MATCH(T219,激励事件明细!$A$2:$A$501,0)),""))</f>
        <v/>
      </c>
      <c r="G219" s="17" t="str">
        <f>IF(A219="","",IFERROR(INDEX(激励事件明细!$AB$2:$AB$501,MATCH(T219,激励事件明细!$A$2:$A$501,0)),""))</f>
        <v/>
      </c>
      <c r="H219" s="17" t="str">
        <f>IF(A219="","",IFERROR(INDEX(激励事件明细!$AC$2:$AC$501,MATCH(T219,激励事件明细!$A$2:$A$501,0)),""))</f>
        <v/>
      </c>
      <c r="I219" s="13"/>
      <c r="J219" s="14"/>
      <c r="K219" s="14"/>
      <c r="L219" s="9"/>
      <c r="M219" s="15" t="str">
        <f t="shared" si="18"/>
        <v/>
      </c>
      <c r="N219" s="15" t="str">
        <f t="shared" si="19"/>
        <v/>
      </c>
      <c r="O219" s="4" t="str">
        <f t="shared" ca="1" si="20"/>
        <v/>
      </c>
      <c r="P219" s="17" t="str">
        <f>IF(A219="","",IFERROR(IF(INDEX(激励事件明细!$P$2:$P$501,MATCH(T219,激励事件明细!$A$2:$A$501,0))=0,"",INDEX(激励事件明细!$P$2:$P$501,MATCH(T219,激励事件明细!$A$2:$A$501,0))),""))</f>
        <v/>
      </c>
      <c r="Q219" s="4" t="str">
        <f t="shared" si="21"/>
        <v>无效</v>
      </c>
      <c r="R219" s="4" t="str">
        <f t="shared" ca="1" si="22"/>
        <v>异常：必须关联有效事件编号或税额批次</v>
      </c>
      <c r="S219" s="9"/>
      <c r="T219" s="4" t="str">
        <f>IF(D219&lt;&gt;"",IF(COUNTIF(激励事件明细!$A$2:$A$501,D219)=1,D219,""),IF(E219&lt;&gt;"",IFERROR(INDEX(激励事件明细!$A$2:$A$501,MATCH(E219,激励事件明细!$B$2:$B$501,0)),""),""))</f>
        <v/>
      </c>
      <c r="U219" s="4" t="str">
        <f>IF(T219="","",IFERROR(INDEX(激励事件明细!$B$2:$B$501,MATCH(T219,激励事件明细!$A$2:$A$501,0)),""))</f>
        <v/>
      </c>
      <c r="V219" s="4" t="str">
        <f>IF(A219="","",COUNTIF($A$2:A219,A219))</f>
        <v/>
      </c>
      <c r="W219" s="4" t="str">
        <f t="shared" si="23"/>
        <v/>
      </c>
    </row>
    <row r="220" spans="1:23" x14ac:dyDescent="0.3">
      <c r="A220" s="4" t="str">
        <f>IF(T220="","",IFERROR(INDEX(激励事件明细!$C$2:$C$501,MATCH(T220,激励事件明细!$A$2:$A$501,0)),""))</f>
        <v/>
      </c>
      <c r="B220" s="4" t="str">
        <f>IF(A220="","",IFERROR(INDEX(激励事件明细!$D$2:$D$501,MATCH(T220,激励事件明细!$A$2:$A$501,0)),""))</f>
        <v/>
      </c>
      <c r="C220" s="4" t="str">
        <f>IF(A220="","",IFERROR(INDEX(激励事件明细!$H$2:$H$501,MATCH(T220,激励事件明细!$A$2:$A$501,0)),""))</f>
        <v/>
      </c>
      <c r="D220" s="9"/>
      <c r="E220" s="9"/>
      <c r="F220" s="15" t="str">
        <f>IF(A220="","",IFERROR(INDEX(激励事件明细!$AA$2:$AA$501,MATCH(T220,激励事件明细!$A$2:$A$501,0)),""))</f>
        <v/>
      </c>
      <c r="G220" s="17" t="str">
        <f>IF(A220="","",IFERROR(INDEX(激励事件明细!$AB$2:$AB$501,MATCH(T220,激励事件明细!$A$2:$A$501,0)),""))</f>
        <v/>
      </c>
      <c r="H220" s="17" t="str">
        <f>IF(A220="","",IFERROR(INDEX(激励事件明细!$AC$2:$AC$501,MATCH(T220,激励事件明细!$A$2:$A$501,0)),""))</f>
        <v/>
      </c>
      <c r="I220" s="13"/>
      <c r="J220" s="14"/>
      <c r="K220" s="14"/>
      <c r="L220" s="9"/>
      <c r="M220" s="15" t="str">
        <f t="shared" si="18"/>
        <v/>
      </c>
      <c r="N220" s="15" t="str">
        <f t="shared" si="19"/>
        <v/>
      </c>
      <c r="O220" s="4" t="str">
        <f t="shared" ca="1" si="20"/>
        <v/>
      </c>
      <c r="P220" s="17" t="str">
        <f>IF(A220="","",IFERROR(IF(INDEX(激励事件明细!$P$2:$P$501,MATCH(T220,激励事件明细!$A$2:$A$501,0))=0,"",INDEX(激励事件明细!$P$2:$P$501,MATCH(T220,激励事件明细!$A$2:$A$501,0))),""))</f>
        <v/>
      </c>
      <c r="Q220" s="4" t="str">
        <f t="shared" si="21"/>
        <v>无效</v>
      </c>
      <c r="R220" s="4" t="str">
        <f t="shared" ca="1" si="22"/>
        <v>异常：必须关联有效事件编号或税额批次</v>
      </c>
      <c r="S220" s="9"/>
      <c r="T220" s="4" t="str">
        <f>IF(D220&lt;&gt;"",IF(COUNTIF(激励事件明细!$A$2:$A$501,D220)=1,D220,""),IF(E220&lt;&gt;"",IFERROR(INDEX(激励事件明细!$A$2:$A$501,MATCH(E220,激励事件明细!$B$2:$B$501,0)),""),""))</f>
        <v/>
      </c>
      <c r="U220" s="4" t="str">
        <f>IF(T220="","",IFERROR(INDEX(激励事件明细!$B$2:$B$501,MATCH(T220,激励事件明细!$A$2:$A$501,0)),""))</f>
        <v/>
      </c>
      <c r="V220" s="4" t="str">
        <f>IF(A220="","",COUNTIF($A$2:A220,A220))</f>
        <v/>
      </c>
      <c r="W220" s="4" t="str">
        <f t="shared" si="23"/>
        <v/>
      </c>
    </row>
    <row r="221" spans="1:23" x14ac:dyDescent="0.3">
      <c r="A221" s="4" t="str">
        <f>IF(T221="","",IFERROR(INDEX(激励事件明细!$C$2:$C$501,MATCH(T221,激励事件明细!$A$2:$A$501,0)),""))</f>
        <v/>
      </c>
      <c r="B221" s="4" t="str">
        <f>IF(A221="","",IFERROR(INDEX(激励事件明细!$D$2:$D$501,MATCH(T221,激励事件明细!$A$2:$A$501,0)),""))</f>
        <v/>
      </c>
      <c r="C221" s="4" t="str">
        <f>IF(A221="","",IFERROR(INDEX(激励事件明细!$H$2:$H$501,MATCH(T221,激励事件明细!$A$2:$A$501,0)),""))</f>
        <v/>
      </c>
      <c r="D221" s="9"/>
      <c r="E221" s="9"/>
      <c r="F221" s="15" t="str">
        <f>IF(A221="","",IFERROR(INDEX(激励事件明细!$AA$2:$AA$501,MATCH(T221,激励事件明细!$A$2:$A$501,0)),""))</f>
        <v/>
      </c>
      <c r="G221" s="17" t="str">
        <f>IF(A221="","",IFERROR(INDEX(激励事件明细!$AB$2:$AB$501,MATCH(T221,激励事件明细!$A$2:$A$501,0)),""))</f>
        <v/>
      </c>
      <c r="H221" s="17" t="str">
        <f>IF(A221="","",IFERROR(INDEX(激励事件明细!$AC$2:$AC$501,MATCH(T221,激励事件明细!$A$2:$A$501,0)),""))</f>
        <v/>
      </c>
      <c r="I221" s="13"/>
      <c r="J221" s="14"/>
      <c r="K221" s="14"/>
      <c r="L221" s="9"/>
      <c r="M221" s="15" t="str">
        <f t="shared" si="18"/>
        <v/>
      </c>
      <c r="N221" s="15" t="str">
        <f t="shared" si="19"/>
        <v/>
      </c>
      <c r="O221" s="4" t="str">
        <f t="shared" ca="1" si="20"/>
        <v/>
      </c>
      <c r="P221" s="17" t="str">
        <f>IF(A221="","",IFERROR(IF(INDEX(激励事件明细!$P$2:$P$501,MATCH(T221,激励事件明细!$A$2:$A$501,0))=0,"",INDEX(激励事件明细!$P$2:$P$501,MATCH(T221,激励事件明细!$A$2:$A$501,0))),""))</f>
        <v/>
      </c>
      <c r="Q221" s="4" t="str">
        <f t="shared" si="21"/>
        <v>无效</v>
      </c>
      <c r="R221" s="4" t="str">
        <f t="shared" ca="1" si="22"/>
        <v>异常：必须关联有效事件编号或税额批次</v>
      </c>
      <c r="S221" s="9"/>
      <c r="T221" s="4" t="str">
        <f>IF(D221&lt;&gt;"",IF(COUNTIF(激励事件明细!$A$2:$A$501,D221)=1,D221,""),IF(E221&lt;&gt;"",IFERROR(INDEX(激励事件明细!$A$2:$A$501,MATCH(E221,激励事件明细!$B$2:$B$501,0)),""),""))</f>
        <v/>
      </c>
      <c r="U221" s="4" t="str">
        <f>IF(T221="","",IFERROR(INDEX(激励事件明细!$B$2:$B$501,MATCH(T221,激励事件明细!$A$2:$A$501,0)),""))</f>
        <v/>
      </c>
      <c r="V221" s="4" t="str">
        <f>IF(A221="","",COUNTIF($A$2:A221,A221))</f>
        <v/>
      </c>
      <c r="W221" s="4" t="str">
        <f t="shared" si="23"/>
        <v/>
      </c>
    </row>
    <row r="222" spans="1:23" x14ac:dyDescent="0.3">
      <c r="A222" s="4" t="str">
        <f>IF(T222="","",IFERROR(INDEX(激励事件明细!$C$2:$C$501,MATCH(T222,激励事件明细!$A$2:$A$501,0)),""))</f>
        <v/>
      </c>
      <c r="B222" s="4" t="str">
        <f>IF(A222="","",IFERROR(INDEX(激励事件明细!$D$2:$D$501,MATCH(T222,激励事件明细!$A$2:$A$501,0)),""))</f>
        <v/>
      </c>
      <c r="C222" s="4" t="str">
        <f>IF(A222="","",IFERROR(INDEX(激励事件明细!$H$2:$H$501,MATCH(T222,激励事件明细!$A$2:$A$501,0)),""))</f>
        <v/>
      </c>
      <c r="D222" s="9"/>
      <c r="E222" s="9"/>
      <c r="F222" s="15" t="str">
        <f>IF(A222="","",IFERROR(INDEX(激励事件明细!$AA$2:$AA$501,MATCH(T222,激励事件明细!$A$2:$A$501,0)),""))</f>
        <v/>
      </c>
      <c r="G222" s="17" t="str">
        <f>IF(A222="","",IFERROR(INDEX(激励事件明细!$AB$2:$AB$501,MATCH(T222,激励事件明细!$A$2:$A$501,0)),""))</f>
        <v/>
      </c>
      <c r="H222" s="17" t="str">
        <f>IF(A222="","",IFERROR(INDEX(激励事件明细!$AC$2:$AC$501,MATCH(T222,激励事件明细!$A$2:$A$501,0)),""))</f>
        <v/>
      </c>
      <c r="I222" s="13"/>
      <c r="J222" s="14"/>
      <c r="K222" s="14"/>
      <c r="L222" s="9"/>
      <c r="M222" s="15" t="str">
        <f t="shared" si="18"/>
        <v/>
      </c>
      <c r="N222" s="15" t="str">
        <f t="shared" si="19"/>
        <v/>
      </c>
      <c r="O222" s="4" t="str">
        <f t="shared" ca="1" si="20"/>
        <v/>
      </c>
      <c r="P222" s="17" t="str">
        <f>IF(A222="","",IFERROR(IF(INDEX(激励事件明细!$P$2:$P$501,MATCH(T222,激励事件明细!$A$2:$A$501,0))=0,"",INDEX(激励事件明细!$P$2:$P$501,MATCH(T222,激励事件明细!$A$2:$A$501,0))),""))</f>
        <v/>
      </c>
      <c r="Q222" s="4" t="str">
        <f t="shared" si="21"/>
        <v>无效</v>
      </c>
      <c r="R222" s="4" t="str">
        <f t="shared" ca="1" si="22"/>
        <v>异常：必须关联有效事件编号或税额批次</v>
      </c>
      <c r="S222" s="9"/>
      <c r="T222" s="4" t="str">
        <f>IF(D222&lt;&gt;"",IF(COUNTIF(激励事件明细!$A$2:$A$501,D222)=1,D222,""),IF(E222&lt;&gt;"",IFERROR(INDEX(激励事件明细!$A$2:$A$501,MATCH(E222,激励事件明细!$B$2:$B$501,0)),""),""))</f>
        <v/>
      </c>
      <c r="U222" s="4" t="str">
        <f>IF(T222="","",IFERROR(INDEX(激励事件明细!$B$2:$B$501,MATCH(T222,激励事件明细!$A$2:$A$501,0)),""))</f>
        <v/>
      </c>
      <c r="V222" s="4" t="str">
        <f>IF(A222="","",COUNTIF($A$2:A222,A222))</f>
        <v/>
      </c>
      <c r="W222" s="4" t="str">
        <f t="shared" si="23"/>
        <v/>
      </c>
    </row>
    <row r="223" spans="1:23" x14ac:dyDescent="0.3">
      <c r="A223" s="4" t="str">
        <f>IF(T223="","",IFERROR(INDEX(激励事件明细!$C$2:$C$501,MATCH(T223,激励事件明细!$A$2:$A$501,0)),""))</f>
        <v/>
      </c>
      <c r="B223" s="4" t="str">
        <f>IF(A223="","",IFERROR(INDEX(激励事件明细!$D$2:$D$501,MATCH(T223,激励事件明细!$A$2:$A$501,0)),""))</f>
        <v/>
      </c>
      <c r="C223" s="4" t="str">
        <f>IF(A223="","",IFERROR(INDEX(激励事件明细!$H$2:$H$501,MATCH(T223,激励事件明细!$A$2:$A$501,0)),""))</f>
        <v/>
      </c>
      <c r="D223" s="9"/>
      <c r="E223" s="9"/>
      <c r="F223" s="15" t="str">
        <f>IF(A223="","",IFERROR(INDEX(激励事件明细!$AA$2:$AA$501,MATCH(T223,激励事件明细!$A$2:$A$501,0)),""))</f>
        <v/>
      </c>
      <c r="G223" s="17" t="str">
        <f>IF(A223="","",IFERROR(INDEX(激励事件明细!$AB$2:$AB$501,MATCH(T223,激励事件明细!$A$2:$A$501,0)),""))</f>
        <v/>
      </c>
      <c r="H223" s="17" t="str">
        <f>IF(A223="","",IFERROR(INDEX(激励事件明细!$AC$2:$AC$501,MATCH(T223,激励事件明细!$A$2:$A$501,0)),""))</f>
        <v/>
      </c>
      <c r="I223" s="13"/>
      <c r="J223" s="14"/>
      <c r="K223" s="14"/>
      <c r="L223" s="9"/>
      <c r="M223" s="15" t="str">
        <f t="shared" si="18"/>
        <v/>
      </c>
      <c r="N223" s="15" t="str">
        <f t="shared" si="19"/>
        <v/>
      </c>
      <c r="O223" s="4" t="str">
        <f t="shared" ca="1" si="20"/>
        <v/>
      </c>
      <c r="P223" s="17" t="str">
        <f>IF(A223="","",IFERROR(IF(INDEX(激励事件明细!$P$2:$P$501,MATCH(T223,激励事件明细!$A$2:$A$501,0))=0,"",INDEX(激励事件明细!$P$2:$P$501,MATCH(T223,激励事件明细!$A$2:$A$501,0))),""))</f>
        <v/>
      </c>
      <c r="Q223" s="4" t="str">
        <f t="shared" si="21"/>
        <v>无效</v>
      </c>
      <c r="R223" s="4" t="str">
        <f t="shared" ca="1" si="22"/>
        <v>异常：必须关联有效事件编号或税额批次</v>
      </c>
      <c r="S223" s="9"/>
      <c r="T223" s="4" t="str">
        <f>IF(D223&lt;&gt;"",IF(COUNTIF(激励事件明细!$A$2:$A$501,D223)=1,D223,""),IF(E223&lt;&gt;"",IFERROR(INDEX(激励事件明细!$A$2:$A$501,MATCH(E223,激励事件明细!$B$2:$B$501,0)),""),""))</f>
        <v/>
      </c>
      <c r="U223" s="4" t="str">
        <f>IF(T223="","",IFERROR(INDEX(激励事件明细!$B$2:$B$501,MATCH(T223,激励事件明细!$A$2:$A$501,0)),""))</f>
        <v/>
      </c>
      <c r="V223" s="4" t="str">
        <f>IF(A223="","",COUNTIF($A$2:A223,A223))</f>
        <v/>
      </c>
      <c r="W223" s="4" t="str">
        <f t="shared" si="23"/>
        <v/>
      </c>
    </row>
    <row r="224" spans="1:23" x14ac:dyDescent="0.3">
      <c r="A224" s="4" t="str">
        <f>IF(T224="","",IFERROR(INDEX(激励事件明细!$C$2:$C$501,MATCH(T224,激励事件明细!$A$2:$A$501,0)),""))</f>
        <v/>
      </c>
      <c r="B224" s="4" t="str">
        <f>IF(A224="","",IFERROR(INDEX(激励事件明细!$D$2:$D$501,MATCH(T224,激励事件明细!$A$2:$A$501,0)),""))</f>
        <v/>
      </c>
      <c r="C224" s="4" t="str">
        <f>IF(A224="","",IFERROR(INDEX(激励事件明细!$H$2:$H$501,MATCH(T224,激励事件明细!$A$2:$A$501,0)),""))</f>
        <v/>
      </c>
      <c r="D224" s="9"/>
      <c r="E224" s="9"/>
      <c r="F224" s="15" t="str">
        <f>IF(A224="","",IFERROR(INDEX(激励事件明细!$AA$2:$AA$501,MATCH(T224,激励事件明细!$A$2:$A$501,0)),""))</f>
        <v/>
      </c>
      <c r="G224" s="17" t="str">
        <f>IF(A224="","",IFERROR(INDEX(激励事件明细!$AB$2:$AB$501,MATCH(T224,激励事件明细!$A$2:$A$501,0)),""))</f>
        <v/>
      </c>
      <c r="H224" s="17" t="str">
        <f>IF(A224="","",IFERROR(INDEX(激励事件明细!$AC$2:$AC$501,MATCH(T224,激励事件明细!$A$2:$A$501,0)),""))</f>
        <v/>
      </c>
      <c r="I224" s="13"/>
      <c r="J224" s="14"/>
      <c r="K224" s="14"/>
      <c r="L224" s="9"/>
      <c r="M224" s="15" t="str">
        <f t="shared" si="18"/>
        <v/>
      </c>
      <c r="N224" s="15" t="str">
        <f t="shared" si="19"/>
        <v/>
      </c>
      <c r="O224" s="4" t="str">
        <f t="shared" ca="1" si="20"/>
        <v/>
      </c>
      <c r="P224" s="17" t="str">
        <f>IF(A224="","",IFERROR(IF(INDEX(激励事件明细!$P$2:$P$501,MATCH(T224,激励事件明细!$A$2:$A$501,0))=0,"",INDEX(激励事件明细!$P$2:$P$501,MATCH(T224,激励事件明细!$A$2:$A$501,0))),""))</f>
        <v/>
      </c>
      <c r="Q224" s="4" t="str">
        <f t="shared" si="21"/>
        <v>无效</v>
      </c>
      <c r="R224" s="4" t="str">
        <f t="shared" ca="1" si="22"/>
        <v>异常：必须关联有效事件编号或税额批次</v>
      </c>
      <c r="S224" s="9"/>
      <c r="T224" s="4" t="str">
        <f>IF(D224&lt;&gt;"",IF(COUNTIF(激励事件明细!$A$2:$A$501,D224)=1,D224,""),IF(E224&lt;&gt;"",IFERROR(INDEX(激励事件明细!$A$2:$A$501,MATCH(E224,激励事件明细!$B$2:$B$501,0)),""),""))</f>
        <v/>
      </c>
      <c r="U224" s="4" t="str">
        <f>IF(T224="","",IFERROR(INDEX(激励事件明细!$B$2:$B$501,MATCH(T224,激励事件明细!$A$2:$A$501,0)),""))</f>
        <v/>
      </c>
      <c r="V224" s="4" t="str">
        <f>IF(A224="","",COUNTIF($A$2:A224,A224))</f>
        <v/>
      </c>
      <c r="W224" s="4" t="str">
        <f t="shared" si="23"/>
        <v/>
      </c>
    </row>
    <row r="225" spans="1:23" x14ac:dyDescent="0.3">
      <c r="A225" s="4" t="str">
        <f>IF(T225="","",IFERROR(INDEX(激励事件明细!$C$2:$C$501,MATCH(T225,激励事件明细!$A$2:$A$501,0)),""))</f>
        <v/>
      </c>
      <c r="B225" s="4" t="str">
        <f>IF(A225="","",IFERROR(INDEX(激励事件明细!$D$2:$D$501,MATCH(T225,激励事件明细!$A$2:$A$501,0)),""))</f>
        <v/>
      </c>
      <c r="C225" s="4" t="str">
        <f>IF(A225="","",IFERROR(INDEX(激励事件明细!$H$2:$H$501,MATCH(T225,激励事件明细!$A$2:$A$501,0)),""))</f>
        <v/>
      </c>
      <c r="D225" s="9"/>
      <c r="E225" s="9"/>
      <c r="F225" s="15" t="str">
        <f>IF(A225="","",IFERROR(INDEX(激励事件明细!$AA$2:$AA$501,MATCH(T225,激励事件明细!$A$2:$A$501,0)),""))</f>
        <v/>
      </c>
      <c r="G225" s="17" t="str">
        <f>IF(A225="","",IFERROR(INDEX(激励事件明细!$AB$2:$AB$501,MATCH(T225,激励事件明细!$A$2:$A$501,0)),""))</f>
        <v/>
      </c>
      <c r="H225" s="17" t="str">
        <f>IF(A225="","",IFERROR(INDEX(激励事件明细!$AC$2:$AC$501,MATCH(T225,激励事件明细!$A$2:$A$501,0)),""))</f>
        <v/>
      </c>
      <c r="I225" s="13"/>
      <c r="J225" s="14"/>
      <c r="K225" s="14"/>
      <c r="L225" s="9"/>
      <c r="M225" s="15" t="str">
        <f t="shared" si="18"/>
        <v/>
      </c>
      <c r="N225" s="15" t="str">
        <f t="shared" si="19"/>
        <v/>
      </c>
      <c r="O225" s="4" t="str">
        <f t="shared" ca="1" si="20"/>
        <v/>
      </c>
      <c r="P225" s="17" t="str">
        <f>IF(A225="","",IFERROR(IF(INDEX(激励事件明细!$P$2:$P$501,MATCH(T225,激励事件明细!$A$2:$A$501,0))=0,"",INDEX(激励事件明细!$P$2:$P$501,MATCH(T225,激励事件明细!$A$2:$A$501,0))),""))</f>
        <v/>
      </c>
      <c r="Q225" s="4" t="str">
        <f t="shared" si="21"/>
        <v>无效</v>
      </c>
      <c r="R225" s="4" t="str">
        <f t="shared" ca="1" si="22"/>
        <v>异常：必须关联有效事件编号或税额批次</v>
      </c>
      <c r="S225" s="9"/>
      <c r="T225" s="4" t="str">
        <f>IF(D225&lt;&gt;"",IF(COUNTIF(激励事件明细!$A$2:$A$501,D225)=1,D225,""),IF(E225&lt;&gt;"",IFERROR(INDEX(激励事件明细!$A$2:$A$501,MATCH(E225,激励事件明细!$B$2:$B$501,0)),""),""))</f>
        <v/>
      </c>
      <c r="U225" s="4" t="str">
        <f>IF(T225="","",IFERROR(INDEX(激励事件明细!$B$2:$B$501,MATCH(T225,激励事件明细!$A$2:$A$501,0)),""))</f>
        <v/>
      </c>
      <c r="V225" s="4" t="str">
        <f>IF(A225="","",COUNTIF($A$2:A225,A225))</f>
        <v/>
      </c>
      <c r="W225" s="4" t="str">
        <f t="shared" si="23"/>
        <v/>
      </c>
    </row>
    <row r="226" spans="1:23" x14ac:dyDescent="0.3">
      <c r="A226" s="4" t="str">
        <f>IF(T226="","",IFERROR(INDEX(激励事件明细!$C$2:$C$501,MATCH(T226,激励事件明细!$A$2:$A$501,0)),""))</f>
        <v/>
      </c>
      <c r="B226" s="4" t="str">
        <f>IF(A226="","",IFERROR(INDEX(激励事件明细!$D$2:$D$501,MATCH(T226,激励事件明细!$A$2:$A$501,0)),""))</f>
        <v/>
      </c>
      <c r="C226" s="4" t="str">
        <f>IF(A226="","",IFERROR(INDEX(激励事件明细!$H$2:$H$501,MATCH(T226,激励事件明细!$A$2:$A$501,0)),""))</f>
        <v/>
      </c>
      <c r="D226" s="9"/>
      <c r="E226" s="9"/>
      <c r="F226" s="15" t="str">
        <f>IF(A226="","",IFERROR(INDEX(激励事件明细!$AA$2:$AA$501,MATCH(T226,激励事件明细!$A$2:$A$501,0)),""))</f>
        <v/>
      </c>
      <c r="G226" s="17" t="str">
        <f>IF(A226="","",IFERROR(INDEX(激励事件明细!$AB$2:$AB$501,MATCH(T226,激励事件明细!$A$2:$A$501,0)),""))</f>
        <v/>
      </c>
      <c r="H226" s="17" t="str">
        <f>IF(A226="","",IFERROR(INDEX(激励事件明细!$AC$2:$AC$501,MATCH(T226,激励事件明细!$A$2:$A$501,0)),""))</f>
        <v/>
      </c>
      <c r="I226" s="13"/>
      <c r="J226" s="14"/>
      <c r="K226" s="14"/>
      <c r="L226" s="9"/>
      <c r="M226" s="15" t="str">
        <f t="shared" si="18"/>
        <v/>
      </c>
      <c r="N226" s="15" t="str">
        <f t="shared" si="19"/>
        <v/>
      </c>
      <c r="O226" s="4" t="str">
        <f t="shared" ca="1" si="20"/>
        <v/>
      </c>
      <c r="P226" s="17" t="str">
        <f>IF(A226="","",IFERROR(IF(INDEX(激励事件明细!$P$2:$P$501,MATCH(T226,激励事件明细!$A$2:$A$501,0))=0,"",INDEX(激励事件明细!$P$2:$P$501,MATCH(T226,激励事件明细!$A$2:$A$501,0))),""))</f>
        <v/>
      </c>
      <c r="Q226" s="4" t="str">
        <f t="shared" si="21"/>
        <v>无效</v>
      </c>
      <c r="R226" s="4" t="str">
        <f t="shared" ca="1" si="22"/>
        <v>异常：必须关联有效事件编号或税额批次</v>
      </c>
      <c r="S226" s="9"/>
      <c r="T226" s="4" t="str">
        <f>IF(D226&lt;&gt;"",IF(COUNTIF(激励事件明细!$A$2:$A$501,D226)=1,D226,""),IF(E226&lt;&gt;"",IFERROR(INDEX(激励事件明细!$A$2:$A$501,MATCH(E226,激励事件明细!$B$2:$B$501,0)),""),""))</f>
        <v/>
      </c>
      <c r="U226" s="4" t="str">
        <f>IF(T226="","",IFERROR(INDEX(激励事件明细!$B$2:$B$501,MATCH(T226,激励事件明细!$A$2:$A$501,0)),""))</f>
        <v/>
      </c>
      <c r="V226" s="4" t="str">
        <f>IF(A226="","",COUNTIF($A$2:A226,A226))</f>
        <v/>
      </c>
      <c r="W226" s="4" t="str">
        <f t="shared" si="23"/>
        <v/>
      </c>
    </row>
    <row r="227" spans="1:23" x14ac:dyDescent="0.3">
      <c r="A227" s="4" t="str">
        <f>IF(T227="","",IFERROR(INDEX(激励事件明细!$C$2:$C$501,MATCH(T227,激励事件明细!$A$2:$A$501,0)),""))</f>
        <v/>
      </c>
      <c r="B227" s="4" t="str">
        <f>IF(A227="","",IFERROR(INDEX(激励事件明细!$D$2:$D$501,MATCH(T227,激励事件明细!$A$2:$A$501,0)),""))</f>
        <v/>
      </c>
      <c r="C227" s="4" t="str">
        <f>IF(A227="","",IFERROR(INDEX(激励事件明细!$H$2:$H$501,MATCH(T227,激励事件明细!$A$2:$A$501,0)),""))</f>
        <v/>
      </c>
      <c r="D227" s="9"/>
      <c r="E227" s="9"/>
      <c r="F227" s="15" t="str">
        <f>IF(A227="","",IFERROR(INDEX(激励事件明细!$AA$2:$AA$501,MATCH(T227,激励事件明细!$A$2:$A$501,0)),""))</f>
        <v/>
      </c>
      <c r="G227" s="17" t="str">
        <f>IF(A227="","",IFERROR(INDEX(激励事件明细!$AB$2:$AB$501,MATCH(T227,激励事件明细!$A$2:$A$501,0)),""))</f>
        <v/>
      </c>
      <c r="H227" s="17" t="str">
        <f>IF(A227="","",IFERROR(INDEX(激励事件明细!$AC$2:$AC$501,MATCH(T227,激励事件明细!$A$2:$A$501,0)),""))</f>
        <v/>
      </c>
      <c r="I227" s="13"/>
      <c r="J227" s="14"/>
      <c r="K227" s="14"/>
      <c r="L227" s="9"/>
      <c r="M227" s="15" t="str">
        <f t="shared" si="18"/>
        <v/>
      </c>
      <c r="N227" s="15" t="str">
        <f t="shared" si="19"/>
        <v/>
      </c>
      <c r="O227" s="4" t="str">
        <f t="shared" ca="1" si="20"/>
        <v/>
      </c>
      <c r="P227" s="17" t="str">
        <f>IF(A227="","",IFERROR(IF(INDEX(激励事件明细!$P$2:$P$501,MATCH(T227,激励事件明细!$A$2:$A$501,0))=0,"",INDEX(激励事件明细!$P$2:$P$501,MATCH(T227,激励事件明细!$A$2:$A$501,0))),""))</f>
        <v/>
      </c>
      <c r="Q227" s="4" t="str">
        <f t="shared" si="21"/>
        <v>无效</v>
      </c>
      <c r="R227" s="4" t="str">
        <f t="shared" ca="1" si="22"/>
        <v>异常：必须关联有效事件编号或税额批次</v>
      </c>
      <c r="S227" s="9"/>
      <c r="T227" s="4" t="str">
        <f>IF(D227&lt;&gt;"",IF(COUNTIF(激励事件明细!$A$2:$A$501,D227)=1,D227,""),IF(E227&lt;&gt;"",IFERROR(INDEX(激励事件明细!$A$2:$A$501,MATCH(E227,激励事件明细!$B$2:$B$501,0)),""),""))</f>
        <v/>
      </c>
      <c r="U227" s="4" t="str">
        <f>IF(T227="","",IFERROR(INDEX(激励事件明细!$B$2:$B$501,MATCH(T227,激励事件明细!$A$2:$A$501,0)),""))</f>
        <v/>
      </c>
      <c r="V227" s="4" t="str">
        <f>IF(A227="","",COUNTIF($A$2:A227,A227))</f>
        <v/>
      </c>
      <c r="W227" s="4" t="str">
        <f t="shared" si="23"/>
        <v/>
      </c>
    </row>
    <row r="228" spans="1:23" x14ac:dyDescent="0.3">
      <c r="A228" s="4" t="str">
        <f>IF(T228="","",IFERROR(INDEX(激励事件明细!$C$2:$C$501,MATCH(T228,激励事件明细!$A$2:$A$501,0)),""))</f>
        <v/>
      </c>
      <c r="B228" s="4" t="str">
        <f>IF(A228="","",IFERROR(INDEX(激励事件明细!$D$2:$D$501,MATCH(T228,激励事件明细!$A$2:$A$501,0)),""))</f>
        <v/>
      </c>
      <c r="C228" s="4" t="str">
        <f>IF(A228="","",IFERROR(INDEX(激励事件明细!$H$2:$H$501,MATCH(T228,激励事件明细!$A$2:$A$501,0)),""))</f>
        <v/>
      </c>
      <c r="D228" s="9"/>
      <c r="E228" s="9"/>
      <c r="F228" s="15" t="str">
        <f>IF(A228="","",IFERROR(INDEX(激励事件明细!$AA$2:$AA$501,MATCH(T228,激励事件明细!$A$2:$A$501,0)),""))</f>
        <v/>
      </c>
      <c r="G228" s="17" t="str">
        <f>IF(A228="","",IFERROR(INDEX(激励事件明细!$AB$2:$AB$501,MATCH(T228,激励事件明细!$A$2:$A$501,0)),""))</f>
        <v/>
      </c>
      <c r="H228" s="17" t="str">
        <f>IF(A228="","",IFERROR(INDEX(激励事件明细!$AC$2:$AC$501,MATCH(T228,激励事件明细!$A$2:$A$501,0)),""))</f>
        <v/>
      </c>
      <c r="I228" s="13"/>
      <c r="J228" s="14"/>
      <c r="K228" s="14"/>
      <c r="L228" s="9"/>
      <c r="M228" s="15" t="str">
        <f t="shared" si="18"/>
        <v/>
      </c>
      <c r="N228" s="15" t="str">
        <f t="shared" si="19"/>
        <v/>
      </c>
      <c r="O228" s="4" t="str">
        <f t="shared" ca="1" si="20"/>
        <v/>
      </c>
      <c r="P228" s="17" t="str">
        <f>IF(A228="","",IFERROR(IF(INDEX(激励事件明细!$P$2:$P$501,MATCH(T228,激励事件明细!$A$2:$A$501,0))=0,"",INDEX(激励事件明细!$P$2:$P$501,MATCH(T228,激励事件明细!$A$2:$A$501,0))),""))</f>
        <v/>
      </c>
      <c r="Q228" s="4" t="str">
        <f t="shared" si="21"/>
        <v>无效</v>
      </c>
      <c r="R228" s="4" t="str">
        <f t="shared" ca="1" si="22"/>
        <v>异常：必须关联有效事件编号或税额批次</v>
      </c>
      <c r="S228" s="9"/>
      <c r="T228" s="4" t="str">
        <f>IF(D228&lt;&gt;"",IF(COUNTIF(激励事件明细!$A$2:$A$501,D228)=1,D228,""),IF(E228&lt;&gt;"",IFERROR(INDEX(激励事件明细!$A$2:$A$501,MATCH(E228,激励事件明细!$B$2:$B$501,0)),""),""))</f>
        <v/>
      </c>
      <c r="U228" s="4" t="str">
        <f>IF(T228="","",IFERROR(INDEX(激励事件明细!$B$2:$B$501,MATCH(T228,激励事件明细!$A$2:$A$501,0)),""))</f>
        <v/>
      </c>
      <c r="V228" s="4" t="str">
        <f>IF(A228="","",COUNTIF($A$2:A228,A228))</f>
        <v/>
      </c>
      <c r="W228" s="4" t="str">
        <f t="shared" si="23"/>
        <v/>
      </c>
    </row>
    <row r="229" spans="1:23" x14ac:dyDescent="0.3">
      <c r="A229" s="4" t="str">
        <f>IF(T229="","",IFERROR(INDEX(激励事件明细!$C$2:$C$501,MATCH(T229,激励事件明细!$A$2:$A$501,0)),""))</f>
        <v/>
      </c>
      <c r="B229" s="4" t="str">
        <f>IF(A229="","",IFERROR(INDEX(激励事件明细!$D$2:$D$501,MATCH(T229,激励事件明细!$A$2:$A$501,0)),""))</f>
        <v/>
      </c>
      <c r="C229" s="4" t="str">
        <f>IF(A229="","",IFERROR(INDEX(激励事件明细!$H$2:$H$501,MATCH(T229,激励事件明细!$A$2:$A$501,0)),""))</f>
        <v/>
      </c>
      <c r="D229" s="9"/>
      <c r="E229" s="9"/>
      <c r="F229" s="15" t="str">
        <f>IF(A229="","",IFERROR(INDEX(激励事件明细!$AA$2:$AA$501,MATCH(T229,激励事件明细!$A$2:$A$501,0)),""))</f>
        <v/>
      </c>
      <c r="G229" s="17" t="str">
        <f>IF(A229="","",IFERROR(INDEX(激励事件明细!$AB$2:$AB$501,MATCH(T229,激励事件明细!$A$2:$A$501,0)),""))</f>
        <v/>
      </c>
      <c r="H229" s="17" t="str">
        <f>IF(A229="","",IFERROR(INDEX(激励事件明细!$AC$2:$AC$501,MATCH(T229,激励事件明细!$A$2:$A$501,0)),""))</f>
        <v/>
      </c>
      <c r="I229" s="13"/>
      <c r="J229" s="14"/>
      <c r="K229" s="14"/>
      <c r="L229" s="9"/>
      <c r="M229" s="15" t="str">
        <f t="shared" si="18"/>
        <v/>
      </c>
      <c r="N229" s="15" t="str">
        <f t="shared" si="19"/>
        <v/>
      </c>
      <c r="O229" s="4" t="str">
        <f t="shared" ca="1" si="20"/>
        <v/>
      </c>
      <c r="P229" s="17" t="str">
        <f>IF(A229="","",IFERROR(IF(INDEX(激励事件明细!$P$2:$P$501,MATCH(T229,激励事件明细!$A$2:$A$501,0))=0,"",INDEX(激励事件明细!$P$2:$P$501,MATCH(T229,激励事件明细!$A$2:$A$501,0))),""))</f>
        <v/>
      </c>
      <c r="Q229" s="4" t="str">
        <f t="shared" si="21"/>
        <v>无效</v>
      </c>
      <c r="R229" s="4" t="str">
        <f t="shared" ca="1" si="22"/>
        <v>异常：必须关联有效事件编号或税额批次</v>
      </c>
      <c r="S229" s="9"/>
      <c r="T229" s="4" t="str">
        <f>IF(D229&lt;&gt;"",IF(COUNTIF(激励事件明细!$A$2:$A$501,D229)=1,D229,""),IF(E229&lt;&gt;"",IFERROR(INDEX(激励事件明细!$A$2:$A$501,MATCH(E229,激励事件明细!$B$2:$B$501,0)),""),""))</f>
        <v/>
      </c>
      <c r="U229" s="4" t="str">
        <f>IF(T229="","",IFERROR(INDEX(激励事件明细!$B$2:$B$501,MATCH(T229,激励事件明细!$A$2:$A$501,0)),""))</f>
        <v/>
      </c>
      <c r="V229" s="4" t="str">
        <f>IF(A229="","",COUNTIF($A$2:A229,A229))</f>
        <v/>
      </c>
      <c r="W229" s="4" t="str">
        <f t="shared" si="23"/>
        <v/>
      </c>
    </row>
    <row r="230" spans="1:23" x14ac:dyDescent="0.3">
      <c r="A230" s="4" t="str">
        <f>IF(T230="","",IFERROR(INDEX(激励事件明细!$C$2:$C$501,MATCH(T230,激励事件明细!$A$2:$A$501,0)),""))</f>
        <v/>
      </c>
      <c r="B230" s="4" t="str">
        <f>IF(A230="","",IFERROR(INDEX(激励事件明细!$D$2:$D$501,MATCH(T230,激励事件明细!$A$2:$A$501,0)),""))</f>
        <v/>
      </c>
      <c r="C230" s="4" t="str">
        <f>IF(A230="","",IFERROR(INDEX(激励事件明细!$H$2:$H$501,MATCH(T230,激励事件明细!$A$2:$A$501,0)),""))</f>
        <v/>
      </c>
      <c r="D230" s="9"/>
      <c r="E230" s="9"/>
      <c r="F230" s="15" t="str">
        <f>IF(A230="","",IFERROR(INDEX(激励事件明细!$AA$2:$AA$501,MATCH(T230,激励事件明细!$A$2:$A$501,0)),""))</f>
        <v/>
      </c>
      <c r="G230" s="17" t="str">
        <f>IF(A230="","",IFERROR(INDEX(激励事件明细!$AB$2:$AB$501,MATCH(T230,激励事件明细!$A$2:$A$501,0)),""))</f>
        <v/>
      </c>
      <c r="H230" s="17" t="str">
        <f>IF(A230="","",IFERROR(INDEX(激励事件明细!$AC$2:$AC$501,MATCH(T230,激励事件明细!$A$2:$A$501,0)),""))</f>
        <v/>
      </c>
      <c r="I230" s="13"/>
      <c r="J230" s="14"/>
      <c r="K230" s="14"/>
      <c r="L230" s="9"/>
      <c r="M230" s="15" t="str">
        <f t="shared" si="18"/>
        <v/>
      </c>
      <c r="N230" s="15" t="str">
        <f t="shared" si="19"/>
        <v/>
      </c>
      <c r="O230" s="4" t="str">
        <f t="shared" ca="1" si="20"/>
        <v/>
      </c>
      <c r="P230" s="17" t="str">
        <f>IF(A230="","",IFERROR(IF(INDEX(激励事件明细!$P$2:$P$501,MATCH(T230,激励事件明细!$A$2:$A$501,0))=0,"",INDEX(激励事件明细!$P$2:$P$501,MATCH(T230,激励事件明细!$A$2:$A$501,0))),""))</f>
        <v/>
      </c>
      <c r="Q230" s="4" t="str">
        <f t="shared" si="21"/>
        <v>无效</v>
      </c>
      <c r="R230" s="4" t="str">
        <f t="shared" ca="1" si="22"/>
        <v>异常：必须关联有效事件编号或税额批次</v>
      </c>
      <c r="S230" s="9"/>
      <c r="T230" s="4" t="str">
        <f>IF(D230&lt;&gt;"",IF(COUNTIF(激励事件明细!$A$2:$A$501,D230)=1,D230,""),IF(E230&lt;&gt;"",IFERROR(INDEX(激励事件明细!$A$2:$A$501,MATCH(E230,激励事件明细!$B$2:$B$501,0)),""),""))</f>
        <v/>
      </c>
      <c r="U230" s="4" t="str">
        <f>IF(T230="","",IFERROR(INDEX(激励事件明细!$B$2:$B$501,MATCH(T230,激励事件明细!$A$2:$A$501,0)),""))</f>
        <v/>
      </c>
      <c r="V230" s="4" t="str">
        <f>IF(A230="","",COUNTIF($A$2:A230,A230))</f>
        <v/>
      </c>
      <c r="W230" s="4" t="str">
        <f t="shared" si="23"/>
        <v/>
      </c>
    </row>
    <row r="231" spans="1:23" x14ac:dyDescent="0.3">
      <c r="A231" s="4" t="str">
        <f>IF(T231="","",IFERROR(INDEX(激励事件明细!$C$2:$C$501,MATCH(T231,激励事件明细!$A$2:$A$501,0)),""))</f>
        <v/>
      </c>
      <c r="B231" s="4" t="str">
        <f>IF(A231="","",IFERROR(INDEX(激励事件明细!$D$2:$D$501,MATCH(T231,激励事件明细!$A$2:$A$501,0)),""))</f>
        <v/>
      </c>
      <c r="C231" s="4" t="str">
        <f>IF(A231="","",IFERROR(INDEX(激励事件明细!$H$2:$H$501,MATCH(T231,激励事件明细!$A$2:$A$501,0)),""))</f>
        <v/>
      </c>
      <c r="D231" s="9"/>
      <c r="E231" s="9"/>
      <c r="F231" s="15" t="str">
        <f>IF(A231="","",IFERROR(INDEX(激励事件明细!$AA$2:$AA$501,MATCH(T231,激励事件明细!$A$2:$A$501,0)),""))</f>
        <v/>
      </c>
      <c r="G231" s="17" t="str">
        <f>IF(A231="","",IFERROR(INDEX(激励事件明细!$AB$2:$AB$501,MATCH(T231,激励事件明细!$A$2:$A$501,0)),""))</f>
        <v/>
      </c>
      <c r="H231" s="17" t="str">
        <f>IF(A231="","",IFERROR(INDEX(激励事件明细!$AC$2:$AC$501,MATCH(T231,激励事件明细!$A$2:$A$501,0)),""))</f>
        <v/>
      </c>
      <c r="I231" s="13"/>
      <c r="J231" s="14"/>
      <c r="K231" s="14"/>
      <c r="L231" s="9"/>
      <c r="M231" s="15" t="str">
        <f t="shared" si="18"/>
        <v/>
      </c>
      <c r="N231" s="15" t="str">
        <f t="shared" si="19"/>
        <v/>
      </c>
      <c r="O231" s="4" t="str">
        <f t="shared" ca="1" si="20"/>
        <v/>
      </c>
      <c r="P231" s="17" t="str">
        <f>IF(A231="","",IFERROR(IF(INDEX(激励事件明细!$P$2:$P$501,MATCH(T231,激励事件明细!$A$2:$A$501,0))=0,"",INDEX(激励事件明细!$P$2:$P$501,MATCH(T231,激励事件明细!$A$2:$A$501,0))),""))</f>
        <v/>
      </c>
      <c r="Q231" s="4" t="str">
        <f t="shared" si="21"/>
        <v>无效</v>
      </c>
      <c r="R231" s="4" t="str">
        <f t="shared" ca="1" si="22"/>
        <v>异常：必须关联有效事件编号或税额批次</v>
      </c>
      <c r="S231" s="9"/>
      <c r="T231" s="4" t="str">
        <f>IF(D231&lt;&gt;"",IF(COUNTIF(激励事件明细!$A$2:$A$501,D231)=1,D231,""),IF(E231&lt;&gt;"",IFERROR(INDEX(激励事件明细!$A$2:$A$501,MATCH(E231,激励事件明细!$B$2:$B$501,0)),""),""))</f>
        <v/>
      </c>
      <c r="U231" s="4" t="str">
        <f>IF(T231="","",IFERROR(INDEX(激励事件明细!$B$2:$B$501,MATCH(T231,激励事件明细!$A$2:$A$501,0)),""))</f>
        <v/>
      </c>
      <c r="V231" s="4" t="str">
        <f>IF(A231="","",COUNTIF($A$2:A231,A231))</f>
        <v/>
      </c>
      <c r="W231" s="4" t="str">
        <f t="shared" si="23"/>
        <v/>
      </c>
    </row>
    <row r="232" spans="1:23" x14ac:dyDescent="0.3">
      <c r="A232" s="4" t="str">
        <f>IF(T232="","",IFERROR(INDEX(激励事件明细!$C$2:$C$501,MATCH(T232,激励事件明细!$A$2:$A$501,0)),""))</f>
        <v/>
      </c>
      <c r="B232" s="4" t="str">
        <f>IF(A232="","",IFERROR(INDEX(激励事件明细!$D$2:$D$501,MATCH(T232,激励事件明细!$A$2:$A$501,0)),""))</f>
        <v/>
      </c>
      <c r="C232" s="4" t="str">
        <f>IF(A232="","",IFERROR(INDEX(激励事件明细!$H$2:$H$501,MATCH(T232,激励事件明细!$A$2:$A$501,0)),""))</f>
        <v/>
      </c>
      <c r="D232" s="9"/>
      <c r="E232" s="9"/>
      <c r="F232" s="15" t="str">
        <f>IF(A232="","",IFERROR(INDEX(激励事件明细!$AA$2:$AA$501,MATCH(T232,激励事件明细!$A$2:$A$501,0)),""))</f>
        <v/>
      </c>
      <c r="G232" s="17" t="str">
        <f>IF(A232="","",IFERROR(INDEX(激励事件明细!$AB$2:$AB$501,MATCH(T232,激励事件明细!$A$2:$A$501,0)),""))</f>
        <v/>
      </c>
      <c r="H232" s="17" t="str">
        <f>IF(A232="","",IFERROR(INDEX(激励事件明细!$AC$2:$AC$501,MATCH(T232,激励事件明细!$A$2:$A$501,0)),""))</f>
        <v/>
      </c>
      <c r="I232" s="13"/>
      <c r="J232" s="14"/>
      <c r="K232" s="14"/>
      <c r="L232" s="9"/>
      <c r="M232" s="15" t="str">
        <f t="shared" si="18"/>
        <v/>
      </c>
      <c r="N232" s="15" t="str">
        <f t="shared" si="19"/>
        <v/>
      </c>
      <c r="O232" s="4" t="str">
        <f t="shared" ca="1" si="20"/>
        <v/>
      </c>
      <c r="P232" s="17" t="str">
        <f>IF(A232="","",IFERROR(IF(INDEX(激励事件明细!$P$2:$P$501,MATCH(T232,激励事件明细!$A$2:$A$501,0))=0,"",INDEX(激励事件明细!$P$2:$P$501,MATCH(T232,激励事件明细!$A$2:$A$501,0))),""))</f>
        <v/>
      </c>
      <c r="Q232" s="4" t="str">
        <f t="shared" si="21"/>
        <v>无效</v>
      </c>
      <c r="R232" s="4" t="str">
        <f t="shared" ca="1" si="22"/>
        <v>异常：必须关联有效事件编号或税额批次</v>
      </c>
      <c r="S232" s="9"/>
      <c r="T232" s="4" t="str">
        <f>IF(D232&lt;&gt;"",IF(COUNTIF(激励事件明细!$A$2:$A$501,D232)=1,D232,""),IF(E232&lt;&gt;"",IFERROR(INDEX(激励事件明细!$A$2:$A$501,MATCH(E232,激励事件明细!$B$2:$B$501,0)),""),""))</f>
        <v/>
      </c>
      <c r="U232" s="4" t="str">
        <f>IF(T232="","",IFERROR(INDEX(激励事件明细!$B$2:$B$501,MATCH(T232,激励事件明细!$A$2:$A$501,0)),""))</f>
        <v/>
      </c>
      <c r="V232" s="4" t="str">
        <f>IF(A232="","",COUNTIF($A$2:A232,A232))</f>
        <v/>
      </c>
      <c r="W232" s="4" t="str">
        <f t="shared" si="23"/>
        <v/>
      </c>
    </row>
    <row r="233" spans="1:23" x14ac:dyDescent="0.3">
      <c r="A233" s="4" t="str">
        <f>IF(T233="","",IFERROR(INDEX(激励事件明细!$C$2:$C$501,MATCH(T233,激励事件明细!$A$2:$A$501,0)),""))</f>
        <v/>
      </c>
      <c r="B233" s="4" t="str">
        <f>IF(A233="","",IFERROR(INDEX(激励事件明细!$D$2:$D$501,MATCH(T233,激励事件明细!$A$2:$A$501,0)),""))</f>
        <v/>
      </c>
      <c r="C233" s="4" t="str">
        <f>IF(A233="","",IFERROR(INDEX(激励事件明细!$H$2:$H$501,MATCH(T233,激励事件明细!$A$2:$A$501,0)),""))</f>
        <v/>
      </c>
      <c r="D233" s="9"/>
      <c r="E233" s="9"/>
      <c r="F233" s="15" t="str">
        <f>IF(A233="","",IFERROR(INDEX(激励事件明细!$AA$2:$AA$501,MATCH(T233,激励事件明细!$A$2:$A$501,0)),""))</f>
        <v/>
      </c>
      <c r="G233" s="17" t="str">
        <f>IF(A233="","",IFERROR(INDEX(激励事件明细!$AB$2:$AB$501,MATCH(T233,激励事件明细!$A$2:$A$501,0)),""))</f>
        <v/>
      </c>
      <c r="H233" s="17" t="str">
        <f>IF(A233="","",IFERROR(INDEX(激励事件明细!$AC$2:$AC$501,MATCH(T233,激励事件明细!$A$2:$A$501,0)),""))</f>
        <v/>
      </c>
      <c r="I233" s="13"/>
      <c r="J233" s="14"/>
      <c r="K233" s="14"/>
      <c r="L233" s="9"/>
      <c r="M233" s="15" t="str">
        <f t="shared" si="18"/>
        <v/>
      </c>
      <c r="N233" s="15" t="str">
        <f t="shared" si="19"/>
        <v/>
      </c>
      <c r="O233" s="4" t="str">
        <f t="shared" ca="1" si="20"/>
        <v/>
      </c>
      <c r="P233" s="17" t="str">
        <f>IF(A233="","",IFERROR(IF(INDEX(激励事件明细!$P$2:$P$501,MATCH(T233,激励事件明细!$A$2:$A$501,0))=0,"",INDEX(激励事件明细!$P$2:$P$501,MATCH(T233,激励事件明细!$A$2:$A$501,0))),""))</f>
        <v/>
      </c>
      <c r="Q233" s="4" t="str">
        <f t="shared" si="21"/>
        <v>无效</v>
      </c>
      <c r="R233" s="4" t="str">
        <f t="shared" ca="1" si="22"/>
        <v>异常：必须关联有效事件编号或税额批次</v>
      </c>
      <c r="S233" s="9"/>
      <c r="T233" s="4" t="str">
        <f>IF(D233&lt;&gt;"",IF(COUNTIF(激励事件明细!$A$2:$A$501,D233)=1,D233,""),IF(E233&lt;&gt;"",IFERROR(INDEX(激励事件明细!$A$2:$A$501,MATCH(E233,激励事件明细!$B$2:$B$501,0)),""),""))</f>
        <v/>
      </c>
      <c r="U233" s="4" t="str">
        <f>IF(T233="","",IFERROR(INDEX(激励事件明细!$B$2:$B$501,MATCH(T233,激励事件明细!$A$2:$A$501,0)),""))</f>
        <v/>
      </c>
      <c r="V233" s="4" t="str">
        <f>IF(A233="","",COUNTIF($A$2:A233,A233))</f>
        <v/>
      </c>
      <c r="W233" s="4" t="str">
        <f t="shared" si="23"/>
        <v/>
      </c>
    </row>
    <row r="234" spans="1:23" x14ac:dyDescent="0.3">
      <c r="A234" s="4" t="str">
        <f>IF(T234="","",IFERROR(INDEX(激励事件明细!$C$2:$C$501,MATCH(T234,激励事件明细!$A$2:$A$501,0)),""))</f>
        <v/>
      </c>
      <c r="B234" s="4" t="str">
        <f>IF(A234="","",IFERROR(INDEX(激励事件明细!$D$2:$D$501,MATCH(T234,激励事件明细!$A$2:$A$501,0)),""))</f>
        <v/>
      </c>
      <c r="C234" s="4" t="str">
        <f>IF(A234="","",IFERROR(INDEX(激励事件明细!$H$2:$H$501,MATCH(T234,激励事件明细!$A$2:$A$501,0)),""))</f>
        <v/>
      </c>
      <c r="D234" s="9"/>
      <c r="E234" s="9"/>
      <c r="F234" s="15" t="str">
        <f>IF(A234="","",IFERROR(INDEX(激励事件明细!$AA$2:$AA$501,MATCH(T234,激励事件明细!$A$2:$A$501,0)),""))</f>
        <v/>
      </c>
      <c r="G234" s="17" t="str">
        <f>IF(A234="","",IFERROR(INDEX(激励事件明细!$AB$2:$AB$501,MATCH(T234,激励事件明细!$A$2:$A$501,0)),""))</f>
        <v/>
      </c>
      <c r="H234" s="17" t="str">
        <f>IF(A234="","",IFERROR(INDEX(激励事件明细!$AC$2:$AC$501,MATCH(T234,激励事件明细!$A$2:$A$501,0)),""))</f>
        <v/>
      </c>
      <c r="I234" s="13"/>
      <c r="J234" s="14"/>
      <c r="K234" s="14"/>
      <c r="L234" s="9"/>
      <c r="M234" s="15" t="str">
        <f t="shared" si="18"/>
        <v/>
      </c>
      <c r="N234" s="15" t="str">
        <f t="shared" si="19"/>
        <v/>
      </c>
      <c r="O234" s="4" t="str">
        <f t="shared" ca="1" si="20"/>
        <v/>
      </c>
      <c r="P234" s="17" t="str">
        <f>IF(A234="","",IFERROR(IF(INDEX(激励事件明细!$P$2:$P$501,MATCH(T234,激励事件明细!$A$2:$A$501,0))=0,"",INDEX(激励事件明细!$P$2:$P$501,MATCH(T234,激励事件明细!$A$2:$A$501,0))),""))</f>
        <v/>
      </c>
      <c r="Q234" s="4" t="str">
        <f t="shared" si="21"/>
        <v>无效</v>
      </c>
      <c r="R234" s="4" t="str">
        <f t="shared" ca="1" si="22"/>
        <v>异常：必须关联有效事件编号或税额批次</v>
      </c>
      <c r="S234" s="9"/>
      <c r="T234" s="4" t="str">
        <f>IF(D234&lt;&gt;"",IF(COUNTIF(激励事件明细!$A$2:$A$501,D234)=1,D234,""),IF(E234&lt;&gt;"",IFERROR(INDEX(激励事件明细!$A$2:$A$501,MATCH(E234,激励事件明细!$B$2:$B$501,0)),""),""))</f>
        <v/>
      </c>
      <c r="U234" s="4" t="str">
        <f>IF(T234="","",IFERROR(INDEX(激励事件明细!$B$2:$B$501,MATCH(T234,激励事件明细!$A$2:$A$501,0)),""))</f>
        <v/>
      </c>
      <c r="V234" s="4" t="str">
        <f>IF(A234="","",COUNTIF($A$2:A234,A234))</f>
        <v/>
      </c>
      <c r="W234" s="4" t="str">
        <f t="shared" si="23"/>
        <v/>
      </c>
    </row>
    <row r="235" spans="1:23" x14ac:dyDescent="0.3">
      <c r="A235" s="4" t="str">
        <f>IF(T235="","",IFERROR(INDEX(激励事件明细!$C$2:$C$501,MATCH(T235,激励事件明细!$A$2:$A$501,0)),""))</f>
        <v/>
      </c>
      <c r="B235" s="4" t="str">
        <f>IF(A235="","",IFERROR(INDEX(激励事件明细!$D$2:$D$501,MATCH(T235,激励事件明细!$A$2:$A$501,0)),""))</f>
        <v/>
      </c>
      <c r="C235" s="4" t="str">
        <f>IF(A235="","",IFERROR(INDEX(激励事件明细!$H$2:$H$501,MATCH(T235,激励事件明细!$A$2:$A$501,0)),""))</f>
        <v/>
      </c>
      <c r="D235" s="9"/>
      <c r="E235" s="9"/>
      <c r="F235" s="15" t="str">
        <f>IF(A235="","",IFERROR(INDEX(激励事件明细!$AA$2:$AA$501,MATCH(T235,激励事件明细!$A$2:$A$501,0)),""))</f>
        <v/>
      </c>
      <c r="G235" s="17" t="str">
        <f>IF(A235="","",IFERROR(INDEX(激励事件明细!$AB$2:$AB$501,MATCH(T235,激励事件明细!$A$2:$A$501,0)),""))</f>
        <v/>
      </c>
      <c r="H235" s="17" t="str">
        <f>IF(A235="","",IFERROR(INDEX(激励事件明细!$AC$2:$AC$501,MATCH(T235,激励事件明细!$A$2:$A$501,0)),""))</f>
        <v/>
      </c>
      <c r="I235" s="13"/>
      <c r="J235" s="14"/>
      <c r="K235" s="14"/>
      <c r="L235" s="9"/>
      <c r="M235" s="15" t="str">
        <f t="shared" si="18"/>
        <v/>
      </c>
      <c r="N235" s="15" t="str">
        <f t="shared" si="19"/>
        <v/>
      </c>
      <c r="O235" s="4" t="str">
        <f t="shared" ca="1" si="20"/>
        <v/>
      </c>
      <c r="P235" s="17" t="str">
        <f>IF(A235="","",IFERROR(IF(INDEX(激励事件明细!$P$2:$P$501,MATCH(T235,激励事件明细!$A$2:$A$501,0))=0,"",INDEX(激励事件明细!$P$2:$P$501,MATCH(T235,激励事件明细!$A$2:$A$501,0))),""))</f>
        <v/>
      </c>
      <c r="Q235" s="4" t="str">
        <f t="shared" si="21"/>
        <v>无效</v>
      </c>
      <c r="R235" s="4" t="str">
        <f t="shared" ca="1" si="22"/>
        <v>异常：必须关联有效事件编号或税额批次</v>
      </c>
      <c r="S235" s="9"/>
      <c r="T235" s="4" t="str">
        <f>IF(D235&lt;&gt;"",IF(COUNTIF(激励事件明细!$A$2:$A$501,D235)=1,D235,""),IF(E235&lt;&gt;"",IFERROR(INDEX(激励事件明细!$A$2:$A$501,MATCH(E235,激励事件明细!$B$2:$B$501,0)),""),""))</f>
        <v/>
      </c>
      <c r="U235" s="4" t="str">
        <f>IF(T235="","",IFERROR(INDEX(激励事件明细!$B$2:$B$501,MATCH(T235,激励事件明细!$A$2:$A$501,0)),""))</f>
        <v/>
      </c>
      <c r="V235" s="4" t="str">
        <f>IF(A235="","",COUNTIF($A$2:A235,A235))</f>
        <v/>
      </c>
      <c r="W235" s="4" t="str">
        <f t="shared" si="23"/>
        <v/>
      </c>
    </row>
    <row r="236" spans="1:23" x14ac:dyDescent="0.3">
      <c r="A236" s="4" t="str">
        <f>IF(T236="","",IFERROR(INDEX(激励事件明细!$C$2:$C$501,MATCH(T236,激励事件明细!$A$2:$A$501,0)),""))</f>
        <v/>
      </c>
      <c r="B236" s="4" t="str">
        <f>IF(A236="","",IFERROR(INDEX(激励事件明细!$D$2:$D$501,MATCH(T236,激励事件明细!$A$2:$A$501,0)),""))</f>
        <v/>
      </c>
      <c r="C236" s="4" t="str">
        <f>IF(A236="","",IFERROR(INDEX(激励事件明细!$H$2:$H$501,MATCH(T236,激励事件明细!$A$2:$A$501,0)),""))</f>
        <v/>
      </c>
      <c r="D236" s="9"/>
      <c r="E236" s="9"/>
      <c r="F236" s="15" t="str">
        <f>IF(A236="","",IFERROR(INDEX(激励事件明细!$AA$2:$AA$501,MATCH(T236,激励事件明细!$A$2:$A$501,0)),""))</f>
        <v/>
      </c>
      <c r="G236" s="17" t="str">
        <f>IF(A236="","",IFERROR(INDEX(激励事件明细!$AB$2:$AB$501,MATCH(T236,激励事件明细!$A$2:$A$501,0)),""))</f>
        <v/>
      </c>
      <c r="H236" s="17" t="str">
        <f>IF(A236="","",IFERROR(INDEX(激励事件明细!$AC$2:$AC$501,MATCH(T236,激励事件明细!$A$2:$A$501,0)),""))</f>
        <v/>
      </c>
      <c r="I236" s="13"/>
      <c r="J236" s="14"/>
      <c r="K236" s="14"/>
      <c r="L236" s="9"/>
      <c r="M236" s="15" t="str">
        <f t="shared" si="18"/>
        <v/>
      </c>
      <c r="N236" s="15" t="str">
        <f t="shared" si="19"/>
        <v/>
      </c>
      <c r="O236" s="4" t="str">
        <f t="shared" ca="1" si="20"/>
        <v/>
      </c>
      <c r="P236" s="17" t="str">
        <f>IF(A236="","",IFERROR(IF(INDEX(激励事件明细!$P$2:$P$501,MATCH(T236,激励事件明细!$A$2:$A$501,0))=0,"",INDEX(激励事件明细!$P$2:$P$501,MATCH(T236,激励事件明细!$A$2:$A$501,0))),""))</f>
        <v/>
      </c>
      <c r="Q236" s="4" t="str">
        <f t="shared" si="21"/>
        <v>无效</v>
      </c>
      <c r="R236" s="4" t="str">
        <f t="shared" ca="1" si="22"/>
        <v>异常：必须关联有效事件编号或税额批次</v>
      </c>
      <c r="S236" s="9"/>
      <c r="T236" s="4" t="str">
        <f>IF(D236&lt;&gt;"",IF(COUNTIF(激励事件明细!$A$2:$A$501,D236)=1,D236,""),IF(E236&lt;&gt;"",IFERROR(INDEX(激励事件明细!$A$2:$A$501,MATCH(E236,激励事件明细!$B$2:$B$501,0)),""),""))</f>
        <v/>
      </c>
      <c r="U236" s="4" t="str">
        <f>IF(T236="","",IFERROR(INDEX(激励事件明细!$B$2:$B$501,MATCH(T236,激励事件明细!$A$2:$A$501,0)),""))</f>
        <v/>
      </c>
      <c r="V236" s="4" t="str">
        <f>IF(A236="","",COUNTIF($A$2:A236,A236))</f>
        <v/>
      </c>
      <c r="W236" s="4" t="str">
        <f t="shared" si="23"/>
        <v/>
      </c>
    </row>
    <row r="237" spans="1:23" x14ac:dyDescent="0.3">
      <c r="A237" s="4" t="str">
        <f>IF(T237="","",IFERROR(INDEX(激励事件明细!$C$2:$C$501,MATCH(T237,激励事件明细!$A$2:$A$501,0)),""))</f>
        <v/>
      </c>
      <c r="B237" s="4" t="str">
        <f>IF(A237="","",IFERROR(INDEX(激励事件明细!$D$2:$D$501,MATCH(T237,激励事件明细!$A$2:$A$501,0)),""))</f>
        <v/>
      </c>
      <c r="C237" s="4" t="str">
        <f>IF(A237="","",IFERROR(INDEX(激励事件明细!$H$2:$H$501,MATCH(T237,激励事件明细!$A$2:$A$501,0)),""))</f>
        <v/>
      </c>
      <c r="D237" s="9"/>
      <c r="E237" s="9"/>
      <c r="F237" s="15" t="str">
        <f>IF(A237="","",IFERROR(INDEX(激励事件明细!$AA$2:$AA$501,MATCH(T237,激励事件明细!$A$2:$A$501,0)),""))</f>
        <v/>
      </c>
      <c r="G237" s="17" t="str">
        <f>IF(A237="","",IFERROR(INDEX(激励事件明细!$AB$2:$AB$501,MATCH(T237,激励事件明细!$A$2:$A$501,0)),""))</f>
        <v/>
      </c>
      <c r="H237" s="17" t="str">
        <f>IF(A237="","",IFERROR(INDEX(激励事件明细!$AC$2:$AC$501,MATCH(T237,激励事件明细!$A$2:$A$501,0)),""))</f>
        <v/>
      </c>
      <c r="I237" s="13"/>
      <c r="J237" s="14"/>
      <c r="K237" s="14"/>
      <c r="L237" s="9"/>
      <c r="M237" s="15" t="str">
        <f t="shared" si="18"/>
        <v/>
      </c>
      <c r="N237" s="15" t="str">
        <f t="shared" si="19"/>
        <v/>
      </c>
      <c r="O237" s="4" t="str">
        <f t="shared" ca="1" si="20"/>
        <v/>
      </c>
      <c r="P237" s="17" t="str">
        <f>IF(A237="","",IFERROR(IF(INDEX(激励事件明细!$P$2:$P$501,MATCH(T237,激励事件明细!$A$2:$A$501,0))=0,"",INDEX(激励事件明细!$P$2:$P$501,MATCH(T237,激励事件明细!$A$2:$A$501,0))),""))</f>
        <v/>
      </c>
      <c r="Q237" s="4" t="str">
        <f t="shared" si="21"/>
        <v>无效</v>
      </c>
      <c r="R237" s="4" t="str">
        <f t="shared" ca="1" si="22"/>
        <v>异常：必须关联有效事件编号或税额批次</v>
      </c>
      <c r="S237" s="9"/>
      <c r="T237" s="4" t="str">
        <f>IF(D237&lt;&gt;"",IF(COUNTIF(激励事件明细!$A$2:$A$501,D237)=1,D237,""),IF(E237&lt;&gt;"",IFERROR(INDEX(激励事件明细!$A$2:$A$501,MATCH(E237,激励事件明细!$B$2:$B$501,0)),""),""))</f>
        <v/>
      </c>
      <c r="U237" s="4" t="str">
        <f>IF(T237="","",IFERROR(INDEX(激励事件明细!$B$2:$B$501,MATCH(T237,激励事件明细!$A$2:$A$501,0)),""))</f>
        <v/>
      </c>
      <c r="V237" s="4" t="str">
        <f>IF(A237="","",COUNTIF($A$2:A237,A237))</f>
        <v/>
      </c>
      <c r="W237" s="4" t="str">
        <f t="shared" si="23"/>
        <v/>
      </c>
    </row>
    <row r="238" spans="1:23" x14ac:dyDescent="0.3">
      <c r="A238" s="4" t="str">
        <f>IF(T238="","",IFERROR(INDEX(激励事件明细!$C$2:$C$501,MATCH(T238,激励事件明细!$A$2:$A$501,0)),""))</f>
        <v/>
      </c>
      <c r="B238" s="4" t="str">
        <f>IF(A238="","",IFERROR(INDEX(激励事件明细!$D$2:$D$501,MATCH(T238,激励事件明细!$A$2:$A$501,0)),""))</f>
        <v/>
      </c>
      <c r="C238" s="4" t="str">
        <f>IF(A238="","",IFERROR(INDEX(激励事件明细!$H$2:$H$501,MATCH(T238,激励事件明细!$A$2:$A$501,0)),""))</f>
        <v/>
      </c>
      <c r="D238" s="9"/>
      <c r="E238" s="9"/>
      <c r="F238" s="15" t="str">
        <f>IF(A238="","",IFERROR(INDEX(激励事件明细!$AA$2:$AA$501,MATCH(T238,激励事件明细!$A$2:$A$501,0)),""))</f>
        <v/>
      </c>
      <c r="G238" s="17" t="str">
        <f>IF(A238="","",IFERROR(INDEX(激励事件明细!$AB$2:$AB$501,MATCH(T238,激励事件明细!$A$2:$A$501,0)),""))</f>
        <v/>
      </c>
      <c r="H238" s="17" t="str">
        <f>IF(A238="","",IFERROR(INDEX(激励事件明细!$AC$2:$AC$501,MATCH(T238,激励事件明细!$A$2:$A$501,0)),""))</f>
        <v/>
      </c>
      <c r="I238" s="13"/>
      <c r="J238" s="14"/>
      <c r="K238" s="14"/>
      <c r="L238" s="9"/>
      <c r="M238" s="15" t="str">
        <f t="shared" si="18"/>
        <v/>
      </c>
      <c r="N238" s="15" t="str">
        <f t="shared" si="19"/>
        <v/>
      </c>
      <c r="O238" s="4" t="str">
        <f t="shared" ca="1" si="20"/>
        <v/>
      </c>
      <c r="P238" s="17" t="str">
        <f>IF(A238="","",IFERROR(IF(INDEX(激励事件明细!$P$2:$P$501,MATCH(T238,激励事件明细!$A$2:$A$501,0))=0,"",INDEX(激励事件明细!$P$2:$P$501,MATCH(T238,激励事件明细!$A$2:$A$501,0))),""))</f>
        <v/>
      </c>
      <c r="Q238" s="4" t="str">
        <f t="shared" si="21"/>
        <v>无效</v>
      </c>
      <c r="R238" s="4" t="str">
        <f t="shared" ca="1" si="22"/>
        <v>异常：必须关联有效事件编号或税额批次</v>
      </c>
      <c r="S238" s="9"/>
      <c r="T238" s="4" t="str">
        <f>IF(D238&lt;&gt;"",IF(COUNTIF(激励事件明细!$A$2:$A$501,D238)=1,D238,""),IF(E238&lt;&gt;"",IFERROR(INDEX(激励事件明细!$A$2:$A$501,MATCH(E238,激励事件明细!$B$2:$B$501,0)),""),""))</f>
        <v/>
      </c>
      <c r="U238" s="4" t="str">
        <f>IF(T238="","",IFERROR(INDEX(激励事件明细!$B$2:$B$501,MATCH(T238,激励事件明细!$A$2:$A$501,0)),""))</f>
        <v/>
      </c>
      <c r="V238" s="4" t="str">
        <f>IF(A238="","",COUNTIF($A$2:A238,A238))</f>
        <v/>
      </c>
      <c r="W238" s="4" t="str">
        <f t="shared" si="23"/>
        <v/>
      </c>
    </row>
    <row r="239" spans="1:23" x14ac:dyDescent="0.3">
      <c r="A239" s="4" t="str">
        <f>IF(T239="","",IFERROR(INDEX(激励事件明细!$C$2:$C$501,MATCH(T239,激励事件明细!$A$2:$A$501,0)),""))</f>
        <v/>
      </c>
      <c r="B239" s="4" t="str">
        <f>IF(A239="","",IFERROR(INDEX(激励事件明细!$D$2:$D$501,MATCH(T239,激励事件明细!$A$2:$A$501,0)),""))</f>
        <v/>
      </c>
      <c r="C239" s="4" t="str">
        <f>IF(A239="","",IFERROR(INDEX(激励事件明细!$H$2:$H$501,MATCH(T239,激励事件明细!$A$2:$A$501,0)),""))</f>
        <v/>
      </c>
      <c r="D239" s="9"/>
      <c r="E239" s="9"/>
      <c r="F239" s="15" t="str">
        <f>IF(A239="","",IFERROR(INDEX(激励事件明细!$AA$2:$AA$501,MATCH(T239,激励事件明细!$A$2:$A$501,0)),""))</f>
        <v/>
      </c>
      <c r="G239" s="17" t="str">
        <f>IF(A239="","",IFERROR(INDEX(激励事件明细!$AB$2:$AB$501,MATCH(T239,激励事件明细!$A$2:$A$501,0)),""))</f>
        <v/>
      </c>
      <c r="H239" s="17" t="str">
        <f>IF(A239="","",IFERROR(INDEX(激励事件明细!$AC$2:$AC$501,MATCH(T239,激励事件明细!$A$2:$A$501,0)),""))</f>
        <v/>
      </c>
      <c r="I239" s="13"/>
      <c r="J239" s="14"/>
      <c r="K239" s="14"/>
      <c r="L239" s="9"/>
      <c r="M239" s="15" t="str">
        <f t="shared" si="18"/>
        <v/>
      </c>
      <c r="N239" s="15" t="str">
        <f t="shared" si="19"/>
        <v/>
      </c>
      <c r="O239" s="4" t="str">
        <f t="shared" ca="1" si="20"/>
        <v/>
      </c>
      <c r="P239" s="17" t="str">
        <f>IF(A239="","",IFERROR(IF(INDEX(激励事件明细!$P$2:$P$501,MATCH(T239,激励事件明细!$A$2:$A$501,0))=0,"",INDEX(激励事件明细!$P$2:$P$501,MATCH(T239,激励事件明细!$A$2:$A$501,0))),""))</f>
        <v/>
      </c>
      <c r="Q239" s="4" t="str">
        <f t="shared" si="21"/>
        <v>无效</v>
      </c>
      <c r="R239" s="4" t="str">
        <f t="shared" ca="1" si="22"/>
        <v>异常：必须关联有效事件编号或税额批次</v>
      </c>
      <c r="S239" s="9"/>
      <c r="T239" s="4" t="str">
        <f>IF(D239&lt;&gt;"",IF(COUNTIF(激励事件明细!$A$2:$A$501,D239)=1,D239,""),IF(E239&lt;&gt;"",IFERROR(INDEX(激励事件明细!$A$2:$A$501,MATCH(E239,激励事件明细!$B$2:$B$501,0)),""),""))</f>
        <v/>
      </c>
      <c r="U239" s="4" t="str">
        <f>IF(T239="","",IFERROR(INDEX(激励事件明细!$B$2:$B$501,MATCH(T239,激励事件明细!$A$2:$A$501,0)),""))</f>
        <v/>
      </c>
      <c r="V239" s="4" t="str">
        <f>IF(A239="","",COUNTIF($A$2:A239,A239))</f>
        <v/>
      </c>
      <c r="W239" s="4" t="str">
        <f t="shared" si="23"/>
        <v/>
      </c>
    </row>
    <row r="240" spans="1:23" x14ac:dyDescent="0.3">
      <c r="A240" s="4" t="str">
        <f>IF(T240="","",IFERROR(INDEX(激励事件明细!$C$2:$C$501,MATCH(T240,激励事件明细!$A$2:$A$501,0)),""))</f>
        <v/>
      </c>
      <c r="B240" s="4" t="str">
        <f>IF(A240="","",IFERROR(INDEX(激励事件明细!$D$2:$D$501,MATCH(T240,激励事件明细!$A$2:$A$501,0)),""))</f>
        <v/>
      </c>
      <c r="C240" s="4" t="str">
        <f>IF(A240="","",IFERROR(INDEX(激励事件明细!$H$2:$H$501,MATCH(T240,激励事件明细!$A$2:$A$501,0)),""))</f>
        <v/>
      </c>
      <c r="D240" s="9"/>
      <c r="E240" s="9"/>
      <c r="F240" s="15" t="str">
        <f>IF(A240="","",IFERROR(INDEX(激励事件明细!$AA$2:$AA$501,MATCH(T240,激励事件明细!$A$2:$A$501,0)),""))</f>
        <v/>
      </c>
      <c r="G240" s="17" t="str">
        <f>IF(A240="","",IFERROR(INDEX(激励事件明细!$AB$2:$AB$501,MATCH(T240,激励事件明细!$A$2:$A$501,0)),""))</f>
        <v/>
      </c>
      <c r="H240" s="17" t="str">
        <f>IF(A240="","",IFERROR(INDEX(激励事件明细!$AC$2:$AC$501,MATCH(T240,激励事件明细!$A$2:$A$501,0)),""))</f>
        <v/>
      </c>
      <c r="I240" s="13"/>
      <c r="J240" s="14"/>
      <c r="K240" s="14"/>
      <c r="L240" s="9"/>
      <c r="M240" s="15" t="str">
        <f t="shared" si="18"/>
        <v/>
      </c>
      <c r="N240" s="15" t="str">
        <f t="shared" si="19"/>
        <v/>
      </c>
      <c r="O240" s="4" t="str">
        <f t="shared" ca="1" si="20"/>
        <v/>
      </c>
      <c r="P240" s="17" t="str">
        <f>IF(A240="","",IFERROR(IF(INDEX(激励事件明细!$P$2:$P$501,MATCH(T240,激励事件明细!$A$2:$A$501,0))=0,"",INDEX(激励事件明细!$P$2:$P$501,MATCH(T240,激励事件明细!$A$2:$A$501,0))),""))</f>
        <v/>
      </c>
      <c r="Q240" s="4" t="str">
        <f t="shared" si="21"/>
        <v>无效</v>
      </c>
      <c r="R240" s="4" t="str">
        <f t="shared" ca="1" si="22"/>
        <v>异常：必须关联有效事件编号或税额批次</v>
      </c>
      <c r="S240" s="9"/>
      <c r="T240" s="4" t="str">
        <f>IF(D240&lt;&gt;"",IF(COUNTIF(激励事件明细!$A$2:$A$501,D240)=1,D240,""),IF(E240&lt;&gt;"",IFERROR(INDEX(激励事件明细!$A$2:$A$501,MATCH(E240,激励事件明细!$B$2:$B$501,0)),""),""))</f>
        <v/>
      </c>
      <c r="U240" s="4" t="str">
        <f>IF(T240="","",IFERROR(INDEX(激励事件明细!$B$2:$B$501,MATCH(T240,激励事件明细!$A$2:$A$501,0)),""))</f>
        <v/>
      </c>
      <c r="V240" s="4" t="str">
        <f>IF(A240="","",COUNTIF($A$2:A240,A240))</f>
        <v/>
      </c>
      <c r="W240" s="4" t="str">
        <f t="shared" si="23"/>
        <v/>
      </c>
    </row>
    <row r="241" spans="1:23" x14ac:dyDescent="0.3">
      <c r="A241" s="4" t="str">
        <f>IF(T241="","",IFERROR(INDEX(激励事件明细!$C$2:$C$501,MATCH(T241,激励事件明细!$A$2:$A$501,0)),""))</f>
        <v/>
      </c>
      <c r="B241" s="4" t="str">
        <f>IF(A241="","",IFERROR(INDEX(激励事件明细!$D$2:$D$501,MATCH(T241,激励事件明细!$A$2:$A$501,0)),""))</f>
        <v/>
      </c>
      <c r="C241" s="4" t="str">
        <f>IF(A241="","",IFERROR(INDEX(激励事件明细!$H$2:$H$501,MATCH(T241,激励事件明细!$A$2:$A$501,0)),""))</f>
        <v/>
      </c>
      <c r="D241" s="9"/>
      <c r="E241" s="9"/>
      <c r="F241" s="15" t="str">
        <f>IF(A241="","",IFERROR(INDEX(激励事件明细!$AA$2:$AA$501,MATCH(T241,激励事件明细!$A$2:$A$501,0)),""))</f>
        <v/>
      </c>
      <c r="G241" s="17" t="str">
        <f>IF(A241="","",IFERROR(INDEX(激励事件明细!$AB$2:$AB$501,MATCH(T241,激励事件明细!$A$2:$A$501,0)),""))</f>
        <v/>
      </c>
      <c r="H241" s="17" t="str">
        <f>IF(A241="","",IFERROR(INDEX(激励事件明细!$AC$2:$AC$501,MATCH(T241,激励事件明细!$A$2:$A$501,0)),""))</f>
        <v/>
      </c>
      <c r="I241" s="13"/>
      <c r="J241" s="14"/>
      <c r="K241" s="14"/>
      <c r="L241" s="9"/>
      <c r="M241" s="15" t="str">
        <f t="shared" si="18"/>
        <v/>
      </c>
      <c r="N241" s="15" t="str">
        <f t="shared" si="19"/>
        <v/>
      </c>
      <c r="O241" s="4" t="str">
        <f t="shared" ca="1" si="20"/>
        <v/>
      </c>
      <c r="P241" s="17" t="str">
        <f>IF(A241="","",IFERROR(IF(INDEX(激励事件明细!$P$2:$P$501,MATCH(T241,激励事件明细!$A$2:$A$501,0))=0,"",INDEX(激励事件明细!$P$2:$P$501,MATCH(T241,激励事件明细!$A$2:$A$501,0))),""))</f>
        <v/>
      </c>
      <c r="Q241" s="4" t="str">
        <f t="shared" si="21"/>
        <v>无效</v>
      </c>
      <c r="R241" s="4" t="str">
        <f t="shared" ca="1" si="22"/>
        <v>异常：必须关联有效事件编号或税额批次</v>
      </c>
      <c r="S241" s="9"/>
      <c r="T241" s="4" t="str">
        <f>IF(D241&lt;&gt;"",IF(COUNTIF(激励事件明细!$A$2:$A$501,D241)=1,D241,""),IF(E241&lt;&gt;"",IFERROR(INDEX(激励事件明细!$A$2:$A$501,MATCH(E241,激励事件明细!$B$2:$B$501,0)),""),""))</f>
        <v/>
      </c>
      <c r="U241" s="4" t="str">
        <f>IF(T241="","",IFERROR(INDEX(激励事件明细!$B$2:$B$501,MATCH(T241,激励事件明细!$A$2:$A$501,0)),""))</f>
        <v/>
      </c>
      <c r="V241" s="4" t="str">
        <f>IF(A241="","",COUNTIF($A$2:A241,A241))</f>
        <v/>
      </c>
      <c r="W241" s="4" t="str">
        <f t="shared" si="23"/>
        <v/>
      </c>
    </row>
    <row r="242" spans="1:23" x14ac:dyDescent="0.3">
      <c r="A242" s="4" t="str">
        <f>IF(T242="","",IFERROR(INDEX(激励事件明细!$C$2:$C$501,MATCH(T242,激励事件明细!$A$2:$A$501,0)),""))</f>
        <v/>
      </c>
      <c r="B242" s="4" t="str">
        <f>IF(A242="","",IFERROR(INDEX(激励事件明细!$D$2:$D$501,MATCH(T242,激励事件明细!$A$2:$A$501,0)),""))</f>
        <v/>
      </c>
      <c r="C242" s="4" t="str">
        <f>IF(A242="","",IFERROR(INDEX(激励事件明细!$H$2:$H$501,MATCH(T242,激励事件明细!$A$2:$A$501,0)),""))</f>
        <v/>
      </c>
      <c r="D242" s="9"/>
      <c r="E242" s="9"/>
      <c r="F242" s="15" t="str">
        <f>IF(A242="","",IFERROR(INDEX(激励事件明细!$AA$2:$AA$501,MATCH(T242,激励事件明细!$A$2:$A$501,0)),""))</f>
        <v/>
      </c>
      <c r="G242" s="17" t="str">
        <f>IF(A242="","",IFERROR(INDEX(激励事件明细!$AB$2:$AB$501,MATCH(T242,激励事件明细!$A$2:$A$501,0)),""))</f>
        <v/>
      </c>
      <c r="H242" s="17" t="str">
        <f>IF(A242="","",IFERROR(INDEX(激励事件明细!$AC$2:$AC$501,MATCH(T242,激励事件明细!$A$2:$A$501,0)),""))</f>
        <v/>
      </c>
      <c r="I242" s="13"/>
      <c r="J242" s="14"/>
      <c r="K242" s="14"/>
      <c r="L242" s="9"/>
      <c r="M242" s="15" t="str">
        <f t="shared" si="18"/>
        <v/>
      </c>
      <c r="N242" s="15" t="str">
        <f t="shared" si="19"/>
        <v/>
      </c>
      <c r="O242" s="4" t="str">
        <f t="shared" ca="1" si="20"/>
        <v/>
      </c>
      <c r="P242" s="17" t="str">
        <f>IF(A242="","",IFERROR(IF(INDEX(激励事件明细!$P$2:$P$501,MATCH(T242,激励事件明细!$A$2:$A$501,0))=0,"",INDEX(激励事件明细!$P$2:$P$501,MATCH(T242,激励事件明细!$A$2:$A$501,0))),""))</f>
        <v/>
      </c>
      <c r="Q242" s="4" t="str">
        <f t="shared" si="21"/>
        <v>无效</v>
      </c>
      <c r="R242" s="4" t="str">
        <f t="shared" ca="1" si="22"/>
        <v>异常：必须关联有效事件编号或税额批次</v>
      </c>
      <c r="S242" s="9"/>
      <c r="T242" s="4" t="str">
        <f>IF(D242&lt;&gt;"",IF(COUNTIF(激励事件明细!$A$2:$A$501,D242)=1,D242,""),IF(E242&lt;&gt;"",IFERROR(INDEX(激励事件明细!$A$2:$A$501,MATCH(E242,激励事件明细!$B$2:$B$501,0)),""),""))</f>
        <v/>
      </c>
      <c r="U242" s="4" t="str">
        <f>IF(T242="","",IFERROR(INDEX(激励事件明细!$B$2:$B$501,MATCH(T242,激励事件明细!$A$2:$A$501,0)),""))</f>
        <v/>
      </c>
      <c r="V242" s="4" t="str">
        <f>IF(A242="","",COUNTIF($A$2:A242,A242))</f>
        <v/>
      </c>
      <c r="W242" s="4" t="str">
        <f t="shared" si="23"/>
        <v/>
      </c>
    </row>
    <row r="243" spans="1:23" x14ac:dyDescent="0.3">
      <c r="A243" s="4" t="str">
        <f>IF(T243="","",IFERROR(INDEX(激励事件明细!$C$2:$C$501,MATCH(T243,激励事件明细!$A$2:$A$501,0)),""))</f>
        <v/>
      </c>
      <c r="B243" s="4" t="str">
        <f>IF(A243="","",IFERROR(INDEX(激励事件明细!$D$2:$D$501,MATCH(T243,激励事件明细!$A$2:$A$501,0)),""))</f>
        <v/>
      </c>
      <c r="C243" s="4" t="str">
        <f>IF(A243="","",IFERROR(INDEX(激励事件明细!$H$2:$H$501,MATCH(T243,激励事件明细!$A$2:$A$501,0)),""))</f>
        <v/>
      </c>
      <c r="D243" s="9"/>
      <c r="E243" s="9"/>
      <c r="F243" s="15" t="str">
        <f>IF(A243="","",IFERROR(INDEX(激励事件明细!$AA$2:$AA$501,MATCH(T243,激励事件明细!$A$2:$A$501,0)),""))</f>
        <v/>
      </c>
      <c r="G243" s="17" t="str">
        <f>IF(A243="","",IFERROR(INDEX(激励事件明细!$AB$2:$AB$501,MATCH(T243,激励事件明细!$A$2:$A$501,0)),""))</f>
        <v/>
      </c>
      <c r="H243" s="17" t="str">
        <f>IF(A243="","",IFERROR(INDEX(激励事件明细!$AC$2:$AC$501,MATCH(T243,激励事件明细!$A$2:$A$501,0)),""))</f>
        <v/>
      </c>
      <c r="I243" s="13"/>
      <c r="J243" s="14"/>
      <c r="K243" s="14"/>
      <c r="L243" s="9"/>
      <c r="M243" s="15" t="str">
        <f t="shared" si="18"/>
        <v/>
      </c>
      <c r="N243" s="15" t="str">
        <f t="shared" si="19"/>
        <v/>
      </c>
      <c r="O243" s="4" t="str">
        <f t="shared" ca="1" si="20"/>
        <v/>
      </c>
      <c r="P243" s="17" t="str">
        <f>IF(A243="","",IFERROR(IF(INDEX(激励事件明细!$P$2:$P$501,MATCH(T243,激励事件明细!$A$2:$A$501,0))=0,"",INDEX(激励事件明细!$P$2:$P$501,MATCH(T243,激励事件明细!$A$2:$A$501,0))),""))</f>
        <v/>
      </c>
      <c r="Q243" s="4" t="str">
        <f t="shared" si="21"/>
        <v>无效</v>
      </c>
      <c r="R243" s="4" t="str">
        <f t="shared" ca="1" si="22"/>
        <v>异常：必须关联有效事件编号或税额批次</v>
      </c>
      <c r="S243" s="9"/>
      <c r="T243" s="4" t="str">
        <f>IF(D243&lt;&gt;"",IF(COUNTIF(激励事件明细!$A$2:$A$501,D243)=1,D243,""),IF(E243&lt;&gt;"",IFERROR(INDEX(激励事件明细!$A$2:$A$501,MATCH(E243,激励事件明细!$B$2:$B$501,0)),""),""))</f>
        <v/>
      </c>
      <c r="U243" s="4" t="str">
        <f>IF(T243="","",IFERROR(INDEX(激励事件明细!$B$2:$B$501,MATCH(T243,激励事件明细!$A$2:$A$501,0)),""))</f>
        <v/>
      </c>
      <c r="V243" s="4" t="str">
        <f>IF(A243="","",COUNTIF($A$2:A243,A243))</f>
        <v/>
      </c>
      <c r="W243" s="4" t="str">
        <f t="shared" si="23"/>
        <v/>
      </c>
    </row>
    <row r="244" spans="1:23" x14ac:dyDescent="0.3">
      <c r="A244" s="4" t="str">
        <f>IF(T244="","",IFERROR(INDEX(激励事件明细!$C$2:$C$501,MATCH(T244,激励事件明细!$A$2:$A$501,0)),""))</f>
        <v/>
      </c>
      <c r="B244" s="4" t="str">
        <f>IF(A244="","",IFERROR(INDEX(激励事件明细!$D$2:$D$501,MATCH(T244,激励事件明细!$A$2:$A$501,0)),""))</f>
        <v/>
      </c>
      <c r="C244" s="4" t="str">
        <f>IF(A244="","",IFERROR(INDEX(激励事件明细!$H$2:$H$501,MATCH(T244,激励事件明细!$A$2:$A$501,0)),""))</f>
        <v/>
      </c>
      <c r="D244" s="9"/>
      <c r="E244" s="9"/>
      <c r="F244" s="15" t="str">
        <f>IF(A244="","",IFERROR(INDEX(激励事件明细!$AA$2:$AA$501,MATCH(T244,激励事件明细!$A$2:$A$501,0)),""))</f>
        <v/>
      </c>
      <c r="G244" s="17" t="str">
        <f>IF(A244="","",IFERROR(INDEX(激励事件明细!$AB$2:$AB$501,MATCH(T244,激励事件明细!$A$2:$A$501,0)),""))</f>
        <v/>
      </c>
      <c r="H244" s="17" t="str">
        <f>IF(A244="","",IFERROR(INDEX(激励事件明细!$AC$2:$AC$501,MATCH(T244,激励事件明细!$A$2:$A$501,0)),""))</f>
        <v/>
      </c>
      <c r="I244" s="13"/>
      <c r="J244" s="14"/>
      <c r="K244" s="14"/>
      <c r="L244" s="9"/>
      <c r="M244" s="15" t="str">
        <f t="shared" si="18"/>
        <v/>
      </c>
      <c r="N244" s="15" t="str">
        <f t="shared" si="19"/>
        <v/>
      </c>
      <c r="O244" s="4" t="str">
        <f t="shared" ca="1" si="20"/>
        <v/>
      </c>
      <c r="P244" s="17" t="str">
        <f>IF(A244="","",IFERROR(IF(INDEX(激励事件明细!$P$2:$P$501,MATCH(T244,激励事件明细!$A$2:$A$501,0))=0,"",INDEX(激励事件明细!$P$2:$P$501,MATCH(T244,激励事件明细!$A$2:$A$501,0))),""))</f>
        <v/>
      </c>
      <c r="Q244" s="4" t="str">
        <f t="shared" si="21"/>
        <v>无效</v>
      </c>
      <c r="R244" s="4" t="str">
        <f t="shared" ca="1" si="22"/>
        <v>异常：必须关联有效事件编号或税额批次</v>
      </c>
      <c r="S244" s="9"/>
      <c r="T244" s="4" t="str">
        <f>IF(D244&lt;&gt;"",IF(COUNTIF(激励事件明细!$A$2:$A$501,D244)=1,D244,""),IF(E244&lt;&gt;"",IFERROR(INDEX(激励事件明细!$A$2:$A$501,MATCH(E244,激励事件明细!$B$2:$B$501,0)),""),""))</f>
        <v/>
      </c>
      <c r="U244" s="4" t="str">
        <f>IF(T244="","",IFERROR(INDEX(激励事件明细!$B$2:$B$501,MATCH(T244,激励事件明细!$A$2:$A$501,0)),""))</f>
        <v/>
      </c>
      <c r="V244" s="4" t="str">
        <f>IF(A244="","",COUNTIF($A$2:A244,A244))</f>
        <v/>
      </c>
      <c r="W244" s="4" t="str">
        <f t="shared" si="23"/>
        <v/>
      </c>
    </row>
    <row r="245" spans="1:23" x14ac:dyDescent="0.3">
      <c r="A245" s="4" t="str">
        <f>IF(T245="","",IFERROR(INDEX(激励事件明细!$C$2:$C$501,MATCH(T245,激励事件明细!$A$2:$A$501,0)),""))</f>
        <v/>
      </c>
      <c r="B245" s="4" t="str">
        <f>IF(A245="","",IFERROR(INDEX(激励事件明细!$D$2:$D$501,MATCH(T245,激励事件明细!$A$2:$A$501,0)),""))</f>
        <v/>
      </c>
      <c r="C245" s="4" t="str">
        <f>IF(A245="","",IFERROR(INDEX(激励事件明细!$H$2:$H$501,MATCH(T245,激励事件明细!$A$2:$A$501,0)),""))</f>
        <v/>
      </c>
      <c r="D245" s="9"/>
      <c r="E245" s="9"/>
      <c r="F245" s="15" t="str">
        <f>IF(A245="","",IFERROR(INDEX(激励事件明细!$AA$2:$AA$501,MATCH(T245,激励事件明细!$A$2:$A$501,0)),""))</f>
        <v/>
      </c>
      <c r="G245" s="17" t="str">
        <f>IF(A245="","",IFERROR(INDEX(激励事件明细!$AB$2:$AB$501,MATCH(T245,激励事件明细!$A$2:$A$501,0)),""))</f>
        <v/>
      </c>
      <c r="H245" s="17" t="str">
        <f>IF(A245="","",IFERROR(INDEX(激励事件明细!$AC$2:$AC$501,MATCH(T245,激励事件明细!$A$2:$A$501,0)),""))</f>
        <v/>
      </c>
      <c r="I245" s="13"/>
      <c r="J245" s="14"/>
      <c r="K245" s="14"/>
      <c r="L245" s="9"/>
      <c r="M245" s="15" t="str">
        <f t="shared" si="18"/>
        <v/>
      </c>
      <c r="N245" s="15" t="str">
        <f t="shared" si="19"/>
        <v/>
      </c>
      <c r="O245" s="4" t="str">
        <f t="shared" ca="1" si="20"/>
        <v/>
      </c>
      <c r="P245" s="17" t="str">
        <f>IF(A245="","",IFERROR(IF(INDEX(激励事件明细!$P$2:$P$501,MATCH(T245,激励事件明细!$A$2:$A$501,0))=0,"",INDEX(激励事件明细!$P$2:$P$501,MATCH(T245,激励事件明细!$A$2:$A$501,0))),""))</f>
        <v/>
      </c>
      <c r="Q245" s="4" t="str">
        <f t="shared" si="21"/>
        <v>无效</v>
      </c>
      <c r="R245" s="4" t="str">
        <f t="shared" ca="1" si="22"/>
        <v>异常：必须关联有效事件编号或税额批次</v>
      </c>
      <c r="S245" s="9"/>
      <c r="T245" s="4" t="str">
        <f>IF(D245&lt;&gt;"",IF(COUNTIF(激励事件明细!$A$2:$A$501,D245)=1,D245,""),IF(E245&lt;&gt;"",IFERROR(INDEX(激励事件明细!$A$2:$A$501,MATCH(E245,激励事件明细!$B$2:$B$501,0)),""),""))</f>
        <v/>
      </c>
      <c r="U245" s="4" t="str">
        <f>IF(T245="","",IFERROR(INDEX(激励事件明细!$B$2:$B$501,MATCH(T245,激励事件明细!$A$2:$A$501,0)),""))</f>
        <v/>
      </c>
      <c r="V245" s="4" t="str">
        <f>IF(A245="","",COUNTIF($A$2:A245,A245))</f>
        <v/>
      </c>
      <c r="W245" s="4" t="str">
        <f t="shared" si="23"/>
        <v/>
      </c>
    </row>
    <row r="246" spans="1:23" x14ac:dyDescent="0.3">
      <c r="A246" s="4" t="str">
        <f>IF(T246="","",IFERROR(INDEX(激励事件明细!$C$2:$C$501,MATCH(T246,激励事件明细!$A$2:$A$501,0)),""))</f>
        <v/>
      </c>
      <c r="B246" s="4" t="str">
        <f>IF(A246="","",IFERROR(INDEX(激励事件明细!$D$2:$D$501,MATCH(T246,激励事件明细!$A$2:$A$501,0)),""))</f>
        <v/>
      </c>
      <c r="C246" s="4" t="str">
        <f>IF(A246="","",IFERROR(INDEX(激励事件明细!$H$2:$H$501,MATCH(T246,激励事件明细!$A$2:$A$501,0)),""))</f>
        <v/>
      </c>
      <c r="D246" s="9"/>
      <c r="E246" s="9"/>
      <c r="F246" s="15" t="str">
        <f>IF(A246="","",IFERROR(INDEX(激励事件明细!$AA$2:$AA$501,MATCH(T246,激励事件明细!$A$2:$A$501,0)),""))</f>
        <v/>
      </c>
      <c r="G246" s="17" t="str">
        <f>IF(A246="","",IFERROR(INDEX(激励事件明细!$AB$2:$AB$501,MATCH(T246,激励事件明细!$A$2:$A$501,0)),""))</f>
        <v/>
      </c>
      <c r="H246" s="17" t="str">
        <f>IF(A246="","",IFERROR(INDEX(激励事件明细!$AC$2:$AC$501,MATCH(T246,激励事件明细!$A$2:$A$501,0)),""))</f>
        <v/>
      </c>
      <c r="I246" s="13"/>
      <c r="J246" s="14"/>
      <c r="K246" s="14"/>
      <c r="L246" s="9"/>
      <c r="M246" s="15" t="str">
        <f t="shared" si="18"/>
        <v/>
      </c>
      <c r="N246" s="15" t="str">
        <f t="shared" si="19"/>
        <v/>
      </c>
      <c r="O246" s="4" t="str">
        <f t="shared" ca="1" si="20"/>
        <v/>
      </c>
      <c r="P246" s="17" t="str">
        <f>IF(A246="","",IFERROR(IF(INDEX(激励事件明细!$P$2:$P$501,MATCH(T246,激励事件明细!$A$2:$A$501,0))=0,"",INDEX(激励事件明细!$P$2:$P$501,MATCH(T246,激励事件明细!$A$2:$A$501,0))),""))</f>
        <v/>
      </c>
      <c r="Q246" s="4" t="str">
        <f t="shared" si="21"/>
        <v>无效</v>
      </c>
      <c r="R246" s="4" t="str">
        <f t="shared" ca="1" si="22"/>
        <v>异常：必须关联有效事件编号或税额批次</v>
      </c>
      <c r="S246" s="9"/>
      <c r="T246" s="4" t="str">
        <f>IF(D246&lt;&gt;"",IF(COUNTIF(激励事件明细!$A$2:$A$501,D246)=1,D246,""),IF(E246&lt;&gt;"",IFERROR(INDEX(激励事件明细!$A$2:$A$501,MATCH(E246,激励事件明细!$B$2:$B$501,0)),""),""))</f>
        <v/>
      </c>
      <c r="U246" s="4" t="str">
        <f>IF(T246="","",IFERROR(INDEX(激励事件明细!$B$2:$B$501,MATCH(T246,激励事件明细!$A$2:$A$501,0)),""))</f>
        <v/>
      </c>
      <c r="V246" s="4" t="str">
        <f>IF(A246="","",COUNTIF($A$2:A246,A246))</f>
        <v/>
      </c>
      <c r="W246" s="4" t="str">
        <f t="shared" si="23"/>
        <v/>
      </c>
    </row>
    <row r="247" spans="1:23" x14ac:dyDescent="0.3">
      <c r="A247" s="4" t="str">
        <f>IF(T247="","",IFERROR(INDEX(激励事件明细!$C$2:$C$501,MATCH(T247,激励事件明细!$A$2:$A$501,0)),""))</f>
        <v/>
      </c>
      <c r="B247" s="4" t="str">
        <f>IF(A247="","",IFERROR(INDEX(激励事件明细!$D$2:$D$501,MATCH(T247,激励事件明细!$A$2:$A$501,0)),""))</f>
        <v/>
      </c>
      <c r="C247" s="4" t="str">
        <f>IF(A247="","",IFERROR(INDEX(激励事件明细!$H$2:$H$501,MATCH(T247,激励事件明细!$A$2:$A$501,0)),""))</f>
        <v/>
      </c>
      <c r="D247" s="9"/>
      <c r="E247" s="9"/>
      <c r="F247" s="15" t="str">
        <f>IF(A247="","",IFERROR(INDEX(激励事件明细!$AA$2:$AA$501,MATCH(T247,激励事件明细!$A$2:$A$501,0)),""))</f>
        <v/>
      </c>
      <c r="G247" s="17" t="str">
        <f>IF(A247="","",IFERROR(INDEX(激励事件明细!$AB$2:$AB$501,MATCH(T247,激励事件明细!$A$2:$A$501,0)),""))</f>
        <v/>
      </c>
      <c r="H247" s="17" t="str">
        <f>IF(A247="","",IFERROR(INDEX(激励事件明细!$AC$2:$AC$501,MATCH(T247,激励事件明细!$A$2:$A$501,0)),""))</f>
        <v/>
      </c>
      <c r="I247" s="13"/>
      <c r="J247" s="14"/>
      <c r="K247" s="14"/>
      <c r="L247" s="9"/>
      <c r="M247" s="15" t="str">
        <f t="shared" si="18"/>
        <v/>
      </c>
      <c r="N247" s="15" t="str">
        <f t="shared" si="19"/>
        <v/>
      </c>
      <c r="O247" s="4" t="str">
        <f t="shared" ca="1" si="20"/>
        <v/>
      </c>
      <c r="P247" s="17" t="str">
        <f>IF(A247="","",IFERROR(IF(INDEX(激励事件明细!$P$2:$P$501,MATCH(T247,激励事件明细!$A$2:$A$501,0))=0,"",INDEX(激励事件明细!$P$2:$P$501,MATCH(T247,激励事件明细!$A$2:$A$501,0))),""))</f>
        <v/>
      </c>
      <c r="Q247" s="4" t="str">
        <f t="shared" si="21"/>
        <v>无效</v>
      </c>
      <c r="R247" s="4" t="str">
        <f t="shared" ca="1" si="22"/>
        <v>异常：必须关联有效事件编号或税额批次</v>
      </c>
      <c r="S247" s="9"/>
      <c r="T247" s="4" t="str">
        <f>IF(D247&lt;&gt;"",IF(COUNTIF(激励事件明细!$A$2:$A$501,D247)=1,D247,""),IF(E247&lt;&gt;"",IFERROR(INDEX(激励事件明细!$A$2:$A$501,MATCH(E247,激励事件明细!$B$2:$B$501,0)),""),""))</f>
        <v/>
      </c>
      <c r="U247" s="4" t="str">
        <f>IF(T247="","",IFERROR(INDEX(激励事件明细!$B$2:$B$501,MATCH(T247,激励事件明细!$A$2:$A$501,0)),""))</f>
        <v/>
      </c>
      <c r="V247" s="4" t="str">
        <f>IF(A247="","",COUNTIF($A$2:A247,A247))</f>
        <v/>
      </c>
      <c r="W247" s="4" t="str">
        <f t="shared" si="23"/>
        <v/>
      </c>
    </row>
    <row r="248" spans="1:23" x14ac:dyDescent="0.3">
      <c r="A248" s="4" t="str">
        <f>IF(T248="","",IFERROR(INDEX(激励事件明细!$C$2:$C$501,MATCH(T248,激励事件明细!$A$2:$A$501,0)),""))</f>
        <v/>
      </c>
      <c r="B248" s="4" t="str">
        <f>IF(A248="","",IFERROR(INDEX(激励事件明细!$D$2:$D$501,MATCH(T248,激励事件明细!$A$2:$A$501,0)),""))</f>
        <v/>
      </c>
      <c r="C248" s="4" t="str">
        <f>IF(A248="","",IFERROR(INDEX(激励事件明细!$H$2:$H$501,MATCH(T248,激励事件明细!$A$2:$A$501,0)),""))</f>
        <v/>
      </c>
      <c r="D248" s="9"/>
      <c r="E248" s="9"/>
      <c r="F248" s="15" t="str">
        <f>IF(A248="","",IFERROR(INDEX(激励事件明细!$AA$2:$AA$501,MATCH(T248,激励事件明细!$A$2:$A$501,0)),""))</f>
        <v/>
      </c>
      <c r="G248" s="17" t="str">
        <f>IF(A248="","",IFERROR(INDEX(激励事件明细!$AB$2:$AB$501,MATCH(T248,激励事件明细!$A$2:$A$501,0)),""))</f>
        <v/>
      </c>
      <c r="H248" s="17" t="str">
        <f>IF(A248="","",IFERROR(INDEX(激励事件明细!$AC$2:$AC$501,MATCH(T248,激励事件明细!$A$2:$A$501,0)),""))</f>
        <v/>
      </c>
      <c r="I248" s="13"/>
      <c r="J248" s="14"/>
      <c r="K248" s="14"/>
      <c r="L248" s="9"/>
      <c r="M248" s="15" t="str">
        <f t="shared" si="18"/>
        <v/>
      </c>
      <c r="N248" s="15" t="str">
        <f t="shared" si="19"/>
        <v/>
      </c>
      <c r="O248" s="4" t="str">
        <f t="shared" ca="1" si="20"/>
        <v/>
      </c>
      <c r="P248" s="17" t="str">
        <f>IF(A248="","",IFERROR(IF(INDEX(激励事件明细!$P$2:$P$501,MATCH(T248,激励事件明细!$A$2:$A$501,0))=0,"",INDEX(激励事件明细!$P$2:$P$501,MATCH(T248,激励事件明细!$A$2:$A$501,0))),""))</f>
        <v/>
      </c>
      <c r="Q248" s="4" t="str">
        <f t="shared" si="21"/>
        <v>无效</v>
      </c>
      <c r="R248" s="4" t="str">
        <f t="shared" ca="1" si="22"/>
        <v>异常：必须关联有效事件编号或税额批次</v>
      </c>
      <c r="S248" s="9"/>
      <c r="T248" s="4" t="str">
        <f>IF(D248&lt;&gt;"",IF(COUNTIF(激励事件明细!$A$2:$A$501,D248)=1,D248,""),IF(E248&lt;&gt;"",IFERROR(INDEX(激励事件明细!$A$2:$A$501,MATCH(E248,激励事件明细!$B$2:$B$501,0)),""),""))</f>
        <v/>
      </c>
      <c r="U248" s="4" t="str">
        <f>IF(T248="","",IFERROR(INDEX(激励事件明细!$B$2:$B$501,MATCH(T248,激励事件明细!$A$2:$A$501,0)),""))</f>
        <v/>
      </c>
      <c r="V248" s="4" t="str">
        <f>IF(A248="","",COUNTIF($A$2:A248,A248))</f>
        <v/>
      </c>
      <c r="W248" s="4" t="str">
        <f t="shared" si="23"/>
        <v/>
      </c>
    </row>
    <row r="249" spans="1:23" x14ac:dyDescent="0.3">
      <c r="A249" s="4" t="str">
        <f>IF(T249="","",IFERROR(INDEX(激励事件明细!$C$2:$C$501,MATCH(T249,激励事件明细!$A$2:$A$501,0)),""))</f>
        <v/>
      </c>
      <c r="B249" s="4" t="str">
        <f>IF(A249="","",IFERROR(INDEX(激励事件明细!$D$2:$D$501,MATCH(T249,激励事件明细!$A$2:$A$501,0)),""))</f>
        <v/>
      </c>
      <c r="C249" s="4" t="str">
        <f>IF(A249="","",IFERROR(INDEX(激励事件明细!$H$2:$H$501,MATCH(T249,激励事件明细!$A$2:$A$501,0)),""))</f>
        <v/>
      </c>
      <c r="D249" s="9"/>
      <c r="E249" s="9"/>
      <c r="F249" s="15" t="str">
        <f>IF(A249="","",IFERROR(INDEX(激励事件明细!$AA$2:$AA$501,MATCH(T249,激励事件明细!$A$2:$A$501,0)),""))</f>
        <v/>
      </c>
      <c r="G249" s="17" t="str">
        <f>IF(A249="","",IFERROR(INDEX(激励事件明细!$AB$2:$AB$501,MATCH(T249,激励事件明细!$A$2:$A$501,0)),""))</f>
        <v/>
      </c>
      <c r="H249" s="17" t="str">
        <f>IF(A249="","",IFERROR(INDEX(激励事件明细!$AC$2:$AC$501,MATCH(T249,激励事件明细!$A$2:$A$501,0)),""))</f>
        <v/>
      </c>
      <c r="I249" s="13"/>
      <c r="J249" s="14"/>
      <c r="K249" s="14"/>
      <c r="L249" s="9"/>
      <c r="M249" s="15" t="str">
        <f t="shared" si="18"/>
        <v/>
      </c>
      <c r="N249" s="15" t="str">
        <f t="shared" si="19"/>
        <v/>
      </c>
      <c r="O249" s="4" t="str">
        <f t="shared" ca="1" si="20"/>
        <v/>
      </c>
      <c r="P249" s="17" t="str">
        <f>IF(A249="","",IFERROR(IF(INDEX(激励事件明细!$P$2:$P$501,MATCH(T249,激励事件明细!$A$2:$A$501,0))=0,"",INDEX(激励事件明细!$P$2:$P$501,MATCH(T249,激励事件明细!$A$2:$A$501,0))),""))</f>
        <v/>
      </c>
      <c r="Q249" s="4" t="str">
        <f t="shared" si="21"/>
        <v>无效</v>
      </c>
      <c r="R249" s="4" t="str">
        <f t="shared" ca="1" si="22"/>
        <v>异常：必须关联有效事件编号或税额批次</v>
      </c>
      <c r="S249" s="9"/>
      <c r="T249" s="4" t="str">
        <f>IF(D249&lt;&gt;"",IF(COUNTIF(激励事件明细!$A$2:$A$501,D249)=1,D249,""),IF(E249&lt;&gt;"",IFERROR(INDEX(激励事件明细!$A$2:$A$501,MATCH(E249,激励事件明细!$B$2:$B$501,0)),""),""))</f>
        <v/>
      </c>
      <c r="U249" s="4" t="str">
        <f>IF(T249="","",IFERROR(INDEX(激励事件明细!$B$2:$B$501,MATCH(T249,激励事件明细!$A$2:$A$501,0)),""))</f>
        <v/>
      </c>
      <c r="V249" s="4" t="str">
        <f>IF(A249="","",COUNTIF($A$2:A249,A249))</f>
        <v/>
      </c>
      <c r="W249" s="4" t="str">
        <f t="shared" si="23"/>
        <v/>
      </c>
    </row>
    <row r="250" spans="1:23" x14ac:dyDescent="0.3">
      <c r="A250" s="4" t="str">
        <f>IF(T250="","",IFERROR(INDEX(激励事件明细!$C$2:$C$501,MATCH(T250,激励事件明细!$A$2:$A$501,0)),""))</f>
        <v/>
      </c>
      <c r="B250" s="4" t="str">
        <f>IF(A250="","",IFERROR(INDEX(激励事件明细!$D$2:$D$501,MATCH(T250,激励事件明细!$A$2:$A$501,0)),""))</f>
        <v/>
      </c>
      <c r="C250" s="4" t="str">
        <f>IF(A250="","",IFERROR(INDEX(激励事件明细!$H$2:$H$501,MATCH(T250,激励事件明细!$A$2:$A$501,0)),""))</f>
        <v/>
      </c>
      <c r="D250" s="9"/>
      <c r="E250" s="9"/>
      <c r="F250" s="15" t="str">
        <f>IF(A250="","",IFERROR(INDEX(激励事件明细!$AA$2:$AA$501,MATCH(T250,激励事件明细!$A$2:$A$501,0)),""))</f>
        <v/>
      </c>
      <c r="G250" s="17" t="str">
        <f>IF(A250="","",IFERROR(INDEX(激励事件明细!$AB$2:$AB$501,MATCH(T250,激励事件明细!$A$2:$A$501,0)),""))</f>
        <v/>
      </c>
      <c r="H250" s="17" t="str">
        <f>IF(A250="","",IFERROR(INDEX(激励事件明细!$AC$2:$AC$501,MATCH(T250,激励事件明细!$A$2:$A$501,0)),""))</f>
        <v/>
      </c>
      <c r="I250" s="13"/>
      <c r="J250" s="14"/>
      <c r="K250" s="14"/>
      <c r="L250" s="9"/>
      <c r="M250" s="15" t="str">
        <f t="shared" si="18"/>
        <v/>
      </c>
      <c r="N250" s="15" t="str">
        <f t="shared" si="19"/>
        <v/>
      </c>
      <c r="O250" s="4" t="str">
        <f t="shared" ca="1" si="20"/>
        <v/>
      </c>
      <c r="P250" s="17" t="str">
        <f>IF(A250="","",IFERROR(IF(INDEX(激励事件明细!$P$2:$P$501,MATCH(T250,激励事件明细!$A$2:$A$501,0))=0,"",INDEX(激励事件明细!$P$2:$P$501,MATCH(T250,激励事件明细!$A$2:$A$501,0))),""))</f>
        <v/>
      </c>
      <c r="Q250" s="4" t="str">
        <f t="shared" si="21"/>
        <v>无效</v>
      </c>
      <c r="R250" s="4" t="str">
        <f t="shared" ca="1" si="22"/>
        <v>异常：必须关联有效事件编号或税额批次</v>
      </c>
      <c r="S250" s="9"/>
      <c r="T250" s="4" t="str">
        <f>IF(D250&lt;&gt;"",IF(COUNTIF(激励事件明细!$A$2:$A$501,D250)=1,D250,""),IF(E250&lt;&gt;"",IFERROR(INDEX(激励事件明细!$A$2:$A$501,MATCH(E250,激励事件明细!$B$2:$B$501,0)),""),""))</f>
        <v/>
      </c>
      <c r="U250" s="4" t="str">
        <f>IF(T250="","",IFERROR(INDEX(激励事件明细!$B$2:$B$501,MATCH(T250,激励事件明细!$A$2:$A$501,0)),""))</f>
        <v/>
      </c>
      <c r="V250" s="4" t="str">
        <f>IF(A250="","",COUNTIF($A$2:A250,A250))</f>
        <v/>
      </c>
      <c r="W250" s="4" t="str">
        <f t="shared" si="23"/>
        <v/>
      </c>
    </row>
    <row r="251" spans="1:23" x14ac:dyDescent="0.3">
      <c r="A251" s="4" t="str">
        <f>IF(T251="","",IFERROR(INDEX(激励事件明细!$C$2:$C$501,MATCH(T251,激励事件明细!$A$2:$A$501,0)),""))</f>
        <v/>
      </c>
      <c r="B251" s="4" t="str">
        <f>IF(A251="","",IFERROR(INDEX(激励事件明细!$D$2:$D$501,MATCH(T251,激励事件明细!$A$2:$A$501,0)),""))</f>
        <v/>
      </c>
      <c r="C251" s="4" t="str">
        <f>IF(A251="","",IFERROR(INDEX(激励事件明细!$H$2:$H$501,MATCH(T251,激励事件明细!$A$2:$A$501,0)),""))</f>
        <v/>
      </c>
      <c r="D251" s="9"/>
      <c r="E251" s="9"/>
      <c r="F251" s="15" t="str">
        <f>IF(A251="","",IFERROR(INDEX(激励事件明细!$AA$2:$AA$501,MATCH(T251,激励事件明细!$A$2:$A$501,0)),""))</f>
        <v/>
      </c>
      <c r="G251" s="17" t="str">
        <f>IF(A251="","",IFERROR(INDEX(激励事件明细!$AB$2:$AB$501,MATCH(T251,激励事件明细!$A$2:$A$501,0)),""))</f>
        <v/>
      </c>
      <c r="H251" s="17" t="str">
        <f>IF(A251="","",IFERROR(INDEX(激励事件明细!$AC$2:$AC$501,MATCH(T251,激励事件明细!$A$2:$A$501,0)),""))</f>
        <v/>
      </c>
      <c r="I251" s="13"/>
      <c r="J251" s="14"/>
      <c r="K251" s="14"/>
      <c r="L251" s="9"/>
      <c r="M251" s="15" t="str">
        <f t="shared" si="18"/>
        <v/>
      </c>
      <c r="N251" s="15" t="str">
        <f t="shared" si="19"/>
        <v/>
      </c>
      <c r="O251" s="4" t="str">
        <f t="shared" ca="1" si="20"/>
        <v/>
      </c>
      <c r="P251" s="17" t="str">
        <f>IF(A251="","",IFERROR(IF(INDEX(激励事件明细!$P$2:$P$501,MATCH(T251,激励事件明细!$A$2:$A$501,0))=0,"",INDEX(激励事件明细!$P$2:$P$501,MATCH(T251,激励事件明细!$A$2:$A$501,0))),""))</f>
        <v/>
      </c>
      <c r="Q251" s="4" t="str">
        <f t="shared" si="21"/>
        <v>无效</v>
      </c>
      <c r="R251" s="4" t="str">
        <f t="shared" ca="1" si="22"/>
        <v>异常：必须关联有效事件编号或税额批次</v>
      </c>
      <c r="S251" s="9"/>
      <c r="T251" s="4" t="str">
        <f>IF(D251&lt;&gt;"",IF(COUNTIF(激励事件明细!$A$2:$A$501,D251)=1,D251,""),IF(E251&lt;&gt;"",IFERROR(INDEX(激励事件明细!$A$2:$A$501,MATCH(E251,激励事件明细!$B$2:$B$501,0)),""),""))</f>
        <v/>
      </c>
      <c r="U251" s="4" t="str">
        <f>IF(T251="","",IFERROR(INDEX(激励事件明细!$B$2:$B$501,MATCH(T251,激励事件明细!$A$2:$A$501,0)),""))</f>
        <v/>
      </c>
      <c r="V251" s="4" t="str">
        <f>IF(A251="","",COUNTIF($A$2:A251,A251))</f>
        <v/>
      </c>
      <c r="W251" s="4" t="str">
        <f t="shared" si="23"/>
        <v/>
      </c>
    </row>
    <row r="252" spans="1:23" x14ac:dyDescent="0.3">
      <c r="A252" s="4" t="str">
        <f>IF(T252="","",IFERROR(INDEX(激励事件明细!$C$2:$C$501,MATCH(T252,激励事件明细!$A$2:$A$501,0)),""))</f>
        <v/>
      </c>
      <c r="B252" s="4" t="str">
        <f>IF(A252="","",IFERROR(INDEX(激励事件明细!$D$2:$D$501,MATCH(T252,激励事件明细!$A$2:$A$501,0)),""))</f>
        <v/>
      </c>
      <c r="C252" s="4" t="str">
        <f>IF(A252="","",IFERROR(INDEX(激励事件明细!$H$2:$H$501,MATCH(T252,激励事件明细!$A$2:$A$501,0)),""))</f>
        <v/>
      </c>
      <c r="D252" s="9"/>
      <c r="E252" s="9"/>
      <c r="F252" s="15" t="str">
        <f>IF(A252="","",IFERROR(INDEX(激励事件明细!$AA$2:$AA$501,MATCH(T252,激励事件明细!$A$2:$A$501,0)),""))</f>
        <v/>
      </c>
      <c r="G252" s="17" t="str">
        <f>IF(A252="","",IFERROR(INDEX(激励事件明细!$AB$2:$AB$501,MATCH(T252,激励事件明细!$A$2:$A$501,0)),""))</f>
        <v/>
      </c>
      <c r="H252" s="17" t="str">
        <f>IF(A252="","",IFERROR(INDEX(激励事件明细!$AC$2:$AC$501,MATCH(T252,激励事件明细!$A$2:$A$501,0)),""))</f>
        <v/>
      </c>
      <c r="I252" s="13"/>
      <c r="J252" s="14"/>
      <c r="K252" s="14"/>
      <c r="L252" s="9"/>
      <c r="M252" s="15" t="str">
        <f t="shared" si="18"/>
        <v/>
      </c>
      <c r="N252" s="15" t="str">
        <f t="shared" si="19"/>
        <v/>
      </c>
      <c r="O252" s="4" t="str">
        <f t="shared" ca="1" si="20"/>
        <v/>
      </c>
      <c r="P252" s="17" t="str">
        <f>IF(A252="","",IFERROR(IF(INDEX(激励事件明细!$P$2:$P$501,MATCH(T252,激励事件明细!$A$2:$A$501,0))=0,"",INDEX(激励事件明细!$P$2:$P$501,MATCH(T252,激励事件明细!$A$2:$A$501,0))),""))</f>
        <v/>
      </c>
      <c r="Q252" s="4" t="str">
        <f t="shared" si="21"/>
        <v>无效</v>
      </c>
      <c r="R252" s="4" t="str">
        <f t="shared" ca="1" si="22"/>
        <v>异常：必须关联有效事件编号或税额批次</v>
      </c>
      <c r="S252" s="9"/>
      <c r="T252" s="4" t="str">
        <f>IF(D252&lt;&gt;"",IF(COUNTIF(激励事件明细!$A$2:$A$501,D252)=1,D252,""),IF(E252&lt;&gt;"",IFERROR(INDEX(激励事件明细!$A$2:$A$501,MATCH(E252,激励事件明细!$B$2:$B$501,0)),""),""))</f>
        <v/>
      </c>
      <c r="U252" s="4" t="str">
        <f>IF(T252="","",IFERROR(INDEX(激励事件明细!$B$2:$B$501,MATCH(T252,激励事件明细!$A$2:$A$501,0)),""))</f>
        <v/>
      </c>
      <c r="V252" s="4" t="str">
        <f>IF(A252="","",COUNTIF($A$2:A252,A252))</f>
        <v/>
      </c>
      <c r="W252" s="4" t="str">
        <f t="shared" si="23"/>
        <v/>
      </c>
    </row>
    <row r="253" spans="1:23" x14ac:dyDescent="0.3">
      <c r="A253" s="4" t="str">
        <f>IF(T253="","",IFERROR(INDEX(激励事件明细!$C$2:$C$501,MATCH(T253,激励事件明细!$A$2:$A$501,0)),""))</f>
        <v/>
      </c>
      <c r="B253" s="4" t="str">
        <f>IF(A253="","",IFERROR(INDEX(激励事件明细!$D$2:$D$501,MATCH(T253,激励事件明细!$A$2:$A$501,0)),""))</f>
        <v/>
      </c>
      <c r="C253" s="4" t="str">
        <f>IF(A253="","",IFERROR(INDEX(激励事件明细!$H$2:$H$501,MATCH(T253,激励事件明细!$A$2:$A$501,0)),""))</f>
        <v/>
      </c>
      <c r="D253" s="9"/>
      <c r="E253" s="9"/>
      <c r="F253" s="15" t="str">
        <f>IF(A253="","",IFERROR(INDEX(激励事件明细!$AA$2:$AA$501,MATCH(T253,激励事件明细!$A$2:$A$501,0)),""))</f>
        <v/>
      </c>
      <c r="G253" s="17" t="str">
        <f>IF(A253="","",IFERROR(INDEX(激励事件明细!$AB$2:$AB$501,MATCH(T253,激励事件明细!$A$2:$A$501,0)),""))</f>
        <v/>
      </c>
      <c r="H253" s="17" t="str">
        <f>IF(A253="","",IFERROR(INDEX(激励事件明细!$AC$2:$AC$501,MATCH(T253,激励事件明细!$A$2:$A$501,0)),""))</f>
        <v/>
      </c>
      <c r="I253" s="13"/>
      <c r="J253" s="14"/>
      <c r="K253" s="14"/>
      <c r="L253" s="9"/>
      <c r="M253" s="15" t="str">
        <f t="shared" si="18"/>
        <v/>
      </c>
      <c r="N253" s="15" t="str">
        <f t="shared" si="19"/>
        <v/>
      </c>
      <c r="O253" s="4" t="str">
        <f t="shared" ca="1" si="20"/>
        <v/>
      </c>
      <c r="P253" s="17" t="str">
        <f>IF(A253="","",IFERROR(IF(INDEX(激励事件明细!$P$2:$P$501,MATCH(T253,激励事件明细!$A$2:$A$501,0))=0,"",INDEX(激励事件明细!$P$2:$P$501,MATCH(T253,激励事件明细!$A$2:$A$501,0))),""))</f>
        <v/>
      </c>
      <c r="Q253" s="4" t="str">
        <f t="shared" si="21"/>
        <v>无效</v>
      </c>
      <c r="R253" s="4" t="str">
        <f t="shared" ca="1" si="22"/>
        <v>异常：必须关联有效事件编号或税额批次</v>
      </c>
      <c r="S253" s="9"/>
      <c r="T253" s="4" t="str">
        <f>IF(D253&lt;&gt;"",IF(COUNTIF(激励事件明细!$A$2:$A$501,D253)=1,D253,""),IF(E253&lt;&gt;"",IFERROR(INDEX(激励事件明细!$A$2:$A$501,MATCH(E253,激励事件明细!$B$2:$B$501,0)),""),""))</f>
        <v/>
      </c>
      <c r="U253" s="4" t="str">
        <f>IF(T253="","",IFERROR(INDEX(激励事件明细!$B$2:$B$501,MATCH(T253,激励事件明细!$A$2:$A$501,0)),""))</f>
        <v/>
      </c>
      <c r="V253" s="4" t="str">
        <f>IF(A253="","",COUNTIF($A$2:A253,A253))</f>
        <v/>
      </c>
      <c r="W253" s="4" t="str">
        <f t="shared" si="23"/>
        <v/>
      </c>
    </row>
    <row r="254" spans="1:23" x14ac:dyDescent="0.3">
      <c r="A254" s="4" t="str">
        <f>IF(T254="","",IFERROR(INDEX(激励事件明细!$C$2:$C$501,MATCH(T254,激励事件明细!$A$2:$A$501,0)),""))</f>
        <v/>
      </c>
      <c r="B254" s="4" t="str">
        <f>IF(A254="","",IFERROR(INDEX(激励事件明细!$D$2:$D$501,MATCH(T254,激励事件明细!$A$2:$A$501,0)),""))</f>
        <v/>
      </c>
      <c r="C254" s="4" t="str">
        <f>IF(A254="","",IFERROR(INDEX(激励事件明细!$H$2:$H$501,MATCH(T254,激励事件明细!$A$2:$A$501,0)),""))</f>
        <v/>
      </c>
      <c r="D254" s="9"/>
      <c r="E254" s="9"/>
      <c r="F254" s="15" t="str">
        <f>IF(A254="","",IFERROR(INDEX(激励事件明细!$AA$2:$AA$501,MATCH(T254,激励事件明细!$A$2:$A$501,0)),""))</f>
        <v/>
      </c>
      <c r="G254" s="17" t="str">
        <f>IF(A254="","",IFERROR(INDEX(激励事件明细!$AB$2:$AB$501,MATCH(T254,激励事件明细!$A$2:$A$501,0)),""))</f>
        <v/>
      </c>
      <c r="H254" s="17" t="str">
        <f>IF(A254="","",IFERROR(INDEX(激励事件明细!$AC$2:$AC$501,MATCH(T254,激励事件明细!$A$2:$A$501,0)),""))</f>
        <v/>
      </c>
      <c r="I254" s="13"/>
      <c r="J254" s="14"/>
      <c r="K254" s="14"/>
      <c r="L254" s="9"/>
      <c r="M254" s="15" t="str">
        <f t="shared" si="18"/>
        <v/>
      </c>
      <c r="N254" s="15" t="str">
        <f t="shared" si="19"/>
        <v/>
      </c>
      <c r="O254" s="4" t="str">
        <f t="shared" ca="1" si="20"/>
        <v/>
      </c>
      <c r="P254" s="17" t="str">
        <f>IF(A254="","",IFERROR(IF(INDEX(激励事件明细!$P$2:$P$501,MATCH(T254,激励事件明细!$A$2:$A$501,0))=0,"",INDEX(激励事件明细!$P$2:$P$501,MATCH(T254,激励事件明细!$A$2:$A$501,0))),""))</f>
        <v/>
      </c>
      <c r="Q254" s="4" t="str">
        <f t="shared" si="21"/>
        <v>无效</v>
      </c>
      <c r="R254" s="4" t="str">
        <f t="shared" ca="1" si="22"/>
        <v>异常：必须关联有效事件编号或税额批次</v>
      </c>
      <c r="S254" s="9"/>
      <c r="T254" s="4" t="str">
        <f>IF(D254&lt;&gt;"",IF(COUNTIF(激励事件明细!$A$2:$A$501,D254)=1,D254,""),IF(E254&lt;&gt;"",IFERROR(INDEX(激励事件明细!$A$2:$A$501,MATCH(E254,激励事件明细!$B$2:$B$501,0)),""),""))</f>
        <v/>
      </c>
      <c r="U254" s="4" t="str">
        <f>IF(T254="","",IFERROR(INDEX(激励事件明细!$B$2:$B$501,MATCH(T254,激励事件明细!$A$2:$A$501,0)),""))</f>
        <v/>
      </c>
      <c r="V254" s="4" t="str">
        <f>IF(A254="","",COUNTIF($A$2:A254,A254))</f>
        <v/>
      </c>
      <c r="W254" s="4" t="str">
        <f t="shared" si="23"/>
        <v/>
      </c>
    </row>
    <row r="255" spans="1:23" x14ac:dyDescent="0.3">
      <c r="A255" s="4" t="str">
        <f>IF(T255="","",IFERROR(INDEX(激励事件明细!$C$2:$C$501,MATCH(T255,激励事件明细!$A$2:$A$501,0)),""))</f>
        <v/>
      </c>
      <c r="B255" s="4" t="str">
        <f>IF(A255="","",IFERROR(INDEX(激励事件明细!$D$2:$D$501,MATCH(T255,激励事件明细!$A$2:$A$501,0)),""))</f>
        <v/>
      </c>
      <c r="C255" s="4" t="str">
        <f>IF(A255="","",IFERROR(INDEX(激励事件明细!$H$2:$H$501,MATCH(T255,激励事件明细!$A$2:$A$501,0)),""))</f>
        <v/>
      </c>
      <c r="D255" s="9"/>
      <c r="E255" s="9"/>
      <c r="F255" s="15" t="str">
        <f>IF(A255="","",IFERROR(INDEX(激励事件明细!$AA$2:$AA$501,MATCH(T255,激励事件明细!$A$2:$A$501,0)),""))</f>
        <v/>
      </c>
      <c r="G255" s="17" t="str">
        <f>IF(A255="","",IFERROR(INDEX(激励事件明细!$AB$2:$AB$501,MATCH(T255,激励事件明细!$A$2:$A$501,0)),""))</f>
        <v/>
      </c>
      <c r="H255" s="17" t="str">
        <f>IF(A255="","",IFERROR(INDEX(激励事件明细!$AC$2:$AC$501,MATCH(T255,激励事件明细!$A$2:$A$501,0)),""))</f>
        <v/>
      </c>
      <c r="I255" s="13"/>
      <c r="J255" s="14"/>
      <c r="K255" s="14"/>
      <c r="L255" s="9"/>
      <c r="M255" s="15" t="str">
        <f t="shared" si="18"/>
        <v/>
      </c>
      <c r="N255" s="15" t="str">
        <f t="shared" si="19"/>
        <v/>
      </c>
      <c r="O255" s="4" t="str">
        <f t="shared" ca="1" si="20"/>
        <v/>
      </c>
      <c r="P255" s="17" t="str">
        <f>IF(A255="","",IFERROR(IF(INDEX(激励事件明细!$P$2:$P$501,MATCH(T255,激励事件明细!$A$2:$A$501,0))=0,"",INDEX(激励事件明细!$P$2:$P$501,MATCH(T255,激励事件明细!$A$2:$A$501,0))),""))</f>
        <v/>
      </c>
      <c r="Q255" s="4" t="str">
        <f t="shared" si="21"/>
        <v>无效</v>
      </c>
      <c r="R255" s="4" t="str">
        <f t="shared" ca="1" si="22"/>
        <v>异常：必须关联有效事件编号或税额批次</v>
      </c>
      <c r="S255" s="9"/>
      <c r="T255" s="4" t="str">
        <f>IF(D255&lt;&gt;"",IF(COUNTIF(激励事件明细!$A$2:$A$501,D255)=1,D255,""),IF(E255&lt;&gt;"",IFERROR(INDEX(激励事件明细!$A$2:$A$501,MATCH(E255,激励事件明细!$B$2:$B$501,0)),""),""))</f>
        <v/>
      </c>
      <c r="U255" s="4" t="str">
        <f>IF(T255="","",IFERROR(INDEX(激励事件明细!$B$2:$B$501,MATCH(T255,激励事件明细!$A$2:$A$501,0)),""))</f>
        <v/>
      </c>
      <c r="V255" s="4" t="str">
        <f>IF(A255="","",COUNTIF($A$2:A255,A255))</f>
        <v/>
      </c>
      <c r="W255" s="4" t="str">
        <f t="shared" si="23"/>
        <v/>
      </c>
    </row>
    <row r="256" spans="1:23" x14ac:dyDescent="0.3">
      <c r="A256" s="4" t="str">
        <f>IF(T256="","",IFERROR(INDEX(激励事件明细!$C$2:$C$501,MATCH(T256,激励事件明细!$A$2:$A$501,0)),""))</f>
        <v/>
      </c>
      <c r="B256" s="4" t="str">
        <f>IF(A256="","",IFERROR(INDEX(激励事件明细!$D$2:$D$501,MATCH(T256,激励事件明细!$A$2:$A$501,0)),""))</f>
        <v/>
      </c>
      <c r="C256" s="4" t="str">
        <f>IF(A256="","",IFERROR(INDEX(激励事件明细!$H$2:$H$501,MATCH(T256,激励事件明细!$A$2:$A$501,0)),""))</f>
        <v/>
      </c>
      <c r="D256" s="9"/>
      <c r="E256" s="9"/>
      <c r="F256" s="15" t="str">
        <f>IF(A256="","",IFERROR(INDEX(激励事件明细!$AA$2:$AA$501,MATCH(T256,激励事件明细!$A$2:$A$501,0)),""))</f>
        <v/>
      </c>
      <c r="G256" s="17" t="str">
        <f>IF(A256="","",IFERROR(INDEX(激励事件明细!$AB$2:$AB$501,MATCH(T256,激励事件明细!$A$2:$A$501,0)),""))</f>
        <v/>
      </c>
      <c r="H256" s="17" t="str">
        <f>IF(A256="","",IFERROR(INDEX(激励事件明细!$AC$2:$AC$501,MATCH(T256,激励事件明细!$A$2:$A$501,0)),""))</f>
        <v/>
      </c>
      <c r="I256" s="13"/>
      <c r="J256" s="14"/>
      <c r="K256" s="14"/>
      <c r="L256" s="9"/>
      <c r="M256" s="15" t="str">
        <f t="shared" si="18"/>
        <v/>
      </c>
      <c r="N256" s="15" t="str">
        <f t="shared" si="19"/>
        <v/>
      </c>
      <c r="O256" s="4" t="str">
        <f t="shared" ca="1" si="20"/>
        <v/>
      </c>
      <c r="P256" s="17" t="str">
        <f>IF(A256="","",IFERROR(IF(INDEX(激励事件明细!$P$2:$P$501,MATCH(T256,激励事件明细!$A$2:$A$501,0))=0,"",INDEX(激励事件明细!$P$2:$P$501,MATCH(T256,激励事件明细!$A$2:$A$501,0))),""))</f>
        <v/>
      </c>
      <c r="Q256" s="4" t="str">
        <f t="shared" si="21"/>
        <v>无效</v>
      </c>
      <c r="R256" s="4" t="str">
        <f t="shared" ca="1" si="22"/>
        <v>异常：必须关联有效事件编号或税额批次</v>
      </c>
      <c r="S256" s="9"/>
      <c r="T256" s="4" t="str">
        <f>IF(D256&lt;&gt;"",IF(COUNTIF(激励事件明细!$A$2:$A$501,D256)=1,D256,""),IF(E256&lt;&gt;"",IFERROR(INDEX(激励事件明细!$A$2:$A$501,MATCH(E256,激励事件明细!$B$2:$B$501,0)),""),""))</f>
        <v/>
      </c>
      <c r="U256" s="4" t="str">
        <f>IF(T256="","",IFERROR(INDEX(激励事件明细!$B$2:$B$501,MATCH(T256,激励事件明细!$A$2:$A$501,0)),""))</f>
        <v/>
      </c>
      <c r="V256" s="4" t="str">
        <f>IF(A256="","",COUNTIF($A$2:A256,A256))</f>
        <v/>
      </c>
      <c r="W256" s="4" t="str">
        <f t="shared" si="23"/>
        <v/>
      </c>
    </row>
    <row r="257" spans="1:23" x14ac:dyDescent="0.3">
      <c r="A257" s="4" t="str">
        <f>IF(T257="","",IFERROR(INDEX(激励事件明细!$C$2:$C$501,MATCH(T257,激励事件明细!$A$2:$A$501,0)),""))</f>
        <v/>
      </c>
      <c r="B257" s="4" t="str">
        <f>IF(A257="","",IFERROR(INDEX(激励事件明细!$D$2:$D$501,MATCH(T257,激励事件明细!$A$2:$A$501,0)),""))</f>
        <v/>
      </c>
      <c r="C257" s="4" t="str">
        <f>IF(A257="","",IFERROR(INDEX(激励事件明细!$H$2:$H$501,MATCH(T257,激励事件明细!$A$2:$A$501,0)),""))</f>
        <v/>
      </c>
      <c r="D257" s="9"/>
      <c r="E257" s="9"/>
      <c r="F257" s="15" t="str">
        <f>IF(A257="","",IFERROR(INDEX(激励事件明细!$AA$2:$AA$501,MATCH(T257,激励事件明细!$A$2:$A$501,0)),""))</f>
        <v/>
      </c>
      <c r="G257" s="17" t="str">
        <f>IF(A257="","",IFERROR(INDEX(激励事件明细!$AB$2:$AB$501,MATCH(T257,激励事件明细!$A$2:$A$501,0)),""))</f>
        <v/>
      </c>
      <c r="H257" s="17" t="str">
        <f>IF(A257="","",IFERROR(INDEX(激励事件明细!$AC$2:$AC$501,MATCH(T257,激励事件明细!$A$2:$A$501,0)),""))</f>
        <v/>
      </c>
      <c r="I257" s="13"/>
      <c r="J257" s="14"/>
      <c r="K257" s="14"/>
      <c r="L257" s="9"/>
      <c r="M257" s="15" t="str">
        <f t="shared" si="18"/>
        <v/>
      </c>
      <c r="N257" s="15" t="str">
        <f t="shared" si="19"/>
        <v/>
      </c>
      <c r="O257" s="4" t="str">
        <f t="shared" ca="1" si="20"/>
        <v/>
      </c>
      <c r="P257" s="17" t="str">
        <f>IF(A257="","",IFERROR(IF(INDEX(激励事件明细!$P$2:$P$501,MATCH(T257,激励事件明细!$A$2:$A$501,0))=0,"",INDEX(激励事件明细!$P$2:$P$501,MATCH(T257,激励事件明细!$A$2:$A$501,0))),""))</f>
        <v/>
      </c>
      <c r="Q257" s="4" t="str">
        <f t="shared" si="21"/>
        <v>无效</v>
      </c>
      <c r="R257" s="4" t="str">
        <f t="shared" ca="1" si="22"/>
        <v>异常：必须关联有效事件编号或税额批次</v>
      </c>
      <c r="S257" s="9"/>
      <c r="T257" s="4" t="str">
        <f>IF(D257&lt;&gt;"",IF(COUNTIF(激励事件明细!$A$2:$A$501,D257)=1,D257,""),IF(E257&lt;&gt;"",IFERROR(INDEX(激励事件明细!$A$2:$A$501,MATCH(E257,激励事件明细!$B$2:$B$501,0)),""),""))</f>
        <v/>
      </c>
      <c r="U257" s="4" t="str">
        <f>IF(T257="","",IFERROR(INDEX(激励事件明细!$B$2:$B$501,MATCH(T257,激励事件明细!$A$2:$A$501,0)),""))</f>
        <v/>
      </c>
      <c r="V257" s="4" t="str">
        <f>IF(A257="","",COUNTIF($A$2:A257,A257))</f>
        <v/>
      </c>
      <c r="W257" s="4" t="str">
        <f t="shared" si="23"/>
        <v/>
      </c>
    </row>
    <row r="258" spans="1:23" x14ac:dyDescent="0.3">
      <c r="A258" s="4" t="str">
        <f>IF(T258="","",IFERROR(INDEX(激励事件明细!$C$2:$C$501,MATCH(T258,激励事件明细!$A$2:$A$501,0)),""))</f>
        <v/>
      </c>
      <c r="B258" s="4" t="str">
        <f>IF(A258="","",IFERROR(INDEX(激励事件明细!$D$2:$D$501,MATCH(T258,激励事件明细!$A$2:$A$501,0)),""))</f>
        <v/>
      </c>
      <c r="C258" s="4" t="str">
        <f>IF(A258="","",IFERROR(INDEX(激励事件明细!$H$2:$H$501,MATCH(T258,激励事件明细!$A$2:$A$501,0)),""))</f>
        <v/>
      </c>
      <c r="D258" s="9"/>
      <c r="E258" s="9"/>
      <c r="F258" s="15" t="str">
        <f>IF(A258="","",IFERROR(INDEX(激励事件明细!$AA$2:$AA$501,MATCH(T258,激励事件明细!$A$2:$A$501,0)),""))</f>
        <v/>
      </c>
      <c r="G258" s="17" t="str">
        <f>IF(A258="","",IFERROR(INDEX(激励事件明细!$AB$2:$AB$501,MATCH(T258,激励事件明细!$A$2:$A$501,0)),""))</f>
        <v/>
      </c>
      <c r="H258" s="17" t="str">
        <f>IF(A258="","",IFERROR(INDEX(激励事件明细!$AC$2:$AC$501,MATCH(T258,激励事件明细!$A$2:$A$501,0)),""))</f>
        <v/>
      </c>
      <c r="I258" s="13"/>
      <c r="J258" s="14"/>
      <c r="K258" s="14"/>
      <c r="L258" s="9"/>
      <c r="M258" s="15" t="str">
        <f t="shared" ref="M258:M321" si="24">IF(T258="","",SUMIFS($K$2:$K$501,$T$2:$T$501,T258,$Q$2:$Q$501,"有效"))</f>
        <v/>
      </c>
      <c r="N258" s="15" t="str">
        <f t="shared" ref="N258:N321" si="25">IF(F258="","",MAX(0,F258-M258))</f>
        <v/>
      </c>
      <c r="O258" s="4" t="str">
        <f t="shared" ref="O258:O321" ca="1" si="26">IF(A258="","",IF(AND(I258&lt;&gt;"",I258&gt;H258),"是",IF(AND(TODAY()&gt;H258,N258&gt;0),"是","否")))</f>
        <v/>
      </c>
      <c r="P258" s="17" t="str">
        <f>IF(A258="","",IFERROR(IF(INDEX(激励事件明细!$P$2:$P$501,MATCH(T258,激励事件明细!$A$2:$A$501,0))=0,"",INDEX(激励事件明细!$P$2:$P$501,MATCH(T258,激励事件明细!$A$2:$A$501,0))),""))</f>
        <v/>
      </c>
      <c r="Q258" s="4" t="str">
        <f t="shared" ref="Q258:Q321" si="27">IF(AND(D258="",E258=""),"无效",IF(T258="","无效",IF(AND(D258&lt;&gt;"",E258&lt;&gt;"",U258&lt;&gt;E258),"冲突","有效")))</f>
        <v>无效</v>
      </c>
      <c r="R258" s="4" t="str">
        <f t="shared" ref="R258:R321" ca="1" si="28">IF(Q258="冲突","异常：事件编号与税额批次冲突",IF(Q258="无效","异常：必须关联有效事件编号或税额批次",IF(AND(ISNUMBER(P258),P258&gt;0,ISNUMBER(I258),K258&gt;0,I258&gt;P258),"异常：离职后缴税",IF(M258&gt;F258,"异常：本批次超额缴税",IF(AND(I258&lt;&gt;"",I258&gt;H258),"异常：超过事件截止日",IF(AND(ISNUMBER(P258),P258&gt;0,TODAY()&gt;=P258,N258&gt;0),"异常：离职前未缴清","正常"))))))</f>
        <v>异常：必须关联有效事件编号或税额批次</v>
      </c>
      <c r="S258" s="9"/>
      <c r="T258" s="4" t="str">
        <f>IF(D258&lt;&gt;"",IF(COUNTIF(激励事件明细!$A$2:$A$501,D258)=1,D258,""),IF(E258&lt;&gt;"",IFERROR(INDEX(激励事件明细!$A$2:$A$501,MATCH(E258,激励事件明细!$B$2:$B$501,0)),""),""))</f>
        <v/>
      </c>
      <c r="U258" s="4" t="str">
        <f>IF(T258="","",IFERROR(INDEX(激励事件明细!$B$2:$B$501,MATCH(T258,激励事件明细!$A$2:$A$501,0)),""))</f>
        <v/>
      </c>
      <c r="V258" s="4" t="str">
        <f>IF(A258="","",COUNTIF($A$2:A258,A258))</f>
        <v/>
      </c>
      <c r="W258" s="4" t="str">
        <f t="shared" ref="W258:W321" si="29">IF(A258="","",A258&amp;"|"&amp;V258)</f>
        <v/>
      </c>
    </row>
    <row r="259" spans="1:23" x14ac:dyDescent="0.3">
      <c r="A259" s="4" t="str">
        <f>IF(T259="","",IFERROR(INDEX(激励事件明细!$C$2:$C$501,MATCH(T259,激励事件明细!$A$2:$A$501,0)),""))</f>
        <v/>
      </c>
      <c r="B259" s="4" t="str">
        <f>IF(A259="","",IFERROR(INDEX(激励事件明细!$D$2:$D$501,MATCH(T259,激励事件明细!$A$2:$A$501,0)),""))</f>
        <v/>
      </c>
      <c r="C259" s="4" t="str">
        <f>IF(A259="","",IFERROR(INDEX(激励事件明细!$H$2:$H$501,MATCH(T259,激励事件明细!$A$2:$A$501,0)),""))</f>
        <v/>
      </c>
      <c r="D259" s="9"/>
      <c r="E259" s="9"/>
      <c r="F259" s="15" t="str">
        <f>IF(A259="","",IFERROR(INDEX(激励事件明细!$AA$2:$AA$501,MATCH(T259,激励事件明细!$A$2:$A$501,0)),""))</f>
        <v/>
      </c>
      <c r="G259" s="17" t="str">
        <f>IF(A259="","",IFERROR(INDEX(激励事件明细!$AB$2:$AB$501,MATCH(T259,激励事件明细!$A$2:$A$501,0)),""))</f>
        <v/>
      </c>
      <c r="H259" s="17" t="str">
        <f>IF(A259="","",IFERROR(INDEX(激励事件明细!$AC$2:$AC$501,MATCH(T259,激励事件明细!$A$2:$A$501,0)),""))</f>
        <v/>
      </c>
      <c r="I259" s="13"/>
      <c r="J259" s="14"/>
      <c r="K259" s="14"/>
      <c r="L259" s="9"/>
      <c r="M259" s="15" t="str">
        <f t="shared" si="24"/>
        <v/>
      </c>
      <c r="N259" s="15" t="str">
        <f t="shared" si="25"/>
        <v/>
      </c>
      <c r="O259" s="4" t="str">
        <f t="shared" ca="1" si="26"/>
        <v/>
      </c>
      <c r="P259" s="17" t="str">
        <f>IF(A259="","",IFERROR(IF(INDEX(激励事件明细!$P$2:$P$501,MATCH(T259,激励事件明细!$A$2:$A$501,0))=0,"",INDEX(激励事件明细!$P$2:$P$501,MATCH(T259,激励事件明细!$A$2:$A$501,0))),""))</f>
        <v/>
      </c>
      <c r="Q259" s="4" t="str">
        <f t="shared" si="27"/>
        <v>无效</v>
      </c>
      <c r="R259" s="4" t="str">
        <f t="shared" ca="1" si="28"/>
        <v>异常：必须关联有效事件编号或税额批次</v>
      </c>
      <c r="S259" s="9"/>
      <c r="T259" s="4" t="str">
        <f>IF(D259&lt;&gt;"",IF(COUNTIF(激励事件明细!$A$2:$A$501,D259)=1,D259,""),IF(E259&lt;&gt;"",IFERROR(INDEX(激励事件明细!$A$2:$A$501,MATCH(E259,激励事件明细!$B$2:$B$501,0)),""),""))</f>
        <v/>
      </c>
      <c r="U259" s="4" t="str">
        <f>IF(T259="","",IFERROR(INDEX(激励事件明细!$B$2:$B$501,MATCH(T259,激励事件明细!$A$2:$A$501,0)),""))</f>
        <v/>
      </c>
      <c r="V259" s="4" t="str">
        <f>IF(A259="","",COUNTIF($A$2:A259,A259))</f>
        <v/>
      </c>
      <c r="W259" s="4" t="str">
        <f t="shared" si="29"/>
        <v/>
      </c>
    </row>
    <row r="260" spans="1:23" x14ac:dyDescent="0.3">
      <c r="A260" s="4" t="str">
        <f>IF(T260="","",IFERROR(INDEX(激励事件明细!$C$2:$C$501,MATCH(T260,激励事件明细!$A$2:$A$501,0)),""))</f>
        <v/>
      </c>
      <c r="B260" s="4" t="str">
        <f>IF(A260="","",IFERROR(INDEX(激励事件明细!$D$2:$D$501,MATCH(T260,激励事件明细!$A$2:$A$501,0)),""))</f>
        <v/>
      </c>
      <c r="C260" s="4" t="str">
        <f>IF(A260="","",IFERROR(INDEX(激励事件明细!$H$2:$H$501,MATCH(T260,激励事件明细!$A$2:$A$501,0)),""))</f>
        <v/>
      </c>
      <c r="D260" s="9"/>
      <c r="E260" s="9"/>
      <c r="F260" s="15" t="str">
        <f>IF(A260="","",IFERROR(INDEX(激励事件明细!$AA$2:$AA$501,MATCH(T260,激励事件明细!$A$2:$A$501,0)),""))</f>
        <v/>
      </c>
      <c r="G260" s="17" t="str">
        <f>IF(A260="","",IFERROR(INDEX(激励事件明细!$AB$2:$AB$501,MATCH(T260,激励事件明细!$A$2:$A$501,0)),""))</f>
        <v/>
      </c>
      <c r="H260" s="17" t="str">
        <f>IF(A260="","",IFERROR(INDEX(激励事件明细!$AC$2:$AC$501,MATCH(T260,激励事件明细!$A$2:$A$501,0)),""))</f>
        <v/>
      </c>
      <c r="I260" s="13"/>
      <c r="J260" s="14"/>
      <c r="K260" s="14"/>
      <c r="L260" s="9"/>
      <c r="M260" s="15" t="str">
        <f t="shared" si="24"/>
        <v/>
      </c>
      <c r="N260" s="15" t="str">
        <f t="shared" si="25"/>
        <v/>
      </c>
      <c r="O260" s="4" t="str">
        <f t="shared" ca="1" si="26"/>
        <v/>
      </c>
      <c r="P260" s="17" t="str">
        <f>IF(A260="","",IFERROR(IF(INDEX(激励事件明细!$P$2:$P$501,MATCH(T260,激励事件明细!$A$2:$A$501,0))=0,"",INDEX(激励事件明细!$P$2:$P$501,MATCH(T260,激励事件明细!$A$2:$A$501,0))),""))</f>
        <v/>
      </c>
      <c r="Q260" s="4" t="str">
        <f t="shared" si="27"/>
        <v>无效</v>
      </c>
      <c r="R260" s="4" t="str">
        <f t="shared" ca="1" si="28"/>
        <v>异常：必须关联有效事件编号或税额批次</v>
      </c>
      <c r="S260" s="9"/>
      <c r="T260" s="4" t="str">
        <f>IF(D260&lt;&gt;"",IF(COUNTIF(激励事件明细!$A$2:$A$501,D260)=1,D260,""),IF(E260&lt;&gt;"",IFERROR(INDEX(激励事件明细!$A$2:$A$501,MATCH(E260,激励事件明细!$B$2:$B$501,0)),""),""))</f>
        <v/>
      </c>
      <c r="U260" s="4" t="str">
        <f>IF(T260="","",IFERROR(INDEX(激励事件明细!$B$2:$B$501,MATCH(T260,激励事件明细!$A$2:$A$501,0)),""))</f>
        <v/>
      </c>
      <c r="V260" s="4" t="str">
        <f>IF(A260="","",COUNTIF($A$2:A260,A260))</f>
        <v/>
      </c>
      <c r="W260" s="4" t="str">
        <f t="shared" si="29"/>
        <v/>
      </c>
    </row>
    <row r="261" spans="1:23" x14ac:dyDescent="0.3">
      <c r="A261" s="4" t="str">
        <f>IF(T261="","",IFERROR(INDEX(激励事件明细!$C$2:$C$501,MATCH(T261,激励事件明细!$A$2:$A$501,0)),""))</f>
        <v/>
      </c>
      <c r="B261" s="4" t="str">
        <f>IF(A261="","",IFERROR(INDEX(激励事件明细!$D$2:$D$501,MATCH(T261,激励事件明细!$A$2:$A$501,0)),""))</f>
        <v/>
      </c>
      <c r="C261" s="4" t="str">
        <f>IF(A261="","",IFERROR(INDEX(激励事件明细!$H$2:$H$501,MATCH(T261,激励事件明细!$A$2:$A$501,0)),""))</f>
        <v/>
      </c>
      <c r="D261" s="9"/>
      <c r="E261" s="9"/>
      <c r="F261" s="15" t="str">
        <f>IF(A261="","",IFERROR(INDEX(激励事件明细!$AA$2:$AA$501,MATCH(T261,激励事件明细!$A$2:$A$501,0)),""))</f>
        <v/>
      </c>
      <c r="G261" s="17" t="str">
        <f>IF(A261="","",IFERROR(INDEX(激励事件明细!$AB$2:$AB$501,MATCH(T261,激励事件明细!$A$2:$A$501,0)),""))</f>
        <v/>
      </c>
      <c r="H261" s="17" t="str">
        <f>IF(A261="","",IFERROR(INDEX(激励事件明细!$AC$2:$AC$501,MATCH(T261,激励事件明细!$A$2:$A$501,0)),""))</f>
        <v/>
      </c>
      <c r="I261" s="13"/>
      <c r="J261" s="14"/>
      <c r="K261" s="14"/>
      <c r="L261" s="9"/>
      <c r="M261" s="15" t="str">
        <f t="shared" si="24"/>
        <v/>
      </c>
      <c r="N261" s="15" t="str">
        <f t="shared" si="25"/>
        <v/>
      </c>
      <c r="O261" s="4" t="str">
        <f t="shared" ca="1" si="26"/>
        <v/>
      </c>
      <c r="P261" s="17" t="str">
        <f>IF(A261="","",IFERROR(IF(INDEX(激励事件明细!$P$2:$P$501,MATCH(T261,激励事件明细!$A$2:$A$501,0))=0,"",INDEX(激励事件明细!$P$2:$P$501,MATCH(T261,激励事件明细!$A$2:$A$501,0))),""))</f>
        <v/>
      </c>
      <c r="Q261" s="4" t="str">
        <f t="shared" si="27"/>
        <v>无效</v>
      </c>
      <c r="R261" s="4" t="str">
        <f t="shared" ca="1" si="28"/>
        <v>异常：必须关联有效事件编号或税额批次</v>
      </c>
      <c r="S261" s="9"/>
      <c r="T261" s="4" t="str">
        <f>IF(D261&lt;&gt;"",IF(COUNTIF(激励事件明细!$A$2:$A$501,D261)=1,D261,""),IF(E261&lt;&gt;"",IFERROR(INDEX(激励事件明细!$A$2:$A$501,MATCH(E261,激励事件明细!$B$2:$B$501,0)),""),""))</f>
        <v/>
      </c>
      <c r="U261" s="4" t="str">
        <f>IF(T261="","",IFERROR(INDEX(激励事件明细!$B$2:$B$501,MATCH(T261,激励事件明细!$A$2:$A$501,0)),""))</f>
        <v/>
      </c>
      <c r="V261" s="4" t="str">
        <f>IF(A261="","",COUNTIF($A$2:A261,A261))</f>
        <v/>
      </c>
      <c r="W261" s="4" t="str">
        <f t="shared" si="29"/>
        <v/>
      </c>
    </row>
    <row r="262" spans="1:23" x14ac:dyDescent="0.3">
      <c r="A262" s="4" t="str">
        <f>IF(T262="","",IFERROR(INDEX(激励事件明细!$C$2:$C$501,MATCH(T262,激励事件明细!$A$2:$A$501,0)),""))</f>
        <v/>
      </c>
      <c r="B262" s="4" t="str">
        <f>IF(A262="","",IFERROR(INDEX(激励事件明细!$D$2:$D$501,MATCH(T262,激励事件明细!$A$2:$A$501,0)),""))</f>
        <v/>
      </c>
      <c r="C262" s="4" t="str">
        <f>IF(A262="","",IFERROR(INDEX(激励事件明细!$H$2:$H$501,MATCH(T262,激励事件明细!$A$2:$A$501,0)),""))</f>
        <v/>
      </c>
      <c r="D262" s="9"/>
      <c r="E262" s="9"/>
      <c r="F262" s="15" t="str">
        <f>IF(A262="","",IFERROR(INDEX(激励事件明细!$AA$2:$AA$501,MATCH(T262,激励事件明细!$A$2:$A$501,0)),""))</f>
        <v/>
      </c>
      <c r="G262" s="17" t="str">
        <f>IF(A262="","",IFERROR(INDEX(激励事件明细!$AB$2:$AB$501,MATCH(T262,激励事件明细!$A$2:$A$501,0)),""))</f>
        <v/>
      </c>
      <c r="H262" s="17" t="str">
        <f>IF(A262="","",IFERROR(INDEX(激励事件明细!$AC$2:$AC$501,MATCH(T262,激励事件明细!$A$2:$A$501,0)),""))</f>
        <v/>
      </c>
      <c r="I262" s="13"/>
      <c r="J262" s="14"/>
      <c r="K262" s="14"/>
      <c r="L262" s="9"/>
      <c r="M262" s="15" t="str">
        <f t="shared" si="24"/>
        <v/>
      </c>
      <c r="N262" s="15" t="str">
        <f t="shared" si="25"/>
        <v/>
      </c>
      <c r="O262" s="4" t="str">
        <f t="shared" ca="1" si="26"/>
        <v/>
      </c>
      <c r="P262" s="17" t="str">
        <f>IF(A262="","",IFERROR(IF(INDEX(激励事件明细!$P$2:$P$501,MATCH(T262,激励事件明细!$A$2:$A$501,0))=0,"",INDEX(激励事件明细!$P$2:$P$501,MATCH(T262,激励事件明细!$A$2:$A$501,0))),""))</f>
        <v/>
      </c>
      <c r="Q262" s="4" t="str">
        <f t="shared" si="27"/>
        <v>无效</v>
      </c>
      <c r="R262" s="4" t="str">
        <f t="shared" ca="1" si="28"/>
        <v>异常：必须关联有效事件编号或税额批次</v>
      </c>
      <c r="S262" s="9"/>
      <c r="T262" s="4" t="str">
        <f>IF(D262&lt;&gt;"",IF(COUNTIF(激励事件明细!$A$2:$A$501,D262)=1,D262,""),IF(E262&lt;&gt;"",IFERROR(INDEX(激励事件明细!$A$2:$A$501,MATCH(E262,激励事件明细!$B$2:$B$501,0)),""),""))</f>
        <v/>
      </c>
      <c r="U262" s="4" t="str">
        <f>IF(T262="","",IFERROR(INDEX(激励事件明细!$B$2:$B$501,MATCH(T262,激励事件明细!$A$2:$A$501,0)),""))</f>
        <v/>
      </c>
      <c r="V262" s="4" t="str">
        <f>IF(A262="","",COUNTIF($A$2:A262,A262))</f>
        <v/>
      </c>
      <c r="W262" s="4" t="str">
        <f t="shared" si="29"/>
        <v/>
      </c>
    </row>
    <row r="263" spans="1:23" x14ac:dyDescent="0.3">
      <c r="A263" s="4" t="str">
        <f>IF(T263="","",IFERROR(INDEX(激励事件明细!$C$2:$C$501,MATCH(T263,激励事件明细!$A$2:$A$501,0)),""))</f>
        <v/>
      </c>
      <c r="B263" s="4" t="str">
        <f>IF(A263="","",IFERROR(INDEX(激励事件明细!$D$2:$D$501,MATCH(T263,激励事件明细!$A$2:$A$501,0)),""))</f>
        <v/>
      </c>
      <c r="C263" s="4" t="str">
        <f>IF(A263="","",IFERROR(INDEX(激励事件明细!$H$2:$H$501,MATCH(T263,激励事件明细!$A$2:$A$501,0)),""))</f>
        <v/>
      </c>
      <c r="D263" s="9"/>
      <c r="E263" s="9"/>
      <c r="F263" s="15" t="str">
        <f>IF(A263="","",IFERROR(INDEX(激励事件明细!$AA$2:$AA$501,MATCH(T263,激励事件明细!$A$2:$A$501,0)),""))</f>
        <v/>
      </c>
      <c r="G263" s="17" t="str">
        <f>IF(A263="","",IFERROR(INDEX(激励事件明细!$AB$2:$AB$501,MATCH(T263,激励事件明细!$A$2:$A$501,0)),""))</f>
        <v/>
      </c>
      <c r="H263" s="17" t="str">
        <f>IF(A263="","",IFERROR(INDEX(激励事件明细!$AC$2:$AC$501,MATCH(T263,激励事件明细!$A$2:$A$501,0)),""))</f>
        <v/>
      </c>
      <c r="I263" s="13"/>
      <c r="J263" s="14"/>
      <c r="K263" s="14"/>
      <c r="L263" s="9"/>
      <c r="M263" s="15" t="str">
        <f t="shared" si="24"/>
        <v/>
      </c>
      <c r="N263" s="15" t="str">
        <f t="shared" si="25"/>
        <v/>
      </c>
      <c r="O263" s="4" t="str">
        <f t="shared" ca="1" si="26"/>
        <v/>
      </c>
      <c r="P263" s="17" t="str">
        <f>IF(A263="","",IFERROR(IF(INDEX(激励事件明细!$P$2:$P$501,MATCH(T263,激励事件明细!$A$2:$A$501,0))=0,"",INDEX(激励事件明细!$P$2:$P$501,MATCH(T263,激励事件明细!$A$2:$A$501,0))),""))</f>
        <v/>
      </c>
      <c r="Q263" s="4" t="str">
        <f t="shared" si="27"/>
        <v>无效</v>
      </c>
      <c r="R263" s="4" t="str">
        <f t="shared" ca="1" si="28"/>
        <v>异常：必须关联有效事件编号或税额批次</v>
      </c>
      <c r="S263" s="9"/>
      <c r="T263" s="4" t="str">
        <f>IF(D263&lt;&gt;"",IF(COUNTIF(激励事件明细!$A$2:$A$501,D263)=1,D263,""),IF(E263&lt;&gt;"",IFERROR(INDEX(激励事件明细!$A$2:$A$501,MATCH(E263,激励事件明细!$B$2:$B$501,0)),""),""))</f>
        <v/>
      </c>
      <c r="U263" s="4" t="str">
        <f>IF(T263="","",IFERROR(INDEX(激励事件明细!$B$2:$B$501,MATCH(T263,激励事件明细!$A$2:$A$501,0)),""))</f>
        <v/>
      </c>
      <c r="V263" s="4" t="str">
        <f>IF(A263="","",COUNTIF($A$2:A263,A263))</f>
        <v/>
      </c>
      <c r="W263" s="4" t="str">
        <f t="shared" si="29"/>
        <v/>
      </c>
    </row>
    <row r="264" spans="1:23" x14ac:dyDescent="0.3">
      <c r="A264" s="4" t="str">
        <f>IF(T264="","",IFERROR(INDEX(激励事件明细!$C$2:$C$501,MATCH(T264,激励事件明细!$A$2:$A$501,0)),""))</f>
        <v/>
      </c>
      <c r="B264" s="4" t="str">
        <f>IF(A264="","",IFERROR(INDEX(激励事件明细!$D$2:$D$501,MATCH(T264,激励事件明细!$A$2:$A$501,0)),""))</f>
        <v/>
      </c>
      <c r="C264" s="4" t="str">
        <f>IF(A264="","",IFERROR(INDEX(激励事件明细!$H$2:$H$501,MATCH(T264,激励事件明细!$A$2:$A$501,0)),""))</f>
        <v/>
      </c>
      <c r="D264" s="9"/>
      <c r="E264" s="9"/>
      <c r="F264" s="15" t="str">
        <f>IF(A264="","",IFERROR(INDEX(激励事件明细!$AA$2:$AA$501,MATCH(T264,激励事件明细!$A$2:$A$501,0)),""))</f>
        <v/>
      </c>
      <c r="G264" s="17" t="str">
        <f>IF(A264="","",IFERROR(INDEX(激励事件明细!$AB$2:$AB$501,MATCH(T264,激励事件明细!$A$2:$A$501,0)),""))</f>
        <v/>
      </c>
      <c r="H264" s="17" t="str">
        <f>IF(A264="","",IFERROR(INDEX(激励事件明细!$AC$2:$AC$501,MATCH(T264,激励事件明细!$A$2:$A$501,0)),""))</f>
        <v/>
      </c>
      <c r="I264" s="13"/>
      <c r="J264" s="14"/>
      <c r="K264" s="14"/>
      <c r="L264" s="9"/>
      <c r="M264" s="15" t="str">
        <f t="shared" si="24"/>
        <v/>
      </c>
      <c r="N264" s="15" t="str">
        <f t="shared" si="25"/>
        <v/>
      </c>
      <c r="O264" s="4" t="str">
        <f t="shared" ca="1" si="26"/>
        <v/>
      </c>
      <c r="P264" s="17" t="str">
        <f>IF(A264="","",IFERROR(IF(INDEX(激励事件明细!$P$2:$P$501,MATCH(T264,激励事件明细!$A$2:$A$501,0))=0,"",INDEX(激励事件明细!$P$2:$P$501,MATCH(T264,激励事件明细!$A$2:$A$501,0))),""))</f>
        <v/>
      </c>
      <c r="Q264" s="4" t="str">
        <f t="shared" si="27"/>
        <v>无效</v>
      </c>
      <c r="R264" s="4" t="str">
        <f t="shared" ca="1" si="28"/>
        <v>异常：必须关联有效事件编号或税额批次</v>
      </c>
      <c r="S264" s="9"/>
      <c r="T264" s="4" t="str">
        <f>IF(D264&lt;&gt;"",IF(COUNTIF(激励事件明细!$A$2:$A$501,D264)=1,D264,""),IF(E264&lt;&gt;"",IFERROR(INDEX(激励事件明细!$A$2:$A$501,MATCH(E264,激励事件明细!$B$2:$B$501,0)),""),""))</f>
        <v/>
      </c>
      <c r="U264" s="4" t="str">
        <f>IF(T264="","",IFERROR(INDEX(激励事件明细!$B$2:$B$501,MATCH(T264,激励事件明细!$A$2:$A$501,0)),""))</f>
        <v/>
      </c>
      <c r="V264" s="4" t="str">
        <f>IF(A264="","",COUNTIF($A$2:A264,A264))</f>
        <v/>
      </c>
      <c r="W264" s="4" t="str">
        <f t="shared" si="29"/>
        <v/>
      </c>
    </row>
    <row r="265" spans="1:23" x14ac:dyDescent="0.3">
      <c r="A265" s="4" t="str">
        <f>IF(T265="","",IFERROR(INDEX(激励事件明细!$C$2:$C$501,MATCH(T265,激励事件明细!$A$2:$A$501,0)),""))</f>
        <v/>
      </c>
      <c r="B265" s="4" t="str">
        <f>IF(A265="","",IFERROR(INDEX(激励事件明细!$D$2:$D$501,MATCH(T265,激励事件明细!$A$2:$A$501,0)),""))</f>
        <v/>
      </c>
      <c r="C265" s="4" t="str">
        <f>IF(A265="","",IFERROR(INDEX(激励事件明细!$H$2:$H$501,MATCH(T265,激励事件明细!$A$2:$A$501,0)),""))</f>
        <v/>
      </c>
      <c r="D265" s="9"/>
      <c r="E265" s="9"/>
      <c r="F265" s="15" t="str">
        <f>IF(A265="","",IFERROR(INDEX(激励事件明细!$AA$2:$AA$501,MATCH(T265,激励事件明细!$A$2:$A$501,0)),""))</f>
        <v/>
      </c>
      <c r="G265" s="17" t="str">
        <f>IF(A265="","",IFERROR(INDEX(激励事件明细!$AB$2:$AB$501,MATCH(T265,激励事件明细!$A$2:$A$501,0)),""))</f>
        <v/>
      </c>
      <c r="H265" s="17" t="str">
        <f>IF(A265="","",IFERROR(INDEX(激励事件明细!$AC$2:$AC$501,MATCH(T265,激励事件明细!$A$2:$A$501,0)),""))</f>
        <v/>
      </c>
      <c r="I265" s="13"/>
      <c r="J265" s="14"/>
      <c r="K265" s="14"/>
      <c r="L265" s="9"/>
      <c r="M265" s="15" t="str">
        <f t="shared" si="24"/>
        <v/>
      </c>
      <c r="N265" s="15" t="str">
        <f t="shared" si="25"/>
        <v/>
      </c>
      <c r="O265" s="4" t="str">
        <f t="shared" ca="1" si="26"/>
        <v/>
      </c>
      <c r="P265" s="17" t="str">
        <f>IF(A265="","",IFERROR(IF(INDEX(激励事件明细!$P$2:$P$501,MATCH(T265,激励事件明细!$A$2:$A$501,0))=0,"",INDEX(激励事件明细!$P$2:$P$501,MATCH(T265,激励事件明细!$A$2:$A$501,0))),""))</f>
        <v/>
      </c>
      <c r="Q265" s="4" t="str">
        <f t="shared" si="27"/>
        <v>无效</v>
      </c>
      <c r="R265" s="4" t="str">
        <f t="shared" ca="1" si="28"/>
        <v>异常：必须关联有效事件编号或税额批次</v>
      </c>
      <c r="S265" s="9"/>
      <c r="T265" s="4" t="str">
        <f>IF(D265&lt;&gt;"",IF(COUNTIF(激励事件明细!$A$2:$A$501,D265)=1,D265,""),IF(E265&lt;&gt;"",IFERROR(INDEX(激励事件明细!$A$2:$A$501,MATCH(E265,激励事件明细!$B$2:$B$501,0)),""),""))</f>
        <v/>
      </c>
      <c r="U265" s="4" t="str">
        <f>IF(T265="","",IFERROR(INDEX(激励事件明细!$B$2:$B$501,MATCH(T265,激励事件明细!$A$2:$A$501,0)),""))</f>
        <v/>
      </c>
      <c r="V265" s="4" t="str">
        <f>IF(A265="","",COUNTIF($A$2:A265,A265))</f>
        <v/>
      </c>
      <c r="W265" s="4" t="str">
        <f t="shared" si="29"/>
        <v/>
      </c>
    </row>
    <row r="266" spans="1:23" x14ac:dyDescent="0.3">
      <c r="A266" s="4" t="str">
        <f>IF(T266="","",IFERROR(INDEX(激励事件明细!$C$2:$C$501,MATCH(T266,激励事件明细!$A$2:$A$501,0)),""))</f>
        <v/>
      </c>
      <c r="B266" s="4" t="str">
        <f>IF(A266="","",IFERROR(INDEX(激励事件明细!$D$2:$D$501,MATCH(T266,激励事件明细!$A$2:$A$501,0)),""))</f>
        <v/>
      </c>
      <c r="C266" s="4" t="str">
        <f>IF(A266="","",IFERROR(INDEX(激励事件明细!$H$2:$H$501,MATCH(T266,激励事件明细!$A$2:$A$501,0)),""))</f>
        <v/>
      </c>
      <c r="D266" s="9"/>
      <c r="E266" s="9"/>
      <c r="F266" s="15" t="str">
        <f>IF(A266="","",IFERROR(INDEX(激励事件明细!$AA$2:$AA$501,MATCH(T266,激励事件明细!$A$2:$A$501,0)),""))</f>
        <v/>
      </c>
      <c r="G266" s="17" t="str">
        <f>IF(A266="","",IFERROR(INDEX(激励事件明细!$AB$2:$AB$501,MATCH(T266,激励事件明细!$A$2:$A$501,0)),""))</f>
        <v/>
      </c>
      <c r="H266" s="17" t="str">
        <f>IF(A266="","",IFERROR(INDEX(激励事件明细!$AC$2:$AC$501,MATCH(T266,激励事件明细!$A$2:$A$501,0)),""))</f>
        <v/>
      </c>
      <c r="I266" s="13"/>
      <c r="J266" s="14"/>
      <c r="K266" s="14"/>
      <c r="L266" s="9"/>
      <c r="M266" s="15" t="str">
        <f t="shared" si="24"/>
        <v/>
      </c>
      <c r="N266" s="15" t="str">
        <f t="shared" si="25"/>
        <v/>
      </c>
      <c r="O266" s="4" t="str">
        <f t="shared" ca="1" si="26"/>
        <v/>
      </c>
      <c r="P266" s="17" t="str">
        <f>IF(A266="","",IFERROR(IF(INDEX(激励事件明细!$P$2:$P$501,MATCH(T266,激励事件明细!$A$2:$A$501,0))=0,"",INDEX(激励事件明细!$P$2:$P$501,MATCH(T266,激励事件明细!$A$2:$A$501,0))),""))</f>
        <v/>
      </c>
      <c r="Q266" s="4" t="str">
        <f t="shared" si="27"/>
        <v>无效</v>
      </c>
      <c r="R266" s="4" t="str">
        <f t="shared" ca="1" si="28"/>
        <v>异常：必须关联有效事件编号或税额批次</v>
      </c>
      <c r="S266" s="9"/>
      <c r="T266" s="4" t="str">
        <f>IF(D266&lt;&gt;"",IF(COUNTIF(激励事件明细!$A$2:$A$501,D266)=1,D266,""),IF(E266&lt;&gt;"",IFERROR(INDEX(激励事件明细!$A$2:$A$501,MATCH(E266,激励事件明细!$B$2:$B$501,0)),""),""))</f>
        <v/>
      </c>
      <c r="U266" s="4" t="str">
        <f>IF(T266="","",IFERROR(INDEX(激励事件明细!$B$2:$B$501,MATCH(T266,激励事件明细!$A$2:$A$501,0)),""))</f>
        <v/>
      </c>
      <c r="V266" s="4" t="str">
        <f>IF(A266="","",COUNTIF($A$2:A266,A266))</f>
        <v/>
      </c>
      <c r="W266" s="4" t="str">
        <f t="shared" si="29"/>
        <v/>
      </c>
    </row>
    <row r="267" spans="1:23" x14ac:dyDescent="0.3">
      <c r="A267" s="4" t="str">
        <f>IF(T267="","",IFERROR(INDEX(激励事件明细!$C$2:$C$501,MATCH(T267,激励事件明细!$A$2:$A$501,0)),""))</f>
        <v/>
      </c>
      <c r="B267" s="4" t="str">
        <f>IF(A267="","",IFERROR(INDEX(激励事件明细!$D$2:$D$501,MATCH(T267,激励事件明细!$A$2:$A$501,0)),""))</f>
        <v/>
      </c>
      <c r="C267" s="4" t="str">
        <f>IF(A267="","",IFERROR(INDEX(激励事件明细!$H$2:$H$501,MATCH(T267,激励事件明细!$A$2:$A$501,0)),""))</f>
        <v/>
      </c>
      <c r="D267" s="9"/>
      <c r="E267" s="9"/>
      <c r="F267" s="15" t="str">
        <f>IF(A267="","",IFERROR(INDEX(激励事件明细!$AA$2:$AA$501,MATCH(T267,激励事件明细!$A$2:$A$501,0)),""))</f>
        <v/>
      </c>
      <c r="G267" s="17" t="str">
        <f>IF(A267="","",IFERROR(INDEX(激励事件明细!$AB$2:$AB$501,MATCH(T267,激励事件明细!$A$2:$A$501,0)),""))</f>
        <v/>
      </c>
      <c r="H267" s="17" t="str">
        <f>IF(A267="","",IFERROR(INDEX(激励事件明细!$AC$2:$AC$501,MATCH(T267,激励事件明细!$A$2:$A$501,0)),""))</f>
        <v/>
      </c>
      <c r="I267" s="13"/>
      <c r="J267" s="14"/>
      <c r="K267" s="14"/>
      <c r="L267" s="9"/>
      <c r="M267" s="15" t="str">
        <f t="shared" si="24"/>
        <v/>
      </c>
      <c r="N267" s="15" t="str">
        <f t="shared" si="25"/>
        <v/>
      </c>
      <c r="O267" s="4" t="str">
        <f t="shared" ca="1" si="26"/>
        <v/>
      </c>
      <c r="P267" s="17" t="str">
        <f>IF(A267="","",IFERROR(IF(INDEX(激励事件明细!$P$2:$P$501,MATCH(T267,激励事件明细!$A$2:$A$501,0))=0,"",INDEX(激励事件明细!$P$2:$P$501,MATCH(T267,激励事件明细!$A$2:$A$501,0))),""))</f>
        <v/>
      </c>
      <c r="Q267" s="4" t="str">
        <f t="shared" si="27"/>
        <v>无效</v>
      </c>
      <c r="R267" s="4" t="str">
        <f t="shared" ca="1" si="28"/>
        <v>异常：必须关联有效事件编号或税额批次</v>
      </c>
      <c r="S267" s="9"/>
      <c r="T267" s="4" t="str">
        <f>IF(D267&lt;&gt;"",IF(COUNTIF(激励事件明细!$A$2:$A$501,D267)=1,D267,""),IF(E267&lt;&gt;"",IFERROR(INDEX(激励事件明细!$A$2:$A$501,MATCH(E267,激励事件明细!$B$2:$B$501,0)),""),""))</f>
        <v/>
      </c>
      <c r="U267" s="4" t="str">
        <f>IF(T267="","",IFERROR(INDEX(激励事件明细!$B$2:$B$501,MATCH(T267,激励事件明细!$A$2:$A$501,0)),""))</f>
        <v/>
      </c>
      <c r="V267" s="4" t="str">
        <f>IF(A267="","",COUNTIF($A$2:A267,A267))</f>
        <v/>
      </c>
      <c r="W267" s="4" t="str">
        <f t="shared" si="29"/>
        <v/>
      </c>
    </row>
    <row r="268" spans="1:23" x14ac:dyDescent="0.3">
      <c r="A268" s="4" t="str">
        <f>IF(T268="","",IFERROR(INDEX(激励事件明细!$C$2:$C$501,MATCH(T268,激励事件明细!$A$2:$A$501,0)),""))</f>
        <v/>
      </c>
      <c r="B268" s="4" t="str">
        <f>IF(A268="","",IFERROR(INDEX(激励事件明细!$D$2:$D$501,MATCH(T268,激励事件明细!$A$2:$A$501,0)),""))</f>
        <v/>
      </c>
      <c r="C268" s="4" t="str">
        <f>IF(A268="","",IFERROR(INDEX(激励事件明细!$H$2:$H$501,MATCH(T268,激励事件明细!$A$2:$A$501,0)),""))</f>
        <v/>
      </c>
      <c r="D268" s="9"/>
      <c r="E268" s="9"/>
      <c r="F268" s="15" t="str">
        <f>IF(A268="","",IFERROR(INDEX(激励事件明细!$AA$2:$AA$501,MATCH(T268,激励事件明细!$A$2:$A$501,0)),""))</f>
        <v/>
      </c>
      <c r="G268" s="17" t="str">
        <f>IF(A268="","",IFERROR(INDEX(激励事件明细!$AB$2:$AB$501,MATCH(T268,激励事件明细!$A$2:$A$501,0)),""))</f>
        <v/>
      </c>
      <c r="H268" s="17" t="str">
        <f>IF(A268="","",IFERROR(INDEX(激励事件明细!$AC$2:$AC$501,MATCH(T268,激励事件明细!$A$2:$A$501,0)),""))</f>
        <v/>
      </c>
      <c r="I268" s="13"/>
      <c r="J268" s="14"/>
      <c r="K268" s="14"/>
      <c r="L268" s="9"/>
      <c r="M268" s="15" t="str">
        <f t="shared" si="24"/>
        <v/>
      </c>
      <c r="N268" s="15" t="str">
        <f t="shared" si="25"/>
        <v/>
      </c>
      <c r="O268" s="4" t="str">
        <f t="shared" ca="1" si="26"/>
        <v/>
      </c>
      <c r="P268" s="17" t="str">
        <f>IF(A268="","",IFERROR(IF(INDEX(激励事件明细!$P$2:$P$501,MATCH(T268,激励事件明细!$A$2:$A$501,0))=0,"",INDEX(激励事件明细!$P$2:$P$501,MATCH(T268,激励事件明细!$A$2:$A$501,0))),""))</f>
        <v/>
      </c>
      <c r="Q268" s="4" t="str">
        <f t="shared" si="27"/>
        <v>无效</v>
      </c>
      <c r="R268" s="4" t="str">
        <f t="shared" ca="1" si="28"/>
        <v>异常：必须关联有效事件编号或税额批次</v>
      </c>
      <c r="S268" s="9"/>
      <c r="T268" s="4" t="str">
        <f>IF(D268&lt;&gt;"",IF(COUNTIF(激励事件明细!$A$2:$A$501,D268)=1,D268,""),IF(E268&lt;&gt;"",IFERROR(INDEX(激励事件明细!$A$2:$A$501,MATCH(E268,激励事件明细!$B$2:$B$501,0)),""),""))</f>
        <v/>
      </c>
      <c r="U268" s="4" t="str">
        <f>IF(T268="","",IFERROR(INDEX(激励事件明细!$B$2:$B$501,MATCH(T268,激励事件明细!$A$2:$A$501,0)),""))</f>
        <v/>
      </c>
      <c r="V268" s="4" t="str">
        <f>IF(A268="","",COUNTIF($A$2:A268,A268))</f>
        <v/>
      </c>
      <c r="W268" s="4" t="str">
        <f t="shared" si="29"/>
        <v/>
      </c>
    </row>
    <row r="269" spans="1:23" x14ac:dyDescent="0.3">
      <c r="A269" s="4" t="str">
        <f>IF(T269="","",IFERROR(INDEX(激励事件明细!$C$2:$C$501,MATCH(T269,激励事件明细!$A$2:$A$501,0)),""))</f>
        <v/>
      </c>
      <c r="B269" s="4" t="str">
        <f>IF(A269="","",IFERROR(INDEX(激励事件明细!$D$2:$D$501,MATCH(T269,激励事件明细!$A$2:$A$501,0)),""))</f>
        <v/>
      </c>
      <c r="C269" s="4" t="str">
        <f>IF(A269="","",IFERROR(INDEX(激励事件明细!$H$2:$H$501,MATCH(T269,激励事件明细!$A$2:$A$501,0)),""))</f>
        <v/>
      </c>
      <c r="D269" s="9"/>
      <c r="E269" s="9"/>
      <c r="F269" s="15" t="str">
        <f>IF(A269="","",IFERROR(INDEX(激励事件明细!$AA$2:$AA$501,MATCH(T269,激励事件明细!$A$2:$A$501,0)),""))</f>
        <v/>
      </c>
      <c r="G269" s="17" t="str">
        <f>IF(A269="","",IFERROR(INDEX(激励事件明细!$AB$2:$AB$501,MATCH(T269,激励事件明细!$A$2:$A$501,0)),""))</f>
        <v/>
      </c>
      <c r="H269" s="17" t="str">
        <f>IF(A269="","",IFERROR(INDEX(激励事件明细!$AC$2:$AC$501,MATCH(T269,激励事件明细!$A$2:$A$501,0)),""))</f>
        <v/>
      </c>
      <c r="I269" s="13"/>
      <c r="J269" s="14"/>
      <c r="K269" s="14"/>
      <c r="L269" s="9"/>
      <c r="M269" s="15" t="str">
        <f t="shared" si="24"/>
        <v/>
      </c>
      <c r="N269" s="15" t="str">
        <f t="shared" si="25"/>
        <v/>
      </c>
      <c r="O269" s="4" t="str">
        <f t="shared" ca="1" si="26"/>
        <v/>
      </c>
      <c r="P269" s="17" t="str">
        <f>IF(A269="","",IFERROR(IF(INDEX(激励事件明细!$P$2:$P$501,MATCH(T269,激励事件明细!$A$2:$A$501,0))=0,"",INDEX(激励事件明细!$P$2:$P$501,MATCH(T269,激励事件明细!$A$2:$A$501,0))),""))</f>
        <v/>
      </c>
      <c r="Q269" s="4" t="str">
        <f t="shared" si="27"/>
        <v>无效</v>
      </c>
      <c r="R269" s="4" t="str">
        <f t="shared" ca="1" si="28"/>
        <v>异常：必须关联有效事件编号或税额批次</v>
      </c>
      <c r="S269" s="9"/>
      <c r="T269" s="4" t="str">
        <f>IF(D269&lt;&gt;"",IF(COUNTIF(激励事件明细!$A$2:$A$501,D269)=1,D269,""),IF(E269&lt;&gt;"",IFERROR(INDEX(激励事件明细!$A$2:$A$501,MATCH(E269,激励事件明细!$B$2:$B$501,0)),""),""))</f>
        <v/>
      </c>
      <c r="U269" s="4" t="str">
        <f>IF(T269="","",IFERROR(INDEX(激励事件明细!$B$2:$B$501,MATCH(T269,激励事件明细!$A$2:$A$501,0)),""))</f>
        <v/>
      </c>
      <c r="V269" s="4" t="str">
        <f>IF(A269="","",COUNTIF($A$2:A269,A269))</f>
        <v/>
      </c>
      <c r="W269" s="4" t="str">
        <f t="shared" si="29"/>
        <v/>
      </c>
    </row>
    <row r="270" spans="1:23" x14ac:dyDescent="0.3">
      <c r="A270" s="4" t="str">
        <f>IF(T270="","",IFERROR(INDEX(激励事件明细!$C$2:$C$501,MATCH(T270,激励事件明细!$A$2:$A$501,0)),""))</f>
        <v/>
      </c>
      <c r="B270" s="4" t="str">
        <f>IF(A270="","",IFERROR(INDEX(激励事件明细!$D$2:$D$501,MATCH(T270,激励事件明细!$A$2:$A$501,0)),""))</f>
        <v/>
      </c>
      <c r="C270" s="4" t="str">
        <f>IF(A270="","",IFERROR(INDEX(激励事件明细!$H$2:$H$501,MATCH(T270,激励事件明细!$A$2:$A$501,0)),""))</f>
        <v/>
      </c>
      <c r="D270" s="9"/>
      <c r="E270" s="9"/>
      <c r="F270" s="15" t="str">
        <f>IF(A270="","",IFERROR(INDEX(激励事件明细!$AA$2:$AA$501,MATCH(T270,激励事件明细!$A$2:$A$501,0)),""))</f>
        <v/>
      </c>
      <c r="G270" s="17" t="str">
        <f>IF(A270="","",IFERROR(INDEX(激励事件明细!$AB$2:$AB$501,MATCH(T270,激励事件明细!$A$2:$A$501,0)),""))</f>
        <v/>
      </c>
      <c r="H270" s="17" t="str">
        <f>IF(A270="","",IFERROR(INDEX(激励事件明细!$AC$2:$AC$501,MATCH(T270,激励事件明细!$A$2:$A$501,0)),""))</f>
        <v/>
      </c>
      <c r="I270" s="13"/>
      <c r="J270" s="14"/>
      <c r="K270" s="14"/>
      <c r="L270" s="9"/>
      <c r="M270" s="15" t="str">
        <f t="shared" si="24"/>
        <v/>
      </c>
      <c r="N270" s="15" t="str">
        <f t="shared" si="25"/>
        <v/>
      </c>
      <c r="O270" s="4" t="str">
        <f t="shared" ca="1" si="26"/>
        <v/>
      </c>
      <c r="P270" s="17" t="str">
        <f>IF(A270="","",IFERROR(IF(INDEX(激励事件明细!$P$2:$P$501,MATCH(T270,激励事件明细!$A$2:$A$501,0))=0,"",INDEX(激励事件明细!$P$2:$P$501,MATCH(T270,激励事件明细!$A$2:$A$501,0))),""))</f>
        <v/>
      </c>
      <c r="Q270" s="4" t="str">
        <f t="shared" si="27"/>
        <v>无效</v>
      </c>
      <c r="R270" s="4" t="str">
        <f t="shared" ca="1" si="28"/>
        <v>异常：必须关联有效事件编号或税额批次</v>
      </c>
      <c r="S270" s="9"/>
      <c r="T270" s="4" t="str">
        <f>IF(D270&lt;&gt;"",IF(COUNTIF(激励事件明细!$A$2:$A$501,D270)=1,D270,""),IF(E270&lt;&gt;"",IFERROR(INDEX(激励事件明细!$A$2:$A$501,MATCH(E270,激励事件明细!$B$2:$B$501,0)),""),""))</f>
        <v/>
      </c>
      <c r="U270" s="4" t="str">
        <f>IF(T270="","",IFERROR(INDEX(激励事件明细!$B$2:$B$501,MATCH(T270,激励事件明细!$A$2:$A$501,0)),""))</f>
        <v/>
      </c>
      <c r="V270" s="4" t="str">
        <f>IF(A270="","",COUNTIF($A$2:A270,A270))</f>
        <v/>
      </c>
      <c r="W270" s="4" t="str">
        <f t="shared" si="29"/>
        <v/>
      </c>
    </row>
    <row r="271" spans="1:23" x14ac:dyDescent="0.3">
      <c r="A271" s="4" t="str">
        <f>IF(T271="","",IFERROR(INDEX(激励事件明细!$C$2:$C$501,MATCH(T271,激励事件明细!$A$2:$A$501,0)),""))</f>
        <v/>
      </c>
      <c r="B271" s="4" t="str">
        <f>IF(A271="","",IFERROR(INDEX(激励事件明细!$D$2:$D$501,MATCH(T271,激励事件明细!$A$2:$A$501,0)),""))</f>
        <v/>
      </c>
      <c r="C271" s="4" t="str">
        <f>IF(A271="","",IFERROR(INDEX(激励事件明细!$H$2:$H$501,MATCH(T271,激励事件明细!$A$2:$A$501,0)),""))</f>
        <v/>
      </c>
      <c r="D271" s="9"/>
      <c r="E271" s="9"/>
      <c r="F271" s="15" t="str">
        <f>IF(A271="","",IFERROR(INDEX(激励事件明细!$AA$2:$AA$501,MATCH(T271,激励事件明细!$A$2:$A$501,0)),""))</f>
        <v/>
      </c>
      <c r="G271" s="17" t="str">
        <f>IF(A271="","",IFERROR(INDEX(激励事件明细!$AB$2:$AB$501,MATCH(T271,激励事件明细!$A$2:$A$501,0)),""))</f>
        <v/>
      </c>
      <c r="H271" s="17" t="str">
        <f>IF(A271="","",IFERROR(INDEX(激励事件明细!$AC$2:$AC$501,MATCH(T271,激励事件明细!$A$2:$A$501,0)),""))</f>
        <v/>
      </c>
      <c r="I271" s="13"/>
      <c r="J271" s="14"/>
      <c r="K271" s="14"/>
      <c r="L271" s="9"/>
      <c r="M271" s="15" t="str">
        <f t="shared" si="24"/>
        <v/>
      </c>
      <c r="N271" s="15" t="str">
        <f t="shared" si="25"/>
        <v/>
      </c>
      <c r="O271" s="4" t="str">
        <f t="shared" ca="1" si="26"/>
        <v/>
      </c>
      <c r="P271" s="17" t="str">
        <f>IF(A271="","",IFERROR(IF(INDEX(激励事件明细!$P$2:$P$501,MATCH(T271,激励事件明细!$A$2:$A$501,0))=0,"",INDEX(激励事件明细!$P$2:$P$501,MATCH(T271,激励事件明细!$A$2:$A$501,0))),""))</f>
        <v/>
      </c>
      <c r="Q271" s="4" t="str">
        <f t="shared" si="27"/>
        <v>无效</v>
      </c>
      <c r="R271" s="4" t="str">
        <f t="shared" ca="1" si="28"/>
        <v>异常：必须关联有效事件编号或税额批次</v>
      </c>
      <c r="S271" s="9"/>
      <c r="T271" s="4" t="str">
        <f>IF(D271&lt;&gt;"",IF(COUNTIF(激励事件明细!$A$2:$A$501,D271)=1,D271,""),IF(E271&lt;&gt;"",IFERROR(INDEX(激励事件明细!$A$2:$A$501,MATCH(E271,激励事件明细!$B$2:$B$501,0)),""),""))</f>
        <v/>
      </c>
      <c r="U271" s="4" t="str">
        <f>IF(T271="","",IFERROR(INDEX(激励事件明细!$B$2:$B$501,MATCH(T271,激励事件明细!$A$2:$A$501,0)),""))</f>
        <v/>
      </c>
      <c r="V271" s="4" t="str">
        <f>IF(A271="","",COUNTIF($A$2:A271,A271))</f>
        <v/>
      </c>
      <c r="W271" s="4" t="str">
        <f t="shared" si="29"/>
        <v/>
      </c>
    </row>
    <row r="272" spans="1:23" x14ac:dyDescent="0.3">
      <c r="A272" s="4" t="str">
        <f>IF(T272="","",IFERROR(INDEX(激励事件明细!$C$2:$C$501,MATCH(T272,激励事件明细!$A$2:$A$501,0)),""))</f>
        <v/>
      </c>
      <c r="B272" s="4" t="str">
        <f>IF(A272="","",IFERROR(INDEX(激励事件明细!$D$2:$D$501,MATCH(T272,激励事件明细!$A$2:$A$501,0)),""))</f>
        <v/>
      </c>
      <c r="C272" s="4" t="str">
        <f>IF(A272="","",IFERROR(INDEX(激励事件明细!$H$2:$H$501,MATCH(T272,激励事件明细!$A$2:$A$501,0)),""))</f>
        <v/>
      </c>
      <c r="D272" s="9"/>
      <c r="E272" s="9"/>
      <c r="F272" s="15" t="str">
        <f>IF(A272="","",IFERROR(INDEX(激励事件明细!$AA$2:$AA$501,MATCH(T272,激励事件明细!$A$2:$A$501,0)),""))</f>
        <v/>
      </c>
      <c r="G272" s="17" t="str">
        <f>IF(A272="","",IFERROR(INDEX(激励事件明细!$AB$2:$AB$501,MATCH(T272,激励事件明细!$A$2:$A$501,0)),""))</f>
        <v/>
      </c>
      <c r="H272" s="17" t="str">
        <f>IF(A272="","",IFERROR(INDEX(激励事件明细!$AC$2:$AC$501,MATCH(T272,激励事件明细!$A$2:$A$501,0)),""))</f>
        <v/>
      </c>
      <c r="I272" s="13"/>
      <c r="J272" s="14"/>
      <c r="K272" s="14"/>
      <c r="L272" s="9"/>
      <c r="M272" s="15" t="str">
        <f t="shared" si="24"/>
        <v/>
      </c>
      <c r="N272" s="15" t="str">
        <f t="shared" si="25"/>
        <v/>
      </c>
      <c r="O272" s="4" t="str">
        <f t="shared" ca="1" si="26"/>
        <v/>
      </c>
      <c r="P272" s="17" t="str">
        <f>IF(A272="","",IFERROR(IF(INDEX(激励事件明细!$P$2:$P$501,MATCH(T272,激励事件明细!$A$2:$A$501,0))=0,"",INDEX(激励事件明细!$P$2:$P$501,MATCH(T272,激励事件明细!$A$2:$A$501,0))),""))</f>
        <v/>
      </c>
      <c r="Q272" s="4" t="str">
        <f t="shared" si="27"/>
        <v>无效</v>
      </c>
      <c r="R272" s="4" t="str">
        <f t="shared" ca="1" si="28"/>
        <v>异常：必须关联有效事件编号或税额批次</v>
      </c>
      <c r="S272" s="9"/>
      <c r="T272" s="4" t="str">
        <f>IF(D272&lt;&gt;"",IF(COUNTIF(激励事件明细!$A$2:$A$501,D272)=1,D272,""),IF(E272&lt;&gt;"",IFERROR(INDEX(激励事件明细!$A$2:$A$501,MATCH(E272,激励事件明细!$B$2:$B$501,0)),""),""))</f>
        <v/>
      </c>
      <c r="U272" s="4" t="str">
        <f>IF(T272="","",IFERROR(INDEX(激励事件明细!$B$2:$B$501,MATCH(T272,激励事件明细!$A$2:$A$501,0)),""))</f>
        <v/>
      </c>
      <c r="V272" s="4" t="str">
        <f>IF(A272="","",COUNTIF($A$2:A272,A272))</f>
        <v/>
      </c>
      <c r="W272" s="4" t="str">
        <f t="shared" si="29"/>
        <v/>
      </c>
    </row>
    <row r="273" spans="1:23" x14ac:dyDescent="0.3">
      <c r="A273" s="4" t="str">
        <f>IF(T273="","",IFERROR(INDEX(激励事件明细!$C$2:$C$501,MATCH(T273,激励事件明细!$A$2:$A$501,0)),""))</f>
        <v/>
      </c>
      <c r="B273" s="4" t="str">
        <f>IF(A273="","",IFERROR(INDEX(激励事件明细!$D$2:$D$501,MATCH(T273,激励事件明细!$A$2:$A$501,0)),""))</f>
        <v/>
      </c>
      <c r="C273" s="4" t="str">
        <f>IF(A273="","",IFERROR(INDEX(激励事件明细!$H$2:$H$501,MATCH(T273,激励事件明细!$A$2:$A$501,0)),""))</f>
        <v/>
      </c>
      <c r="D273" s="9"/>
      <c r="E273" s="9"/>
      <c r="F273" s="15" t="str">
        <f>IF(A273="","",IFERROR(INDEX(激励事件明细!$AA$2:$AA$501,MATCH(T273,激励事件明细!$A$2:$A$501,0)),""))</f>
        <v/>
      </c>
      <c r="G273" s="17" t="str">
        <f>IF(A273="","",IFERROR(INDEX(激励事件明细!$AB$2:$AB$501,MATCH(T273,激励事件明细!$A$2:$A$501,0)),""))</f>
        <v/>
      </c>
      <c r="H273" s="17" t="str">
        <f>IF(A273="","",IFERROR(INDEX(激励事件明细!$AC$2:$AC$501,MATCH(T273,激励事件明细!$A$2:$A$501,0)),""))</f>
        <v/>
      </c>
      <c r="I273" s="13"/>
      <c r="J273" s="14"/>
      <c r="K273" s="14"/>
      <c r="L273" s="9"/>
      <c r="M273" s="15" t="str">
        <f t="shared" si="24"/>
        <v/>
      </c>
      <c r="N273" s="15" t="str">
        <f t="shared" si="25"/>
        <v/>
      </c>
      <c r="O273" s="4" t="str">
        <f t="shared" ca="1" si="26"/>
        <v/>
      </c>
      <c r="P273" s="17" t="str">
        <f>IF(A273="","",IFERROR(IF(INDEX(激励事件明细!$P$2:$P$501,MATCH(T273,激励事件明细!$A$2:$A$501,0))=0,"",INDEX(激励事件明细!$P$2:$P$501,MATCH(T273,激励事件明细!$A$2:$A$501,0))),""))</f>
        <v/>
      </c>
      <c r="Q273" s="4" t="str">
        <f t="shared" si="27"/>
        <v>无效</v>
      </c>
      <c r="R273" s="4" t="str">
        <f t="shared" ca="1" si="28"/>
        <v>异常：必须关联有效事件编号或税额批次</v>
      </c>
      <c r="S273" s="9"/>
      <c r="T273" s="4" t="str">
        <f>IF(D273&lt;&gt;"",IF(COUNTIF(激励事件明细!$A$2:$A$501,D273)=1,D273,""),IF(E273&lt;&gt;"",IFERROR(INDEX(激励事件明细!$A$2:$A$501,MATCH(E273,激励事件明细!$B$2:$B$501,0)),""),""))</f>
        <v/>
      </c>
      <c r="U273" s="4" t="str">
        <f>IF(T273="","",IFERROR(INDEX(激励事件明细!$B$2:$B$501,MATCH(T273,激励事件明细!$A$2:$A$501,0)),""))</f>
        <v/>
      </c>
      <c r="V273" s="4" t="str">
        <f>IF(A273="","",COUNTIF($A$2:A273,A273))</f>
        <v/>
      </c>
      <c r="W273" s="4" t="str">
        <f t="shared" si="29"/>
        <v/>
      </c>
    </row>
    <row r="274" spans="1:23" x14ac:dyDescent="0.3">
      <c r="A274" s="4" t="str">
        <f>IF(T274="","",IFERROR(INDEX(激励事件明细!$C$2:$C$501,MATCH(T274,激励事件明细!$A$2:$A$501,0)),""))</f>
        <v/>
      </c>
      <c r="B274" s="4" t="str">
        <f>IF(A274="","",IFERROR(INDEX(激励事件明细!$D$2:$D$501,MATCH(T274,激励事件明细!$A$2:$A$501,0)),""))</f>
        <v/>
      </c>
      <c r="C274" s="4" t="str">
        <f>IF(A274="","",IFERROR(INDEX(激励事件明细!$H$2:$H$501,MATCH(T274,激励事件明细!$A$2:$A$501,0)),""))</f>
        <v/>
      </c>
      <c r="D274" s="9"/>
      <c r="E274" s="9"/>
      <c r="F274" s="15" t="str">
        <f>IF(A274="","",IFERROR(INDEX(激励事件明细!$AA$2:$AA$501,MATCH(T274,激励事件明细!$A$2:$A$501,0)),""))</f>
        <v/>
      </c>
      <c r="G274" s="17" t="str">
        <f>IF(A274="","",IFERROR(INDEX(激励事件明细!$AB$2:$AB$501,MATCH(T274,激励事件明细!$A$2:$A$501,0)),""))</f>
        <v/>
      </c>
      <c r="H274" s="17" t="str">
        <f>IF(A274="","",IFERROR(INDEX(激励事件明细!$AC$2:$AC$501,MATCH(T274,激励事件明细!$A$2:$A$501,0)),""))</f>
        <v/>
      </c>
      <c r="I274" s="13"/>
      <c r="J274" s="14"/>
      <c r="K274" s="14"/>
      <c r="L274" s="9"/>
      <c r="M274" s="15" t="str">
        <f t="shared" si="24"/>
        <v/>
      </c>
      <c r="N274" s="15" t="str">
        <f t="shared" si="25"/>
        <v/>
      </c>
      <c r="O274" s="4" t="str">
        <f t="shared" ca="1" si="26"/>
        <v/>
      </c>
      <c r="P274" s="17" t="str">
        <f>IF(A274="","",IFERROR(IF(INDEX(激励事件明细!$P$2:$P$501,MATCH(T274,激励事件明细!$A$2:$A$501,0))=0,"",INDEX(激励事件明细!$P$2:$P$501,MATCH(T274,激励事件明细!$A$2:$A$501,0))),""))</f>
        <v/>
      </c>
      <c r="Q274" s="4" t="str">
        <f t="shared" si="27"/>
        <v>无效</v>
      </c>
      <c r="R274" s="4" t="str">
        <f t="shared" ca="1" si="28"/>
        <v>异常：必须关联有效事件编号或税额批次</v>
      </c>
      <c r="S274" s="9"/>
      <c r="T274" s="4" t="str">
        <f>IF(D274&lt;&gt;"",IF(COUNTIF(激励事件明细!$A$2:$A$501,D274)=1,D274,""),IF(E274&lt;&gt;"",IFERROR(INDEX(激励事件明细!$A$2:$A$501,MATCH(E274,激励事件明细!$B$2:$B$501,0)),""),""))</f>
        <v/>
      </c>
      <c r="U274" s="4" t="str">
        <f>IF(T274="","",IFERROR(INDEX(激励事件明细!$B$2:$B$501,MATCH(T274,激励事件明细!$A$2:$A$501,0)),""))</f>
        <v/>
      </c>
      <c r="V274" s="4" t="str">
        <f>IF(A274="","",COUNTIF($A$2:A274,A274))</f>
        <v/>
      </c>
      <c r="W274" s="4" t="str">
        <f t="shared" si="29"/>
        <v/>
      </c>
    </row>
    <row r="275" spans="1:23" x14ac:dyDescent="0.3">
      <c r="A275" s="4" t="str">
        <f>IF(T275="","",IFERROR(INDEX(激励事件明细!$C$2:$C$501,MATCH(T275,激励事件明细!$A$2:$A$501,0)),""))</f>
        <v/>
      </c>
      <c r="B275" s="4" t="str">
        <f>IF(A275="","",IFERROR(INDEX(激励事件明细!$D$2:$D$501,MATCH(T275,激励事件明细!$A$2:$A$501,0)),""))</f>
        <v/>
      </c>
      <c r="C275" s="4" t="str">
        <f>IF(A275="","",IFERROR(INDEX(激励事件明细!$H$2:$H$501,MATCH(T275,激励事件明细!$A$2:$A$501,0)),""))</f>
        <v/>
      </c>
      <c r="D275" s="9"/>
      <c r="E275" s="9"/>
      <c r="F275" s="15" t="str">
        <f>IF(A275="","",IFERROR(INDEX(激励事件明细!$AA$2:$AA$501,MATCH(T275,激励事件明细!$A$2:$A$501,0)),""))</f>
        <v/>
      </c>
      <c r="G275" s="17" t="str">
        <f>IF(A275="","",IFERROR(INDEX(激励事件明细!$AB$2:$AB$501,MATCH(T275,激励事件明细!$A$2:$A$501,0)),""))</f>
        <v/>
      </c>
      <c r="H275" s="17" t="str">
        <f>IF(A275="","",IFERROR(INDEX(激励事件明细!$AC$2:$AC$501,MATCH(T275,激励事件明细!$A$2:$A$501,0)),""))</f>
        <v/>
      </c>
      <c r="I275" s="13"/>
      <c r="J275" s="14"/>
      <c r="K275" s="14"/>
      <c r="L275" s="9"/>
      <c r="M275" s="15" t="str">
        <f t="shared" si="24"/>
        <v/>
      </c>
      <c r="N275" s="15" t="str">
        <f t="shared" si="25"/>
        <v/>
      </c>
      <c r="O275" s="4" t="str">
        <f t="shared" ca="1" si="26"/>
        <v/>
      </c>
      <c r="P275" s="17" t="str">
        <f>IF(A275="","",IFERROR(IF(INDEX(激励事件明细!$P$2:$P$501,MATCH(T275,激励事件明细!$A$2:$A$501,0))=0,"",INDEX(激励事件明细!$P$2:$P$501,MATCH(T275,激励事件明细!$A$2:$A$501,0))),""))</f>
        <v/>
      </c>
      <c r="Q275" s="4" t="str">
        <f t="shared" si="27"/>
        <v>无效</v>
      </c>
      <c r="R275" s="4" t="str">
        <f t="shared" ca="1" si="28"/>
        <v>异常：必须关联有效事件编号或税额批次</v>
      </c>
      <c r="S275" s="9"/>
      <c r="T275" s="4" t="str">
        <f>IF(D275&lt;&gt;"",IF(COUNTIF(激励事件明细!$A$2:$A$501,D275)=1,D275,""),IF(E275&lt;&gt;"",IFERROR(INDEX(激励事件明细!$A$2:$A$501,MATCH(E275,激励事件明细!$B$2:$B$501,0)),""),""))</f>
        <v/>
      </c>
      <c r="U275" s="4" t="str">
        <f>IF(T275="","",IFERROR(INDEX(激励事件明细!$B$2:$B$501,MATCH(T275,激励事件明细!$A$2:$A$501,0)),""))</f>
        <v/>
      </c>
      <c r="V275" s="4" t="str">
        <f>IF(A275="","",COUNTIF($A$2:A275,A275))</f>
        <v/>
      </c>
      <c r="W275" s="4" t="str">
        <f t="shared" si="29"/>
        <v/>
      </c>
    </row>
    <row r="276" spans="1:23" x14ac:dyDescent="0.3">
      <c r="A276" s="4" t="str">
        <f>IF(T276="","",IFERROR(INDEX(激励事件明细!$C$2:$C$501,MATCH(T276,激励事件明细!$A$2:$A$501,0)),""))</f>
        <v/>
      </c>
      <c r="B276" s="4" t="str">
        <f>IF(A276="","",IFERROR(INDEX(激励事件明细!$D$2:$D$501,MATCH(T276,激励事件明细!$A$2:$A$501,0)),""))</f>
        <v/>
      </c>
      <c r="C276" s="4" t="str">
        <f>IF(A276="","",IFERROR(INDEX(激励事件明细!$H$2:$H$501,MATCH(T276,激励事件明细!$A$2:$A$501,0)),""))</f>
        <v/>
      </c>
      <c r="D276" s="9"/>
      <c r="E276" s="9"/>
      <c r="F276" s="15" t="str">
        <f>IF(A276="","",IFERROR(INDEX(激励事件明细!$AA$2:$AA$501,MATCH(T276,激励事件明细!$A$2:$A$501,0)),""))</f>
        <v/>
      </c>
      <c r="G276" s="17" t="str">
        <f>IF(A276="","",IFERROR(INDEX(激励事件明细!$AB$2:$AB$501,MATCH(T276,激励事件明细!$A$2:$A$501,0)),""))</f>
        <v/>
      </c>
      <c r="H276" s="17" t="str">
        <f>IF(A276="","",IFERROR(INDEX(激励事件明细!$AC$2:$AC$501,MATCH(T276,激励事件明细!$A$2:$A$501,0)),""))</f>
        <v/>
      </c>
      <c r="I276" s="13"/>
      <c r="J276" s="14"/>
      <c r="K276" s="14"/>
      <c r="L276" s="9"/>
      <c r="M276" s="15" t="str">
        <f t="shared" si="24"/>
        <v/>
      </c>
      <c r="N276" s="15" t="str">
        <f t="shared" si="25"/>
        <v/>
      </c>
      <c r="O276" s="4" t="str">
        <f t="shared" ca="1" si="26"/>
        <v/>
      </c>
      <c r="P276" s="17" t="str">
        <f>IF(A276="","",IFERROR(IF(INDEX(激励事件明细!$P$2:$P$501,MATCH(T276,激励事件明细!$A$2:$A$501,0))=0,"",INDEX(激励事件明细!$P$2:$P$501,MATCH(T276,激励事件明细!$A$2:$A$501,0))),""))</f>
        <v/>
      </c>
      <c r="Q276" s="4" t="str">
        <f t="shared" si="27"/>
        <v>无效</v>
      </c>
      <c r="R276" s="4" t="str">
        <f t="shared" ca="1" si="28"/>
        <v>异常：必须关联有效事件编号或税额批次</v>
      </c>
      <c r="S276" s="9"/>
      <c r="T276" s="4" t="str">
        <f>IF(D276&lt;&gt;"",IF(COUNTIF(激励事件明细!$A$2:$A$501,D276)=1,D276,""),IF(E276&lt;&gt;"",IFERROR(INDEX(激励事件明细!$A$2:$A$501,MATCH(E276,激励事件明细!$B$2:$B$501,0)),""),""))</f>
        <v/>
      </c>
      <c r="U276" s="4" t="str">
        <f>IF(T276="","",IFERROR(INDEX(激励事件明细!$B$2:$B$501,MATCH(T276,激励事件明细!$A$2:$A$501,0)),""))</f>
        <v/>
      </c>
      <c r="V276" s="4" t="str">
        <f>IF(A276="","",COUNTIF($A$2:A276,A276))</f>
        <v/>
      </c>
      <c r="W276" s="4" t="str">
        <f t="shared" si="29"/>
        <v/>
      </c>
    </row>
    <row r="277" spans="1:23" x14ac:dyDescent="0.3">
      <c r="A277" s="4" t="str">
        <f>IF(T277="","",IFERROR(INDEX(激励事件明细!$C$2:$C$501,MATCH(T277,激励事件明细!$A$2:$A$501,0)),""))</f>
        <v/>
      </c>
      <c r="B277" s="4" t="str">
        <f>IF(A277="","",IFERROR(INDEX(激励事件明细!$D$2:$D$501,MATCH(T277,激励事件明细!$A$2:$A$501,0)),""))</f>
        <v/>
      </c>
      <c r="C277" s="4" t="str">
        <f>IF(A277="","",IFERROR(INDEX(激励事件明细!$H$2:$H$501,MATCH(T277,激励事件明细!$A$2:$A$501,0)),""))</f>
        <v/>
      </c>
      <c r="D277" s="9"/>
      <c r="E277" s="9"/>
      <c r="F277" s="15" t="str">
        <f>IF(A277="","",IFERROR(INDEX(激励事件明细!$AA$2:$AA$501,MATCH(T277,激励事件明细!$A$2:$A$501,0)),""))</f>
        <v/>
      </c>
      <c r="G277" s="17" t="str">
        <f>IF(A277="","",IFERROR(INDEX(激励事件明细!$AB$2:$AB$501,MATCH(T277,激励事件明细!$A$2:$A$501,0)),""))</f>
        <v/>
      </c>
      <c r="H277" s="17" t="str">
        <f>IF(A277="","",IFERROR(INDEX(激励事件明细!$AC$2:$AC$501,MATCH(T277,激励事件明细!$A$2:$A$501,0)),""))</f>
        <v/>
      </c>
      <c r="I277" s="13"/>
      <c r="J277" s="14"/>
      <c r="K277" s="14"/>
      <c r="L277" s="9"/>
      <c r="M277" s="15" t="str">
        <f t="shared" si="24"/>
        <v/>
      </c>
      <c r="N277" s="15" t="str">
        <f t="shared" si="25"/>
        <v/>
      </c>
      <c r="O277" s="4" t="str">
        <f t="shared" ca="1" si="26"/>
        <v/>
      </c>
      <c r="P277" s="17" t="str">
        <f>IF(A277="","",IFERROR(IF(INDEX(激励事件明细!$P$2:$P$501,MATCH(T277,激励事件明细!$A$2:$A$501,0))=0,"",INDEX(激励事件明细!$P$2:$P$501,MATCH(T277,激励事件明细!$A$2:$A$501,0))),""))</f>
        <v/>
      </c>
      <c r="Q277" s="4" t="str">
        <f t="shared" si="27"/>
        <v>无效</v>
      </c>
      <c r="R277" s="4" t="str">
        <f t="shared" ca="1" si="28"/>
        <v>异常：必须关联有效事件编号或税额批次</v>
      </c>
      <c r="S277" s="9"/>
      <c r="T277" s="4" t="str">
        <f>IF(D277&lt;&gt;"",IF(COUNTIF(激励事件明细!$A$2:$A$501,D277)=1,D277,""),IF(E277&lt;&gt;"",IFERROR(INDEX(激励事件明细!$A$2:$A$501,MATCH(E277,激励事件明细!$B$2:$B$501,0)),""),""))</f>
        <v/>
      </c>
      <c r="U277" s="4" t="str">
        <f>IF(T277="","",IFERROR(INDEX(激励事件明细!$B$2:$B$501,MATCH(T277,激励事件明细!$A$2:$A$501,0)),""))</f>
        <v/>
      </c>
      <c r="V277" s="4" t="str">
        <f>IF(A277="","",COUNTIF($A$2:A277,A277))</f>
        <v/>
      </c>
      <c r="W277" s="4" t="str">
        <f t="shared" si="29"/>
        <v/>
      </c>
    </row>
    <row r="278" spans="1:23" x14ac:dyDescent="0.3">
      <c r="A278" s="4" t="str">
        <f>IF(T278="","",IFERROR(INDEX(激励事件明细!$C$2:$C$501,MATCH(T278,激励事件明细!$A$2:$A$501,0)),""))</f>
        <v/>
      </c>
      <c r="B278" s="4" t="str">
        <f>IF(A278="","",IFERROR(INDEX(激励事件明细!$D$2:$D$501,MATCH(T278,激励事件明细!$A$2:$A$501,0)),""))</f>
        <v/>
      </c>
      <c r="C278" s="4" t="str">
        <f>IF(A278="","",IFERROR(INDEX(激励事件明细!$H$2:$H$501,MATCH(T278,激励事件明细!$A$2:$A$501,0)),""))</f>
        <v/>
      </c>
      <c r="D278" s="9"/>
      <c r="E278" s="9"/>
      <c r="F278" s="15" t="str">
        <f>IF(A278="","",IFERROR(INDEX(激励事件明细!$AA$2:$AA$501,MATCH(T278,激励事件明细!$A$2:$A$501,0)),""))</f>
        <v/>
      </c>
      <c r="G278" s="17" t="str">
        <f>IF(A278="","",IFERROR(INDEX(激励事件明细!$AB$2:$AB$501,MATCH(T278,激励事件明细!$A$2:$A$501,0)),""))</f>
        <v/>
      </c>
      <c r="H278" s="17" t="str">
        <f>IF(A278="","",IFERROR(INDEX(激励事件明细!$AC$2:$AC$501,MATCH(T278,激励事件明细!$A$2:$A$501,0)),""))</f>
        <v/>
      </c>
      <c r="I278" s="13"/>
      <c r="J278" s="14"/>
      <c r="K278" s="14"/>
      <c r="L278" s="9"/>
      <c r="M278" s="15" t="str">
        <f t="shared" si="24"/>
        <v/>
      </c>
      <c r="N278" s="15" t="str">
        <f t="shared" si="25"/>
        <v/>
      </c>
      <c r="O278" s="4" t="str">
        <f t="shared" ca="1" si="26"/>
        <v/>
      </c>
      <c r="P278" s="17" t="str">
        <f>IF(A278="","",IFERROR(IF(INDEX(激励事件明细!$P$2:$P$501,MATCH(T278,激励事件明细!$A$2:$A$501,0))=0,"",INDEX(激励事件明细!$P$2:$P$501,MATCH(T278,激励事件明细!$A$2:$A$501,0))),""))</f>
        <v/>
      </c>
      <c r="Q278" s="4" t="str">
        <f t="shared" si="27"/>
        <v>无效</v>
      </c>
      <c r="R278" s="4" t="str">
        <f t="shared" ca="1" si="28"/>
        <v>异常：必须关联有效事件编号或税额批次</v>
      </c>
      <c r="S278" s="9"/>
      <c r="T278" s="4" t="str">
        <f>IF(D278&lt;&gt;"",IF(COUNTIF(激励事件明细!$A$2:$A$501,D278)=1,D278,""),IF(E278&lt;&gt;"",IFERROR(INDEX(激励事件明细!$A$2:$A$501,MATCH(E278,激励事件明细!$B$2:$B$501,0)),""),""))</f>
        <v/>
      </c>
      <c r="U278" s="4" t="str">
        <f>IF(T278="","",IFERROR(INDEX(激励事件明细!$B$2:$B$501,MATCH(T278,激励事件明细!$A$2:$A$501,0)),""))</f>
        <v/>
      </c>
      <c r="V278" s="4" t="str">
        <f>IF(A278="","",COUNTIF($A$2:A278,A278))</f>
        <v/>
      </c>
      <c r="W278" s="4" t="str">
        <f t="shared" si="29"/>
        <v/>
      </c>
    </row>
    <row r="279" spans="1:23" x14ac:dyDescent="0.3">
      <c r="A279" s="4" t="str">
        <f>IF(T279="","",IFERROR(INDEX(激励事件明细!$C$2:$C$501,MATCH(T279,激励事件明细!$A$2:$A$501,0)),""))</f>
        <v/>
      </c>
      <c r="B279" s="4" t="str">
        <f>IF(A279="","",IFERROR(INDEX(激励事件明细!$D$2:$D$501,MATCH(T279,激励事件明细!$A$2:$A$501,0)),""))</f>
        <v/>
      </c>
      <c r="C279" s="4" t="str">
        <f>IF(A279="","",IFERROR(INDEX(激励事件明细!$H$2:$H$501,MATCH(T279,激励事件明细!$A$2:$A$501,0)),""))</f>
        <v/>
      </c>
      <c r="D279" s="9"/>
      <c r="E279" s="9"/>
      <c r="F279" s="15" t="str">
        <f>IF(A279="","",IFERROR(INDEX(激励事件明细!$AA$2:$AA$501,MATCH(T279,激励事件明细!$A$2:$A$501,0)),""))</f>
        <v/>
      </c>
      <c r="G279" s="17" t="str">
        <f>IF(A279="","",IFERROR(INDEX(激励事件明细!$AB$2:$AB$501,MATCH(T279,激励事件明细!$A$2:$A$501,0)),""))</f>
        <v/>
      </c>
      <c r="H279" s="17" t="str">
        <f>IF(A279="","",IFERROR(INDEX(激励事件明细!$AC$2:$AC$501,MATCH(T279,激励事件明细!$A$2:$A$501,0)),""))</f>
        <v/>
      </c>
      <c r="I279" s="13"/>
      <c r="J279" s="14"/>
      <c r="K279" s="14"/>
      <c r="L279" s="9"/>
      <c r="M279" s="15" t="str">
        <f t="shared" si="24"/>
        <v/>
      </c>
      <c r="N279" s="15" t="str">
        <f t="shared" si="25"/>
        <v/>
      </c>
      <c r="O279" s="4" t="str">
        <f t="shared" ca="1" si="26"/>
        <v/>
      </c>
      <c r="P279" s="17" t="str">
        <f>IF(A279="","",IFERROR(IF(INDEX(激励事件明细!$P$2:$P$501,MATCH(T279,激励事件明细!$A$2:$A$501,0))=0,"",INDEX(激励事件明细!$P$2:$P$501,MATCH(T279,激励事件明细!$A$2:$A$501,0))),""))</f>
        <v/>
      </c>
      <c r="Q279" s="4" t="str">
        <f t="shared" si="27"/>
        <v>无效</v>
      </c>
      <c r="R279" s="4" t="str">
        <f t="shared" ca="1" si="28"/>
        <v>异常：必须关联有效事件编号或税额批次</v>
      </c>
      <c r="S279" s="9"/>
      <c r="T279" s="4" t="str">
        <f>IF(D279&lt;&gt;"",IF(COUNTIF(激励事件明细!$A$2:$A$501,D279)=1,D279,""),IF(E279&lt;&gt;"",IFERROR(INDEX(激励事件明细!$A$2:$A$501,MATCH(E279,激励事件明细!$B$2:$B$501,0)),""),""))</f>
        <v/>
      </c>
      <c r="U279" s="4" t="str">
        <f>IF(T279="","",IFERROR(INDEX(激励事件明细!$B$2:$B$501,MATCH(T279,激励事件明细!$A$2:$A$501,0)),""))</f>
        <v/>
      </c>
      <c r="V279" s="4" t="str">
        <f>IF(A279="","",COUNTIF($A$2:A279,A279))</f>
        <v/>
      </c>
      <c r="W279" s="4" t="str">
        <f t="shared" si="29"/>
        <v/>
      </c>
    </row>
    <row r="280" spans="1:23" x14ac:dyDescent="0.3">
      <c r="A280" s="4" t="str">
        <f>IF(T280="","",IFERROR(INDEX(激励事件明细!$C$2:$C$501,MATCH(T280,激励事件明细!$A$2:$A$501,0)),""))</f>
        <v/>
      </c>
      <c r="B280" s="4" t="str">
        <f>IF(A280="","",IFERROR(INDEX(激励事件明细!$D$2:$D$501,MATCH(T280,激励事件明细!$A$2:$A$501,0)),""))</f>
        <v/>
      </c>
      <c r="C280" s="4" t="str">
        <f>IF(A280="","",IFERROR(INDEX(激励事件明细!$H$2:$H$501,MATCH(T280,激励事件明细!$A$2:$A$501,0)),""))</f>
        <v/>
      </c>
      <c r="D280" s="9"/>
      <c r="E280" s="9"/>
      <c r="F280" s="15" t="str">
        <f>IF(A280="","",IFERROR(INDEX(激励事件明细!$AA$2:$AA$501,MATCH(T280,激励事件明细!$A$2:$A$501,0)),""))</f>
        <v/>
      </c>
      <c r="G280" s="17" t="str">
        <f>IF(A280="","",IFERROR(INDEX(激励事件明细!$AB$2:$AB$501,MATCH(T280,激励事件明细!$A$2:$A$501,0)),""))</f>
        <v/>
      </c>
      <c r="H280" s="17" t="str">
        <f>IF(A280="","",IFERROR(INDEX(激励事件明细!$AC$2:$AC$501,MATCH(T280,激励事件明细!$A$2:$A$501,0)),""))</f>
        <v/>
      </c>
      <c r="I280" s="13"/>
      <c r="J280" s="14"/>
      <c r="K280" s="14"/>
      <c r="L280" s="9"/>
      <c r="M280" s="15" t="str">
        <f t="shared" si="24"/>
        <v/>
      </c>
      <c r="N280" s="15" t="str">
        <f t="shared" si="25"/>
        <v/>
      </c>
      <c r="O280" s="4" t="str">
        <f t="shared" ca="1" si="26"/>
        <v/>
      </c>
      <c r="P280" s="17" t="str">
        <f>IF(A280="","",IFERROR(IF(INDEX(激励事件明细!$P$2:$P$501,MATCH(T280,激励事件明细!$A$2:$A$501,0))=0,"",INDEX(激励事件明细!$P$2:$P$501,MATCH(T280,激励事件明细!$A$2:$A$501,0))),""))</f>
        <v/>
      </c>
      <c r="Q280" s="4" t="str">
        <f t="shared" si="27"/>
        <v>无效</v>
      </c>
      <c r="R280" s="4" t="str">
        <f t="shared" ca="1" si="28"/>
        <v>异常：必须关联有效事件编号或税额批次</v>
      </c>
      <c r="S280" s="9"/>
      <c r="T280" s="4" t="str">
        <f>IF(D280&lt;&gt;"",IF(COUNTIF(激励事件明细!$A$2:$A$501,D280)=1,D280,""),IF(E280&lt;&gt;"",IFERROR(INDEX(激励事件明细!$A$2:$A$501,MATCH(E280,激励事件明细!$B$2:$B$501,0)),""),""))</f>
        <v/>
      </c>
      <c r="U280" s="4" t="str">
        <f>IF(T280="","",IFERROR(INDEX(激励事件明细!$B$2:$B$501,MATCH(T280,激励事件明细!$A$2:$A$501,0)),""))</f>
        <v/>
      </c>
      <c r="V280" s="4" t="str">
        <f>IF(A280="","",COUNTIF($A$2:A280,A280))</f>
        <v/>
      </c>
      <c r="W280" s="4" t="str">
        <f t="shared" si="29"/>
        <v/>
      </c>
    </row>
    <row r="281" spans="1:23" x14ac:dyDescent="0.3">
      <c r="A281" s="4" t="str">
        <f>IF(T281="","",IFERROR(INDEX(激励事件明细!$C$2:$C$501,MATCH(T281,激励事件明细!$A$2:$A$501,0)),""))</f>
        <v/>
      </c>
      <c r="B281" s="4" t="str">
        <f>IF(A281="","",IFERROR(INDEX(激励事件明细!$D$2:$D$501,MATCH(T281,激励事件明细!$A$2:$A$501,0)),""))</f>
        <v/>
      </c>
      <c r="C281" s="4" t="str">
        <f>IF(A281="","",IFERROR(INDEX(激励事件明细!$H$2:$H$501,MATCH(T281,激励事件明细!$A$2:$A$501,0)),""))</f>
        <v/>
      </c>
      <c r="D281" s="9"/>
      <c r="E281" s="9"/>
      <c r="F281" s="15" t="str">
        <f>IF(A281="","",IFERROR(INDEX(激励事件明细!$AA$2:$AA$501,MATCH(T281,激励事件明细!$A$2:$A$501,0)),""))</f>
        <v/>
      </c>
      <c r="G281" s="17" t="str">
        <f>IF(A281="","",IFERROR(INDEX(激励事件明细!$AB$2:$AB$501,MATCH(T281,激励事件明细!$A$2:$A$501,0)),""))</f>
        <v/>
      </c>
      <c r="H281" s="17" t="str">
        <f>IF(A281="","",IFERROR(INDEX(激励事件明细!$AC$2:$AC$501,MATCH(T281,激励事件明细!$A$2:$A$501,0)),""))</f>
        <v/>
      </c>
      <c r="I281" s="13"/>
      <c r="J281" s="14"/>
      <c r="K281" s="14"/>
      <c r="L281" s="9"/>
      <c r="M281" s="15" t="str">
        <f t="shared" si="24"/>
        <v/>
      </c>
      <c r="N281" s="15" t="str">
        <f t="shared" si="25"/>
        <v/>
      </c>
      <c r="O281" s="4" t="str">
        <f t="shared" ca="1" si="26"/>
        <v/>
      </c>
      <c r="P281" s="17" t="str">
        <f>IF(A281="","",IFERROR(IF(INDEX(激励事件明细!$P$2:$P$501,MATCH(T281,激励事件明细!$A$2:$A$501,0))=0,"",INDEX(激励事件明细!$P$2:$P$501,MATCH(T281,激励事件明细!$A$2:$A$501,0))),""))</f>
        <v/>
      </c>
      <c r="Q281" s="4" t="str">
        <f t="shared" si="27"/>
        <v>无效</v>
      </c>
      <c r="R281" s="4" t="str">
        <f t="shared" ca="1" si="28"/>
        <v>异常：必须关联有效事件编号或税额批次</v>
      </c>
      <c r="S281" s="9"/>
      <c r="T281" s="4" t="str">
        <f>IF(D281&lt;&gt;"",IF(COUNTIF(激励事件明细!$A$2:$A$501,D281)=1,D281,""),IF(E281&lt;&gt;"",IFERROR(INDEX(激励事件明细!$A$2:$A$501,MATCH(E281,激励事件明细!$B$2:$B$501,0)),""),""))</f>
        <v/>
      </c>
      <c r="U281" s="4" t="str">
        <f>IF(T281="","",IFERROR(INDEX(激励事件明细!$B$2:$B$501,MATCH(T281,激励事件明细!$A$2:$A$501,0)),""))</f>
        <v/>
      </c>
      <c r="V281" s="4" t="str">
        <f>IF(A281="","",COUNTIF($A$2:A281,A281))</f>
        <v/>
      </c>
      <c r="W281" s="4" t="str">
        <f t="shared" si="29"/>
        <v/>
      </c>
    </row>
    <row r="282" spans="1:23" x14ac:dyDescent="0.3">
      <c r="A282" s="4" t="str">
        <f>IF(T282="","",IFERROR(INDEX(激励事件明细!$C$2:$C$501,MATCH(T282,激励事件明细!$A$2:$A$501,0)),""))</f>
        <v/>
      </c>
      <c r="B282" s="4" t="str">
        <f>IF(A282="","",IFERROR(INDEX(激励事件明细!$D$2:$D$501,MATCH(T282,激励事件明细!$A$2:$A$501,0)),""))</f>
        <v/>
      </c>
      <c r="C282" s="4" t="str">
        <f>IF(A282="","",IFERROR(INDEX(激励事件明细!$H$2:$H$501,MATCH(T282,激励事件明细!$A$2:$A$501,0)),""))</f>
        <v/>
      </c>
      <c r="D282" s="9"/>
      <c r="E282" s="9"/>
      <c r="F282" s="15" t="str">
        <f>IF(A282="","",IFERROR(INDEX(激励事件明细!$AA$2:$AA$501,MATCH(T282,激励事件明细!$A$2:$A$501,0)),""))</f>
        <v/>
      </c>
      <c r="G282" s="17" t="str">
        <f>IF(A282="","",IFERROR(INDEX(激励事件明细!$AB$2:$AB$501,MATCH(T282,激励事件明细!$A$2:$A$501,0)),""))</f>
        <v/>
      </c>
      <c r="H282" s="17" t="str">
        <f>IF(A282="","",IFERROR(INDEX(激励事件明细!$AC$2:$AC$501,MATCH(T282,激励事件明细!$A$2:$A$501,0)),""))</f>
        <v/>
      </c>
      <c r="I282" s="13"/>
      <c r="J282" s="14"/>
      <c r="K282" s="14"/>
      <c r="L282" s="9"/>
      <c r="M282" s="15" t="str">
        <f t="shared" si="24"/>
        <v/>
      </c>
      <c r="N282" s="15" t="str">
        <f t="shared" si="25"/>
        <v/>
      </c>
      <c r="O282" s="4" t="str">
        <f t="shared" ca="1" si="26"/>
        <v/>
      </c>
      <c r="P282" s="17" t="str">
        <f>IF(A282="","",IFERROR(IF(INDEX(激励事件明细!$P$2:$P$501,MATCH(T282,激励事件明细!$A$2:$A$501,0))=0,"",INDEX(激励事件明细!$P$2:$P$501,MATCH(T282,激励事件明细!$A$2:$A$501,0))),""))</f>
        <v/>
      </c>
      <c r="Q282" s="4" t="str">
        <f t="shared" si="27"/>
        <v>无效</v>
      </c>
      <c r="R282" s="4" t="str">
        <f t="shared" ca="1" si="28"/>
        <v>异常：必须关联有效事件编号或税额批次</v>
      </c>
      <c r="S282" s="9"/>
      <c r="T282" s="4" t="str">
        <f>IF(D282&lt;&gt;"",IF(COUNTIF(激励事件明细!$A$2:$A$501,D282)=1,D282,""),IF(E282&lt;&gt;"",IFERROR(INDEX(激励事件明细!$A$2:$A$501,MATCH(E282,激励事件明细!$B$2:$B$501,0)),""),""))</f>
        <v/>
      </c>
      <c r="U282" s="4" t="str">
        <f>IF(T282="","",IFERROR(INDEX(激励事件明细!$B$2:$B$501,MATCH(T282,激励事件明细!$A$2:$A$501,0)),""))</f>
        <v/>
      </c>
      <c r="V282" s="4" t="str">
        <f>IF(A282="","",COUNTIF($A$2:A282,A282))</f>
        <v/>
      </c>
      <c r="W282" s="4" t="str">
        <f t="shared" si="29"/>
        <v/>
      </c>
    </row>
    <row r="283" spans="1:23" x14ac:dyDescent="0.3">
      <c r="A283" s="4" t="str">
        <f>IF(T283="","",IFERROR(INDEX(激励事件明细!$C$2:$C$501,MATCH(T283,激励事件明细!$A$2:$A$501,0)),""))</f>
        <v/>
      </c>
      <c r="B283" s="4" t="str">
        <f>IF(A283="","",IFERROR(INDEX(激励事件明细!$D$2:$D$501,MATCH(T283,激励事件明细!$A$2:$A$501,0)),""))</f>
        <v/>
      </c>
      <c r="C283" s="4" t="str">
        <f>IF(A283="","",IFERROR(INDEX(激励事件明细!$H$2:$H$501,MATCH(T283,激励事件明细!$A$2:$A$501,0)),""))</f>
        <v/>
      </c>
      <c r="D283" s="9"/>
      <c r="E283" s="9"/>
      <c r="F283" s="15" t="str">
        <f>IF(A283="","",IFERROR(INDEX(激励事件明细!$AA$2:$AA$501,MATCH(T283,激励事件明细!$A$2:$A$501,0)),""))</f>
        <v/>
      </c>
      <c r="G283" s="17" t="str">
        <f>IF(A283="","",IFERROR(INDEX(激励事件明细!$AB$2:$AB$501,MATCH(T283,激励事件明细!$A$2:$A$501,0)),""))</f>
        <v/>
      </c>
      <c r="H283" s="17" t="str">
        <f>IF(A283="","",IFERROR(INDEX(激励事件明细!$AC$2:$AC$501,MATCH(T283,激励事件明细!$A$2:$A$501,0)),""))</f>
        <v/>
      </c>
      <c r="I283" s="13"/>
      <c r="J283" s="14"/>
      <c r="K283" s="14"/>
      <c r="L283" s="9"/>
      <c r="M283" s="15" t="str">
        <f t="shared" si="24"/>
        <v/>
      </c>
      <c r="N283" s="15" t="str">
        <f t="shared" si="25"/>
        <v/>
      </c>
      <c r="O283" s="4" t="str">
        <f t="shared" ca="1" si="26"/>
        <v/>
      </c>
      <c r="P283" s="17" t="str">
        <f>IF(A283="","",IFERROR(IF(INDEX(激励事件明细!$P$2:$P$501,MATCH(T283,激励事件明细!$A$2:$A$501,0))=0,"",INDEX(激励事件明细!$P$2:$P$501,MATCH(T283,激励事件明细!$A$2:$A$501,0))),""))</f>
        <v/>
      </c>
      <c r="Q283" s="4" t="str">
        <f t="shared" si="27"/>
        <v>无效</v>
      </c>
      <c r="R283" s="4" t="str">
        <f t="shared" ca="1" si="28"/>
        <v>异常：必须关联有效事件编号或税额批次</v>
      </c>
      <c r="S283" s="9"/>
      <c r="T283" s="4" t="str">
        <f>IF(D283&lt;&gt;"",IF(COUNTIF(激励事件明细!$A$2:$A$501,D283)=1,D283,""),IF(E283&lt;&gt;"",IFERROR(INDEX(激励事件明细!$A$2:$A$501,MATCH(E283,激励事件明细!$B$2:$B$501,0)),""),""))</f>
        <v/>
      </c>
      <c r="U283" s="4" t="str">
        <f>IF(T283="","",IFERROR(INDEX(激励事件明细!$B$2:$B$501,MATCH(T283,激励事件明细!$A$2:$A$501,0)),""))</f>
        <v/>
      </c>
      <c r="V283" s="4" t="str">
        <f>IF(A283="","",COUNTIF($A$2:A283,A283))</f>
        <v/>
      </c>
      <c r="W283" s="4" t="str">
        <f t="shared" si="29"/>
        <v/>
      </c>
    </row>
    <row r="284" spans="1:23" x14ac:dyDescent="0.3">
      <c r="A284" s="4" t="str">
        <f>IF(T284="","",IFERROR(INDEX(激励事件明细!$C$2:$C$501,MATCH(T284,激励事件明细!$A$2:$A$501,0)),""))</f>
        <v/>
      </c>
      <c r="B284" s="4" t="str">
        <f>IF(A284="","",IFERROR(INDEX(激励事件明细!$D$2:$D$501,MATCH(T284,激励事件明细!$A$2:$A$501,0)),""))</f>
        <v/>
      </c>
      <c r="C284" s="4" t="str">
        <f>IF(A284="","",IFERROR(INDEX(激励事件明细!$H$2:$H$501,MATCH(T284,激励事件明细!$A$2:$A$501,0)),""))</f>
        <v/>
      </c>
      <c r="D284" s="9"/>
      <c r="E284" s="9"/>
      <c r="F284" s="15" t="str">
        <f>IF(A284="","",IFERROR(INDEX(激励事件明细!$AA$2:$AA$501,MATCH(T284,激励事件明细!$A$2:$A$501,0)),""))</f>
        <v/>
      </c>
      <c r="G284" s="17" t="str">
        <f>IF(A284="","",IFERROR(INDEX(激励事件明细!$AB$2:$AB$501,MATCH(T284,激励事件明细!$A$2:$A$501,0)),""))</f>
        <v/>
      </c>
      <c r="H284" s="17" t="str">
        <f>IF(A284="","",IFERROR(INDEX(激励事件明细!$AC$2:$AC$501,MATCH(T284,激励事件明细!$A$2:$A$501,0)),""))</f>
        <v/>
      </c>
      <c r="I284" s="13"/>
      <c r="J284" s="14"/>
      <c r="K284" s="14"/>
      <c r="L284" s="9"/>
      <c r="M284" s="15" t="str">
        <f t="shared" si="24"/>
        <v/>
      </c>
      <c r="N284" s="15" t="str">
        <f t="shared" si="25"/>
        <v/>
      </c>
      <c r="O284" s="4" t="str">
        <f t="shared" ca="1" si="26"/>
        <v/>
      </c>
      <c r="P284" s="17" t="str">
        <f>IF(A284="","",IFERROR(IF(INDEX(激励事件明细!$P$2:$P$501,MATCH(T284,激励事件明细!$A$2:$A$501,0))=0,"",INDEX(激励事件明细!$P$2:$P$501,MATCH(T284,激励事件明细!$A$2:$A$501,0))),""))</f>
        <v/>
      </c>
      <c r="Q284" s="4" t="str">
        <f t="shared" si="27"/>
        <v>无效</v>
      </c>
      <c r="R284" s="4" t="str">
        <f t="shared" ca="1" si="28"/>
        <v>异常：必须关联有效事件编号或税额批次</v>
      </c>
      <c r="S284" s="9"/>
      <c r="T284" s="4" t="str">
        <f>IF(D284&lt;&gt;"",IF(COUNTIF(激励事件明细!$A$2:$A$501,D284)=1,D284,""),IF(E284&lt;&gt;"",IFERROR(INDEX(激励事件明细!$A$2:$A$501,MATCH(E284,激励事件明细!$B$2:$B$501,0)),""),""))</f>
        <v/>
      </c>
      <c r="U284" s="4" t="str">
        <f>IF(T284="","",IFERROR(INDEX(激励事件明细!$B$2:$B$501,MATCH(T284,激励事件明细!$A$2:$A$501,0)),""))</f>
        <v/>
      </c>
      <c r="V284" s="4" t="str">
        <f>IF(A284="","",COUNTIF($A$2:A284,A284))</f>
        <v/>
      </c>
      <c r="W284" s="4" t="str">
        <f t="shared" si="29"/>
        <v/>
      </c>
    </row>
    <row r="285" spans="1:23" x14ac:dyDescent="0.3">
      <c r="A285" s="4" t="str">
        <f>IF(T285="","",IFERROR(INDEX(激励事件明细!$C$2:$C$501,MATCH(T285,激励事件明细!$A$2:$A$501,0)),""))</f>
        <v/>
      </c>
      <c r="B285" s="4" t="str">
        <f>IF(A285="","",IFERROR(INDEX(激励事件明细!$D$2:$D$501,MATCH(T285,激励事件明细!$A$2:$A$501,0)),""))</f>
        <v/>
      </c>
      <c r="C285" s="4" t="str">
        <f>IF(A285="","",IFERROR(INDEX(激励事件明细!$H$2:$H$501,MATCH(T285,激励事件明细!$A$2:$A$501,0)),""))</f>
        <v/>
      </c>
      <c r="D285" s="9"/>
      <c r="E285" s="9"/>
      <c r="F285" s="15" t="str">
        <f>IF(A285="","",IFERROR(INDEX(激励事件明细!$AA$2:$AA$501,MATCH(T285,激励事件明细!$A$2:$A$501,0)),""))</f>
        <v/>
      </c>
      <c r="G285" s="17" t="str">
        <f>IF(A285="","",IFERROR(INDEX(激励事件明细!$AB$2:$AB$501,MATCH(T285,激励事件明细!$A$2:$A$501,0)),""))</f>
        <v/>
      </c>
      <c r="H285" s="17" t="str">
        <f>IF(A285="","",IFERROR(INDEX(激励事件明细!$AC$2:$AC$501,MATCH(T285,激励事件明细!$A$2:$A$501,0)),""))</f>
        <v/>
      </c>
      <c r="I285" s="13"/>
      <c r="J285" s="14"/>
      <c r="K285" s="14"/>
      <c r="L285" s="9"/>
      <c r="M285" s="15" t="str">
        <f t="shared" si="24"/>
        <v/>
      </c>
      <c r="N285" s="15" t="str">
        <f t="shared" si="25"/>
        <v/>
      </c>
      <c r="O285" s="4" t="str">
        <f t="shared" ca="1" si="26"/>
        <v/>
      </c>
      <c r="P285" s="17" t="str">
        <f>IF(A285="","",IFERROR(IF(INDEX(激励事件明细!$P$2:$P$501,MATCH(T285,激励事件明细!$A$2:$A$501,0))=0,"",INDEX(激励事件明细!$P$2:$P$501,MATCH(T285,激励事件明细!$A$2:$A$501,0))),""))</f>
        <v/>
      </c>
      <c r="Q285" s="4" t="str">
        <f t="shared" si="27"/>
        <v>无效</v>
      </c>
      <c r="R285" s="4" t="str">
        <f t="shared" ca="1" si="28"/>
        <v>异常：必须关联有效事件编号或税额批次</v>
      </c>
      <c r="S285" s="9"/>
      <c r="T285" s="4" t="str">
        <f>IF(D285&lt;&gt;"",IF(COUNTIF(激励事件明细!$A$2:$A$501,D285)=1,D285,""),IF(E285&lt;&gt;"",IFERROR(INDEX(激励事件明细!$A$2:$A$501,MATCH(E285,激励事件明细!$B$2:$B$501,0)),""),""))</f>
        <v/>
      </c>
      <c r="U285" s="4" t="str">
        <f>IF(T285="","",IFERROR(INDEX(激励事件明细!$B$2:$B$501,MATCH(T285,激励事件明细!$A$2:$A$501,0)),""))</f>
        <v/>
      </c>
      <c r="V285" s="4" t="str">
        <f>IF(A285="","",COUNTIF($A$2:A285,A285))</f>
        <v/>
      </c>
      <c r="W285" s="4" t="str">
        <f t="shared" si="29"/>
        <v/>
      </c>
    </row>
    <row r="286" spans="1:23" x14ac:dyDescent="0.3">
      <c r="A286" s="4" t="str">
        <f>IF(T286="","",IFERROR(INDEX(激励事件明细!$C$2:$C$501,MATCH(T286,激励事件明细!$A$2:$A$501,0)),""))</f>
        <v/>
      </c>
      <c r="B286" s="4" t="str">
        <f>IF(A286="","",IFERROR(INDEX(激励事件明细!$D$2:$D$501,MATCH(T286,激励事件明细!$A$2:$A$501,0)),""))</f>
        <v/>
      </c>
      <c r="C286" s="4" t="str">
        <f>IF(A286="","",IFERROR(INDEX(激励事件明细!$H$2:$H$501,MATCH(T286,激励事件明细!$A$2:$A$501,0)),""))</f>
        <v/>
      </c>
      <c r="D286" s="9"/>
      <c r="E286" s="9"/>
      <c r="F286" s="15" t="str">
        <f>IF(A286="","",IFERROR(INDEX(激励事件明细!$AA$2:$AA$501,MATCH(T286,激励事件明细!$A$2:$A$501,0)),""))</f>
        <v/>
      </c>
      <c r="G286" s="17" t="str">
        <f>IF(A286="","",IFERROR(INDEX(激励事件明细!$AB$2:$AB$501,MATCH(T286,激励事件明细!$A$2:$A$501,0)),""))</f>
        <v/>
      </c>
      <c r="H286" s="17" t="str">
        <f>IF(A286="","",IFERROR(INDEX(激励事件明细!$AC$2:$AC$501,MATCH(T286,激励事件明细!$A$2:$A$501,0)),""))</f>
        <v/>
      </c>
      <c r="I286" s="13"/>
      <c r="J286" s="14"/>
      <c r="K286" s="14"/>
      <c r="L286" s="9"/>
      <c r="M286" s="15" t="str">
        <f t="shared" si="24"/>
        <v/>
      </c>
      <c r="N286" s="15" t="str">
        <f t="shared" si="25"/>
        <v/>
      </c>
      <c r="O286" s="4" t="str">
        <f t="shared" ca="1" si="26"/>
        <v/>
      </c>
      <c r="P286" s="17" t="str">
        <f>IF(A286="","",IFERROR(IF(INDEX(激励事件明细!$P$2:$P$501,MATCH(T286,激励事件明细!$A$2:$A$501,0))=0,"",INDEX(激励事件明细!$P$2:$P$501,MATCH(T286,激励事件明细!$A$2:$A$501,0))),""))</f>
        <v/>
      </c>
      <c r="Q286" s="4" t="str">
        <f t="shared" si="27"/>
        <v>无效</v>
      </c>
      <c r="R286" s="4" t="str">
        <f t="shared" ca="1" si="28"/>
        <v>异常：必须关联有效事件编号或税额批次</v>
      </c>
      <c r="S286" s="9"/>
      <c r="T286" s="4" t="str">
        <f>IF(D286&lt;&gt;"",IF(COUNTIF(激励事件明细!$A$2:$A$501,D286)=1,D286,""),IF(E286&lt;&gt;"",IFERROR(INDEX(激励事件明细!$A$2:$A$501,MATCH(E286,激励事件明细!$B$2:$B$501,0)),""),""))</f>
        <v/>
      </c>
      <c r="U286" s="4" t="str">
        <f>IF(T286="","",IFERROR(INDEX(激励事件明细!$B$2:$B$501,MATCH(T286,激励事件明细!$A$2:$A$501,0)),""))</f>
        <v/>
      </c>
      <c r="V286" s="4" t="str">
        <f>IF(A286="","",COUNTIF($A$2:A286,A286))</f>
        <v/>
      </c>
      <c r="W286" s="4" t="str">
        <f t="shared" si="29"/>
        <v/>
      </c>
    </row>
    <row r="287" spans="1:23" x14ac:dyDescent="0.3">
      <c r="A287" s="4" t="str">
        <f>IF(T287="","",IFERROR(INDEX(激励事件明细!$C$2:$C$501,MATCH(T287,激励事件明细!$A$2:$A$501,0)),""))</f>
        <v/>
      </c>
      <c r="B287" s="4" t="str">
        <f>IF(A287="","",IFERROR(INDEX(激励事件明细!$D$2:$D$501,MATCH(T287,激励事件明细!$A$2:$A$501,0)),""))</f>
        <v/>
      </c>
      <c r="C287" s="4" t="str">
        <f>IF(A287="","",IFERROR(INDEX(激励事件明细!$H$2:$H$501,MATCH(T287,激励事件明细!$A$2:$A$501,0)),""))</f>
        <v/>
      </c>
      <c r="D287" s="9"/>
      <c r="E287" s="9"/>
      <c r="F287" s="15" t="str">
        <f>IF(A287="","",IFERROR(INDEX(激励事件明细!$AA$2:$AA$501,MATCH(T287,激励事件明细!$A$2:$A$501,0)),""))</f>
        <v/>
      </c>
      <c r="G287" s="17" t="str">
        <f>IF(A287="","",IFERROR(INDEX(激励事件明细!$AB$2:$AB$501,MATCH(T287,激励事件明细!$A$2:$A$501,0)),""))</f>
        <v/>
      </c>
      <c r="H287" s="17" t="str">
        <f>IF(A287="","",IFERROR(INDEX(激励事件明细!$AC$2:$AC$501,MATCH(T287,激励事件明细!$A$2:$A$501,0)),""))</f>
        <v/>
      </c>
      <c r="I287" s="13"/>
      <c r="J287" s="14"/>
      <c r="K287" s="14"/>
      <c r="L287" s="9"/>
      <c r="M287" s="15" t="str">
        <f t="shared" si="24"/>
        <v/>
      </c>
      <c r="N287" s="15" t="str">
        <f t="shared" si="25"/>
        <v/>
      </c>
      <c r="O287" s="4" t="str">
        <f t="shared" ca="1" si="26"/>
        <v/>
      </c>
      <c r="P287" s="17" t="str">
        <f>IF(A287="","",IFERROR(IF(INDEX(激励事件明细!$P$2:$P$501,MATCH(T287,激励事件明细!$A$2:$A$501,0))=0,"",INDEX(激励事件明细!$P$2:$P$501,MATCH(T287,激励事件明细!$A$2:$A$501,0))),""))</f>
        <v/>
      </c>
      <c r="Q287" s="4" t="str">
        <f t="shared" si="27"/>
        <v>无效</v>
      </c>
      <c r="R287" s="4" t="str">
        <f t="shared" ca="1" si="28"/>
        <v>异常：必须关联有效事件编号或税额批次</v>
      </c>
      <c r="S287" s="9"/>
      <c r="T287" s="4" t="str">
        <f>IF(D287&lt;&gt;"",IF(COUNTIF(激励事件明细!$A$2:$A$501,D287)=1,D287,""),IF(E287&lt;&gt;"",IFERROR(INDEX(激励事件明细!$A$2:$A$501,MATCH(E287,激励事件明细!$B$2:$B$501,0)),""),""))</f>
        <v/>
      </c>
      <c r="U287" s="4" t="str">
        <f>IF(T287="","",IFERROR(INDEX(激励事件明细!$B$2:$B$501,MATCH(T287,激励事件明细!$A$2:$A$501,0)),""))</f>
        <v/>
      </c>
      <c r="V287" s="4" t="str">
        <f>IF(A287="","",COUNTIF($A$2:A287,A287))</f>
        <v/>
      </c>
      <c r="W287" s="4" t="str">
        <f t="shared" si="29"/>
        <v/>
      </c>
    </row>
    <row r="288" spans="1:23" x14ac:dyDescent="0.3">
      <c r="A288" s="4" t="str">
        <f>IF(T288="","",IFERROR(INDEX(激励事件明细!$C$2:$C$501,MATCH(T288,激励事件明细!$A$2:$A$501,0)),""))</f>
        <v/>
      </c>
      <c r="B288" s="4" t="str">
        <f>IF(A288="","",IFERROR(INDEX(激励事件明细!$D$2:$D$501,MATCH(T288,激励事件明细!$A$2:$A$501,0)),""))</f>
        <v/>
      </c>
      <c r="C288" s="4" t="str">
        <f>IF(A288="","",IFERROR(INDEX(激励事件明细!$H$2:$H$501,MATCH(T288,激励事件明细!$A$2:$A$501,0)),""))</f>
        <v/>
      </c>
      <c r="D288" s="9"/>
      <c r="E288" s="9"/>
      <c r="F288" s="15" t="str">
        <f>IF(A288="","",IFERROR(INDEX(激励事件明细!$AA$2:$AA$501,MATCH(T288,激励事件明细!$A$2:$A$501,0)),""))</f>
        <v/>
      </c>
      <c r="G288" s="17" t="str">
        <f>IF(A288="","",IFERROR(INDEX(激励事件明细!$AB$2:$AB$501,MATCH(T288,激励事件明细!$A$2:$A$501,0)),""))</f>
        <v/>
      </c>
      <c r="H288" s="17" t="str">
        <f>IF(A288="","",IFERROR(INDEX(激励事件明细!$AC$2:$AC$501,MATCH(T288,激励事件明细!$A$2:$A$501,0)),""))</f>
        <v/>
      </c>
      <c r="I288" s="13"/>
      <c r="J288" s="14"/>
      <c r="K288" s="14"/>
      <c r="L288" s="9"/>
      <c r="M288" s="15" t="str">
        <f t="shared" si="24"/>
        <v/>
      </c>
      <c r="N288" s="15" t="str">
        <f t="shared" si="25"/>
        <v/>
      </c>
      <c r="O288" s="4" t="str">
        <f t="shared" ca="1" si="26"/>
        <v/>
      </c>
      <c r="P288" s="17" t="str">
        <f>IF(A288="","",IFERROR(IF(INDEX(激励事件明细!$P$2:$P$501,MATCH(T288,激励事件明细!$A$2:$A$501,0))=0,"",INDEX(激励事件明细!$P$2:$P$501,MATCH(T288,激励事件明细!$A$2:$A$501,0))),""))</f>
        <v/>
      </c>
      <c r="Q288" s="4" t="str">
        <f t="shared" si="27"/>
        <v>无效</v>
      </c>
      <c r="R288" s="4" t="str">
        <f t="shared" ca="1" si="28"/>
        <v>异常：必须关联有效事件编号或税额批次</v>
      </c>
      <c r="S288" s="9"/>
      <c r="T288" s="4" t="str">
        <f>IF(D288&lt;&gt;"",IF(COUNTIF(激励事件明细!$A$2:$A$501,D288)=1,D288,""),IF(E288&lt;&gt;"",IFERROR(INDEX(激励事件明细!$A$2:$A$501,MATCH(E288,激励事件明细!$B$2:$B$501,0)),""),""))</f>
        <v/>
      </c>
      <c r="U288" s="4" t="str">
        <f>IF(T288="","",IFERROR(INDEX(激励事件明细!$B$2:$B$501,MATCH(T288,激励事件明细!$A$2:$A$501,0)),""))</f>
        <v/>
      </c>
      <c r="V288" s="4" t="str">
        <f>IF(A288="","",COUNTIF($A$2:A288,A288))</f>
        <v/>
      </c>
      <c r="W288" s="4" t="str">
        <f t="shared" si="29"/>
        <v/>
      </c>
    </row>
    <row r="289" spans="1:23" x14ac:dyDescent="0.3">
      <c r="A289" s="4" t="str">
        <f>IF(T289="","",IFERROR(INDEX(激励事件明细!$C$2:$C$501,MATCH(T289,激励事件明细!$A$2:$A$501,0)),""))</f>
        <v/>
      </c>
      <c r="B289" s="4" t="str">
        <f>IF(A289="","",IFERROR(INDEX(激励事件明细!$D$2:$D$501,MATCH(T289,激励事件明细!$A$2:$A$501,0)),""))</f>
        <v/>
      </c>
      <c r="C289" s="4" t="str">
        <f>IF(A289="","",IFERROR(INDEX(激励事件明细!$H$2:$H$501,MATCH(T289,激励事件明细!$A$2:$A$501,0)),""))</f>
        <v/>
      </c>
      <c r="D289" s="9"/>
      <c r="E289" s="9"/>
      <c r="F289" s="15" t="str">
        <f>IF(A289="","",IFERROR(INDEX(激励事件明细!$AA$2:$AA$501,MATCH(T289,激励事件明细!$A$2:$A$501,0)),""))</f>
        <v/>
      </c>
      <c r="G289" s="17" t="str">
        <f>IF(A289="","",IFERROR(INDEX(激励事件明细!$AB$2:$AB$501,MATCH(T289,激励事件明细!$A$2:$A$501,0)),""))</f>
        <v/>
      </c>
      <c r="H289" s="17" t="str">
        <f>IF(A289="","",IFERROR(INDEX(激励事件明细!$AC$2:$AC$501,MATCH(T289,激励事件明细!$A$2:$A$501,0)),""))</f>
        <v/>
      </c>
      <c r="I289" s="13"/>
      <c r="J289" s="14"/>
      <c r="K289" s="14"/>
      <c r="L289" s="9"/>
      <c r="M289" s="15" t="str">
        <f t="shared" si="24"/>
        <v/>
      </c>
      <c r="N289" s="15" t="str">
        <f t="shared" si="25"/>
        <v/>
      </c>
      <c r="O289" s="4" t="str">
        <f t="shared" ca="1" si="26"/>
        <v/>
      </c>
      <c r="P289" s="17" t="str">
        <f>IF(A289="","",IFERROR(IF(INDEX(激励事件明细!$P$2:$P$501,MATCH(T289,激励事件明细!$A$2:$A$501,0))=0,"",INDEX(激励事件明细!$P$2:$P$501,MATCH(T289,激励事件明细!$A$2:$A$501,0))),""))</f>
        <v/>
      </c>
      <c r="Q289" s="4" t="str">
        <f t="shared" si="27"/>
        <v>无效</v>
      </c>
      <c r="R289" s="4" t="str">
        <f t="shared" ca="1" si="28"/>
        <v>异常：必须关联有效事件编号或税额批次</v>
      </c>
      <c r="S289" s="9"/>
      <c r="T289" s="4" t="str">
        <f>IF(D289&lt;&gt;"",IF(COUNTIF(激励事件明细!$A$2:$A$501,D289)=1,D289,""),IF(E289&lt;&gt;"",IFERROR(INDEX(激励事件明细!$A$2:$A$501,MATCH(E289,激励事件明细!$B$2:$B$501,0)),""),""))</f>
        <v/>
      </c>
      <c r="U289" s="4" t="str">
        <f>IF(T289="","",IFERROR(INDEX(激励事件明细!$B$2:$B$501,MATCH(T289,激励事件明细!$A$2:$A$501,0)),""))</f>
        <v/>
      </c>
      <c r="V289" s="4" t="str">
        <f>IF(A289="","",COUNTIF($A$2:A289,A289))</f>
        <v/>
      </c>
      <c r="W289" s="4" t="str">
        <f t="shared" si="29"/>
        <v/>
      </c>
    </row>
    <row r="290" spans="1:23" x14ac:dyDescent="0.3">
      <c r="A290" s="4" t="str">
        <f>IF(T290="","",IFERROR(INDEX(激励事件明细!$C$2:$C$501,MATCH(T290,激励事件明细!$A$2:$A$501,0)),""))</f>
        <v/>
      </c>
      <c r="B290" s="4" t="str">
        <f>IF(A290="","",IFERROR(INDEX(激励事件明细!$D$2:$D$501,MATCH(T290,激励事件明细!$A$2:$A$501,0)),""))</f>
        <v/>
      </c>
      <c r="C290" s="4" t="str">
        <f>IF(A290="","",IFERROR(INDEX(激励事件明细!$H$2:$H$501,MATCH(T290,激励事件明细!$A$2:$A$501,0)),""))</f>
        <v/>
      </c>
      <c r="D290" s="9"/>
      <c r="E290" s="9"/>
      <c r="F290" s="15" t="str">
        <f>IF(A290="","",IFERROR(INDEX(激励事件明细!$AA$2:$AA$501,MATCH(T290,激励事件明细!$A$2:$A$501,0)),""))</f>
        <v/>
      </c>
      <c r="G290" s="17" t="str">
        <f>IF(A290="","",IFERROR(INDEX(激励事件明细!$AB$2:$AB$501,MATCH(T290,激励事件明细!$A$2:$A$501,0)),""))</f>
        <v/>
      </c>
      <c r="H290" s="17" t="str">
        <f>IF(A290="","",IFERROR(INDEX(激励事件明细!$AC$2:$AC$501,MATCH(T290,激励事件明细!$A$2:$A$501,0)),""))</f>
        <v/>
      </c>
      <c r="I290" s="13"/>
      <c r="J290" s="14"/>
      <c r="K290" s="14"/>
      <c r="L290" s="9"/>
      <c r="M290" s="15" t="str">
        <f t="shared" si="24"/>
        <v/>
      </c>
      <c r="N290" s="15" t="str">
        <f t="shared" si="25"/>
        <v/>
      </c>
      <c r="O290" s="4" t="str">
        <f t="shared" ca="1" si="26"/>
        <v/>
      </c>
      <c r="P290" s="17" t="str">
        <f>IF(A290="","",IFERROR(IF(INDEX(激励事件明细!$P$2:$P$501,MATCH(T290,激励事件明细!$A$2:$A$501,0))=0,"",INDEX(激励事件明细!$P$2:$P$501,MATCH(T290,激励事件明细!$A$2:$A$501,0))),""))</f>
        <v/>
      </c>
      <c r="Q290" s="4" t="str">
        <f t="shared" si="27"/>
        <v>无效</v>
      </c>
      <c r="R290" s="4" t="str">
        <f t="shared" ca="1" si="28"/>
        <v>异常：必须关联有效事件编号或税额批次</v>
      </c>
      <c r="S290" s="9"/>
      <c r="T290" s="4" t="str">
        <f>IF(D290&lt;&gt;"",IF(COUNTIF(激励事件明细!$A$2:$A$501,D290)=1,D290,""),IF(E290&lt;&gt;"",IFERROR(INDEX(激励事件明细!$A$2:$A$501,MATCH(E290,激励事件明细!$B$2:$B$501,0)),""),""))</f>
        <v/>
      </c>
      <c r="U290" s="4" t="str">
        <f>IF(T290="","",IFERROR(INDEX(激励事件明细!$B$2:$B$501,MATCH(T290,激励事件明细!$A$2:$A$501,0)),""))</f>
        <v/>
      </c>
      <c r="V290" s="4" t="str">
        <f>IF(A290="","",COUNTIF($A$2:A290,A290))</f>
        <v/>
      </c>
      <c r="W290" s="4" t="str">
        <f t="shared" si="29"/>
        <v/>
      </c>
    </row>
    <row r="291" spans="1:23" x14ac:dyDescent="0.3">
      <c r="A291" s="4" t="str">
        <f>IF(T291="","",IFERROR(INDEX(激励事件明细!$C$2:$C$501,MATCH(T291,激励事件明细!$A$2:$A$501,0)),""))</f>
        <v/>
      </c>
      <c r="B291" s="4" t="str">
        <f>IF(A291="","",IFERROR(INDEX(激励事件明细!$D$2:$D$501,MATCH(T291,激励事件明细!$A$2:$A$501,0)),""))</f>
        <v/>
      </c>
      <c r="C291" s="4" t="str">
        <f>IF(A291="","",IFERROR(INDEX(激励事件明细!$H$2:$H$501,MATCH(T291,激励事件明细!$A$2:$A$501,0)),""))</f>
        <v/>
      </c>
      <c r="D291" s="9"/>
      <c r="E291" s="9"/>
      <c r="F291" s="15" t="str">
        <f>IF(A291="","",IFERROR(INDEX(激励事件明细!$AA$2:$AA$501,MATCH(T291,激励事件明细!$A$2:$A$501,0)),""))</f>
        <v/>
      </c>
      <c r="G291" s="17" t="str">
        <f>IF(A291="","",IFERROR(INDEX(激励事件明细!$AB$2:$AB$501,MATCH(T291,激励事件明细!$A$2:$A$501,0)),""))</f>
        <v/>
      </c>
      <c r="H291" s="17" t="str">
        <f>IF(A291="","",IFERROR(INDEX(激励事件明细!$AC$2:$AC$501,MATCH(T291,激励事件明细!$A$2:$A$501,0)),""))</f>
        <v/>
      </c>
      <c r="I291" s="13"/>
      <c r="J291" s="14"/>
      <c r="K291" s="14"/>
      <c r="L291" s="9"/>
      <c r="M291" s="15" t="str">
        <f t="shared" si="24"/>
        <v/>
      </c>
      <c r="N291" s="15" t="str">
        <f t="shared" si="25"/>
        <v/>
      </c>
      <c r="O291" s="4" t="str">
        <f t="shared" ca="1" si="26"/>
        <v/>
      </c>
      <c r="P291" s="17" t="str">
        <f>IF(A291="","",IFERROR(IF(INDEX(激励事件明细!$P$2:$P$501,MATCH(T291,激励事件明细!$A$2:$A$501,0))=0,"",INDEX(激励事件明细!$P$2:$P$501,MATCH(T291,激励事件明细!$A$2:$A$501,0))),""))</f>
        <v/>
      </c>
      <c r="Q291" s="4" t="str">
        <f t="shared" si="27"/>
        <v>无效</v>
      </c>
      <c r="R291" s="4" t="str">
        <f t="shared" ca="1" si="28"/>
        <v>异常：必须关联有效事件编号或税额批次</v>
      </c>
      <c r="S291" s="9"/>
      <c r="T291" s="4" t="str">
        <f>IF(D291&lt;&gt;"",IF(COUNTIF(激励事件明细!$A$2:$A$501,D291)=1,D291,""),IF(E291&lt;&gt;"",IFERROR(INDEX(激励事件明细!$A$2:$A$501,MATCH(E291,激励事件明细!$B$2:$B$501,0)),""),""))</f>
        <v/>
      </c>
      <c r="U291" s="4" t="str">
        <f>IF(T291="","",IFERROR(INDEX(激励事件明细!$B$2:$B$501,MATCH(T291,激励事件明细!$A$2:$A$501,0)),""))</f>
        <v/>
      </c>
      <c r="V291" s="4" t="str">
        <f>IF(A291="","",COUNTIF($A$2:A291,A291))</f>
        <v/>
      </c>
      <c r="W291" s="4" t="str">
        <f t="shared" si="29"/>
        <v/>
      </c>
    </row>
    <row r="292" spans="1:23" x14ac:dyDescent="0.3">
      <c r="A292" s="4" t="str">
        <f>IF(T292="","",IFERROR(INDEX(激励事件明细!$C$2:$C$501,MATCH(T292,激励事件明细!$A$2:$A$501,0)),""))</f>
        <v/>
      </c>
      <c r="B292" s="4" t="str">
        <f>IF(A292="","",IFERROR(INDEX(激励事件明细!$D$2:$D$501,MATCH(T292,激励事件明细!$A$2:$A$501,0)),""))</f>
        <v/>
      </c>
      <c r="C292" s="4" t="str">
        <f>IF(A292="","",IFERROR(INDEX(激励事件明细!$H$2:$H$501,MATCH(T292,激励事件明细!$A$2:$A$501,0)),""))</f>
        <v/>
      </c>
      <c r="D292" s="9"/>
      <c r="E292" s="9"/>
      <c r="F292" s="15" t="str">
        <f>IF(A292="","",IFERROR(INDEX(激励事件明细!$AA$2:$AA$501,MATCH(T292,激励事件明细!$A$2:$A$501,0)),""))</f>
        <v/>
      </c>
      <c r="G292" s="17" t="str">
        <f>IF(A292="","",IFERROR(INDEX(激励事件明细!$AB$2:$AB$501,MATCH(T292,激励事件明细!$A$2:$A$501,0)),""))</f>
        <v/>
      </c>
      <c r="H292" s="17" t="str">
        <f>IF(A292="","",IFERROR(INDEX(激励事件明细!$AC$2:$AC$501,MATCH(T292,激励事件明细!$A$2:$A$501,0)),""))</f>
        <v/>
      </c>
      <c r="I292" s="13"/>
      <c r="J292" s="14"/>
      <c r="K292" s="14"/>
      <c r="L292" s="9"/>
      <c r="M292" s="15" t="str">
        <f t="shared" si="24"/>
        <v/>
      </c>
      <c r="N292" s="15" t="str">
        <f t="shared" si="25"/>
        <v/>
      </c>
      <c r="O292" s="4" t="str">
        <f t="shared" ca="1" si="26"/>
        <v/>
      </c>
      <c r="P292" s="17" t="str">
        <f>IF(A292="","",IFERROR(IF(INDEX(激励事件明细!$P$2:$P$501,MATCH(T292,激励事件明细!$A$2:$A$501,0))=0,"",INDEX(激励事件明细!$P$2:$P$501,MATCH(T292,激励事件明细!$A$2:$A$501,0))),""))</f>
        <v/>
      </c>
      <c r="Q292" s="4" t="str">
        <f t="shared" si="27"/>
        <v>无效</v>
      </c>
      <c r="R292" s="4" t="str">
        <f t="shared" ca="1" si="28"/>
        <v>异常：必须关联有效事件编号或税额批次</v>
      </c>
      <c r="S292" s="9"/>
      <c r="T292" s="4" t="str">
        <f>IF(D292&lt;&gt;"",IF(COUNTIF(激励事件明细!$A$2:$A$501,D292)=1,D292,""),IF(E292&lt;&gt;"",IFERROR(INDEX(激励事件明细!$A$2:$A$501,MATCH(E292,激励事件明细!$B$2:$B$501,0)),""),""))</f>
        <v/>
      </c>
      <c r="U292" s="4" t="str">
        <f>IF(T292="","",IFERROR(INDEX(激励事件明细!$B$2:$B$501,MATCH(T292,激励事件明细!$A$2:$A$501,0)),""))</f>
        <v/>
      </c>
      <c r="V292" s="4" t="str">
        <f>IF(A292="","",COUNTIF($A$2:A292,A292))</f>
        <v/>
      </c>
      <c r="W292" s="4" t="str">
        <f t="shared" si="29"/>
        <v/>
      </c>
    </row>
    <row r="293" spans="1:23" x14ac:dyDescent="0.3">
      <c r="A293" s="4" t="str">
        <f>IF(T293="","",IFERROR(INDEX(激励事件明细!$C$2:$C$501,MATCH(T293,激励事件明细!$A$2:$A$501,0)),""))</f>
        <v/>
      </c>
      <c r="B293" s="4" t="str">
        <f>IF(A293="","",IFERROR(INDEX(激励事件明细!$D$2:$D$501,MATCH(T293,激励事件明细!$A$2:$A$501,0)),""))</f>
        <v/>
      </c>
      <c r="C293" s="4" t="str">
        <f>IF(A293="","",IFERROR(INDEX(激励事件明细!$H$2:$H$501,MATCH(T293,激励事件明细!$A$2:$A$501,0)),""))</f>
        <v/>
      </c>
      <c r="D293" s="9"/>
      <c r="E293" s="9"/>
      <c r="F293" s="15" t="str">
        <f>IF(A293="","",IFERROR(INDEX(激励事件明细!$AA$2:$AA$501,MATCH(T293,激励事件明细!$A$2:$A$501,0)),""))</f>
        <v/>
      </c>
      <c r="G293" s="17" t="str">
        <f>IF(A293="","",IFERROR(INDEX(激励事件明细!$AB$2:$AB$501,MATCH(T293,激励事件明细!$A$2:$A$501,0)),""))</f>
        <v/>
      </c>
      <c r="H293" s="17" t="str">
        <f>IF(A293="","",IFERROR(INDEX(激励事件明细!$AC$2:$AC$501,MATCH(T293,激励事件明细!$A$2:$A$501,0)),""))</f>
        <v/>
      </c>
      <c r="I293" s="13"/>
      <c r="J293" s="14"/>
      <c r="K293" s="14"/>
      <c r="L293" s="9"/>
      <c r="M293" s="15" t="str">
        <f t="shared" si="24"/>
        <v/>
      </c>
      <c r="N293" s="15" t="str">
        <f t="shared" si="25"/>
        <v/>
      </c>
      <c r="O293" s="4" t="str">
        <f t="shared" ca="1" si="26"/>
        <v/>
      </c>
      <c r="P293" s="17" t="str">
        <f>IF(A293="","",IFERROR(IF(INDEX(激励事件明细!$P$2:$P$501,MATCH(T293,激励事件明细!$A$2:$A$501,0))=0,"",INDEX(激励事件明细!$P$2:$P$501,MATCH(T293,激励事件明细!$A$2:$A$501,0))),""))</f>
        <v/>
      </c>
      <c r="Q293" s="4" t="str">
        <f t="shared" si="27"/>
        <v>无效</v>
      </c>
      <c r="R293" s="4" t="str">
        <f t="shared" ca="1" si="28"/>
        <v>异常：必须关联有效事件编号或税额批次</v>
      </c>
      <c r="S293" s="9"/>
      <c r="T293" s="4" t="str">
        <f>IF(D293&lt;&gt;"",IF(COUNTIF(激励事件明细!$A$2:$A$501,D293)=1,D293,""),IF(E293&lt;&gt;"",IFERROR(INDEX(激励事件明细!$A$2:$A$501,MATCH(E293,激励事件明细!$B$2:$B$501,0)),""),""))</f>
        <v/>
      </c>
      <c r="U293" s="4" t="str">
        <f>IF(T293="","",IFERROR(INDEX(激励事件明细!$B$2:$B$501,MATCH(T293,激励事件明细!$A$2:$A$501,0)),""))</f>
        <v/>
      </c>
      <c r="V293" s="4" t="str">
        <f>IF(A293="","",COUNTIF($A$2:A293,A293))</f>
        <v/>
      </c>
      <c r="W293" s="4" t="str">
        <f t="shared" si="29"/>
        <v/>
      </c>
    </row>
    <row r="294" spans="1:23" x14ac:dyDescent="0.3">
      <c r="A294" s="4" t="str">
        <f>IF(T294="","",IFERROR(INDEX(激励事件明细!$C$2:$C$501,MATCH(T294,激励事件明细!$A$2:$A$501,0)),""))</f>
        <v/>
      </c>
      <c r="B294" s="4" t="str">
        <f>IF(A294="","",IFERROR(INDEX(激励事件明细!$D$2:$D$501,MATCH(T294,激励事件明细!$A$2:$A$501,0)),""))</f>
        <v/>
      </c>
      <c r="C294" s="4" t="str">
        <f>IF(A294="","",IFERROR(INDEX(激励事件明细!$H$2:$H$501,MATCH(T294,激励事件明细!$A$2:$A$501,0)),""))</f>
        <v/>
      </c>
      <c r="D294" s="9"/>
      <c r="E294" s="9"/>
      <c r="F294" s="15" t="str">
        <f>IF(A294="","",IFERROR(INDEX(激励事件明细!$AA$2:$AA$501,MATCH(T294,激励事件明细!$A$2:$A$501,0)),""))</f>
        <v/>
      </c>
      <c r="G294" s="17" t="str">
        <f>IF(A294="","",IFERROR(INDEX(激励事件明细!$AB$2:$AB$501,MATCH(T294,激励事件明细!$A$2:$A$501,0)),""))</f>
        <v/>
      </c>
      <c r="H294" s="17" t="str">
        <f>IF(A294="","",IFERROR(INDEX(激励事件明细!$AC$2:$AC$501,MATCH(T294,激励事件明细!$A$2:$A$501,0)),""))</f>
        <v/>
      </c>
      <c r="I294" s="13"/>
      <c r="J294" s="14"/>
      <c r="K294" s="14"/>
      <c r="L294" s="9"/>
      <c r="M294" s="15" t="str">
        <f t="shared" si="24"/>
        <v/>
      </c>
      <c r="N294" s="15" t="str">
        <f t="shared" si="25"/>
        <v/>
      </c>
      <c r="O294" s="4" t="str">
        <f t="shared" ca="1" si="26"/>
        <v/>
      </c>
      <c r="P294" s="17" t="str">
        <f>IF(A294="","",IFERROR(IF(INDEX(激励事件明细!$P$2:$P$501,MATCH(T294,激励事件明细!$A$2:$A$501,0))=0,"",INDEX(激励事件明细!$P$2:$P$501,MATCH(T294,激励事件明细!$A$2:$A$501,0))),""))</f>
        <v/>
      </c>
      <c r="Q294" s="4" t="str">
        <f t="shared" si="27"/>
        <v>无效</v>
      </c>
      <c r="R294" s="4" t="str">
        <f t="shared" ca="1" si="28"/>
        <v>异常：必须关联有效事件编号或税额批次</v>
      </c>
      <c r="S294" s="9"/>
      <c r="T294" s="4" t="str">
        <f>IF(D294&lt;&gt;"",IF(COUNTIF(激励事件明细!$A$2:$A$501,D294)=1,D294,""),IF(E294&lt;&gt;"",IFERROR(INDEX(激励事件明细!$A$2:$A$501,MATCH(E294,激励事件明细!$B$2:$B$501,0)),""),""))</f>
        <v/>
      </c>
      <c r="U294" s="4" t="str">
        <f>IF(T294="","",IFERROR(INDEX(激励事件明细!$B$2:$B$501,MATCH(T294,激励事件明细!$A$2:$A$501,0)),""))</f>
        <v/>
      </c>
      <c r="V294" s="4" t="str">
        <f>IF(A294="","",COUNTIF($A$2:A294,A294))</f>
        <v/>
      </c>
      <c r="W294" s="4" t="str">
        <f t="shared" si="29"/>
        <v/>
      </c>
    </row>
    <row r="295" spans="1:23" x14ac:dyDescent="0.3">
      <c r="A295" s="4" t="str">
        <f>IF(T295="","",IFERROR(INDEX(激励事件明细!$C$2:$C$501,MATCH(T295,激励事件明细!$A$2:$A$501,0)),""))</f>
        <v/>
      </c>
      <c r="B295" s="4" t="str">
        <f>IF(A295="","",IFERROR(INDEX(激励事件明细!$D$2:$D$501,MATCH(T295,激励事件明细!$A$2:$A$501,0)),""))</f>
        <v/>
      </c>
      <c r="C295" s="4" t="str">
        <f>IF(A295="","",IFERROR(INDEX(激励事件明细!$H$2:$H$501,MATCH(T295,激励事件明细!$A$2:$A$501,0)),""))</f>
        <v/>
      </c>
      <c r="D295" s="9"/>
      <c r="E295" s="9"/>
      <c r="F295" s="15" t="str">
        <f>IF(A295="","",IFERROR(INDEX(激励事件明细!$AA$2:$AA$501,MATCH(T295,激励事件明细!$A$2:$A$501,0)),""))</f>
        <v/>
      </c>
      <c r="G295" s="17" t="str">
        <f>IF(A295="","",IFERROR(INDEX(激励事件明细!$AB$2:$AB$501,MATCH(T295,激励事件明细!$A$2:$A$501,0)),""))</f>
        <v/>
      </c>
      <c r="H295" s="17" t="str">
        <f>IF(A295="","",IFERROR(INDEX(激励事件明细!$AC$2:$AC$501,MATCH(T295,激励事件明细!$A$2:$A$501,0)),""))</f>
        <v/>
      </c>
      <c r="I295" s="13"/>
      <c r="J295" s="14"/>
      <c r="K295" s="14"/>
      <c r="L295" s="9"/>
      <c r="M295" s="15" t="str">
        <f t="shared" si="24"/>
        <v/>
      </c>
      <c r="N295" s="15" t="str">
        <f t="shared" si="25"/>
        <v/>
      </c>
      <c r="O295" s="4" t="str">
        <f t="shared" ca="1" si="26"/>
        <v/>
      </c>
      <c r="P295" s="17" t="str">
        <f>IF(A295="","",IFERROR(IF(INDEX(激励事件明细!$P$2:$P$501,MATCH(T295,激励事件明细!$A$2:$A$501,0))=0,"",INDEX(激励事件明细!$P$2:$P$501,MATCH(T295,激励事件明细!$A$2:$A$501,0))),""))</f>
        <v/>
      </c>
      <c r="Q295" s="4" t="str">
        <f t="shared" si="27"/>
        <v>无效</v>
      </c>
      <c r="R295" s="4" t="str">
        <f t="shared" ca="1" si="28"/>
        <v>异常：必须关联有效事件编号或税额批次</v>
      </c>
      <c r="S295" s="9"/>
      <c r="T295" s="4" t="str">
        <f>IF(D295&lt;&gt;"",IF(COUNTIF(激励事件明细!$A$2:$A$501,D295)=1,D295,""),IF(E295&lt;&gt;"",IFERROR(INDEX(激励事件明细!$A$2:$A$501,MATCH(E295,激励事件明细!$B$2:$B$501,0)),""),""))</f>
        <v/>
      </c>
      <c r="U295" s="4" t="str">
        <f>IF(T295="","",IFERROR(INDEX(激励事件明细!$B$2:$B$501,MATCH(T295,激励事件明细!$A$2:$A$501,0)),""))</f>
        <v/>
      </c>
      <c r="V295" s="4" t="str">
        <f>IF(A295="","",COUNTIF($A$2:A295,A295))</f>
        <v/>
      </c>
      <c r="W295" s="4" t="str">
        <f t="shared" si="29"/>
        <v/>
      </c>
    </row>
    <row r="296" spans="1:23" x14ac:dyDescent="0.3">
      <c r="A296" s="4" t="str">
        <f>IF(T296="","",IFERROR(INDEX(激励事件明细!$C$2:$C$501,MATCH(T296,激励事件明细!$A$2:$A$501,0)),""))</f>
        <v/>
      </c>
      <c r="B296" s="4" t="str">
        <f>IF(A296="","",IFERROR(INDEX(激励事件明细!$D$2:$D$501,MATCH(T296,激励事件明细!$A$2:$A$501,0)),""))</f>
        <v/>
      </c>
      <c r="C296" s="4" t="str">
        <f>IF(A296="","",IFERROR(INDEX(激励事件明细!$H$2:$H$501,MATCH(T296,激励事件明细!$A$2:$A$501,0)),""))</f>
        <v/>
      </c>
      <c r="D296" s="9"/>
      <c r="E296" s="9"/>
      <c r="F296" s="15" t="str">
        <f>IF(A296="","",IFERROR(INDEX(激励事件明细!$AA$2:$AA$501,MATCH(T296,激励事件明细!$A$2:$A$501,0)),""))</f>
        <v/>
      </c>
      <c r="G296" s="17" t="str">
        <f>IF(A296="","",IFERROR(INDEX(激励事件明细!$AB$2:$AB$501,MATCH(T296,激励事件明细!$A$2:$A$501,0)),""))</f>
        <v/>
      </c>
      <c r="H296" s="17" t="str">
        <f>IF(A296="","",IFERROR(INDEX(激励事件明细!$AC$2:$AC$501,MATCH(T296,激励事件明细!$A$2:$A$501,0)),""))</f>
        <v/>
      </c>
      <c r="I296" s="13"/>
      <c r="J296" s="14"/>
      <c r="K296" s="14"/>
      <c r="L296" s="9"/>
      <c r="M296" s="15" t="str">
        <f t="shared" si="24"/>
        <v/>
      </c>
      <c r="N296" s="15" t="str">
        <f t="shared" si="25"/>
        <v/>
      </c>
      <c r="O296" s="4" t="str">
        <f t="shared" ca="1" si="26"/>
        <v/>
      </c>
      <c r="P296" s="17" t="str">
        <f>IF(A296="","",IFERROR(IF(INDEX(激励事件明细!$P$2:$P$501,MATCH(T296,激励事件明细!$A$2:$A$501,0))=0,"",INDEX(激励事件明细!$P$2:$P$501,MATCH(T296,激励事件明细!$A$2:$A$501,0))),""))</f>
        <v/>
      </c>
      <c r="Q296" s="4" t="str">
        <f t="shared" si="27"/>
        <v>无效</v>
      </c>
      <c r="R296" s="4" t="str">
        <f t="shared" ca="1" si="28"/>
        <v>异常：必须关联有效事件编号或税额批次</v>
      </c>
      <c r="S296" s="9"/>
      <c r="T296" s="4" t="str">
        <f>IF(D296&lt;&gt;"",IF(COUNTIF(激励事件明细!$A$2:$A$501,D296)=1,D296,""),IF(E296&lt;&gt;"",IFERROR(INDEX(激励事件明细!$A$2:$A$501,MATCH(E296,激励事件明细!$B$2:$B$501,0)),""),""))</f>
        <v/>
      </c>
      <c r="U296" s="4" t="str">
        <f>IF(T296="","",IFERROR(INDEX(激励事件明细!$B$2:$B$501,MATCH(T296,激励事件明细!$A$2:$A$501,0)),""))</f>
        <v/>
      </c>
      <c r="V296" s="4" t="str">
        <f>IF(A296="","",COUNTIF($A$2:A296,A296))</f>
        <v/>
      </c>
      <c r="W296" s="4" t="str">
        <f t="shared" si="29"/>
        <v/>
      </c>
    </row>
    <row r="297" spans="1:23" x14ac:dyDescent="0.3">
      <c r="A297" s="4" t="str">
        <f>IF(T297="","",IFERROR(INDEX(激励事件明细!$C$2:$C$501,MATCH(T297,激励事件明细!$A$2:$A$501,0)),""))</f>
        <v/>
      </c>
      <c r="B297" s="4" t="str">
        <f>IF(A297="","",IFERROR(INDEX(激励事件明细!$D$2:$D$501,MATCH(T297,激励事件明细!$A$2:$A$501,0)),""))</f>
        <v/>
      </c>
      <c r="C297" s="4" t="str">
        <f>IF(A297="","",IFERROR(INDEX(激励事件明细!$H$2:$H$501,MATCH(T297,激励事件明细!$A$2:$A$501,0)),""))</f>
        <v/>
      </c>
      <c r="D297" s="9"/>
      <c r="E297" s="9"/>
      <c r="F297" s="15" t="str">
        <f>IF(A297="","",IFERROR(INDEX(激励事件明细!$AA$2:$AA$501,MATCH(T297,激励事件明细!$A$2:$A$501,0)),""))</f>
        <v/>
      </c>
      <c r="G297" s="17" t="str">
        <f>IF(A297="","",IFERROR(INDEX(激励事件明细!$AB$2:$AB$501,MATCH(T297,激励事件明细!$A$2:$A$501,0)),""))</f>
        <v/>
      </c>
      <c r="H297" s="17" t="str">
        <f>IF(A297="","",IFERROR(INDEX(激励事件明细!$AC$2:$AC$501,MATCH(T297,激励事件明细!$A$2:$A$501,0)),""))</f>
        <v/>
      </c>
      <c r="I297" s="13"/>
      <c r="J297" s="14"/>
      <c r="K297" s="14"/>
      <c r="L297" s="9"/>
      <c r="M297" s="15" t="str">
        <f t="shared" si="24"/>
        <v/>
      </c>
      <c r="N297" s="15" t="str">
        <f t="shared" si="25"/>
        <v/>
      </c>
      <c r="O297" s="4" t="str">
        <f t="shared" ca="1" si="26"/>
        <v/>
      </c>
      <c r="P297" s="17" t="str">
        <f>IF(A297="","",IFERROR(IF(INDEX(激励事件明细!$P$2:$P$501,MATCH(T297,激励事件明细!$A$2:$A$501,0))=0,"",INDEX(激励事件明细!$P$2:$P$501,MATCH(T297,激励事件明细!$A$2:$A$501,0))),""))</f>
        <v/>
      </c>
      <c r="Q297" s="4" t="str">
        <f t="shared" si="27"/>
        <v>无效</v>
      </c>
      <c r="R297" s="4" t="str">
        <f t="shared" ca="1" si="28"/>
        <v>异常：必须关联有效事件编号或税额批次</v>
      </c>
      <c r="S297" s="9"/>
      <c r="T297" s="4" t="str">
        <f>IF(D297&lt;&gt;"",IF(COUNTIF(激励事件明细!$A$2:$A$501,D297)=1,D297,""),IF(E297&lt;&gt;"",IFERROR(INDEX(激励事件明细!$A$2:$A$501,MATCH(E297,激励事件明细!$B$2:$B$501,0)),""),""))</f>
        <v/>
      </c>
      <c r="U297" s="4" t="str">
        <f>IF(T297="","",IFERROR(INDEX(激励事件明细!$B$2:$B$501,MATCH(T297,激励事件明细!$A$2:$A$501,0)),""))</f>
        <v/>
      </c>
      <c r="V297" s="4" t="str">
        <f>IF(A297="","",COUNTIF($A$2:A297,A297))</f>
        <v/>
      </c>
      <c r="W297" s="4" t="str">
        <f t="shared" si="29"/>
        <v/>
      </c>
    </row>
    <row r="298" spans="1:23" x14ac:dyDescent="0.3">
      <c r="A298" s="4" t="str">
        <f>IF(T298="","",IFERROR(INDEX(激励事件明细!$C$2:$C$501,MATCH(T298,激励事件明细!$A$2:$A$501,0)),""))</f>
        <v/>
      </c>
      <c r="B298" s="4" t="str">
        <f>IF(A298="","",IFERROR(INDEX(激励事件明细!$D$2:$D$501,MATCH(T298,激励事件明细!$A$2:$A$501,0)),""))</f>
        <v/>
      </c>
      <c r="C298" s="4" t="str">
        <f>IF(A298="","",IFERROR(INDEX(激励事件明细!$H$2:$H$501,MATCH(T298,激励事件明细!$A$2:$A$501,0)),""))</f>
        <v/>
      </c>
      <c r="D298" s="9"/>
      <c r="E298" s="9"/>
      <c r="F298" s="15" t="str">
        <f>IF(A298="","",IFERROR(INDEX(激励事件明细!$AA$2:$AA$501,MATCH(T298,激励事件明细!$A$2:$A$501,0)),""))</f>
        <v/>
      </c>
      <c r="G298" s="17" t="str">
        <f>IF(A298="","",IFERROR(INDEX(激励事件明细!$AB$2:$AB$501,MATCH(T298,激励事件明细!$A$2:$A$501,0)),""))</f>
        <v/>
      </c>
      <c r="H298" s="17" t="str">
        <f>IF(A298="","",IFERROR(INDEX(激励事件明细!$AC$2:$AC$501,MATCH(T298,激励事件明细!$A$2:$A$501,0)),""))</f>
        <v/>
      </c>
      <c r="I298" s="13"/>
      <c r="J298" s="14"/>
      <c r="K298" s="14"/>
      <c r="L298" s="9"/>
      <c r="M298" s="15" t="str">
        <f t="shared" si="24"/>
        <v/>
      </c>
      <c r="N298" s="15" t="str">
        <f t="shared" si="25"/>
        <v/>
      </c>
      <c r="O298" s="4" t="str">
        <f t="shared" ca="1" si="26"/>
        <v/>
      </c>
      <c r="P298" s="17" t="str">
        <f>IF(A298="","",IFERROR(IF(INDEX(激励事件明细!$P$2:$P$501,MATCH(T298,激励事件明细!$A$2:$A$501,0))=0,"",INDEX(激励事件明细!$P$2:$P$501,MATCH(T298,激励事件明细!$A$2:$A$501,0))),""))</f>
        <v/>
      </c>
      <c r="Q298" s="4" t="str">
        <f t="shared" si="27"/>
        <v>无效</v>
      </c>
      <c r="R298" s="4" t="str">
        <f t="shared" ca="1" si="28"/>
        <v>异常：必须关联有效事件编号或税额批次</v>
      </c>
      <c r="S298" s="9"/>
      <c r="T298" s="4" t="str">
        <f>IF(D298&lt;&gt;"",IF(COUNTIF(激励事件明细!$A$2:$A$501,D298)=1,D298,""),IF(E298&lt;&gt;"",IFERROR(INDEX(激励事件明细!$A$2:$A$501,MATCH(E298,激励事件明细!$B$2:$B$501,0)),""),""))</f>
        <v/>
      </c>
      <c r="U298" s="4" t="str">
        <f>IF(T298="","",IFERROR(INDEX(激励事件明细!$B$2:$B$501,MATCH(T298,激励事件明细!$A$2:$A$501,0)),""))</f>
        <v/>
      </c>
      <c r="V298" s="4" t="str">
        <f>IF(A298="","",COUNTIF($A$2:A298,A298))</f>
        <v/>
      </c>
      <c r="W298" s="4" t="str">
        <f t="shared" si="29"/>
        <v/>
      </c>
    </row>
    <row r="299" spans="1:23" x14ac:dyDescent="0.3">
      <c r="A299" s="4" t="str">
        <f>IF(T299="","",IFERROR(INDEX(激励事件明细!$C$2:$C$501,MATCH(T299,激励事件明细!$A$2:$A$501,0)),""))</f>
        <v/>
      </c>
      <c r="B299" s="4" t="str">
        <f>IF(A299="","",IFERROR(INDEX(激励事件明细!$D$2:$D$501,MATCH(T299,激励事件明细!$A$2:$A$501,0)),""))</f>
        <v/>
      </c>
      <c r="C299" s="4" t="str">
        <f>IF(A299="","",IFERROR(INDEX(激励事件明细!$H$2:$H$501,MATCH(T299,激励事件明细!$A$2:$A$501,0)),""))</f>
        <v/>
      </c>
      <c r="D299" s="9"/>
      <c r="E299" s="9"/>
      <c r="F299" s="15" t="str">
        <f>IF(A299="","",IFERROR(INDEX(激励事件明细!$AA$2:$AA$501,MATCH(T299,激励事件明细!$A$2:$A$501,0)),""))</f>
        <v/>
      </c>
      <c r="G299" s="17" t="str">
        <f>IF(A299="","",IFERROR(INDEX(激励事件明细!$AB$2:$AB$501,MATCH(T299,激励事件明细!$A$2:$A$501,0)),""))</f>
        <v/>
      </c>
      <c r="H299" s="17" t="str">
        <f>IF(A299="","",IFERROR(INDEX(激励事件明细!$AC$2:$AC$501,MATCH(T299,激励事件明细!$A$2:$A$501,0)),""))</f>
        <v/>
      </c>
      <c r="I299" s="13"/>
      <c r="J299" s="14"/>
      <c r="K299" s="14"/>
      <c r="L299" s="9"/>
      <c r="M299" s="15" t="str">
        <f t="shared" si="24"/>
        <v/>
      </c>
      <c r="N299" s="15" t="str">
        <f t="shared" si="25"/>
        <v/>
      </c>
      <c r="O299" s="4" t="str">
        <f t="shared" ca="1" si="26"/>
        <v/>
      </c>
      <c r="P299" s="17" t="str">
        <f>IF(A299="","",IFERROR(IF(INDEX(激励事件明细!$P$2:$P$501,MATCH(T299,激励事件明细!$A$2:$A$501,0))=0,"",INDEX(激励事件明细!$P$2:$P$501,MATCH(T299,激励事件明细!$A$2:$A$501,0))),""))</f>
        <v/>
      </c>
      <c r="Q299" s="4" t="str">
        <f t="shared" si="27"/>
        <v>无效</v>
      </c>
      <c r="R299" s="4" t="str">
        <f t="shared" ca="1" si="28"/>
        <v>异常：必须关联有效事件编号或税额批次</v>
      </c>
      <c r="S299" s="9"/>
      <c r="T299" s="4" t="str">
        <f>IF(D299&lt;&gt;"",IF(COUNTIF(激励事件明细!$A$2:$A$501,D299)=1,D299,""),IF(E299&lt;&gt;"",IFERROR(INDEX(激励事件明细!$A$2:$A$501,MATCH(E299,激励事件明细!$B$2:$B$501,0)),""),""))</f>
        <v/>
      </c>
      <c r="U299" s="4" t="str">
        <f>IF(T299="","",IFERROR(INDEX(激励事件明细!$B$2:$B$501,MATCH(T299,激励事件明细!$A$2:$A$501,0)),""))</f>
        <v/>
      </c>
      <c r="V299" s="4" t="str">
        <f>IF(A299="","",COUNTIF($A$2:A299,A299))</f>
        <v/>
      </c>
      <c r="W299" s="4" t="str">
        <f t="shared" si="29"/>
        <v/>
      </c>
    </row>
    <row r="300" spans="1:23" x14ac:dyDescent="0.3">
      <c r="A300" s="4" t="str">
        <f>IF(T300="","",IFERROR(INDEX(激励事件明细!$C$2:$C$501,MATCH(T300,激励事件明细!$A$2:$A$501,0)),""))</f>
        <v/>
      </c>
      <c r="B300" s="4" t="str">
        <f>IF(A300="","",IFERROR(INDEX(激励事件明细!$D$2:$D$501,MATCH(T300,激励事件明细!$A$2:$A$501,0)),""))</f>
        <v/>
      </c>
      <c r="C300" s="4" t="str">
        <f>IF(A300="","",IFERROR(INDEX(激励事件明细!$H$2:$H$501,MATCH(T300,激励事件明细!$A$2:$A$501,0)),""))</f>
        <v/>
      </c>
      <c r="D300" s="9"/>
      <c r="E300" s="9"/>
      <c r="F300" s="15" t="str">
        <f>IF(A300="","",IFERROR(INDEX(激励事件明细!$AA$2:$AA$501,MATCH(T300,激励事件明细!$A$2:$A$501,0)),""))</f>
        <v/>
      </c>
      <c r="G300" s="17" t="str">
        <f>IF(A300="","",IFERROR(INDEX(激励事件明细!$AB$2:$AB$501,MATCH(T300,激励事件明细!$A$2:$A$501,0)),""))</f>
        <v/>
      </c>
      <c r="H300" s="17" t="str">
        <f>IF(A300="","",IFERROR(INDEX(激励事件明细!$AC$2:$AC$501,MATCH(T300,激励事件明细!$A$2:$A$501,0)),""))</f>
        <v/>
      </c>
      <c r="I300" s="13"/>
      <c r="J300" s="14"/>
      <c r="K300" s="14"/>
      <c r="L300" s="9"/>
      <c r="M300" s="15" t="str">
        <f t="shared" si="24"/>
        <v/>
      </c>
      <c r="N300" s="15" t="str">
        <f t="shared" si="25"/>
        <v/>
      </c>
      <c r="O300" s="4" t="str">
        <f t="shared" ca="1" si="26"/>
        <v/>
      </c>
      <c r="P300" s="17" t="str">
        <f>IF(A300="","",IFERROR(IF(INDEX(激励事件明细!$P$2:$P$501,MATCH(T300,激励事件明细!$A$2:$A$501,0))=0,"",INDEX(激励事件明细!$P$2:$P$501,MATCH(T300,激励事件明细!$A$2:$A$501,0))),""))</f>
        <v/>
      </c>
      <c r="Q300" s="4" t="str">
        <f t="shared" si="27"/>
        <v>无效</v>
      </c>
      <c r="R300" s="4" t="str">
        <f t="shared" ca="1" si="28"/>
        <v>异常：必须关联有效事件编号或税额批次</v>
      </c>
      <c r="S300" s="9"/>
      <c r="T300" s="4" t="str">
        <f>IF(D300&lt;&gt;"",IF(COUNTIF(激励事件明细!$A$2:$A$501,D300)=1,D300,""),IF(E300&lt;&gt;"",IFERROR(INDEX(激励事件明细!$A$2:$A$501,MATCH(E300,激励事件明细!$B$2:$B$501,0)),""),""))</f>
        <v/>
      </c>
      <c r="U300" s="4" t="str">
        <f>IF(T300="","",IFERROR(INDEX(激励事件明细!$B$2:$B$501,MATCH(T300,激励事件明细!$A$2:$A$501,0)),""))</f>
        <v/>
      </c>
      <c r="V300" s="4" t="str">
        <f>IF(A300="","",COUNTIF($A$2:A300,A300))</f>
        <v/>
      </c>
      <c r="W300" s="4" t="str">
        <f t="shared" si="29"/>
        <v/>
      </c>
    </row>
    <row r="301" spans="1:23" x14ac:dyDescent="0.3">
      <c r="A301" s="4" t="str">
        <f>IF(T301="","",IFERROR(INDEX(激励事件明细!$C$2:$C$501,MATCH(T301,激励事件明细!$A$2:$A$501,0)),""))</f>
        <v/>
      </c>
      <c r="B301" s="4" t="str">
        <f>IF(A301="","",IFERROR(INDEX(激励事件明细!$D$2:$D$501,MATCH(T301,激励事件明细!$A$2:$A$501,0)),""))</f>
        <v/>
      </c>
      <c r="C301" s="4" t="str">
        <f>IF(A301="","",IFERROR(INDEX(激励事件明细!$H$2:$H$501,MATCH(T301,激励事件明细!$A$2:$A$501,0)),""))</f>
        <v/>
      </c>
      <c r="D301" s="9"/>
      <c r="E301" s="9"/>
      <c r="F301" s="15" t="str">
        <f>IF(A301="","",IFERROR(INDEX(激励事件明细!$AA$2:$AA$501,MATCH(T301,激励事件明细!$A$2:$A$501,0)),""))</f>
        <v/>
      </c>
      <c r="G301" s="17" t="str">
        <f>IF(A301="","",IFERROR(INDEX(激励事件明细!$AB$2:$AB$501,MATCH(T301,激励事件明细!$A$2:$A$501,0)),""))</f>
        <v/>
      </c>
      <c r="H301" s="17" t="str">
        <f>IF(A301="","",IFERROR(INDEX(激励事件明细!$AC$2:$AC$501,MATCH(T301,激励事件明细!$A$2:$A$501,0)),""))</f>
        <v/>
      </c>
      <c r="I301" s="13"/>
      <c r="J301" s="14"/>
      <c r="K301" s="14"/>
      <c r="L301" s="9"/>
      <c r="M301" s="15" t="str">
        <f t="shared" si="24"/>
        <v/>
      </c>
      <c r="N301" s="15" t="str">
        <f t="shared" si="25"/>
        <v/>
      </c>
      <c r="O301" s="4" t="str">
        <f t="shared" ca="1" si="26"/>
        <v/>
      </c>
      <c r="P301" s="17" t="str">
        <f>IF(A301="","",IFERROR(IF(INDEX(激励事件明细!$P$2:$P$501,MATCH(T301,激励事件明细!$A$2:$A$501,0))=0,"",INDEX(激励事件明细!$P$2:$P$501,MATCH(T301,激励事件明细!$A$2:$A$501,0))),""))</f>
        <v/>
      </c>
      <c r="Q301" s="4" t="str">
        <f t="shared" si="27"/>
        <v>无效</v>
      </c>
      <c r="R301" s="4" t="str">
        <f t="shared" ca="1" si="28"/>
        <v>异常：必须关联有效事件编号或税额批次</v>
      </c>
      <c r="S301" s="9"/>
      <c r="T301" s="4" t="str">
        <f>IF(D301&lt;&gt;"",IF(COUNTIF(激励事件明细!$A$2:$A$501,D301)=1,D301,""),IF(E301&lt;&gt;"",IFERROR(INDEX(激励事件明细!$A$2:$A$501,MATCH(E301,激励事件明细!$B$2:$B$501,0)),""),""))</f>
        <v/>
      </c>
      <c r="U301" s="4" t="str">
        <f>IF(T301="","",IFERROR(INDEX(激励事件明细!$B$2:$B$501,MATCH(T301,激励事件明细!$A$2:$A$501,0)),""))</f>
        <v/>
      </c>
      <c r="V301" s="4" t="str">
        <f>IF(A301="","",COUNTIF($A$2:A301,A301))</f>
        <v/>
      </c>
      <c r="W301" s="4" t="str">
        <f t="shared" si="29"/>
        <v/>
      </c>
    </row>
    <row r="302" spans="1:23" x14ac:dyDescent="0.3">
      <c r="A302" s="4" t="str">
        <f>IF(T302="","",IFERROR(INDEX(激励事件明细!$C$2:$C$501,MATCH(T302,激励事件明细!$A$2:$A$501,0)),""))</f>
        <v/>
      </c>
      <c r="B302" s="4" t="str">
        <f>IF(A302="","",IFERROR(INDEX(激励事件明细!$D$2:$D$501,MATCH(T302,激励事件明细!$A$2:$A$501,0)),""))</f>
        <v/>
      </c>
      <c r="C302" s="4" t="str">
        <f>IF(A302="","",IFERROR(INDEX(激励事件明细!$H$2:$H$501,MATCH(T302,激励事件明细!$A$2:$A$501,0)),""))</f>
        <v/>
      </c>
      <c r="D302" s="9"/>
      <c r="E302" s="9"/>
      <c r="F302" s="15" t="str">
        <f>IF(A302="","",IFERROR(INDEX(激励事件明细!$AA$2:$AA$501,MATCH(T302,激励事件明细!$A$2:$A$501,0)),""))</f>
        <v/>
      </c>
      <c r="G302" s="17" t="str">
        <f>IF(A302="","",IFERROR(INDEX(激励事件明细!$AB$2:$AB$501,MATCH(T302,激励事件明细!$A$2:$A$501,0)),""))</f>
        <v/>
      </c>
      <c r="H302" s="17" t="str">
        <f>IF(A302="","",IFERROR(INDEX(激励事件明细!$AC$2:$AC$501,MATCH(T302,激励事件明细!$A$2:$A$501,0)),""))</f>
        <v/>
      </c>
      <c r="I302" s="13"/>
      <c r="J302" s="14"/>
      <c r="K302" s="14"/>
      <c r="L302" s="9"/>
      <c r="M302" s="15" t="str">
        <f t="shared" si="24"/>
        <v/>
      </c>
      <c r="N302" s="15" t="str">
        <f t="shared" si="25"/>
        <v/>
      </c>
      <c r="O302" s="4" t="str">
        <f t="shared" ca="1" si="26"/>
        <v/>
      </c>
      <c r="P302" s="17" t="str">
        <f>IF(A302="","",IFERROR(IF(INDEX(激励事件明细!$P$2:$P$501,MATCH(T302,激励事件明细!$A$2:$A$501,0))=0,"",INDEX(激励事件明细!$P$2:$P$501,MATCH(T302,激励事件明细!$A$2:$A$501,0))),""))</f>
        <v/>
      </c>
      <c r="Q302" s="4" t="str">
        <f t="shared" si="27"/>
        <v>无效</v>
      </c>
      <c r="R302" s="4" t="str">
        <f t="shared" ca="1" si="28"/>
        <v>异常：必须关联有效事件编号或税额批次</v>
      </c>
      <c r="S302" s="9"/>
      <c r="T302" s="4" t="str">
        <f>IF(D302&lt;&gt;"",IF(COUNTIF(激励事件明细!$A$2:$A$501,D302)=1,D302,""),IF(E302&lt;&gt;"",IFERROR(INDEX(激励事件明细!$A$2:$A$501,MATCH(E302,激励事件明细!$B$2:$B$501,0)),""),""))</f>
        <v/>
      </c>
      <c r="U302" s="4" t="str">
        <f>IF(T302="","",IFERROR(INDEX(激励事件明细!$B$2:$B$501,MATCH(T302,激励事件明细!$A$2:$A$501,0)),""))</f>
        <v/>
      </c>
      <c r="V302" s="4" t="str">
        <f>IF(A302="","",COUNTIF($A$2:A302,A302))</f>
        <v/>
      </c>
      <c r="W302" s="4" t="str">
        <f t="shared" si="29"/>
        <v/>
      </c>
    </row>
    <row r="303" spans="1:23" x14ac:dyDescent="0.3">
      <c r="A303" s="4" t="str">
        <f>IF(T303="","",IFERROR(INDEX(激励事件明细!$C$2:$C$501,MATCH(T303,激励事件明细!$A$2:$A$501,0)),""))</f>
        <v/>
      </c>
      <c r="B303" s="4" t="str">
        <f>IF(A303="","",IFERROR(INDEX(激励事件明细!$D$2:$D$501,MATCH(T303,激励事件明细!$A$2:$A$501,0)),""))</f>
        <v/>
      </c>
      <c r="C303" s="4" t="str">
        <f>IF(A303="","",IFERROR(INDEX(激励事件明细!$H$2:$H$501,MATCH(T303,激励事件明细!$A$2:$A$501,0)),""))</f>
        <v/>
      </c>
      <c r="D303" s="9"/>
      <c r="E303" s="9"/>
      <c r="F303" s="15" t="str">
        <f>IF(A303="","",IFERROR(INDEX(激励事件明细!$AA$2:$AA$501,MATCH(T303,激励事件明细!$A$2:$A$501,0)),""))</f>
        <v/>
      </c>
      <c r="G303" s="17" t="str">
        <f>IF(A303="","",IFERROR(INDEX(激励事件明细!$AB$2:$AB$501,MATCH(T303,激励事件明细!$A$2:$A$501,0)),""))</f>
        <v/>
      </c>
      <c r="H303" s="17" t="str">
        <f>IF(A303="","",IFERROR(INDEX(激励事件明细!$AC$2:$AC$501,MATCH(T303,激励事件明细!$A$2:$A$501,0)),""))</f>
        <v/>
      </c>
      <c r="I303" s="13"/>
      <c r="J303" s="14"/>
      <c r="K303" s="14"/>
      <c r="L303" s="9"/>
      <c r="M303" s="15" t="str">
        <f t="shared" si="24"/>
        <v/>
      </c>
      <c r="N303" s="15" t="str">
        <f t="shared" si="25"/>
        <v/>
      </c>
      <c r="O303" s="4" t="str">
        <f t="shared" ca="1" si="26"/>
        <v/>
      </c>
      <c r="P303" s="17" t="str">
        <f>IF(A303="","",IFERROR(IF(INDEX(激励事件明细!$P$2:$P$501,MATCH(T303,激励事件明细!$A$2:$A$501,0))=0,"",INDEX(激励事件明细!$P$2:$P$501,MATCH(T303,激励事件明细!$A$2:$A$501,0))),""))</f>
        <v/>
      </c>
      <c r="Q303" s="4" t="str">
        <f t="shared" si="27"/>
        <v>无效</v>
      </c>
      <c r="R303" s="4" t="str">
        <f t="shared" ca="1" si="28"/>
        <v>异常：必须关联有效事件编号或税额批次</v>
      </c>
      <c r="S303" s="9"/>
      <c r="T303" s="4" t="str">
        <f>IF(D303&lt;&gt;"",IF(COUNTIF(激励事件明细!$A$2:$A$501,D303)=1,D303,""),IF(E303&lt;&gt;"",IFERROR(INDEX(激励事件明细!$A$2:$A$501,MATCH(E303,激励事件明细!$B$2:$B$501,0)),""),""))</f>
        <v/>
      </c>
      <c r="U303" s="4" t="str">
        <f>IF(T303="","",IFERROR(INDEX(激励事件明细!$B$2:$B$501,MATCH(T303,激励事件明细!$A$2:$A$501,0)),""))</f>
        <v/>
      </c>
      <c r="V303" s="4" t="str">
        <f>IF(A303="","",COUNTIF($A$2:A303,A303))</f>
        <v/>
      </c>
      <c r="W303" s="4" t="str">
        <f t="shared" si="29"/>
        <v/>
      </c>
    </row>
    <row r="304" spans="1:23" x14ac:dyDescent="0.3">
      <c r="A304" s="4" t="str">
        <f>IF(T304="","",IFERROR(INDEX(激励事件明细!$C$2:$C$501,MATCH(T304,激励事件明细!$A$2:$A$501,0)),""))</f>
        <v/>
      </c>
      <c r="B304" s="4" t="str">
        <f>IF(A304="","",IFERROR(INDEX(激励事件明细!$D$2:$D$501,MATCH(T304,激励事件明细!$A$2:$A$501,0)),""))</f>
        <v/>
      </c>
      <c r="C304" s="4" t="str">
        <f>IF(A304="","",IFERROR(INDEX(激励事件明细!$H$2:$H$501,MATCH(T304,激励事件明细!$A$2:$A$501,0)),""))</f>
        <v/>
      </c>
      <c r="D304" s="9"/>
      <c r="E304" s="9"/>
      <c r="F304" s="15" t="str">
        <f>IF(A304="","",IFERROR(INDEX(激励事件明细!$AA$2:$AA$501,MATCH(T304,激励事件明细!$A$2:$A$501,0)),""))</f>
        <v/>
      </c>
      <c r="G304" s="17" t="str">
        <f>IF(A304="","",IFERROR(INDEX(激励事件明细!$AB$2:$AB$501,MATCH(T304,激励事件明细!$A$2:$A$501,0)),""))</f>
        <v/>
      </c>
      <c r="H304" s="17" t="str">
        <f>IF(A304="","",IFERROR(INDEX(激励事件明细!$AC$2:$AC$501,MATCH(T304,激励事件明细!$A$2:$A$501,0)),""))</f>
        <v/>
      </c>
      <c r="I304" s="13"/>
      <c r="J304" s="14"/>
      <c r="K304" s="14"/>
      <c r="L304" s="9"/>
      <c r="M304" s="15" t="str">
        <f t="shared" si="24"/>
        <v/>
      </c>
      <c r="N304" s="15" t="str">
        <f t="shared" si="25"/>
        <v/>
      </c>
      <c r="O304" s="4" t="str">
        <f t="shared" ca="1" si="26"/>
        <v/>
      </c>
      <c r="P304" s="17" t="str">
        <f>IF(A304="","",IFERROR(IF(INDEX(激励事件明细!$P$2:$P$501,MATCH(T304,激励事件明细!$A$2:$A$501,0))=0,"",INDEX(激励事件明细!$P$2:$P$501,MATCH(T304,激励事件明细!$A$2:$A$501,0))),""))</f>
        <v/>
      </c>
      <c r="Q304" s="4" t="str">
        <f t="shared" si="27"/>
        <v>无效</v>
      </c>
      <c r="R304" s="4" t="str">
        <f t="shared" ca="1" si="28"/>
        <v>异常：必须关联有效事件编号或税额批次</v>
      </c>
      <c r="S304" s="9"/>
      <c r="T304" s="4" t="str">
        <f>IF(D304&lt;&gt;"",IF(COUNTIF(激励事件明细!$A$2:$A$501,D304)=1,D304,""),IF(E304&lt;&gt;"",IFERROR(INDEX(激励事件明细!$A$2:$A$501,MATCH(E304,激励事件明细!$B$2:$B$501,0)),""),""))</f>
        <v/>
      </c>
      <c r="U304" s="4" t="str">
        <f>IF(T304="","",IFERROR(INDEX(激励事件明细!$B$2:$B$501,MATCH(T304,激励事件明细!$A$2:$A$501,0)),""))</f>
        <v/>
      </c>
      <c r="V304" s="4" t="str">
        <f>IF(A304="","",COUNTIF($A$2:A304,A304))</f>
        <v/>
      </c>
      <c r="W304" s="4" t="str">
        <f t="shared" si="29"/>
        <v/>
      </c>
    </row>
    <row r="305" spans="1:23" x14ac:dyDescent="0.3">
      <c r="A305" s="4" t="str">
        <f>IF(T305="","",IFERROR(INDEX(激励事件明细!$C$2:$C$501,MATCH(T305,激励事件明细!$A$2:$A$501,0)),""))</f>
        <v/>
      </c>
      <c r="B305" s="4" t="str">
        <f>IF(A305="","",IFERROR(INDEX(激励事件明细!$D$2:$D$501,MATCH(T305,激励事件明细!$A$2:$A$501,0)),""))</f>
        <v/>
      </c>
      <c r="C305" s="4" t="str">
        <f>IF(A305="","",IFERROR(INDEX(激励事件明细!$H$2:$H$501,MATCH(T305,激励事件明细!$A$2:$A$501,0)),""))</f>
        <v/>
      </c>
      <c r="D305" s="9"/>
      <c r="E305" s="9"/>
      <c r="F305" s="15" t="str">
        <f>IF(A305="","",IFERROR(INDEX(激励事件明细!$AA$2:$AA$501,MATCH(T305,激励事件明细!$A$2:$A$501,0)),""))</f>
        <v/>
      </c>
      <c r="G305" s="17" t="str">
        <f>IF(A305="","",IFERROR(INDEX(激励事件明细!$AB$2:$AB$501,MATCH(T305,激励事件明细!$A$2:$A$501,0)),""))</f>
        <v/>
      </c>
      <c r="H305" s="17" t="str">
        <f>IF(A305="","",IFERROR(INDEX(激励事件明细!$AC$2:$AC$501,MATCH(T305,激励事件明细!$A$2:$A$501,0)),""))</f>
        <v/>
      </c>
      <c r="I305" s="13"/>
      <c r="J305" s="14"/>
      <c r="K305" s="14"/>
      <c r="L305" s="9"/>
      <c r="M305" s="15" t="str">
        <f t="shared" si="24"/>
        <v/>
      </c>
      <c r="N305" s="15" t="str">
        <f t="shared" si="25"/>
        <v/>
      </c>
      <c r="O305" s="4" t="str">
        <f t="shared" ca="1" si="26"/>
        <v/>
      </c>
      <c r="P305" s="17" t="str">
        <f>IF(A305="","",IFERROR(IF(INDEX(激励事件明细!$P$2:$P$501,MATCH(T305,激励事件明细!$A$2:$A$501,0))=0,"",INDEX(激励事件明细!$P$2:$P$501,MATCH(T305,激励事件明细!$A$2:$A$501,0))),""))</f>
        <v/>
      </c>
      <c r="Q305" s="4" t="str">
        <f t="shared" si="27"/>
        <v>无效</v>
      </c>
      <c r="R305" s="4" t="str">
        <f t="shared" ca="1" si="28"/>
        <v>异常：必须关联有效事件编号或税额批次</v>
      </c>
      <c r="S305" s="9"/>
      <c r="T305" s="4" t="str">
        <f>IF(D305&lt;&gt;"",IF(COUNTIF(激励事件明细!$A$2:$A$501,D305)=1,D305,""),IF(E305&lt;&gt;"",IFERROR(INDEX(激励事件明细!$A$2:$A$501,MATCH(E305,激励事件明细!$B$2:$B$501,0)),""),""))</f>
        <v/>
      </c>
      <c r="U305" s="4" t="str">
        <f>IF(T305="","",IFERROR(INDEX(激励事件明细!$B$2:$B$501,MATCH(T305,激励事件明细!$A$2:$A$501,0)),""))</f>
        <v/>
      </c>
      <c r="V305" s="4" t="str">
        <f>IF(A305="","",COUNTIF($A$2:A305,A305))</f>
        <v/>
      </c>
      <c r="W305" s="4" t="str">
        <f t="shared" si="29"/>
        <v/>
      </c>
    </row>
    <row r="306" spans="1:23" x14ac:dyDescent="0.3">
      <c r="A306" s="4" t="str">
        <f>IF(T306="","",IFERROR(INDEX(激励事件明细!$C$2:$C$501,MATCH(T306,激励事件明细!$A$2:$A$501,0)),""))</f>
        <v/>
      </c>
      <c r="B306" s="4" t="str">
        <f>IF(A306="","",IFERROR(INDEX(激励事件明细!$D$2:$D$501,MATCH(T306,激励事件明细!$A$2:$A$501,0)),""))</f>
        <v/>
      </c>
      <c r="C306" s="4" t="str">
        <f>IF(A306="","",IFERROR(INDEX(激励事件明细!$H$2:$H$501,MATCH(T306,激励事件明细!$A$2:$A$501,0)),""))</f>
        <v/>
      </c>
      <c r="D306" s="9"/>
      <c r="E306" s="9"/>
      <c r="F306" s="15" t="str">
        <f>IF(A306="","",IFERROR(INDEX(激励事件明细!$AA$2:$AA$501,MATCH(T306,激励事件明细!$A$2:$A$501,0)),""))</f>
        <v/>
      </c>
      <c r="G306" s="17" t="str">
        <f>IF(A306="","",IFERROR(INDEX(激励事件明细!$AB$2:$AB$501,MATCH(T306,激励事件明细!$A$2:$A$501,0)),""))</f>
        <v/>
      </c>
      <c r="H306" s="17" t="str">
        <f>IF(A306="","",IFERROR(INDEX(激励事件明细!$AC$2:$AC$501,MATCH(T306,激励事件明细!$A$2:$A$501,0)),""))</f>
        <v/>
      </c>
      <c r="I306" s="13"/>
      <c r="J306" s="14"/>
      <c r="K306" s="14"/>
      <c r="L306" s="9"/>
      <c r="M306" s="15" t="str">
        <f t="shared" si="24"/>
        <v/>
      </c>
      <c r="N306" s="15" t="str">
        <f t="shared" si="25"/>
        <v/>
      </c>
      <c r="O306" s="4" t="str">
        <f t="shared" ca="1" si="26"/>
        <v/>
      </c>
      <c r="P306" s="17" t="str">
        <f>IF(A306="","",IFERROR(IF(INDEX(激励事件明细!$P$2:$P$501,MATCH(T306,激励事件明细!$A$2:$A$501,0))=0,"",INDEX(激励事件明细!$P$2:$P$501,MATCH(T306,激励事件明细!$A$2:$A$501,0))),""))</f>
        <v/>
      </c>
      <c r="Q306" s="4" t="str">
        <f t="shared" si="27"/>
        <v>无效</v>
      </c>
      <c r="R306" s="4" t="str">
        <f t="shared" ca="1" si="28"/>
        <v>异常：必须关联有效事件编号或税额批次</v>
      </c>
      <c r="S306" s="9"/>
      <c r="T306" s="4" t="str">
        <f>IF(D306&lt;&gt;"",IF(COUNTIF(激励事件明细!$A$2:$A$501,D306)=1,D306,""),IF(E306&lt;&gt;"",IFERROR(INDEX(激励事件明细!$A$2:$A$501,MATCH(E306,激励事件明细!$B$2:$B$501,0)),""),""))</f>
        <v/>
      </c>
      <c r="U306" s="4" t="str">
        <f>IF(T306="","",IFERROR(INDEX(激励事件明细!$B$2:$B$501,MATCH(T306,激励事件明细!$A$2:$A$501,0)),""))</f>
        <v/>
      </c>
      <c r="V306" s="4" t="str">
        <f>IF(A306="","",COUNTIF($A$2:A306,A306))</f>
        <v/>
      </c>
      <c r="W306" s="4" t="str">
        <f t="shared" si="29"/>
        <v/>
      </c>
    </row>
    <row r="307" spans="1:23" x14ac:dyDescent="0.3">
      <c r="A307" s="4" t="str">
        <f>IF(T307="","",IFERROR(INDEX(激励事件明细!$C$2:$C$501,MATCH(T307,激励事件明细!$A$2:$A$501,0)),""))</f>
        <v/>
      </c>
      <c r="B307" s="4" t="str">
        <f>IF(A307="","",IFERROR(INDEX(激励事件明细!$D$2:$D$501,MATCH(T307,激励事件明细!$A$2:$A$501,0)),""))</f>
        <v/>
      </c>
      <c r="C307" s="4" t="str">
        <f>IF(A307="","",IFERROR(INDEX(激励事件明细!$H$2:$H$501,MATCH(T307,激励事件明细!$A$2:$A$501,0)),""))</f>
        <v/>
      </c>
      <c r="D307" s="9"/>
      <c r="E307" s="9"/>
      <c r="F307" s="15" t="str">
        <f>IF(A307="","",IFERROR(INDEX(激励事件明细!$AA$2:$AA$501,MATCH(T307,激励事件明细!$A$2:$A$501,0)),""))</f>
        <v/>
      </c>
      <c r="G307" s="17" t="str">
        <f>IF(A307="","",IFERROR(INDEX(激励事件明细!$AB$2:$AB$501,MATCH(T307,激励事件明细!$A$2:$A$501,0)),""))</f>
        <v/>
      </c>
      <c r="H307" s="17" t="str">
        <f>IF(A307="","",IFERROR(INDEX(激励事件明细!$AC$2:$AC$501,MATCH(T307,激励事件明细!$A$2:$A$501,0)),""))</f>
        <v/>
      </c>
      <c r="I307" s="13"/>
      <c r="J307" s="14"/>
      <c r="K307" s="14"/>
      <c r="L307" s="9"/>
      <c r="M307" s="15" t="str">
        <f t="shared" si="24"/>
        <v/>
      </c>
      <c r="N307" s="15" t="str">
        <f t="shared" si="25"/>
        <v/>
      </c>
      <c r="O307" s="4" t="str">
        <f t="shared" ca="1" si="26"/>
        <v/>
      </c>
      <c r="P307" s="17" t="str">
        <f>IF(A307="","",IFERROR(IF(INDEX(激励事件明细!$P$2:$P$501,MATCH(T307,激励事件明细!$A$2:$A$501,0))=0,"",INDEX(激励事件明细!$P$2:$P$501,MATCH(T307,激励事件明细!$A$2:$A$501,0))),""))</f>
        <v/>
      </c>
      <c r="Q307" s="4" t="str">
        <f t="shared" si="27"/>
        <v>无效</v>
      </c>
      <c r="R307" s="4" t="str">
        <f t="shared" ca="1" si="28"/>
        <v>异常：必须关联有效事件编号或税额批次</v>
      </c>
      <c r="S307" s="9"/>
      <c r="T307" s="4" t="str">
        <f>IF(D307&lt;&gt;"",IF(COUNTIF(激励事件明细!$A$2:$A$501,D307)=1,D307,""),IF(E307&lt;&gt;"",IFERROR(INDEX(激励事件明细!$A$2:$A$501,MATCH(E307,激励事件明细!$B$2:$B$501,0)),""),""))</f>
        <v/>
      </c>
      <c r="U307" s="4" t="str">
        <f>IF(T307="","",IFERROR(INDEX(激励事件明细!$B$2:$B$501,MATCH(T307,激励事件明细!$A$2:$A$501,0)),""))</f>
        <v/>
      </c>
      <c r="V307" s="4" t="str">
        <f>IF(A307="","",COUNTIF($A$2:A307,A307))</f>
        <v/>
      </c>
      <c r="W307" s="4" t="str">
        <f t="shared" si="29"/>
        <v/>
      </c>
    </row>
    <row r="308" spans="1:23" x14ac:dyDescent="0.3">
      <c r="A308" s="4" t="str">
        <f>IF(T308="","",IFERROR(INDEX(激励事件明细!$C$2:$C$501,MATCH(T308,激励事件明细!$A$2:$A$501,0)),""))</f>
        <v/>
      </c>
      <c r="B308" s="4" t="str">
        <f>IF(A308="","",IFERROR(INDEX(激励事件明细!$D$2:$D$501,MATCH(T308,激励事件明细!$A$2:$A$501,0)),""))</f>
        <v/>
      </c>
      <c r="C308" s="4" t="str">
        <f>IF(A308="","",IFERROR(INDEX(激励事件明细!$H$2:$H$501,MATCH(T308,激励事件明细!$A$2:$A$501,0)),""))</f>
        <v/>
      </c>
      <c r="D308" s="9"/>
      <c r="E308" s="9"/>
      <c r="F308" s="15" t="str">
        <f>IF(A308="","",IFERROR(INDEX(激励事件明细!$AA$2:$AA$501,MATCH(T308,激励事件明细!$A$2:$A$501,0)),""))</f>
        <v/>
      </c>
      <c r="G308" s="17" t="str">
        <f>IF(A308="","",IFERROR(INDEX(激励事件明细!$AB$2:$AB$501,MATCH(T308,激励事件明细!$A$2:$A$501,0)),""))</f>
        <v/>
      </c>
      <c r="H308" s="17" t="str">
        <f>IF(A308="","",IFERROR(INDEX(激励事件明细!$AC$2:$AC$501,MATCH(T308,激励事件明细!$A$2:$A$501,0)),""))</f>
        <v/>
      </c>
      <c r="I308" s="13"/>
      <c r="J308" s="14"/>
      <c r="K308" s="14"/>
      <c r="L308" s="9"/>
      <c r="M308" s="15" t="str">
        <f t="shared" si="24"/>
        <v/>
      </c>
      <c r="N308" s="15" t="str">
        <f t="shared" si="25"/>
        <v/>
      </c>
      <c r="O308" s="4" t="str">
        <f t="shared" ca="1" si="26"/>
        <v/>
      </c>
      <c r="P308" s="17" t="str">
        <f>IF(A308="","",IFERROR(IF(INDEX(激励事件明细!$P$2:$P$501,MATCH(T308,激励事件明细!$A$2:$A$501,0))=0,"",INDEX(激励事件明细!$P$2:$P$501,MATCH(T308,激励事件明细!$A$2:$A$501,0))),""))</f>
        <v/>
      </c>
      <c r="Q308" s="4" t="str">
        <f t="shared" si="27"/>
        <v>无效</v>
      </c>
      <c r="R308" s="4" t="str">
        <f t="shared" ca="1" si="28"/>
        <v>异常：必须关联有效事件编号或税额批次</v>
      </c>
      <c r="S308" s="9"/>
      <c r="T308" s="4" t="str">
        <f>IF(D308&lt;&gt;"",IF(COUNTIF(激励事件明细!$A$2:$A$501,D308)=1,D308,""),IF(E308&lt;&gt;"",IFERROR(INDEX(激励事件明细!$A$2:$A$501,MATCH(E308,激励事件明细!$B$2:$B$501,0)),""),""))</f>
        <v/>
      </c>
      <c r="U308" s="4" t="str">
        <f>IF(T308="","",IFERROR(INDEX(激励事件明细!$B$2:$B$501,MATCH(T308,激励事件明细!$A$2:$A$501,0)),""))</f>
        <v/>
      </c>
      <c r="V308" s="4" t="str">
        <f>IF(A308="","",COUNTIF($A$2:A308,A308))</f>
        <v/>
      </c>
      <c r="W308" s="4" t="str">
        <f t="shared" si="29"/>
        <v/>
      </c>
    </row>
    <row r="309" spans="1:23" x14ac:dyDescent="0.3">
      <c r="A309" s="4" t="str">
        <f>IF(T309="","",IFERROR(INDEX(激励事件明细!$C$2:$C$501,MATCH(T309,激励事件明细!$A$2:$A$501,0)),""))</f>
        <v/>
      </c>
      <c r="B309" s="4" t="str">
        <f>IF(A309="","",IFERROR(INDEX(激励事件明细!$D$2:$D$501,MATCH(T309,激励事件明细!$A$2:$A$501,0)),""))</f>
        <v/>
      </c>
      <c r="C309" s="4" t="str">
        <f>IF(A309="","",IFERROR(INDEX(激励事件明细!$H$2:$H$501,MATCH(T309,激励事件明细!$A$2:$A$501,0)),""))</f>
        <v/>
      </c>
      <c r="D309" s="9"/>
      <c r="E309" s="9"/>
      <c r="F309" s="15" t="str">
        <f>IF(A309="","",IFERROR(INDEX(激励事件明细!$AA$2:$AA$501,MATCH(T309,激励事件明细!$A$2:$A$501,0)),""))</f>
        <v/>
      </c>
      <c r="G309" s="17" t="str">
        <f>IF(A309="","",IFERROR(INDEX(激励事件明细!$AB$2:$AB$501,MATCH(T309,激励事件明细!$A$2:$A$501,0)),""))</f>
        <v/>
      </c>
      <c r="H309" s="17" t="str">
        <f>IF(A309="","",IFERROR(INDEX(激励事件明细!$AC$2:$AC$501,MATCH(T309,激励事件明细!$A$2:$A$501,0)),""))</f>
        <v/>
      </c>
      <c r="I309" s="13"/>
      <c r="J309" s="14"/>
      <c r="K309" s="14"/>
      <c r="L309" s="9"/>
      <c r="M309" s="15" t="str">
        <f t="shared" si="24"/>
        <v/>
      </c>
      <c r="N309" s="15" t="str">
        <f t="shared" si="25"/>
        <v/>
      </c>
      <c r="O309" s="4" t="str">
        <f t="shared" ca="1" si="26"/>
        <v/>
      </c>
      <c r="P309" s="17" t="str">
        <f>IF(A309="","",IFERROR(IF(INDEX(激励事件明细!$P$2:$P$501,MATCH(T309,激励事件明细!$A$2:$A$501,0))=0,"",INDEX(激励事件明细!$P$2:$P$501,MATCH(T309,激励事件明细!$A$2:$A$501,0))),""))</f>
        <v/>
      </c>
      <c r="Q309" s="4" t="str">
        <f t="shared" si="27"/>
        <v>无效</v>
      </c>
      <c r="R309" s="4" t="str">
        <f t="shared" ca="1" si="28"/>
        <v>异常：必须关联有效事件编号或税额批次</v>
      </c>
      <c r="S309" s="9"/>
      <c r="T309" s="4" t="str">
        <f>IF(D309&lt;&gt;"",IF(COUNTIF(激励事件明细!$A$2:$A$501,D309)=1,D309,""),IF(E309&lt;&gt;"",IFERROR(INDEX(激励事件明细!$A$2:$A$501,MATCH(E309,激励事件明细!$B$2:$B$501,0)),""),""))</f>
        <v/>
      </c>
      <c r="U309" s="4" t="str">
        <f>IF(T309="","",IFERROR(INDEX(激励事件明细!$B$2:$B$501,MATCH(T309,激励事件明细!$A$2:$A$501,0)),""))</f>
        <v/>
      </c>
      <c r="V309" s="4" t="str">
        <f>IF(A309="","",COUNTIF($A$2:A309,A309))</f>
        <v/>
      </c>
      <c r="W309" s="4" t="str">
        <f t="shared" si="29"/>
        <v/>
      </c>
    </row>
    <row r="310" spans="1:23" x14ac:dyDescent="0.3">
      <c r="A310" s="4" t="str">
        <f>IF(T310="","",IFERROR(INDEX(激励事件明细!$C$2:$C$501,MATCH(T310,激励事件明细!$A$2:$A$501,0)),""))</f>
        <v/>
      </c>
      <c r="B310" s="4" t="str">
        <f>IF(A310="","",IFERROR(INDEX(激励事件明细!$D$2:$D$501,MATCH(T310,激励事件明细!$A$2:$A$501,0)),""))</f>
        <v/>
      </c>
      <c r="C310" s="4" t="str">
        <f>IF(A310="","",IFERROR(INDEX(激励事件明细!$H$2:$H$501,MATCH(T310,激励事件明细!$A$2:$A$501,0)),""))</f>
        <v/>
      </c>
      <c r="D310" s="9"/>
      <c r="E310" s="9"/>
      <c r="F310" s="15" t="str">
        <f>IF(A310="","",IFERROR(INDEX(激励事件明细!$AA$2:$AA$501,MATCH(T310,激励事件明细!$A$2:$A$501,0)),""))</f>
        <v/>
      </c>
      <c r="G310" s="17" t="str">
        <f>IF(A310="","",IFERROR(INDEX(激励事件明细!$AB$2:$AB$501,MATCH(T310,激励事件明细!$A$2:$A$501,0)),""))</f>
        <v/>
      </c>
      <c r="H310" s="17" t="str">
        <f>IF(A310="","",IFERROR(INDEX(激励事件明细!$AC$2:$AC$501,MATCH(T310,激励事件明细!$A$2:$A$501,0)),""))</f>
        <v/>
      </c>
      <c r="I310" s="13"/>
      <c r="J310" s="14"/>
      <c r="K310" s="14"/>
      <c r="L310" s="9"/>
      <c r="M310" s="15" t="str">
        <f t="shared" si="24"/>
        <v/>
      </c>
      <c r="N310" s="15" t="str">
        <f t="shared" si="25"/>
        <v/>
      </c>
      <c r="O310" s="4" t="str">
        <f t="shared" ca="1" si="26"/>
        <v/>
      </c>
      <c r="P310" s="17" t="str">
        <f>IF(A310="","",IFERROR(IF(INDEX(激励事件明细!$P$2:$P$501,MATCH(T310,激励事件明细!$A$2:$A$501,0))=0,"",INDEX(激励事件明细!$P$2:$P$501,MATCH(T310,激励事件明细!$A$2:$A$501,0))),""))</f>
        <v/>
      </c>
      <c r="Q310" s="4" t="str">
        <f t="shared" si="27"/>
        <v>无效</v>
      </c>
      <c r="R310" s="4" t="str">
        <f t="shared" ca="1" si="28"/>
        <v>异常：必须关联有效事件编号或税额批次</v>
      </c>
      <c r="S310" s="9"/>
      <c r="T310" s="4" t="str">
        <f>IF(D310&lt;&gt;"",IF(COUNTIF(激励事件明细!$A$2:$A$501,D310)=1,D310,""),IF(E310&lt;&gt;"",IFERROR(INDEX(激励事件明细!$A$2:$A$501,MATCH(E310,激励事件明细!$B$2:$B$501,0)),""),""))</f>
        <v/>
      </c>
      <c r="U310" s="4" t="str">
        <f>IF(T310="","",IFERROR(INDEX(激励事件明细!$B$2:$B$501,MATCH(T310,激励事件明细!$A$2:$A$501,0)),""))</f>
        <v/>
      </c>
      <c r="V310" s="4" t="str">
        <f>IF(A310="","",COUNTIF($A$2:A310,A310))</f>
        <v/>
      </c>
      <c r="W310" s="4" t="str">
        <f t="shared" si="29"/>
        <v/>
      </c>
    </row>
    <row r="311" spans="1:23" x14ac:dyDescent="0.3">
      <c r="A311" s="4" t="str">
        <f>IF(T311="","",IFERROR(INDEX(激励事件明细!$C$2:$C$501,MATCH(T311,激励事件明细!$A$2:$A$501,0)),""))</f>
        <v/>
      </c>
      <c r="B311" s="4" t="str">
        <f>IF(A311="","",IFERROR(INDEX(激励事件明细!$D$2:$D$501,MATCH(T311,激励事件明细!$A$2:$A$501,0)),""))</f>
        <v/>
      </c>
      <c r="C311" s="4" t="str">
        <f>IF(A311="","",IFERROR(INDEX(激励事件明细!$H$2:$H$501,MATCH(T311,激励事件明细!$A$2:$A$501,0)),""))</f>
        <v/>
      </c>
      <c r="D311" s="9"/>
      <c r="E311" s="9"/>
      <c r="F311" s="15" t="str">
        <f>IF(A311="","",IFERROR(INDEX(激励事件明细!$AA$2:$AA$501,MATCH(T311,激励事件明细!$A$2:$A$501,0)),""))</f>
        <v/>
      </c>
      <c r="G311" s="17" t="str">
        <f>IF(A311="","",IFERROR(INDEX(激励事件明细!$AB$2:$AB$501,MATCH(T311,激励事件明细!$A$2:$A$501,0)),""))</f>
        <v/>
      </c>
      <c r="H311" s="17" t="str">
        <f>IF(A311="","",IFERROR(INDEX(激励事件明细!$AC$2:$AC$501,MATCH(T311,激励事件明细!$A$2:$A$501,0)),""))</f>
        <v/>
      </c>
      <c r="I311" s="13"/>
      <c r="J311" s="14"/>
      <c r="K311" s="14"/>
      <c r="L311" s="9"/>
      <c r="M311" s="15" t="str">
        <f t="shared" si="24"/>
        <v/>
      </c>
      <c r="N311" s="15" t="str">
        <f t="shared" si="25"/>
        <v/>
      </c>
      <c r="O311" s="4" t="str">
        <f t="shared" ca="1" si="26"/>
        <v/>
      </c>
      <c r="P311" s="17" t="str">
        <f>IF(A311="","",IFERROR(IF(INDEX(激励事件明细!$P$2:$P$501,MATCH(T311,激励事件明细!$A$2:$A$501,0))=0,"",INDEX(激励事件明细!$P$2:$P$501,MATCH(T311,激励事件明细!$A$2:$A$501,0))),""))</f>
        <v/>
      </c>
      <c r="Q311" s="4" t="str">
        <f t="shared" si="27"/>
        <v>无效</v>
      </c>
      <c r="R311" s="4" t="str">
        <f t="shared" ca="1" si="28"/>
        <v>异常：必须关联有效事件编号或税额批次</v>
      </c>
      <c r="S311" s="9"/>
      <c r="T311" s="4" t="str">
        <f>IF(D311&lt;&gt;"",IF(COUNTIF(激励事件明细!$A$2:$A$501,D311)=1,D311,""),IF(E311&lt;&gt;"",IFERROR(INDEX(激励事件明细!$A$2:$A$501,MATCH(E311,激励事件明细!$B$2:$B$501,0)),""),""))</f>
        <v/>
      </c>
      <c r="U311" s="4" t="str">
        <f>IF(T311="","",IFERROR(INDEX(激励事件明细!$B$2:$B$501,MATCH(T311,激励事件明细!$A$2:$A$501,0)),""))</f>
        <v/>
      </c>
      <c r="V311" s="4" t="str">
        <f>IF(A311="","",COUNTIF($A$2:A311,A311))</f>
        <v/>
      </c>
      <c r="W311" s="4" t="str">
        <f t="shared" si="29"/>
        <v/>
      </c>
    </row>
    <row r="312" spans="1:23" x14ac:dyDescent="0.3">
      <c r="A312" s="4" t="str">
        <f>IF(T312="","",IFERROR(INDEX(激励事件明细!$C$2:$C$501,MATCH(T312,激励事件明细!$A$2:$A$501,0)),""))</f>
        <v/>
      </c>
      <c r="B312" s="4" t="str">
        <f>IF(A312="","",IFERROR(INDEX(激励事件明细!$D$2:$D$501,MATCH(T312,激励事件明细!$A$2:$A$501,0)),""))</f>
        <v/>
      </c>
      <c r="C312" s="4" t="str">
        <f>IF(A312="","",IFERROR(INDEX(激励事件明细!$H$2:$H$501,MATCH(T312,激励事件明细!$A$2:$A$501,0)),""))</f>
        <v/>
      </c>
      <c r="D312" s="9"/>
      <c r="E312" s="9"/>
      <c r="F312" s="15" t="str">
        <f>IF(A312="","",IFERROR(INDEX(激励事件明细!$AA$2:$AA$501,MATCH(T312,激励事件明细!$A$2:$A$501,0)),""))</f>
        <v/>
      </c>
      <c r="G312" s="17" t="str">
        <f>IF(A312="","",IFERROR(INDEX(激励事件明细!$AB$2:$AB$501,MATCH(T312,激励事件明细!$A$2:$A$501,0)),""))</f>
        <v/>
      </c>
      <c r="H312" s="17" t="str">
        <f>IF(A312="","",IFERROR(INDEX(激励事件明细!$AC$2:$AC$501,MATCH(T312,激励事件明细!$A$2:$A$501,0)),""))</f>
        <v/>
      </c>
      <c r="I312" s="13"/>
      <c r="J312" s="14"/>
      <c r="K312" s="14"/>
      <c r="L312" s="9"/>
      <c r="M312" s="15" t="str">
        <f t="shared" si="24"/>
        <v/>
      </c>
      <c r="N312" s="15" t="str">
        <f t="shared" si="25"/>
        <v/>
      </c>
      <c r="O312" s="4" t="str">
        <f t="shared" ca="1" si="26"/>
        <v/>
      </c>
      <c r="P312" s="17" t="str">
        <f>IF(A312="","",IFERROR(IF(INDEX(激励事件明细!$P$2:$P$501,MATCH(T312,激励事件明细!$A$2:$A$501,0))=0,"",INDEX(激励事件明细!$P$2:$P$501,MATCH(T312,激励事件明细!$A$2:$A$501,0))),""))</f>
        <v/>
      </c>
      <c r="Q312" s="4" t="str">
        <f t="shared" si="27"/>
        <v>无效</v>
      </c>
      <c r="R312" s="4" t="str">
        <f t="shared" ca="1" si="28"/>
        <v>异常：必须关联有效事件编号或税额批次</v>
      </c>
      <c r="S312" s="9"/>
      <c r="T312" s="4" t="str">
        <f>IF(D312&lt;&gt;"",IF(COUNTIF(激励事件明细!$A$2:$A$501,D312)=1,D312,""),IF(E312&lt;&gt;"",IFERROR(INDEX(激励事件明细!$A$2:$A$501,MATCH(E312,激励事件明细!$B$2:$B$501,0)),""),""))</f>
        <v/>
      </c>
      <c r="U312" s="4" t="str">
        <f>IF(T312="","",IFERROR(INDEX(激励事件明细!$B$2:$B$501,MATCH(T312,激励事件明细!$A$2:$A$501,0)),""))</f>
        <v/>
      </c>
      <c r="V312" s="4" t="str">
        <f>IF(A312="","",COUNTIF($A$2:A312,A312))</f>
        <v/>
      </c>
      <c r="W312" s="4" t="str">
        <f t="shared" si="29"/>
        <v/>
      </c>
    </row>
    <row r="313" spans="1:23" x14ac:dyDescent="0.3">
      <c r="A313" s="4" t="str">
        <f>IF(T313="","",IFERROR(INDEX(激励事件明细!$C$2:$C$501,MATCH(T313,激励事件明细!$A$2:$A$501,0)),""))</f>
        <v/>
      </c>
      <c r="B313" s="4" t="str">
        <f>IF(A313="","",IFERROR(INDEX(激励事件明细!$D$2:$D$501,MATCH(T313,激励事件明细!$A$2:$A$501,0)),""))</f>
        <v/>
      </c>
      <c r="C313" s="4" t="str">
        <f>IF(A313="","",IFERROR(INDEX(激励事件明细!$H$2:$H$501,MATCH(T313,激励事件明细!$A$2:$A$501,0)),""))</f>
        <v/>
      </c>
      <c r="D313" s="9"/>
      <c r="E313" s="9"/>
      <c r="F313" s="15" t="str">
        <f>IF(A313="","",IFERROR(INDEX(激励事件明细!$AA$2:$AA$501,MATCH(T313,激励事件明细!$A$2:$A$501,0)),""))</f>
        <v/>
      </c>
      <c r="G313" s="17" t="str">
        <f>IF(A313="","",IFERROR(INDEX(激励事件明细!$AB$2:$AB$501,MATCH(T313,激励事件明细!$A$2:$A$501,0)),""))</f>
        <v/>
      </c>
      <c r="H313" s="17" t="str">
        <f>IF(A313="","",IFERROR(INDEX(激励事件明细!$AC$2:$AC$501,MATCH(T313,激励事件明细!$A$2:$A$501,0)),""))</f>
        <v/>
      </c>
      <c r="I313" s="13"/>
      <c r="J313" s="14"/>
      <c r="K313" s="14"/>
      <c r="L313" s="9"/>
      <c r="M313" s="15" t="str">
        <f t="shared" si="24"/>
        <v/>
      </c>
      <c r="N313" s="15" t="str">
        <f t="shared" si="25"/>
        <v/>
      </c>
      <c r="O313" s="4" t="str">
        <f t="shared" ca="1" si="26"/>
        <v/>
      </c>
      <c r="P313" s="17" t="str">
        <f>IF(A313="","",IFERROR(IF(INDEX(激励事件明细!$P$2:$P$501,MATCH(T313,激励事件明细!$A$2:$A$501,0))=0,"",INDEX(激励事件明细!$P$2:$P$501,MATCH(T313,激励事件明细!$A$2:$A$501,0))),""))</f>
        <v/>
      </c>
      <c r="Q313" s="4" t="str">
        <f t="shared" si="27"/>
        <v>无效</v>
      </c>
      <c r="R313" s="4" t="str">
        <f t="shared" ca="1" si="28"/>
        <v>异常：必须关联有效事件编号或税额批次</v>
      </c>
      <c r="S313" s="9"/>
      <c r="T313" s="4" t="str">
        <f>IF(D313&lt;&gt;"",IF(COUNTIF(激励事件明细!$A$2:$A$501,D313)=1,D313,""),IF(E313&lt;&gt;"",IFERROR(INDEX(激励事件明细!$A$2:$A$501,MATCH(E313,激励事件明细!$B$2:$B$501,0)),""),""))</f>
        <v/>
      </c>
      <c r="U313" s="4" t="str">
        <f>IF(T313="","",IFERROR(INDEX(激励事件明细!$B$2:$B$501,MATCH(T313,激励事件明细!$A$2:$A$501,0)),""))</f>
        <v/>
      </c>
      <c r="V313" s="4" t="str">
        <f>IF(A313="","",COUNTIF($A$2:A313,A313))</f>
        <v/>
      </c>
      <c r="W313" s="4" t="str">
        <f t="shared" si="29"/>
        <v/>
      </c>
    </row>
    <row r="314" spans="1:23" x14ac:dyDescent="0.3">
      <c r="A314" s="4" t="str">
        <f>IF(T314="","",IFERROR(INDEX(激励事件明细!$C$2:$C$501,MATCH(T314,激励事件明细!$A$2:$A$501,0)),""))</f>
        <v/>
      </c>
      <c r="B314" s="4" t="str">
        <f>IF(A314="","",IFERROR(INDEX(激励事件明细!$D$2:$D$501,MATCH(T314,激励事件明细!$A$2:$A$501,0)),""))</f>
        <v/>
      </c>
      <c r="C314" s="4" t="str">
        <f>IF(A314="","",IFERROR(INDEX(激励事件明细!$H$2:$H$501,MATCH(T314,激励事件明细!$A$2:$A$501,0)),""))</f>
        <v/>
      </c>
      <c r="D314" s="9"/>
      <c r="E314" s="9"/>
      <c r="F314" s="15" t="str">
        <f>IF(A314="","",IFERROR(INDEX(激励事件明细!$AA$2:$AA$501,MATCH(T314,激励事件明细!$A$2:$A$501,0)),""))</f>
        <v/>
      </c>
      <c r="G314" s="17" t="str">
        <f>IF(A314="","",IFERROR(INDEX(激励事件明细!$AB$2:$AB$501,MATCH(T314,激励事件明细!$A$2:$A$501,0)),""))</f>
        <v/>
      </c>
      <c r="H314" s="17" t="str">
        <f>IF(A314="","",IFERROR(INDEX(激励事件明细!$AC$2:$AC$501,MATCH(T314,激励事件明细!$A$2:$A$501,0)),""))</f>
        <v/>
      </c>
      <c r="I314" s="13"/>
      <c r="J314" s="14"/>
      <c r="K314" s="14"/>
      <c r="L314" s="9"/>
      <c r="M314" s="15" t="str">
        <f t="shared" si="24"/>
        <v/>
      </c>
      <c r="N314" s="15" t="str">
        <f t="shared" si="25"/>
        <v/>
      </c>
      <c r="O314" s="4" t="str">
        <f t="shared" ca="1" si="26"/>
        <v/>
      </c>
      <c r="P314" s="17" t="str">
        <f>IF(A314="","",IFERROR(IF(INDEX(激励事件明细!$P$2:$P$501,MATCH(T314,激励事件明细!$A$2:$A$501,0))=0,"",INDEX(激励事件明细!$P$2:$P$501,MATCH(T314,激励事件明细!$A$2:$A$501,0))),""))</f>
        <v/>
      </c>
      <c r="Q314" s="4" t="str">
        <f t="shared" si="27"/>
        <v>无效</v>
      </c>
      <c r="R314" s="4" t="str">
        <f t="shared" ca="1" si="28"/>
        <v>异常：必须关联有效事件编号或税额批次</v>
      </c>
      <c r="S314" s="9"/>
      <c r="T314" s="4" t="str">
        <f>IF(D314&lt;&gt;"",IF(COUNTIF(激励事件明细!$A$2:$A$501,D314)=1,D314,""),IF(E314&lt;&gt;"",IFERROR(INDEX(激励事件明细!$A$2:$A$501,MATCH(E314,激励事件明细!$B$2:$B$501,0)),""),""))</f>
        <v/>
      </c>
      <c r="U314" s="4" t="str">
        <f>IF(T314="","",IFERROR(INDEX(激励事件明细!$B$2:$B$501,MATCH(T314,激励事件明细!$A$2:$A$501,0)),""))</f>
        <v/>
      </c>
      <c r="V314" s="4" t="str">
        <f>IF(A314="","",COUNTIF($A$2:A314,A314))</f>
        <v/>
      </c>
      <c r="W314" s="4" t="str">
        <f t="shared" si="29"/>
        <v/>
      </c>
    </row>
    <row r="315" spans="1:23" x14ac:dyDescent="0.3">
      <c r="A315" s="4" t="str">
        <f>IF(T315="","",IFERROR(INDEX(激励事件明细!$C$2:$C$501,MATCH(T315,激励事件明细!$A$2:$A$501,0)),""))</f>
        <v/>
      </c>
      <c r="B315" s="4" t="str">
        <f>IF(A315="","",IFERROR(INDEX(激励事件明细!$D$2:$D$501,MATCH(T315,激励事件明细!$A$2:$A$501,0)),""))</f>
        <v/>
      </c>
      <c r="C315" s="4" t="str">
        <f>IF(A315="","",IFERROR(INDEX(激励事件明细!$H$2:$H$501,MATCH(T315,激励事件明细!$A$2:$A$501,0)),""))</f>
        <v/>
      </c>
      <c r="D315" s="9"/>
      <c r="E315" s="9"/>
      <c r="F315" s="15" t="str">
        <f>IF(A315="","",IFERROR(INDEX(激励事件明细!$AA$2:$AA$501,MATCH(T315,激励事件明细!$A$2:$A$501,0)),""))</f>
        <v/>
      </c>
      <c r="G315" s="17" t="str">
        <f>IF(A315="","",IFERROR(INDEX(激励事件明细!$AB$2:$AB$501,MATCH(T315,激励事件明细!$A$2:$A$501,0)),""))</f>
        <v/>
      </c>
      <c r="H315" s="17" t="str">
        <f>IF(A315="","",IFERROR(INDEX(激励事件明细!$AC$2:$AC$501,MATCH(T315,激励事件明细!$A$2:$A$501,0)),""))</f>
        <v/>
      </c>
      <c r="I315" s="13"/>
      <c r="J315" s="14"/>
      <c r="K315" s="14"/>
      <c r="L315" s="9"/>
      <c r="M315" s="15" t="str">
        <f t="shared" si="24"/>
        <v/>
      </c>
      <c r="N315" s="15" t="str">
        <f t="shared" si="25"/>
        <v/>
      </c>
      <c r="O315" s="4" t="str">
        <f t="shared" ca="1" si="26"/>
        <v/>
      </c>
      <c r="P315" s="17" t="str">
        <f>IF(A315="","",IFERROR(IF(INDEX(激励事件明细!$P$2:$P$501,MATCH(T315,激励事件明细!$A$2:$A$501,0))=0,"",INDEX(激励事件明细!$P$2:$P$501,MATCH(T315,激励事件明细!$A$2:$A$501,0))),""))</f>
        <v/>
      </c>
      <c r="Q315" s="4" t="str">
        <f t="shared" si="27"/>
        <v>无效</v>
      </c>
      <c r="R315" s="4" t="str">
        <f t="shared" ca="1" si="28"/>
        <v>异常：必须关联有效事件编号或税额批次</v>
      </c>
      <c r="S315" s="9"/>
      <c r="T315" s="4" t="str">
        <f>IF(D315&lt;&gt;"",IF(COUNTIF(激励事件明细!$A$2:$A$501,D315)=1,D315,""),IF(E315&lt;&gt;"",IFERROR(INDEX(激励事件明细!$A$2:$A$501,MATCH(E315,激励事件明细!$B$2:$B$501,0)),""),""))</f>
        <v/>
      </c>
      <c r="U315" s="4" t="str">
        <f>IF(T315="","",IFERROR(INDEX(激励事件明细!$B$2:$B$501,MATCH(T315,激励事件明细!$A$2:$A$501,0)),""))</f>
        <v/>
      </c>
      <c r="V315" s="4" t="str">
        <f>IF(A315="","",COUNTIF($A$2:A315,A315))</f>
        <v/>
      </c>
      <c r="W315" s="4" t="str">
        <f t="shared" si="29"/>
        <v/>
      </c>
    </row>
    <row r="316" spans="1:23" x14ac:dyDescent="0.3">
      <c r="A316" s="4" t="str">
        <f>IF(T316="","",IFERROR(INDEX(激励事件明细!$C$2:$C$501,MATCH(T316,激励事件明细!$A$2:$A$501,0)),""))</f>
        <v/>
      </c>
      <c r="B316" s="4" t="str">
        <f>IF(A316="","",IFERROR(INDEX(激励事件明细!$D$2:$D$501,MATCH(T316,激励事件明细!$A$2:$A$501,0)),""))</f>
        <v/>
      </c>
      <c r="C316" s="4" t="str">
        <f>IF(A316="","",IFERROR(INDEX(激励事件明细!$H$2:$H$501,MATCH(T316,激励事件明细!$A$2:$A$501,0)),""))</f>
        <v/>
      </c>
      <c r="D316" s="9"/>
      <c r="E316" s="9"/>
      <c r="F316" s="15" t="str">
        <f>IF(A316="","",IFERROR(INDEX(激励事件明细!$AA$2:$AA$501,MATCH(T316,激励事件明细!$A$2:$A$501,0)),""))</f>
        <v/>
      </c>
      <c r="G316" s="17" t="str">
        <f>IF(A316="","",IFERROR(INDEX(激励事件明细!$AB$2:$AB$501,MATCH(T316,激励事件明细!$A$2:$A$501,0)),""))</f>
        <v/>
      </c>
      <c r="H316" s="17" t="str">
        <f>IF(A316="","",IFERROR(INDEX(激励事件明细!$AC$2:$AC$501,MATCH(T316,激励事件明细!$A$2:$A$501,0)),""))</f>
        <v/>
      </c>
      <c r="I316" s="13"/>
      <c r="J316" s="14"/>
      <c r="K316" s="14"/>
      <c r="L316" s="9"/>
      <c r="M316" s="15" t="str">
        <f t="shared" si="24"/>
        <v/>
      </c>
      <c r="N316" s="15" t="str">
        <f t="shared" si="25"/>
        <v/>
      </c>
      <c r="O316" s="4" t="str">
        <f t="shared" ca="1" si="26"/>
        <v/>
      </c>
      <c r="P316" s="17" t="str">
        <f>IF(A316="","",IFERROR(IF(INDEX(激励事件明细!$P$2:$P$501,MATCH(T316,激励事件明细!$A$2:$A$501,0))=0,"",INDEX(激励事件明细!$P$2:$P$501,MATCH(T316,激励事件明细!$A$2:$A$501,0))),""))</f>
        <v/>
      </c>
      <c r="Q316" s="4" t="str">
        <f t="shared" si="27"/>
        <v>无效</v>
      </c>
      <c r="R316" s="4" t="str">
        <f t="shared" ca="1" si="28"/>
        <v>异常：必须关联有效事件编号或税额批次</v>
      </c>
      <c r="S316" s="9"/>
      <c r="T316" s="4" t="str">
        <f>IF(D316&lt;&gt;"",IF(COUNTIF(激励事件明细!$A$2:$A$501,D316)=1,D316,""),IF(E316&lt;&gt;"",IFERROR(INDEX(激励事件明细!$A$2:$A$501,MATCH(E316,激励事件明细!$B$2:$B$501,0)),""),""))</f>
        <v/>
      </c>
      <c r="U316" s="4" t="str">
        <f>IF(T316="","",IFERROR(INDEX(激励事件明细!$B$2:$B$501,MATCH(T316,激励事件明细!$A$2:$A$501,0)),""))</f>
        <v/>
      </c>
      <c r="V316" s="4" t="str">
        <f>IF(A316="","",COUNTIF($A$2:A316,A316))</f>
        <v/>
      </c>
      <c r="W316" s="4" t="str">
        <f t="shared" si="29"/>
        <v/>
      </c>
    </row>
    <row r="317" spans="1:23" x14ac:dyDescent="0.3">
      <c r="A317" s="4" t="str">
        <f>IF(T317="","",IFERROR(INDEX(激励事件明细!$C$2:$C$501,MATCH(T317,激励事件明细!$A$2:$A$501,0)),""))</f>
        <v/>
      </c>
      <c r="B317" s="4" t="str">
        <f>IF(A317="","",IFERROR(INDEX(激励事件明细!$D$2:$D$501,MATCH(T317,激励事件明细!$A$2:$A$501,0)),""))</f>
        <v/>
      </c>
      <c r="C317" s="4" t="str">
        <f>IF(A317="","",IFERROR(INDEX(激励事件明细!$H$2:$H$501,MATCH(T317,激励事件明细!$A$2:$A$501,0)),""))</f>
        <v/>
      </c>
      <c r="D317" s="9"/>
      <c r="E317" s="9"/>
      <c r="F317" s="15" t="str">
        <f>IF(A317="","",IFERROR(INDEX(激励事件明细!$AA$2:$AA$501,MATCH(T317,激励事件明细!$A$2:$A$501,0)),""))</f>
        <v/>
      </c>
      <c r="G317" s="17" t="str">
        <f>IF(A317="","",IFERROR(INDEX(激励事件明细!$AB$2:$AB$501,MATCH(T317,激励事件明细!$A$2:$A$501,0)),""))</f>
        <v/>
      </c>
      <c r="H317" s="17" t="str">
        <f>IF(A317="","",IFERROR(INDEX(激励事件明细!$AC$2:$AC$501,MATCH(T317,激励事件明细!$A$2:$A$501,0)),""))</f>
        <v/>
      </c>
      <c r="I317" s="13"/>
      <c r="J317" s="14"/>
      <c r="K317" s="14"/>
      <c r="L317" s="9"/>
      <c r="M317" s="15" t="str">
        <f t="shared" si="24"/>
        <v/>
      </c>
      <c r="N317" s="15" t="str">
        <f t="shared" si="25"/>
        <v/>
      </c>
      <c r="O317" s="4" t="str">
        <f t="shared" ca="1" si="26"/>
        <v/>
      </c>
      <c r="P317" s="17" t="str">
        <f>IF(A317="","",IFERROR(IF(INDEX(激励事件明细!$P$2:$P$501,MATCH(T317,激励事件明细!$A$2:$A$501,0))=0,"",INDEX(激励事件明细!$P$2:$P$501,MATCH(T317,激励事件明细!$A$2:$A$501,0))),""))</f>
        <v/>
      </c>
      <c r="Q317" s="4" t="str">
        <f t="shared" si="27"/>
        <v>无效</v>
      </c>
      <c r="R317" s="4" t="str">
        <f t="shared" ca="1" si="28"/>
        <v>异常：必须关联有效事件编号或税额批次</v>
      </c>
      <c r="S317" s="9"/>
      <c r="T317" s="4" t="str">
        <f>IF(D317&lt;&gt;"",IF(COUNTIF(激励事件明细!$A$2:$A$501,D317)=1,D317,""),IF(E317&lt;&gt;"",IFERROR(INDEX(激励事件明细!$A$2:$A$501,MATCH(E317,激励事件明细!$B$2:$B$501,0)),""),""))</f>
        <v/>
      </c>
      <c r="U317" s="4" t="str">
        <f>IF(T317="","",IFERROR(INDEX(激励事件明细!$B$2:$B$501,MATCH(T317,激励事件明细!$A$2:$A$501,0)),""))</f>
        <v/>
      </c>
      <c r="V317" s="4" t="str">
        <f>IF(A317="","",COUNTIF($A$2:A317,A317))</f>
        <v/>
      </c>
      <c r="W317" s="4" t="str">
        <f t="shared" si="29"/>
        <v/>
      </c>
    </row>
    <row r="318" spans="1:23" x14ac:dyDescent="0.3">
      <c r="A318" s="4" t="str">
        <f>IF(T318="","",IFERROR(INDEX(激励事件明细!$C$2:$C$501,MATCH(T318,激励事件明细!$A$2:$A$501,0)),""))</f>
        <v/>
      </c>
      <c r="B318" s="4" t="str">
        <f>IF(A318="","",IFERROR(INDEX(激励事件明细!$D$2:$D$501,MATCH(T318,激励事件明细!$A$2:$A$501,0)),""))</f>
        <v/>
      </c>
      <c r="C318" s="4" t="str">
        <f>IF(A318="","",IFERROR(INDEX(激励事件明细!$H$2:$H$501,MATCH(T318,激励事件明细!$A$2:$A$501,0)),""))</f>
        <v/>
      </c>
      <c r="D318" s="9"/>
      <c r="E318" s="9"/>
      <c r="F318" s="15" t="str">
        <f>IF(A318="","",IFERROR(INDEX(激励事件明细!$AA$2:$AA$501,MATCH(T318,激励事件明细!$A$2:$A$501,0)),""))</f>
        <v/>
      </c>
      <c r="G318" s="17" t="str">
        <f>IF(A318="","",IFERROR(INDEX(激励事件明细!$AB$2:$AB$501,MATCH(T318,激励事件明细!$A$2:$A$501,0)),""))</f>
        <v/>
      </c>
      <c r="H318" s="17" t="str">
        <f>IF(A318="","",IFERROR(INDEX(激励事件明细!$AC$2:$AC$501,MATCH(T318,激励事件明细!$A$2:$A$501,0)),""))</f>
        <v/>
      </c>
      <c r="I318" s="13"/>
      <c r="J318" s="14"/>
      <c r="K318" s="14"/>
      <c r="L318" s="9"/>
      <c r="M318" s="15" t="str">
        <f t="shared" si="24"/>
        <v/>
      </c>
      <c r="N318" s="15" t="str">
        <f t="shared" si="25"/>
        <v/>
      </c>
      <c r="O318" s="4" t="str">
        <f t="shared" ca="1" si="26"/>
        <v/>
      </c>
      <c r="P318" s="17" t="str">
        <f>IF(A318="","",IFERROR(IF(INDEX(激励事件明细!$P$2:$P$501,MATCH(T318,激励事件明细!$A$2:$A$501,0))=0,"",INDEX(激励事件明细!$P$2:$P$501,MATCH(T318,激励事件明细!$A$2:$A$501,0))),""))</f>
        <v/>
      </c>
      <c r="Q318" s="4" t="str">
        <f t="shared" si="27"/>
        <v>无效</v>
      </c>
      <c r="R318" s="4" t="str">
        <f t="shared" ca="1" si="28"/>
        <v>异常：必须关联有效事件编号或税额批次</v>
      </c>
      <c r="S318" s="9"/>
      <c r="T318" s="4" t="str">
        <f>IF(D318&lt;&gt;"",IF(COUNTIF(激励事件明细!$A$2:$A$501,D318)=1,D318,""),IF(E318&lt;&gt;"",IFERROR(INDEX(激励事件明细!$A$2:$A$501,MATCH(E318,激励事件明细!$B$2:$B$501,0)),""),""))</f>
        <v/>
      </c>
      <c r="U318" s="4" t="str">
        <f>IF(T318="","",IFERROR(INDEX(激励事件明细!$B$2:$B$501,MATCH(T318,激励事件明细!$A$2:$A$501,0)),""))</f>
        <v/>
      </c>
      <c r="V318" s="4" t="str">
        <f>IF(A318="","",COUNTIF($A$2:A318,A318))</f>
        <v/>
      </c>
      <c r="W318" s="4" t="str">
        <f t="shared" si="29"/>
        <v/>
      </c>
    </row>
    <row r="319" spans="1:23" x14ac:dyDescent="0.3">
      <c r="A319" s="4" t="str">
        <f>IF(T319="","",IFERROR(INDEX(激励事件明细!$C$2:$C$501,MATCH(T319,激励事件明细!$A$2:$A$501,0)),""))</f>
        <v/>
      </c>
      <c r="B319" s="4" t="str">
        <f>IF(A319="","",IFERROR(INDEX(激励事件明细!$D$2:$D$501,MATCH(T319,激励事件明细!$A$2:$A$501,0)),""))</f>
        <v/>
      </c>
      <c r="C319" s="4" t="str">
        <f>IF(A319="","",IFERROR(INDEX(激励事件明细!$H$2:$H$501,MATCH(T319,激励事件明细!$A$2:$A$501,0)),""))</f>
        <v/>
      </c>
      <c r="D319" s="9"/>
      <c r="E319" s="9"/>
      <c r="F319" s="15" t="str">
        <f>IF(A319="","",IFERROR(INDEX(激励事件明细!$AA$2:$AA$501,MATCH(T319,激励事件明细!$A$2:$A$501,0)),""))</f>
        <v/>
      </c>
      <c r="G319" s="17" t="str">
        <f>IF(A319="","",IFERROR(INDEX(激励事件明细!$AB$2:$AB$501,MATCH(T319,激励事件明细!$A$2:$A$501,0)),""))</f>
        <v/>
      </c>
      <c r="H319" s="17" t="str">
        <f>IF(A319="","",IFERROR(INDEX(激励事件明细!$AC$2:$AC$501,MATCH(T319,激励事件明细!$A$2:$A$501,0)),""))</f>
        <v/>
      </c>
      <c r="I319" s="13"/>
      <c r="J319" s="14"/>
      <c r="K319" s="14"/>
      <c r="L319" s="9"/>
      <c r="M319" s="15" t="str">
        <f t="shared" si="24"/>
        <v/>
      </c>
      <c r="N319" s="15" t="str">
        <f t="shared" si="25"/>
        <v/>
      </c>
      <c r="O319" s="4" t="str">
        <f t="shared" ca="1" si="26"/>
        <v/>
      </c>
      <c r="P319" s="17" t="str">
        <f>IF(A319="","",IFERROR(IF(INDEX(激励事件明细!$P$2:$P$501,MATCH(T319,激励事件明细!$A$2:$A$501,0))=0,"",INDEX(激励事件明细!$P$2:$P$501,MATCH(T319,激励事件明细!$A$2:$A$501,0))),""))</f>
        <v/>
      </c>
      <c r="Q319" s="4" t="str">
        <f t="shared" si="27"/>
        <v>无效</v>
      </c>
      <c r="R319" s="4" t="str">
        <f t="shared" ca="1" si="28"/>
        <v>异常：必须关联有效事件编号或税额批次</v>
      </c>
      <c r="S319" s="9"/>
      <c r="T319" s="4" t="str">
        <f>IF(D319&lt;&gt;"",IF(COUNTIF(激励事件明细!$A$2:$A$501,D319)=1,D319,""),IF(E319&lt;&gt;"",IFERROR(INDEX(激励事件明细!$A$2:$A$501,MATCH(E319,激励事件明细!$B$2:$B$501,0)),""),""))</f>
        <v/>
      </c>
      <c r="U319" s="4" t="str">
        <f>IF(T319="","",IFERROR(INDEX(激励事件明细!$B$2:$B$501,MATCH(T319,激励事件明细!$A$2:$A$501,0)),""))</f>
        <v/>
      </c>
      <c r="V319" s="4" t="str">
        <f>IF(A319="","",COUNTIF($A$2:A319,A319))</f>
        <v/>
      </c>
      <c r="W319" s="4" t="str">
        <f t="shared" si="29"/>
        <v/>
      </c>
    </row>
    <row r="320" spans="1:23" x14ac:dyDescent="0.3">
      <c r="A320" s="4" t="str">
        <f>IF(T320="","",IFERROR(INDEX(激励事件明细!$C$2:$C$501,MATCH(T320,激励事件明细!$A$2:$A$501,0)),""))</f>
        <v/>
      </c>
      <c r="B320" s="4" t="str">
        <f>IF(A320="","",IFERROR(INDEX(激励事件明细!$D$2:$D$501,MATCH(T320,激励事件明细!$A$2:$A$501,0)),""))</f>
        <v/>
      </c>
      <c r="C320" s="4" t="str">
        <f>IF(A320="","",IFERROR(INDEX(激励事件明细!$H$2:$H$501,MATCH(T320,激励事件明细!$A$2:$A$501,0)),""))</f>
        <v/>
      </c>
      <c r="D320" s="9"/>
      <c r="E320" s="9"/>
      <c r="F320" s="15" t="str">
        <f>IF(A320="","",IFERROR(INDEX(激励事件明细!$AA$2:$AA$501,MATCH(T320,激励事件明细!$A$2:$A$501,0)),""))</f>
        <v/>
      </c>
      <c r="G320" s="17" t="str">
        <f>IF(A320="","",IFERROR(INDEX(激励事件明细!$AB$2:$AB$501,MATCH(T320,激励事件明细!$A$2:$A$501,0)),""))</f>
        <v/>
      </c>
      <c r="H320" s="17" t="str">
        <f>IF(A320="","",IFERROR(INDEX(激励事件明细!$AC$2:$AC$501,MATCH(T320,激励事件明细!$A$2:$A$501,0)),""))</f>
        <v/>
      </c>
      <c r="I320" s="13"/>
      <c r="J320" s="14"/>
      <c r="K320" s="14"/>
      <c r="L320" s="9"/>
      <c r="M320" s="15" t="str">
        <f t="shared" si="24"/>
        <v/>
      </c>
      <c r="N320" s="15" t="str">
        <f t="shared" si="25"/>
        <v/>
      </c>
      <c r="O320" s="4" t="str">
        <f t="shared" ca="1" si="26"/>
        <v/>
      </c>
      <c r="P320" s="17" t="str">
        <f>IF(A320="","",IFERROR(IF(INDEX(激励事件明细!$P$2:$P$501,MATCH(T320,激励事件明细!$A$2:$A$501,0))=0,"",INDEX(激励事件明细!$P$2:$P$501,MATCH(T320,激励事件明细!$A$2:$A$501,0))),""))</f>
        <v/>
      </c>
      <c r="Q320" s="4" t="str">
        <f t="shared" si="27"/>
        <v>无效</v>
      </c>
      <c r="R320" s="4" t="str">
        <f t="shared" ca="1" si="28"/>
        <v>异常：必须关联有效事件编号或税额批次</v>
      </c>
      <c r="S320" s="9"/>
      <c r="T320" s="4" t="str">
        <f>IF(D320&lt;&gt;"",IF(COUNTIF(激励事件明细!$A$2:$A$501,D320)=1,D320,""),IF(E320&lt;&gt;"",IFERROR(INDEX(激励事件明细!$A$2:$A$501,MATCH(E320,激励事件明细!$B$2:$B$501,0)),""),""))</f>
        <v/>
      </c>
      <c r="U320" s="4" t="str">
        <f>IF(T320="","",IFERROR(INDEX(激励事件明细!$B$2:$B$501,MATCH(T320,激励事件明细!$A$2:$A$501,0)),""))</f>
        <v/>
      </c>
      <c r="V320" s="4" t="str">
        <f>IF(A320="","",COUNTIF($A$2:A320,A320))</f>
        <v/>
      </c>
      <c r="W320" s="4" t="str">
        <f t="shared" si="29"/>
        <v/>
      </c>
    </row>
    <row r="321" spans="1:23" x14ac:dyDescent="0.3">
      <c r="A321" s="4" t="str">
        <f>IF(T321="","",IFERROR(INDEX(激励事件明细!$C$2:$C$501,MATCH(T321,激励事件明细!$A$2:$A$501,0)),""))</f>
        <v/>
      </c>
      <c r="B321" s="4" t="str">
        <f>IF(A321="","",IFERROR(INDEX(激励事件明细!$D$2:$D$501,MATCH(T321,激励事件明细!$A$2:$A$501,0)),""))</f>
        <v/>
      </c>
      <c r="C321" s="4" t="str">
        <f>IF(A321="","",IFERROR(INDEX(激励事件明细!$H$2:$H$501,MATCH(T321,激励事件明细!$A$2:$A$501,0)),""))</f>
        <v/>
      </c>
      <c r="D321" s="9"/>
      <c r="E321" s="9"/>
      <c r="F321" s="15" t="str">
        <f>IF(A321="","",IFERROR(INDEX(激励事件明细!$AA$2:$AA$501,MATCH(T321,激励事件明细!$A$2:$A$501,0)),""))</f>
        <v/>
      </c>
      <c r="G321" s="17" t="str">
        <f>IF(A321="","",IFERROR(INDEX(激励事件明细!$AB$2:$AB$501,MATCH(T321,激励事件明细!$A$2:$A$501,0)),""))</f>
        <v/>
      </c>
      <c r="H321" s="17" t="str">
        <f>IF(A321="","",IFERROR(INDEX(激励事件明细!$AC$2:$AC$501,MATCH(T321,激励事件明细!$A$2:$A$501,0)),""))</f>
        <v/>
      </c>
      <c r="I321" s="13"/>
      <c r="J321" s="14"/>
      <c r="K321" s="14"/>
      <c r="L321" s="9"/>
      <c r="M321" s="15" t="str">
        <f t="shared" si="24"/>
        <v/>
      </c>
      <c r="N321" s="15" t="str">
        <f t="shared" si="25"/>
        <v/>
      </c>
      <c r="O321" s="4" t="str">
        <f t="shared" ca="1" si="26"/>
        <v/>
      </c>
      <c r="P321" s="17" t="str">
        <f>IF(A321="","",IFERROR(IF(INDEX(激励事件明细!$P$2:$P$501,MATCH(T321,激励事件明细!$A$2:$A$501,0))=0,"",INDEX(激励事件明细!$P$2:$P$501,MATCH(T321,激励事件明细!$A$2:$A$501,0))),""))</f>
        <v/>
      </c>
      <c r="Q321" s="4" t="str">
        <f t="shared" si="27"/>
        <v>无效</v>
      </c>
      <c r="R321" s="4" t="str">
        <f t="shared" ca="1" si="28"/>
        <v>异常：必须关联有效事件编号或税额批次</v>
      </c>
      <c r="S321" s="9"/>
      <c r="T321" s="4" t="str">
        <f>IF(D321&lt;&gt;"",IF(COUNTIF(激励事件明细!$A$2:$A$501,D321)=1,D321,""),IF(E321&lt;&gt;"",IFERROR(INDEX(激励事件明细!$A$2:$A$501,MATCH(E321,激励事件明细!$B$2:$B$501,0)),""),""))</f>
        <v/>
      </c>
      <c r="U321" s="4" t="str">
        <f>IF(T321="","",IFERROR(INDEX(激励事件明细!$B$2:$B$501,MATCH(T321,激励事件明细!$A$2:$A$501,0)),""))</f>
        <v/>
      </c>
      <c r="V321" s="4" t="str">
        <f>IF(A321="","",COUNTIF($A$2:A321,A321))</f>
        <v/>
      </c>
      <c r="W321" s="4" t="str">
        <f t="shared" si="29"/>
        <v/>
      </c>
    </row>
    <row r="322" spans="1:23" x14ac:dyDescent="0.3">
      <c r="A322" s="4" t="str">
        <f>IF(T322="","",IFERROR(INDEX(激励事件明细!$C$2:$C$501,MATCH(T322,激励事件明细!$A$2:$A$501,0)),""))</f>
        <v/>
      </c>
      <c r="B322" s="4" t="str">
        <f>IF(A322="","",IFERROR(INDEX(激励事件明细!$D$2:$D$501,MATCH(T322,激励事件明细!$A$2:$A$501,0)),""))</f>
        <v/>
      </c>
      <c r="C322" s="4" t="str">
        <f>IF(A322="","",IFERROR(INDEX(激励事件明细!$H$2:$H$501,MATCH(T322,激励事件明细!$A$2:$A$501,0)),""))</f>
        <v/>
      </c>
      <c r="D322" s="9"/>
      <c r="E322" s="9"/>
      <c r="F322" s="15" t="str">
        <f>IF(A322="","",IFERROR(INDEX(激励事件明细!$AA$2:$AA$501,MATCH(T322,激励事件明细!$A$2:$A$501,0)),""))</f>
        <v/>
      </c>
      <c r="G322" s="17" t="str">
        <f>IF(A322="","",IFERROR(INDEX(激励事件明细!$AB$2:$AB$501,MATCH(T322,激励事件明细!$A$2:$A$501,0)),""))</f>
        <v/>
      </c>
      <c r="H322" s="17" t="str">
        <f>IF(A322="","",IFERROR(INDEX(激励事件明细!$AC$2:$AC$501,MATCH(T322,激励事件明细!$A$2:$A$501,0)),""))</f>
        <v/>
      </c>
      <c r="I322" s="13"/>
      <c r="J322" s="14"/>
      <c r="K322" s="14"/>
      <c r="L322" s="9"/>
      <c r="M322" s="15" t="str">
        <f t="shared" ref="M322:M385" si="30">IF(T322="","",SUMIFS($K$2:$K$501,$T$2:$T$501,T322,$Q$2:$Q$501,"有效"))</f>
        <v/>
      </c>
      <c r="N322" s="15" t="str">
        <f t="shared" ref="N322:N385" si="31">IF(F322="","",MAX(0,F322-M322))</f>
        <v/>
      </c>
      <c r="O322" s="4" t="str">
        <f t="shared" ref="O322:O385" ca="1" si="32">IF(A322="","",IF(AND(I322&lt;&gt;"",I322&gt;H322),"是",IF(AND(TODAY()&gt;H322,N322&gt;0),"是","否")))</f>
        <v/>
      </c>
      <c r="P322" s="17" t="str">
        <f>IF(A322="","",IFERROR(IF(INDEX(激励事件明细!$P$2:$P$501,MATCH(T322,激励事件明细!$A$2:$A$501,0))=0,"",INDEX(激励事件明细!$P$2:$P$501,MATCH(T322,激励事件明细!$A$2:$A$501,0))),""))</f>
        <v/>
      </c>
      <c r="Q322" s="4" t="str">
        <f t="shared" ref="Q322:Q385" si="33">IF(AND(D322="",E322=""),"无效",IF(T322="","无效",IF(AND(D322&lt;&gt;"",E322&lt;&gt;"",U322&lt;&gt;E322),"冲突","有效")))</f>
        <v>无效</v>
      </c>
      <c r="R322" s="4" t="str">
        <f t="shared" ref="R322:R385" ca="1" si="34">IF(Q322="冲突","异常：事件编号与税额批次冲突",IF(Q322="无效","异常：必须关联有效事件编号或税额批次",IF(AND(ISNUMBER(P322),P322&gt;0,ISNUMBER(I322),K322&gt;0,I322&gt;P322),"异常：离职后缴税",IF(M322&gt;F322,"异常：本批次超额缴税",IF(AND(I322&lt;&gt;"",I322&gt;H322),"异常：超过事件截止日",IF(AND(ISNUMBER(P322),P322&gt;0,TODAY()&gt;=P322,N322&gt;0),"异常：离职前未缴清","正常"))))))</f>
        <v>异常：必须关联有效事件编号或税额批次</v>
      </c>
      <c r="S322" s="9"/>
      <c r="T322" s="4" t="str">
        <f>IF(D322&lt;&gt;"",IF(COUNTIF(激励事件明细!$A$2:$A$501,D322)=1,D322,""),IF(E322&lt;&gt;"",IFERROR(INDEX(激励事件明细!$A$2:$A$501,MATCH(E322,激励事件明细!$B$2:$B$501,0)),""),""))</f>
        <v/>
      </c>
      <c r="U322" s="4" t="str">
        <f>IF(T322="","",IFERROR(INDEX(激励事件明细!$B$2:$B$501,MATCH(T322,激励事件明细!$A$2:$A$501,0)),""))</f>
        <v/>
      </c>
      <c r="V322" s="4" t="str">
        <f>IF(A322="","",COUNTIF($A$2:A322,A322))</f>
        <v/>
      </c>
      <c r="W322" s="4" t="str">
        <f t="shared" ref="W322:W385" si="35">IF(A322="","",A322&amp;"|"&amp;V322)</f>
        <v/>
      </c>
    </row>
    <row r="323" spans="1:23" x14ac:dyDescent="0.3">
      <c r="A323" s="4" t="str">
        <f>IF(T323="","",IFERROR(INDEX(激励事件明细!$C$2:$C$501,MATCH(T323,激励事件明细!$A$2:$A$501,0)),""))</f>
        <v/>
      </c>
      <c r="B323" s="4" t="str">
        <f>IF(A323="","",IFERROR(INDEX(激励事件明细!$D$2:$D$501,MATCH(T323,激励事件明细!$A$2:$A$501,0)),""))</f>
        <v/>
      </c>
      <c r="C323" s="4" t="str">
        <f>IF(A323="","",IFERROR(INDEX(激励事件明细!$H$2:$H$501,MATCH(T323,激励事件明细!$A$2:$A$501,0)),""))</f>
        <v/>
      </c>
      <c r="D323" s="9"/>
      <c r="E323" s="9"/>
      <c r="F323" s="15" t="str">
        <f>IF(A323="","",IFERROR(INDEX(激励事件明细!$AA$2:$AA$501,MATCH(T323,激励事件明细!$A$2:$A$501,0)),""))</f>
        <v/>
      </c>
      <c r="G323" s="17" t="str">
        <f>IF(A323="","",IFERROR(INDEX(激励事件明细!$AB$2:$AB$501,MATCH(T323,激励事件明细!$A$2:$A$501,0)),""))</f>
        <v/>
      </c>
      <c r="H323" s="17" t="str">
        <f>IF(A323="","",IFERROR(INDEX(激励事件明细!$AC$2:$AC$501,MATCH(T323,激励事件明细!$A$2:$A$501,0)),""))</f>
        <v/>
      </c>
      <c r="I323" s="13"/>
      <c r="J323" s="14"/>
      <c r="K323" s="14"/>
      <c r="L323" s="9"/>
      <c r="M323" s="15" t="str">
        <f t="shared" si="30"/>
        <v/>
      </c>
      <c r="N323" s="15" t="str">
        <f t="shared" si="31"/>
        <v/>
      </c>
      <c r="O323" s="4" t="str">
        <f t="shared" ca="1" si="32"/>
        <v/>
      </c>
      <c r="P323" s="17" t="str">
        <f>IF(A323="","",IFERROR(IF(INDEX(激励事件明细!$P$2:$P$501,MATCH(T323,激励事件明细!$A$2:$A$501,0))=0,"",INDEX(激励事件明细!$P$2:$P$501,MATCH(T323,激励事件明细!$A$2:$A$501,0))),""))</f>
        <v/>
      </c>
      <c r="Q323" s="4" t="str">
        <f t="shared" si="33"/>
        <v>无效</v>
      </c>
      <c r="R323" s="4" t="str">
        <f t="shared" ca="1" si="34"/>
        <v>异常：必须关联有效事件编号或税额批次</v>
      </c>
      <c r="S323" s="9"/>
      <c r="T323" s="4" t="str">
        <f>IF(D323&lt;&gt;"",IF(COUNTIF(激励事件明细!$A$2:$A$501,D323)=1,D323,""),IF(E323&lt;&gt;"",IFERROR(INDEX(激励事件明细!$A$2:$A$501,MATCH(E323,激励事件明细!$B$2:$B$501,0)),""),""))</f>
        <v/>
      </c>
      <c r="U323" s="4" t="str">
        <f>IF(T323="","",IFERROR(INDEX(激励事件明细!$B$2:$B$501,MATCH(T323,激励事件明细!$A$2:$A$501,0)),""))</f>
        <v/>
      </c>
      <c r="V323" s="4" t="str">
        <f>IF(A323="","",COUNTIF($A$2:A323,A323))</f>
        <v/>
      </c>
      <c r="W323" s="4" t="str">
        <f t="shared" si="35"/>
        <v/>
      </c>
    </row>
    <row r="324" spans="1:23" x14ac:dyDescent="0.3">
      <c r="A324" s="4" t="str">
        <f>IF(T324="","",IFERROR(INDEX(激励事件明细!$C$2:$C$501,MATCH(T324,激励事件明细!$A$2:$A$501,0)),""))</f>
        <v/>
      </c>
      <c r="B324" s="4" t="str">
        <f>IF(A324="","",IFERROR(INDEX(激励事件明细!$D$2:$D$501,MATCH(T324,激励事件明细!$A$2:$A$501,0)),""))</f>
        <v/>
      </c>
      <c r="C324" s="4" t="str">
        <f>IF(A324="","",IFERROR(INDEX(激励事件明细!$H$2:$H$501,MATCH(T324,激励事件明细!$A$2:$A$501,0)),""))</f>
        <v/>
      </c>
      <c r="D324" s="9"/>
      <c r="E324" s="9"/>
      <c r="F324" s="15" t="str">
        <f>IF(A324="","",IFERROR(INDEX(激励事件明细!$AA$2:$AA$501,MATCH(T324,激励事件明细!$A$2:$A$501,0)),""))</f>
        <v/>
      </c>
      <c r="G324" s="17" t="str">
        <f>IF(A324="","",IFERROR(INDEX(激励事件明细!$AB$2:$AB$501,MATCH(T324,激励事件明细!$A$2:$A$501,0)),""))</f>
        <v/>
      </c>
      <c r="H324" s="17" t="str">
        <f>IF(A324="","",IFERROR(INDEX(激励事件明细!$AC$2:$AC$501,MATCH(T324,激励事件明细!$A$2:$A$501,0)),""))</f>
        <v/>
      </c>
      <c r="I324" s="13"/>
      <c r="J324" s="14"/>
      <c r="K324" s="14"/>
      <c r="L324" s="9"/>
      <c r="M324" s="15" t="str">
        <f t="shared" si="30"/>
        <v/>
      </c>
      <c r="N324" s="15" t="str">
        <f t="shared" si="31"/>
        <v/>
      </c>
      <c r="O324" s="4" t="str">
        <f t="shared" ca="1" si="32"/>
        <v/>
      </c>
      <c r="P324" s="17" t="str">
        <f>IF(A324="","",IFERROR(IF(INDEX(激励事件明细!$P$2:$P$501,MATCH(T324,激励事件明细!$A$2:$A$501,0))=0,"",INDEX(激励事件明细!$P$2:$P$501,MATCH(T324,激励事件明细!$A$2:$A$501,0))),""))</f>
        <v/>
      </c>
      <c r="Q324" s="4" t="str">
        <f t="shared" si="33"/>
        <v>无效</v>
      </c>
      <c r="R324" s="4" t="str">
        <f t="shared" ca="1" si="34"/>
        <v>异常：必须关联有效事件编号或税额批次</v>
      </c>
      <c r="S324" s="9"/>
      <c r="T324" s="4" t="str">
        <f>IF(D324&lt;&gt;"",IF(COUNTIF(激励事件明细!$A$2:$A$501,D324)=1,D324,""),IF(E324&lt;&gt;"",IFERROR(INDEX(激励事件明细!$A$2:$A$501,MATCH(E324,激励事件明细!$B$2:$B$501,0)),""),""))</f>
        <v/>
      </c>
      <c r="U324" s="4" t="str">
        <f>IF(T324="","",IFERROR(INDEX(激励事件明细!$B$2:$B$501,MATCH(T324,激励事件明细!$A$2:$A$501,0)),""))</f>
        <v/>
      </c>
      <c r="V324" s="4" t="str">
        <f>IF(A324="","",COUNTIF($A$2:A324,A324))</f>
        <v/>
      </c>
      <c r="W324" s="4" t="str">
        <f t="shared" si="35"/>
        <v/>
      </c>
    </row>
    <row r="325" spans="1:23" x14ac:dyDescent="0.3">
      <c r="A325" s="4" t="str">
        <f>IF(T325="","",IFERROR(INDEX(激励事件明细!$C$2:$C$501,MATCH(T325,激励事件明细!$A$2:$A$501,0)),""))</f>
        <v/>
      </c>
      <c r="B325" s="4" t="str">
        <f>IF(A325="","",IFERROR(INDEX(激励事件明细!$D$2:$D$501,MATCH(T325,激励事件明细!$A$2:$A$501,0)),""))</f>
        <v/>
      </c>
      <c r="C325" s="4" t="str">
        <f>IF(A325="","",IFERROR(INDEX(激励事件明细!$H$2:$H$501,MATCH(T325,激励事件明细!$A$2:$A$501,0)),""))</f>
        <v/>
      </c>
      <c r="D325" s="9"/>
      <c r="E325" s="9"/>
      <c r="F325" s="15" t="str">
        <f>IF(A325="","",IFERROR(INDEX(激励事件明细!$AA$2:$AA$501,MATCH(T325,激励事件明细!$A$2:$A$501,0)),""))</f>
        <v/>
      </c>
      <c r="G325" s="17" t="str">
        <f>IF(A325="","",IFERROR(INDEX(激励事件明细!$AB$2:$AB$501,MATCH(T325,激励事件明细!$A$2:$A$501,0)),""))</f>
        <v/>
      </c>
      <c r="H325" s="17" t="str">
        <f>IF(A325="","",IFERROR(INDEX(激励事件明细!$AC$2:$AC$501,MATCH(T325,激励事件明细!$A$2:$A$501,0)),""))</f>
        <v/>
      </c>
      <c r="I325" s="13"/>
      <c r="J325" s="14"/>
      <c r="K325" s="14"/>
      <c r="L325" s="9"/>
      <c r="M325" s="15" t="str">
        <f t="shared" si="30"/>
        <v/>
      </c>
      <c r="N325" s="15" t="str">
        <f t="shared" si="31"/>
        <v/>
      </c>
      <c r="O325" s="4" t="str">
        <f t="shared" ca="1" si="32"/>
        <v/>
      </c>
      <c r="P325" s="17" t="str">
        <f>IF(A325="","",IFERROR(IF(INDEX(激励事件明细!$P$2:$P$501,MATCH(T325,激励事件明细!$A$2:$A$501,0))=0,"",INDEX(激励事件明细!$P$2:$P$501,MATCH(T325,激励事件明细!$A$2:$A$501,0))),""))</f>
        <v/>
      </c>
      <c r="Q325" s="4" t="str">
        <f t="shared" si="33"/>
        <v>无效</v>
      </c>
      <c r="R325" s="4" t="str">
        <f t="shared" ca="1" si="34"/>
        <v>异常：必须关联有效事件编号或税额批次</v>
      </c>
      <c r="S325" s="9"/>
      <c r="T325" s="4" t="str">
        <f>IF(D325&lt;&gt;"",IF(COUNTIF(激励事件明细!$A$2:$A$501,D325)=1,D325,""),IF(E325&lt;&gt;"",IFERROR(INDEX(激励事件明细!$A$2:$A$501,MATCH(E325,激励事件明细!$B$2:$B$501,0)),""),""))</f>
        <v/>
      </c>
      <c r="U325" s="4" t="str">
        <f>IF(T325="","",IFERROR(INDEX(激励事件明细!$B$2:$B$501,MATCH(T325,激励事件明细!$A$2:$A$501,0)),""))</f>
        <v/>
      </c>
      <c r="V325" s="4" t="str">
        <f>IF(A325="","",COUNTIF($A$2:A325,A325))</f>
        <v/>
      </c>
      <c r="W325" s="4" t="str">
        <f t="shared" si="35"/>
        <v/>
      </c>
    </row>
    <row r="326" spans="1:23" x14ac:dyDescent="0.3">
      <c r="A326" s="4" t="str">
        <f>IF(T326="","",IFERROR(INDEX(激励事件明细!$C$2:$C$501,MATCH(T326,激励事件明细!$A$2:$A$501,0)),""))</f>
        <v/>
      </c>
      <c r="B326" s="4" t="str">
        <f>IF(A326="","",IFERROR(INDEX(激励事件明细!$D$2:$D$501,MATCH(T326,激励事件明细!$A$2:$A$501,0)),""))</f>
        <v/>
      </c>
      <c r="C326" s="4" t="str">
        <f>IF(A326="","",IFERROR(INDEX(激励事件明细!$H$2:$H$501,MATCH(T326,激励事件明细!$A$2:$A$501,0)),""))</f>
        <v/>
      </c>
      <c r="D326" s="9"/>
      <c r="E326" s="9"/>
      <c r="F326" s="15" t="str">
        <f>IF(A326="","",IFERROR(INDEX(激励事件明细!$AA$2:$AA$501,MATCH(T326,激励事件明细!$A$2:$A$501,0)),""))</f>
        <v/>
      </c>
      <c r="G326" s="17" t="str">
        <f>IF(A326="","",IFERROR(INDEX(激励事件明细!$AB$2:$AB$501,MATCH(T326,激励事件明细!$A$2:$A$501,0)),""))</f>
        <v/>
      </c>
      <c r="H326" s="17" t="str">
        <f>IF(A326="","",IFERROR(INDEX(激励事件明细!$AC$2:$AC$501,MATCH(T326,激励事件明细!$A$2:$A$501,0)),""))</f>
        <v/>
      </c>
      <c r="I326" s="13"/>
      <c r="J326" s="14"/>
      <c r="K326" s="14"/>
      <c r="L326" s="9"/>
      <c r="M326" s="15" t="str">
        <f t="shared" si="30"/>
        <v/>
      </c>
      <c r="N326" s="15" t="str">
        <f t="shared" si="31"/>
        <v/>
      </c>
      <c r="O326" s="4" t="str">
        <f t="shared" ca="1" si="32"/>
        <v/>
      </c>
      <c r="P326" s="17" t="str">
        <f>IF(A326="","",IFERROR(IF(INDEX(激励事件明细!$P$2:$P$501,MATCH(T326,激励事件明细!$A$2:$A$501,0))=0,"",INDEX(激励事件明细!$P$2:$P$501,MATCH(T326,激励事件明细!$A$2:$A$501,0))),""))</f>
        <v/>
      </c>
      <c r="Q326" s="4" t="str">
        <f t="shared" si="33"/>
        <v>无效</v>
      </c>
      <c r="R326" s="4" t="str">
        <f t="shared" ca="1" si="34"/>
        <v>异常：必须关联有效事件编号或税额批次</v>
      </c>
      <c r="S326" s="9"/>
      <c r="T326" s="4" t="str">
        <f>IF(D326&lt;&gt;"",IF(COUNTIF(激励事件明细!$A$2:$A$501,D326)=1,D326,""),IF(E326&lt;&gt;"",IFERROR(INDEX(激励事件明细!$A$2:$A$501,MATCH(E326,激励事件明细!$B$2:$B$501,0)),""),""))</f>
        <v/>
      </c>
      <c r="U326" s="4" t="str">
        <f>IF(T326="","",IFERROR(INDEX(激励事件明细!$B$2:$B$501,MATCH(T326,激励事件明细!$A$2:$A$501,0)),""))</f>
        <v/>
      </c>
      <c r="V326" s="4" t="str">
        <f>IF(A326="","",COUNTIF($A$2:A326,A326))</f>
        <v/>
      </c>
      <c r="W326" s="4" t="str">
        <f t="shared" si="35"/>
        <v/>
      </c>
    </row>
    <row r="327" spans="1:23" x14ac:dyDescent="0.3">
      <c r="A327" s="4" t="str">
        <f>IF(T327="","",IFERROR(INDEX(激励事件明细!$C$2:$C$501,MATCH(T327,激励事件明细!$A$2:$A$501,0)),""))</f>
        <v/>
      </c>
      <c r="B327" s="4" t="str">
        <f>IF(A327="","",IFERROR(INDEX(激励事件明细!$D$2:$D$501,MATCH(T327,激励事件明细!$A$2:$A$501,0)),""))</f>
        <v/>
      </c>
      <c r="C327" s="4" t="str">
        <f>IF(A327="","",IFERROR(INDEX(激励事件明细!$H$2:$H$501,MATCH(T327,激励事件明细!$A$2:$A$501,0)),""))</f>
        <v/>
      </c>
      <c r="D327" s="9"/>
      <c r="E327" s="9"/>
      <c r="F327" s="15" t="str">
        <f>IF(A327="","",IFERROR(INDEX(激励事件明细!$AA$2:$AA$501,MATCH(T327,激励事件明细!$A$2:$A$501,0)),""))</f>
        <v/>
      </c>
      <c r="G327" s="17" t="str">
        <f>IF(A327="","",IFERROR(INDEX(激励事件明细!$AB$2:$AB$501,MATCH(T327,激励事件明细!$A$2:$A$501,0)),""))</f>
        <v/>
      </c>
      <c r="H327" s="17" t="str">
        <f>IF(A327="","",IFERROR(INDEX(激励事件明细!$AC$2:$AC$501,MATCH(T327,激励事件明细!$A$2:$A$501,0)),""))</f>
        <v/>
      </c>
      <c r="I327" s="13"/>
      <c r="J327" s="14"/>
      <c r="K327" s="14"/>
      <c r="L327" s="9"/>
      <c r="M327" s="15" t="str">
        <f t="shared" si="30"/>
        <v/>
      </c>
      <c r="N327" s="15" t="str">
        <f t="shared" si="31"/>
        <v/>
      </c>
      <c r="O327" s="4" t="str">
        <f t="shared" ca="1" si="32"/>
        <v/>
      </c>
      <c r="P327" s="17" t="str">
        <f>IF(A327="","",IFERROR(IF(INDEX(激励事件明细!$P$2:$P$501,MATCH(T327,激励事件明细!$A$2:$A$501,0))=0,"",INDEX(激励事件明细!$P$2:$P$501,MATCH(T327,激励事件明细!$A$2:$A$501,0))),""))</f>
        <v/>
      </c>
      <c r="Q327" s="4" t="str">
        <f t="shared" si="33"/>
        <v>无效</v>
      </c>
      <c r="R327" s="4" t="str">
        <f t="shared" ca="1" si="34"/>
        <v>异常：必须关联有效事件编号或税额批次</v>
      </c>
      <c r="S327" s="9"/>
      <c r="T327" s="4" t="str">
        <f>IF(D327&lt;&gt;"",IF(COUNTIF(激励事件明细!$A$2:$A$501,D327)=1,D327,""),IF(E327&lt;&gt;"",IFERROR(INDEX(激励事件明细!$A$2:$A$501,MATCH(E327,激励事件明细!$B$2:$B$501,0)),""),""))</f>
        <v/>
      </c>
      <c r="U327" s="4" t="str">
        <f>IF(T327="","",IFERROR(INDEX(激励事件明细!$B$2:$B$501,MATCH(T327,激励事件明细!$A$2:$A$501,0)),""))</f>
        <v/>
      </c>
      <c r="V327" s="4" t="str">
        <f>IF(A327="","",COUNTIF($A$2:A327,A327))</f>
        <v/>
      </c>
      <c r="W327" s="4" t="str">
        <f t="shared" si="35"/>
        <v/>
      </c>
    </row>
    <row r="328" spans="1:23" x14ac:dyDescent="0.3">
      <c r="A328" s="4" t="str">
        <f>IF(T328="","",IFERROR(INDEX(激励事件明细!$C$2:$C$501,MATCH(T328,激励事件明细!$A$2:$A$501,0)),""))</f>
        <v/>
      </c>
      <c r="B328" s="4" t="str">
        <f>IF(A328="","",IFERROR(INDEX(激励事件明细!$D$2:$D$501,MATCH(T328,激励事件明细!$A$2:$A$501,0)),""))</f>
        <v/>
      </c>
      <c r="C328" s="4" t="str">
        <f>IF(A328="","",IFERROR(INDEX(激励事件明细!$H$2:$H$501,MATCH(T328,激励事件明细!$A$2:$A$501,0)),""))</f>
        <v/>
      </c>
      <c r="D328" s="9"/>
      <c r="E328" s="9"/>
      <c r="F328" s="15" t="str">
        <f>IF(A328="","",IFERROR(INDEX(激励事件明细!$AA$2:$AA$501,MATCH(T328,激励事件明细!$A$2:$A$501,0)),""))</f>
        <v/>
      </c>
      <c r="G328" s="17" t="str">
        <f>IF(A328="","",IFERROR(INDEX(激励事件明细!$AB$2:$AB$501,MATCH(T328,激励事件明细!$A$2:$A$501,0)),""))</f>
        <v/>
      </c>
      <c r="H328" s="17" t="str">
        <f>IF(A328="","",IFERROR(INDEX(激励事件明细!$AC$2:$AC$501,MATCH(T328,激励事件明细!$A$2:$A$501,0)),""))</f>
        <v/>
      </c>
      <c r="I328" s="13"/>
      <c r="J328" s="14"/>
      <c r="K328" s="14"/>
      <c r="L328" s="9"/>
      <c r="M328" s="15" t="str">
        <f t="shared" si="30"/>
        <v/>
      </c>
      <c r="N328" s="15" t="str">
        <f t="shared" si="31"/>
        <v/>
      </c>
      <c r="O328" s="4" t="str">
        <f t="shared" ca="1" si="32"/>
        <v/>
      </c>
      <c r="P328" s="17" t="str">
        <f>IF(A328="","",IFERROR(IF(INDEX(激励事件明细!$P$2:$P$501,MATCH(T328,激励事件明细!$A$2:$A$501,0))=0,"",INDEX(激励事件明细!$P$2:$P$501,MATCH(T328,激励事件明细!$A$2:$A$501,0))),""))</f>
        <v/>
      </c>
      <c r="Q328" s="4" t="str">
        <f t="shared" si="33"/>
        <v>无效</v>
      </c>
      <c r="R328" s="4" t="str">
        <f t="shared" ca="1" si="34"/>
        <v>异常：必须关联有效事件编号或税额批次</v>
      </c>
      <c r="S328" s="9"/>
      <c r="T328" s="4" t="str">
        <f>IF(D328&lt;&gt;"",IF(COUNTIF(激励事件明细!$A$2:$A$501,D328)=1,D328,""),IF(E328&lt;&gt;"",IFERROR(INDEX(激励事件明细!$A$2:$A$501,MATCH(E328,激励事件明细!$B$2:$B$501,0)),""),""))</f>
        <v/>
      </c>
      <c r="U328" s="4" t="str">
        <f>IF(T328="","",IFERROR(INDEX(激励事件明细!$B$2:$B$501,MATCH(T328,激励事件明细!$A$2:$A$501,0)),""))</f>
        <v/>
      </c>
      <c r="V328" s="4" t="str">
        <f>IF(A328="","",COUNTIF($A$2:A328,A328))</f>
        <v/>
      </c>
      <c r="W328" s="4" t="str">
        <f t="shared" si="35"/>
        <v/>
      </c>
    </row>
    <row r="329" spans="1:23" x14ac:dyDescent="0.3">
      <c r="A329" s="4" t="str">
        <f>IF(T329="","",IFERROR(INDEX(激励事件明细!$C$2:$C$501,MATCH(T329,激励事件明细!$A$2:$A$501,0)),""))</f>
        <v/>
      </c>
      <c r="B329" s="4" t="str">
        <f>IF(A329="","",IFERROR(INDEX(激励事件明细!$D$2:$D$501,MATCH(T329,激励事件明细!$A$2:$A$501,0)),""))</f>
        <v/>
      </c>
      <c r="C329" s="4" t="str">
        <f>IF(A329="","",IFERROR(INDEX(激励事件明细!$H$2:$H$501,MATCH(T329,激励事件明细!$A$2:$A$501,0)),""))</f>
        <v/>
      </c>
      <c r="D329" s="9"/>
      <c r="E329" s="9"/>
      <c r="F329" s="15" t="str">
        <f>IF(A329="","",IFERROR(INDEX(激励事件明细!$AA$2:$AA$501,MATCH(T329,激励事件明细!$A$2:$A$501,0)),""))</f>
        <v/>
      </c>
      <c r="G329" s="17" t="str">
        <f>IF(A329="","",IFERROR(INDEX(激励事件明细!$AB$2:$AB$501,MATCH(T329,激励事件明细!$A$2:$A$501,0)),""))</f>
        <v/>
      </c>
      <c r="H329" s="17" t="str">
        <f>IF(A329="","",IFERROR(INDEX(激励事件明细!$AC$2:$AC$501,MATCH(T329,激励事件明细!$A$2:$A$501,0)),""))</f>
        <v/>
      </c>
      <c r="I329" s="13"/>
      <c r="J329" s="14"/>
      <c r="K329" s="14"/>
      <c r="L329" s="9"/>
      <c r="M329" s="15" t="str">
        <f t="shared" si="30"/>
        <v/>
      </c>
      <c r="N329" s="15" t="str">
        <f t="shared" si="31"/>
        <v/>
      </c>
      <c r="O329" s="4" t="str">
        <f t="shared" ca="1" si="32"/>
        <v/>
      </c>
      <c r="P329" s="17" t="str">
        <f>IF(A329="","",IFERROR(IF(INDEX(激励事件明细!$P$2:$P$501,MATCH(T329,激励事件明细!$A$2:$A$501,0))=0,"",INDEX(激励事件明细!$P$2:$P$501,MATCH(T329,激励事件明细!$A$2:$A$501,0))),""))</f>
        <v/>
      </c>
      <c r="Q329" s="4" t="str">
        <f t="shared" si="33"/>
        <v>无效</v>
      </c>
      <c r="R329" s="4" t="str">
        <f t="shared" ca="1" si="34"/>
        <v>异常：必须关联有效事件编号或税额批次</v>
      </c>
      <c r="S329" s="9"/>
      <c r="T329" s="4" t="str">
        <f>IF(D329&lt;&gt;"",IF(COUNTIF(激励事件明细!$A$2:$A$501,D329)=1,D329,""),IF(E329&lt;&gt;"",IFERROR(INDEX(激励事件明细!$A$2:$A$501,MATCH(E329,激励事件明细!$B$2:$B$501,0)),""),""))</f>
        <v/>
      </c>
      <c r="U329" s="4" t="str">
        <f>IF(T329="","",IFERROR(INDEX(激励事件明细!$B$2:$B$501,MATCH(T329,激励事件明细!$A$2:$A$501,0)),""))</f>
        <v/>
      </c>
      <c r="V329" s="4" t="str">
        <f>IF(A329="","",COUNTIF($A$2:A329,A329))</f>
        <v/>
      </c>
      <c r="W329" s="4" t="str">
        <f t="shared" si="35"/>
        <v/>
      </c>
    </row>
    <row r="330" spans="1:23" x14ac:dyDescent="0.3">
      <c r="A330" s="4" t="str">
        <f>IF(T330="","",IFERROR(INDEX(激励事件明细!$C$2:$C$501,MATCH(T330,激励事件明细!$A$2:$A$501,0)),""))</f>
        <v/>
      </c>
      <c r="B330" s="4" t="str">
        <f>IF(A330="","",IFERROR(INDEX(激励事件明细!$D$2:$D$501,MATCH(T330,激励事件明细!$A$2:$A$501,0)),""))</f>
        <v/>
      </c>
      <c r="C330" s="4" t="str">
        <f>IF(A330="","",IFERROR(INDEX(激励事件明细!$H$2:$H$501,MATCH(T330,激励事件明细!$A$2:$A$501,0)),""))</f>
        <v/>
      </c>
      <c r="D330" s="9"/>
      <c r="E330" s="9"/>
      <c r="F330" s="15" t="str">
        <f>IF(A330="","",IFERROR(INDEX(激励事件明细!$AA$2:$AA$501,MATCH(T330,激励事件明细!$A$2:$A$501,0)),""))</f>
        <v/>
      </c>
      <c r="G330" s="17" t="str">
        <f>IF(A330="","",IFERROR(INDEX(激励事件明细!$AB$2:$AB$501,MATCH(T330,激励事件明细!$A$2:$A$501,0)),""))</f>
        <v/>
      </c>
      <c r="H330" s="17" t="str">
        <f>IF(A330="","",IFERROR(INDEX(激励事件明细!$AC$2:$AC$501,MATCH(T330,激励事件明细!$A$2:$A$501,0)),""))</f>
        <v/>
      </c>
      <c r="I330" s="13"/>
      <c r="J330" s="14"/>
      <c r="K330" s="14"/>
      <c r="L330" s="9"/>
      <c r="M330" s="15" t="str">
        <f t="shared" si="30"/>
        <v/>
      </c>
      <c r="N330" s="15" t="str">
        <f t="shared" si="31"/>
        <v/>
      </c>
      <c r="O330" s="4" t="str">
        <f t="shared" ca="1" si="32"/>
        <v/>
      </c>
      <c r="P330" s="17" t="str">
        <f>IF(A330="","",IFERROR(IF(INDEX(激励事件明细!$P$2:$P$501,MATCH(T330,激励事件明细!$A$2:$A$501,0))=0,"",INDEX(激励事件明细!$P$2:$P$501,MATCH(T330,激励事件明细!$A$2:$A$501,0))),""))</f>
        <v/>
      </c>
      <c r="Q330" s="4" t="str">
        <f t="shared" si="33"/>
        <v>无效</v>
      </c>
      <c r="R330" s="4" t="str">
        <f t="shared" ca="1" si="34"/>
        <v>异常：必须关联有效事件编号或税额批次</v>
      </c>
      <c r="S330" s="9"/>
      <c r="T330" s="4" t="str">
        <f>IF(D330&lt;&gt;"",IF(COUNTIF(激励事件明细!$A$2:$A$501,D330)=1,D330,""),IF(E330&lt;&gt;"",IFERROR(INDEX(激励事件明细!$A$2:$A$501,MATCH(E330,激励事件明细!$B$2:$B$501,0)),""),""))</f>
        <v/>
      </c>
      <c r="U330" s="4" t="str">
        <f>IF(T330="","",IFERROR(INDEX(激励事件明细!$B$2:$B$501,MATCH(T330,激励事件明细!$A$2:$A$501,0)),""))</f>
        <v/>
      </c>
      <c r="V330" s="4" t="str">
        <f>IF(A330="","",COUNTIF($A$2:A330,A330))</f>
        <v/>
      </c>
      <c r="W330" s="4" t="str">
        <f t="shared" si="35"/>
        <v/>
      </c>
    </row>
    <row r="331" spans="1:23" x14ac:dyDescent="0.3">
      <c r="A331" s="4" t="str">
        <f>IF(T331="","",IFERROR(INDEX(激励事件明细!$C$2:$C$501,MATCH(T331,激励事件明细!$A$2:$A$501,0)),""))</f>
        <v/>
      </c>
      <c r="B331" s="4" t="str">
        <f>IF(A331="","",IFERROR(INDEX(激励事件明细!$D$2:$D$501,MATCH(T331,激励事件明细!$A$2:$A$501,0)),""))</f>
        <v/>
      </c>
      <c r="C331" s="4" t="str">
        <f>IF(A331="","",IFERROR(INDEX(激励事件明细!$H$2:$H$501,MATCH(T331,激励事件明细!$A$2:$A$501,0)),""))</f>
        <v/>
      </c>
      <c r="D331" s="9"/>
      <c r="E331" s="9"/>
      <c r="F331" s="15" t="str">
        <f>IF(A331="","",IFERROR(INDEX(激励事件明细!$AA$2:$AA$501,MATCH(T331,激励事件明细!$A$2:$A$501,0)),""))</f>
        <v/>
      </c>
      <c r="G331" s="17" t="str">
        <f>IF(A331="","",IFERROR(INDEX(激励事件明细!$AB$2:$AB$501,MATCH(T331,激励事件明细!$A$2:$A$501,0)),""))</f>
        <v/>
      </c>
      <c r="H331" s="17" t="str">
        <f>IF(A331="","",IFERROR(INDEX(激励事件明细!$AC$2:$AC$501,MATCH(T331,激励事件明细!$A$2:$A$501,0)),""))</f>
        <v/>
      </c>
      <c r="I331" s="13"/>
      <c r="J331" s="14"/>
      <c r="K331" s="14"/>
      <c r="L331" s="9"/>
      <c r="M331" s="15" t="str">
        <f t="shared" si="30"/>
        <v/>
      </c>
      <c r="N331" s="15" t="str">
        <f t="shared" si="31"/>
        <v/>
      </c>
      <c r="O331" s="4" t="str">
        <f t="shared" ca="1" si="32"/>
        <v/>
      </c>
      <c r="P331" s="17" t="str">
        <f>IF(A331="","",IFERROR(IF(INDEX(激励事件明细!$P$2:$P$501,MATCH(T331,激励事件明细!$A$2:$A$501,0))=0,"",INDEX(激励事件明细!$P$2:$P$501,MATCH(T331,激励事件明细!$A$2:$A$501,0))),""))</f>
        <v/>
      </c>
      <c r="Q331" s="4" t="str">
        <f t="shared" si="33"/>
        <v>无效</v>
      </c>
      <c r="R331" s="4" t="str">
        <f t="shared" ca="1" si="34"/>
        <v>异常：必须关联有效事件编号或税额批次</v>
      </c>
      <c r="S331" s="9"/>
      <c r="T331" s="4" t="str">
        <f>IF(D331&lt;&gt;"",IF(COUNTIF(激励事件明细!$A$2:$A$501,D331)=1,D331,""),IF(E331&lt;&gt;"",IFERROR(INDEX(激励事件明细!$A$2:$A$501,MATCH(E331,激励事件明细!$B$2:$B$501,0)),""),""))</f>
        <v/>
      </c>
      <c r="U331" s="4" t="str">
        <f>IF(T331="","",IFERROR(INDEX(激励事件明细!$B$2:$B$501,MATCH(T331,激励事件明细!$A$2:$A$501,0)),""))</f>
        <v/>
      </c>
      <c r="V331" s="4" t="str">
        <f>IF(A331="","",COUNTIF($A$2:A331,A331))</f>
        <v/>
      </c>
      <c r="W331" s="4" t="str">
        <f t="shared" si="35"/>
        <v/>
      </c>
    </row>
    <row r="332" spans="1:23" x14ac:dyDescent="0.3">
      <c r="A332" s="4" t="str">
        <f>IF(T332="","",IFERROR(INDEX(激励事件明细!$C$2:$C$501,MATCH(T332,激励事件明细!$A$2:$A$501,0)),""))</f>
        <v/>
      </c>
      <c r="B332" s="4" t="str">
        <f>IF(A332="","",IFERROR(INDEX(激励事件明细!$D$2:$D$501,MATCH(T332,激励事件明细!$A$2:$A$501,0)),""))</f>
        <v/>
      </c>
      <c r="C332" s="4" t="str">
        <f>IF(A332="","",IFERROR(INDEX(激励事件明细!$H$2:$H$501,MATCH(T332,激励事件明细!$A$2:$A$501,0)),""))</f>
        <v/>
      </c>
      <c r="D332" s="9"/>
      <c r="E332" s="9"/>
      <c r="F332" s="15" t="str">
        <f>IF(A332="","",IFERROR(INDEX(激励事件明细!$AA$2:$AA$501,MATCH(T332,激励事件明细!$A$2:$A$501,0)),""))</f>
        <v/>
      </c>
      <c r="G332" s="17" t="str">
        <f>IF(A332="","",IFERROR(INDEX(激励事件明细!$AB$2:$AB$501,MATCH(T332,激励事件明细!$A$2:$A$501,0)),""))</f>
        <v/>
      </c>
      <c r="H332" s="17" t="str">
        <f>IF(A332="","",IFERROR(INDEX(激励事件明细!$AC$2:$AC$501,MATCH(T332,激励事件明细!$A$2:$A$501,0)),""))</f>
        <v/>
      </c>
      <c r="I332" s="13"/>
      <c r="J332" s="14"/>
      <c r="K332" s="14"/>
      <c r="L332" s="9"/>
      <c r="M332" s="15" t="str">
        <f t="shared" si="30"/>
        <v/>
      </c>
      <c r="N332" s="15" t="str">
        <f t="shared" si="31"/>
        <v/>
      </c>
      <c r="O332" s="4" t="str">
        <f t="shared" ca="1" si="32"/>
        <v/>
      </c>
      <c r="P332" s="17" t="str">
        <f>IF(A332="","",IFERROR(IF(INDEX(激励事件明细!$P$2:$P$501,MATCH(T332,激励事件明细!$A$2:$A$501,0))=0,"",INDEX(激励事件明细!$P$2:$P$501,MATCH(T332,激励事件明细!$A$2:$A$501,0))),""))</f>
        <v/>
      </c>
      <c r="Q332" s="4" t="str">
        <f t="shared" si="33"/>
        <v>无效</v>
      </c>
      <c r="R332" s="4" t="str">
        <f t="shared" ca="1" si="34"/>
        <v>异常：必须关联有效事件编号或税额批次</v>
      </c>
      <c r="S332" s="9"/>
      <c r="T332" s="4" t="str">
        <f>IF(D332&lt;&gt;"",IF(COUNTIF(激励事件明细!$A$2:$A$501,D332)=1,D332,""),IF(E332&lt;&gt;"",IFERROR(INDEX(激励事件明细!$A$2:$A$501,MATCH(E332,激励事件明细!$B$2:$B$501,0)),""),""))</f>
        <v/>
      </c>
      <c r="U332" s="4" t="str">
        <f>IF(T332="","",IFERROR(INDEX(激励事件明细!$B$2:$B$501,MATCH(T332,激励事件明细!$A$2:$A$501,0)),""))</f>
        <v/>
      </c>
      <c r="V332" s="4" t="str">
        <f>IF(A332="","",COUNTIF($A$2:A332,A332))</f>
        <v/>
      </c>
      <c r="W332" s="4" t="str">
        <f t="shared" si="35"/>
        <v/>
      </c>
    </row>
    <row r="333" spans="1:23" x14ac:dyDescent="0.3">
      <c r="A333" s="4" t="str">
        <f>IF(T333="","",IFERROR(INDEX(激励事件明细!$C$2:$C$501,MATCH(T333,激励事件明细!$A$2:$A$501,0)),""))</f>
        <v/>
      </c>
      <c r="B333" s="4" t="str">
        <f>IF(A333="","",IFERROR(INDEX(激励事件明细!$D$2:$D$501,MATCH(T333,激励事件明细!$A$2:$A$501,0)),""))</f>
        <v/>
      </c>
      <c r="C333" s="4" t="str">
        <f>IF(A333="","",IFERROR(INDEX(激励事件明细!$H$2:$H$501,MATCH(T333,激励事件明细!$A$2:$A$501,0)),""))</f>
        <v/>
      </c>
      <c r="D333" s="9"/>
      <c r="E333" s="9"/>
      <c r="F333" s="15" t="str">
        <f>IF(A333="","",IFERROR(INDEX(激励事件明细!$AA$2:$AA$501,MATCH(T333,激励事件明细!$A$2:$A$501,0)),""))</f>
        <v/>
      </c>
      <c r="G333" s="17" t="str">
        <f>IF(A333="","",IFERROR(INDEX(激励事件明细!$AB$2:$AB$501,MATCH(T333,激励事件明细!$A$2:$A$501,0)),""))</f>
        <v/>
      </c>
      <c r="H333" s="17" t="str">
        <f>IF(A333="","",IFERROR(INDEX(激励事件明细!$AC$2:$AC$501,MATCH(T333,激励事件明细!$A$2:$A$501,0)),""))</f>
        <v/>
      </c>
      <c r="I333" s="13"/>
      <c r="J333" s="14"/>
      <c r="K333" s="14"/>
      <c r="L333" s="9"/>
      <c r="M333" s="15" t="str">
        <f t="shared" si="30"/>
        <v/>
      </c>
      <c r="N333" s="15" t="str">
        <f t="shared" si="31"/>
        <v/>
      </c>
      <c r="O333" s="4" t="str">
        <f t="shared" ca="1" si="32"/>
        <v/>
      </c>
      <c r="P333" s="17" t="str">
        <f>IF(A333="","",IFERROR(IF(INDEX(激励事件明细!$P$2:$P$501,MATCH(T333,激励事件明细!$A$2:$A$501,0))=0,"",INDEX(激励事件明细!$P$2:$P$501,MATCH(T333,激励事件明细!$A$2:$A$501,0))),""))</f>
        <v/>
      </c>
      <c r="Q333" s="4" t="str">
        <f t="shared" si="33"/>
        <v>无效</v>
      </c>
      <c r="R333" s="4" t="str">
        <f t="shared" ca="1" si="34"/>
        <v>异常：必须关联有效事件编号或税额批次</v>
      </c>
      <c r="S333" s="9"/>
      <c r="T333" s="4" t="str">
        <f>IF(D333&lt;&gt;"",IF(COUNTIF(激励事件明细!$A$2:$A$501,D333)=1,D333,""),IF(E333&lt;&gt;"",IFERROR(INDEX(激励事件明细!$A$2:$A$501,MATCH(E333,激励事件明细!$B$2:$B$501,0)),""),""))</f>
        <v/>
      </c>
      <c r="U333" s="4" t="str">
        <f>IF(T333="","",IFERROR(INDEX(激励事件明细!$B$2:$B$501,MATCH(T333,激励事件明细!$A$2:$A$501,0)),""))</f>
        <v/>
      </c>
      <c r="V333" s="4" t="str">
        <f>IF(A333="","",COUNTIF($A$2:A333,A333))</f>
        <v/>
      </c>
      <c r="W333" s="4" t="str">
        <f t="shared" si="35"/>
        <v/>
      </c>
    </row>
    <row r="334" spans="1:23" x14ac:dyDescent="0.3">
      <c r="A334" s="4" t="str">
        <f>IF(T334="","",IFERROR(INDEX(激励事件明细!$C$2:$C$501,MATCH(T334,激励事件明细!$A$2:$A$501,0)),""))</f>
        <v/>
      </c>
      <c r="B334" s="4" t="str">
        <f>IF(A334="","",IFERROR(INDEX(激励事件明细!$D$2:$D$501,MATCH(T334,激励事件明细!$A$2:$A$501,0)),""))</f>
        <v/>
      </c>
      <c r="C334" s="4" t="str">
        <f>IF(A334="","",IFERROR(INDEX(激励事件明细!$H$2:$H$501,MATCH(T334,激励事件明细!$A$2:$A$501,0)),""))</f>
        <v/>
      </c>
      <c r="D334" s="9"/>
      <c r="E334" s="9"/>
      <c r="F334" s="15" t="str">
        <f>IF(A334="","",IFERROR(INDEX(激励事件明细!$AA$2:$AA$501,MATCH(T334,激励事件明细!$A$2:$A$501,0)),""))</f>
        <v/>
      </c>
      <c r="G334" s="17" t="str">
        <f>IF(A334="","",IFERROR(INDEX(激励事件明细!$AB$2:$AB$501,MATCH(T334,激励事件明细!$A$2:$A$501,0)),""))</f>
        <v/>
      </c>
      <c r="H334" s="17" t="str">
        <f>IF(A334="","",IFERROR(INDEX(激励事件明细!$AC$2:$AC$501,MATCH(T334,激励事件明细!$A$2:$A$501,0)),""))</f>
        <v/>
      </c>
      <c r="I334" s="13"/>
      <c r="J334" s="14"/>
      <c r="K334" s="14"/>
      <c r="L334" s="9"/>
      <c r="M334" s="15" t="str">
        <f t="shared" si="30"/>
        <v/>
      </c>
      <c r="N334" s="15" t="str">
        <f t="shared" si="31"/>
        <v/>
      </c>
      <c r="O334" s="4" t="str">
        <f t="shared" ca="1" si="32"/>
        <v/>
      </c>
      <c r="P334" s="17" t="str">
        <f>IF(A334="","",IFERROR(IF(INDEX(激励事件明细!$P$2:$P$501,MATCH(T334,激励事件明细!$A$2:$A$501,0))=0,"",INDEX(激励事件明细!$P$2:$P$501,MATCH(T334,激励事件明细!$A$2:$A$501,0))),""))</f>
        <v/>
      </c>
      <c r="Q334" s="4" t="str">
        <f t="shared" si="33"/>
        <v>无效</v>
      </c>
      <c r="R334" s="4" t="str">
        <f t="shared" ca="1" si="34"/>
        <v>异常：必须关联有效事件编号或税额批次</v>
      </c>
      <c r="S334" s="9"/>
      <c r="T334" s="4" t="str">
        <f>IF(D334&lt;&gt;"",IF(COUNTIF(激励事件明细!$A$2:$A$501,D334)=1,D334,""),IF(E334&lt;&gt;"",IFERROR(INDEX(激励事件明细!$A$2:$A$501,MATCH(E334,激励事件明细!$B$2:$B$501,0)),""),""))</f>
        <v/>
      </c>
      <c r="U334" s="4" t="str">
        <f>IF(T334="","",IFERROR(INDEX(激励事件明细!$B$2:$B$501,MATCH(T334,激励事件明细!$A$2:$A$501,0)),""))</f>
        <v/>
      </c>
      <c r="V334" s="4" t="str">
        <f>IF(A334="","",COUNTIF($A$2:A334,A334))</f>
        <v/>
      </c>
      <c r="W334" s="4" t="str">
        <f t="shared" si="35"/>
        <v/>
      </c>
    </row>
    <row r="335" spans="1:23" x14ac:dyDescent="0.3">
      <c r="A335" s="4" t="str">
        <f>IF(T335="","",IFERROR(INDEX(激励事件明细!$C$2:$C$501,MATCH(T335,激励事件明细!$A$2:$A$501,0)),""))</f>
        <v/>
      </c>
      <c r="B335" s="4" t="str">
        <f>IF(A335="","",IFERROR(INDEX(激励事件明细!$D$2:$D$501,MATCH(T335,激励事件明细!$A$2:$A$501,0)),""))</f>
        <v/>
      </c>
      <c r="C335" s="4" t="str">
        <f>IF(A335="","",IFERROR(INDEX(激励事件明细!$H$2:$H$501,MATCH(T335,激励事件明细!$A$2:$A$501,0)),""))</f>
        <v/>
      </c>
      <c r="D335" s="9"/>
      <c r="E335" s="9"/>
      <c r="F335" s="15" t="str">
        <f>IF(A335="","",IFERROR(INDEX(激励事件明细!$AA$2:$AA$501,MATCH(T335,激励事件明细!$A$2:$A$501,0)),""))</f>
        <v/>
      </c>
      <c r="G335" s="17" t="str">
        <f>IF(A335="","",IFERROR(INDEX(激励事件明细!$AB$2:$AB$501,MATCH(T335,激励事件明细!$A$2:$A$501,0)),""))</f>
        <v/>
      </c>
      <c r="H335" s="17" t="str">
        <f>IF(A335="","",IFERROR(INDEX(激励事件明细!$AC$2:$AC$501,MATCH(T335,激励事件明细!$A$2:$A$501,0)),""))</f>
        <v/>
      </c>
      <c r="I335" s="13"/>
      <c r="J335" s="14"/>
      <c r="K335" s="14"/>
      <c r="L335" s="9"/>
      <c r="M335" s="15" t="str">
        <f t="shared" si="30"/>
        <v/>
      </c>
      <c r="N335" s="15" t="str">
        <f t="shared" si="31"/>
        <v/>
      </c>
      <c r="O335" s="4" t="str">
        <f t="shared" ca="1" si="32"/>
        <v/>
      </c>
      <c r="P335" s="17" t="str">
        <f>IF(A335="","",IFERROR(IF(INDEX(激励事件明细!$P$2:$P$501,MATCH(T335,激励事件明细!$A$2:$A$501,0))=0,"",INDEX(激励事件明细!$P$2:$P$501,MATCH(T335,激励事件明细!$A$2:$A$501,0))),""))</f>
        <v/>
      </c>
      <c r="Q335" s="4" t="str">
        <f t="shared" si="33"/>
        <v>无效</v>
      </c>
      <c r="R335" s="4" t="str">
        <f t="shared" ca="1" si="34"/>
        <v>异常：必须关联有效事件编号或税额批次</v>
      </c>
      <c r="S335" s="9"/>
      <c r="T335" s="4" t="str">
        <f>IF(D335&lt;&gt;"",IF(COUNTIF(激励事件明细!$A$2:$A$501,D335)=1,D335,""),IF(E335&lt;&gt;"",IFERROR(INDEX(激励事件明细!$A$2:$A$501,MATCH(E335,激励事件明细!$B$2:$B$501,0)),""),""))</f>
        <v/>
      </c>
      <c r="U335" s="4" t="str">
        <f>IF(T335="","",IFERROR(INDEX(激励事件明细!$B$2:$B$501,MATCH(T335,激励事件明细!$A$2:$A$501,0)),""))</f>
        <v/>
      </c>
      <c r="V335" s="4" t="str">
        <f>IF(A335="","",COUNTIF($A$2:A335,A335))</f>
        <v/>
      </c>
      <c r="W335" s="4" t="str">
        <f t="shared" si="35"/>
        <v/>
      </c>
    </row>
    <row r="336" spans="1:23" x14ac:dyDescent="0.3">
      <c r="A336" s="4" t="str">
        <f>IF(T336="","",IFERROR(INDEX(激励事件明细!$C$2:$C$501,MATCH(T336,激励事件明细!$A$2:$A$501,0)),""))</f>
        <v/>
      </c>
      <c r="B336" s="4" t="str">
        <f>IF(A336="","",IFERROR(INDEX(激励事件明细!$D$2:$D$501,MATCH(T336,激励事件明细!$A$2:$A$501,0)),""))</f>
        <v/>
      </c>
      <c r="C336" s="4" t="str">
        <f>IF(A336="","",IFERROR(INDEX(激励事件明细!$H$2:$H$501,MATCH(T336,激励事件明细!$A$2:$A$501,0)),""))</f>
        <v/>
      </c>
      <c r="D336" s="9"/>
      <c r="E336" s="9"/>
      <c r="F336" s="15" t="str">
        <f>IF(A336="","",IFERROR(INDEX(激励事件明细!$AA$2:$AA$501,MATCH(T336,激励事件明细!$A$2:$A$501,0)),""))</f>
        <v/>
      </c>
      <c r="G336" s="17" t="str">
        <f>IF(A336="","",IFERROR(INDEX(激励事件明细!$AB$2:$AB$501,MATCH(T336,激励事件明细!$A$2:$A$501,0)),""))</f>
        <v/>
      </c>
      <c r="H336" s="17" t="str">
        <f>IF(A336="","",IFERROR(INDEX(激励事件明细!$AC$2:$AC$501,MATCH(T336,激励事件明细!$A$2:$A$501,0)),""))</f>
        <v/>
      </c>
      <c r="I336" s="13"/>
      <c r="J336" s="14"/>
      <c r="K336" s="14"/>
      <c r="L336" s="9"/>
      <c r="M336" s="15" t="str">
        <f t="shared" si="30"/>
        <v/>
      </c>
      <c r="N336" s="15" t="str">
        <f t="shared" si="31"/>
        <v/>
      </c>
      <c r="O336" s="4" t="str">
        <f t="shared" ca="1" si="32"/>
        <v/>
      </c>
      <c r="P336" s="17" t="str">
        <f>IF(A336="","",IFERROR(IF(INDEX(激励事件明细!$P$2:$P$501,MATCH(T336,激励事件明细!$A$2:$A$501,0))=0,"",INDEX(激励事件明细!$P$2:$P$501,MATCH(T336,激励事件明细!$A$2:$A$501,0))),""))</f>
        <v/>
      </c>
      <c r="Q336" s="4" t="str">
        <f t="shared" si="33"/>
        <v>无效</v>
      </c>
      <c r="R336" s="4" t="str">
        <f t="shared" ca="1" si="34"/>
        <v>异常：必须关联有效事件编号或税额批次</v>
      </c>
      <c r="S336" s="9"/>
      <c r="T336" s="4" t="str">
        <f>IF(D336&lt;&gt;"",IF(COUNTIF(激励事件明细!$A$2:$A$501,D336)=1,D336,""),IF(E336&lt;&gt;"",IFERROR(INDEX(激励事件明细!$A$2:$A$501,MATCH(E336,激励事件明细!$B$2:$B$501,0)),""),""))</f>
        <v/>
      </c>
      <c r="U336" s="4" t="str">
        <f>IF(T336="","",IFERROR(INDEX(激励事件明细!$B$2:$B$501,MATCH(T336,激励事件明细!$A$2:$A$501,0)),""))</f>
        <v/>
      </c>
      <c r="V336" s="4" t="str">
        <f>IF(A336="","",COUNTIF($A$2:A336,A336))</f>
        <v/>
      </c>
      <c r="W336" s="4" t="str">
        <f t="shared" si="35"/>
        <v/>
      </c>
    </row>
    <row r="337" spans="1:23" x14ac:dyDescent="0.3">
      <c r="A337" s="4" t="str">
        <f>IF(T337="","",IFERROR(INDEX(激励事件明细!$C$2:$C$501,MATCH(T337,激励事件明细!$A$2:$A$501,0)),""))</f>
        <v/>
      </c>
      <c r="B337" s="4" t="str">
        <f>IF(A337="","",IFERROR(INDEX(激励事件明细!$D$2:$D$501,MATCH(T337,激励事件明细!$A$2:$A$501,0)),""))</f>
        <v/>
      </c>
      <c r="C337" s="4" t="str">
        <f>IF(A337="","",IFERROR(INDEX(激励事件明细!$H$2:$H$501,MATCH(T337,激励事件明细!$A$2:$A$501,0)),""))</f>
        <v/>
      </c>
      <c r="D337" s="9"/>
      <c r="E337" s="9"/>
      <c r="F337" s="15" t="str">
        <f>IF(A337="","",IFERROR(INDEX(激励事件明细!$AA$2:$AA$501,MATCH(T337,激励事件明细!$A$2:$A$501,0)),""))</f>
        <v/>
      </c>
      <c r="G337" s="17" t="str">
        <f>IF(A337="","",IFERROR(INDEX(激励事件明细!$AB$2:$AB$501,MATCH(T337,激励事件明细!$A$2:$A$501,0)),""))</f>
        <v/>
      </c>
      <c r="H337" s="17" t="str">
        <f>IF(A337="","",IFERROR(INDEX(激励事件明细!$AC$2:$AC$501,MATCH(T337,激励事件明细!$A$2:$A$501,0)),""))</f>
        <v/>
      </c>
      <c r="I337" s="13"/>
      <c r="J337" s="14"/>
      <c r="K337" s="14"/>
      <c r="L337" s="9"/>
      <c r="M337" s="15" t="str">
        <f t="shared" si="30"/>
        <v/>
      </c>
      <c r="N337" s="15" t="str">
        <f t="shared" si="31"/>
        <v/>
      </c>
      <c r="O337" s="4" t="str">
        <f t="shared" ca="1" si="32"/>
        <v/>
      </c>
      <c r="P337" s="17" t="str">
        <f>IF(A337="","",IFERROR(IF(INDEX(激励事件明细!$P$2:$P$501,MATCH(T337,激励事件明细!$A$2:$A$501,0))=0,"",INDEX(激励事件明细!$P$2:$P$501,MATCH(T337,激励事件明细!$A$2:$A$501,0))),""))</f>
        <v/>
      </c>
      <c r="Q337" s="4" t="str">
        <f t="shared" si="33"/>
        <v>无效</v>
      </c>
      <c r="R337" s="4" t="str">
        <f t="shared" ca="1" si="34"/>
        <v>异常：必须关联有效事件编号或税额批次</v>
      </c>
      <c r="S337" s="9"/>
      <c r="T337" s="4" t="str">
        <f>IF(D337&lt;&gt;"",IF(COUNTIF(激励事件明细!$A$2:$A$501,D337)=1,D337,""),IF(E337&lt;&gt;"",IFERROR(INDEX(激励事件明细!$A$2:$A$501,MATCH(E337,激励事件明细!$B$2:$B$501,0)),""),""))</f>
        <v/>
      </c>
      <c r="U337" s="4" t="str">
        <f>IF(T337="","",IFERROR(INDEX(激励事件明细!$B$2:$B$501,MATCH(T337,激励事件明细!$A$2:$A$501,0)),""))</f>
        <v/>
      </c>
      <c r="V337" s="4" t="str">
        <f>IF(A337="","",COUNTIF($A$2:A337,A337))</f>
        <v/>
      </c>
      <c r="W337" s="4" t="str">
        <f t="shared" si="35"/>
        <v/>
      </c>
    </row>
    <row r="338" spans="1:23" x14ac:dyDescent="0.3">
      <c r="A338" s="4" t="str">
        <f>IF(T338="","",IFERROR(INDEX(激励事件明细!$C$2:$C$501,MATCH(T338,激励事件明细!$A$2:$A$501,0)),""))</f>
        <v/>
      </c>
      <c r="B338" s="4" t="str">
        <f>IF(A338="","",IFERROR(INDEX(激励事件明细!$D$2:$D$501,MATCH(T338,激励事件明细!$A$2:$A$501,0)),""))</f>
        <v/>
      </c>
      <c r="C338" s="4" t="str">
        <f>IF(A338="","",IFERROR(INDEX(激励事件明细!$H$2:$H$501,MATCH(T338,激励事件明细!$A$2:$A$501,0)),""))</f>
        <v/>
      </c>
      <c r="D338" s="9"/>
      <c r="E338" s="9"/>
      <c r="F338" s="15" t="str">
        <f>IF(A338="","",IFERROR(INDEX(激励事件明细!$AA$2:$AA$501,MATCH(T338,激励事件明细!$A$2:$A$501,0)),""))</f>
        <v/>
      </c>
      <c r="G338" s="17" t="str">
        <f>IF(A338="","",IFERROR(INDEX(激励事件明细!$AB$2:$AB$501,MATCH(T338,激励事件明细!$A$2:$A$501,0)),""))</f>
        <v/>
      </c>
      <c r="H338" s="17" t="str">
        <f>IF(A338="","",IFERROR(INDEX(激励事件明细!$AC$2:$AC$501,MATCH(T338,激励事件明细!$A$2:$A$501,0)),""))</f>
        <v/>
      </c>
      <c r="I338" s="13"/>
      <c r="J338" s="14"/>
      <c r="K338" s="14"/>
      <c r="L338" s="9"/>
      <c r="M338" s="15" t="str">
        <f t="shared" si="30"/>
        <v/>
      </c>
      <c r="N338" s="15" t="str">
        <f t="shared" si="31"/>
        <v/>
      </c>
      <c r="O338" s="4" t="str">
        <f t="shared" ca="1" si="32"/>
        <v/>
      </c>
      <c r="P338" s="17" t="str">
        <f>IF(A338="","",IFERROR(IF(INDEX(激励事件明细!$P$2:$P$501,MATCH(T338,激励事件明细!$A$2:$A$501,0))=0,"",INDEX(激励事件明细!$P$2:$P$501,MATCH(T338,激励事件明细!$A$2:$A$501,0))),""))</f>
        <v/>
      </c>
      <c r="Q338" s="4" t="str">
        <f t="shared" si="33"/>
        <v>无效</v>
      </c>
      <c r="R338" s="4" t="str">
        <f t="shared" ca="1" si="34"/>
        <v>异常：必须关联有效事件编号或税额批次</v>
      </c>
      <c r="S338" s="9"/>
      <c r="T338" s="4" t="str">
        <f>IF(D338&lt;&gt;"",IF(COUNTIF(激励事件明细!$A$2:$A$501,D338)=1,D338,""),IF(E338&lt;&gt;"",IFERROR(INDEX(激励事件明细!$A$2:$A$501,MATCH(E338,激励事件明细!$B$2:$B$501,0)),""),""))</f>
        <v/>
      </c>
      <c r="U338" s="4" t="str">
        <f>IF(T338="","",IFERROR(INDEX(激励事件明细!$B$2:$B$501,MATCH(T338,激励事件明细!$A$2:$A$501,0)),""))</f>
        <v/>
      </c>
      <c r="V338" s="4" t="str">
        <f>IF(A338="","",COUNTIF($A$2:A338,A338))</f>
        <v/>
      </c>
      <c r="W338" s="4" t="str">
        <f t="shared" si="35"/>
        <v/>
      </c>
    </row>
    <row r="339" spans="1:23" x14ac:dyDescent="0.3">
      <c r="A339" s="4" t="str">
        <f>IF(T339="","",IFERROR(INDEX(激励事件明细!$C$2:$C$501,MATCH(T339,激励事件明细!$A$2:$A$501,0)),""))</f>
        <v/>
      </c>
      <c r="B339" s="4" t="str">
        <f>IF(A339="","",IFERROR(INDEX(激励事件明细!$D$2:$D$501,MATCH(T339,激励事件明细!$A$2:$A$501,0)),""))</f>
        <v/>
      </c>
      <c r="C339" s="4" t="str">
        <f>IF(A339="","",IFERROR(INDEX(激励事件明细!$H$2:$H$501,MATCH(T339,激励事件明细!$A$2:$A$501,0)),""))</f>
        <v/>
      </c>
      <c r="D339" s="9"/>
      <c r="E339" s="9"/>
      <c r="F339" s="15" t="str">
        <f>IF(A339="","",IFERROR(INDEX(激励事件明细!$AA$2:$AA$501,MATCH(T339,激励事件明细!$A$2:$A$501,0)),""))</f>
        <v/>
      </c>
      <c r="G339" s="17" t="str">
        <f>IF(A339="","",IFERROR(INDEX(激励事件明细!$AB$2:$AB$501,MATCH(T339,激励事件明细!$A$2:$A$501,0)),""))</f>
        <v/>
      </c>
      <c r="H339" s="17" t="str">
        <f>IF(A339="","",IFERROR(INDEX(激励事件明细!$AC$2:$AC$501,MATCH(T339,激励事件明细!$A$2:$A$501,0)),""))</f>
        <v/>
      </c>
      <c r="I339" s="13"/>
      <c r="J339" s="14"/>
      <c r="K339" s="14"/>
      <c r="L339" s="9"/>
      <c r="M339" s="15" t="str">
        <f t="shared" si="30"/>
        <v/>
      </c>
      <c r="N339" s="15" t="str">
        <f t="shared" si="31"/>
        <v/>
      </c>
      <c r="O339" s="4" t="str">
        <f t="shared" ca="1" si="32"/>
        <v/>
      </c>
      <c r="P339" s="17" t="str">
        <f>IF(A339="","",IFERROR(IF(INDEX(激励事件明细!$P$2:$P$501,MATCH(T339,激励事件明细!$A$2:$A$501,0))=0,"",INDEX(激励事件明细!$P$2:$P$501,MATCH(T339,激励事件明细!$A$2:$A$501,0))),""))</f>
        <v/>
      </c>
      <c r="Q339" s="4" t="str">
        <f t="shared" si="33"/>
        <v>无效</v>
      </c>
      <c r="R339" s="4" t="str">
        <f t="shared" ca="1" si="34"/>
        <v>异常：必须关联有效事件编号或税额批次</v>
      </c>
      <c r="S339" s="9"/>
      <c r="T339" s="4" t="str">
        <f>IF(D339&lt;&gt;"",IF(COUNTIF(激励事件明细!$A$2:$A$501,D339)=1,D339,""),IF(E339&lt;&gt;"",IFERROR(INDEX(激励事件明细!$A$2:$A$501,MATCH(E339,激励事件明细!$B$2:$B$501,0)),""),""))</f>
        <v/>
      </c>
      <c r="U339" s="4" t="str">
        <f>IF(T339="","",IFERROR(INDEX(激励事件明细!$B$2:$B$501,MATCH(T339,激励事件明细!$A$2:$A$501,0)),""))</f>
        <v/>
      </c>
      <c r="V339" s="4" t="str">
        <f>IF(A339="","",COUNTIF($A$2:A339,A339))</f>
        <v/>
      </c>
      <c r="W339" s="4" t="str">
        <f t="shared" si="35"/>
        <v/>
      </c>
    </row>
    <row r="340" spans="1:23" x14ac:dyDescent="0.3">
      <c r="A340" s="4" t="str">
        <f>IF(T340="","",IFERROR(INDEX(激励事件明细!$C$2:$C$501,MATCH(T340,激励事件明细!$A$2:$A$501,0)),""))</f>
        <v/>
      </c>
      <c r="B340" s="4" t="str">
        <f>IF(A340="","",IFERROR(INDEX(激励事件明细!$D$2:$D$501,MATCH(T340,激励事件明细!$A$2:$A$501,0)),""))</f>
        <v/>
      </c>
      <c r="C340" s="4" t="str">
        <f>IF(A340="","",IFERROR(INDEX(激励事件明细!$H$2:$H$501,MATCH(T340,激励事件明细!$A$2:$A$501,0)),""))</f>
        <v/>
      </c>
      <c r="D340" s="9"/>
      <c r="E340" s="9"/>
      <c r="F340" s="15" t="str">
        <f>IF(A340="","",IFERROR(INDEX(激励事件明细!$AA$2:$AA$501,MATCH(T340,激励事件明细!$A$2:$A$501,0)),""))</f>
        <v/>
      </c>
      <c r="G340" s="17" t="str">
        <f>IF(A340="","",IFERROR(INDEX(激励事件明细!$AB$2:$AB$501,MATCH(T340,激励事件明细!$A$2:$A$501,0)),""))</f>
        <v/>
      </c>
      <c r="H340" s="17" t="str">
        <f>IF(A340="","",IFERROR(INDEX(激励事件明细!$AC$2:$AC$501,MATCH(T340,激励事件明细!$A$2:$A$501,0)),""))</f>
        <v/>
      </c>
      <c r="I340" s="13"/>
      <c r="J340" s="14"/>
      <c r="K340" s="14"/>
      <c r="L340" s="9"/>
      <c r="M340" s="15" t="str">
        <f t="shared" si="30"/>
        <v/>
      </c>
      <c r="N340" s="15" t="str">
        <f t="shared" si="31"/>
        <v/>
      </c>
      <c r="O340" s="4" t="str">
        <f t="shared" ca="1" si="32"/>
        <v/>
      </c>
      <c r="P340" s="17" t="str">
        <f>IF(A340="","",IFERROR(IF(INDEX(激励事件明细!$P$2:$P$501,MATCH(T340,激励事件明细!$A$2:$A$501,0))=0,"",INDEX(激励事件明细!$P$2:$P$501,MATCH(T340,激励事件明细!$A$2:$A$501,0))),""))</f>
        <v/>
      </c>
      <c r="Q340" s="4" t="str">
        <f t="shared" si="33"/>
        <v>无效</v>
      </c>
      <c r="R340" s="4" t="str">
        <f t="shared" ca="1" si="34"/>
        <v>异常：必须关联有效事件编号或税额批次</v>
      </c>
      <c r="S340" s="9"/>
      <c r="T340" s="4" t="str">
        <f>IF(D340&lt;&gt;"",IF(COUNTIF(激励事件明细!$A$2:$A$501,D340)=1,D340,""),IF(E340&lt;&gt;"",IFERROR(INDEX(激励事件明细!$A$2:$A$501,MATCH(E340,激励事件明细!$B$2:$B$501,0)),""),""))</f>
        <v/>
      </c>
      <c r="U340" s="4" t="str">
        <f>IF(T340="","",IFERROR(INDEX(激励事件明细!$B$2:$B$501,MATCH(T340,激励事件明细!$A$2:$A$501,0)),""))</f>
        <v/>
      </c>
      <c r="V340" s="4" t="str">
        <f>IF(A340="","",COUNTIF($A$2:A340,A340))</f>
        <v/>
      </c>
      <c r="W340" s="4" t="str">
        <f t="shared" si="35"/>
        <v/>
      </c>
    </row>
    <row r="341" spans="1:23" x14ac:dyDescent="0.3">
      <c r="A341" s="4" t="str">
        <f>IF(T341="","",IFERROR(INDEX(激励事件明细!$C$2:$C$501,MATCH(T341,激励事件明细!$A$2:$A$501,0)),""))</f>
        <v/>
      </c>
      <c r="B341" s="4" t="str">
        <f>IF(A341="","",IFERROR(INDEX(激励事件明细!$D$2:$D$501,MATCH(T341,激励事件明细!$A$2:$A$501,0)),""))</f>
        <v/>
      </c>
      <c r="C341" s="4" t="str">
        <f>IF(A341="","",IFERROR(INDEX(激励事件明细!$H$2:$H$501,MATCH(T341,激励事件明细!$A$2:$A$501,0)),""))</f>
        <v/>
      </c>
      <c r="D341" s="9"/>
      <c r="E341" s="9"/>
      <c r="F341" s="15" t="str">
        <f>IF(A341="","",IFERROR(INDEX(激励事件明细!$AA$2:$AA$501,MATCH(T341,激励事件明细!$A$2:$A$501,0)),""))</f>
        <v/>
      </c>
      <c r="G341" s="17" t="str">
        <f>IF(A341="","",IFERROR(INDEX(激励事件明细!$AB$2:$AB$501,MATCH(T341,激励事件明细!$A$2:$A$501,0)),""))</f>
        <v/>
      </c>
      <c r="H341" s="17" t="str">
        <f>IF(A341="","",IFERROR(INDEX(激励事件明细!$AC$2:$AC$501,MATCH(T341,激励事件明细!$A$2:$A$501,0)),""))</f>
        <v/>
      </c>
      <c r="I341" s="13"/>
      <c r="J341" s="14"/>
      <c r="K341" s="14"/>
      <c r="L341" s="9"/>
      <c r="M341" s="15" t="str">
        <f t="shared" si="30"/>
        <v/>
      </c>
      <c r="N341" s="15" t="str">
        <f t="shared" si="31"/>
        <v/>
      </c>
      <c r="O341" s="4" t="str">
        <f t="shared" ca="1" si="32"/>
        <v/>
      </c>
      <c r="P341" s="17" t="str">
        <f>IF(A341="","",IFERROR(IF(INDEX(激励事件明细!$P$2:$P$501,MATCH(T341,激励事件明细!$A$2:$A$501,0))=0,"",INDEX(激励事件明细!$P$2:$P$501,MATCH(T341,激励事件明细!$A$2:$A$501,0))),""))</f>
        <v/>
      </c>
      <c r="Q341" s="4" t="str">
        <f t="shared" si="33"/>
        <v>无效</v>
      </c>
      <c r="R341" s="4" t="str">
        <f t="shared" ca="1" si="34"/>
        <v>异常：必须关联有效事件编号或税额批次</v>
      </c>
      <c r="S341" s="9"/>
      <c r="T341" s="4" t="str">
        <f>IF(D341&lt;&gt;"",IF(COUNTIF(激励事件明细!$A$2:$A$501,D341)=1,D341,""),IF(E341&lt;&gt;"",IFERROR(INDEX(激励事件明细!$A$2:$A$501,MATCH(E341,激励事件明细!$B$2:$B$501,0)),""),""))</f>
        <v/>
      </c>
      <c r="U341" s="4" t="str">
        <f>IF(T341="","",IFERROR(INDEX(激励事件明细!$B$2:$B$501,MATCH(T341,激励事件明细!$A$2:$A$501,0)),""))</f>
        <v/>
      </c>
      <c r="V341" s="4" t="str">
        <f>IF(A341="","",COUNTIF($A$2:A341,A341))</f>
        <v/>
      </c>
      <c r="W341" s="4" t="str">
        <f t="shared" si="35"/>
        <v/>
      </c>
    </row>
    <row r="342" spans="1:23" x14ac:dyDescent="0.3">
      <c r="A342" s="4" t="str">
        <f>IF(T342="","",IFERROR(INDEX(激励事件明细!$C$2:$C$501,MATCH(T342,激励事件明细!$A$2:$A$501,0)),""))</f>
        <v/>
      </c>
      <c r="B342" s="4" t="str">
        <f>IF(A342="","",IFERROR(INDEX(激励事件明细!$D$2:$D$501,MATCH(T342,激励事件明细!$A$2:$A$501,0)),""))</f>
        <v/>
      </c>
      <c r="C342" s="4" t="str">
        <f>IF(A342="","",IFERROR(INDEX(激励事件明细!$H$2:$H$501,MATCH(T342,激励事件明细!$A$2:$A$501,0)),""))</f>
        <v/>
      </c>
      <c r="D342" s="9"/>
      <c r="E342" s="9"/>
      <c r="F342" s="15" t="str">
        <f>IF(A342="","",IFERROR(INDEX(激励事件明细!$AA$2:$AA$501,MATCH(T342,激励事件明细!$A$2:$A$501,0)),""))</f>
        <v/>
      </c>
      <c r="G342" s="17" t="str">
        <f>IF(A342="","",IFERROR(INDEX(激励事件明细!$AB$2:$AB$501,MATCH(T342,激励事件明细!$A$2:$A$501,0)),""))</f>
        <v/>
      </c>
      <c r="H342" s="17" t="str">
        <f>IF(A342="","",IFERROR(INDEX(激励事件明细!$AC$2:$AC$501,MATCH(T342,激励事件明细!$A$2:$A$501,0)),""))</f>
        <v/>
      </c>
      <c r="I342" s="13"/>
      <c r="J342" s="14"/>
      <c r="K342" s="14"/>
      <c r="L342" s="9"/>
      <c r="M342" s="15" t="str">
        <f t="shared" si="30"/>
        <v/>
      </c>
      <c r="N342" s="15" t="str">
        <f t="shared" si="31"/>
        <v/>
      </c>
      <c r="O342" s="4" t="str">
        <f t="shared" ca="1" si="32"/>
        <v/>
      </c>
      <c r="P342" s="17" t="str">
        <f>IF(A342="","",IFERROR(IF(INDEX(激励事件明细!$P$2:$P$501,MATCH(T342,激励事件明细!$A$2:$A$501,0))=0,"",INDEX(激励事件明细!$P$2:$P$501,MATCH(T342,激励事件明细!$A$2:$A$501,0))),""))</f>
        <v/>
      </c>
      <c r="Q342" s="4" t="str">
        <f t="shared" si="33"/>
        <v>无效</v>
      </c>
      <c r="R342" s="4" t="str">
        <f t="shared" ca="1" si="34"/>
        <v>异常：必须关联有效事件编号或税额批次</v>
      </c>
      <c r="S342" s="9"/>
      <c r="T342" s="4" t="str">
        <f>IF(D342&lt;&gt;"",IF(COUNTIF(激励事件明细!$A$2:$A$501,D342)=1,D342,""),IF(E342&lt;&gt;"",IFERROR(INDEX(激励事件明细!$A$2:$A$501,MATCH(E342,激励事件明细!$B$2:$B$501,0)),""),""))</f>
        <v/>
      </c>
      <c r="U342" s="4" t="str">
        <f>IF(T342="","",IFERROR(INDEX(激励事件明细!$B$2:$B$501,MATCH(T342,激励事件明细!$A$2:$A$501,0)),""))</f>
        <v/>
      </c>
      <c r="V342" s="4" t="str">
        <f>IF(A342="","",COUNTIF($A$2:A342,A342))</f>
        <v/>
      </c>
      <c r="W342" s="4" t="str">
        <f t="shared" si="35"/>
        <v/>
      </c>
    </row>
    <row r="343" spans="1:23" x14ac:dyDescent="0.3">
      <c r="A343" s="4" t="str">
        <f>IF(T343="","",IFERROR(INDEX(激励事件明细!$C$2:$C$501,MATCH(T343,激励事件明细!$A$2:$A$501,0)),""))</f>
        <v/>
      </c>
      <c r="B343" s="4" t="str">
        <f>IF(A343="","",IFERROR(INDEX(激励事件明细!$D$2:$D$501,MATCH(T343,激励事件明细!$A$2:$A$501,0)),""))</f>
        <v/>
      </c>
      <c r="C343" s="4" t="str">
        <f>IF(A343="","",IFERROR(INDEX(激励事件明细!$H$2:$H$501,MATCH(T343,激励事件明细!$A$2:$A$501,0)),""))</f>
        <v/>
      </c>
      <c r="D343" s="9"/>
      <c r="E343" s="9"/>
      <c r="F343" s="15" t="str">
        <f>IF(A343="","",IFERROR(INDEX(激励事件明细!$AA$2:$AA$501,MATCH(T343,激励事件明细!$A$2:$A$501,0)),""))</f>
        <v/>
      </c>
      <c r="G343" s="17" t="str">
        <f>IF(A343="","",IFERROR(INDEX(激励事件明细!$AB$2:$AB$501,MATCH(T343,激励事件明细!$A$2:$A$501,0)),""))</f>
        <v/>
      </c>
      <c r="H343" s="17" t="str">
        <f>IF(A343="","",IFERROR(INDEX(激励事件明细!$AC$2:$AC$501,MATCH(T343,激励事件明细!$A$2:$A$501,0)),""))</f>
        <v/>
      </c>
      <c r="I343" s="13"/>
      <c r="J343" s="14"/>
      <c r="K343" s="14"/>
      <c r="L343" s="9"/>
      <c r="M343" s="15" t="str">
        <f t="shared" si="30"/>
        <v/>
      </c>
      <c r="N343" s="15" t="str">
        <f t="shared" si="31"/>
        <v/>
      </c>
      <c r="O343" s="4" t="str">
        <f t="shared" ca="1" si="32"/>
        <v/>
      </c>
      <c r="P343" s="17" t="str">
        <f>IF(A343="","",IFERROR(IF(INDEX(激励事件明细!$P$2:$P$501,MATCH(T343,激励事件明细!$A$2:$A$501,0))=0,"",INDEX(激励事件明细!$P$2:$P$501,MATCH(T343,激励事件明细!$A$2:$A$501,0))),""))</f>
        <v/>
      </c>
      <c r="Q343" s="4" t="str">
        <f t="shared" si="33"/>
        <v>无效</v>
      </c>
      <c r="R343" s="4" t="str">
        <f t="shared" ca="1" si="34"/>
        <v>异常：必须关联有效事件编号或税额批次</v>
      </c>
      <c r="S343" s="9"/>
      <c r="T343" s="4" t="str">
        <f>IF(D343&lt;&gt;"",IF(COUNTIF(激励事件明细!$A$2:$A$501,D343)=1,D343,""),IF(E343&lt;&gt;"",IFERROR(INDEX(激励事件明细!$A$2:$A$501,MATCH(E343,激励事件明细!$B$2:$B$501,0)),""),""))</f>
        <v/>
      </c>
      <c r="U343" s="4" t="str">
        <f>IF(T343="","",IFERROR(INDEX(激励事件明细!$B$2:$B$501,MATCH(T343,激励事件明细!$A$2:$A$501,0)),""))</f>
        <v/>
      </c>
      <c r="V343" s="4" t="str">
        <f>IF(A343="","",COUNTIF($A$2:A343,A343))</f>
        <v/>
      </c>
      <c r="W343" s="4" t="str">
        <f t="shared" si="35"/>
        <v/>
      </c>
    </row>
    <row r="344" spans="1:23" x14ac:dyDescent="0.3">
      <c r="A344" s="4" t="str">
        <f>IF(T344="","",IFERROR(INDEX(激励事件明细!$C$2:$C$501,MATCH(T344,激励事件明细!$A$2:$A$501,0)),""))</f>
        <v/>
      </c>
      <c r="B344" s="4" t="str">
        <f>IF(A344="","",IFERROR(INDEX(激励事件明细!$D$2:$D$501,MATCH(T344,激励事件明细!$A$2:$A$501,0)),""))</f>
        <v/>
      </c>
      <c r="C344" s="4" t="str">
        <f>IF(A344="","",IFERROR(INDEX(激励事件明细!$H$2:$H$501,MATCH(T344,激励事件明细!$A$2:$A$501,0)),""))</f>
        <v/>
      </c>
      <c r="D344" s="9"/>
      <c r="E344" s="9"/>
      <c r="F344" s="15" t="str">
        <f>IF(A344="","",IFERROR(INDEX(激励事件明细!$AA$2:$AA$501,MATCH(T344,激励事件明细!$A$2:$A$501,0)),""))</f>
        <v/>
      </c>
      <c r="G344" s="17" t="str">
        <f>IF(A344="","",IFERROR(INDEX(激励事件明细!$AB$2:$AB$501,MATCH(T344,激励事件明细!$A$2:$A$501,0)),""))</f>
        <v/>
      </c>
      <c r="H344" s="17" t="str">
        <f>IF(A344="","",IFERROR(INDEX(激励事件明细!$AC$2:$AC$501,MATCH(T344,激励事件明细!$A$2:$A$501,0)),""))</f>
        <v/>
      </c>
      <c r="I344" s="13"/>
      <c r="J344" s="14"/>
      <c r="K344" s="14"/>
      <c r="L344" s="9"/>
      <c r="M344" s="15" t="str">
        <f t="shared" si="30"/>
        <v/>
      </c>
      <c r="N344" s="15" t="str">
        <f t="shared" si="31"/>
        <v/>
      </c>
      <c r="O344" s="4" t="str">
        <f t="shared" ca="1" si="32"/>
        <v/>
      </c>
      <c r="P344" s="17" t="str">
        <f>IF(A344="","",IFERROR(IF(INDEX(激励事件明细!$P$2:$P$501,MATCH(T344,激励事件明细!$A$2:$A$501,0))=0,"",INDEX(激励事件明细!$P$2:$P$501,MATCH(T344,激励事件明细!$A$2:$A$501,0))),""))</f>
        <v/>
      </c>
      <c r="Q344" s="4" t="str">
        <f t="shared" si="33"/>
        <v>无效</v>
      </c>
      <c r="R344" s="4" t="str">
        <f t="shared" ca="1" si="34"/>
        <v>异常：必须关联有效事件编号或税额批次</v>
      </c>
      <c r="S344" s="9"/>
      <c r="T344" s="4" t="str">
        <f>IF(D344&lt;&gt;"",IF(COUNTIF(激励事件明细!$A$2:$A$501,D344)=1,D344,""),IF(E344&lt;&gt;"",IFERROR(INDEX(激励事件明细!$A$2:$A$501,MATCH(E344,激励事件明细!$B$2:$B$501,0)),""),""))</f>
        <v/>
      </c>
      <c r="U344" s="4" t="str">
        <f>IF(T344="","",IFERROR(INDEX(激励事件明细!$B$2:$B$501,MATCH(T344,激励事件明细!$A$2:$A$501,0)),""))</f>
        <v/>
      </c>
      <c r="V344" s="4" t="str">
        <f>IF(A344="","",COUNTIF($A$2:A344,A344))</f>
        <v/>
      </c>
      <c r="W344" s="4" t="str">
        <f t="shared" si="35"/>
        <v/>
      </c>
    </row>
    <row r="345" spans="1:23" x14ac:dyDescent="0.3">
      <c r="A345" s="4" t="str">
        <f>IF(T345="","",IFERROR(INDEX(激励事件明细!$C$2:$C$501,MATCH(T345,激励事件明细!$A$2:$A$501,0)),""))</f>
        <v/>
      </c>
      <c r="B345" s="4" t="str">
        <f>IF(A345="","",IFERROR(INDEX(激励事件明细!$D$2:$D$501,MATCH(T345,激励事件明细!$A$2:$A$501,0)),""))</f>
        <v/>
      </c>
      <c r="C345" s="4" t="str">
        <f>IF(A345="","",IFERROR(INDEX(激励事件明细!$H$2:$H$501,MATCH(T345,激励事件明细!$A$2:$A$501,0)),""))</f>
        <v/>
      </c>
      <c r="D345" s="9"/>
      <c r="E345" s="9"/>
      <c r="F345" s="15" t="str">
        <f>IF(A345="","",IFERROR(INDEX(激励事件明细!$AA$2:$AA$501,MATCH(T345,激励事件明细!$A$2:$A$501,0)),""))</f>
        <v/>
      </c>
      <c r="G345" s="17" t="str">
        <f>IF(A345="","",IFERROR(INDEX(激励事件明细!$AB$2:$AB$501,MATCH(T345,激励事件明细!$A$2:$A$501,0)),""))</f>
        <v/>
      </c>
      <c r="H345" s="17" t="str">
        <f>IF(A345="","",IFERROR(INDEX(激励事件明细!$AC$2:$AC$501,MATCH(T345,激励事件明细!$A$2:$A$501,0)),""))</f>
        <v/>
      </c>
      <c r="I345" s="13"/>
      <c r="J345" s="14"/>
      <c r="K345" s="14"/>
      <c r="L345" s="9"/>
      <c r="M345" s="15" t="str">
        <f t="shared" si="30"/>
        <v/>
      </c>
      <c r="N345" s="15" t="str">
        <f t="shared" si="31"/>
        <v/>
      </c>
      <c r="O345" s="4" t="str">
        <f t="shared" ca="1" si="32"/>
        <v/>
      </c>
      <c r="P345" s="17" t="str">
        <f>IF(A345="","",IFERROR(IF(INDEX(激励事件明细!$P$2:$P$501,MATCH(T345,激励事件明细!$A$2:$A$501,0))=0,"",INDEX(激励事件明细!$P$2:$P$501,MATCH(T345,激励事件明细!$A$2:$A$501,0))),""))</f>
        <v/>
      </c>
      <c r="Q345" s="4" t="str">
        <f t="shared" si="33"/>
        <v>无效</v>
      </c>
      <c r="R345" s="4" t="str">
        <f t="shared" ca="1" si="34"/>
        <v>异常：必须关联有效事件编号或税额批次</v>
      </c>
      <c r="S345" s="9"/>
      <c r="T345" s="4" t="str">
        <f>IF(D345&lt;&gt;"",IF(COUNTIF(激励事件明细!$A$2:$A$501,D345)=1,D345,""),IF(E345&lt;&gt;"",IFERROR(INDEX(激励事件明细!$A$2:$A$501,MATCH(E345,激励事件明细!$B$2:$B$501,0)),""),""))</f>
        <v/>
      </c>
      <c r="U345" s="4" t="str">
        <f>IF(T345="","",IFERROR(INDEX(激励事件明细!$B$2:$B$501,MATCH(T345,激励事件明细!$A$2:$A$501,0)),""))</f>
        <v/>
      </c>
      <c r="V345" s="4" t="str">
        <f>IF(A345="","",COUNTIF($A$2:A345,A345))</f>
        <v/>
      </c>
      <c r="W345" s="4" t="str">
        <f t="shared" si="35"/>
        <v/>
      </c>
    </row>
    <row r="346" spans="1:23" x14ac:dyDescent="0.3">
      <c r="A346" s="4" t="str">
        <f>IF(T346="","",IFERROR(INDEX(激励事件明细!$C$2:$C$501,MATCH(T346,激励事件明细!$A$2:$A$501,0)),""))</f>
        <v/>
      </c>
      <c r="B346" s="4" t="str">
        <f>IF(A346="","",IFERROR(INDEX(激励事件明细!$D$2:$D$501,MATCH(T346,激励事件明细!$A$2:$A$501,0)),""))</f>
        <v/>
      </c>
      <c r="C346" s="4" t="str">
        <f>IF(A346="","",IFERROR(INDEX(激励事件明细!$H$2:$H$501,MATCH(T346,激励事件明细!$A$2:$A$501,0)),""))</f>
        <v/>
      </c>
      <c r="D346" s="9"/>
      <c r="E346" s="9"/>
      <c r="F346" s="15" t="str">
        <f>IF(A346="","",IFERROR(INDEX(激励事件明细!$AA$2:$AA$501,MATCH(T346,激励事件明细!$A$2:$A$501,0)),""))</f>
        <v/>
      </c>
      <c r="G346" s="17" t="str">
        <f>IF(A346="","",IFERROR(INDEX(激励事件明细!$AB$2:$AB$501,MATCH(T346,激励事件明细!$A$2:$A$501,0)),""))</f>
        <v/>
      </c>
      <c r="H346" s="17" t="str">
        <f>IF(A346="","",IFERROR(INDEX(激励事件明细!$AC$2:$AC$501,MATCH(T346,激励事件明细!$A$2:$A$501,0)),""))</f>
        <v/>
      </c>
      <c r="I346" s="13"/>
      <c r="J346" s="14"/>
      <c r="K346" s="14"/>
      <c r="L346" s="9"/>
      <c r="M346" s="15" t="str">
        <f t="shared" si="30"/>
        <v/>
      </c>
      <c r="N346" s="15" t="str">
        <f t="shared" si="31"/>
        <v/>
      </c>
      <c r="O346" s="4" t="str">
        <f t="shared" ca="1" si="32"/>
        <v/>
      </c>
      <c r="P346" s="17" t="str">
        <f>IF(A346="","",IFERROR(IF(INDEX(激励事件明细!$P$2:$P$501,MATCH(T346,激励事件明细!$A$2:$A$501,0))=0,"",INDEX(激励事件明细!$P$2:$P$501,MATCH(T346,激励事件明细!$A$2:$A$501,0))),""))</f>
        <v/>
      </c>
      <c r="Q346" s="4" t="str">
        <f t="shared" si="33"/>
        <v>无效</v>
      </c>
      <c r="R346" s="4" t="str">
        <f t="shared" ca="1" si="34"/>
        <v>异常：必须关联有效事件编号或税额批次</v>
      </c>
      <c r="S346" s="9"/>
      <c r="T346" s="4" t="str">
        <f>IF(D346&lt;&gt;"",IF(COUNTIF(激励事件明细!$A$2:$A$501,D346)=1,D346,""),IF(E346&lt;&gt;"",IFERROR(INDEX(激励事件明细!$A$2:$A$501,MATCH(E346,激励事件明细!$B$2:$B$501,0)),""),""))</f>
        <v/>
      </c>
      <c r="U346" s="4" t="str">
        <f>IF(T346="","",IFERROR(INDEX(激励事件明细!$B$2:$B$501,MATCH(T346,激励事件明细!$A$2:$A$501,0)),""))</f>
        <v/>
      </c>
      <c r="V346" s="4" t="str">
        <f>IF(A346="","",COUNTIF($A$2:A346,A346))</f>
        <v/>
      </c>
      <c r="W346" s="4" t="str">
        <f t="shared" si="35"/>
        <v/>
      </c>
    </row>
    <row r="347" spans="1:23" x14ac:dyDescent="0.3">
      <c r="A347" s="4" t="str">
        <f>IF(T347="","",IFERROR(INDEX(激励事件明细!$C$2:$C$501,MATCH(T347,激励事件明细!$A$2:$A$501,0)),""))</f>
        <v/>
      </c>
      <c r="B347" s="4" t="str">
        <f>IF(A347="","",IFERROR(INDEX(激励事件明细!$D$2:$D$501,MATCH(T347,激励事件明细!$A$2:$A$501,0)),""))</f>
        <v/>
      </c>
      <c r="C347" s="4" t="str">
        <f>IF(A347="","",IFERROR(INDEX(激励事件明细!$H$2:$H$501,MATCH(T347,激励事件明细!$A$2:$A$501,0)),""))</f>
        <v/>
      </c>
      <c r="D347" s="9"/>
      <c r="E347" s="9"/>
      <c r="F347" s="15" t="str">
        <f>IF(A347="","",IFERROR(INDEX(激励事件明细!$AA$2:$AA$501,MATCH(T347,激励事件明细!$A$2:$A$501,0)),""))</f>
        <v/>
      </c>
      <c r="G347" s="17" t="str">
        <f>IF(A347="","",IFERROR(INDEX(激励事件明细!$AB$2:$AB$501,MATCH(T347,激励事件明细!$A$2:$A$501,0)),""))</f>
        <v/>
      </c>
      <c r="H347" s="17" t="str">
        <f>IF(A347="","",IFERROR(INDEX(激励事件明细!$AC$2:$AC$501,MATCH(T347,激励事件明细!$A$2:$A$501,0)),""))</f>
        <v/>
      </c>
      <c r="I347" s="13"/>
      <c r="J347" s="14"/>
      <c r="K347" s="14"/>
      <c r="L347" s="9"/>
      <c r="M347" s="15" t="str">
        <f t="shared" si="30"/>
        <v/>
      </c>
      <c r="N347" s="15" t="str">
        <f t="shared" si="31"/>
        <v/>
      </c>
      <c r="O347" s="4" t="str">
        <f t="shared" ca="1" si="32"/>
        <v/>
      </c>
      <c r="P347" s="17" t="str">
        <f>IF(A347="","",IFERROR(IF(INDEX(激励事件明细!$P$2:$P$501,MATCH(T347,激励事件明细!$A$2:$A$501,0))=0,"",INDEX(激励事件明细!$P$2:$P$501,MATCH(T347,激励事件明细!$A$2:$A$501,0))),""))</f>
        <v/>
      </c>
      <c r="Q347" s="4" t="str">
        <f t="shared" si="33"/>
        <v>无效</v>
      </c>
      <c r="R347" s="4" t="str">
        <f t="shared" ca="1" si="34"/>
        <v>异常：必须关联有效事件编号或税额批次</v>
      </c>
      <c r="S347" s="9"/>
      <c r="T347" s="4" t="str">
        <f>IF(D347&lt;&gt;"",IF(COUNTIF(激励事件明细!$A$2:$A$501,D347)=1,D347,""),IF(E347&lt;&gt;"",IFERROR(INDEX(激励事件明细!$A$2:$A$501,MATCH(E347,激励事件明细!$B$2:$B$501,0)),""),""))</f>
        <v/>
      </c>
      <c r="U347" s="4" t="str">
        <f>IF(T347="","",IFERROR(INDEX(激励事件明细!$B$2:$B$501,MATCH(T347,激励事件明细!$A$2:$A$501,0)),""))</f>
        <v/>
      </c>
      <c r="V347" s="4" t="str">
        <f>IF(A347="","",COUNTIF($A$2:A347,A347))</f>
        <v/>
      </c>
      <c r="W347" s="4" t="str">
        <f t="shared" si="35"/>
        <v/>
      </c>
    </row>
    <row r="348" spans="1:23" x14ac:dyDescent="0.3">
      <c r="A348" s="4" t="str">
        <f>IF(T348="","",IFERROR(INDEX(激励事件明细!$C$2:$C$501,MATCH(T348,激励事件明细!$A$2:$A$501,0)),""))</f>
        <v/>
      </c>
      <c r="B348" s="4" t="str">
        <f>IF(A348="","",IFERROR(INDEX(激励事件明细!$D$2:$D$501,MATCH(T348,激励事件明细!$A$2:$A$501,0)),""))</f>
        <v/>
      </c>
      <c r="C348" s="4" t="str">
        <f>IF(A348="","",IFERROR(INDEX(激励事件明细!$H$2:$H$501,MATCH(T348,激励事件明细!$A$2:$A$501,0)),""))</f>
        <v/>
      </c>
      <c r="D348" s="9"/>
      <c r="E348" s="9"/>
      <c r="F348" s="15" t="str">
        <f>IF(A348="","",IFERROR(INDEX(激励事件明细!$AA$2:$AA$501,MATCH(T348,激励事件明细!$A$2:$A$501,0)),""))</f>
        <v/>
      </c>
      <c r="G348" s="17" t="str">
        <f>IF(A348="","",IFERROR(INDEX(激励事件明细!$AB$2:$AB$501,MATCH(T348,激励事件明细!$A$2:$A$501,0)),""))</f>
        <v/>
      </c>
      <c r="H348" s="17" t="str">
        <f>IF(A348="","",IFERROR(INDEX(激励事件明细!$AC$2:$AC$501,MATCH(T348,激励事件明细!$A$2:$A$501,0)),""))</f>
        <v/>
      </c>
      <c r="I348" s="13"/>
      <c r="J348" s="14"/>
      <c r="K348" s="14"/>
      <c r="L348" s="9"/>
      <c r="M348" s="15" t="str">
        <f t="shared" si="30"/>
        <v/>
      </c>
      <c r="N348" s="15" t="str">
        <f t="shared" si="31"/>
        <v/>
      </c>
      <c r="O348" s="4" t="str">
        <f t="shared" ca="1" si="32"/>
        <v/>
      </c>
      <c r="P348" s="17" t="str">
        <f>IF(A348="","",IFERROR(IF(INDEX(激励事件明细!$P$2:$P$501,MATCH(T348,激励事件明细!$A$2:$A$501,0))=0,"",INDEX(激励事件明细!$P$2:$P$501,MATCH(T348,激励事件明细!$A$2:$A$501,0))),""))</f>
        <v/>
      </c>
      <c r="Q348" s="4" t="str">
        <f t="shared" si="33"/>
        <v>无效</v>
      </c>
      <c r="R348" s="4" t="str">
        <f t="shared" ca="1" si="34"/>
        <v>异常：必须关联有效事件编号或税额批次</v>
      </c>
      <c r="S348" s="9"/>
      <c r="T348" s="4" t="str">
        <f>IF(D348&lt;&gt;"",IF(COUNTIF(激励事件明细!$A$2:$A$501,D348)=1,D348,""),IF(E348&lt;&gt;"",IFERROR(INDEX(激励事件明细!$A$2:$A$501,MATCH(E348,激励事件明细!$B$2:$B$501,0)),""),""))</f>
        <v/>
      </c>
      <c r="U348" s="4" t="str">
        <f>IF(T348="","",IFERROR(INDEX(激励事件明细!$B$2:$B$501,MATCH(T348,激励事件明细!$A$2:$A$501,0)),""))</f>
        <v/>
      </c>
      <c r="V348" s="4" t="str">
        <f>IF(A348="","",COUNTIF($A$2:A348,A348))</f>
        <v/>
      </c>
      <c r="W348" s="4" t="str">
        <f t="shared" si="35"/>
        <v/>
      </c>
    </row>
    <row r="349" spans="1:23" x14ac:dyDescent="0.3">
      <c r="A349" s="4" t="str">
        <f>IF(T349="","",IFERROR(INDEX(激励事件明细!$C$2:$C$501,MATCH(T349,激励事件明细!$A$2:$A$501,0)),""))</f>
        <v/>
      </c>
      <c r="B349" s="4" t="str">
        <f>IF(A349="","",IFERROR(INDEX(激励事件明细!$D$2:$D$501,MATCH(T349,激励事件明细!$A$2:$A$501,0)),""))</f>
        <v/>
      </c>
      <c r="C349" s="4" t="str">
        <f>IF(A349="","",IFERROR(INDEX(激励事件明细!$H$2:$H$501,MATCH(T349,激励事件明细!$A$2:$A$501,0)),""))</f>
        <v/>
      </c>
      <c r="D349" s="9"/>
      <c r="E349" s="9"/>
      <c r="F349" s="15" t="str">
        <f>IF(A349="","",IFERROR(INDEX(激励事件明细!$AA$2:$AA$501,MATCH(T349,激励事件明细!$A$2:$A$501,0)),""))</f>
        <v/>
      </c>
      <c r="G349" s="17" t="str">
        <f>IF(A349="","",IFERROR(INDEX(激励事件明细!$AB$2:$AB$501,MATCH(T349,激励事件明细!$A$2:$A$501,0)),""))</f>
        <v/>
      </c>
      <c r="H349" s="17" t="str">
        <f>IF(A349="","",IFERROR(INDEX(激励事件明细!$AC$2:$AC$501,MATCH(T349,激励事件明细!$A$2:$A$501,0)),""))</f>
        <v/>
      </c>
      <c r="I349" s="13"/>
      <c r="J349" s="14"/>
      <c r="K349" s="14"/>
      <c r="L349" s="9"/>
      <c r="M349" s="15" t="str">
        <f t="shared" si="30"/>
        <v/>
      </c>
      <c r="N349" s="15" t="str">
        <f t="shared" si="31"/>
        <v/>
      </c>
      <c r="O349" s="4" t="str">
        <f t="shared" ca="1" si="32"/>
        <v/>
      </c>
      <c r="P349" s="17" t="str">
        <f>IF(A349="","",IFERROR(IF(INDEX(激励事件明细!$P$2:$P$501,MATCH(T349,激励事件明细!$A$2:$A$501,0))=0,"",INDEX(激励事件明细!$P$2:$P$501,MATCH(T349,激励事件明细!$A$2:$A$501,0))),""))</f>
        <v/>
      </c>
      <c r="Q349" s="4" t="str">
        <f t="shared" si="33"/>
        <v>无效</v>
      </c>
      <c r="R349" s="4" t="str">
        <f t="shared" ca="1" si="34"/>
        <v>异常：必须关联有效事件编号或税额批次</v>
      </c>
      <c r="S349" s="9"/>
      <c r="T349" s="4" t="str">
        <f>IF(D349&lt;&gt;"",IF(COUNTIF(激励事件明细!$A$2:$A$501,D349)=1,D349,""),IF(E349&lt;&gt;"",IFERROR(INDEX(激励事件明细!$A$2:$A$501,MATCH(E349,激励事件明细!$B$2:$B$501,0)),""),""))</f>
        <v/>
      </c>
      <c r="U349" s="4" t="str">
        <f>IF(T349="","",IFERROR(INDEX(激励事件明细!$B$2:$B$501,MATCH(T349,激励事件明细!$A$2:$A$501,0)),""))</f>
        <v/>
      </c>
      <c r="V349" s="4" t="str">
        <f>IF(A349="","",COUNTIF($A$2:A349,A349))</f>
        <v/>
      </c>
      <c r="W349" s="4" t="str">
        <f t="shared" si="35"/>
        <v/>
      </c>
    </row>
    <row r="350" spans="1:23" x14ac:dyDescent="0.3">
      <c r="A350" s="4" t="str">
        <f>IF(T350="","",IFERROR(INDEX(激励事件明细!$C$2:$C$501,MATCH(T350,激励事件明细!$A$2:$A$501,0)),""))</f>
        <v/>
      </c>
      <c r="B350" s="4" t="str">
        <f>IF(A350="","",IFERROR(INDEX(激励事件明细!$D$2:$D$501,MATCH(T350,激励事件明细!$A$2:$A$501,0)),""))</f>
        <v/>
      </c>
      <c r="C350" s="4" t="str">
        <f>IF(A350="","",IFERROR(INDEX(激励事件明细!$H$2:$H$501,MATCH(T350,激励事件明细!$A$2:$A$501,0)),""))</f>
        <v/>
      </c>
      <c r="D350" s="9"/>
      <c r="E350" s="9"/>
      <c r="F350" s="15" t="str">
        <f>IF(A350="","",IFERROR(INDEX(激励事件明细!$AA$2:$AA$501,MATCH(T350,激励事件明细!$A$2:$A$501,0)),""))</f>
        <v/>
      </c>
      <c r="G350" s="17" t="str">
        <f>IF(A350="","",IFERROR(INDEX(激励事件明细!$AB$2:$AB$501,MATCH(T350,激励事件明细!$A$2:$A$501,0)),""))</f>
        <v/>
      </c>
      <c r="H350" s="17" t="str">
        <f>IF(A350="","",IFERROR(INDEX(激励事件明细!$AC$2:$AC$501,MATCH(T350,激励事件明细!$A$2:$A$501,0)),""))</f>
        <v/>
      </c>
      <c r="I350" s="13"/>
      <c r="J350" s="14"/>
      <c r="K350" s="14"/>
      <c r="L350" s="9"/>
      <c r="M350" s="15" t="str">
        <f t="shared" si="30"/>
        <v/>
      </c>
      <c r="N350" s="15" t="str">
        <f t="shared" si="31"/>
        <v/>
      </c>
      <c r="O350" s="4" t="str">
        <f t="shared" ca="1" si="32"/>
        <v/>
      </c>
      <c r="P350" s="17" t="str">
        <f>IF(A350="","",IFERROR(IF(INDEX(激励事件明细!$P$2:$P$501,MATCH(T350,激励事件明细!$A$2:$A$501,0))=0,"",INDEX(激励事件明细!$P$2:$P$501,MATCH(T350,激励事件明细!$A$2:$A$501,0))),""))</f>
        <v/>
      </c>
      <c r="Q350" s="4" t="str">
        <f t="shared" si="33"/>
        <v>无效</v>
      </c>
      <c r="R350" s="4" t="str">
        <f t="shared" ca="1" si="34"/>
        <v>异常：必须关联有效事件编号或税额批次</v>
      </c>
      <c r="S350" s="9"/>
      <c r="T350" s="4" t="str">
        <f>IF(D350&lt;&gt;"",IF(COUNTIF(激励事件明细!$A$2:$A$501,D350)=1,D350,""),IF(E350&lt;&gt;"",IFERROR(INDEX(激励事件明细!$A$2:$A$501,MATCH(E350,激励事件明细!$B$2:$B$501,0)),""),""))</f>
        <v/>
      </c>
      <c r="U350" s="4" t="str">
        <f>IF(T350="","",IFERROR(INDEX(激励事件明细!$B$2:$B$501,MATCH(T350,激励事件明细!$A$2:$A$501,0)),""))</f>
        <v/>
      </c>
      <c r="V350" s="4" t="str">
        <f>IF(A350="","",COUNTIF($A$2:A350,A350))</f>
        <v/>
      </c>
      <c r="W350" s="4" t="str">
        <f t="shared" si="35"/>
        <v/>
      </c>
    </row>
    <row r="351" spans="1:23" x14ac:dyDescent="0.3">
      <c r="A351" s="4" t="str">
        <f>IF(T351="","",IFERROR(INDEX(激励事件明细!$C$2:$C$501,MATCH(T351,激励事件明细!$A$2:$A$501,0)),""))</f>
        <v/>
      </c>
      <c r="B351" s="4" t="str">
        <f>IF(A351="","",IFERROR(INDEX(激励事件明细!$D$2:$D$501,MATCH(T351,激励事件明细!$A$2:$A$501,0)),""))</f>
        <v/>
      </c>
      <c r="C351" s="4" t="str">
        <f>IF(A351="","",IFERROR(INDEX(激励事件明细!$H$2:$H$501,MATCH(T351,激励事件明细!$A$2:$A$501,0)),""))</f>
        <v/>
      </c>
      <c r="D351" s="9"/>
      <c r="E351" s="9"/>
      <c r="F351" s="15" t="str">
        <f>IF(A351="","",IFERROR(INDEX(激励事件明细!$AA$2:$AA$501,MATCH(T351,激励事件明细!$A$2:$A$501,0)),""))</f>
        <v/>
      </c>
      <c r="G351" s="17" t="str">
        <f>IF(A351="","",IFERROR(INDEX(激励事件明细!$AB$2:$AB$501,MATCH(T351,激励事件明细!$A$2:$A$501,0)),""))</f>
        <v/>
      </c>
      <c r="H351" s="17" t="str">
        <f>IF(A351="","",IFERROR(INDEX(激励事件明细!$AC$2:$AC$501,MATCH(T351,激励事件明细!$A$2:$A$501,0)),""))</f>
        <v/>
      </c>
      <c r="I351" s="13"/>
      <c r="J351" s="14"/>
      <c r="K351" s="14"/>
      <c r="L351" s="9"/>
      <c r="M351" s="15" t="str">
        <f t="shared" si="30"/>
        <v/>
      </c>
      <c r="N351" s="15" t="str">
        <f t="shared" si="31"/>
        <v/>
      </c>
      <c r="O351" s="4" t="str">
        <f t="shared" ca="1" si="32"/>
        <v/>
      </c>
      <c r="P351" s="17" t="str">
        <f>IF(A351="","",IFERROR(IF(INDEX(激励事件明细!$P$2:$P$501,MATCH(T351,激励事件明细!$A$2:$A$501,0))=0,"",INDEX(激励事件明细!$P$2:$P$501,MATCH(T351,激励事件明细!$A$2:$A$501,0))),""))</f>
        <v/>
      </c>
      <c r="Q351" s="4" t="str">
        <f t="shared" si="33"/>
        <v>无效</v>
      </c>
      <c r="R351" s="4" t="str">
        <f t="shared" ca="1" si="34"/>
        <v>异常：必须关联有效事件编号或税额批次</v>
      </c>
      <c r="S351" s="9"/>
      <c r="T351" s="4" t="str">
        <f>IF(D351&lt;&gt;"",IF(COUNTIF(激励事件明细!$A$2:$A$501,D351)=1,D351,""),IF(E351&lt;&gt;"",IFERROR(INDEX(激励事件明细!$A$2:$A$501,MATCH(E351,激励事件明细!$B$2:$B$501,0)),""),""))</f>
        <v/>
      </c>
      <c r="U351" s="4" t="str">
        <f>IF(T351="","",IFERROR(INDEX(激励事件明细!$B$2:$B$501,MATCH(T351,激励事件明细!$A$2:$A$501,0)),""))</f>
        <v/>
      </c>
      <c r="V351" s="4" t="str">
        <f>IF(A351="","",COUNTIF($A$2:A351,A351))</f>
        <v/>
      </c>
      <c r="W351" s="4" t="str">
        <f t="shared" si="35"/>
        <v/>
      </c>
    </row>
    <row r="352" spans="1:23" x14ac:dyDescent="0.3">
      <c r="A352" s="4" t="str">
        <f>IF(T352="","",IFERROR(INDEX(激励事件明细!$C$2:$C$501,MATCH(T352,激励事件明细!$A$2:$A$501,0)),""))</f>
        <v/>
      </c>
      <c r="B352" s="4" t="str">
        <f>IF(A352="","",IFERROR(INDEX(激励事件明细!$D$2:$D$501,MATCH(T352,激励事件明细!$A$2:$A$501,0)),""))</f>
        <v/>
      </c>
      <c r="C352" s="4" t="str">
        <f>IF(A352="","",IFERROR(INDEX(激励事件明细!$H$2:$H$501,MATCH(T352,激励事件明细!$A$2:$A$501,0)),""))</f>
        <v/>
      </c>
      <c r="D352" s="9"/>
      <c r="E352" s="9"/>
      <c r="F352" s="15" t="str">
        <f>IF(A352="","",IFERROR(INDEX(激励事件明细!$AA$2:$AA$501,MATCH(T352,激励事件明细!$A$2:$A$501,0)),""))</f>
        <v/>
      </c>
      <c r="G352" s="17" t="str">
        <f>IF(A352="","",IFERROR(INDEX(激励事件明细!$AB$2:$AB$501,MATCH(T352,激励事件明细!$A$2:$A$501,0)),""))</f>
        <v/>
      </c>
      <c r="H352" s="17" t="str">
        <f>IF(A352="","",IFERROR(INDEX(激励事件明细!$AC$2:$AC$501,MATCH(T352,激励事件明细!$A$2:$A$501,0)),""))</f>
        <v/>
      </c>
      <c r="I352" s="13"/>
      <c r="J352" s="14"/>
      <c r="K352" s="14"/>
      <c r="L352" s="9"/>
      <c r="M352" s="15" t="str">
        <f t="shared" si="30"/>
        <v/>
      </c>
      <c r="N352" s="15" t="str">
        <f t="shared" si="31"/>
        <v/>
      </c>
      <c r="O352" s="4" t="str">
        <f t="shared" ca="1" si="32"/>
        <v/>
      </c>
      <c r="P352" s="17" t="str">
        <f>IF(A352="","",IFERROR(IF(INDEX(激励事件明细!$P$2:$P$501,MATCH(T352,激励事件明细!$A$2:$A$501,0))=0,"",INDEX(激励事件明细!$P$2:$P$501,MATCH(T352,激励事件明细!$A$2:$A$501,0))),""))</f>
        <v/>
      </c>
      <c r="Q352" s="4" t="str">
        <f t="shared" si="33"/>
        <v>无效</v>
      </c>
      <c r="R352" s="4" t="str">
        <f t="shared" ca="1" si="34"/>
        <v>异常：必须关联有效事件编号或税额批次</v>
      </c>
      <c r="S352" s="9"/>
      <c r="T352" s="4" t="str">
        <f>IF(D352&lt;&gt;"",IF(COUNTIF(激励事件明细!$A$2:$A$501,D352)=1,D352,""),IF(E352&lt;&gt;"",IFERROR(INDEX(激励事件明细!$A$2:$A$501,MATCH(E352,激励事件明细!$B$2:$B$501,0)),""),""))</f>
        <v/>
      </c>
      <c r="U352" s="4" t="str">
        <f>IF(T352="","",IFERROR(INDEX(激励事件明细!$B$2:$B$501,MATCH(T352,激励事件明细!$A$2:$A$501,0)),""))</f>
        <v/>
      </c>
      <c r="V352" s="4" t="str">
        <f>IF(A352="","",COUNTIF($A$2:A352,A352))</f>
        <v/>
      </c>
      <c r="W352" s="4" t="str">
        <f t="shared" si="35"/>
        <v/>
      </c>
    </row>
    <row r="353" spans="1:23" x14ac:dyDescent="0.3">
      <c r="A353" s="4" t="str">
        <f>IF(T353="","",IFERROR(INDEX(激励事件明细!$C$2:$C$501,MATCH(T353,激励事件明细!$A$2:$A$501,0)),""))</f>
        <v/>
      </c>
      <c r="B353" s="4" t="str">
        <f>IF(A353="","",IFERROR(INDEX(激励事件明细!$D$2:$D$501,MATCH(T353,激励事件明细!$A$2:$A$501,0)),""))</f>
        <v/>
      </c>
      <c r="C353" s="4" t="str">
        <f>IF(A353="","",IFERROR(INDEX(激励事件明细!$H$2:$H$501,MATCH(T353,激励事件明细!$A$2:$A$501,0)),""))</f>
        <v/>
      </c>
      <c r="D353" s="9"/>
      <c r="E353" s="9"/>
      <c r="F353" s="15" t="str">
        <f>IF(A353="","",IFERROR(INDEX(激励事件明细!$AA$2:$AA$501,MATCH(T353,激励事件明细!$A$2:$A$501,0)),""))</f>
        <v/>
      </c>
      <c r="G353" s="17" t="str">
        <f>IF(A353="","",IFERROR(INDEX(激励事件明细!$AB$2:$AB$501,MATCH(T353,激励事件明细!$A$2:$A$501,0)),""))</f>
        <v/>
      </c>
      <c r="H353" s="17" t="str">
        <f>IF(A353="","",IFERROR(INDEX(激励事件明细!$AC$2:$AC$501,MATCH(T353,激励事件明细!$A$2:$A$501,0)),""))</f>
        <v/>
      </c>
      <c r="I353" s="13"/>
      <c r="J353" s="14"/>
      <c r="K353" s="14"/>
      <c r="L353" s="9"/>
      <c r="M353" s="15" t="str">
        <f t="shared" si="30"/>
        <v/>
      </c>
      <c r="N353" s="15" t="str">
        <f t="shared" si="31"/>
        <v/>
      </c>
      <c r="O353" s="4" t="str">
        <f t="shared" ca="1" si="32"/>
        <v/>
      </c>
      <c r="P353" s="17" t="str">
        <f>IF(A353="","",IFERROR(IF(INDEX(激励事件明细!$P$2:$P$501,MATCH(T353,激励事件明细!$A$2:$A$501,0))=0,"",INDEX(激励事件明细!$P$2:$P$501,MATCH(T353,激励事件明细!$A$2:$A$501,0))),""))</f>
        <v/>
      </c>
      <c r="Q353" s="4" t="str">
        <f t="shared" si="33"/>
        <v>无效</v>
      </c>
      <c r="R353" s="4" t="str">
        <f t="shared" ca="1" si="34"/>
        <v>异常：必须关联有效事件编号或税额批次</v>
      </c>
      <c r="S353" s="9"/>
      <c r="T353" s="4" t="str">
        <f>IF(D353&lt;&gt;"",IF(COUNTIF(激励事件明细!$A$2:$A$501,D353)=1,D353,""),IF(E353&lt;&gt;"",IFERROR(INDEX(激励事件明细!$A$2:$A$501,MATCH(E353,激励事件明细!$B$2:$B$501,0)),""),""))</f>
        <v/>
      </c>
      <c r="U353" s="4" t="str">
        <f>IF(T353="","",IFERROR(INDEX(激励事件明细!$B$2:$B$501,MATCH(T353,激励事件明细!$A$2:$A$501,0)),""))</f>
        <v/>
      </c>
      <c r="V353" s="4" t="str">
        <f>IF(A353="","",COUNTIF($A$2:A353,A353))</f>
        <v/>
      </c>
      <c r="W353" s="4" t="str">
        <f t="shared" si="35"/>
        <v/>
      </c>
    </row>
    <row r="354" spans="1:23" x14ac:dyDescent="0.3">
      <c r="A354" s="4" t="str">
        <f>IF(T354="","",IFERROR(INDEX(激励事件明细!$C$2:$C$501,MATCH(T354,激励事件明细!$A$2:$A$501,0)),""))</f>
        <v/>
      </c>
      <c r="B354" s="4" t="str">
        <f>IF(A354="","",IFERROR(INDEX(激励事件明细!$D$2:$D$501,MATCH(T354,激励事件明细!$A$2:$A$501,0)),""))</f>
        <v/>
      </c>
      <c r="C354" s="4" t="str">
        <f>IF(A354="","",IFERROR(INDEX(激励事件明细!$H$2:$H$501,MATCH(T354,激励事件明细!$A$2:$A$501,0)),""))</f>
        <v/>
      </c>
      <c r="D354" s="9"/>
      <c r="E354" s="9"/>
      <c r="F354" s="15" t="str">
        <f>IF(A354="","",IFERROR(INDEX(激励事件明细!$AA$2:$AA$501,MATCH(T354,激励事件明细!$A$2:$A$501,0)),""))</f>
        <v/>
      </c>
      <c r="G354" s="17" t="str">
        <f>IF(A354="","",IFERROR(INDEX(激励事件明细!$AB$2:$AB$501,MATCH(T354,激励事件明细!$A$2:$A$501,0)),""))</f>
        <v/>
      </c>
      <c r="H354" s="17" t="str">
        <f>IF(A354="","",IFERROR(INDEX(激励事件明细!$AC$2:$AC$501,MATCH(T354,激励事件明细!$A$2:$A$501,0)),""))</f>
        <v/>
      </c>
      <c r="I354" s="13"/>
      <c r="J354" s="14"/>
      <c r="K354" s="14"/>
      <c r="L354" s="9"/>
      <c r="M354" s="15" t="str">
        <f t="shared" si="30"/>
        <v/>
      </c>
      <c r="N354" s="15" t="str">
        <f t="shared" si="31"/>
        <v/>
      </c>
      <c r="O354" s="4" t="str">
        <f t="shared" ca="1" si="32"/>
        <v/>
      </c>
      <c r="P354" s="17" t="str">
        <f>IF(A354="","",IFERROR(IF(INDEX(激励事件明细!$P$2:$P$501,MATCH(T354,激励事件明细!$A$2:$A$501,0))=0,"",INDEX(激励事件明细!$P$2:$P$501,MATCH(T354,激励事件明细!$A$2:$A$501,0))),""))</f>
        <v/>
      </c>
      <c r="Q354" s="4" t="str">
        <f t="shared" si="33"/>
        <v>无效</v>
      </c>
      <c r="R354" s="4" t="str">
        <f t="shared" ca="1" si="34"/>
        <v>异常：必须关联有效事件编号或税额批次</v>
      </c>
      <c r="S354" s="9"/>
      <c r="T354" s="4" t="str">
        <f>IF(D354&lt;&gt;"",IF(COUNTIF(激励事件明细!$A$2:$A$501,D354)=1,D354,""),IF(E354&lt;&gt;"",IFERROR(INDEX(激励事件明细!$A$2:$A$501,MATCH(E354,激励事件明细!$B$2:$B$501,0)),""),""))</f>
        <v/>
      </c>
      <c r="U354" s="4" t="str">
        <f>IF(T354="","",IFERROR(INDEX(激励事件明细!$B$2:$B$501,MATCH(T354,激励事件明细!$A$2:$A$501,0)),""))</f>
        <v/>
      </c>
      <c r="V354" s="4" t="str">
        <f>IF(A354="","",COUNTIF($A$2:A354,A354))</f>
        <v/>
      </c>
      <c r="W354" s="4" t="str">
        <f t="shared" si="35"/>
        <v/>
      </c>
    </row>
    <row r="355" spans="1:23" x14ac:dyDescent="0.3">
      <c r="A355" s="4" t="str">
        <f>IF(T355="","",IFERROR(INDEX(激励事件明细!$C$2:$C$501,MATCH(T355,激励事件明细!$A$2:$A$501,0)),""))</f>
        <v/>
      </c>
      <c r="B355" s="4" t="str">
        <f>IF(A355="","",IFERROR(INDEX(激励事件明细!$D$2:$D$501,MATCH(T355,激励事件明细!$A$2:$A$501,0)),""))</f>
        <v/>
      </c>
      <c r="C355" s="4" t="str">
        <f>IF(A355="","",IFERROR(INDEX(激励事件明细!$H$2:$H$501,MATCH(T355,激励事件明细!$A$2:$A$501,0)),""))</f>
        <v/>
      </c>
      <c r="D355" s="9"/>
      <c r="E355" s="9"/>
      <c r="F355" s="15" t="str">
        <f>IF(A355="","",IFERROR(INDEX(激励事件明细!$AA$2:$AA$501,MATCH(T355,激励事件明细!$A$2:$A$501,0)),""))</f>
        <v/>
      </c>
      <c r="G355" s="17" t="str">
        <f>IF(A355="","",IFERROR(INDEX(激励事件明细!$AB$2:$AB$501,MATCH(T355,激励事件明细!$A$2:$A$501,0)),""))</f>
        <v/>
      </c>
      <c r="H355" s="17" t="str">
        <f>IF(A355="","",IFERROR(INDEX(激励事件明细!$AC$2:$AC$501,MATCH(T355,激励事件明细!$A$2:$A$501,0)),""))</f>
        <v/>
      </c>
      <c r="I355" s="13"/>
      <c r="J355" s="14"/>
      <c r="K355" s="14"/>
      <c r="L355" s="9"/>
      <c r="M355" s="15" t="str">
        <f t="shared" si="30"/>
        <v/>
      </c>
      <c r="N355" s="15" t="str">
        <f t="shared" si="31"/>
        <v/>
      </c>
      <c r="O355" s="4" t="str">
        <f t="shared" ca="1" si="32"/>
        <v/>
      </c>
      <c r="P355" s="17" t="str">
        <f>IF(A355="","",IFERROR(IF(INDEX(激励事件明细!$P$2:$P$501,MATCH(T355,激励事件明细!$A$2:$A$501,0))=0,"",INDEX(激励事件明细!$P$2:$P$501,MATCH(T355,激励事件明细!$A$2:$A$501,0))),""))</f>
        <v/>
      </c>
      <c r="Q355" s="4" t="str">
        <f t="shared" si="33"/>
        <v>无效</v>
      </c>
      <c r="R355" s="4" t="str">
        <f t="shared" ca="1" si="34"/>
        <v>异常：必须关联有效事件编号或税额批次</v>
      </c>
      <c r="S355" s="9"/>
      <c r="T355" s="4" t="str">
        <f>IF(D355&lt;&gt;"",IF(COUNTIF(激励事件明细!$A$2:$A$501,D355)=1,D355,""),IF(E355&lt;&gt;"",IFERROR(INDEX(激励事件明细!$A$2:$A$501,MATCH(E355,激励事件明细!$B$2:$B$501,0)),""),""))</f>
        <v/>
      </c>
      <c r="U355" s="4" t="str">
        <f>IF(T355="","",IFERROR(INDEX(激励事件明细!$B$2:$B$501,MATCH(T355,激励事件明细!$A$2:$A$501,0)),""))</f>
        <v/>
      </c>
      <c r="V355" s="4" t="str">
        <f>IF(A355="","",COUNTIF($A$2:A355,A355))</f>
        <v/>
      </c>
      <c r="W355" s="4" t="str">
        <f t="shared" si="35"/>
        <v/>
      </c>
    </row>
    <row r="356" spans="1:23" x14ac:dyDescent="0.3">
      <c r="A356" s="4" t="str">
        <f>IF(T356="","",IFERROR(INDEX(激励事件明细!$C$2:$C$501,MATCH(T356,激励事件明细!$A$2:$A$501,0)),""))</f>
        <v/>
      </c>
      <c r="B356" s="4" t="str">
        <f>IF(A356="","",IFERROR(INDEX(激励事件明细!$D$2:$D$501,MATCH(T356,激励事件明细!$A$2:$A$501,0)),""))</f>
        <v/>
      </c>
      <c r="C356" s="4" t="str">
        <f>IF(A356="","",IFERROR(INDEX(激励事件明细!$H$2:$H$501,MATCH(T356,激励事件明细!$A$2:$A$501,0)),""))</f>
        <v/>
      </c>
      <c r="D356" s="9"/>
      <c r="E356" s="9"/>
      <c r="F356" s="15" t="str">
        <f>IF(A356="","",IFERROR(INDEX(激励事件明细!$AA$2:$AA$501,MATCH(T356,激励事件明细!$A$2:$A$501,0)),""))</f>
        <v/>
      </c>
      <c r="G356" s="17" t="str">
        <f>IF(A356="","",IFERROR(INDEX(激励事件明细!$AB$2:$AB$501,MATCH(T356,激励事件明细!$A$2:$A$501,0)),""))</f>
        <v/>
      </c>
      <c r="H356" s="17" t="str">
        <f>IF(A356="","",IFERROR(INDEX(激励事件明细!$AC$2:$AC$501,MATCH(T356,激励事件明细!$A$2:$A$501,0)),""))</f>
        <v/>
      </c>
      <c r="I356" s="13"/>
      <c r="J356" s="14"/>
      <c r="K356" s="14"/>
      <c r="L356" s="9"/>
      <c r="M356" s="15" t="str">
        <f t="shared" si="30"/>
        <v/>
      </c>
      <c r="N356" s="15" t="str">
        <f t="shared" si="31"/>
        <v/>
      </c>
      <c r="O356" s="4" t="str">
        <f t="shared" ca="1" si="32"/>
        <v/>
      </c>
      <c r="P356" s="17" t="str">
        <f>IF(A356="","",IFERROR(IF(INDEX(激励事件明细!$P$2:$P$501,MATCH(T356,激励事件明细!$A$2:$A$501,0))=0,"",INDEX(激励事件明细!$P$2:$P$501,MATCH(T356,激励事件明细!$A$2:$A$501,0))),""))</f>
        <v/>
      </c>
      <c r="Q356" s="4" t="str">
        <f t="shared" si="33"/>
        <v>无效</v>
      </c>
      <c r="R356" s="4" t="str">
        <f t="shared" ca="1" si="34"/>
        <v>异常：必须关联有效事件编号或税额批次</v>
      </c>
      <c r="S356" s="9"/>
      <c r="T356" s="4" t="str">
        <f>IF(D356&lt;&gt;"",IF(COUNTIF(激励事件明细!$A$2:$A$501,D356)=1,D356,""),IF(E356&lt;&gt;"",IFERROR(INDEX(激励事件明细!$A$2:$A$501,MATCH(E356,激励事件明细!$B$2:$B$501,0)),""),""))</f>
        <v/>
      </c>
      <c r="U356" s="4" t="str">
        <f>IF(T356="","",IFERROR(INDEX(激励事件明细!$B$2:$B$501,MATCH(T356,激励事件明细!$A$2:$A$501,0)),""))</f>
        <v/>
      </c>
      <c r="V356" s="4" t="str">
        <f>IF(A356="","",COUNTIF($A$2:A356,A356))</f>
        <v/>
      </c>
      <c r="W356" s="4" t="str">
        <f t="shared" si="35"/>
        <v/>
      </c>
    </row>
    <row r="357" spans="1:23" x14ac:dyDescent="0.3">
      <c r="A357" s="4" t="str">
        <f>IF(T357="","",IFERROR(INDEX(激励事件明细!$C$2:$C$501,MATCH(T357,激励事件明细!$A$2:$A$501,0)),""))</f>
        <v/>
      </c>
      <c r="B357" s="4" t="str">
        <f>IF(A357="","",IFERROR(INDEX(激励事件明细!$D$2:$D$501,MATCH(T357,激励事件明细!$A$2:$A$501,0)),""))</f>
        <v/>
      </c>
      <c r="C357" s="4" t="str">
        <f>IF(A357="","",IFERROR(INDEX(激励事件明细!$H$2:$H$501,MATCH(T357,激励事件明细!$A$2:$A$501,0)),""))</f>
        <v/>
      </c>
      <c r="D357" s="9"/>
      <c r="E357" s="9"/>
      <c r="F357" s="15" t="str">
        <f>IF(A357="","",IFERROR(INDEX(激励事件明细!$AA$2:$AA$501,MATCH(T357,激励事件明细!$A$2:$A$501,0)),""))</f>
        <v/>
      </c>
      <c r="G357" s="17" t="str">
        <f>IF(A357="","",IFERROR(INDEX(激励事件明细!$AB$2:$AB$501,MATCH(T357,激励事件明细!$A$2:$A$501,0)),""))</f>
        <v/>
      </c>
      <c r="H357" s="17" t="str">
        <f>IF(A357="","",IFERROR(INDEX(激励事件明细!$AC$2:$AC$501,MATCH(T357,激励事件明细!$A$2:$A$501,0)),""))</f>
        <v/>
      </c>
      <c r="I357" s="13"/>
      <c r="J357" s="14"/>
      <c r="K357" s="14"/>
      <c r="L357" s="9"/>
      <c r="M357" s="15" t="str">
        <f t="shared" si="30"/>
        <v/>
      </c>
      <c r="N357" s="15" t="str">
        <f t="shared" si="31"/>
        <v/>
      </c>
      <c r="O357" s="4" t="str">
        <f t="shared" ca="1" si="32"/>
        <v/>
      </c>
      <c r="P357" s="17" t="str">
        <f>IF(A357="","",IFERROR(IF(INDEX(激励事件明细!$P$2:$P$501,MATCH(T357,激励事件明细!$A$2:$A$501,0))=0,"",INDEX(激励事件明细!$P$2:$P$501,MATCH(T357,激励事件明细!$A$2:$A$501,0))),""))</f>
        <v/>
      </c>
      <c r="Q357" s="4" t="str">
        <f t="shared" si="33"/>
        <v>无效</v>
      </c>
      <c r="R357" s="4" t="str">
        <f t="shared" ca="1" si="34"/>
        <v>异常：必须关联有效事件编号或税额批次</v>
      </c>
      <c r="S357" s="9"/>
      <c r="T357" s="4" t="str">
        <f>IF(D357&lt;&gt;"",IF(COUNTIF(激励事件明细!$A$2:$A$501,D357)=1,D357,""),IF(E357&lt;&gt;"",IFERROR(INDEX(激励事件明细!$A$2:$A$501,MATCH(E357,激励事件明细!$B$2:$B$501,0)),""),""))</f>
        <v/>
      </c>
      <c r="U357" s="4" t="str">
        <f>IF(T357="","",IFERROR(INDEX(激励事件明细!$B$2:$B$501,MATCH(T357,激励事件明细!$A$2:$A$501,0)),""))</f>
        <v/>
      </c>
      <c r="V357" s="4" t="str">
        <f>IF(A357="","",COUNTIF($A$2:A357,A357))</f>
        <v/>
      </c>
      <c r="W357" s="4" t="str">
        <f t="shared" si="35"/>
        <v/>
      </c>
    </row>
    <row r="358" spans="1:23" x14ac:dyDescent="0.3">
      <c r="A358" s="4" t="str">
        <f>IF(T358="","",IFERROR(INDEX(激励事件明细!$C$2:$C$501,MATCH(T358,激励事件明细!$A$2:$A$501,0)),""))</f>
        <v/>
      </c>
      <c r="B358" s="4" t="str">
        <f>IF(A358="","",IFERROR(INDEX(激励事件明细!$D$2:$D$501,MATCH(T358,激励事件明细!$A$2:$A$501,0)),""))</f>
        <v/>
      </c>
      <c r="C358" s="4" t="str">
        <f>IF(A358="","",IFERROR(INDEX(激励事件明细!$H$2:$H$501,MATCH(T358,激励事件明细!$A$2:$A$501,0)),""))</f>
        <v/>
      </c>
      <c r="D358" s="9"/>
      <c r="E358" s="9"/>
      <c r="F358" s="15" t="str">
        <f>IF(A358="","",IFERROR(INDEX(激励事件明细!$AA$2:$AA$501,MATCH(T358,激励事件明细!$A$2:$A$501,0)),""))</f>
        <v/>
      </c>
      <c r="G358" s="17" t="str">
        <f>IF(A358="","",IFERROR(INDEX(激励事件明细!$AB$2:$AB$501,MATCH(T358,激励事件明细!$A$2:$A$501,0)),""))</f>
        <v/>
      </c>
      <c r="H358" s="17" t="str">
        <f>IF(A358="","",IFERROR(INDEX(激励事件明细!$AC$2:$AC$501,MATCH(T358,激励事件明细!$A$2:$A$501,0)),""))</f>
        <v/>
      </c>
      <c r="I358" s="13"/>
      <c r="J358" s="14"/>
      <c r="K358" s="14"/>
      <c r="L358" s="9"/>
      <c r="M358" s="15" t="str">
        <f t="shared" si="30"/>
        <v/>
      </c>
      <c r="N358" s="15" t="str">
        <f t="shared" si="31"/>
        <v/>
      </c>
      <c r="O358" s="4" t="str">
        <f t="shared" ca="1" si="32"/>
        <v/>
      </c>
      <c r="P358" s="17" t="str">
        <f>IF(A358="","",IFERROR(IF(INDEX(激励事件明细!$P$2:$P$501,MATCH(T358,激励事件明细!$A$2:$A$501,0))=0,"",INDEX(激励事件明细!$P$2:$P$501,MATCH(T358,激励事件明细!$A$2:$A$501,0))),""))</f>
        <v/>
      </c>
      <c r="Q358" s="4" t="str">
        <f t="shared" si="33"/>
        <v>无效</v>
      </c>
      <c r="R358" s="4" t="str">
        <f t="shared" ca="1" si="34"/>
        <v>异常：必须关联有效事件编号或税额批次</v>
      </c>
      <c r="S358" s="9"/>
      <c r="T358" s="4" t="str">
        <f>IF(D358&lt;&gt;"",IF(COUNTIF(激励事件明细!$A$2:$A$501,D358)=1,D358,""),IF(E358&lt;&gt;"",IFERROR(INDEX(激励事件明细!$A$2:$A$501,MATCH(E358,激励事件明细!$B$2:$B$501,0)),""),""))</f>
        <v/>
      </c>
      <c r="U358" s="4" t="str">
        <f>IF(T358="","",IFERROR(INDEX(激励事件明细!$B$2:$B$501,MATCH(T358,激励事件明细!$A$2:$A$501,0)),""))</f>
        <v/>
      </c>
      <c r="V358" s="4" t="str">
        <f>IF(A358="","",COUNTIF($A$2:A358,A358))</f>
        <v/>
      </c>
      <c r="W358" s="4" t="str">
        <f t="shared" si="35"/>
        <v/>
      </c>
    </row>
    <row r="359" spans="1:23" x14ac:dyDescent="0.3">
      <c r="A359" s="4" t="str">
        <f>IF(T359="","",IFERROR(INDEX(激励事件明细!$C$2:$C$501,MATCH(T359,激励事件明细!$A$2:$A$501,0)),""))</f>
        <v/>
      </c>
      <c r="B359" s="4" t="str">
        <f>IF(A359="","",IFERROR(INDEX(激励事件明细!$D$2:$D$501,MATCH(T359,激励事件明细!$A$2:$A$501,0)),""))</f>
        <v/>
      </c>
      <c r="C359" s="4" t="str">
        <f>IF(A359="","",IFERROR(INDEX(激励事件明细!$H$2:$H$501,MATCH(T359,激励事件明细!$A$2:$A$501,0)),""))</f>
        <v/>
      </c>
      <c r="D359" s="9"/>
      <c r="E359" s="9"/>
      <c r="F359" s="15" t="str">
        <f>IF(A359="","",IFERROR(INDEX(激励事件明细!$AA$2:$AA$501,MATCH(T359,激励事件明细!$A$2:$A$501,0)),""))</f>
        <v/>
      </c>
      <c r="G359" s="17" t="str">
        <f>IF(A359="","",IFERROR(INDEX(激励事件明细!$AB$2:$AB$501,MATCH(T359,激励事件明细!$A$2:$A$501,0)),""))</f>
        <v/>
      </c>
      <c r="H359" s="17" t="str">
        <f>IF(A359="","",IFERROR(INDEX(激励事件明细!$AC$2:$AC$501,MATCH(T359,激励事件明细!$A$2:$A$501,0)),""))</f>
        <v/>
      </c>
      <c r="I359" s="13"/>
      <c r="J359" s="14"/>
      <c r="K359" s="14"/>
      <c r="L359" s="9"/>
      <c r="M359" s="15" t="str">
        <f t="shared" si="30"/>
        <v/>
      </c>
      <c r="N359" s="15" t="str">
        <f t="shared" si="31"/>
        <v/>
      </c>
      <c r="O359" s="4" t="str">
        <f t="shared" ca="1" si="32"/>
        <v/>
      </c>
      <c r="P359" s="17" t="str">
        <f>IF(A359="","",IFERROR(IF(INDEX(激励事件明细!$P$2:$P$501,MATCH(T359,激励事件明细!$A$2:$A$501,0))=0,"",INDEX(激励事件明细!$P$2:$P$501,MATCH(T359,激励事件明细!$A$2:$A$501,0))),""))</f>
        <v/>
      </c>
      <c r="Q359" s="4" t="str">
        <f t="shared" si="33"/>
        <v>无效</v>
      </c>
      <c r="R359" s="4" t="str">
        <f t="shared" ca="1" si="34"/>
        <v>异常：必须关联有效事件编号或税额批次</v>
      </c>
      <c r="S359" s="9"/>
      <c r="T359" s="4" t="str">
        <f>IF(D359&lt;&gt;"",IF(COUNTIF(激励事件明细!$A$2:$A$501,D359)=1,D359,""),IF(E359&lt;&gt;"",IFERROR(INDEX(激励事件明细!$A$2:$A$501,MATCH(E359,激励事件明细!$B$2:$B$501,0)),""),""))</f>
        <v/>
      </c>
      <c r="U359" s="4" t="str">
        <f>IF(T359="","",IFERROR(INDEX(激励事件明细!$B$2:$B$501,MATCH(T359,激励事件明细!$A$2:$A$501,0)),""))</f>
        <v/>
      </c>
      <c r="V359" s="4" t="str">
        <f>IF(A359="","",COUNTIF($A$2:A359,A359))</f>
        <v/>
      </c>
      <c r="W359" s="4" t="str">
        <f t="shared" si="35"/>
        <v/>
      </c>
    </row>
    <row r="360" spans="1:23" x14ac:dyDescent="0.3">
      <c r="A360" s="4" t="str">
        <f>IF(T360="","",IFERROR(INDEX(激励事件明细!$C$2:$C$501,MATCH(T360,激励事件明细!$A$2:$A$501,0)),""))</f>
        <v/>
      </c>
      <c r="B360" s="4" t="str">
        <f>IF(A360="","",IFERROR(INDEX(激励事件明细!$D$2:$D$501,MATCH(T360,激励事件明细!$A$2:$A$501,0)),""))</f>
        <v/>
      </c>
      <c r="C360" s="4" t="str">
        <f>IF(A360="","",IFERROR(INDEX(激励事件明细!$H$2:$H$501,MATCH(T360,激励事件明细!$A$2:$A$501,0)),""))</f>
        <v/>
      </c>
      <c r="D360" s="9"/>
      <c r="E360" s="9"/>
      <c r="F360" s="15" t="str">
        <f>IF(A360="","",IFERROR(INDEX(激励事件明细!$AA$2:$AA$501,MATCH(T360,激励事件明细!$A$2:$A$501,0)),""))</f>
        <v/>
      </c>
      <c r="G360" s="17" t="str">
        <f>IF(A360="","",IFERROR(INDEX(激励事件明细!$AB$2:$AB$501,MATCH(T360,激励事件明细!$A$2:$A$501,0)),""))</f>
        <v/>
      </c>
      <c r="H360" s="17" t="str">
        <f>IF(A360="","",IFERROR(INDEX(激励事件明细!$AC$2:$AC$501,MATCH(T360,激励事件明细!$A$2:$A$501,0)),""))</f>
        <v/>
      </c>
      <c r="I360" s="13"/>
      <c r="J360" s="14"/>
      <c r="K360" s="14"/>
      <c r="L360" s="9"/>
      <c r="M360" s="15" t="str">
        <f t="shared" si="30"/>
        <v/>
      </c>
      <c r="N360" s="15" t="str">
        <f t="shared" si="31"/>
        <v/>
      </c>
      <c r="O360" s="4" t="str">
        <f t="shared" ca="1" si="32"/>
        <v/>
      </c>
      <c r="P360" s="17" t="str">
        <f>IF(A360="","",IFERROR(IF(INDEX(激励事件明细!$P$2:$P$501,MATCH(T360,激励事件明细!$A$2:$A$501,0))=0,"",INDEX(激励事件明细!$P$2:$P$501,MATCH(T360,激励事件明细!$A$2:$A$501,0))),""))</f>
        <v/>
      </c>
      <c r="Q360" s="4" t="str">
        <f t="shared" si="33"/>
        <v>无效</v>
      </c>
      <c r="R360" s="4" t="str">
        <f t="shared" ca="1" si="34"/>
        <v>异常：必须关联有效事件编号或税额批次</v>
      </c>
      <c r="S360" s="9"/>
      <c r="T360" s="4" t="str">
        <f>IF(D360&lt;&gt;"",IF(COUNTIF(激励事件明细!$A$2:$A$501,D360)=1,D360,""),IF(E360&lt;&gt;"",IFERROR(INDEX(激励事件明细!$A$2:$A$501,MATCH(E360,激励事件明细!$B$2:$B$501,0)),""),""))</f>
        <v/>
      </c>
      <c r="U360" s="4" t="str">
        <f>IF(T360="","",IFERROR(INDEX(激励事件明细!$B$2:$B$501,MATCH(T360,激励事件明细!$A$2:$A$501,0)),""))</f>
        <v/>
      </c>
      <c r="V360" s="4" t="str">
        <f>IF(A360="","",COUNTIF($A$2:A360,A360))</f>
        <v/>
      </c>
      <c r="W360" s="4" t="str">
        <f t="shared" si="35"/>
        <v/>
      </c>
    </row>
    <row r="361" spans="1:23" x14ac:dyDescent="0.3">
      <c r="A361" s="4" t="str">
        <f>IF(T361="","",IFERROR(INDEX(激励事件明细!$C$2:$C$501,MATCH(T361,激励事件明细!$A$2:$A$501,0)),""))</f>
        <v/>
      </c>
      <c r="B361" s="4" t="str">
        <f>IF(A361="","",IFERROR(INDEX(激励事件明细!$D$2:$D$501,MATCH(T361,激励事件明细!$A$2:$A$501,0)),""))</f>
        <v/>
      </c>
      <c r="C361" s="4" t="str">
        <f>IF(A361="","",IFERROR(INDEX(激励事件明细!$H$2:$H$501,MATCH(T361,激励事件明细!$A$2:$A$501,0)),""))</f>
        <v/>
      </c>
      <c r="D361" s="9"/>
      <c r="E361" s="9"/>
      <c r="F361" s="15" t="str">
        <f>IF(A361="","",IFERROR(INDEX(激励事件明细!$AA$2:$AA$501,MATCH(T361,激励事件明细!$A$2:$A$501,0)),""))</f>
        <v/>
      </c>
      <c r="G361" s="17" t="str">
        <f>IF(A361="","",IFERROR(INDEX(激励事件明细!$AB$2:$AB$501,MATCH(T361,激励事件明细!$A$2:$A$501,0)),""))</f>
        <v/>
      </c>
      <c r="H361" s="17" t="str">
        <f>IF(A361="","",IFERROR(INDEX(激励事件明细!$AC$2:$AC$501,MATCH(T361,激励事件明细!$A$2:$A$501,0)),""))</f>
        <v/>
      </c>
      <c r="I361" s="13"/>
      <c r="J361" s="14"/>
      <c r="K361" s="14"/>
      <c r="L361" s="9"/>
      <c r="M361" s="15" t="str">
        <f t="shared" si="30"/>
        <v/>
      </c>
      <c r="N361" s="15" t="str">
        <f t="shared" si="31"/>
        <v/>
      </c>
      <c r="O361" s="4" t="str">
        <f t="shared" ca="1" si="32"/>
        <v/>
      </c>
      <c r="P361" s="17" t="str">
        <f>IF(A361="","",IFERROR(IF(INDEX(激励事件明细!$P$2:$P$501,MATCH(T361,激励事件明细!$A$2:$A$501,0))=0,"",INDEX(激励事件明细!$P$2:$P$501,MATCH(T361,激励事件明细!$A$2:$A$501,0))),""))</f>
        <v/>
      </c>
      <c r="Q361" s="4" t="str">
        <f t="shared" si="33"/>
        <v>无效</v>
      </c>
      <c r="R361" s="4" t="str">
        <f t="shared" ca="1" si="34"/>
        <v>异常：必须关联有效事件编号或税额批次</v>
      </c>
      <c r="S361" s="9"/>
      <c r="T361" s="4" t="str">
        <f>IF(D361&lt;&gt;"",IF(COUNTIF(激励事件明细!$A$2:$A$501,D361)=1,D361,""),IF(E361&lt;&gt;"",IFERROR(INDEX(激励事件明细!$A$2:$A$501,MATCH(E361,激励事件明细!$B$2:$B$501,0)),""),""))</f>
        <v/>
      </c>
      <c r="U361" s="4" t="str">
        <f>IF(T361="","",IFERROR(INDEX(激励事件明细!$B$2:$B$501,MATCH(T361,激励事件明细!$A$2:$A$501,0)),""))</f>
        <v/>
      </c>
      <c r="V361" s="4" t="str">
        <f>IF(A361="","",COUNTIF($A$2:A361,A361))</f>
        <v/>
      </c>
      <c r="W361" s="4" t="str">
        <f t="shared" si="35"/>
        <v/>
      </c>
    </row>
    <row r="362" spans="1:23" x14ac:dyDescent="0.3">
      <c r="A362" s="4" t="str">
        <f>IF(T362="","",IFERROR(INDEX(激励事件明细!$C$2:$C$501,MATCH(T362,激励事件明细!$A$2:$A$501,0)),""))</f>
        <v/>
      </c>
      <c r="B362" s="4" t="str">
        <f>IF(A362="","",IFERROR(INDEX(激励事件明细!$D$2:$D$501,MATCH(T362,激励事件明细!$A$2:$A$501,0)),""))</f>
        <v/>
      </c>
      <c r="C362" s="4" t="str">
        <f>IF(A362="","",IFERROR(INDEX(激励事件明细!$H$2:$H$501,MATCH(T362,激励事件明细!$A$2:$A$501,0)),""))</f>
        <v/>
      </c>
      <c r="D362" s="9"/>
      <c r="E362" s="9"/>
      <c r="F362" s="15" t="str">
        <f>IF(A362="","",IFERROR(INDEX(激励事件明细!$AA$2:$AA$501,MATCH(T362,激励事件明细!$A$2:$A$501,0)),""))</f>
        <v/>
      </c>
      <c r="G362" s="17" t="str">
        <f>IF(A362="","",IFERROR(INDEX(激励事件明细!$AB$2:$AB$501,MATCH(T362,激励事件明细!$A$2:$A$501,0)),""))</f>
        <v/>
      </c>
      <c r="H362" s="17" t="str">
        <f>IF(A362="","",IFERROR(INDEX(激励事件明细!$AC$2:$AC$501,MATCH(T362,激励事件明细!$A$2:$A$501,0)),""))</f>
        <v/>
      </c>
      <c r="I362" s="13"/>
      <c r="J362" s="14"/>
      <c r="K362" s="14"/>
      <c r="L362" s="9"/>
      <c r="M362" s="15" t="str">
        <f t="shared" si="30"/>
        <v/>
      </c>
      <c r="N362" s="15" t="str">
        <f t="shared" si="31"/>
        <v/>
      </c>
      <c r="O362" s="4" t="str">
        <f t="shared" ca="1" si="32"/>
        <v/>
      </c>
      <c r="P362" s="17" t="str">
        <f>IF(A362="","",IFERROR(IF(INDEX(激励事件明细!$P$2:$P$501,MATCH(T362,激励事件明细!$A$2:$A$501,0))=0,"",INDEX(激励事件明细!$P$2:$P$501,MATCH(T362,激励事件明细!$A$2:$A$501,0))),""))</f>
        <v/>
      </c>
      <c r="Q362" s="4" t="str">
        <f t="shared" si="33"/>
        <v>无效</v>
      </c>
      <c r="R362" s="4" t="str">
        <f t="shared" ca="1" si="34"/>
        <v>异常：必须关联有效事件编号或税额批次</v>
      </c>
      <c r="S362" s="9"/>
      <c r="T362" s="4" t="str">
        <f>IF(D362&lt;&gt;"",IF(COUNTIF(激励事件明细!$A$2:$A$501,D362)=1,D362,""),IF(E362&lt;&gt;"",IFERROR(INDEX(激励事件明细!$A$2:$A$501,MATCH(E362,激励事件明细!$B$2:$B$501,0)),""),""))</f>
        <v/>
      </c>
      <c r="U362" s="4" t="str">
        <f>IF(T362="","",IFERROR(INDEX(激励事件明细!$B$2:$B$501,MATCH(T362,激励事件明细!$A$2:$A$501,0)),""))</f>
        <v/>
      </c>
      <c r="V362" s="4" t="str">
        <f>IF(A362="","",COUNTIF($A$2:A362,A362))</f>
        <v/>
      </c>
      <c r="W362" s="4" t="str">
        <f t="shared" si="35"/>
        <v/>
      </c>
    </row>
    <row r="363" spans="1:23" x14ac:dyDescent="0.3">
      <c r="A363" s="4" t="str">
        <f>IF(T363="","",IFERROR(INDEX(激励事件明细!$C$2:$C$501,MATCH(T363,激励事件明细!$A$2:$A$501,0)),""))</f>
        <v/>
      </c>
      <c r="B363" s="4" t="str">
        <f>IF(A363="","",IFERROR(INDEX(激励事件明细!$D$2:$D$501,MATCH(T363,激励事件明细!$A$2:$A$501,0)),""))</f>
        <v/>
      </c>
      <c r="C363" s="4" t="str">
        <f>IF(A363="","",IFERROR(INDEX(激励事件明细!$H$2:$H$501,MATCH(T363,激励事件明细!$A$2:$A$501,0)),""))</f>
        <v/>
      </c>
      <c r="D363" s="9"/>
      <c r="E363" s="9"/>
      <c r="F363" s="15" t="str">
        <f>IF(A363="","",IFERROR(INDEX(激励事件明细!$AA$2:$AA$501,MATCH(T363,激励事件明细!$A$2:$A$501,0)),""))</f>
        <v/>
      </c>
      <c r="G363" s="17" t="str">
        <f>IF(A363="","",IFERROR(INDEX(激励事件明细!$AB$2:$AB$501,MATCH(T363,激励事件明细!$A$2:$A$501,0)),""))</f>
        <v/>
      </c>
      <c r="H363" s="17" t="str">
        <f>IF(A363="","",IFERROR(INDEX(激励事件明细!$AC$2:$AC$501,MATCH(T363,激励事件明细!$A$2:$A$501,0)),""))</f>
        <v/>
      </c>
      <c r="I363" s="13"/>
      <c r="J363" s="14"/>
      <c r="K363" s="14"/>
      <c r="L363" s="9"/>
      <c r="M363" s="15" t="str">
        <f t="shared" si="30"/>
        <v/>
      </c>
      <c r="N363" s="15" t="str">
        <f t="shared" si="31"/>
        <v/>
      </c>
      <c r="O363" s="4" t="str">
        <f t="shared" ca="1" si="32"/>
        <v/>
      </c>
      <c r="P363" s="17" t="str">
        <f>IF(A363="","",IFERROR(IF(INDEX(激励事件明细!$P$2:$P$501,MATCH(T363,激励事件明细!$A$2:$A$501,0))=0,"",INDEX(激励事件明细!$P$2:$P$501,MATCH(T363,激励事件明细!$A$2:$A$501,0))),""))</f>
        <v/>
      </c>
      <c r="Q363" s="4" t="str">
        <f t="shared" si="33"/>
        <v>无效</v>
      </c>
      <c r="R363" s="4" t="str">
        <f t="shared" ca="1" si="34"/>
        <v>异常：必须关联有效事件编号或税额批次</v>
      </c>
      <c r="S363" s="9"/>
      <c r="T363" s="4" t="str">
        <f>IF(D363&lt;&gt;"",IF(COUNTIF(激励事件明细!$A$2:$A$501,D363)=1,D363,""),IF(E363&lt;&gt;"",IFERROR(INDEX(激励事件明细!$A$2:$A$501,MATCH(E363,激励事件明细!$B$2:$B$501,0)),""),""))</f>
        <v/>
      </c>
      <c r="U363" s="4" t="str">
        <f>IF(T363="","",IFERROR(INDEX(激励事件明细!$B$2:$B$501,MATCH(T363,激励事件明细!$A$2:$A$501,0)),""))</f>
        <v/>
      </c>
      <c r="V363" s="4" t="str">
        <f>IF(A363="","",COUNTIF($A$2:A363,A363))</f>
        <v/>
      </c>
      <c r="W363" s="4" t="str">
        <f t="shared" si="35"/>
        <v/>
      </c>
    </row>
    <row r="364" spans="1:23" x14ac:dyDescent="0.3">
      <c r="A364" s="4" t="str">
        <f>IF(T364="","",IFERROR(INDEX(激励事件明细!$C$2:$C$501,MATCH(T364,激励事件明细!$A$2:$A$501,0)),""))</f>
        <v/>
      </c>
      <c r="B364" s="4" t="str">
        <f>IF(A364="","",IFERROR(INDEX(激励事件明细!$D$2:$D$501,MATCH(T364,激励事件明细!$A$2:$A$501,0)),""))</f>
        <v/>
      </c>
      <c r="C364" s="4" t="str">
        <f>IF(A364="","",IFERROR(INDEX(激励事件明细!$H$2:$H$501,MATCH(T364,激励事件明细!$A$2:$A$501,0)),""))</f>
        <v/>
      </c>
      <c r="D364" s="9"/>
      <c r="E364" s="9"/>
      <c r="F364" s="15" t="str">
        <f>IF(A364="","",IFERROR(INDEX(激励事件明细!$AA$2:$AA$501,MATCH(T364,激励事件明细!$A$2:$A$501,0)),""))</f>
        <v/>
      </c>
      <c r="G364" s="17" t="str">
        <f>IF(A364="","",IFERROR(INDEX(激励事件明细!$AB$2:$AB$501,MATCH(T364,激励事件明细!$A$2:$A$501,0)),""))</f>
        <v/>
      </c>
      <c r="H364" s="17" t="str">
        <f>IF(A364="","",IFERROR(INDEX(激励事件明细!$AC$2:$AC$501,MATCH(T364,激励事件明细!$A$2:$A$501,0)),""))</f>
        <v/>
      </c>
      <c r="I364" s="13"/>
      <c r="J364" s="14"/>
      <c r="K364" s="14"/>
      <c r="L364" s="9"/>
      <c r="M364" s="15" t="str">
        <f t="shared" si="30"/>
        <v/>
      </c>
      <c r="N364" s="15" t="str">
        <f t="shared" si="31"/>
        <v/>
      </c>
      <c r="O364" s="4" t="str">
        <f t="shared" ca="1" si="32"/>
        <v/>
      </c>
      <c r="P364" s="17" t="str">
        <f>IF(A364="","",IFERROR(IF(INDEX(激励事件明细!$P$2:$P$501,MATCH(T364,激励事件明细!$A$2:$A$501,0))=0,"",INDEX(激励事件明细!$P$2:$P$501,MATCH(T364,激励事件明细!$A$2:$A$501,0))),""))</f>
        <v/>
      </c>
      <c r="Q364" s="4" t="str">
        <f t="shared" si="33"/>
        <v>无效</v>
      </c>
      <c r="R364" s="4" t="str">
        <f t="shared" ca="1" si="34"/>
        <v>异常：必须关联有效事件编号或税额批次</v>
      </c>
      <c r="S364" s="9"/>
      <c r="T364" s="4" t="str">
        <f>IF(D364&lt;&gt;"",IF(COUNTIF(激励事件明细!$A$2:$A$501,D364)=1,D364,""),IF(E364&lt;&gt;"",IFERROR(INDEX(激励事件明细!$A$2:$A$501,MATCH(E364,激励事件明细!$B$2:$B$501,0)),""),""))</f>
        <v/>
      </c>
      <c r="U364" s="4" t="str">
        <f>IF(T364="","",IFERROR(INDEX(激励事件明细!$B$2:$B$501,MATCH(T364,激励事件明细!$A$2:$A$501,0)),""))</f>
        <v/>
      </c>
      <c r="V364" s="4" t="str">
        <f>IF(A364="","",COUNTIF($A$2:A364,A364))</f>
        <v/>
      </c>
      <c r="W364" s="4" t="str">
        <f t="shared" si="35"/>
        <v/>
      </c>
    </row>
    <row r="365" spans="1:23" x14ac:dyDescent="0.3">
      <c r="A365" s="4" t="str">
        <f>IF(T365="","",IFERROR(INDEX(激励事件明细!$C$2:$C$501,MATCH(T365,激励事件明细!$A$2:$A$501,0)),""))</f>
        <v/>
      </c>
      <c r="B365" s="4" t="str">
        <f>IF(A365="","",IFERROR(INDEX(激励事件明细!$D$2:$D$501,MATCH(T365,激励事件明细!$A$2:$A$501,0)),""))</f>
        <v/>
      </c>
      <c r="C365" s="4" t="str">
        <f>IF(A365="","",IFERROR(INDEX(激励事件明细!$H$2:$H$501,MATCH(T365,激励事件明细!$A$2:$A$501,0)),""))</f>
        <v/>
      </c>
      <c r="D365" s="9"/>
      <c r="E365" s="9"/>
      <c r="F365" s="15" t="str">
        <f>IF(A365="","",IFERROR(INDEX(激励事件明细!$AA$2:$AA$501,MATCH(T365,激励事件明细!$A$2:$A$501,0)),""))</f>
        <v/>
      </c>
      <c r="G365" s="17" t="str">
        <f>IF(A365="","",IFERROR(INDEX(激励事件明细!$AB$2:$AB$501,MATCH(T365,激励事件明细!$A$2:$A$501,0)),""))</f>
        <v/>
      </c>
      <c r="H365" s="17" t="str">
        <f>IF(A365="","",IFERROR(INDEX(激励事件明细!$AC$2:$AC$501,MATCH(T365,激励事件明细!$A$2:$A$501,0)),""))</f>
        <v/>
      </c>
      <c r="I365" s="13"/>
      <c r="J365" s="14"/>
      <c r="K365" s="14"/>
      <c r="L365" s="9"/>
      <c r="M365" s="15" t="str">
        <f t="shared" si="30"/>
        <v/>
      </c>
      <c r="N365" s="15" t="str">
        <f t="shared" si="31"/>
        <v/>
      </c>
      <c r="O365" s="4" t="str">
        <f t="shared" ca="1" si="32"/>
        <v/>
      </c>
      <c r="P365" s="17" t="str">
        <f>IF(A365="","",IFERROR(IF(INDEX(激励事件明细!$P$2:$P$501,MATCH(T365,激励事件明细!$A$2:$A$501,0))=0,"",INDEX(激励事件明细!$P$2:$P$501,MATCH(T365,激励事件明细!$A$2:$A$501,0))),""))</f>
        <v/>
      </c>
      <c r="Q365" s="4" t="str">
        <f t="shared" si="33"/>
        <v>无效</v>
      </c>
      <c r="R365" s="4" t="str">
        <f t="shared" ca="1" si="34"/>
        <v>异常：必须关联有效事件编号或税额批次</v>
      </c>
      <c r="S365" s="9"/>
      <c r="T365" s="4" t="str">
        <f>IF(D365&lt;&gt;"",IF(COUNTIF(激励事件明细!$A$2:$A$501,D365)=1,D365,""),IF(E365&lt;&gt;"",IFERROR(INDEX(激励事件明细!$A$2:$A$501,MATCH(E365,激励事件明细!$B$2:$B$501,0)),""),""))</f>
        <v/>
      </c>
      <c r="U365" s="4" t="str">
        <f>IF(T365="","",IFERROR(INDEX(激励事件明细!$B$2:$B$501,MATCH(T365,激励事件明细!$A$2:$A$501,0)),""))</f>
        <v/>
      </c>
      <c r="V365" s="4" t="str">
        <f>IF(A365="","",COUNTIF($A$2:A365,A365))</f>
        <v/>
      </c>
      <c r="W365" s="4" t="str">
        <f t="shared" si="35"/>
        <v/>
      </c>
    </row>
    <row r="366" spans="1:23" x14ac:dyDescent="0.3">
      <c r="A366" s="4" t="str">
        <f>IF(T366="","",IFERROR(INDEX(激励事件明细!$C$2:$C$501,MATCH(T366,激励事件明细!$A$2:$A$501,0)),""))</f>
        <v/>
      </c>
      <c r="B366" s="4" t="str">
        <f>IF(A366="","",IFERROR(INDEX(激励事件明细!$D$2:$D$501,MATCH(T366,激励事件明细!$A$2:$A$501,0)),""))</f>
        <v/>
      </c>
      <c r="C366" s="4" t="str">
        <f>IF(A366="","",IFERROR(INDEX(激励事件明细!$H$2:$H$501,MATCH(T366,激励事件明细!$A$2:$A$501,0)),""))</f>
        <v/>
      </c>
      <c r="D366" s="9"/>
      <c r="E366" s="9"/>
      <c r="F366" s="15" t="str">
        <f>IF(A366="","",IFERROR(INDEX(激励事件明细!$AA$2:$AA$501,MATCH(T366,激励事件明细!$A$2:$A$501,0)),""))</f>
        <v/>
      </c>
      <c r="G366" s="17" t="str">
        <f>IF(A366="","",IFERROR(INDEX(激励事件明细!$AB$2:$AB$501,MATCH(T366,激励事件明细!$A$2:$A$501,0)),""))</f>
        <v/>
      </c>
      <c r="H366" s="17" t="str">
        <f>IF(A366="","",IFERROR(INDEX(激励事件明细!$AC$2:$AC$501,MATCH(T366,激励事件明细!$A$2:$A$501,0)),""))</f>
        <v/>
      </c>
      <c r="I366" s="13"/>
      <c r="J366" s="14"/>
      <c r="K366" s="14"/>
      <c r="L366" s="9"/>
      <c r="M366" s="15" t="str">
        <f t="shared" si="30"/>
        <v/>
      </c>
      <c r="N366" s="15" t="str">
        <f t="shared" si="31"/>
        <v/>
      </c>
      <c r="O366" s="4" t="str">
        <f t="shared" ca="1" si="32"/>
        <v/>
      </c>
      <c r="P366" s="17" t="str">
        <f>IF(A366="","",IFERROR(IF(INDEX(激励事件明细!$P$2:$P$501,MATCH(T366,激励事件明细!$A$2:$A$501,0))=0,"",INDEX(激励事件明细!$P$2:$P$501,MATCH(T366,激励事件明细!$A$2:$A$501,0))),""))</f>
        <v/>
      </c>
      <c r="Q366" s="4" t="str">
        <f t="shared" si="33"/>
        <v>无效</v>
      </c>
      <c r="R366" s="4" t="str">
        <f t="shared" ca="1" si="34"/>
        <v>异常：必须关联有效事件编号或税额批次</v>
      </c>
      <c r="S366" s="9"/>
      <c r="T366" s="4" t="str">
        <f>IF(D366&lt;&gt;"",IF(COUNTIF(激励事件明细!$A$2:$A$501,D366)=1,D366,""),IF(E366&lt;&gt;"",IFERROR(INDEX(激励事件明细!$A$2:$A$501,MATCH(E366,激励事件明细!$B$2:$B$501,0)),""),""))</f>
        <v/>
      </c>
      <c r="U366" s="4" t="str">
        <f>IF(T366="","",IFERROR(INDEX(激励事件明细!$B$2:$B$501,MATCH(T366,激励事件明细!$A$2:$A$501,0)),""))</f>
        <v/>
      </c>
      <c r="V366" s="4" t="str">
        <f>IF(A366="","",COUNTIF($A$2:A366,A366))</f>
        <v/>
      </c>
      <c r="W366" s="4" t="str">
        <f t="shared" si="35"/>
        <v/>
      </c>
    </row>
    <row r="367" spans="1:23" x14ac:dyDescent="0.3">
      <c r="A367" s="4" t="str">
        <f>IF(T367="","",IFERROR(INDEX(激励事件明细!$C$2:$C$501,MATCH(T367,激励事件明细!$A$2:$A$501,0)),""))</f>
        <v/>
      </c>
      <c r="B367" s="4" t="str">
        <f>IF(A367="","",IFERROR(INDEX(激励事件明细!$D$2:$D$501,MATCH(T367,激励事件明细!$A$2:$A$501,0)),""))</f>
        <v/>
      </c>
      <c r="C367" s="4" t="str">
        <f>IF(A367="","",IFERROR(INDEX(激励事件明细!$H$2:$H$501,MATCH(T367,激励事件明细!$A$2:$A$501,0)),""))</f>
        <v/>
      </c>
      <c r="D367" s="9"/>
      <c r="E367" s="9"/>
      <c r="F367" s="15" t="str">
        <f>IF(A367="","",IFERROR(INDEX(激励事件明细!$AA$2:$AA$501,MATCH(T367,激励事件明细!$A$2:$A$501,0)),""))</f>
        <v/>
      </c>
      <c r="G367" s="17" t="str">
        <f>IF(A367="","",IFERROR(INDEX(激励事件明细!$AB$2:$AB$501,MATCH(T367,激励事件明细!$A$2:$A$501,0)),""))</f>
        <v/>
      </c>
      <c r="H367" s="17" t="str">
        <f>IF(A367="","",IFERROR(INDEX(激励事件明细!$AC$2:$AC$501,MATCH(T367,激励事件明细!$A$2:$A$501,0)),""))</f>
        <v/>
      </c>
      <c r="I367" s="13"/>
      <c r="J367" s="14"/>
      <c r="K367" s="14"/>
      <c r="L367" s="9"/>
      <c r="M367" s="15" t="str">
        <f t="shared" si="30"/>
        <v/>
      </c>
      <c r="N367" s="15" t="str">
        <f t="shared" si="31"/>
        <v/>
      </c>
      <c r="O367" s="4" t="str">
        <f t="shared" ca="1" si="32"/>
        <v/>
      </c>
      <c r="P367" s="17" t="str">
        <f>IF(A367="","",IFERROR(IF(INDEX(激励事件明细!$P$2:$P$501,MATCH(T367,激励事件明细!$A$2:$A$501,0))=0,"",INDEX(激励事件明细!$P$2:$P$501,MATCH(T367,激励事件明细!$A$2:$A$501,0))),""))</f>
        <v/>
      </c>
      <c r="Q367" s="4" t="str">
        <f t="shared" si="33"/>
        <v>无效</v>
      </c>
      <c r="R367" s="4" t="str">
        <f t="shared" ca="1" si="34"/>
        <v>异常：必须关联有效事件编号或税额批次</v>
      </c>
      <c r="S367" s="9"/>
      <c r="T367" s="4" t="str">
        <f>IF(D367&lt;&gt;"",IF(COUNTIF(激励事件明细!$A$2:$A$501,D367)=1,D367,""),IF(E367&lt;&gt;"",IFERROR(INDEX(激励事件明细!$A$2:$A$501,MATCH(E367,激励事件明细!$B$2:$B$501,0)),""),""))</f>
        <v/>
      </c>
      <c r="U367" s="4" t="str">
        <f>IF(T367="","",IFERROR(INDEX(激励事件明细!$B$2:$B$501,MATCH(T367,激励事件明细!$A$2:$A$501,0)),""))</f>
        <v/>
      </c>
      <c r="V367" s="4" t="str">
        <f>IF(A367="","",COUNTIF($A$2:A367,A367))</f>
        <v/>
      </c>
      <c r="W367" s="4" t="str">
        <f t="shared" si="35"/>
        <v/>
      </c>
    </row>
    <row r="368" spans="1:23" x14ac:dyDescent="0.3">
      <c r="A368" s="4" t="str">
        <f>IF(T368="","",IFERROR(INDEX(激励事件明细!$C$2:$C$501,MATCH(T368,激励事件明细!$A$2:$A$501,0)),""))</f>
        <v/>
      </c>
      <c r="B368" s="4" t="str">
        <f>IF(A368="","",IFERROR(INDEX(激励事件明细!$D$2:$D$501,MATCH(T368,激励事件明细!$A$2:$A$501,0)),""))</f>
        <v/>
      </c>
      <c r="C368" s="4" t="str">
        <f>IF(A368="","",IFERROR(INDEX(激励事件明细!$H$2:$H$501,MATCH(T368,激励事件明细!$A$2:$A$501,0)),""))</f>
        <v/>
      </c>
      <c r="D368" s="9"/>
      <c r="E368" s="9"/>
      <c r="F368" s="15" t="str">
        <f>IF(A368="","",IFERROR(INDEX(激励事件明细!$AA$2:$AA$501,MATCH(T368,激励事件明细!$A$2:$A$501,0)),""))</f>
        <v/>
      </c>
      <c r="G368" s="17" t="str">
        <f>IF(A368="","",IFERROR(INDEX(激励事件明细!$AB$2:$AB$501,MATCH(T368,激励事件明细!$A$2:$A$501,0)),""))</f>
        <v/>
      </c>
      <c r="H368" s="17" t="str">
        <f>IF(A368="","",IFERROR(INDEX(激励事件明细!$AC$2:$AC$501,MATCH(T368,激励事件明细!$A$2:$A$501,0)),""))</f>
        <v/>
      </c>
      <c r="I368" s="13"/>
      <c r="J368" s="14"/>
      <c r="K368" s="14"/>
      <c r="L368" s="9"/>
      <c r="M368" s="15" t="str">
        <f t="shared" si="30"/>
        <v/>
      </c>
      <c r="N368" s="15" t="str">
        <f t="shared" si="31"/>
        <v/>
      </c>
      <c r="O368" s="4" t="str">
        <f t="shared" ca="1" si="32"/>
        <v/>
      </c>
      <c r="P368" s="17" t="str">
        <f>IF(A368="","",IFERROR(IF(INDEX(激励事件明细!$P$2:$P$501,MATCH(T368,激励事件明细!$A$2:$A$501,0))=0,"",INDEX(激励事件明细!$P$2:$P$501,MATCH(T368,激励事件明细!$A$2:$A$501,0))),""))</f>
        <v/>
      </c>
      <c r="Q368" s="4" t="str">
        <f t="shared" si="33"/>
        <v>无效</v>
      </c>
      <c r="R368" s="4" t="str">
        <f t="shared" ca="1" si="34"/>
        <v>异常：必须关联有效事件编号或税额批次</v>
      </c>
      <c r="S368" s="9"/>
      <c r="T368" s="4" t="str">
        <f>IF(D368&lt;&gt;"",IF(COUNTIF(激励事件明细!$A$2:$A$501,D368)=1,D368,""),IF(E368&lt;&gt;"",IFERROR(INDEX(激励事件明细!$A$2:$A$501,MATCH(E368,激励事件明细!$B$2:$B$501,0)),""),""))</f>
        <v/>
      </c>
      <c r="U368" s="4" t="str">
        <f>IF(T368="","",IFERROR(INDEX(激励事件明细!$B$2:$B$501,MATCH(T368,激励事件明细!$A$2:$A$501,0)),""))</f>
        <v/>
      </c>
      <c r="V368" s="4" t="str">
        <f>IF(A368="","",COUNTIF($A$2:A368,A368))</f>
        <v/>
      </c>
      <c r="W368" s="4" t="str">
        <f t="shared" si="35"/>
        <v/>
      </c>
    </row>
    <row r="369" spans="1:23" x14ac:dyDescent="0.3">
      <c r="A369" s="4" t="str">
        <f>IF(T369="","",IFERROR(INDEX(激励事件明细!$C$2:$C$501,MATCH(T369,激励事件明细!$A$2:$A$501,0)),""))</f>
        <v/>
      </c>
      <c r="B369" s="4" t="str">
        <f>IF(A369="","",IFERROR(INDEX(激励事件明细!$D$2:$D$501,MATCH(T369,激励事件明细!$A$2:$A$501,0)),""))</f>
        <v/>
      </c>
      <c r="C369" s="4" t="str">
        <f>IF(A369="","",IFERROR(INDEX(激励事件明细!$H$2:$H$501,MATCH(T369,激励事件明细!$A$2:$A$501,0)),""))</f>
        <v/>
      </c>
      <c r="D369" s="9"/>
      <c r="E369" s="9"/>
      <c r="F369" s="15" t="str">
        <f>IF(A369="","",IFERROR(INDEX(激励事件明细!$AA$2:$AA$501,MATCH(T369,激励事件明细!$A$2:$A$501,0)),""))</f>
        <v/>
      </c>
      <c r="G369" s="17" t="str">
        <f>IF(A369="","",IFERROR(INDEX(激励事件明细!$AB$2:$AB$501,MATCH(T369,激励事件明细!$A$2:$A$501,0)),""))</f>
        <v/>
      </c>
      <c r="H369" s="17" t="str">
        <f>IF(A369="","",IFERROR(INDEX(激励事件明细!$AC$2:$AC$501,MATCH(T369,激励事件明细!$A$2:$A$501,0)),""))</f>
        <v/>
      </c>
      <c r="I369" s="13"/>
      <c r="J369" s="14"/>
      <c r="K369" s="14"/>
      <c r="L369" s="9"/>
      <c r="M369" s="15" t="str">
        <f t="shared" si="30"/>
        <v/>
      </c>
      <c r="N369" s="15" t="str">
        <f t="shared" si="31"/>
        <v/>
      </c>
      <c r="O369" s="4" t="str">
        <f t="shared" ca="1" si="32"/>
        <v/>
      </c>
      <c r="P369" s="17" t="str">
        <f>IF(A369="","",IFERROR(IF(INDEX(激励事件明细!$P$2:$P$501,MATCH(T369,激励事件明细!$A$2:$A$501,0))=0,"",INDEX(激励事件明细!$P$2:$P$501,MATCH(T369,激励事件明细!$A$2:$A$501,0))),""))</f>
        <v/>
      </c>
      <c r="Q369" s="4" t="str">
        <f t="shared" si="33"/>
        <v>无效</v>
      </c>
      <c r="R369" s="4" t="str">
        <f t="shared" ca="1" si="34"/>
        <v>异常：必须关联有效事件编号或税额批次</v>
      </c>
      <c r="S369" s="9"/>
      <c r="T369" s="4" t="str">
        <f>IF(D369&lt;&gt;"",IF(COUNTIF(激励事件明细!$A$2:$A$501,D369)=1,D369,""),IF(E369&lt;&gt;"",IFERROR(INDEX(激励事件明细!$A$2:$A$501,MATCH(E369,激励事件明细!$B$2:$B$501,0)),""),""))</f>
        <v/>
      </c>
      <c r="U369" s="4" t="str">
        <f>IF(T369="","",IFERROR(INDEX(激励事件明细!$B$2:$B$501,MATCH(T369,激励事件明细!$A$2:$A$501,0)),""))</f>
        <v/>
      </c>
      <c r="V369" s="4" t="str">
        <f>IF(A369="","",COUNTIF($A$2:A369,A369))</f>
        <v/>
      </c>
      <c r="W369" s="4" t="str">
        <f t="shared" si="35"/>
        <v/>
      </c>
    </row>
    <row r="370" spans="1:23" x14ac:dyDescent="0.3">
      <c r="A370" s="4" t="str">
        <f>IF(T370="","",IFERROR(INDEX(激励事件明细!$C$2:$C$501,MATCH(T370,激励事件明细!$A$2:$A$501,0)),""))</f>
        <v/>
      </c>
      <c r="B370" s="4" t="str">
        <f>IF(A370="","",IFERROR(INDEX(激励事件明细!$D$2:$D$501,MATCH(T370,激励事件明细!$A$2:$A$501,0)),""))</f>
        <v/>
      </c>
      <c r="C370" s="4" t="str">
        <f>IF(A370="","",IFERROR(INDEX(激励事件明细!$H$2:$H$501,MATCH(T370,激励事件明细!$A$2:$A$501,0)),""))</f>
        <v/>
      </c>
      <c r="D370" s="9"/>
      <c r="E370" s="9"/>
      <c r="F370" s="15" t="str">
        <f>IF(A370="","",IFERROR(INDEX(激励事件明细!$AA$2:$AA$501,MATCH(T370,激励事件明细!$A$2:$A$501,0)),""))</f>
        <v/>
      </c>
      <c r="G370" s="17" t="str">
        <f>IF(A370="","",IFERROR(INDEX(激励事件明细!$AB$2:$AB$501,MATCH(T370,激励事件明细!$A$2:$A$501,0)),""))</f>
        <v/>
      </c>
      <c r="H370" s="17" t="str">
        <f>IF(A370="","",IFERROR(INDEX(激励事件明细!$AC$2:$AC$501,MATCH(T370,激励事件明细!$A$2:$A$501,0)),""))</f>
        <v/>
      </c>
      <c r="I370" s="13"/>
      <c r="J370" s="14"/>
      <c r="K370" s="14"/>
      <c r="L370" s="9"/>
      <c r="M370" s="15" t="str">
        <f t="shared" si="30"/>
        <v/>
      </c>
      <c r="N370" s="15" t="str">
        <f t="shared" si="31"/>
        <v/>
      </c>
      <c r="O370" s="4" t="str">
        <f t="shared" ca="1" si="32"/>
        <v/>
      </c>
      <c r="P370" s="17" t="str">
        <f>IF(A370="","",IFERROR(IF(INDEX(激励事件明细!$P$2:$P$501,MATCH(T370,激励事件明细!$A$2:$A$501,0))=0,"",INDEX(激励事件明细!$P$2:$P$501,MATCH(T370,激励事件明细!$A$2:$A$501,0))),""))</f>
        <v/>
      </c>
      <c r="Q370" s="4" t="str">
        <f t="shared" si="33"/>
        <v>无效</v>
      </c>
      <c r="R370" s="4" t="str">
        <f t="shared" ca="1" si="34"/>
        <v>异常：必须关联有效事件编号或税额批次</v>
      </c>
      <c r="S370" s="9"/>
      <c r="T370" s="4" t="str">
        <f>IF(D370&lt;&gt;"",IF(COUNTIF(激励事件明细!$A$2:$A$501,D370)=1,D370,""),IF(E370&lt;&gt;"",IFERROR(INDEX(激励事件明细!$A$2:$A$501,MATCH(E370,激励事件明细!$B$2:$B$501,0)),""),""))</f>
        <v/>
      </c>
      <c r="U370" s="4" t="str">
        <f>IF(T370="","",IFERROR(INDEX(激励事件明细!$B$2:$B$501,MATCH(T370,激励事件明细!$A$2:$A$501,0)),""))</f>
        <v/>
      </c>
      <c r="V370" s="4" t="str">
        <f>IF(A370="","",COUNTIF($A$2:A370,A370))</f>
        <v/>
      </c>
      <c r="W370" s="4" t="str">
        <f t="shared" si="35"/>
        <v/>
      </c>
    </row>
    <row r="371" spans="1:23" x14ac:dyDescent="0.3">
      <c r="A371" s="4" t="str">
        <f>IF(T371="","",IFERROR(INDEX(激励事件明细!$C$2:$C$501,MATCH(T371,激励事件明细!$A$2:$A$501,0)),""))</f>
        <v/>
      </c>
      <c r="B371" s="4" t="str">
        <f>IF(A371="","",IFERROR(INDEX(激励事件明细!$D$2:$D$501,MATCH(T371,激励事件明细!$A$2:$A$501,0)),""))</f>
        <v/>
      </c>
      <c r="C371" s="4" t="str">
        <f>IF(A371="","",IFERROR(INDEX(激励事件明细!$H$2:$H$501,MATCH(T371,激励事件明细!$A$2:$A$501,0)),""))</f>
        <v/>
      </c>
      <c r="D371" s="9"/>
      <c r="E371" s="9"/>
      <c r="F371" s="15" t="str">
        <f>IF(A371="","",IFERROR(INDEX(激励事件明细!$AA$2:$AA$501,MATCH(T371,激励事件明细!$A$2:$A$501,0)),""))</f>
        <v/>
      </c>
      <c r="G371" s="17" t="str">
        <f>IF(A371="","",IFERROR(INDEX(激励事件明细!$AB$2:$AB$501,MATCH(T371,激励事件明细!$A$2:$A$501,0)),""))</f>
        <v/>
      </c>
      <c r="H371" s="17" t="str">
        <f>IF(A371="","",IFERROR(INDEX(激励事件明细!$AC$2:$AC$501,MATCH(T371,激励事件明细!$A$2:$A$501,0)),""))</f>
        <v/>
      </c>
      <c r="I371" s="13"/>
      <c r="J371" s="14"/>
      <c r="K371" s="14"/>
      <c r="L371" s="9"/>
      <c r="M371" s="15" t="str">
        <f t="shared" si="30"/>
        <v/>
      </c>
      <c r="N371" s="15" t="str">
        <f t="shared" si="31"/>
        <v/>
      </c>
      <c r="O371" s="4" t="str">
        <f t="shared" ca="1" si="32"/>
        <v/>
      </c>
      <c r="P371" s="17" t="str">
        <f>IF(A371="","",IFERROR(IF(INDEX(激励事件明细!$P$2:$P$501,MATCH(T371,激励事件明细!$A$2:$A$501,0))=0,"",INDEX(激励事件明细!$P$2:$P$501,MATCH(T371,激励事件明细!$A$2:$A$501,0))),""))</f>
        <v/>
      </c>
      <c r="Q371" s="4" t="str">
        <f t="shared" si="33"/>
        <v>无效</v>
      </c>
      <c r="R371" s="4" t="str">
        <f t="shared" ca="1" si="34"/>
        <v>异常：必须关联有效事件编号或税额批次</v>
      </c>
      <c r="S371" s="9"/>
      <c r="T371" s="4" t="str">
        <f>IF(D371&lt;&gt;"",IF(COUNTIF(激励事件明细!$A$2:$A$501,D371)=1,D371,""),IF(E371&lt;&gt;"",IFERROR(INDEX(激励事件明细!$A$2:$A$501,MATCH(E371,激励事件明细!$B$2:$B$501,0)),""),""))</f>
        <v/>
      </c>
      <c r="U371" s="4" t="str">
        <f>IF(T371="","",IFERROR(INDEX(激励事件明细!$B$2:$B$501,MATCH(T371,激励事件明细!$A$2:$A$501,0)),""))</f>
        <v/>
      </c>
      <c r="V371" s="4" t="str">
        <f>IF(A371="","",COUNTIF($A$2:A371,A371))</f>
        <v/>
      </c>
      <c r="W371" s="4" t="str">
        <f t="shared" si="35"/>
        <v/>
      </c>
    </row>
    <row r="372" spans="1:23" x14ac:dyDescent="0.3">
      <c r="A372" s="4" t="str">
        <f>IF(T372="","",IFERROR(INDEX(激励事件明细!$C$2:$C$501,MATCH(T372,激励事件明细!$A$2:$A$501,0)),""))</f>
        <v/>
      </c>
      <c r="B372" s="4" t="str">
        <f>IF(A372="","",IFERROR(INDEX(激励事件明细!$D$2:$D$501,MATCH(T372,激励事件明细!$A$2:$A$501,0)),""))</f>
        <v/>
      </c>
      <c r="C372" s="4" t="str">
        <f>IF(A372="","",IFERROR(INDEX(激励事件明细!$H$2:$H$501,MATCH(T372,激励事件明细!$A$2:$A$501,0)),""))</f>
        <v/>
      </c>
      <c r="D372" s="9"/>
      <c r="E372" s="9"/>
      <c r="F372" s="15" t="str">
        <f>IF(A372="","",IFERROR(INDEX(激励事件明细!$AA$2:$AA$501,MATCH(T372,激励事件明细!$A$2:$A$501,0)),""))</f>
        <v/>
      </c>
      <c r="G372" s="17" t="str">
        <f>IF(A372="","",IFERROR(INDEX(激励事件明细!$AB$2:$AB$501,MATCH(T372,激励事件明细!$A$2:$A$501,0)),""))</f>
        <v/>
      </c>
      <c r="H372" s="17" t="str">
        <f>IF(A372="","",IFERROR(INDEX(激励事件明细!$AC$2:$AC$501,MATCH(T372,激励事件明细!$A$2:$A$501,0)),""))</f>
        <v/>
      </c>
      <c r="I372" s="13"/>
      <c r="J372" s="14"/>
      <c r="K372" s="14"/>
      <c r="L372" s="9"/>
      <c r="M372" s="15" t="str">
        <f t="shared" si="30"/>
        <v/>
      </c>
      <c r="N372" s="15" t="str">
        <f t="shared" si="31"/>
        <v/>
      </c>
      <c r="O372" s="4" t="str">
        <f t="shared" ca="1" si="32"/>
        <v/>
      </c>
      <c r="P372" s="17" t="str">
        <f>IF(A372="","",IFERROR(IF(INDEX(激励事件明细!$P$2:$P$501,MATCH(T372,激励事件明细!$A$2:$A$501,0))=0,"",INDEX(激励事件明细!$P$2:$P$501,MATCH(T372,激励事件明细!$A$2:$A$501,0))),""))</f>
        <v/>
      </c>
      <c r="Q372" s="4" t="str">
        <f t="shared" si="33"/>
        <v>无效</v>
      </c>
      <c r="R372" s="4" t="str">
        <f t="shared" ca="1" si="34"/>
        <v>异常：必须关联有效事件编号或税额批次</v>
      </c>
      <c r="S372" s="9"/>
      <c r="T372" s="4" t="str">
        <f>IF(D372&lt;&gt;"",IF(COUNTIF(激励事件明细!$A$2:$A$501,D372)=1,D372,""),IF(E372&lt;&gt;"",IFERROR(INDEX(激励事件明细!$A$2:$A$501,MATCH(E372,激励事件明细!$B$2:$B$501,0)),""),""))</f>
        <v/>
      </c>
      <c r="U372" s="4" t="str">
        <f>IF(T372="","",IFERROR(INDEX(激励事件明细!$B$2:$B$501,MATCH(T372,激励事件明细!$A$2:$A$501,0)),""))</f>
        <v/>
      </c>
      <c r="V372" s="4" t="str">
        <f>IF(A372="","",COUNTIF($A$2:A372,A372))</f>
        <v/>
      </c>
      <c r="W372" s="4" t="str">
        <f t="shared" si="35"/>
        <v/>
      </c>
    </row>
    <row r="373" spans="1:23" x14ac:dyDescent="0.3">
      <c r="A373" s="4" t="str">
        <f>IF(T373="","",IFERROR(INDEX(激励事件明细!$C$2:$C$501,MATCH(T373,激励事件明细!$A$2:$A$501,0)),""))</f>
        <v/>
      </c>
      <c r="B373" s="4" t="str">
        <f>IF(A373="","",IFERROR(INDEX(激励事件明细!$D$2:$D$501,MATCH(T373,激励事件明细!$A$2:$A$501,0)),""))</f>
        <v/>
      </c>
      <c r="C373" s="4" t="str">
        <f>IF(A373="","",IFERROR(INDEX(激励事件明细!$H$2:$H$501,MATCH(T373,激励事件明细!$A$2:$A$501,0)),""))</f>
        <v/>
      </c>
      <c r="D373" s="9"/>
      <c r="E373" s="9"/>
      <c r="F373" s="15" t="str">
        <f>IF(A373="","",IFERROR(INDEX(激励事件明细!$AA$2:$AA$501,MATCH(T373,激励事件明细!$A$2:$A$501,0)),""))</f>
        <v/>
      </c>
      <c r="G373" s="17" t="str">
        <f>IF(A373="","",IFERROR(INDEX(激励事件明细!$AB$2:$AB$501,MATCH(T373,激励事件明细!$A$2:$A$501,0)),""))</f>
        <v/>
      </c>
      <c r="H373" s="17" t="str">
        <f>IF(A373="","",IFERROR(INDEX(激励事件明细!$AC$2:$AC$501,MATCH(T373,激励事件明细!$A$2:$A$501,0)),""))</f>
        <v/>
      </c>
      <c r="I373" s="13"/>
      <c r="J373" s="14"/>
      <c r="K373" s="14"/>
      <c r="L373" s="9"/>
      <c r="M373" s="15" t="str">
        <f t="shared" si="30"/>
        <v/>
      </c>
      <c r="N373" s="15" t="str">
        <f t="shared" si="31"/>
        <v/>
      </c>
      <c r="O373" s="4" t="str">
        <f t="shared" ca="1" si="32"/>
        <v/>
      </c>
      <c r="P373" s="17" t="str">
        <f>IF(A373="","",IFERROR(IF(INDEX(激励事件明细!$P$2:$P$501,MATCH(T373,激励事件明细!$A$2:$A$501,0))=0,"",INDEX(激励事件明细!$P$2:$P$501,MATCH(T373,激励事件明细!$A$2:$A$501,0))),""))</f>
        <v/>
      </c>
      <c r="Q373" s="4" t="str">
        <f t="shared" si="33"/>
        <v>无效</v>
      </c>
      <c r="R373" s="4" t="str">
        <f t="shared" ca="1" si="34"/>
        <v>异常：必须关联有效事件编号或税额批次</v>
      </c>
      <c r="S373" s="9"/>
      <c r="T373" s="4" t="str">
        <f>IF(D373&lt;&gt;"",IF(COUNTIF(激励事件明细!$A$2:$A$501,D373)=1,D373,""),IF(E373&lt;&gt;"",IFERROR(INDEX(激励事件明细!$A$2:$A$501,MATCH(E373,激励事件明细!$B$2:$B$501,0)),""),""))</f>
        <v/>
      </c>
      <c r="U373" s="4" t="str">
        <f>IF(T373="","",IFERROR(INDEX(激励事件明细!$B$2:$B$501,MATCH(T373,激励事件明细!$A$2:$A$501,0)),""))</f>
        <v/>
      </c>
      <c r="V373" s="4" t="str">
        <f>IF(A373="","",COUNTIF($A$2:A373,A373))</f>
        <v/>
      </c>
      <c r="W373" s="4" t="str">
        <f t="shared" si="35"/>
        <v/>
      </c>
    </row>
    <row r="374" spans="1:23" x14ac:dyDescent="0.3">
      <c r="A374" s="4" t="str">
        <f>IF(T374="","",IFERROR(INDEX(激励事件明细!$C$2:$C$501,MATCH(T374,激励事件明细!$A$2:$A$501,0)),""))</f>
        <v/>
      </c>
      <c r="B374" s="4" t="str">
        <f>IF(A374="","",IFERROR(INDEX(激励事件明细!$D$2:$D$501,MATCH(T374,激励事件明细!$A$2:$A$501,0)),""))</f>
        <v/>
      </c>
      <c r="C374" s="4" t="str">
        <f>IF(A374="","",IFERROR(INDEX(激励事件明细!$H$2:$H$501,MATCH(T374,激励事件明细!$A$2:$A$501,0)),""))</f>
        <v/>
      </c>
      <c r="D374" s="9"/>
      <c r="E374" s="9"/>
      <c r="F374" s="15" t="str">
        <f>IF(A374="","",IFERROR(INDEX(激励事件明细!$AA$2:$AA$501,MATCH(T374,激励事件明细!$A$2:$A$501,0)),""))</f>
        <v/>
      </c>
      <c r="G374" s="17" t="str">
        <f>IF(A374="","",IFERROR(INDEX(激励事件明细!$AB$2:$AB$501,MATCH(T374,激励事件明细!$A$2:$A$501,0)),""))</f>
        <v/>
      </c>
      <c r="H374" s="17" t="str">
        <f>IF(A374="","",IFERROR(INDEX(激励事件明细!$AC$2:$AC$501,MATCH(T374,激励事件明细!$A$2:$A$501,0)),""))</f>
        <v/>
      </c>
      <c r="I374" s="13"/>
      <c r="J374" s="14"/>
      <c r="K374" s="14"/>
      <c r="L374" s="9"/>
      <c r="M374" s="15" t="str">
        <f t="shared" si="30"/>
        <v/>
      </c>
      <c r="N374" s="15" t="str">
        <f t="shared" si="31"/>
        <v/>
      </c>
      <c r="O374" s="4" t="str">
        <f t="shared" ca="1" si="32"/>
        <v/>
      </c>
      <c r="P374" s="17" t="str">
        <f>IF(A374="","",IFERROR(IF(INDEX(激励事件明细!$P$2:$P$501,MATCH(T374,激励事件明细!$A$2:$A$501,0))=0,"",INDEX(激励事件明细!$P$2:$P$501,MATCH(T374,激励事件明细!$A$2:$A$501,0))),""))</f>
        <v/>
      </c>
      <c r="Q374" s="4" t="str">
        <f t="shared" si="33"/>
        <v>无效</v>
      </c>
      <c r="R374" s="4" t="str">
        <f t="shared" ca="1" si="34"/>
        <v>异常：必须关联有效事件编号或税额批次</v>
      </c>
      <c r="S374" s="9"/>
      <c r="T374" s="4" t="str">
        <f>IF(D374&lt;&gt;"",IF(COUNTIF(激励事件明细!$A$2:$A$501,D374)=1,D374,""),IF(E374&lt;&gt;"",IFERROR(INDEX(激励事件明细!$A$2:$A$501,MATCH(E374,激励事件明细!$B$2:$B$501,0)),""),""))</f>
        <v/>
      </c>
      <c r="U374" s="4" t="str">
        <f>IF(T374="","",IFERROR(INDEX(激励事件明细!$B$2:$B$501,MATCH(T374,激励事件明细!$A$2:$A$501,0)),""))</f>
        <v/>
      </c>
      <c r="V374" s="4" t="str">
        <f>IF(A374="","",COUNTIF($A$2:A374,A374))</f>
        <v/>
      </c>
      <c r="W374" s="4" t="str">
        <f t="shared" si="35"/>
        <v/>
      </c>
    </row>
    <row r="375" spans="1:23" x14ac:dyDescent="0.3">
      <c r="A375" s="4" t="str">
        <f>IF(T375="","",IFERROR(INDEX(激励事件明细!$C$2:$C$501,MATCH(T375,激励事件明细!$A$2:$A$501,0)),""))</f>
        <v/>
      </c>
      <c r="B375" s="4" t="str">
        <f>IF(A375="","",IFERROR(INDEX(激励事件明细!$D$2:$D$501,MATCH(T375,激励事件明细!$A$2:$A$501,0)),""))</f>
        <v/>
      </c>
      <c r="C375" s="4" t="str">
        <f>IF(A375="","",IFERROR(INDEX(激励事件明细!$H$2:$H$501,MATCH(T375,激励事件明细!$A$2:$A$501,0)),""))</f>
        <v/>
      </c>
      <c r="D375" s="9"/>
      <c r="E375" s="9"/>
      <c r="F375" s="15" t="str">
        <f>IF(A375="","",IFERROR(INDEX(激励事件明细!$AA$2:$AA$501,MATCH(T375,激励事件明细!$A$2:$A$501,0)),""))</f>
        <v/>
      </c>
      <c r="G375" s="17" t="str">
        <f>IF(A375="","",IFERROR(INDEX(激励事件明细!$AB$2:$AB$501,MATCH(T375,激励事件明细!$A$2:$A$501,0)),""))</f>
        <v/>
      </c>
      <c r="H375" s="17" t="str">
        <f>IF(A375="","",IFERROR(INDEX(激励事件明细!$AC$2:$AC$501,MATCH(T375,激励事件明细!$A$2:$A$501,0)),""))</f>
        <v/>
      </c>
      <c r="I375" s="13"/>
      <c r="J375" s="14"/>
      <c r="K375" s="14"/>
      <c r="L375" s="9"/>
      <c r="M375" s="15" t="str">
        <f t="shared" si="30"/>
        <v/>
      </c>
      <c r="N375" s="15" t="str">
        <f t="shared" si="31"/>
        <v/>
      </c>
      <c r="O375" s="4" t="str">
        <f t="shared" ca="1" si="32"/>
        <v/>
      </c>
      <c r="P375" s="17" t="str">
        <f>IF(A375="","",IFERROR(IF(INDEX(激励事件明细!$P$2:$P$501,MATCH(T375,激励事件明细!$A$2:$A$501,0))=0,"",INDEX(激励事件明细!$P$2:$P$501,MATCH(T375,激励事件明细!$A$2:$A$501,0))),""))</f>
        <v/>
      </c>
      <c r="Q375" s="4" t="str">
        <f t="shared" si="33"/>
        <v>无效</v>
      </c>
      <c r="R375" s="4" t="str">
        <f t="shared" ca="1" si="34"/>
        <v>异常：必须关联有效事件编号或税额批次</v>
      </c>
      <c r="S375" s="9"/>
      <c r="T375" s="4" t="str">
        <f>IF(D375&lt;&gt;"",IF(COUNTIF(激励事件明细!$A$2:$A$501,D375)=1,D375,""),IF(E375&lt;&gt;"",IFERROR(INDEX(激励事件明细!$A$2:$A$501,MATCH(E375,激励事件明细!$B$2:$B$501,0)),""),""))</f>
        <v/>
      </c>
      <c r="U375" s="4" t="str">
        <f>IF(T375="","",IFERROR(INDEX(激励事件明细!$B$2:$B$501,MATCH(T375,激励事件明细!$A$2:$A$501,0)),""))</f>
        <v/>
      </c>
      <c r="V375" s="4" t="str">
        <f>IF(A375="","",COUNTIF($A$2:A375,A375))</f>
        <v/>
      </c>
      <c r="W375" s="4" t="str">
        <f t="shared" si="35"/>
        <v/>
      </c>
    </row>
    <row r="376" spans="1:23" x14ac:dyDescent="0.3">
      <c r="A376" s="4" t="str">
        <f>IF(T376="","",IFERROR(INDEX(激励事件明细!$C$2:$C$501,MATCH(T376,激励事件明细!$A$2:$A$501,0)),""))</f>
        <v/>
      </c>
      <c r="B376" s="4" t="str">
        <f>IF(A376="","",IFERROR(INDEX(激励事件明细!$D$2:$D$501,MATCH(T376,激励事件明细!$A$2:$A$501,0)),""))</f>
        <v/>
      </c>
      <c r="C376" s="4" t="str">
        <f>IF(A376="","",IFERROR(INDEX(激励事件明细!$H$2:$H$501,MATCH(T376,激励事件明细!$A$2:$A$501,0)),""))</f>
        <v/>
      </c>
      <c r="D376" s="9"/>
      <c r="E376" s="9"/>
      <c r="F376" s="15" t="str">
        <f>IF(A376="","",IFERROR(INDEX(激励事件明细!$AA$2:$AA$501,MATCH(T376,激励事件明细!$A$2:$A$501,0)),""))</f>
        <v/>
      </c>
      <c r="G376" s="17" t="str">
        <f>IF(A376="","",IFERROR(INDEX(激励事件明细!$AB$2:$AB$501,MATCH(T376,激励事件明细!$A$2:$A$501,0)),""))</f>
        <v/>
      </c>
      <c r="H376" s="17" t="str">
        <f>IF(A376="","",IFERROR(INDEX(激励事件明细!$AC$2:$AC$501,MATCH(T376,激励事件明细!$A$2:$A$501,0)),""))</f>
        <v/>
      </c>
      <c r="I376" s="13"/>
      <c r="J376" s="14"/>
      <c r="K376" s="14"/>
      <c r="L376" s="9"/>
      <c r="M376" s="15" t="str">
        <f t="shared" si="30"/>
        <v/>
      </c>
      <c r="N376" s="15" t="str">
        <f t="shared" si="31"/>
        <v/>
      </c>
      <c r="O376" s="4" t="str">
        <f t="shared" ca="1" si="32"/>
        <v/>
      </c>
      <c r="P376" s="17" t="str">
        <f>IF(A376="","",IFERROR(IF(INDEX(激励事件明细!$P$2:$P$501,MATCH(T376,激励事件明细!$A$2:$A$501,0))=0,"",INDEX(激励事件明细!$P$2:$P$501,MATCH(T376,激励事件明细!$A$2:$A$501,0))),""))</f>
        <v/>
      </c>
      <c r="Q376" s="4" t="str">
        <f t="shared" si="33"/>
        <v>无效</v>
      </c>
      <c r="R376" s="4" t="str">
        <f t="shared" ca="1" si="34"/>
        <v>异常：必须关联有效事件编号或税额批次</v>
      </c>
      <c r="S376" s="9"/>
      <c r="T376" s="4" t="str">
        <f>IF(D376&lt;&gt;"",IF(COUNTIF(激励事件明细!$A$2:$A$501,D376)=1,D376,""),IF(E376&lt;&gt;"",IFERROR(INDEX(激励事件明细!$A$2:$A$501,MATCH(E376,激励事件明细!$B$2:$B$501,0)),""),""))</f>
        <v/>
      </c>
      <c r="U376" s="4" t="str">
        <f>IF(T376="","",IFERROR(INDEX(激励事件明细!$B$2:$B$501,MATCH(T376,激励事件明细!$A$2:$A$501,0)),""))</f>
        <v/>
      </c>
      <c r="V376" s="4" t="str">
        <f>IF(A376="","",COUNTIF($A$2:A376,A376))</f>
        <v/>
      </c>
      <c r="W376" s="4" t="str">
        <f t="shared" si="35"/>
        <v/>
      </c>
    </row>
    <row r="377" spans="1:23" x14ac:dyDescent="0.3">
      <c r="A377" s="4" t="str">
        <f>IF(T377="","",IFERROR(INDEX(激励事件明细!$C$2:$C$501,MATCH(T377,激励事件明细!$A$2:$A$501,0)),""))</f>
        <v/>
      </c>
      <c r="B377" s="4" t="str">
        <f>IF(A377="","",IFERROR(INDEX(激励事件明细!$D$2:$D$501,MATCH(T377,激励事件明细!$A$2:$A$501,0)),""))</f>
        <v/>
      </c>
      <c r="C377" s="4" t="str">
        <f>IF(A377="","",IFERROR(INDEX(激励事件明细!$H$2:$H$501,MATCH(T377,激励事件明细!$A$2:$A$501,0)),""))</f>
        <v/>
      </c>
      <c r="D377" s="9"/>
      <c r="E377" s="9"/>
      <c r="F377" s="15" t="str">
        <f>IF(A377="","",IFERROR(INDEX(激励事件明细!$AA$2:$AA$501,MATCH(T377,激励事件明细!$A$2:$A$501,0)),""))</f>
        <v/>
      </c>
      <c r="G377" s="17" t="str">
        <f>IF(A377="","",IFERROR(INDEX(激励事件明细!$AB$2:$AB$501,MATCH(T377,激励事件明细!$A$2:$A$501,0)),""))</f>
        <v/>
      </c>
      <c r="H377" s="17" t="str">
        <f>IF(A377="","",IFERROR(INDEX(激励事件明细!$AC$2:$AC$501,MATCH(T377,激励事件明细!$A$2:$A$501,0)),""))</f>
        <v/>
      </c>
      <c r="I377" s="13"/>
      <c r="J377" s="14"/>
      <c r="K377" s="14"/>
      <c r="L377" s="9"/>
      <c r="M377" s="15" t="str">
        <f t="shared" si="30"/>
        <v/>
      </c>
      <c r="N377" s="15" t="str">
        <f t="shared" si="31"/>
        <v/>
      </c>
      <c r="O377" s="4" t="str">
        <f t="shared" ca="1" si="32"/>
        <v/>
      </c>
      <c r="P377" s="17" t="str">
        <f>IF(A377="","",IFERROR(IF(INDEX(激励事件明细!$P$2:$P$501,MATCH(T377,激励事件明细!$A$2:$A$501,0))=0,"",INDEX(激励事件明细!$P$2:$P$501,MATCH(T377,激励事件明细!$A$2:$A$501,0))),""))</f>
        <v/>
      </c>
      <c r="Q377" s="4" t="str">
        <f t="shared" si="33"/>
        <v>无效</v>
      </c>
      <c r="R377" s="4" t="str">
        <f t="shared" ca="1" si="34"/>
        <v>异常：必须关联有效事件编号或税额批次</v>
      </c>
      <c r="S377" s="9"/>
      <c r="T377" s="4" t="str">
        <f>IF(D377&lt;&gt;"",IF(COUNTIF(激励事件明细!$A$2:$A$501,D377)=1,D377,""),IF(E377&lt;&gt;"",IFERROR(INDEX(激励事件明细!$A$2:$A$501,MATCH(E377,激励事件明细!$B$2:$B$501,0)),""),""))</f>
        <v/>
      </c>
      <c r="U377" s="4" t="str">
        <f>IF(T377="","",IFERROR(INDEX(激励事件明细!$B$2:$B$501,MATCH(T377,激励事件明细!$A$2:$A$501,0)),""))</f>
        <v/>
      </c>
      <c r="V377" s="4" t="str">
        <f>IF(A377="","",COUNTIF($A$2:A377,A377))</f>
        <v/>
      </c>
      <c r="W377" s="4" t="str">
        <f t="shared" si="35"/>
        <v/>
      </c>
    </row>
    <row r="378" spans="1:23" x14ac:dyDescent="0.3">
      <c r="A378" s="4" t="str">
        <f>IF(T378="","",IFERROR(INDEX(激励事件明细!$C$2:$C$501,MATCH(T378,激励事件明细!$A$2:$A$501,0)),""))</f>
        <v/>
      </c>
      <c r="B378" s="4" t="str">
        <f>IF(A378="","",IFERROR(INDEX(激励事件明细!$D$2:$D$501,MATCH(T378,激励事件明细!$A$2:$A$501,0)),""))</f>
        <v/>
      </c>
      <c r="C378" s="4" t="str">
        <f>IF(A378="","",IFERROR(INDEX(激励事件明细!$H$2:$H$501,MATCH(T378,激励事件明细!$A$2:$A$501,0)),""))</f>
        <v/>
      </c>
      <c r="D378" s="9"/>
      <c r="E378" s="9"/>
      <c r="F378" s="15" t="str">
        <f>IF(A378="","",IFERROR(INDEX(激励事件明细!$AA$2:$AA$501,MATCH(T378,激励事件明细!$A$2:$A$501,0)),""))</f>
        <v/>
      </c>
      <c r="G378" s="17" t="str">
        <f>IF(A378="","",IFERROR(INDEX(激励事件明细!$AB$2:$AB$501,MATCH(T378,激励事件明细!$A$2:$A$501,0)),""))</f>
        <v/>
      </c>
      <c r="H378" s="17" t="str">
        <f>IF(A378="","",IFERROR(INDEX(激励事件明细!$AC$2:$AC$501,MATCH(T378,激励事件明细!$A$2:$A$501,0)),""))</f>
        <v/>
      </c>
      <c r="I378" s="13"/>
      <c r="J378" s="14"/>
      <c r="K378" s="14"/>
      <c r="L378" s="9"/>
      <c r="M378" s="15" t="str">
        <f t="shared" si="30"/>
        <v/>
      </c>
      <c r="N378" s="15" t="str">
        <f t="shared" si="31"/>
        <v/>
      </c>
      <c r="O378" s="4" t="str">
        <f t="shared" ca="1" si="32"/>
        <v/>
      </c>
      <c r="P378" s="17" t="str">
        <f>IF(A378="","",IFERROR(IF(INDEX(激励事件明细!$P$2:$P$501,MATCH(T378,激励事件明细!$A$2:$A$501,0))=0,"",INDEX(激励事件明细!$P$2:$P$501,MATCH(T378,激励事件明细!$A$2:$A$501,0))),""))</f>
        <v/>
      </c>
      <c r="Q378" s="4" t="str">
        <f t="shared" si="33"/>
        <v>无效</v>
      </c>
      <c r="R378" s="4" t="str">
        <f t="shared" ca="1" si="34"/>
        <v>异常：必须关联有效事件编号或税额批次</v>
      </c>
      <c r="S378" s="9"/>
      <c r="T378" s="4" t="str">
        <f>IF(D378&lt;&gt;"",IF(COUNTIF(激励事件明细!$A$2:$A$501,D378)=1,D378,""),IF(E378&lt;&gt;"",IFERROR(INDEX(激励事件明细!$A$2:$A$501,MATCH(E378,激励事件明细!$B$2:$B$501,0)),""),""))</f>
        <v/>
      </c>
      <c r="U378" s="4" t="str">
        <f>IF(T378="","",IFERROR(INDEX(激励事件明细!$B$2:$B$501,MATCH(T378,激励事件明细!$A$2:$A$501,0)),""))</f>
        <v/>
      </c>
      <c r="V378" s="4" t="str">
        <f>IF(A378="","",COUNTIF($A$2:A378,A378))</f>
        <v/>
      </c>
      <c r="W378" s="4" t="str">
        <f t="shared" si="35"/>
        <v/>
      </c>
    </row>
    <row r="379" spans="1:23" x14ac:dyDescent="0.3">
      <c r="A379" s="4" t="str">
        <f>IF(T379="","",IFERROR(INDEX(激励事件明细!$C$2:$C$501,MATCH(T379,激励事件明细!$A$2:$A$501,0)),""))</f>
        <v/>
      </c>
      <c r="B379" s="4" t="str">
        <f>IF(A379="","",IFERROR(INDEX(激励事件明细!$D$2:$D$501,MATCH(T379,激励事件明细!$A$2:$A$501,0)),""))</f>
        <v/>
      </c>
      <c r="C379" s="4" t="str">
        <f>IF(A379="","",IFERROR(INDEX(激励事件明细!$H$2:$H$501,MATCH(T379,激励事件明细!$A$2:$A$501,0)),""))</f>
        <v/>
      </c>
      <c r="D379" s="9"/>
      <c r="E379" s="9"/>
      <c r="F379" s="15" t="str">
        <f>IF(A379="","",IFERROR(INDEX(激励事件明细!$AA$2:$AA$501,MATCH(T379,激励事件明细!$A$2:$A$501,0)),""))</f>
        <v/>
      </c>
      <c r="G379" s="17" t="str">
        <f>IF(A379="","",IFERROR(INDEX(激励事件明细!$AB$2:$AB$501,MATCH(T379,激励事件明细!$A$2:$A$501,0)),""))</f>
        <v/>
      </c>
      <c r="H379" s="17" t="str">
        <f>IF(A379="","",IFERROR(INDEX(激励事件明细!$AC$2:$AC$501,MATCH(T379,激励事件明细!$A$2:$A$501,0)),""))</f>
        <v/>
      </c>
      <c r="I379" s="13"/>
      <c r="J379" s="14"/>
      <c r="K379" s="14"/>
      <c r="L379" s="9"/>
      <c r="M379" s="15" t="str">
        <f t="shared" si="30"/>
        <v/>
      </c>
      <c r="N379" s="15" t="str">
        <f t="shared" si="31"/>
        <v/>
      </c>
      <c r="O379" s="4" t="str">
        <f t="shared" ca="1" si="32"/>
        <v/>
      </c>
      <c r="P379" s="17" t="str">
        <f>IF(A379="","",IFERROR(IF(INDEX(激励事件明细!$P$2:$P$501,MATCH(T379,激励事件明细!$A$2:$A$501,0))=0,"",INDEX(激励事件明细!$P$2:$P$501,MATCH(T379,激励事件明细!$A$2:$A$501,0))),""))</f>
        <v/>
      </c>
      <c r="Q379" s="4" t="str">
        <f t="shared" si="33"/>
        <v>无效</v>
      </c>
      <c r="R379" s="4" t="str">
        <f t="shared" ca="1" si="34"/>
        <v>异常：必须关联有效事件编号或税额批次</v>
      </c>
      <c r="S379" s="9"/>
      <c r="T379" s="4" t="str">
        <f>IF(D379&lt;&gt;"",IF(COUNTIF(激励事件明细!$A$2:$A$501,D379)=1,D379,""),IF(E379&lt;&gt;"",IFERROR(INDEX(激励事件明细!$A$2:$A$501,MATCH(E379,激励事件明细!$B$2:$B$501,0)),""),""))</f>
        <v/>
      </c>
      <c r="U379" s="4" t="str">
        <f>IF(T379="","",IFERROR(INDEX(激励事件明细!$B$2:$B$501,MATCH(T379,激励事件明细!$A$2:$A$501,0)),""))</f>
        <v/>
      </c>
      <c r="V379" s="4" t="str">
        <f>IF(A379="","",COUNTIF($A$2:A379,A379))</f>
        <v/>
      </c>
      <c r="W379" s="4" t="str">
        <f t="shared" si="35"/>
        <v/>
      </c>
    </row>
    <row r="380" spans="1:23" x14ac:dyDescent="0.3">
      <c r="A380" s="4" t="str">
        <f>IF(T380="","",IFERROR(INDEX(激励事件明细!$C$2:$C$501,MATCH(T380,激励事件明细!$A$2:$A$501,0)),""))</f>
        <v/>
      </c>
      <c r="B380" s="4" t="str">
        <f>IF(A380="","",IFERROR(INDEX(激励事件明细!$D$2:$D$501,MATCH(T380,激励事件明细!$A$2:$A$501,0)),""))</f>
        <v/>
      </c>
      <c r="C380" s="4" t="str">
        <f>IF(A380="","",IFERROR(INDEX(激励事件明细!$H$2:$H$501,MATCH(T380,激励事件明细!$A$2:$A$501,0)),""))</f>
        <v/>
      </c>
      <c r="D380" s="9"/>
      <c r="E380" s="9"/>
      <c r="F380" s="15" t="str">
        <f>IF(A380="","",IFERROR(INDEX(激励事件明细!$AA$2:$AA$501,MATCH(T380,激励事件明细!$A$2:$A$501,0)),""))</f>
        <v/>
      </c>
      <c r="G380" s="17" t="str">
        <f>IF(A380="","",IFERROR(INDEX(激励事件明细!$AB$2:$AB$501,MATCH(T380,激励事件明细!$A$2:$A$501,0)),""))</f>
        <v/>
      </c>
      <c r="H380" s="17" t="str">
        <f>IF(A380="","",IFERROR(INDEX(激励事件明细!$AC$2:$AC$501,MATCH(T380,激励事件明细!$A$2:$A$501,0)),""))</f>
        <v/>
      </c>
      <c r="I380" s="13"/>
      <c r="J380" s="14"/>
      <c r="K380" s="14"/>
      <c r="L380" s="9"/>
      <c r="M380" s="15" t="str">
        <f t="shared" si="30"/>
        <v/>
      </c>
      <c r="N380" s="15" t="str">
        <f t="shared" si="31"/>
        <v/>
      </c>
      <c r="O380" s="4" t="str">
        <f t="shared" ca="1" si="32"/>
        <v/>
      </c>
      <c r="P380" s="17" t="str">
        <f>IF(A380="","",IFERROR(IF(INDEX(激励事件明细!$P$2:$P$501,MATCH(T380,激励事件明细!$A$2:$A$501,0))=0,"",INDEX(激励事件明细!$P$2:$P$501,MATCH(T380,激励事件明细!$A$2:$A$501,0))),""))</f>
        <v/>
      </c>
      <c r="Q380" s="4" t="str">
        <f t="shared" si="33"/>
        <v>无效</v>
      </c>
      <c r="R380" s="4" t="str">
        <f t="shared" ca="1" si="34"/>
        <v>异常：必须关联有效事件编号或税额批次</v>
      </c>
      <c r="S380" s="9"/>
      <c r="T380" s="4" t="str">
        <f>IF(D380&lt;&gt;"",IF(COUNTIF(激励事件明细!$A$2:$A$501,D380)=1,D380,""),IF(E380&lt;&gt;"",IFERROR(INDEX(激励事件明细!$A$2:$A$501,MATCH(E380,激励事件明细!$B$2:$B$501,0)),""),""))</f>
        <v/>
      </c>
      <c r="U380" s="4" t="str">
        <f>IF(T380="","",IFERROR(INDEX(激励事件明细!$B$2:$B$501,MATCH(T380,激励事件明细!$A$2:$A$501,0)),""))</f>
        <v/>
      </c>
      <c r="V380" s="4" t="str">
        <f>IF(A380="","",COUNTIF($A$2:A380,A380))</f>
        <v/>
      </c>
      <c r="W380" s="4" t="str">
        <f t="shared" si="35"/>
        <v/>
      </c>
    </row>
    <row r="381" spans="1:23" x14ac:dyDescent="0.3">
      <c r="A381" s="4" t="str">
        <f>IF(T381="","",IFERROR(INDEX(激励事件明细!$C$2:$C$501,MATCH(T381,激励事件明细!$A$2:$A$501,0)),""))</f>
        <v/>
      </c>
      <c r="B381" s="4" t="str">
        <f>IF(A381="","",IFERROR(INDEX(激励事件明细!$D$2:$D$501,MATCH(T381,激励事件明细!$A$2:$A$501,0)),""))</f>
        <v/>
      </c>
      <c r="C381" s="4" t="str">
        <f>IF(A381="","",IFERROR(INDEX(激励事件明细!$H$2:$H$501,MATCH(T381,激励事件明细!$A$2:$A$501,0)),""))</f>
        <v/>
      </c>
      <c r="D381" s="9"/>
      <c r="E381" s="9"/>
      <c r="F381" s="15" t="str">
        <f>IF(A381="","",IFERROR(INDEX(激励事件明细!$AA$2:$AA$501,MATCH(T381,激励事件明细!$A$2:$A$501,0)),""))</f>
        <v/>
      </c>
      <c r="G381" s="17" t="str">
        <f>IF(A381="","",IFERROR(INDEX(激励事件明细!$AB$2:$AB$501,MATCH(T381,激励事件明细!$A$2:$A$501,0)),""))</f>
        <v/>
      </c>
      <c r="H381" s="17" t="str">
        <f>IF(A381="","",IFERROR(INDEX(激励事件明细!$AC$2:$AC$501,MATCH(T381,激励事件明细!$A$2:$A$501,0)),""))</f>
        <v/>
      </c>
      <c r="I381" s="13"/>
      <c r="J381" s="14"/>
      <c r="K381" s="14"/>
      <c r="L381" s="9"/>
      <c r="M381" s="15" t="str">
        <f t="shared" si="30"/>
        <v/>
      </c>
      <c r="N381" s="15" t="str">
        <f t="shared" si="31"/>
        <v/>
      </c>
      <c r="O381" s="4" t="str">
        <f t="shared" ca="1" si="32"/>
        <v/>
      </c>
      <c r="P381" s="17" t="str">
        <f>IF(A381="","",IFERROR(IF(INDEX(激励事件明细!$P$2:$P$501,MATCH(T381,激励事件明细!$A$2:$A$501,0))=0,"",INDEX(激励事件明细!$P$2:$P$501,MATCH(T381,激励事件明细!$A$2:$A$501,0))),""))</f>
        <v/>
      </c>
      <c r="Q381" s="4" t="str">
        <f t="shared" si="33"/>
        <v>无效</v>
      </c>
      <c r="R381" s="4" t="str">
        <f t="shared" ca="1" si="34"/>
        <v>异常：必须关联有效事件编号或税额批次</v>
      </c>
      <c r="S381" s="9"/>
      <c r="T381" s="4" t="str">
        <f>IF(D381&lt;&gt;"",IF(COUNTIF(激励事件明细!$A$2:$A$501,D381)=1,D381,""),IF(E381&lt;&gt;"",IFERROR(INDEX(激励事件明细!$A$2:$A$501,MATCH(E381,激励事件明细!$B$2:$B$501,0)),""),""))</f>
        <v/>
      </c>
      <c r="U381" s="4" t="str">
        <f>IF(T381="","",IFERROR(INDEX(激励事件明细!$B$2:$B$501,MATCH(T381,激励事件明细!$A$2:$A$501,0)),""))</f>
        <v/>
      </c>
      <c r="V381" s="4" t="str">
        <f>IF(A381="","",COUNTIF($A$2:A381,A381))</f>
        <v/>
      </c>
      <c r="W381" s="4" t="str">
        <f t="shared" si="35"/>
        <v/>
      </c>
    </row>
    <row r="382" spans="1:23" x14ac:dyDescent="0.3">
      <c r="A382" s="4" t="str">
        <f>IF(T382="","",IFERROR(INDEX(激励事件明细!$C$2:$C$501,MATCH(T382,激励事件明细!$A$2:$A$501,0)),""))</f>
        <v/>
      </c>
      <c r="B382" s="4" t="str">
        <f>IF(A382="","",IFERROR(INDEX(激励事件明细!$D$2:$D$501,MATCH(T382,激励事件明细!$A$2:$A$501,0)),""))</f>
        <v/>
      </c>
      <c r="C382" s="4" t="str">
        <f>IF(A382="","",IFERROR(INDEX(激励事件明细!$H$2:$H$501,MATCH(T382,激励事件明细!$A$2:$A$501,0)),""))</f>
        <v/>
      </c>
      <c r="D382" s="9"/>
      <c r="E382" s="9"/>
      <c r="F382" s="15" t="str">
        <f>IF(A382="","",IFERROR(INDEX(激励事件明细!$AA$2:$AA$501,MATCH(T382,激励事件明细!$A$2:$A$501,0)),""))</f>
        <v/>
      </c>
      <c r="G382" s="17" t="str">
        <f>IF(A382="","",IFERROR(INDEX(激励事件明细!$AB$2:$AB$501,MATCH(T382,激励事件明细!$A$2:$A$501,0)),""))</f>
        <v/>
      </c>
      <c r="H382" s="17" t="str">
        <f>IF(A382="","",IFERROR(INDEX(激励事件明细!$AC$2:$AC$501,MATCH(T382,激励事件明细!$A$2:$A$501,0)),""))</f>
        <v/>
      </c>
      <c r="I382" s="13"/>
      <c r="J382" s="14"/>
      <c r="K382" s="14"/>
      <c r="L382" s="9"/>
      <c r="M382" s="15" t="str">
        <f t="shared" si="30"/>
        <v/>
      </c>
      <c r="N382" s="15" t="str">
        <f t="shared" si="31"/>
        <v/>
      </c>
      <c r="O382" s="4" t="str">
        <f t="shared" ca="1" si="32"/>
        <v/>
      </c>
      <c r="P382" s="17" t="str">
        <f>IF(A382="","",IFERROR(IF(INDEX(激励事件明细!$P$2:$P$501,MATCH(T382,激励事件明细!$A$2:$A$501,0))=0,"",INDEX(激励事件明细!$P$2:$P$501,MATCH(T382,激励事件明细!$A$2:$A$501,0))),""))</f>
        <v/>
      </c>
      <c r="Q382" s="4" t="str">
        <f t="shared" si="33"/>
        <v>无效</v>
      </c>
      <c r="R382" s="4" t="str">
        <f t="shared" ca="1" si="34"/>
        <v>异常：必须关联有效事件编号或税额批次</v>
      </c>
      <c r="S382" s="9"/>
      <c r="T382" s="4" t="str">
        <f>IF(D382&lt;&gt;"",IF(COUNTIF(激励事件明细!$A$2:$A$501,D382)=1,D382,""),IF(E382&lt;&gt;"",IFERROR(INDEX(激励事件明细!$A$2:$A$501,MATCH(E382,激励事件明细!$B$2:$B$501,0)),""),""))</f>
        <v/>
      </c>
      <c r="U382" s="4" t="str">
        <f>IF(T382="","",IFERROR(INDEX(激励事件明细!$B$2:$B$501,MATCH(T382,激励事件明细!$A$2:$A$501,0)),""))</f>
        <v/>
      </c>
      <c r="V382" s="4" t="str">
        <f>IF(A382="","",COUNTIF($A$2:A382,A382))</f>
        <v/>
      </c>
      <c r="W382" s="4" t="str">
        <f t="shared" si="35"/>
        <v/>
      </c>
    </row>
    <row r="383" spans="1:23" x14ac:dyDescent="0.3">
      <c r="A383" s="4" t="str">
        <f>IF(T383="","",IFERROR(INDEX(激励事件明细!$C$2:$C$501,MATCH(T383,激励事件明细!$A$2:$A$501,0)),""))</f>
        <v/>
      </c>
      <c r="B383" s="4" t="str">
        <f>IF(A383="","",IFERROR(INDEX(激励事件明细!$D$2:$D$501,MATCH(T383,激励事件明细!$A$2:$A$501,0)),""))</f>
        <v/>
      </c>
      <c r="C383" s="4" t="str">
        <f>IF(A383="","",IFERROR(INDEX(激励事件明细!$H$2:$H$501,MATCH(T383,激励事件明细!$A$2:$A$501,0)),""))</f>
        <v/>
      </c>
      <c r="D383" s="9"/>
      <c r="E383" s="9"/>
      <c r="F383" s="15" t="str">
        <f>IF(A383="","",IFERROR(INDEX(激励事件明细!$AA$2:$AA$501,MATCH(T383,激励事件明细!$A$2:$A$501,0)),""))</f>
        <v/>
      </c>
      <c r="G383" s="17" t="str">
        <f>IF(A383="","",IFERROR(INDEX(激励事件明细!$AB$2:$AB$501,MATCH(T383,激励事件明细!$A$2:$A$501,0)),""))</f>
        <v/>
      </c>
      <c r="H383" s="17" t="str">
        <f>IF(A383="","",IFERROR(INDEX(激励事件明细!$AC$2:$AC$501,MATCH(T383,激励事件明细!$A$2:$A$501,0)),""))</f>
        <v/>
      </c>
      <c r="I383" s="13"/>
      <c r="J383" s="14"/>
      <c r="K383" s="14"/>
      <c r="L383" s="9"/>
      <c r="M383" s="15" t="str">
        <f t="shared" si="30"/>
        <v/>
      </c>
      <c r="N383" s="15" t="str">
        <f t="shared" si="31"/>
        <v/>
      </c>
      <c r="O383" s="4" t="str">
        <f t="shared" ca="1" si="32"/>
        <v/>
      </c>
      <c r="P383" s="17" t="str">
        <f>IF(A383="","",IFERROR(IF(INDEX(激励事件明细!$P$2:$P$501,MATCH(T383,激励事件明细!$A$2:$A$501,0))=0,"",INDEX(激励事件明细!$P$2:$P$501,MATCH(T383,激励事件明细!$A$2:$A$501,0))),""))</f>
        <v/>
      </c>
      <c r="Q383" s="4" t="str">
        <f t="shared" si="33"/>
        <v>无效</v>
      </c>
      <c r="R383" s="4" t="str">
        <f t="shared" ca="1" si="34"/>
        <v>异常：必须关联有效事件编号或税额批次</v>
      </c>
      <c r="S383" s="9"/>
      <c r="T383" s="4" t="str">
        <f>IF(D383&lt;&gt;"",IF(COUNTIF(激励事件明细!$A$2:$A$501,D383)=1,D383,""),IF(E383&lt;&gt;"",IFERROR(INDEX(激励事件明细!$A$2:$A$501,MATCH(E383,激励事件明细!$B$2:$B$501,0)),""),""))</f>
        <v/>
      </c>
      <c r="U383" s="4" t="str">
        <f>IF(T383="","",IFERROR(INDEX(激励事件明细!$B$2:$B$501,MATCH(T383,激励事件明细!$A$2:$A$501,0)),""))</f>
        <v/>
      </c>
      <c r="V383" s="4" t="str">
        <f>IF(A383="","",COUNTIF($A$2:A383,A383))</f>
        <v/>
      </c>
      <c r="W383" s="4" t="str">
        <f t="shared" si="35"/>
        <v/>
      </c>
    </row>
    <row r="384" spans="1:23" x14ac:dyDescent="0.3">
      <c r="A384" s="4" t="str">
        <f>IF(T384="","",IFERROR(INDEX(激励事件明细!$C$2:$C$501,MATCH(T384,激励事件明细!$A$2:$A$501,0)),""))</f>
        <v/>
      </c>
      <c r="B384" s="4" t="str">
        <f>IF(A384="","",IFERROR(INDEX(激励事件明细!$D$2:$D$501,MATCH(T384,激励事件明细!$A$2:$A$501,0)),""))</f>
        <v/>
      </c>
      <c r="C384" s="4" t="str">
        <f>IF(A384="","",IFERROR(INDEX(激励事件明细!$H$2:$H$501,MATCH(T384,激励事件明细!$A$2:$A$501,0)),""))</f>
        <v/>
      </c>
      <c r="D384" s="9"/>
      <c r="E384" s="9"/>
      <c r="F384" s="15" t="str">
        <f>IF(A384="","",IFERROR(INDEX(激励事件明细!$AA$2:$AA$501,MATCH(T384,激励事件明细!$A$2:$A$501,0)),""))</f>
        <v/>
      </c>
      <c r="G384" s="17" t="str">
        <f>IF(A384="","",IFERROR(INDEX(激励事件明细!$AB$2:$AB$501,MATCH(T384,激励事件明细!$A$2:$A$501,0)),""))</f>
        <v/>
      </c>
      <c r="H384" s="17" t="str">
        <f>IF(A384="","",IFERROR(INDEX(激励事件明细!$AC$2:$AC$501,MATCH(T384,激励事件明细!$A$2:$A$501,0)),""))</f>
        <v/>
      </c>
      <c r="I384" s="13"/>
      <c r="J384" s="14"/>
      <c r="K384" s="14"/>
      <c r="L384" s="9"/>
      <c r="M384" s="15" t="str">
        <f t="shared" si="30"/>
        <v/>
      </c>
      <c r="N384" s="15" t="str">
        <f t="shared" si="31"/>
        <v/>
      </c>
      <c r="O384" s="4" t="str">
        <f t="shared" ca="1" si="32"/>
        <v/>
      </c>
      <c r="P384" s="17" t="str">
        <f>IF(A384="","",IFERROR(IF(INDEX(激励事件明细!$P$2:$P$501,MATCH(T384,激励事件明细!$A$2:$A$501,0))=0,"",INDEX(激励事件明细!$P$2:$P$501,MATCH(T384,激励事件明细!$A$2:$A$501,0))),""))</f>
        <v/>
      </c>
      <c r="Q384" s="4" t="str">
        <f t="shared" si="33"/>
        <v>无效</v>
      </c>
      <c r="R384" s="4" t="str">
        <f t="shared" ca="1" si="34"/>
        <v>异常：必须关联有效事件编号或税额批次</v>
      </c>
      <c r="S384" s="9"/>
      <c r="T384" s="4" t="str">
        <f>IF(D384&lt;&gt;"",IF(COUNTIF(激励事件明细!$A$2:$A$501,D384)=1,D384,""),IF(E384&lt;&gt;"",IFERROR(INDEX(激励事件明细!$A$2:$A$501,MATCH(E384,激励事件明细!$B$2:$B$501,0)),""),""))</f>
        <v/>
      </c>
      <c r="U384" s="4" t="str">
        <f>IF(T384="","",IFERROR(INDEX(激励事件明细!$B$2:$B$501,MATCH(T384,激励事件明细!$A$2:$A$501,0)),""))</f>
        <v/>
      </c>
      <c r="V384" s="4" t="str">
        <f>IF(A384="","",COUNTIF($A$2:A384,A384))</f>
        <v/>
      </c>
      <c r="W384" s="4" t="str">
        <f t="shared" si="35"/>
        <v/>
      </c>
    </row>
    <row r="385" spans="1:23" x14ac:dyDescent="0.3">
      <c r="A385" s="4" t="str">
        <f>IF(T385="","",IFERROR(INDEX(激励事件明细!$C$2:$C$501,MATCH(T385,激励事件明细!$A$2:$A$501,0)),""))</f>
        <v/>
      </c>
      <c r="B385" s="4" t="str">
        <f>IF(A385="","",IFERROR(INDEX(激励事件明细!$D$2:$D$501,MATCH(T385,激励事件明细!$A$2:$A$501,0)),""))</f>
        <v/>
      </c>
      <c r="C385" s="4" t="str">
        <f>IF(A385="","",IFERROR(INDEX(激励事件明细!$H$2:$H$501,MATCH(T385,激励事件明细!$A$2:$A$501,0)),""))</f>
        <v/>
      </c>
      <c r="D385" s="9"/>
      <c r="E385" s="9"/>
      <c r="F385" s="15" t="str">
        <f>IF(A385="","",IFERROR(INDEX(激励事件明细!$AA$2:$AA$501,MATCH(T385,激励事件明细!$A$2:$A$501,0)),""))</f>
        <v/>
      </c>
      <c r="G385" s="17" t="str">
        <f>IF(A385="","",IFERROR(INDEX(激励事件明细!$AB$2:$AB$501,MATCH(T385,激励事件明细!$A$2:$A$501,0)),""))</f>
        <v/>
      </c>
      <c r="H385" s="17" t="str">
        <f>IF(A385="","",IFERROR(INDEX(激励事件明细!$AC$2:$AC$501,MATCH(T385,激励事件明细!$A$2:$A$501,0)),""))</f>
        <v/>
      </c>
      <c r="I385" s="13"/>
      <c r="J385" s="14"/>
      <c r="K385" s="14"/>
      <c r="L385" s="9"/>
      <c r="M385" s="15" t="str">
        <f t="shared" si="30"/>
        <v/>
      </c>
      <c r="N385" s="15" t="str">
        <f t="shared" si="31"/>
        <v/>
      </c>
      <c r="O385" s="4" t="str">
        <f t="shared" ca="1" si="32"/>
        <v/>
      </c>
      <c r="P385" s="17" t="str">
        <f>IF(A385="","",IFERROR(IF(INDEX(激励事件明细!$P$2:$P$501,MATCH(T385,激励事件明细!$A$2:$A$501,0))=0,"",INDEX(激励事件明细!$P$2:$P$501,MATCH(T385,激励事件明细!$A$2:$A$501,0))),""))</f>
        <v/>
      </c>
      <c r="Q385" s="4" t="str">
        <f t="shared" si="33"/>
        <v>无效</v>
      </c>
      <c r="R385" s="4" t="str">
        <f t="shared" ca="1" si="34"/>
        <v>异常：必须关联有效事件编号或税额批次</v>
      </c>
      <c r="S385" s="9"/>
      <c r="T385" s="4" t="str">
        <f>IF(D385&lt;&gt;"",IF(COUNTIF(激励事件明细!$A$2:$A$501,D385)=1,D385,""),IF(E385&lt;&gt;"",IFERROR(INDEX(激励事件明细!$A$2:$A$501,MATCH(E385,激励事件明细!$B$2:$B$501,0)),""),""))</f>
        <v/>
      </c>
      <c r="U385" s="4" t="str">
        <f>IF(T385="","",IFERROR(INDEX(激励事件明细!$B$2:$B$501,MATCH(T385,激励事件明细!$A$2:$A$501,0)),""))</f>
        <v/>
      </c>
      <c r="V385" s="4" t="str">
        <f>IF(A385="","",COUNTIF($A$2:A385,A385))</f>
        <v/>
      </c>
      <c r="W385" s="4" t="str">
        <f t="shared" si="35"/>
        <v/>
      </c>
    </row>
    <row r="386" spans="1:23" x14ac:dyDescent="0.3">
      <c r="A386" s="4" t="str">
        <f>IF(T386="","",IFERROR(INDEX(激励事件明细!$C$2:$C$501,MATCH(T386,激励事件明细!$A$2:$A$501,0)),""))</f>
        <v/>
      </c>
      <c r="B386" s="4" t="str">
        <f>IF(A386="","",IFERROR(INDEX(激励事件明细!$D$2:$D$501,MATCH(T386,激励事件明细!$A$2:$A$501,0)),""))</f>
        <v/>
      </c>
      <c r="C386" s="4" t="str">
        <f>IF(A386="","",IFERROR(INDEX(激励事件明细!$H$2:$H$501,MATCH(T386,激励事件明细!$A$2:$A$501,0)),""))</f>
        <v/>
      </c>
      <c r="D386" s="9"/>
      <c r="E386" s="9"/>
      <c r="F386" s="15" t="str">
        <f>IF(A386="","",IFERROR(INDEX(激励事件明细!$AA$2:$AA$501,MATCH(T386,激励事件明细!$A$2:$A$501,0)),""))</f>
        <v/>
      </c>
      <c r="G386" s="17" t="str">
        <f>IF(A386="","",IFERROR(INDEX(激励事件明细!$AB$2:$AB$501,MATCH(T386,激励事件明细!$A$2:$A$501,0)),""))</f>
        <v/>
      </c>
      <c r="H386" s="17" t="str">
        <f>IF(A386="","",IFERROR(INDEX(激励事件明细!$AC$2:$AC$501,MATCH(T386,激励事件明细!$A$2:$A$501,0)),""))</f>
        <v/>
      </c>
      <c r="I386" s="13"/>
      <c r="J386" s="14"/>
      <c r="K386" s="14"/>
      <c r="L386" s="9"/>
      <c r="M386" s="15" t="str">
        <f t="shared" ref="M386:M449" si="36">IF(T386="","",SUMIFS($K$2:$K$501,$T$2:$T$501,T386,$Q$2:$Q$501,"有效"))</f>
        <v/>
      </c>
      <c r="N386" s="15" t="str">
        <f t="shared" ref="N386:N449" si="37">IF(F386="","",MAX(0,F386-M386))</f>
        <v/>
      </c>
      <c r="O386" s="4" t="str">
        <f t="shared" ref="O386:O449" ca="1" si="38">IF(A386="","",IF(AND(I386&lt;&gt;"",I386&gt;H386),"是",IF(AND(TODAY()&gt;H386,N386&gt;0),"是","否")))</f>
        <v/>
      </c>
      <c r="P386" s="17" t="str">
        <f>IF(A386="","",IFERROR(IF(INDEX(激励事件明细!$P$2:$P$501,MATCH(T386,激励事件明细!$A$2:$A$501,0))=0,"",INDEX(激励事件明细!$P$2:$P$501,MATCH(T386,激励事件明细!$A$2:$A$501,0))),""))</f>
        <v/>
      </c>
      <c r="Q386" s="4" t="str">
        <f t="shared" ref="Q386:Q449" si="39">IF(AND(D386="",E386=""),"无效",IF(T386="","无效",IF(AND(D386&lt;&gt;"",E386&lt;&gt;"",U386&lt;&gt;E386),"冲突","有效")))</f>
        <v>无效</v>
      </c>
      <c r="R386" s="4" t="str">
        <f t="shared" ref="R386:R449" ca="1" si="40">IF(Q386="冲突","异常：事件编号与税额批次冲突",IF(Q386="无效","异常：必须关联有效事件编号或税额批次",IF(AND(ISNUMBER(P386),P386&gt;0,ISNUMBER(I386),K386&gt;0,I386&gt;P386),"异常：离职后缴税",IF(M386&gt;F386,"异常：本批次超额缴税",IF(AND(I386&lt;&gt;"",I386&gt;H386),"异常：超过事件截止日",IF(AND(ISNUMBER(P386),P386&gt;0,TODAY()&gt;=P386,N386&gt;0),"异常：离职前未缴清","正常"))))))</f>
        <v>异常：必须关联有效事件编号或税额批次</v>
      </c>
      <c r="S386" s="9"/>
      <c r="T386" s="4" t="str">
        <f>IF(D386&lt;&gt;"",IF(COUNTIF(激励事件明细!$A$2:$A$501,D386)=1,D386,""),IF(E386&lt;&gt;"",IFERROR(INDEX(激励事件明细!$A$2:$A$501,MATCH(E386,激励事件明细!$B$2:$B$501,0)),""),""))</f>
        <v/>
      </c>
      <c r="U386" s="4" t="str">
        <f>IF(T386="","",IFERROR(INDEX(激励事件明细!$B$2:$B$501,MATCH(T386,激励事件明细!$A$2:$A$501,0)),""))</f>
        <v/>
      </c>
      <c r="V386" s="4" t="str">
        <f>IF(A386="","",COUNTIF($A$2:A386,A386))</f>
        <v/>
      </c>
      <c r="W386" s="4" t="str">
        <f t="shared" ref="W386:W449" si="41">IF(A386="","",A386&amp;"|"&amp;V386)</f>
        <v/>
      </c>
    </row>
    <row r="387" spans="1:23" x14ac:dyDescent="0.3">
      <c r="A387" s="4" t="str">
        <f>IF(T387="","",IFERROR(INDEX(激励事件明细!$C$2:$C$501,MATCH(T387,激励事件明细!$A$2:$A$501,0)),""))</f>
        <v/>
      </c>
      <c r="B387" s="4" t="str">
        <f>IF(A387="","",IFERROR(INDEX(激励事件明细!$D$2:$D$501,MATCH(T387,激励事件明细!$A$2:$A$501,0)),""))</f>
        <v/>
      </c>
      <c r="C387" s="4" t="str">
        <f>IF(A387="","",IFERROR(INDEX(激励事件明细!$H$2:$H$501,MATCH(T387,激励事件明细!$A$2:$A$501,0)),""))</f>
        <v/>
      </c>
      <c r="D387" s="9"/>
      <c r="E387" s="9"/>
      <c r="F387" s="15" t="str">
        <f>IF(A387="","",IFERROR(INDEX(激励事件明细!$AA$2:$AA$501,MATCH(T387,激励事件明细!$A$2:$A$501,0)),""))</f>
        <v/>
      </c>
      <c r="G387" s="17" t="str">
        <f>IF(A387="","",IFERROR(INDEX(激励事件明细!$AB$2:$AB$501,MATCH(T387,激励事件明细!$A$2:$A$501,0)),""))</f>
        <v/>
      </c>
      <c r="H387" s="17" t="str">
        <f>IF(A387="","",IFERROR(INDEX(激励事件明细!$AC$2:$AC$501,MATCH(T387,激励事件明细!$A$2:$A$501,0)),""))</f>
        <v/>
      </c>
      <c r="I387" s="13"/>
      <c r="J387" s="14"/>
      <c r="K387" s="14"/>
      <c r="L387" s="9"/>
      <c r="M387" s="15" t="str">
        <f t="shared" si="36"/>
        <v/>
      </c>
      <c r="N387" s="15" t="str">
        <f t="shared" si="37"/>
        <v/>
      </c>
      <c r="O387" s="4" t="str">
        <f t="shared" ca="1" si="38"/>
        <v/>
      </c>
      <c r="P387" s="17" t="str">
        <f>IF(A387="","",IFERROR(IF(INDEX(激励事件明细!$P$2:$P$501,MATCH(T387,激励事件明细!$A$2:$A$501,0))=0,"",INDEX(激励事件明细!$P$2:$P$501,MATCH(T387,激励事件明细!$A$2:$A$501,0))),""))</f>
        <v/>
      </c>
      <c r="Q387" s="4" t="str">
        <f t="shared" si="39"/>
        <v>无效</v>
      </c>
      <c r="R387" s="4" t="str">
        <f t="shared" ca="1" si="40"/>
        <v>异常：必须关联有效事件编号或税额批次</v>
      </c>
      <c r="S387" s="9"/>
      <c r="T387" s="4" t="str">
        <f>IF(D387&lt;&gt;"",IF(COUNTIF(激励事件明细!$A$2:$A$501,D387)=1,D387,""),IF(E387&lt;&gt;"",IFERROR(INDEX(激励事件明细!$A$2:$A$501,MATCH(E387,激励事件明细!$B$2:$B$501,0)),""),""))</f>
        <v/>
      </c>
      <c r="U387" s="4" t="str">
        <f>IF(T387="","",IFERROR(INDEX(激励事件明细!$B$2:$B$501,MATCH(T387,激励事件明细!$A$2:$A$501,0)),""))</f>
        <v/>
      </c>
      <c r="V387" s="4" t="str">
        <f>IF(A387="","",COUNTIF($A$2:A387,A387))</f>
        <v/>
      </c>
      <c r="W387" s="4" t="str">
        <f t="shared" si="41"/>
        <v/>
      </c>
    </row>
    <row r="388" spans="1:23" x14ac:dyDescent="0.3">
      <c r="A388" s="4" t="str">
        <f>IF(T388="","",IFERROR(INDEX(激励事件明细!$C$2:$C$501,MATCH(T388,激励事件明细!$A$2:$A$501,0)),""))</f>
        <v/>
      </c>
      <c r="B388" s="4" t="str">
        <f>IF(A388="","",IFERROR(INDEX(激励事件明细!$D$2:$D$501,MATCH(T388,激励事件明细!$A$2:$A$501,0)),""))</f>
        <v/>
      </c>
      <c r="C388" s="4" t="str">
        <f>IF(A388="","",IFERROR(INDEX(激励事件明细!$H$2:$H$501,MATCH(T388,激励事件明细!$A$2:$A$501,0)),""))</f>
        <v/>
      </c>
      <c r="D388" s="9"/>
      <c r="E388" s="9"/>
      <c r="F388" s="15" t="str">
        <f>IF(A388="","",IFERROR(INDEX(激励事件明细!$AA$2:$AA$501,MATCH(T388,激励事件明细!$A$2:$A$501,0)),""))</f>
        <v/>
      </c>
      <c r="G388" s="17" t="str">
        <f>IF(A388="","",IFERROR(INDEX(激励事件明细!$AB$2:$AB$501,MATCH(T388,激励事件明细!$A$2:$A$501,0)),""))</f>
        <v/>
      </c>
      <c r="H388" s="17" t="str">
        <f>IF(A388="","",IFERROR(INDEX(激励事件明细!$AC$2:$AC$501,MATCH(T388,激励事件明细!$A$2:$A$501,0)),""))</f>
        <v/>
      </c>
      <c r="I388" s="13"/>
      <c r="J388" s="14"/>
      <c r="K388" s="14"/>
      <c r="L388" s="9"/>
      <c r="M388" s="15" t="str">
        <f t="shared" si="36"/>
        <v/>
      </c>
      <c r="N388" s="15" t="str">
        <f t="shared" si="37"/>
        <v/>
      </c>
      <c r="O388" s="4" t="str">
        <f t="shared" ca="1" si="38"/>
        <v/>
      </c>
      <c r="P388" s="17" t="str">
        <f>IF(A388="","",IFERROR(IF(INDEX(激励事件明细!$P$2:$P$501,MATCH(T388,激励事件明细!$A$2:$A$501,0))=0,"",INDEX(激励事件明细!$P$2:$P$501,MATCH(T388,激励事件明细!$A$2:$A$501,0))),""))</f>
        <v/>
      </c>
      <c r="Q388" s="4" t="str">
        <f t="shared" si="39"/>
        <v>无效</v>
      </c>
      <c r="R388" s="4" t="str">
        <f t="shared" ca="1" si="40"/>
        <v>异常：必须关联有效事件编号或税额批次</v>
      </c>
      <c r="S388" s="9"/>
      <c r="T388" s="4" t="str">
        <f>IF(D388&lt;&gt;"",IF(COUNTIF(激励事件明细!$A$2:$A$501,D388)=1,D388,""),IF(E388&lt;&gt;"",IFERROR(INDEX(激励事件明细!$A$2:$A$501,MATCH(E388,激励事件明细!$B$2:$B$501,0)),""),""))</f>
        <v/>
      </c>
      <c r="U388" s="4" t="str">
        <f>IF(T388="","",IFERROR(INDEX(激励事件明细!$B$2:$B$501,MATCH(T388,激励事件明细!$A$2:$A$501,0)),""))</f>
        <v/>
      </c>
      <c r="V388" s="4" t="str">
        <f>IF(A388="","",COUNTIF($A$2:A388,A388))</f>
        <v/>
      </c>
      <c r="W388" s="4" t="str">
        <f t="shared" si="41"/>
        <v/>
      </c>
    </row>
    <row r="389" spans="1:23" x14ac:dyDescent="0.3">
      <c r="A389" s="4" t="str">
        <f>IF(T389="","",IFERROR(INDEX(激励事件明细!$C$2:$C$501,MATCH(T389,激励事件明细!$A$2:$A$501,0)),""))</f>
        <v/>
      </c>
      <c r="B389" s="4" t="str">
        <f>IF(A389="","",IFERROR(INDEX(激励事件明细!$D$2:$D$501,MATCH(T389,激励事件明细!$A$2:$A$501,0)),""))</f>
        <v/>
      </c>
      <c r="C389" s="4" t="str">
        <f>IF(A389="","",IFERROR(INDEX(激励事件明细!$H$2:$H$501,MATCH(T389,激励事件明细!$A$2:$A$501,0)),""))</f>
        <v/>
      </c>
      <c r="D389" s="9"/>
      <c r="E389" s="9"/>
      <c r="F389" s="15" t="str">
        <f>IF(A389="","",IFERROR(INDEX(激励事件明细!$AA$2:$AA$501,MATCH(T389,激励事件明细!$A$2:$A$501,0)),""))</f>
        <v/>
      </c>
      <c r="G389" s="17" t="str">
        <f>IF(A389="","",IFERROR(INDEX(激励事件明细!$AB$2:$AB$501,MATCH(T389,激励事件明细!$A$2:$A$501,0)),""))</f>
        <v/>
      </c>
      <c r="H389" s="17" t="str">
        <f>IF(A389="","",IFERROR(INDEX(激励事件明细!$AC$2:$AC$501,MATCH(T389,激励事件明细!$A$2:$A$501,0)),""))</f>
        <v/>
      </c>
      <c r="I389" s="13"/>
      <c r="J389" s="14"/>
      <c r="K389" s="14"/>
      <c r="L389" s="9"/>
      <c r="M389" s="15" t="str">
        <f t="shared" si="36"/>
        <v/>
      </c>
      <c r="N389" s="15" t="str">
        <f t="shared" si="37"/>
        <v/>
      </c>
      <c r="O389" s="4" t="str">
        <f t="shared" ca="1" si="38"/>
        <v/>
      </c>
      <c r="P389" s="17" t="str">
        <f>IF(A389="","",IFERROR(IF(INDEX(激励事件明细!$P$2:$P$501,MATCH(T389,激励事件明细!$A$2:$A$501,0))=0,"",INDEX(激励事件明细!$P$2:$P$501,MATCH(T389,激励事件明细!$A$2:$A$501,0))),""))</f>
        <v/>
      </c>
      <c r="Q389" s="4" t="str">
        <f t="shared" si="39"/>
        <v>无效</v>
      </c>
      <c r="R389" s="4" t="str">
        <f t="shared" ca="1" si="40"/>
        <v>异常：必须关联有效事件编号或税额批次</v>
      </c>
      <c r="S389" s="9"/>
      <c r="T389" s="4" t="str">
        <f>IF(D389&lt;&gt;"",IF(COUNTIF(激励事件明细!$A$2:$A$501,D389)=1,D389,""),IF(E389&lt;&gt;"",IFERROR(INDEX(激励事件明细!$A$2:$A$501,MATCH(E389,激励事件明细!$B$2:$B$501,0)),""),""))</f>
        <v/>
      </c>
      <c r="U389" s="4" t="str">
        <f>IF(T389="","",IFERROR(INDEX(激励事件明细!$B$2:$B$501,MATCH(T389,激励事件明细!$A$2:$A$501,0)),""))</f>
        <v/>
      </c>
      <c r="V389" s="4" t="str">
        <f>IF(A389="","",COUNTIF($A$2:A389,A389))</f>
        <v/>
      </c>
      <c r="W389" s="4" t="str">
        <f t="shared" si="41"/>
        <v/>
      </c>
    </row>
    <row r="390" spans="1:23" x14ac:dyDescent="0.3">
      <c r="A390" s="4" t="str">
        <f>IF(T390="","",IFERROR(INDEX(激励事件明细!$C$2:$C$501,MATCH(T390,激励事件明细!$A$2:$A$501,0)),""))</f>
        <v/>
      </c>
      <c r="B390" s="4" t="str">
        <f>IF(A390="","",IFERROR(INDEX(激励事件明细!$D$2:$D$501,MATCH(T390,激励事件明细!$A$2:$A$501,0)),""))</f>
        <v/>
      </c>
      <c r="C390" s="4" t="str">
        <f>IF(A390="","",IFERROR(INDEX(激励事件明细!$H$2:$H$501,MATCH(T390,激励事件明细!$A$2:$A$501,0)),""))</f>
        <v/>
      </c>
      <c r="D390" s="9"/>
      <c r="E390" s="9"/>
      <c r="F390" s="15" t="str">
        <f>IF(A390="","",IFERROR(INDEX(激励事件明细!$AA$2:$AA$501,MATCH(T390,激励事件明细!$A$2:$A$501,0)),""))</f>
        <v/>
      </c>
      <c r="G390" s="17" t="str">
        <f>IF(A390="","",IFERROR(INDEX(激励事件明细!$AB$2:$AB$501,MATCH(T390,激励事件明细!$A$2:$A$501,0)),""))</f>
        <v/>
      </c>
      <c r="H390" s="17" t="str">
        <f>IF(A390="","",IFERROR(INDEX(激励事件明细!$AC$2:$AC$501,MATCH(T390,激励事件明细!$A$2:$A$501,0)),""))</f>
        <v/>
      </c>
      <c r="I390" s="13"/>
      <c r="J390" s="14"/>
      <c r="K390" s="14"/>
      <c r="L390" s="9"/>
      <c r="M390" s="15" t="str">
        <f t="shared" si="36"/>
        <v/>
      </c>
      <c r="N390" s="15" t="str">
        <f t="shared" si="37"/>
        <v/>
      </c>
      <c r="O390" s="4" t="str">
        <f t="shared" ca="1" si="38"/>
        <v/>
      </c>
      <c r="P390" s="17" t="str">
        <f>IF(A390="","",IFERROR(IF(INDEX(激励事件明细!$P$2:$P$501,MATCH(T390,激励事件明细!$A$2:$A$501,0))=0,"",INDEX(激励事件明细!$P$2:$P$501,MATCH(T390,激励事件明细!$A$2:$A$501,0))),""))</f>
        <v/>
      </c>
      <c r="Q390" s="4" t="str">
        <f t="shared" si="39"/>
        <v>无效</v>
      </c>
      <c r="R390" s="4" t="str">
        <f t="shared" ca="1" si="40"/>
        <v>异常：必须关联有效事件编号或税额批次</v>
      </c>
      <c r="S390" s="9"/>
      <c r="T390" s="4" t="str">
        <f>IF(D390&lt;&gt;"",IF(COUNTIF(激励事件明细!$A$2:$A$501,D390)=1,D390,""),IF(E390&lt;&gt;"",IFERROR(INDEX(激励事件明细!$A$2:$A$501,MATCH(E390,激励事件明细!$B$2:$B$501,0)),""),""))</f>
        <v/>
      </c>
      <c r="U390" s="4" t="str">
        <f>IF(T390="","",IFERROR(INDEX(激励事件明细!$B$2:$B$501,MATCH(T390,激励事件明细!$A$2:$A$501,0)),""))</f>
        <v/>
      </c>
      <c r="V390" s="4" t="str">
        <f>IF(A390="","",COUNTIF($A$2:A390,A390))</f>
        <v/>
      </c>
      <c r="W390" s="4" t="str">
        <f t="shared" si="41"/>
        <v/>
      </c>
    </row>
    <row r="391" spans="1:23" x14ac:dyDescent="0.3">
      <c r="A391" s="4" t="str">
        <f>IF(T391="","",IFERROR(INDEX(激励事件明细!$C$2:$C$501,MATCH(T391,激励事件明细!$A$2:$A$501,0)),""))</f>
        <v/>
      </c>
      <c r="B391" s="4" t="str">
        <f>IF(A391="","",IFERROR(INDEX(激励事件明细!$D$2:$D$501,MATCH(T391,激励事件明细!$A$2:$A$501,0)),""))</f>
        <v/>
      </c>
      <c r="C391" s="4" t="str">
        <f>IF(A391="","",IFERROR(INDEX(激励事件明细!$H$2:$H$501,MATCH(T391,激励事件明细!$A$2:$A$501,0)),""))</f>
        <v/>
      </c>
      <c r="D391" s="9"/>
      <c r="E391" s="9"/>
      <c r="F391" s="15" t="str">
        <f>IF(A391="","",IFERROR(INDEX(激励事件明细!$AA$2:$AA$501,MATCH(T391,激励事件明细!$A$2:$A$501,0)),""))</f>
        <v/>
      </c>
      <c r="G391" s="17" t="str">
        <f>IF(A391="","",IFERROR(INDEX(激励事件明细!$AB$2:$AB$501,MATCH(T391,激励事件明细!$A$2:$A$501,0)),""))</f>
        <v/>
      </c>
      <c r="H391" s="17" t="str">
        <f>IF(A391="","",IFERROR(INDEX(激励事件明细!$AC$2:$AC$501,MATCH(T391,激励事件明细!$A$2:$A$501,0)),""))</f>
        <v/>
      </c>
      <c r="I391" s="13"/>
      <c r="J391" s="14"/>
      <c r="K391" s="14"/>
      <c r="L391" s="9"/>
      <c r="M391" s="15" t="str">
        <f t="shared" si="36"/>
        <v/>
      </c>
      <c r="N391" s="15" t="str">
        <f t="shared" si="37"/>
        <v/>
      </c>
      <c r="O391" s="4" t="str">
        <f t="shared" ca="1" si="38"/>
        <v/>
      </c>
      <c r="P391" s="17" t="str">
        <f>IF(A391="","",IFERROR(IF(INDEX(激励事件明细!$P$2:$P$501,MATCH(T391,激励事件明细!$A$2:$A$501,0))=0,"",INDEX(激励事件明细!$P$2:$P$501,MATCH(T391,激励事件明细!$A$2:$A$501,0))),""))</f>
        <v/>
      </c>
      <c r="Q391" s="4" t="str">
        <f t="shared" si="39"/>
        <v>无效</v>
      </c>
      <c r="R391" s="4" t="str">
        <f t="shared" ca="1" si="40"/>
        <v>异常：必须关联有效事件编号或税额批次</v>
      </c>
      <c r="S391" s="9"/>
      <c r="T391" s="4" t="str">
        <f>IF(D391&lt;&gt;"",IF(COUNTIF(激励事件明细!$A$2:$A$501,D391)=1,D391,""),IF(E391&lt;&gt;"",IFERROR(INDEX(激励事件明细!$A$2:$A$501,MATCH(E391,激励事件明细!$B$2:$B$501,0)),""),""))</f>
        <v/>
      </c>
      <c r="U391" s="4" t="str">
        <f>IF(T391="","",IFERROR(INDEX(激励事件明细!$B$2:$B$501,MATCH(T391,激励事件明细!$A$2:$A$501,0)),""))</f>
        <v/>
      </c>
      <c r="V391" s="4" t="str">
        <f>IF(A391="","",COUNTIF($A$2:A391,A391))</f>
        <v/>
      </c>
      <c r="W391" s="4" t="str">
        <f t="shared" si="41"/>
        <v/>
      </c>
    </row>
    <row r="392" spans="1:23" x14ac:dyDescent="0.3">
      <c r="A392" s="4" t="str">
        <f>IF(T392="","",IFERROR(INDEX(激励事件明细!$C$2:$C$501,MATCH(T392,激励事件明细!$A$2:$A$501,0)),""))</f>
        <v/>
      </c>
      <c r="B392" s="4" t="str">
        <f>IF(A392="","",IFERROR(INDEX(激励事件明细!$D$2:$D$501,MATCH(T392,激励事件明细!$A$2:$A$501,0)),""))</f>
        <v/>
      </c>
      <c r="C392" s="4" t="str">
        <f>IF(A392="","",IFERROR(INDEX(激励事件明细!$H$2:$H$501,MATCH(T392,激励事件明细!$A$2:$A$501,0)),""))</f>
        <v/>
      </c>
      <c r="D392" s="9"/>
      <c r="E392" s="9"/>
      <c r="F392" s="15" t="str">
        <f>IF(A392="","",IFERROR(INDEX(激励事件明细!$AA$2:$AA$501,MATCH(T392,激励事件明细!$A$2:$A$501,0)),""))</f>
        <v/>
      </c>
      <c r="G392" s="17" t="str">
        <f>IF(A392="","",IFERROR(INDEX(激励事件明细!$AB$2:$AB$501,MATCH(T392,激励事件明细!$A$2:$A$501,0)),""))</f>
        <v/>
      </c>
      <c r="H392" s="17" t="str">
        <f>IF(A392="","",IFERROR(INDEX(激励事件明细!$AC$2:$AC$501,MATCH(T392,激励事件明细!$A$2:$A$501,0)),""))</f>
        <v/>
      </c>
      <c r="I392" s="13"/>
      <c r="J392" s="14"/>
      <c r="K392" s="14"/>
      <c r="L392" s="9"/>
      <c r="M392" s="15" t="str">
        <f t="shared" si="36"/>
        <v/>
      </c>
      <c r="N392" s="15" t="str">
        <f t="shared" si="37"/>
        <v/>
      </c>
      <c r="O392" s="4" t="str">
        <f t="shared" ca="1" si="38"/>
        <v/>
      </c>
      <c r="P392" s="17" t="str">
        <f>IF(A392="","",IFERROR(IF(INDEX(激励事件明细!$P$2:$P$501,MATCH(T392,激励事件明细!$A$2:$A$501,0))=0,"",INDEX(激励事件明细!$P$2:$P$501,MATCH(T392,激励事件明细!$A$2:$A$501,0))),""))</f>
        <v/>
      </c>
      <c r="Q392" s="4" t="str">
        <f t="shared" si="39"/>
        <v>无效</v>
      </c>
      <c r="R392" s="4" t="str">
        <f t="shared" ca="1" si="40"/>
        <v>异常：必须关联有效事件编号或税额批次</v>
      </c>
      <c r="S392" s="9"/>
      <c r="T392" s="4" t="str">
        <f>IF(D392&lt;&gt;"",IF(COUNTIF(激励事件明细!$A$2:$A$501,D392)=1,D392,""),IF(E392&lt;&gt;"",IFERROR(INDEX(激励事件明细!$A$2:$A$501,MATCH(E392,激励事件明细!$B$2:$B$501,0)),""),""))</f>
        <v/>
      </c>
      <c r="U392" s="4" t="str">
        <f>IF(T392="","",IFERROR(INDEX(激励事件明细!$B$2:$B$501,MATCH(T392,激励事件明细!$A$2:$A$501,0)),""))</f>
        <v/>
      </c>
      <c r="V392" s="4" t="str">
        <f>IF(A392="","",COUNTIF($A$2:A392,A392))</f>
        <v/>
      </c>
      <c r="W392" s="4" t="str">
        <f t="shared" si="41"/>
        <v/>
      </c>
    </row>
    <row r="393" spans="1:23" x14ac:dyDescent="0.3">
      <c r="A393" s="4" t="str">
        <f>IF(T393="","",IFERROR(INDEX(激励事件明细!$C$2:$C$501,MATCH(T393,激励事件明细!$A$2:$A$501,0)),""))</f>
        <v/>
      </c>
      <c r="B393" s="4" t="str">
        <f>IF(A393="","",IFERROR(INDEX(激励事件明细!$D$2:$D$501,MATCH(T393,激励事件明细!$A$2:$A$501,0)),""))</f>
        <v/>
      </c>
      <c r="C393" s="4" t="str">
        <f>IF(A393="","",IFERROR(INDEX(激励事件明细!$H$2:$H$501,MATCH(T393,激励事件明细!$A$2:$A$501,0)),""))</f>
        <v/>
      </c>
      <c r="D393" s="9"/>
      <c r="E393" s="9"/>
      <c r="F393" s="15" t="str">
        <f>IF(A393="","",IFERROR(INDEX(激励事件明细!$AA$2:$AA$501,MATCH(T393,激励事件明细!$A$2:$A$501,0)),""))</f>
        <v/>
      </c>
      <c r="G393" s="17" t="str">
        <f>IF(A393="","",IFERROR(INDEX(激励事件明细!$AB$2:$AB$501,MATCH(T393,激励事件明细!$A$2:$A$501,0)),""))</f>
        <v/>
      </c>
      <c r="H393" s="17" t="str">
        <f>IF(A393="","",IFERROR(INDEX(激励事件明细!$AC$2:$AC$501,MATCH(T393,激励事件明细!$A$2:$A$501,0)),""))</f>
        <v/>
      </c>
      <c r="I393" s="13"/>
      <c r="J393" s="14"/>
      <c r="K393" s="14"/>
      <c r="L393" s="9"/>
      <c r="M393" s="15" t="str">
        <f t="shared" si="36"/>
        <v/>
      </c>
      <c r="N393" s="15" t="str">
        <f t="shared" si="37"/>
        <v/>
      </c>
      <c r="O393" s="4" t="str">
        <f t="shared" ca="1" si="38"/>
        <v/>
      </c>
      <c r="P393" s="17" t="str">
        <f>IF(A393="","",IFERROR(IF(INDEX(激励事件明细!$P$2:$P$501,MATCH(T393,激励事件明细!$A$2:$A$501,0))=0,"",INDEX(激励事件明细!$P$2:$P$501,MATCH(T393,激励事件明细!$A$2:$A$501,0))),""))</f>
        <v/>
      </c>
      <c r="Q393" s="4" t="str">
        <f t="shared" si="39"/>
        <v>无效</v>
      </c>
      <c r="R393" s="4" t="str">
        <f t="shared" ca="1" si="40"/>
        <v>异常：必须关联有效事件编号或税额批次</v>
      </c>
      <c r="S393" s="9"/>
      <c r="T393" s="4" t="str">
        <f>IF(D393&lt;&gt;"",IF(COUNTIF(激励事件明细!$A$2:$A$501,D393)=1,D393,""),IF(E393&lt;&gt;"",IFERROR(INDEX(激励事件明细!$A$2:$A$501,MATCH(E393,激励事件明细!$B$2:$B$501,0)),""),""))</f>
        <v/>
      </c>
      <c r="U393" s="4" t="str">
        <f>IF(T393="","",IFERROR(INDEX(激励事件明细!$B$2:$B$501,MATCH(T393,激励事件明细!$A$2:$A$501,0)),""))</f>
        <v/>
      </c>
      <c r="V393" s="4" t="str">
        <f>IF(A393="","",COUNTIF($A$2:A393,A393))</f>
        <v/>
      </c>
      <c r="W393" s="4" t="str">
        <f t="shared" si="41"/>
        <v/>
      </c>
    </row>
    <row r="394" spans="1:23" x14ac:dyDescent="0.3">
      <c r="A394" s="4" t="str">
        <f>IF(T394="","",IFERROR(INDEX(激励事件明细!$C$2:$C$501,MATCH(T394,激励事件明细!$A$2:$A$501,0)),""))</f>
        <v/>
      </c>
      <c r="B394" s="4" t="str">
        <f>IF(A394="","",IFERROR(INDEX(激励事件明细!$D$2:$D$501,MATCH(T394,激励事件明细!$A$2:$A$501,0)),""))</f>
        <v/>
      </c>
      <c r="C394" s="4" t="str">
        <f>IF(A394="","",IFERROR(INDEX(激励事件明细!$H$2:$H$501,MATCH(T394,激励事件明细!$A$2:$A$501,0)),""))</f>
        <v/>
      </c>
      <c r="D394" s="9"/>
      <c r="E394" s="9"/>
      <c r="F394" s="15" t="str">
        <f>IF(A394="","",IFERROR(INDEX(激励事件明细!$AA$2:$AA$501,MATCH(T394,激励事件明细!$A$2:$A$501,0)),""))</f>
        <v/>
      </c>
      <c r="G394" s="17" t="str">
        <f>IF(A394="","",IFERROR(INDEX(激励事件明细!$AB$2:$AB$501,MATCH(T394,激励事件明细!$A$2:$A$501,0)),""))</f>
        <v/>
      </c>
      <c r="H394" s="17" t="str">
        <f>IF(A394="","",IFERROR(INDEX(激励事件明细!$AC$2:$AC$501,MATCH(T394,激励事件明细!$A$2:$A$501,0)),""))</f>
        <v/>
      </c>
      <c r="I394" s="13"/>
      <c r="J394" s="14"/>
      <c r="K394" s="14"/>
      <c r="L394" s="9"/>
      <c r="M394" s="15" t="str">
        <f t="shared" si="36"/>
        <v/>
      </c>
      <c r="N394" s="15" t="str">
        <f t="shared" si="37"/>
        <v/>
      </c>
      <c r="O394" s="4" t="str">
        <f t="shared" ca="1" si="38"/>
        <v/>
      </c>
      <c r="P394" s="17" t="str">
        <f>IF(A394="","",IFERROR(IF(INDEX(激励事件明细!$P$2:$P$501,MATCH(T394,激励事件明细!$A$2:$A$501,0))=0,"",INDEX(激励事件明细!$P$2:$P$501,MATCH(T394,激励事件明细!$A$2:$A$501,0))),""))</f>
        <v/>
      </c>
      <c r="Q394" s="4" t="str">
        <f t="shared" si="39"/>
        <v>无效</v>
      </c>
      <c r="R394" s="4" t="str">
        <f t="shared" ca="1" si="40"/>
        <v>异常：必须关联有效事件编号或税额批次</v>
      </c>
      <c r="S394" s="9"/>
      <c r="T394" s="4" t="str">
        <f>IF(D394&lt;&gt;"",IF(COUNTIF(激励事件明细!$A$2:$A$501,D394)=1,D394,""),IF(E394&lt;&gt;"",IFERROR(INDEX(激励事件明细!$A$2:$A$501,MATCH(E394,激励事件明细!$B$2:$B$501,0)),""),""))</f>
        <v/>
      </c>
      <c r="U394" s="4" t="str">
        <f>IF(T394="","",IFERROR(INDEX(激励事件明细!$B$2:$B$501,MATCH(T394,激励事件明细!$A$2:$A$501,0)),""))</f>
        <v/>
      </c>
      <c r="V394" s="4" t="str">
        <f>IF(A394="","",COUNTIF($A$2:A394,A394))</f>
        <v/>
      </c>
      <c r="W394" s="4" t="str">
        <f t="shared" si="41"/>
        <v/>
      </c>
    </row>
    <row r="395" spans="1:23" x14ac:dyDescent="0.3">
      <c r="A395" s="4" t="str">
        <f>IF(T395="","",IFERROR(INDEX(激励事件明细!$C$2:$C$501,MATCH(T395,激励事件明细!$A$2:$A$501,0)),""))</f>
        <v/>
      </c>
      <c r="B395" s="4" t="str">
        <f>IF(A395="","",IFERROR(INDEX(激励事件明细!$D$2:$D$501,MATCH(T395,激励事件明细!$A$2:$A$501,0)),""))</f>
        <v/>
      </c>
      <c r="C395" s="4" t="str">
        <f>IF(A395="","",IFERROR(INDEX(激励事件明细!$H$2:$H$501,MATCH(T395,激励事件明细!$A$2:$A$501,0)),""))</f>
        <v/>
      </c>
      <c r="D395" s="9"/>
      <c r="E395" s="9"/>
      <c r="F395" s="15" t="str">
        <f>IF(A395="","",IFERROR(INDEX(激励事件明细!$AA$2:$AA$501,MATCH(T395,激励事件明细!$A$2:$A$501,0)),""))</f>
        <v/>
      </c>
      <c r="G395" s="17" t="str">
        <f>IF(A395="","",IFERROR(INDEX(激励事件明细!$AB$2:$AB$501,MATCH(T395,激励事件明细!$A$2:$A$501,0)),""))</f>
        <v/>
      </c>
      <c r="H395" s="17" t="str">
        <f>IF(A395="","",IFERROR(INDEX(激励事件明细!$AC$2:$AC$501,MATCH(T395,激励事件明细!$A$2:$A$501,0)),""))</f>
        <v/>
      </c>
      <c r="I395" s="13"/>
      <c r="J395" s="14"/>
      <c r="K395" s="14"/>
      <c r="L395" s="9"/>
      <c r="M395" s="15" t="str">
        <f t="shared" si="36"/>
        <v/>
      </c>
      <c r="N395" s="15" t="str">
        <f t="shared" si="37"/>
        <v/>
      </c>
      <c r="O395" s="4" t="str">
        <f t="shared" ca="1" si="38"/>
        <v/>
      </c>
      <c r="P395" s="17" t="str">
        <f>IF(A395="","",IFERROR(IF(INDEX(激励事件明细!$P$2:$P$501,MATCH(T395,激励事件明细!$A$2:$A$501,0))=0,"",INDEX(激励事件明细!$P$2:$P$501,MATCH(T395,激励事件明细!$A$2:$A$501,0))),""))</f>
        <v/>
      </c>
      <c r="Q395" s="4" t="str">
        <f t="shared" si="39"/>
        <v>无效</v>
      </c>
      <c r="R395" s="4" t="str">
        <f t="shared" ca="1" si="40"/>
        <v>异常：必须关联有效事件编号或税额批次</v>
      </c>
      <c r="S395" s="9"/>
      <c r="T395" s="4" t="str">
        <f>IF(D395&lt;&gt;"",IF(COUNTIF(激励事件明细!$A$2:$A$501,D395)=1,D395,""),IF(E395&lt;&gt;"",IFERROR(INDEX(激励事件明细!$A$2:$A$501,MATCH(E395,激励事件明细!$B$2:$B$501,0)),""),""))</f>
        <v/>
      </c>
      <c r="U395" s="4" t="str">
        <f>IF(T395="","",IFERROR(INDEX(激励事件明细!$B$2:$B$501,MATCH(T395,激励事件明细!$A$2:$A$501,0)),""))</f>
        <v/>
      </c>
      <c r="V395" s="4" t="str">
        <f>IF(A395="","",COUNTIF($A$2:A395,A395))</f>
        <v/>
      </c>
      <c r="W395" s="4" t="str">
        <f t="shared" si="41"/>
        <v/>
      </c>
    </row>
    <row r="396" spans="1:23" x14ac:dyDescent="0.3">
      <c r="A396" s="4" t="str">
        <f>IF(T396="","",IFERROR(INDEX(激励事件明细!$C$2:$C$501,MATCH(T396,激励事件明细!$A$2:$A$501,0)),""))</f>
        <v/>
      </c>
      <c r="B396" s="4" t="str">
        <f>IF(A396="","",IFERROR(INDEX(激励事件明细!$D$2:$D$501,MATCH(T396,激励事件明细!$A$2:$A$501,0)),""))</f>
        <v/>
      </c>
      <c r="C396" s="4" t="str">
        <f>IF(A396="","",IFERROR(INDEX(激励事件明细!$H$2:$H$501,MATCH(T396,激励事件明细!$A$2:$A$501,0)),""))</f>
        <v/>
      </c>
      <c r="D396" s="9"/>
      <c r="E396" s="9"/>
      <c r="F396" s="15" t="str">
        <f>IF(A396="","",IFERROR(INDEX(激励事件明细!$AA$2:$AA$501,MATCH(T396,激励事件明细!$A$2:$A$501,0)),""))</f>
        <v/>
      </c>
      <c r="G396" s="17" t="str">
        <f>IF(A396="","",IFERROR(INDEX(激励事件明细!$AB$2:$AB$501,MATCH(T396,激励事件明细!$A$2:$A$501,0)),""))</f>
        <v/>
      </c>
      <c r="H396" s="17" t="str">
        <f>IF(A396="","",IFERROR(INDEX(激励事件明细!$AC$2:$AC$501,MATCH(T396,激励事件明细!$A$2:$A$501,0)),""))</f>
        <v/>
      </c>
      <c r="I396" s="13"/>
      <c r="J396" s="14"/>
      <c r="K396" s="14"/>
      <c r="L396" s="9"/>
      <c r="M396" s="15" t="str">
        <f t="shared" si="36"/>
        <v/>
      </c>
      <c r="N396" s="15" t="str">
        <f t="shared" si="37"/>
        <v/>
      </c>
      <c r="O396" s="4" t="str">
        <f t="shared" ca="1" si="38"/>
        <v/>
      </c>
      <c r="P396" s="17" t="str">
        <f>IF(A396="","",IFERROR(IF(INDEX(激励事件明细!$P$2:$P$501,MATCH(T396,激励事件明细!$A$2:$A$501,0))=0,"",INDEX(激励事件明细!$P$2:$P$501,MATCH(T396,激励事件明细!$A$2:$A$501,0))),""))</f>
        <v/>
      </c>
      <c r="Q396" s="4" t="str">
        <f t="shared" si="39"/>
        <v>无效</v>
      </c>
      <c r="R396" s="4" t="str">
        <f t="shared" ca="1" si="40"/>
        <v>异常：必须关联有效事件编号或税额批次</v>
      </c>
      <c r="S396" s="9"/>
      <c r="T396" s="4" t="str">
        <f>IF(D396&lt;&gt;"",IF(COUNTIF(激励事件明细!$A$2:$A$501,D396)=1,D396,""),IF(E396&lt;&gt;"",IFERROR(INDEX(激励事件明细!$A$2:$A$501,MATCH(E396,激励事件明细!$B$2:$B$501,0)),""),""))</f>
        <v/>
      </c>
      <c r="U396" s="4" t="str">
        <f>IF(T396="","",IFERROR(INDEX(激励事件明细!$B$2:$B$501,MATCH(T396,激励事件明细!$A$2:$A$501,0)),""))</f>
        <v/>
      </c>
      <c r="V396" s="4" t="str">
        <f>IF(A396="","",COUNTIF($A$2:A396,A396))</f>
        <v/>
      </c>
      <c r="W396" s="4" t="str">
        <f t="shared" si="41"/>
        <v/>
      </c>
    </row>
    <row r="397" spans="1:23" x14ac:dyDescent="0.3">
      <c r="A397" s="4" t="str">
        <f>IF(T397="","",IFERROR(INDEX(激励事件明细!$C$2:$C$501,MATCH(T397,激励事件明细!$A$2:$A$501,0)),""))</f>
        <v/>
      </c>
      <c r="B397" s="4" t="str">
        <f>IF(A397="","",IFERROR(INDEX(激励事件明细!$D$2:$D$501,MATCH(T397,激励事件明细!$A$2:$A$501,0)),""))</f>
        <v/>
      </c>
      <c r="C397" s="4" t="str">
        <f>IF(A397="","",IFERROR(INDEX(激励事件明细!$H$2:$H$501,MATCH(T397,激励事件明细!$A$2:$A$501,0)),""))</f>
        <v/>
      </c>
      <c r="D397" s="9"/>
      <c r="E397" s="9"/>
      <c r="F397" s="15" t="str">
        <f>IF(A397="","",IFERROR(INDEX(激励事件明细!$AA$2:$AA$501,MATCH(T397,激励事件明细!$A$2:$A$501,0)),""))</f>
        <v/>
      </c>
      <c r="G397" s="17" t="str">
        <f>IF(A397="","",IFERROR(INDEX(激励事件明细!$AB$2:$AB$501,MATCH(T397,激励事件明细!$A$2:$A$501,0)),""))</f>
        <v/>
      </c>
      <c r="H397" s="17" t="str">
        <f>IF(A397="","",IFERROR(INDEX(激励事件明细!$AC$2:$AC$501,MATCH(T397,激励事件明细!$A$2:$A$501,0)),""))</f>
        <v/>
      </c>
      <c r="I397" s="13"/>
      <c r="J397" s="14"/>
      <c r="K397" s="14"/>
      <c r="L397" s="9"/>
      <c r="M397" s="15" t="str">
        <f t="shared" si="36"/>
        <v/>
      </c>
      <c r="N397" s="15" t="str">
        <f t="shared" si="37"/>
        <v/>
      </c>
      <c r="O397" s="4" t="str">
        <f t="shared" ca="1" si="38"/>
        <v/>
      </c>
      <c r="P397" s="17" t="str">
        <f>IF(A397="","",IFERROR(IF(INDEX(激励事件明细!$P$2:$P$501,MATCH(T397,激励事件明细!$A$2:$A$501,0))=0,"",INDEX(激励事件明细!$P$2:$P$501,MATCH(T397,激励事件明细!$A$2:$A$501,0))),""))</f>
        <v/>
      </c>
      <c r="Q397" s="4" t="str">
        <f t="shared" si="39"/>
        <v>无效</v>
      </c>
      <c r="R397" s="4" t="str">
        <f t="shared" ca="1" si="40"/>
        <v>异常：必须关联有效事件编号或税额批次</v>
      </c>
      <c r="S397" s="9"/>
      <c r="T397" s="4" t="str">
        <f>IF(D397&lt;&gt;"",IF(COUNTIF(激励事件明细!$A$2:$A$501,D397)=1,D397,""),IF(E397&lt;&gt;"",IFERROR(INDEX(激励事件明细!$A$2:$A$501,MATCH(E397,激励事件明细!$B$2:$B$501,0)),""),""))</f>
        <v/>
      </c>
      <c r="U397" s="4" t="str">
        <f>IF(T397="","",IFERROR(INDEX(激励事件明细!$B$2:$B$501,MATCH(T397,激励事件明细!$A$2:$A$501,0)),""))</f>
        <v/>
      </c>
      <c r="V397" s="4" t="str">
        <f>IF(A397="","",COUNTIF($A$2:A397,A397))</f>
        <v/>
      </c>
      <c r="W397" s="4" t="str">
        <f t="shared" si="41"/>
        <v/>
      </c>
    </row>
    <row r="398" spans="1:23" x14ac:dyDescent="0.3">
      <c r="A398" s="4" t="str">
        <f>IF(T398="","",IFERROR(INDEX(激励事件明细!$C$2:$C$501,MATCH(T398,激励事件明细!$A$2:$A$501,0)),""))</f>
        <v/>
      </c>
      <c r="B398" s="4" t="str">
        <f>IF(A398="","",IFERROR(INDEX(激励事件明细!$D$2:$D$501,MATCH(T398,激励事件明细!$A$2:$A$501,0)),""))</f>
        <v/>
      </c>
      <c r="C398" s="4" t="str">
        <f>IF(A398="","",IFERROR(INDEX(激励事件明细!$H$2:$H$501,MATCH(T398,激励事件明细!$A$2:$A$501,0)),""))</f>
        <v/>
      </c>
      <c r="D398" s="9"/>
      <c r="E398" s="9"/>
      <c r="F398" s="15" t="str">
        <f>IF(A398="","",IFERROR(INDEX(激励事件明细!$AA$2:$AA$501,MATCH(T398,激励事件明细!$A$2:$A$501,0)),""))</f>
        <v/>
      </c>
      <c r="G398" s="17" t="str">
        <f>IF(A398="","",IFERROR(INDEX(激励事件明细!$AB$2:$AB$501,MATCH(T398,激励事件明细!$A$2:$A$501,0)),""))</f>
        <v/>
      </c>
      <c r="H398" s="17" t="str">
        <f>IF(A398="","",IFERROR(INDEX(激励事件明细!$AC$2:$AC$501,MATCH(T398,激励事件明细!$A$2:$A$501,0)),""))</f>
        <v/>
      </c>
      <c r="I398" s="13"/>
      <c r="J398" s="14"/>
      <c r="K398" s="14"/>
      <c r="L398" s="9"/>
      <c r="M398" s="15" t="str">
        <f t="shared" si="36"/>
        <v/>
      </c>
      <c r="N398" s="15" t="str">
        <f t="shared" si="37"/>
        <v/>
      </c>
      <c r="O398" s="4" t="str">
        <f t="shared" ca="1" si="38"/>
        <v/>
      </c>
      <c r="P398" s="17" t="str">
        <f>IF(A398="","",IFERROR(IF(INDEX(激励事件明细!$P$2:$P$501,MATCH(T398,激励事件明细!$A$2:$A$501,0))=0,"",INDEX(激励事件明细!$P$2:$P$501,MATCH(T398,激励事件明细!$A$2:$A$501,0))),""))</f>
        <v/>
      </c>
      <c r="Q398" s="4" t="str">
        <f t="shared" si="39"/>
        <v>无效</v>
      </c>
      <c r="R398" s="4" t="str">
        <f t="shared" ca="1" si="40"/>
        <v>异常：必须关联有效事件编号或税额批次</v>
      </c>
      <c r="S398" s="9"/>
      <c r="T398" s="4" t="str">
        <f>IF(D398&lt;&gt;"",IF(COUNTIF(激励事件明细!$A$2:$A$501,D398)=1,D398,""),IF(E398&lt;&gt;"",IFERROR(INDEX(激励事件明细!$A$2:$A$501,MATCH(E398,激励事件明细!$B$2:$B$501,0)),""),""))</f>
        <v/>
      </c>
      <c r="U398" s="4" t="str">
        <f>IF(T398="","",IFERROR(INDEX(激励事件明细!$B$2:$B$501,MATCH(T398,激励事件明细!$A$2:$A$501,0)),""))</f>
        <v/>
      </c>
      <c r="V398" s="4" t="str">
        <f>IF(A398="","",COUNTIF($A$2:A398,A398))</f>
        <v/>
      </c>
      <c r="W398" s="4" t="str">
        <f t="shared" si="41"/>
        <v/>
      </c>
    </row>
    <row r="399" spans="1:23" x14ac:dyDescent="0.3">
      <c r="A399" s="4" t="str">
        <f>IF(T399="","",IFERROR(INDEX(激励事件明细!$C$2:$C$501,MATCH(T399,激励事件明细!$A$2:$A$501,0)),""))</f>
        <v/>
      </c>
      <c r="B399" s="4" t="str">
        <f>IF(A399="","",IFERROR(INDEX(激励事件明细!$D$2:$D$501,MATCH(T399,激励事件明细!$A$2:$A$501,0)),""))</f>
        <v/>
      </c>
      <c r="C399" s="4" t="str">
        <f>IF(A399="","",IFERROR(INDEX(激励事件明细!$H$2:$H$501,MATCH(T399,激励事件明细!$A$2:$A$501,0)),""))</f>
        <v/>
      </c>
      <c r="D399" s="9"/>
      <c r="E399" s="9"/>
      <c r="F399" s="15" t="str">
        <f>IF(A399="","",IFERROR(INDEX(激励事件明细!$AA$2:$AA$501,MATCH(T399,激励事件明细!$A$2:$A$501,0)),""))</f>
        <v/>
      </c>
      <c r="G399" s="17" t="str">
        <f>IF(A399="","",IFERROR(INDEX(激励事件明细!$AB$2:$AB$501,MATCH(T399,激励事件明细!$A$2:$A$501,0)),""))</f>
        <v/>
      </c>
      <c r="H399" s="17" t="str">
        <f>IF(A399="","",IFERROR(INDEX(激励事件明细!$AC$2:$AC$501,MATCH(T399,激励事件明细!$A$2:$A$501,0)),""))</f>
        <v/>
      </c>
      <c r="I399" s="13"/>
      <c r="J399" s="14"/>
      <c r="K399" s="14"/>
      <c r="L399" s="9"/>
      <c r="M399" s="15" t="str">
        <f t="shared" si="36"/>
        <v/>
      </c>
      <c r="N399" s="15" t="str">
        <f t="shared" si="37"/>
        <v/>
      </c>
      <c r="O399" s="4" t="str">
        <f t="shared" ca="1" si="38"/>
        <v/>
      </c>
      <c r="P399" s="17" t="str">
        <f>IF(A399="","",IFERROR(IF(INDEX(激励事件明细!$P$2:$P$501,MATCH(T399,激励事件明细!$A$2:$A$501,0))=0,"",INDEX(激励事件明细!$P$2:$P$501,MATCH(T399,激励事件明细!$A$2:$A$501,0))),""))</f>
        <v/>
      </c>
      <c r="Q399" s="4" t="str">
        <f t="shared" si="39"/>
        <v>无效</v>
      </c>
      <c r="R399" s="4" t="str">
        <f t="shared" ca="1" si="40"/>
        <v>异常：必须关联有效事件编号或税额批次</v>
      </c>
      <c r="S399" s="9"/>
      <c r="T399" s="4" t="str">
        <f>IF(D399&lt;&gt;"",IF(COUNTIF(激励事件明细!$A$2:$A$501,D399)=1,D399,""),IF(E399&lt;&gt;"",IFERROR(INDEX(激励事件明细!$A$2:$A$501,MATCH(E399,激励事件明细!$B$2:$B$501,0)),""),""))</f>
        <v/>
      </c>
      <c r="U399" s="4" t="str">
        <f>IF(T399="","",IFERROR(INDEX(激励事件明细!$B$2:$B$501,MATCH(T399,激励事件明细!$A$2:$A$501,0)),""))</f>
        <v/>
      </c>
      <c r="V399" s="4" t="str">
        <f>IF(A399="","",COUNTIF($A$2:A399,A399))</f>
        <v/>
      </c>
      <c r="W399" s="4" t="str">
        <f t="shared" si="41"/>
        <v/>
      </c>
    </row>
    <row r="400" spans="1:23" x14ac:dyDescent="0.3">
      <c r="A400" s="4" t="str">
        <f>IF(T400="","",IFERROR(INDEX(激励事件明细!$C$2:$C$501,MATCH(T400,激励事件明细!$A$2:$A$501,0)),""))</f>
        <v/>
      </c>
      <c r="B400" s="4" t="str">
        <f>IF(A400="","",IFERROR(INDEX(激励事件明细!$D$2:$D$501,MATCH(T400,激励事件明细!$A$2:$A$501,0)),""))</f>
        <v/>
      </c>
      <c r="C400" s="4" t="str">
        <f>IF(A400="","",IFERROR(INDEX(激励事件明细!$H$2:$H$501,MATCH(T400,激励事件明细!$A$2:$A$501,0)),""))</f>
        <v/>
      </c>
      <c r="D400" s="9"/>
      <c r="E400" s="9"/>
      <c r="F400" s="15" t="str">
        <f>IF(A400="","",IFERROR(INDEX(激励事件明细!$AA$2:$AA$501,MATCH(T400,激励事件明细!$A$2:$A$501,0)),""))</f>
        <v/>
      </c>
      <c r="G400" s="17" t="str">
        <f>IF(A400="","",IFERROR(INDEX(激励事件明细!$AB$2:$AB$501,MATCH(T400,激励事件明细!$A$2:$A$501,0)),""))</f>
        <v/>
      </c>
      <c r="H400" s="17" t="str">
        <f>IF(A400="","",IFERROR(INDEX(激励事件明细!$AC$2:$AC$501,MATCH(T400,激励事件明细!$A$2:$A$501,0)),""))</f>
        <v/>
      </c>
      <c r="I400" s="13"/>
      <c r="J400" s="14"/>
      <c r="K400" s="14"/>
      <c r="L400" s="9"/>
      <c r="M400" s="15" t="str">
        <f t="shared" si="36"/>
        <v/>
      </c>
      <c r="N400" s="15" t="str">
        <f t="shared" si="37"/>
        <v/>
      </c>
      <c r="O400" s="4" t="str">
        <f t="shared" ca="1" si="38"/>
        <v/>
      </c>
      <c r="P400" s="17" t="str">
        <f>IF(A400="","",IFERROR(IF(INDEX(激励事件明细!$P$2:$P$501,MATCH(T400,激励事件明细!$A$2:$A$501,0))=0,"",INDEX(激励事件明细!$P$2:$P$501,MATCH(T400,激励事件明细!$A$2:$A$501,0))),""))</f>
        <v/>
      </c>
      <c r="Q400" s="4" t="str">
        <f t="shared" si="39"/>
        <v>无效</v>
      </c>
      <c r="R400" s="4" t="str">
        <f t="shared" ca="1" si="40"/>
        <v>异常：必须关联有效事件编号或税额批次</v>
      </c>
      <c r="S400" s="9"/>
      <c r="T400" s="4" t="str">
        <f>IF(D400&lt;&gt;"",IF(COUNTIF(激励事件明细!$A$2:$A$501,D400)=1,D400,""),IF(E400&lt;&gt;"",IFERROR(INDEX(激励事件明细!$A$2:$A$501,MATCH(E400,激励事件明细!$B$2:$B$501,0)),""),""))</f>
        <v/>
      </c>
      <c r="U400" s="4" t="str">
        <f>IF(T400="","",IFERROR(INDEX(激励事件明细!$B$2:$B$501,MATCH(T400,激励事件明细!$A$2:$A$501,0)),""))</f>
        <v/>
      </c>
      <c r="V400" s="4" t="str">
        <f>IF(A400="","",COUNTIF($A$2:A400,A400))</f>
        <v/>
      </c>
      <c r="W400" s="4" t="str">
        <f t="shared" si="41"/>
        <v/>
      </c>
    </row>
    <row r="401" spans="1:23" x14ac:dyDescent="0.3">
      <c r="A401" s="4" t="str">
        <f>IF(T401="","",IFERROR(INDEX(激励事件明细!$C$2:$C$501,MATCH(T401,激励事件明细!$A$2:$A$501,0)),""))</f>
        <v/>
      </c>
      <c r="B401" s="4" t="str">
        <f>IF(A401="","",IFERROR(INDEX(激励事件明细!$D$2:$D$501,MATCH(T401,激励事件明细!$A$2:$A$501,0)),""))</f>
        <v/>
      </c>
      <c r="C401" s="4" t="str">
        <f>IF(A401="","",IFERROR(INDEX(激励事件明细!$H$2:$H$501,MATCH(T401,激励事件明细!$A$2:$A$501,0)),""))</f>
        <v/>
      </c>
      <c r="D401" s="9"/>
      <c r="E401" s="9"/>
      <c r="F401" s="15" t="str">
        <f>IF(A401="","",IFERROR(INDEX(激励事件明细!$AA$2:$AA$501,MATCH(T401,激励事件明细!$A$2:$A$501,0)),""))</f>
        <v/>
      </c>
      <c r="G401" s="17" t="str">
        <f>IF(A401="","",IFERROR(INDEX(激励事件明细!$AB$2:$AB$501,MATCH(T401,激励事件明细!$A$2:$A$501,0)),""))</f>
        <v/>
      </c>
      <c r="H401" s="17" t="str">
        <f>IF(A401="","",IFERROR(INDEX(激励事件明细!$AC$2:$AC$501,MATCH(T401,激励事件明细!$A$2:$A$501,0)),""))</f>
        <v/>
      </c>
      <c r="I401" s="13"/>
      <c r="J401" s="14"/>
      <c r="K401" s="14"/>
      <c r="L401" s="9"/>
      <c r="M401" s="15" t="str">
        <f t="shared" si="36"/>
        <v/>
      </c>
      <c r="N401" s="15" t="str">
        <f t="shared" si="37"/>
        <v/>
      </c>
      <c r="O401" s="4" t="str">
        <f t="shared" ca="1" si="38"/>
        <v/>
      </c>
      <c r="P401" s="17" t="str">
        <f>IF(A401="","",IFERROR(IF(INDEX(激励事件明细!$P$2:$P$501,MATCH(T401,激励事件明细!$A$2:$A$501,0))=0,"",INDEX(激励事件明细!$P$2:$P$501,MATCH(T401,激励事件明细!$A$2:$A$501,0))),""))</f>
        <v/>
      </c>
      <c r="Q401" s="4" t="str">
        <f t="shared" si="39"/>
        <v>无效</v>
      </c>
      <c r="R401" s="4" t="str">
        <f t="shared" ca="1" si="40"/>
        <v>异常：必须关联有效事件编号或税额批次</v>
      </c>
      <c r="S401" s="9"/>
      <c r="T401" s="4" t="str">
        <f>IF(D401&lt;&gt;"",IF(COUNTIF(激励事件明细!$A$2:$A$501,D401)=1,D401,""),IF(E401&lt;&gt;"",IFERROR(INDEX(激励事件明细!$A$2:$A$501,MATCH(E401,激励事件明细!$B$2:$B$501,0)),""),""))</f>
        <v/>
      </c>
      <c r="U401" s="4" t="str">
        <f>IF(T401="","",IFERROR(INDEX(激励事件明细!$B$2:$B$501,MATCH(T401,激励事件明细!$A$2:$A$501,0)),""))</f>
        <v/>
      </c>
      <c r="V401" s="4" t="str">
        <f>IF(A401="","",COUNTIF($A$2:A401,A401))</f>
        <v/>
      </c>
      <c r="W401" s="4" t="str">
        <f t="shared" si="41"/>
        <v/>
      </c>
    </row>
    <row r="402" spans="1:23" x14ac:dyDescent="0.3">
      <c r="A402" s="4" t="str">
        <f>IF(T402="","",IFERROR(INDEX(激励事件明细!$C$2:$C$501,MATCH(T402,激励事件明细!$A$2:$A$501,0)),""))</f>
        <v/>
      </c>
      <c r="B402" s="4" t="str">
        <f>IF(A402="","",IFERROR(INDEX(激励事件明细!$D$2:$D$501,MATCH(T402,激励事件明细!$A$2:$A$501,0)),""))</f>
        <v/>
      </c>
      <c r="C402" s="4" t="str">
        <f>IF(A402="","",IFERROR(INDEX(激励事件明细!$H$2:$H$501,MATCH(T402,激励事件明细!$A$2:$A$501,0)),""))</f>
        <v/>
      </c>
      <c r="D402" s="9"/>
      <c r="E402" s="9"/>
      <c r="F402" s="15" t="str">
        <f>IF(A402="","",IFERROR(INDEX(激励事件明细!$AA$2:$AA$501,MATCH(T402,激励事件明细!$A$2:$A$501,0)),""))</f>
        <v/>
      </c>
      <c r="G402" s="17" t="str">
        <f>IF(A402="","",IFERROR(INDEX(激励事件明细!$AB$2:$AB$501,MATCH(T402,激励事件明细!$A$2:$A$501,0)),""))</f>
        <v/>
      </c>
      <c r="H402" s="17" t="str">
        <f>IF(A402="","",IFERROR(INDEX(激励事件明细!$AC$2:$AC$501,MATCH(T402,激励事件明细!$A$2:$A$501,0)),""))</f>
        <v/>
      </c>
      <c r="I402" s="13"/>
      <c r="J402" s="14"/>
      <c r="K402" s="14"/>
      <c r="L402" s="9"/>
      <c r="M402" s="15" t="str">
        <f t="shared" si="36"/>
        <v/>
      </c>
      <c r="N402" s="15" t="str">
        <f t="shared" si="37"/>
        <v/>
      </c>
      <c r="O402" s="4" t="str">
        <f t="shared" ca="1" si="38"/>
        <v/>
      </c>
      <c r="P402" s="17" t="str">
        <f>IF(A402="","",IFERROR(IF(INDEX(激励事件明细!$P$2:$P$501,MATCH(T402,激励事件明细!$A$2:$A$501,0))=0,"",INDEX(激励事件明细!$P$2:$P$501,MATCH(T402,激励事件明细!$A$2:$A$501,0))),""))</f>
        <v/>
      </c>
      <c r="Q402" s="4" t="str">
        <f t="shared" si="39"/>
        <v>无效</v>
      </c>
      <c r="R402" s="4" t="str">
        <f t="shared" ca="1" si="40"/>
        <v>异常：必须关联有效事件编号或税额批次</v>
      </c>
      <c r="S402" s="9"/>
      <c r="T402" s="4" t="str">
        <f>IF(D402&lt;&gt;"",IF(COUNTIF(激励事件明细!$A$2:$A$501,D402)=1,D402,""),IF(E402&lt;&gt;"",IFERROR(INDEX(激励事件明细!$A$2:$A$501,MATCH(E402,激励事件明细!$B$2:$B$501,0)),""),""))</f>
        <v/>
      </c>
      <c r="U402" s="4" t="str">
        <f>IF(T402="","",IFERROR(INDEX(激励事件明细!$B$2:$B$501,MATCH(T402,激励事件明细!$A$2:$A$501,0)),""))</f>
        <v/>
      </c>
      <c r="V402" s="4" t="str">
        <f>IF(A402="","",COUNTIF($A$2:A402,A402))</f>
        <v/>
      </c>
      <c r="W402" s="4" t="str">
        <f t="shared" si="41"/>
        <v/>
      </c>
    </row>
    <row r="403" spans="1:23" x14ac:dyDescent="0.3">
      <c r="A403" s="4" t="str">
        <f>IF(T403="","",IFERROR(INDEX(激励事件明细!$C$2:$C$501,MATCH(T403,激励事件明细!$A$2:$A$501,0)),""))</f>
        <v/>
      </c>
      <c r="B403" s="4" t="str">
        <f>IF(A403="","",IFERROR(INDEX(激励事件明细!$D$2:$D$501,MATCH(T403,激励事件明细!$A$2:$A$501,0)),""))</f>
        <v/>
      </c>
      <c r="C403" s="4" t="str">
        <f>IF(A403="","",IFERROR(INDEX(激励事件明细!$H$2:$H$501,MATCH(T403,激励事件明细!$A$2:$A$501,0)),""))</f>
        <v/>
      </c>
      <c r="D403" s="9"/>
      <c r="E403" s="9"/>
      <c r="F403" s="15" t="str">
        <f>IF(A403="","",IFERROR(INDEX(激励事件明细!$AA$2:$AA$501,MATCH(T403,激励事件明细!$A$2:$A$501,0)),""))</f>
        <v/>
      </c>
      <c r="G403" s="17" t="str">
        <f>IF(A403="","",IFERROR(INDEX(激励事件明细!$AB$2:$AB$501,MATCH(T403,激励事件明细!$A$2:$A$501,0)),""))</f>
        <v/>
      </c>
      <c r="H403" s="17" t="str">
        <f>IF(A403="","",IFERROR(INDEX(激励事件明细!$AC$2:$AC$501,MATCH(T403,激励事件明细!$A$2:$A$501,0)),""))</f>
        <v/>
      </c>
      <c r="I403" s="13"/>
      <c r="J403" s="14"/>
      <c r="K403" s="14"/>
      <c r="L403" s="9"/>
      <c r="M403" s="15" t="str">
        <f t="shared" si="36"/>
        <v/>
      </c>
      <c r="N403" s="15" t="str">
        <f t="shared" si="37"/>
        <v/>
      </c>
      <c r="O403" s="4" t="str">
        <f t="shared" ca="1" si="38"/>
        <v/>
      </c>
      <c r="P403" s="17" t="str">
        <f>IF(A403="","",IFERROR(IF(INDEX(激励事件明细!$P$2:$P$501,MATCH(T403,激励事件明细!$A$2:$A$501,0))=0,"",INDEX(激励事件明细!$P$2:$P$501,MATCH(T403,激励事件明细!$A$2:$A$501,0))),""))</f>
        <v/>
      </c>
      <c r="Q403" s="4" t="str">
        <f t="shared" si="39"/>
        <v>无效</v>
      </c>
      <c r="R403" s="4" t="str">
        <f t="shared" ca="1" si="40"/>
        <v>异常：必须关联有效事件编号或税额批次</v>
      </c>
      <c r="S403" s="9"/>
      <c r="T403" s="4" t="str">
        <f>IF(D403&lt;&gt;"",IF(COUNTIF(激励事件明细!$A$2:$A$501,D403)=1,D403,""),IF(E403&lt;&gt;"",IFERROR(INDEX(激励事件明细!$A$2:$A$501,MATCH(E403,激励事件明细!$B$2:$B$501,0)),""),""))</f>
        <v/>
      </c>
      <c r="U403" s="4" t="str">
        <f>IF(T403="","",IFERROR(INDEX(激励事件明细!$B$2:$B$501,MATCH(T403,激励事件明细!$A$2:$A$501,0)),""))</f>
        <v/>
      </c>
      <c r="V403" s="4" t="str">
        <f>IF(A403="","",COUNTIF($A$2:A403,A403))</f>
        <v/>
      </c>
      <c r="W403" s="4" t="str">
        <f t="shared" si="41"/>
        <v/>
      </c>
    </row>
    <row r="404" spans="1:23" x14ac:dyDescent="0.3">
      <c r="A404" s="4" t="str">
        <f>IF(T404="","",IFERROR(INDEX(激励事件明细!$C$2:$C$501,MATCH(T404,激励事件明细!$A$2:$A$501,0)),""))</f>
        <v/>
      </c>
      <c r="B404" s="4" t="str">
        <f>IF(A404="","",IFERROR(INDEX(激励事件明细!$D$2:$D$501,MATCH(T404,激励事件明细!$A$2:$A$501,0)),""))</f>
        <v/>
      </c>
      <c r="C404" s="4" t="str">
        <f>IF(A404="","",IFERROR(INDEX(激励事件明细!$H$2:$H$501,MATCH(T404,激励事件明细!$A$2:$A$501,0)),""))</f>
        <v/>
      </c>
      <c r="D404" s="9"/>
      <c r="E404" s="9"/>
      <c r="F404" s="15" t="str">
        <f>IF(A404="","",IFERROR(INDEX(激励事件明细!$AA$2:$AA$501,MATCH(T404,激励事件明细!$A$2:$A$501,0)),""))</f>
        <v/>
      </c>
      <c r="G404" s="17" t="str">
        <f>IF(A404="","",IFERROR(INDEX(激励事件明细!$AB$2:$AB$501,MATCH(T404,激励事件明细!$A$2:$A$501,0)),""))</f>
        <v/>
      </c>
      <c r="H404" s="17" t="str">
        <f>IF(A404="","",IFERROR(INDEX(激励事件明细!$AC$2:$AC$501,MATCH(T404,激励事件明细!$A$2:$A$501,0)),""))</f>
        <v/>
      </c>
      <c r="I404" s="13"/>
      <c r="J404" s="14"/>
      <c r="K404" s="14"/>
      <c r="L404" s="9"/>
      <c r="M404" s="15" t="str">
        <f t="shared" si="36"/>
        <v/>
      </c>
      <c r="N404" s="15" t="str">
        <f t="shared" si="37"/>
        <v/>
      </c>
      <c r="O404" s="4" t="str">
        <f t="shared" ca="1" si="38"/>
        <v/>
      </c>
      <c r="P404" s="17" t="str">
        <f>IF(A404="","",IFERROR(IF(INDEX(激励事件明细!$P$2:$P$501,MATCH(T404,激励事件明细!$A$2:$A$501,0))=0,"",INDEX(激励事件明细!$P$2:$P$501,MATCH(T404,激励事件明细!$A$2:$A$501,0))),""))</f>
        <v/>
      </c>
      <c r="Q404" s="4" t="str">
        <f t="shared" si="39"/>
        <v>无效</v>
      </c>
      <c r="R404" s="4" t="str">
        <f t="shared" ca="1" si="40"/>
        <v>异常：必须关联有效事件编号或税额批次</v>
      </c>
      <c r="S404" s="9"/>
      <c r="T404" s="4" t="str">
        <f>IF(D404&lt;&gt;"",IF(COUNTIF(激励事件明细!$A$2:$A$501,D404)=1,D404,""),IF(E404&lt;&gt;"",IFERROR(INDEX(激励事件明细!$A$2:$A$501,MATCH(E404,激励事件明细!$B$2:$B$501,0)),""),""))</f>
        <v/>
      </c>
      <c r="U404" s="4" t="str">
        <f>IF(T404="","",IFERROR(INDEX(激励事件明细!$B$2:$B$501,MATCH(T404,激励事件明细!$A$2:$A$501,0)),""))</f>
        <v/>
      </c>
      <c r="V404" s="4" t="str">
        <f>IF(A404="","",COUNTIF($A$2:A404,A404))</f>
        <v/>
      </c>
      <c r="W404" s="4" t="str">
        <f t="shared" si="41"/>
        <v/>
      </c>
    </row>
    <row r="405" spans="1:23" x14ac:dyDescent="0.3">
      <c r="A405" s="4" t="str">
        <f>IF(T405="","",IFERROR(INDEX(激励事件明细!$C$2:$C$501,MATCH(T405,激励事件明细!$A$2:$A$501,0)),""))</f>
        <v/>
      </c>
      <c r="B405" s="4" t="str">
        <f>IF(A405="","",IFERROR(INDEX(激励事件明细!$D$2:$D$501,MATCH(T405,激励事件明细!$A$2:$A$501,0)),""))</f>
        <v/>
      </c>
      <c r="C405" s="4" t="str">
        <f>IF(A405="","",IFERROR(INDEX(激励事件明细!$H$2:$H$501,MATCH(T405,激励事件明细!$A$2:$A$501,0)),""))</f>
        <v/>
      </c>
      <c r="D405" s="9"/>
      <c r="E405" s="9"/>
      <c r="F405" s="15" t="str">
        <f>IF(A405="","",IFERROR(INDEX(激励事件明细!$AA$2:$AA$501,MATCH(T405,激励事件明细!$A$2:$A$501,0)),""))</f>
        <v/>
      </c>
      <c r="G405" s="17" t="str">
        <f>IF(A405="","",IFERROR(INDEX(激励事件明细!$AB$2:$AB$501,MATCH(T405,激励事件明细!$A$2:$A$501,0)),""))</f>
        <v/>
      </c>
      <c r="H405" s="17" t="str">
        <f>IF(A405="","",IFERROR(INDEX(激励事件明细!$AC$2:$AC$501,MATCH(T405,激励事件明细!$A$2:$A$501,0)),""))</f>
        <v/>
      </c>
      <c r="I405" s="13"/>
      <c r="J405" s="14"/>
      <c r="K405" s="14"/>
      <c r="L405" s="9"/>
      <c r="M405" s="15" t="str">
        <f t="shared" si="36"/>
        <v/>
      </c>
      <c r="N405" s="15" t="str">
        <f t="shared" si="37"/>
        <v/>
      </c>
      <c r="O405" s="4" t="str">
        <f t="shared" ca="1" si="38"/>
        <v/>
      </c>
      <c r="P405" s="17" t="str">
        <f>IF(A405="","",IFERROR(IF(INDEX(激励事件明细!$P$2:$P$501,MATCH(T405,激励事件明细!$A$2:$A$501,0))=0,"",INDEX(激励事件明细!$P$2:$P$501,MATCH(T405,激励事件明细!$A$2:$A$501,0))),""))</f>
        <v/>
      </c>
      <c r="Q405" s="4" t="str">
        <f t="shared" si="39"/>
        <v>无效</v>
      </c>
      <c r="R405" s="4" t="str">
        <f t="shared" ca="1" si="40"/>
        <v>异常：必须关联有效事件编号或税额批次</v>
      </c>
      <c r="S405" s="9"/>
      <c r="T405" s="4" t="str">
        <f>IF(D405&lt;&gt;"",IF(COUNTIF(激励事件明细!$A$2:$A$501,D405)=1,D405,""),IF(E405&lt;&gt;"",IFERROR(INDEX(激励事件明细!$A$2:$A$501,MATCH(E405,激励事件明细!$B$2:$B$501,0)),""),""))</f>
        <v/>
      </c>
      <c r="U405" s="4" t="str">
        <f>IF(T405="","",IFERROR(INDEX(激励事件明细!$B$2:$B$501,MATCH(T405,激励事件明细!$A$2:$A$501,0)),""))</f>
        <v/>
      </c>
      <c r="V405" s="4" t="str">
        <f>IF(A405="","",COUNTIF($A$2:A405,A405))</f>
        <v/>
      </c>
      <c r="W405" s="4" t="str">
        <f t="shared" si="41"/>
        <v/>
      </c>
    </row>
    <row r="406" spans="1:23" x14ac:dyDescent="0.3">
      <c r="A406" s="4" t="str">
        <f>IF(T406="","",IFERROR(INDEX(激励事件明细!$C$2:$C$501,MATCH(T406,激励事件明细!$A$2:$A$501,0)),""))</f>
        <v/>
      </c>
      <c r="B406" s="4" t="str">
        <f>IF(A406="","",IFERROR(INDEX(激励事件明细!$D$2:$D$501,MATCH(T406,激励事件明细!$A$2:$A$501,0)),""))</f>
        <v/>
      </c>
      <c r="C406" s="4" t="str">
        <f>IF(A406="","",IFERROR(INDEX(激励事件明细!$H$2:$H$501,MATCH(T406,激励事件明细!$A$2:$A$501,0)),""))</f>
        <v/>
      </c>
      <c r="D406" s="9"/>
      <c r="E406" s="9"/>
      <c r="F406" s="15" t="str">
        <f>IF(A406="","",IFERROR(INDEX(激励事件明细!$AA$2:$AA$501,MATCH(T406,激励事件明细!$A$2:$A$501,0)),""))</f>
        <v/>
      </c>
      <c r="G406" s="17" t="str">
        <f>IF(A406="","",IFERROR(INDEX(激励事件明细!$AB$2:$AB$501,MATCH(T406,激励事件明细!$A$2:$A$501,0)),""))</f>
        <v/>
      </c>
      <c r="H406" s="17" t="str">
        <f>IF(A406="","",IFERROR(INDEX(激励事件明细!$AC$2:$AC$501,MATCH(T406,激励事件明细!$A$2:$A$501,0)),""))</f>
        <v/>
      </c>
      <c r="I406" s="13"/>
      <c r="J406" s="14"/>
      <c r="K406" s="14"/>
      <c r="L406" s="9"/>
      <c r="M406" s="15" t="str">
        <f t="shared" si="36"/>
        <v/>
      </c>
      <c r="N406" s="15" t="str">
        <f t="shared" si="37"/>
        <v/>
      </c>
      <c r="O406" s="4" t="str">
        <f t="shared" ca="1" si="38"/>
        <v/>
      </c>
      <c r="P406" s="17" t="str">
        <f>IF(A406="","",IFERROR(IF(INDEX(激励事件明细!$P$2:$P$501,MATCH(T406,激励事件明细!$A$2:$A$501,0))=0,"",INDEX(激励事件明细!$P$2:$P$501,MATCH(T406,激励事件明细!$A$2:$A$501,0))),""))</f>
        <v/>
      </c>
      <c r="Q406" s="4" t="str">
        <f t="shared" si="39"/>
        <v>无效</v>
      </c>
      <c r="R406" s="4" t="str">
        <f t="shared" ca="1" si="40"/>
        <v>异常：必须关联有效事件编号或税额批次</v>
      </c>
      <c r="S406" s="9"/>
      <c r="T406" s="4" t="str">
        <f>IF(D406&lt;&gt;"",IF(COUNTIF(激励事件明细!$A$2:$A$501,D406)=1,D406,""),IF(E406&lt;&gt;"",IFERROR(INDEX(激励事件明细!$A$2:$A$501,MATCH(E406,激励事件明细!$B$2:$B$501,0)),""),""))</f>
        <v/>
      </c>
      <c r="U406" s="4" t="str">
        <f>IF(T406="","",IFERROR(INDEX(激励事件明细!$B$2:$B$501,MATCH(T406,激励事件明细!$A$2:$A$501,0)),""))</f>
        <v/>
      </c>
      <c r="V406" s="4" t="str">
        <f>IF(A406="","",COUNTIF($A$2:A406,A406))</f>
        <v/>
      </c>
      <c r="W406" s="4" t="str">
        <f t="shared" si="41"/>
        <v/>
      </c>
    </row>
    <row r="407" spans="1:23" x14ac:dyDescent="0.3">
      <c r="A407" s="4" t="str">
        <f>IF(T407="","",IFERROR(INDEX(激励事件明细!$C$2:$C$501,MATCH(T407,激励事件明细!$A$2:$A$501,0)),""))</f>
        <v/>
      </c>
      <c r="B407" s="4" t="str">
        <f>IF(A407="","",IFERROR(INDEX(激励事件明细!$D$2:$D$501,MATCH(T407,激励事件明细!$A$2:$A$501,0)),""))</f>
        <v/>
      </c>
      <c r="C407" s="4" t="str">
        <f>IF(A407="","",IFERROR(INDEX(激励事件明细!$H$2:$H$501,MATCH(T407,激励事件明细!$A$2:$A$501,0)),""))</f>
        <v/>
      </c>
      <c r="D407" s="9"/>
      <c r="E407" s="9"/>
      <c r="F407" s="15" t="str">
        <f>IF(A407="","",IFERROR(INDEX(激励事件明细!$AA$2:$AA$501,MATCH(T407,激励事件明细!$A$2:$A$501,0)),""))</f>
        <v/>
      </c>
      <c r="G407" s="17" t="str">
        <f>IF(A407="","",IFERROR(INDEX(激励事件明细!$AB$2:$AB$501,MATCH(T407,激励事件明细!$A$2:$A$501,0)),""))</f>
        <v/>
      </c>
      <c r="H407" s="17" t="str">
        <f>IF(A407="","",IFERROR(INDEX(激励事件明细!$AC$2:$AC$501,MATCH(T407,激励事件明细!$A$2:$A$501,0)),""))</f>
        <v/>
      </c>
      <c r="I407" s="13"/>
      <c r="J407" s="14"/>
      <c r="K407" s="14"/>
      <c r="L407" s="9"/>
      <c r="M407" s="15" t="str">
        <f t="shared" si="36"/>
        <v/>
      </c>
      <c r="N407" s="15" t="str">
        <f t="shared" si="37"/>
        <v/>
      </c>
      <c r="O407" s="4" t="str">
        <f t="shared" ca="1" si="38"/>
        <v/>
      </c>
      <c r="P407" s="17" t="str">
        <f>IF(A407="","",IFERROR(IF(INDEX(激励事件明细!$P$2:$P$501,MATCH(T407,激励事件明细!$A$2:$A$501,0))=0,"",INDEX(激励事件明细!$P$2:$P$501,MATCH(T407,激励事件明细!$A$2:$A$501,0))),""))</f>
        <v/>
      </c>
      <c r="Q407" s="4" t="str">
        <f t="shared" si="39"/>
        <v>无效</v>
      </c>
      <c r="R407" s="4" t="str">
        <f t="shared" ca="1" si="40"/>
        <v>异常：必须关联有效事件编号或税额批次</v>
      </c>
      <c r="S407" s="9"/>
      <c r="T407" s="4" t="str">
        <f>IF(D407&lt;&gt;"",IF(COUNTIF(激励事件明细!$A$2:$A$501,D407)=1,D407,""),IF(E407&lt;&gt;"",IFERROR(INDEX(激励事件明细!$A$2:$A$501,MATCH(E407,激励事件明细!$B$2:$B$501,0)),""),""))</f>
        <v/>
      </c>
      <c r="U407" s="4" t="str">
        <f>IF(T407="","",IFERROR(INDEX(激励事件明细!$B$2:$B$501,MATCH(T407,激励事件明细!$A$2:$A$501,0)),""))</f>
        <v/>
      </c>
      <c r="V407" s="4" t="str">
        <f>IF(A407="","",COUNTIF($A$2:A407,A407))</f>
        <v/>
      </c>
      <c r="W407" s="4" t="str">
        <f t="shared" si="41"/>
        <v/>
      </c>
    </row>
    <row r="408" spans="1:23" x14ac:dyDescent="0.3">
      <c r="A408" s="4" t="str">
        <f>IF(T408="","",IFERROR(INDEX(激励事件明细!$C$2:$C$501,MATCH(T408,激励事件明细!$A$2:$A$501,0)),""))</f>
        <v/>
      </c>
      <c r="B408" s="4" t="str">
        <f>IF(A408="","",IFERROR(INDEX(激励事件明细!$D$2:$D$501,MATCH(T408,激励事件明细!$A$2:$A$501,0)),""))</f>
        <v/>
      </c>
      <c r="C408" s="4" t="str">
        <f>IF(A408="","",IFERROR(INDEX(激励事件明细!$H$2:$H$501,MATCH(T408,激励事件明细!$A$2:$A$501,0)),""))</f>
        <v/>
      </c>
      <c r="D408" s="9"/>
      <c r="E408" s="9"/>
      <c r="F408" s="15" t="str">
        <f>IF(A408="","",IFERROR(INDEX(激励事件明细!$AA$2:$AA$501,MATCH(T408,激励事件明细!$A$2:$A$501,0)),""))</f>
        <v/>
      </c>
      <c r="G408" s="17" t="str">
        <f>IF(A408="","",IFERROR(INDEX(激励事件明细!$AB$2:$AB$501,MATCH(T408,激励事件明细!$A$2:$A$501,0)),""))</f>
        <v/>
      </c>
      <c r="H408" s="17" t="str">
        <f>IF(A408="","",IFERROR(INDEX(激励事件明细!$AC$2:$AC$501,MATCH(T408,激励事件明细!$A$2:$A$501,0)),""))</f>
        <v/>
      </c>
      <c r="I408" s="13"/>
      <c r="J408" s="14"/>
      <c r="K408" s="14"/>
      <c r="L408" s="9"/>
      <c r="M408" s="15" t="str">
        <f t="shared" si="36"/>
        <v/>
      </c>
      <c r="N408" s="15" t="str">
        <f t="shared" si="37"/>
        <v/>
      </c>
      <c r="O408" s="4" t="str">
        <f t="shared" ca="1" si="38"/>
        <v/>
      </c>
      <c r="P408" s="17" t="str">
        <f>IF(A408="","",IFERROR(IF(INDEX(激励事件明细!$P$2:$P$501,MATCH(T408,激励事件明细!$A$2:$A$501,0))=0,"",INDEX(激励事件明细!$P$2:$P$501,MATCH(T408,激励事件明细!$A$2:$A$501,0))),""))</f>
        <v/>
      </c>
      <c r="Q408" s="4" t="str">
        <f t="shared" si="39"/>
        <v>无效</v>
      </c>
      <c r="R408" s="4" t="str">
        <f t="shared" ca="1" si="40"/>
        <v>异常：必须关联有效事件编号或税额批次</v>
      </c>
      <c r="S408" s="9"/>
      <c r="T408" s="4" t="str">
        <f>IF(D408&lt;&gt;"",IF(COUNTIF(激励事件明细!$A$2:$A$501,D408)=1,D408,""),IF(E408&lt;&gt;"",IFERROR(INDEX(激励事件明细!$A$2:$A$501,MATCH(E408,激励事件明细!$B$2:$B$501,0)),""),""))</f>
        <v/>
      </c>
      <c r="U408" s="4" t="str">
        <f>IF(T408="","",IFERROR(INDEX(激励事件明细!$B$2:$B$501,MATCH(T408,激励事件明细!$A$2:$A$501,0)),""))</f>
        <v/>
      </c>
      <c r="V408" s="4" t="str">
        <f>IF(A408="","",COUNTIF($A$2:A408,A408))</f>
        <v/>
      </c>
      <c r="W408" s="4" t="str">
        <f t="shared" si="41"/>
        <v/>
      </c>
    </row>
    <row r="409" spans="1:23" x14ac:dyDescent="0.3">
      <c r="A409" s="4" t="str">
        <f>IF(T409="","",IFERROR(INDEX(激励事件明细!$C$2:$C$501,MATCH(T409,激励事件明细!$A$2:$A$501,0)),""))</f>
        <v/>
      </c>
      <c r="B409" s="4" t="str">
        <f>IF(A409="","",IFERROR(INDEX(激励事件明细!$D$2:$D$501,MATCH(T409,激励事件明细!$A$2:$A$501,0)),""))</f>
        <v/>
      </c>
      <c r="C409" s="4" t="str">
        <f>IF(A409="","",IFERROR(INDEX(激励事件明细!$H$2:$H$501,MATCH(T409,激励事件明细!$A$2:$A$501,0)),""))</f>
        <v/>
      </c>
      <c r="D409" s="9"/>
      <c r="E409" s="9"/>
      <c r="F409" s="15" t="str">
        <f>IF(A409="","",IFERROR(INDEX(激励事件明细!$AA$2:$AA$501,MATCH(T409,激励事件明细!$A$2:$A$501,0)),""))</f>
        <v/>
      </c>
      <c r="G409" s="17" t="str">
        <f>IF(A409="","",IFERROR(INDEX(激励事件明细!$AB$2:$AB$501,MATCH(T409,激励事件明细!$A$2:$A$501,0)),""))</f>
        <v/>
      </c>
      <c r="H409" s="17" t="str">
        <f>IF(A409="","",IFERROR(INDEX(激励事件明细!$AC$2:$AC$501,MATCH(T409,激励事件明细!$A$2:$A$501,0)),""))</f>
        <v/>
      </c>
      <c r="I409" s="13"/>
      <c r="J409" s="14"/>
      <c r="K409" s="14"/>
      <c r="L409" s="9"/>
      <c r="M409" s="15" t="str">
        <f t="shared" si="36"/>
        <v/>
      </c>
      <c r="N409" s="15" t="str">
        <f t="shared" si="37"/>
        <v/>
      </c>
      <c r="O409" s="4" t="str">
        <f t="shared" ca="1" si="38"/>
        <v/>
      </c>
      <c r="P409" s="17" t="str">
        <f>IF(A409="","",IFERROR(IF(INDEX(激励事件明细!$P$2:$P$501,MATCH(T409,激励事件明细!$A$2:$A$501,0))=0,"",INDEX(激励事件明细!$P$2:$P$501,MATCH(T409,激励事件明细!$A$2:$A$501,0))),""))</f>
        <v/>
      </c>
      <c r="Q409" s="4" t="str">
        <f t="shared" si="39"/>
        <v>无效</v>
      </c>
      <c r="R409" s="4" t="str">
        <f t="shared" ca="1" si="40"/>
        <v>异常：必须关联有效事件编号或税额批次</v>
      </c>
      <c r="S409" s="9"/>
      <c r="T409" s="4" t="str">
        <f>IF(D409&lt;&gt;"",IF(COUNTIF(激励事件明细!$A$2:$A$501,D409)=1,D409,""),IF(E409&lt;&gt;"",IFERROR(INDEX(激励事件明细!$A$2:$A$501,MATCH(E409,激励事件明细!$B$2:$B$501,0)),""),""))</f>
        <v/>
      </c>
      <c r="U409" s="4" t="str">
        <f>IF(T409="","",IFERROR(INDEX(激励事件明细!$B$2:$B$501,MATCH(T409,激励事件明细!$A$2:$A$501,0)),""))</f>
        <v/>
      </c>
      <c r="V409" s="4" t="str">
        <f>IF(A409="","",COUNTIF($A$2:A409,A409))</f>
        <v/>
      </c>
      <c r="W409" s="4" t="str">
        <f t="shared" si="41"/>
        <v/>
      </c>
    </row>
    <row r="410" spans="1:23" x14ac:dyDescent="0.3">
      <c r="A410" s="4" t="str">
        <f>IF(T410="","",IFERROR(INDEX(激励事件明细!$C$2:$C$501,MATCH(T410,激励事件明细!$A$2:$A$501,0)),""))</f>
        <v/>
      </c>
      <c r="B410" s="4" t="str">
        <f>IF(A410="","",IFERROR(INDEX(激励事件明细!$D$2:$D$501,MATCH(T410,激励事件明细!$A$2:$A$501,0)),""))</f>
        <v/>
      </c>
      <c r="C410" s="4" t="str">
        <f>IF(A410="","",IFERROR(INDEX(激励事件明细!$H$2:$H$501,MATCH(T410,激励事件明细!$A$2:$A$501,0)),""))</f>
        <v/>
      </c>
      <c r="D410" s="9"/>
      <c r="E410" s="9"/>
      <c r="F410" s="15" t="str">
        <f>IF(A410="","",IFERROR(INDEX(激励事件明细!$AA$2:$AA$501,MATCH(T410,激励事件明细!$A$2:$A$501,0)),""))</f>
        <v/>
      </c>
      <c r="G410" s="17" t="str">
        <f>IF(A410="","",IFERROR(INDEX(激励事件明细!$AB$2:$AB$501,MATCH(T410,激励事件明细!$A$2:$A$501,0)),""))</f>
        <v/>
      </c>
      <c r="H410" s="17" t="str">
        <f>IF(A410="","",IFERROR(INDEX(激励事件明细!$AC$2:$AC$501,MATCH(T410,激励事件明细!$A$2:$A$501,0)),""))</f>
        <v/>
      </c>
      <c r="I410" s="13"/>
      <c r="J410" s="14"/>
      <c r="K410" s="14"/>
      <c r="L410" s="9"/>
      <c r="M410" s="15" t="str">
        <f t="shared" si="36"/>
        <v/>
      </c>
      <c r="N410" s="15" t="str">
        <f t="shared" si="37"/>
        <v/>
      </c>
      <c r="O410" s="4" t="str">
        <f t="shared" ca="1" si="38"/>
        <v/>
      </c>
      <c r="P410" s="17" t="str">
        <f>IF(A410="","",IFERROR(IF(INDEX(激励事件明细!$P$2:$P$501,MATCH(T410,激励事件明细!$A$2:$A$501,0))=0,"",INDEX(激励事件明细!$P$2:$P$501,MATCH(T410,激励事件明细!$A$2:$A$501,0))),""))</f>
        <v/>
      </c>
      <c r="Q410" s="4" t="str">
        <f t="shared" si="39"/>
        <v>无效</v>
      </c>
      <c r="R410" s="4" t="str">
        <f t="shared" ca="1" si="40"/>
        <v>异常：必须关联有效事件编号或税额批次</v>
      </c>
      <c r="S410" s="9"/>
      <c r="T410" s="4" t="str">
        <f>IF(D410&lt;&gt;"",IF(COUNTIF(激励事件明细!$A$2:$A$501,D410)=1,D410,""),IF(E410&lt;&gt;"",IFERROR(INDEX(激励事件明细!$A$2:$A$501,MATCH(E410,激励事件明细!$B$2:$B$501,0)),""),""))</f>
        <v/>
      </c>
      <c r="U410" s="4" t="str">
        <f>IF(T410="","",IFERROR(INDEX(激励事件明细!$B$2:$B$501,MATCH(T410,激励事件明细!$A$2:$A$501,0)),""))</f>
        <v/>
      </c>
      <c r="V410" s="4" t="str">
        <f>IF(A410="","",COUNTIF($A$2:A410,A410))</f>
        <v/>
      </c>
      <c r="W410" s="4" t="str">
        <f t="shared" si="41"/>
        <v/>
      </c>
    </row>
    <row r="411" spans="1:23" x14ac:dyDescent="0.3">
      <c r="A411" s="4" t="str">
        <f>IF(T411="","",IFERROR(INDEX(激励事件明细!$C$2:$C$501,MATCH(T411,激励事件明细!$A$2:$A$501,0)),""))</f>
        <v/>
      </c>
      <c r="B411" s="4" t="str">
        <f>IF(A411="","",IFERROR(INDEX(激励事件明细!$D$2:$D$501,MATCH(T411,激励事件明细!$A$2:$A$501,0)),""))</f>
        <v/>
      </c>
      <c r="C411" s="4" t="str">
        <f>IF(A411="","",IFERROR(INDEX(激励事件明细!$H$2:$H$501,MATCH(T411,激励事件明细!$A$2:$A$501,0)),""))</f>
        <v/>
      </c>
      <c r="D411" s="9"/>
      <c r="E411" s="9"/>
      <c r="F411" s="15" t="str">
        <f>IF(A411="","",IFERROR(INDEX(激励事件明细!$AA$2:$AA$501,MATCH(T411,激励事件明细!$A$2:$A$501,0)),""))</f>
        <v/>
      </c>
      <c r="G411" s="17" t="str">
        <f>IF(A411="","",IFERROR(INDEX(激励事件明细!$AB$2:$AB$501,MATCH(T411,激励事件明细!$A$2:$A$501,0)),""))</f>
        <v/>
      </c>
      <c r="H411" s="17" t="str">
        <f>IF(A411="","",IFERROR(INDEX(激励事件明细!$AC$2:$AC$501,MATCH(T411,激励事件明细!$A$2:$A$501,0)),""))</f>
        <v/>
      </c>
      <c r="I411" s="13"/>
      <c r="J411" s="14"/>
      <c r="K411" s="14"/>
      <c r="L411" s="9"/>
      <c r="M411" s="15" t="str">
        <f t="shared" si="36"/>
        <v/>
      </c>
      <c r="N411" s="15" t="str">
        <f t="shared" si="37"/>
        <v/>
      </c>
      <c r="O411" s="4" t="str">
        <f t="shared" ca="1" si="38"/>
        <v/>
      </c>
      <c r="P411" s="17" t="str">
        <f>IF(A411="","",IFERROR(IF(INDEX(激励事件明细!$P$2:$P$501,MATCH(T411,激励事件明细!$A$2:$A$501,0))=0,"",INDEX(激励事件明细!$P$2:$P$501,MATCH(T411,激励事件明细!$A$2:$A$501,0))),""))</f>
        <v/>
      </c>
      <c r="Q411" s="4" t="str">
        <f t="shared" si="39"/>
        <v>无效</v>
      </c>
      <c r="R411" s="4" t="str">
        <f t="shared" ca="1" si="40"/>
        <v>异常：必须关联有效事件编号或税额批次</v>
      </c>
      <c r="S411" s="9"/>
      <c r="T411" s="4" t="str">
        <f>IF(D411&lt;&gt;"",IF(COUNTIF(激励事件明细!$A$2:$A$501,D411)=1,D411,""),IF(E411&lt;&gt;"",IFERROR(INDEX(激励事件明细!$A$2:$A$501,MATCH(E411,激励事件明细!$B$2:$B$501,0)),""),""))</f>
        <v/>
      </c>
      <c r="U411" s="4" t="str">
        <f>IF(T411="","",IFERROR(INDEX(激励事件明细!$B$2:$B$501,MATCH(T411,激励事件明细!$A$2:$A$501,0)),""))</f>
        <v/>
      </c>
      <c r="V411" s="4" t="str">
        <f>IF(A411="","",COUNTIF($A$2:A411,A411))</f>
        <v/>
      </c>
      <c r="W411" s="4" t="str">
        <f t="shared" si="41"/>
        <v/>
      </c>
    </row>
    <row r="412" spans="1:23" x14ac:dyDescent="0.3">
      <c r="A412" s="4" t="str">
        <f>IF(T412="","",IFERROR(INDEX(激励事件明细!$C$2:$C$501,MATCH(T412,激励事件明细!$A$2:$A$501,0)),""))</f>
        <v/>
      </c>
      <c r="B412" s="4" t="str">
        <f>IF(A412="","",IFERROR(INDEX(激励事件明细!$D$2:$D$501,MATCH(T412,激励事件明细!$A$2:$A$501,0)),""))</f>
        <v/>
      </c>
      <c r="C412" s="4" t="str">
        <f>IF(A412="","",IFERROR(INDEX(激励事件明细!$H$2:$H$501,MATCH(T412,激励事件明细!$A$2:$A$501,0)),""))</f>
        <v/>
      </c>
      <c r="D412" s="9"/>
      <c r="E412" s="9"/>
      <c r="F412" s="15" t="str">
        <f>IF(A412="","",IFERROR(INDEX(激励事件明细!$AA$2:$AA$501,MATCH(T412,激励事件明细!$A$2:$A$501,0)),""))</f>
        <v/>
      </c>
      <c r="G412" s="17" t="str">
        <f>IF(A412="","",IFERROR(INDEX(激励事件明细!$AB$2:$AB$501,MATCH(T412,激励事件明细!$A$2:$A$501,0)),""))</f>
        <v/>
      </c>
      <c r="H412" s="17" t="str">
        <f>IF(A412="","",IFERROR(INDEX(激励事件明细!$AC$2:$AC$501,MATCH(T412,激励事件明细!$A$2:$A$501,0)),""))</f>
        <v/>
      </c>
      <c r="I412" s="13"/>
      <c r="J412" s="14"/>
      <c r="K412" s="14"/>
      <c r="L412" s="9"/>
      <c r="M412" s="15" t="str">
        <f t="shared" si="36"/>
        <v/>
      </c>
      <c r="N412" s="15" t="str">
        <f t="shared" si="37"/>
        <v/>
      </c>
      <c r="O412" s="4" t="str">
        <f t="shared" ca="1" si="38"/>
        <v/>
      </c>
      <c r="P412" s="17" t="str">
        <f>IF(A412="","",IFERROR(IF(INDEX(激励事件明细!$P$2:$P$501,MATCH(T412,激励事件明细!$A$2:$A$501,0))=0,"",INDEX(激励事件明细!$P$2:$P$501,MATCH(T412,激励事件明细!$A$2:$A$501,0))),""))</f>
        <v/>
      </c>
      <c r="Q412" s="4" t="str">
        <f t="shared" si="39"/>
        <v>无效</v>
      </c>
      <c r="R412" s="4" t="str">
        <f t="shared" ca="1" si="40"/>
        <v>异常：必须关联有效事件编号或税额批次</v>
      </c>
      <c r="S412" s="9"/>
      <c r="T412" s="4" t="str">
        <f>IF(D412&lt;&gt;"",IF(COUNTIF(激励事件明细!$A$2:$A$501,D412)=1,D412,""),IF(E412&lt;&gt;"",IFERROR(INDEX(激励事件明细!$A$2:$A$501,MATCH(E412,激励事件明细!$B$2:$B$501,0)),""),""))</f>
        <v/>
      </c>
      <c r="U412" s="4" t="str">
        <f>IF(T412="","",IFERROR(INDEX(激励事件明细!$B$2:$B$501,MATCH(T412,激励事件明细!$A$2:$A$501,0)),""))</f>
        <v/>
      </c>
      <c r="V412" s="4" t="str">
        <f>IF(A412="","",COUNTIF($A$2:A412,A412))</f>
        <v/>
      </c>
      <c r="W412" s="4" t="str">
        <f t="shared" si="41"/>
        <v/>
      </c>
    </row>
    <row r="413" spans="1:23" x14ac:dyDescent="0.3">
      <c r="A413" s="4" t="str">
        <f>IF(T413="","",IFERROR(INDEX(激励事件明细!$C$2:$C$501,MATCH(T413,激励事件明细!$A$2:$A$501,0)),""))</f>
        <v/>
      </c>
      <c r="B413" s="4" t="str">
        <f>IF(A413="","",IFERROR(INDEX(激励事件明细!$D$2:$D$501,MATCH(T413,激励事件明细!$A$2:$A$501,0)),""))</f>
        <v/>
      </c>
      <c r="C413" s="4" t="str">
        <f>IF(A413="","",IFERROR(INDEX(激励事件明细!$H$2:$H$501,MATCH(T413,激励事件明细!$A$2:$A$501,0)),""))</f>
        <v/>
      </c>
      <c r="D413" s="9"/>
      <c r="E413" s="9"/>
      <c r="F413" s="15" t="str">
        <f>IF(A413="","",IFERROR(INDEX(激励事件明细!$AA$2:$AA$501,MATCH(T413,激励事件明细!$A$2:$A$501,0)),""))</f>
        <v/>
      </c>
      <c r="G413" s="17" t="str">
        <f>IF(A413="","",IFERROR(INDEX(激励事件明细!$AB$2:$AB$501,MATCH(T413,激励事件明细!$A$2:$A$501,0)),""))</f>
        <v/>
      </c>
      <c r="H413" s="17" t="str">
        <f>IF(A413="","",IFERROR(INDEX(激励事件明细!$AC$2:$AC$501,MATCH(T413,激励事件明细!$A$2:$A$501,0)),""))</f>
        <v/>
      </c>
      <c r="I413" s="13"/>
      <c r="J413" s="14"/>
      <c r="K413" s="14"/>
      <c r="L413" s="9"/>
      <c r="M413" s="15" t="str">
        <f t="shared" si="36"/>
        <v/>
      </c>
      <c r="N413" s="15" t="str">
        <f t="shared" si="37"/>
        <v/>
      </c>
      <c r="O413" s="4" t="str">
        <f t="shared" ca="1" si="38"/>
        <v/>
      </c>
      <c r="P413" s="17" t="str">
        <f>IF(A413="","",IFERROR(IF(INDEX(激励事件明细!$P$2:$P$501,MATCH(T413,激励事件明细!$A$2:$A$501,0))=0,"",INDEX(激励事件明细!$P$2:$P$501,MATCH(T413,激励事件明细!$A$2:$A$501,0))),""))</f>
        <v/>
      </c>
      <c r="Q413" s="4" t="str">
        <f t="shared" si="39"/>
        <v>无效</v>
      </c>
      <c r="R413" s="4" t="str">
        <f t="shared" ca="1" si="40"/>
        <v>异常：必须关联有效事件编号或税额批次</v>
      </c>
      <c r="S413" s="9"/>
      <c r="T413" s="4" t="str">
        <f>IF(D413&lt;&gt;"",IF(COUNTIF(激励事件明细!$A$2:$A$501,D413)=1,D413,""),IF(E413&lt;&gt;"",IFERROR(INDEX(激励事件明细!$A$2:$A$501,MATCH(E413,激励事件明细!$B$2:$B$501,0)),""),""))</f>
        <v/>
      </c>
      <c r="U413" s="4" t="str">
        <f>IF(T413="","",IFERROR(INDEX(激励事件明细!$B$2:$B$501,MATCH(T413,激励事件明细!$A$2:$A$501,0)),""))</f>
        <v/>
      </c>
      <c r="V413" s="4" t="str">
        <f>IF(A413="","",COUNTIF($A$2:A413,A413))</f>
        <v/>
      </c>
      <c r="W413" s="4" t="str">
        <f t="shared" si="41"/>
        <v/>
      </c>
    </row>
    <row r="414" spans="1:23" x14ac:dyDescent="0.3">
      <c r="A414" s="4" t="str">
        <f>IF(T414="","",IFERROR(INDEX(激励事件明细!$C$2:$C$501,MATCH(T414,激励事件明细!$A$2:$A$501,0)),""))</f>
        <v/>
      </c>
      <c r="B414" s="4" t="str">
        <f>IF(A414="","",IFERROR(INDEX(激励事件明细!$D$2:$D$501,MATCH(T414,激励事件明细!$A$2:$A$501,0)),""))</f>
        <v/>
      </c>
      <c r="C414" s="4" t="str">
        <f>IF(A414="","",IFERROR(INDEX(激励事件明细!$H$2:$H$501,MATCH(T414,激励事件明细!$A$2:$A$501,0)),""))</f>
        <v/>
      </c>
      <c r="D414" s="9"/>
      <c r="E414" s="9"/>
      <c r="F414" s="15" t="str">
        <f>IF(A414="","",IFERROR(INDEX(激励事件明细!$AA$2:$AA$501,MATCH(T414,激励事件明细!$A$2:$A$501,0)),""))</f>
        <v/>
      </c>
      <c r="G414" s="17" t="str">
        <f>IF(A414="","",IFERROR(INDEX(激励事件明细!$AB$2:$AB$501,MATCH(T414,激励事件明细!$A$2:$A$501,0)),""))</f>
        <v/>
      </c>
      <c r="H414" s="17" t="str">
        <f>IF(A414="","",IFERROR(INDEX(激励事件明细!$AC$2:$AC$501,MATCH(T414,激励事件明细!$A$2:$A$501,0)),""))</f>
        <v/>
      </c>
      <c r="I414" s="13"/>
      <c r="J414" s="14"/>
      <c r="K414" s="14"/>
      <c r="L414" s="9"/>
      <c r="M414" s="15" t="str">
        <f t="shared" si="36"/>
        <v/>
      </c>
      <c r="N414" s="15" t="str">
        <f t="shared" si="37"/>
        <v/>
      </c>
      <c r="O414" s="4" t="str">
        <f t="shared" ca="1" si="38"/>
        <v/>
      </c>
      <c r="P414" s="17" t="str">
        <f>IF(A414="","",IFERROR(IF(INDEX(激励事件明细!$P$2:$P$501,MATCH(T414,激励事件明细!$A$2:$A$501,0))=0,"",INDEX(激励事件明细!$P$2:$P$501,MATCH(T414,激励事件明细!$A$2:$A$501,0))),""))</f>
        <v/>
      </c>
      <c r="Q414" s="4" t="str">
        <f t="shared" si="39"/>
        <v>无效</v>
      </c>
      <c r="R414" s="4" t="str">
        <f t="shared" ca="1" si="40"/>
        <v>异常：必须关联有效事件编号或税额批次</v>
      </c>
      <c r="S414" s="9"/>
      <c r="T414" s="4" t="str">
        <f>IF(D414&lt;&gt;"",IF(COUNTIF(激励事件明细!$A$2:$A$501,D414)=1,D414,""),IF(E414&lt;&gt;"",IFERROR(INDEX(激励事件明细!$A$2:$A$501,MATCH(E414,激励事件明细!$B$2:$B$501,0)),""),""))</f>
        <v/>
      </c>
      <c r="U414" s="4" t="str">
        <f>IF(T414="","",IFERROR(INDEX(激励事件明细!$B$2:$B$501,MATCH(T414,激励事件明细!$A$2:$A$501,0)),""))</f>
        <v/>
      </c>
      <c r="V414" s="4" t="str">
        <f>IF(A414="","",COUNTIF($A$2:A414,A414))</f>
        <v/>
      </c>
      <c r="W414" s="4" t="str">
        <f t="shared" si="41"/>
        <v/>
      </c>
    </row>
    <row r="415" spans="1:23" x14ac:dyDescent="0.3">
      <c r="A415" s="4" t="str">
        <f>IF(T415="","",IFERROR(INDEX(激励事件明细!$C$2:$C$501,MATCH(T415,激励事件明细!$A$2:$A$501,0)),""))</f>
        <v/>
      </c>
      <c r="B415" s="4" t="str">
        <f>IF(A415="","",IFERROR(INDEX(激励事件明细!$D$2:$D$501,MATCH(T415,激励事件明细!$A$2:$A$501,0)),""))</f>
        <v/>
      </c>
      <c r="C415" s="4" t="str">
        <f>IF(A415="","",IFERROR(INDEX(激励事件明细!$H$2:$H$501,MATCH(T415,激励事件明细!$A$2:$A$501,0)),""))</f>
        <v/>
      </c>
      <c r="D415" s="9"/>
      <c r="E415" s="9"/>
      <c r="F415" s="15" t="str">
        <f>IF(A415="","",IFERROR(INDEX(激励事件明细!$AA$2:$AA$501,MATCH(T415,激励事件明细!$A$2:$A$501,0)),""))</f>
        <v/>
      </c>
      <c r="G415" s="17" t="str">
        <f>IF(A415="","",IFERROR(INDEX(激励事件明细!$AB$2:$AB$501,MATCH(T415,激励事件明细!$A$2:$A$501,0)),""))</f>
        <v/>
      </c>
      <c r="H415" s="17" t="str">
        <f>IF(A415="","",IFERROR(INDEX(激励事件明细!$AC$2:$AC$501,MATCH(T415,激励事件明细!$A$2:$A$501,0)),""))</f>
        <v/>
      </c>
      <c r="I415" s="13"/>
      <c r="J415" s="14"/>
      <c r="K415" s="14"/>
      <c r="L415" s="9"/>
      <c r="M415" s="15" t="str">
        <f t="shared" si="36"/>
        <v/>
      </c>
      <c r="N415" s="15" t="str">
        <f t="shared" si="37"/>
        <v/>
      </c>
      <c r="O415" s="4" t="str">
        <f t="shared" ca="1" si="38"/>
        <v/>
      </c>
      <c r="P415" s="17" t="str">
        <f>IF(A415="","",IFERROR(IF(INDEX(激励事件明细!$P$2:$P$501,MATCH(T415,激励事件明细!$A$2:$A$501,0))=0,"",INDEX(激励事件明细!$P$2:$P$501,MATCH(T415,激励事件明细!$A$2:$A$501,0))),""))</f>
        <v/>
      </c>
      <c r="Q415" s="4" t="str">
        <f t="shared" si="39"/>
        <v>无效</v>
      </c>
      <c r="R415" s="4" t="str">
        <f t="shared" ca="1" si="40"/>
        <v>异常：必须关联有效事件编号或税额批次</v>
      </c>
      <c r="S415" s="9"/>
      <c r="T415" s="4" t="str">
        <f>IF(D415&lt;&gt;"",IF(COUNTIF(激励事件明细!$A$2:$A$501,D415)=1,D415,""),IF(E415&lt;&gt;"",IFERROR(INDEX(激励事件明细!$A$2:$A$501,MATCH(E415,激励事件明细!$B$2:$B$501,0)),""),""))</f>
        <v/>
      </c>
      <c r="U415" s="4" t="str">
        <f>IF(T415="","",IFERROR(INDEX(激励事件明细!$B$2:$B$501,MATCH(T415,激励事件明细!$A$2:$A$501,0)),""))</f>
        <v/>
      </c>
      <c r="V415" s="4" t="str">
        <f>IF(A415="","",COUNTIF($A$2:A415,A415))</f>
        <v/>
      </c>
      <c r="W415" s="4" t="str">
        <f t="shared" si="41"/>
        <v/>
      </c>
    </row>
    <row r="416" spans="1:23" x14ac:dyDescent="0.3">
      <c r="A416" s="4" t="str">
        <f>IF(T416="","",IFERROR(INDEX(激励事件明细!$C$2:$C$501,MATCH(T416,激励事件明细!$A$2:$A$501,0)),""))</f>
        <v/>
      </c>
      <c r="B416" s="4" t="str">
        <f>IF(A416="","",IFERROR(INDEX(激励事件明细!$D$2:$D$501,MATCH(T416,激励事件明细!$A$2:$A$501,0)),""))</f>
        <v/>
      </c>
      <c r="C416" s="4" t="str">
        <f>IF(A416="","",IFERROR(INDEX(激励事件明细!$H$2:$H$501,MATCH(T416,激励事件明细!$A$2:$A$501,0)),""))</f>
        <v/>
      </c>
      <c r="D416" s="9"/>
      <c r="E416" s="9"/>
      <c r="F416" s="15" t="str">
        <f>IF(A416="","",IFERROR(INDEX(激励事件明细!$AA$2:$AA$501,MATCH(T416,激励事件明细!$A$2:$A$501,0)),""))</f>
        <v/>
      </c>
      <c r="G416" s="17" t="str">
        <f>IF(A416="","",IFERROR(INDEX(激励事件明细!$AB$2:$AB$501,MATCH(T416,激励事件明细!$A$2:$A$501,0)),""))</f>
        <v/>
      </c>
      <c r="H416" s="17" t="str">
        <f>IF(A416="","",IFERROR(INDEX(激励事件明细!$AC$2:$AC$501,MATCH(T416,激励事件明细!$A$2:$A$501,0)),""))</f>
        <v/>
      </c>
      <c r="I416" s="13"/>
      <c r="J416" s="14"/>
      <c r="K416" s="14"/>
      <c r="L416" s="9"/>
      <c r="M416" s="15" t="str">
        <f t="shared" si="36"/>
        <v/>
      </c>
      <c r="N416" s="15" t="str">
        <f t="shared" si="37"/>
        <v/>
      </c>
      <c r="O416" s="4" t="str">
        <f t="shared" ca="1" si="38"/>
        <v/>
      </c>
      <c r="P416" s="17" t="str">
        <f>IF(A416="","",IFERROR(IF(INDEX(激励事件明细!$P$2:$P$501,MATCH(T416,激励事件明细!$A$2:$A$501,0))=0,"",INDEX(激励事件明细!$P$2:$P$501,MATCH(T416,激励事件明细!$A$2:$A$501,0))),""))</f>
        <v/>
      </c>
      <c r="Q416" s="4" t="str">
        <f t="shared" si="39"/>
        <v>无效</v>
      </c>
      <c r="R416" s="4" t="str">
        <f t="shared" ca="1" si="40"/>
        <v>异常：必须关联有效事件编号或税额批次</v>
      </c>
      <c r="S416" s="9"/>
      <c r="T416" s="4" t="str">
        <f>IF(D416&lt;&gt;"",IF(COUNTIF(激励事件明细!$A$2:$A$501,D416)=1,D416,""),IF(E416&lt;&gt;"",IFERROR(INDEX(激励事件明细!$A$2:$A$501,MATCH(E416,激励事件明细!$B$2:$B$501,0)),""),""))</f>
        <v/>
      </c>
      <c r="U416" s="4" t="str">
        <f>IF(T416="","",IFERROR(INDEX(激励事件明细!$B$2:$B$501,MATCH(T416,激励事件明细!$A$2:$A$501,0)),""))</f>
        <v/>
      </c>
      <c r="V416" s="4" t="str">
        <f>IF(A416="","",COUNTIF($A$2:A416,A416))</f>
        <v/>
      </c>
      <c r="W416" s="4" t="str">
        <f t="shared" si="41"/>
        <v/>
      </c>
    </row>
    <row r="417" spans="1:23" x14ac:dyDescent="0.3">
      <c r="A417" s="4" t="str">
        <f>IF(T417="","",IFERROR(INDEX(激励事件明细!$C$2:$C$501,MATCH(T417,激励事件明细!$A$2:$A$501,0)),""))</f>
        <v/>
      </c>
      <c r="B417" s="4" t="str">
        <f>IF(A417="","",IFERROR(INDEX(激励事件明细!$D$2:$D$501,MATCH(T417,激励事件明细!$A$2:$A$501,0)),""))</f>
        <v/>
      </c>
      <c r="C417" s="4" t="str">
        <f>IF(A417="","",IFERROR(INDEX(激励事件明细!$H$2:$H$501,MATCH(T417,激励事件明细!$A$2:$A$501,0)),""))</f>
        <v/>
      </c>
      <c r="D417" s="9"/>
      <c r="E417" s="9"/>
      <c r="F417" s="15" t="str">
        <f>IF(A417="","",IFERROR(INDEX(激励事件明细!$AA$2:$AA$501,MATCH(T417,激励事件明细!$A$2:$A$501,0)),""))</f>
        <v/>
      </c>
      <c r="G417" s="17" t="str">
        <f>IF(A417="","",IFERROR(INDEX(激励事件明细!$AB$2:$AB$501,MATCH(T417,激励事件明细!$A$2:$A$501,0)),""))</f>
        <v/>
      </c>
      <c r="H417" s="17" t="str">
        <f>IF(A417="","",IFERROR(INDEX(激励事件明细!$AC$2:$AC$501,MATCH(T417,激励事件明细!$A$2:$A$501,0)),""))</f>
        <v/>
      </c>
      <c r="I417" s="13"/>
      <c r="J417" s="14"/>
      <c r="K417" s="14"/>
      <c r="L417" s="9"/>
      <c r="M417" s="15" t="str">
        <f t="shared" si="36"/>
        <v/>
      </c>
      <c r="N417" s="15" t="str">
        <f t="shared" si="37"/>
        <v/>
      </c>
      <c r="O417" s="4" t="str">
        <f t="shared" ca="1" si="38"/>
        <v/>
      </c>
      <c r="P417" s="17" t="str">
        <f>IF(A417="","",IFERROR(IF(INDEX(激励事件明细!$P$2:$P$501,MATCH(T417,激励事件明细!$A$2:$A$501,0))=0,"",INDEX(激励事件明细!$P$2:$P$501,MATCH(T417,激励事件明细!$A$2:$A$501,0))),""))</f>
        <v/>
      </c>
      <c r="Q417" s="4" t="str">
        <f t="shared" si="39"/>
        <v>无效</v>
      </c>
      <c r="R417" s="4" t="str">
        <f t="shared" ca="1" si="40"/>
        <v>异常：必须关联有效事件编号或税额批次</v>
      </c>
      <c r="S417" s="9"/>
      <c r="T417" s="4" t="str">
        <f>IF(D417&lt;&gt;"",IF(COUNTIF(激励事件明细!$A$2:$A$501,D417)=1,D417,""),IF(E417&lt;&gt;"",IFERROR(INDEX(激励事件明细!$A$2:$A$501,MATCH(E417,激励事件明细!$B$2:$B$501,0)),""),""))</f>
        <v/>
      </c>
      <c r="U417" s="4" t="str">
        <f>IF(T417="","",IFERROR(INDEX(激励事件明细!$B$2:$B$501,MATCH(T417,激励事件明细!$A$2:$A$501,0)),""))</f>
        <v/>
      </c>
      <c r="V417" s="4" t="str">
        <f>IF(A417="","",COUNTIF($A$2:A417,A417))</f>
        <v/>
      </c>
      <c r="W417" s="4" t="str">
        <f t="shared" si="41"/>
        <v/>
      </c>
    </row>
    <row r="418" spans="1:23" x14ac:dyDescent="0.3">
      <c r="A418" s="4" t="str">
        <f>IF(T418="","",IFERROR(INDEX(激励事件明细!$C$2:$C$501,MATCH(T418,激励事件明细!$A$2:$A$501,0)),""))</f>
        <v/>
      </c>
      <c r="B418" s="4" t="str">
        <f>IF(A418="","",IFERROR(INDEX(激励事件明细!$D$2:$D$501,MATCH(T418,激励事件明细!$A$2:$A$501,0)),""))</f>
        <v/>
      </c>
      <c r="C418" s="4" t="str">
        <f>IF(A418="","",IFERROR(INDEX(激励事件明细!$H$2:$H$501,MATCH(T418,激励事件明细!$A$2:$A$501,0)),""))</f>
        <v/>
      </c>
      <c r="D418" s="9"/>
      <c r="E418" s="9"/>
      <c r="F418" s="15" t="str">
        <f>IF(A418="","",IFERROR(INDEX(激励事件明细!$AA$2:$AA$501,MATCH(T418,激励事件明细!$A$2:$A$501,0)),""))</f>
        <v/>
      </c>
      <c r="G418" s="17" t="str">
        <f>IF(A418="","",IFERROR(INDEX(激励事件明细!$AB$2:$AB$501,MATCH(T418,激励事件明细!$A$2:$A$501,0)),""))</f>
        <v/>
      </c>
      <c r="H418" s="17" t="str">
        <f>IF(A418="","",IFERROR(INDEX(激励事件明细!$AC$2:$AC$501,MATCH(T418,激励事件明细!$A$2:$A$501,0)),""))</f>
        <v/>
      </c>
      <c r="I418" s="13"/>
      <c r="J418" s="14"/>
      <c r="K418" s="14"/>
      <c r="L418" s="9"/>
      <c r="M418" s="15" t="str">
        <f t="shared" si="36"/>
        <v/>
      </c>
      <c r="N418" s="15" t="str">
        <f t="shared" si="37"/>
        <v/>
      </c>
      <c r="O418" s="4" t="str">
        <f t="shared" ca="1" si="38"/>
        <v/>
      </c>
      <c r="P418" s="17" t="str">
        <f>IF(A418="","",IFERROR(IF(INDEX(激励事件明细!$P$2:$P$501,MATCH(T418,激励事件明细!$A$2:$A$501,0))=0,"",INDEX(激励事件明细!$P$2:$P$501,MATCH(T418,激励事件明细!$A$2:$A$501,0))),""))</f>
        <v/>
      </c>
      <c r="Q418" s="4" t="str">
        <f t="shared" si="39"/>
        <v>无效</v>
      </c>
      <c r="R418" s="4" t="str">
        <f t="shared" ca="1" si="40"/>
        <v>异常：必须关联有效事件编号或税额批次</v>
      </c>
      <c r="S418" s="9"/>
      <c r="T418" s="4" t="str">
        <f>IF(D418&lt;&gt;"",IF(COUNTIF(激励事件明细!$A$2:$A$501,D418)=1,D418,""),IF(E418&lt;&gt;"",IFERROR(INDEX(激励事件明细!$A$2:$A$501,MATCH(E418,激励事件明细!$B$2:$B$501,0)),""),""))</f>
        <v/>
      </c>
      <c r="U418" s="4" t="str">
        <f>IF(T418="","",IFERROR(INDEX(激励事件明细!$B$2:$B$501,MATCH(T418,激励事件明细!$A$2:$A$501,0)),""))</f>
        <v/>
      </c>
      <c r="V418" s="4" t="str">
        <f>IF(A418="","",COUNTIF($A$2:A418,A418))</f>
        <v/>
      </c>
      <c r="W418" s="4" t="str">
        <f t="shared" si="41"/>
        <v/>
      </c>
    </row>
    <row r="419" spans="1:23" x14ac:dyDescent="0.3">
      <c r="A419" s="4" t="str">
        <f>IF(T419="","",IFERROR(INDEX(激励事件明细!$C$2:$C$501,MATCH(T419,激励事件明细!$A$2:$A$501,0)),""))</f>
        <v/>
      </c>
      <c r="B419" s="4" t="str">
        <f>IF(A419="","",IFERROR(INDEX(激励事件明细!$D$2:$D$501,MATCH(T419,激励事件明细!$A$2:$A$501,0)),""))</f>
        <v/>
      </c>
      <c r="C419" s="4" t="str">
        <f>IF(A419="","",IFERROR(INDEX(激励事件明细!$H$2:$H$501,MATCH(T419,激励事件明细!$A$2:$A$501,0)),""))</f>
        <v/>
      </c>
      <c r="D419" s="9"/>
      <c r="E419" s="9"/>
      <c r="F419" s="15" t="str">
        <f>IF(A419="","",IFERROR(INDEX(激励事件明细!$AA$2:$AA$501,MATCH(T419,激励事件明细!$A$2:$A$501,0)),""))</f>
        <v/>
      </c>
      <c r="G419" s="17" t="str">
        <f>IF(A419="","",IFERROR(INDEX(激励事件明细!$AB$2:$AB$501,MATCH(T419,激励事件明细!$A$2:$A$501,0)),""))</f>
        <v/>
      </c>
      <c r="H419" s="17" t="str">
        <f>IF(A419="","",IFERROR(INDEX(激励事件明细!$AC$2:$AC$501,MATCH(T419,激励事件明细!$A$2:$A$501,0)),""))</f>
        <v/>
      </c>
      <c r="I419" s="13"/>
      <c r="J419" s="14"/>
      <c r="K419" s="14"/>
      <c r="L419" s="9"/>
      <c r="M419" s="15" t="str">
        <f t="shared" si="36"/>
        <v/>
      </c>
      <c r="N419" s="15" t="str">
        <f t="shared" si="37"/>
        <v/>
      </c>
      <c r="O419" s="4" t="str">
        <f t="shared" ca="1" si="38"/>
        <v/>
      </c>
      <c r="P419" s="17" t="str">
        <f>IF(A419="","",IFERROR(IF(INDEX(激励事件明细!$P$2:$P$501,MATCH(T419,激励事件明细!$A$2:$A$501,0))=0,"",INDEX(激励事件明细!$P$2:$P$501,MATCH(T419,激励事件明细!$A$2:$A$501,0))),""))</f>
        <v/>
      </c>
      <c r="Q419" s="4" t="str">
        <f t="shared" si="39"/>
        <v>无效</v>
      </c>
      <c r="R419" s="4" t="str">
        <f t="shared" ca="1" si="40"/>
        <v>异常：必须关联有效事件编号或税额批次</v>
      </c>
      <c r="S419" s="9"/>
      <c r="T419" s="4" t="str">
        <f>IF(D419&lt;&gt;"",IF(COUNTIF(激励事件明细!$A$2:$A$501,D419)=1,D419,""),IF(E419&lt;&gt;"",IFERROR(INDEX(激励事件明细!$A$2:$A$501,MATCH(E419,激励事件明细!$B$2:$B$501,0)),""),""))</f>
        <v/>
      </c>
      <c r="U419" s="4" t="str">
        <f>IF(T419="","",IFERROR(INDEX(激励事件明细!$B$2:$B$501,MATCH(T419,激励事件明细!$A$2:$A$501,0)),""))</f>
        <v/>
      </c>
      <c r="V419" s="4" t="str">
        <f>IF(A419="","",COUNTIF($A$2:A419,A419))</f>
        <v/>
      </c>
      <c r="W419" s="4" t="str">
        <f t="shared" si="41"/>
        <v/>
      </c>
    </row>
    <row r="420" spans="1:23" x14ac:dyDescent="0.3">
      <c r="A420" s="4" t="str">
        <f>IF(T420="","",IFERROR(INDEX(激励事件明细!$C$2:$C$501,MATCH(T420,激励事件明细!$A$2:$A$501,0)),""))</f>
        <v/>
      </c>
      <c r="B420" s="4" t="str">
        <f>IF(A420="","",IFERROR(INDEX(激励事件明细!$D$2:$D$501,MATCH(T420,激励事件明细!$A$2:$A$501,0)),""))</f>
        <v/>
      </c>
      <c r="C420" s="4" t="str">
        <f>IF(A420="","",IFERROR(INDEX(激励事件明细!$H$2:$H$501,MATCH(T420,激励事件明细!$A$2:$A$501,0)),""))</f>
        <v/>
      </c>
      <c r="D420" s="9"/>
      <c r="E420" s="9"/>
      <c r="F420" s="15" t="str">
        <f>IF(A420="","",IFERROR(INDEX(激励事件明细!$AA$2:$AA$501,MATCH(T420,激励事件明细!$A$2:$A$501,0)),""))</f>
        <v/>
      </c>
      <c r="G420" s="17" t="str">
        <f>IF(A420="","",IFERROR(INDEX(激励事件明细!$AB$2:$AB$501,MATCH(T420,激励事件明细!$A$2:$A$501,0)),""))</f>
        <v/>
      </c>
      <c r="H420" s="17" t="str">
        <f>IF(A420="","",IFERROR(INDEX(激励事件明细!$AC$2:$AC$501,MATCH(T420,激励事件明细!$A$2:$A$501,0)),""))</f>
        <v/>
      </c>
      <c r="I420" s="13"/>
      <c r="J420" s="14"/>
      <c r="K420" s="14"/>
      <c r="L420" s="9"/>
      <c r="M420" s="15" t="str">
        <f t="shared" si="36"/>
        <v/>
      </c>
      <c r="N420" s="15" t="str">
        <f t="shared" si="37"/>
        <v/>
      </c>
      <c r="O420" s="4" t="str">
        <f t="shared" ca="1" si="38"/>
        <v/>
      </c>
      <c r="P420" s="17" t="str">
        <f>IF(A420="","",IFERROR(IF(INDEX(激励事件明细!$P$2:$P$501,MATCH(T420,激励事件明细!$A$2:$A$501,0))=0,"",INDEX(激励事件明细!$P$2:$P$501,MATCH(T420,激励事件明细!$A$2:$A$501,0))),""))</f>
        <v/>
      </c>
      <c r="Q420" s="4" t="str">
        <f t="shared" si="39"/>
        <v>无效</v>
      </c>
      <c r="R420" s="4" t="str">
        <f t="shared" ca="1" si="40"/>
        <v>异常：必须关联有效事件编号或税额批次</v>
      </c>
      <c r="S420" s="9"/>
      <c r="T420" s="4" t="str">
        <f>IF(D420&lt;&gt;"",IF(COUNTIF(激励事件明细!$A$2:$A$501,D420)=1,D420,""),IF(E420&lt;&gt;"",IFERROR(INDEX(激励事件明细!$A$2:$A$501,MATCH(E420,激励事件明细!$B$2:$B$501,0)),""),""))</f>
        <v/>
      </c>
      <c r="U420" s="4" t="str">
        <f>IF(T420="","",IFERROR(INDEX(激励事件明细!$B$2:$B$501,MATCH(T420,激励事件明细!$A$2:$A$501,0)),""))</f>
        <v/>
      </c>
      <c r="V420" s="4" t="str">
        <f>IF(A420="","",COUNTIF($A$2:A420,A420))</f>
        <v/>
      </c>
      <c r="W420" s="4" t="str">
        <f t="shared" si="41"/>
        <v/>
      </c>
    </row>
    <row r="421" spans="1:23" x14ac:dyDescent="0.3">
      <c r="A421" s="4" t="str">
        <f>IF(T421="","",IFERROR(INDEX(激励事件明细!$C$2:$C$501,MATCH(T421,激励事件明细!$A$2:$A$501,0)),""))</f>
        <v/>
      </c>
      <c r="B421" s="4" t="str">
        <f>IF(A421="","",IFERROR(INDEX(激励事件明细!$D$2:$D$501,MATCH(T421,激励事件明细!$A$2:$A$501,0)),""))</f>
        <v/>
      </c>
      <c r="C421" s="4" t="str">
        <f>IF(A421="","",IFERROR(INDEX(激励事件明细!$H$2:$H$501,MATCH(T421,激励事件明细!$A$2:$A$501,0)),""))</f>
        <v/>
      </c>
      <c r="D421" s="9"/>
      <c r="E421" s="9"/>
      <c r="F421" s="15" t="str">
        <f>IF(A421="","",IFERROR(INDEX(激励事件明细!$AA$2:$AA$501,MATCH(T421,激励事件明细!$A$2:$A$501,0)),""))</f>
        <v/>
      </c>
      <c r="G421" s="17" t="str">
        <f>IF(A421="","",IFERROR(INDEX(激励事件明细!$AB$2:$AB$501,MATCH(T421,激励事件明细!$A$2:$A$501,0)),""))</f>
        <v/>
      </c>
      <c r="H421" s="17" t="str">
        <f>IF(A421="","",IFERROR(INDEX(激励事件明细!$AC$2:$AC$501,MATCH(T421,激励事件明细!$A$2:$A$501,0)),""))</f>
        <v/>
      </c>
      <c r="I421" s="13"/>
      <c r="J421" s="14"/>
      <c r="K421" s="14"/>
      <c r="L421" s="9"/>
      <c r="M421" s="15" t="str">
        <f t="shared" si="36"/>
        <v/>
      </c>
      <c r="N421" s="15" t="str">
        <f t="shared" si="37"/>
        <v/>
      </c>
      <c r="O421" s="4" t="str">
        <f t="shared" ca="1" si="38"/>
        <v/>
      </c>
      <c r="P421" s="17" t="str">
        <f>IF(A421="","",IFERROR(IF(INDEX(激励事件明细!$P$2:$P$501,MATCH(T421,激励事件明细!$A$2:$A$501,0))=0,"",INDEX(激励事件明细!$P$2:$P$501,MATCH(T421,激励事件明细!$A$2:$A$501,0))),""))</f>
        <v/>
      </c>
      <c r="Q421" s="4" t="str">
        <f t="shared" si="39"/>
        <v>无效</v>
      </c>
      <c r="R421" s="4" t="str">
        <f t="shared" ca="1" si="40"/>
        <v>异常：必须关联有效事件编号或税额批次</v>
      </c>
      <c r="S421" s="9"/>
      <c r="T421" s="4" t="str">
        <f>IF(D421&lt;&gt;"",IF(COUNTIF(激励事件明细!$A$2:$A$501,D421)=1,D421,""),IF(E421&lt;&gt;"",IFERROR(INDEX(激励事件明细!$A$2:$A$501,MATCH(E421,激励事件明细!$B$2:$B$501,0)),""),""))</f>
        <v/>
      </c>
      <c r="U421" s="4" t="str">
        <f>IF(T421="","",IFERROR(INDEX(激励事件明细!$B$2:$B$501,MATCH(T421,激励事件明细!$A$2:$A$501,0)),""))</f>
        <v/>
      </c>
      <c r="V421" s="4" t="str">
        <f>IF(A421="","",COUNTIF($A$2:A421,A421))</f>
        <v/>
      </c>
      <c r="W421" s="4" t="str">
        <f t="shared" si="41"/>
        <v/>
      </c>
    </row>
    <row r="422" spans="1:23" x14ac:dyDescent="0.3">
      <c r="A422" s="4" t="str">
        <f>IF(T422="","",IFERROR(INDEX(激励事件明细!$C$2:$C$501,MATCH(T422,激励事件明细!$A$2:$A$501,0)),""))</f>
        <v/>
      </c>
      <c r="B422" s="4" t="str">
        <f>IF(A422="","",IFERROR(INDEX(激励事件明细!$D$2:$D$501,MATCH(T422,激励事件明细!$A$2:$A$501,0)),""))</f>
        <v/>
      </c>
      <c r="C422" s="4" t="str">
        <f>IF(A422="","",IFERROR(INDEX(激励事件明细!$H$2:$H$501,MATCH(T422,激励事件明细!$A$2:$A$501,0)),""))</f>
        <v/>
      </c>
      <c r="D422" s="9"/>
      <c r="E422" s="9"/>
      <c r="F422" s="15" t="str">
        <f>IF(A422="","",IFERROR(INDEX(激励事件明细!$AA$2:$AA$501,MATCH(T422,激励事件明细!$A$2:$A$501,0)),""))</f>
        <v/>
      </c>
      <c r="G422" s="17" t="str">
        <f>IF(A422="","",IFERROR(INDEX(激励事件明细!$AB$2:$AB$501,MATCH(T422,激励事件明细!$A$2:$A$501,0)),""))</f>
        <v/>
      </c>
      <c r="H422" s="17" t="str">
        <f>IF(A422="","",IFERROR(INDEX(激励事件明细!$AC$2:$AC$501,MATCH(T422,激励事件明细!$A$2:$A$501,0)),""))</f>
        <v/>
      </c>
      <c r="I422" s="13"/>
      <c r="J422" s="14"/>
      <c r="K422" s="14"/>
      <c r="L422" s="9"/>
      <c r="M422" s="15" t="str">
        <f t="shared" si="36"/>
        <v/>
      </c>
      <c r="N422" s="15" t="str">
        <f t="shared" si="37"/>
        <v/>
      </c>
      <c r="O422" s="4" t="str">
        <f t="shared" ca="1" si="38"/>
        <v/>
      </c>
      <c r="P422" s="17" t="str">
        <f>IF(A422="","",IFERROR(IF(INDEX(激励事件明细!$P$2:$P$501,MATCH(T422,激励事件明细!$A$2:$A$501,0))=0,"",INDEX(激励事件明细!$P$2:$P$501,MATCH(T422,激励事件明细!$A$2:$A$501,0))),""))</f>
        <v/>
      </c>
      <c r="Q422" s="4" t="str">
        <f t="shared" si="39"/>
        <v>无效</v>
      </c>
      <c r="R422" s="4" t="str">
        <f t="shared" ca="1" si="40"/>
        <v>异常：必须关联有效事件编号或税额批次</v>
      </c>
      <c r="S422" s="9"/>
      <c r="T422" s="4" t="str">
        <f>IF(D422&lt;&gt;"",IF(COUNTIF(激励事件明细!$A$2:$A$501,D422)=1,D422,""),IF(E422&lt;&gt;"",IFERROR(INDEX(激励事件明细!$A$2:$A$501,MATCH(E422,激励事件明细!$B$2:$B$501,0)),""),""))</f>
        <v/>
      </c>
      <c r="U422" s="4" t="str">
        <f>IF(T422="","",IFERROR(INDEX(激励事件明细!$B$2:$B$501,MATCH(T422,激励事件明细!$A$2:$A$501,0)),""))</f>
        <v/>
      </c>
      <c r="V422" s="4" t="str">
        <f>IF(A422="","",COUNTIF($A$2:A422,A422))</f>
        <v/>
      </c>
      <c r="W422" s="4" t="str">
        <f t="shared" si="41"/>
        <v/>
      </c>
    </row>
    <row r="423" spans="1:23" x14ac:dyDescent="0.3">
      <c r="A423" s="4" t="str">
        <f>IF(T423="","",IFERROR(INDEX(激励事件明细!$C$2:$C$501,MATCH(T423,激励事件明细!$A$2:$A$501,0)),""))</f>
        <v/>
      </c>
      <c r="B423" s="4" t="str">
        <f>IF(A423="","",IFERROR(INDEX(激励事件明细!$D$2:$D$501,MATCH(T423,激励事件明细!$A$2:$A$501,0)),""))</f>
        <v/>
      </c>
      <c r="C423" s="4" t="str">
        <f>IF(A423="","",IFERROR(INDEX(激励事件明细!$H$2:$H$501,MATCH(T423,激励事件明细!$A$2:$A$501,0)),""))</f>
        <v/>
      </c>
      <c r="D423" s="9"/>
      <c r="E423" s="9"/>
      <c r="F423" s="15" t="str">
        <f>IF(A423="","",IFERROR(INDEX(激励事件明细!$AA$2:$AA$501,MATCH(T423,激励事件明细!$A$2:$A$501,0)),""))</f>
        <v/>
      </c>
      <c r="G423" s="17" t="str">
        <f>IF(A423="","",IFERROR(INDEX(激励事件明细!$AB$2:$AB$501,MATCH(T423,激励事件明细!$A$2:$A$501,0)),""))</f>
        <v/>
      </c>
      <c r="H423" s="17" t="str">
        <f>IF(A423="","",IFERROR(INDEX(激励事件明细!$AC$2:$AC$501,MATCH(T423,激励事件明细!$A$2:$A$501,0)),""))</f>
        <v/>
      </c>
      <c r="I423" s="13"/>
      <c r="J423" s="14"/>
      <c r="K423" s="14"/>
      <c r="L423" s="9"/>
      <c r="M423" s="15" t="str">
        <f t="shared" si="36"/>
        <v/>
      </c>
      <c r="N423" s="15" t="str">
        <f t="shared" si="37"/>
        <v/>
      </c>
      <c r="O423" s="4" t="str">
        <f t="shared" ca="1" si="38"/>
        <v/>
      </c>
      <c r="P423" s="17" t="str">
        <f>IF(A423="","",IFERROR(IF(INDEX(激励事件明细!$P$2:$P$501,MATCH(T423,激励事件明细!$A$2:$A$501,0))=0,"",INDEX(激励事件明细!$P$2:$P$501,MATCH(T423,激励事件明细!$A$2:$A$501,0))),""))</f>
        <v/>
      </c>
      <c r="Q423" s="4" t="str">
        <f t="shared" si="39"/>
        <v>无效</v>
      </c>
      <c r="R423" s="4" t="str">
        <f t="shared" ca="1" si="40"/>
        <v>异常：必须关联有效事件编号或税额批次</v>
      </c>
      <c r="S423" s="9"/>
      <c r="T423" s="4" t="str">
        <f>IF(D423&lt;&gt;"",IF(COUNTIF(激励事件明细!$A$2:$A$501,D423)=1,D423,""),IF(E423&lt;&gt;"",IFERROR(INDEX(激励事件明细!$A$2:$A$501,MATCH(E423,激励事件明细!$B$2:$B$501,0)),""),""))</f>
        <v/>
      </c>
      <c r="U423" s="4" t="str">
        <f>IF(T423="","",IFERROR(INDEX(激励事件明细!$B$2:$B$501,MATCH(T423,激励事件明细!$A$2:$A$501,0)),""))</f>
        <v/>
      </c>
      <c r="V423" s="4" t="str">
        <f>IF(A423="","",COUNTIF($A$2:A423,A423))</f>
        <v/>
      </c>
      <c r="W423" s="4" t="str">
        <f t="shared" si="41"/>
        <v/>
      </c>
    </row>
    <row r="424" spans="1:23" x14ac:dyDescent="0.3">
      <c r="A424" s="4" t="str">
        <f>IF(T424="","",IFERROR(INDEX(激励事件明细!$C$2:$C$501,MATCH(T424,激励事件明细!$A$2:$A$501,0)),""))</f>
        <v/>
      </c>
      <c r="B424" s="4" t="str">
        <f>IF(A424="","",IFERROR(INDEX(激励事件明细!$D$2:$D$501,MATCH(T424,激励事件明细!$A$2:$A$501,0)),""))</f>
        <v/>
      </c>
      <c r="C424" s="4" t="str">
        <f>IF(A424="","",IFERROR(INDEX(激励事件明细!$H$2:$H$501,MATCH(T424,激励事件明细!$A$2:$A$501,0)),""))</f>
        <v/>
      </c>
      <c r="D424" s="9"/>
      <c r="E424" s="9"/>
      <c r="F424" s="15" t="str">
        <f>IF(A424="","",IFERROR(INDEX(激励事件明细!$AA$2:$AA$501,MATCH(T424,激励事件明细!$A$2:$A$501,0)),""))</f>
        <v/>
      </c>
      <c r="G424" s="17" t="str">
        <f>IF(A424="","",IFERROR(INDEX(激励事件明细!$AB$2:$AB$501,MATCH(T424,激励事件明细!$A$2:$A$501,0)),""))</f>
        <v/>
      </c>
      <c r="H424" s="17" t="str">
        <f>IF(A424="","",IFERROR(INDEX(激励事件明细!$AC$2:$AC$501,MATCH(T424,激励事件明细!$A$2:$A$501,0)),""))</f>
        <v/>
      </c>
      <c r="I424" s="13"/>
      <c r="J424" s="14"/>
      <c r="K424" s="14"/>
      <c r="L424" s="9"/>
      <c r="M424" s="15" t="str">
        <f t="shared" si="36"/>
        <v/>
      </c>
      <c r="N424" s="15" t="str">
        <f t="shared" si="37"/>
        <v/>
      </c>
      <c r="O424" s="4" t="str">
        <f t="shared" ca="1" si="38"/>
        <v/>
      </c>
      <c r="P424" s="17" t="str">
        <f>IF(A424="","",IFERROR(IF(INDEX(激励事件明细!$P$2:$P$501,MATCH(T424,激励事件明细!$A$2:$A$501,0))=0,"",INDEX(激励事件明细!$P$2:$P$501,MATCH(T424,激励事件明细!$A$2:$A$501,0))),""))</f>
        <v/>
      </c>
      <c r="Q424" s="4" t="str">
        <f t="shared" si="39"/>
        <v>无效</v>
      </c>
      <c r="R424" s="4" t="str">
        <f t="shared" ca="1" si="40"/>
        <v>异常：必须关联有效事件编号或税额批次</v>
      </c>
      <c r="S424" s="9"/>
      <c r="T424" s="4" t="str">
        <f>IF(D424&lt;&gt;"",IF(COUNTIF(激励事件明细!$A$2:$A$501,D424)=1,D424,""),IF(E424&lt;&gt;"",IFERROR(INDEX(激励事件明细!$A$2:$A$501,MATCH(E424,激励事件明细!$B$2:$B$501,0)),""),""))</f>
        <v/>
      </c>
      <c r="U424" s="4" t="str">
        <f>IF(T424="","",IFERROR(INDEX(激励事件明细!$B$2:$B$501,MATCH(T424,激励事件明细!$A$2:$A$501,0)),""))</f>
        <v/>
      </c>
      <c r="V424" s="4" t="str">
        <f>IF(A424="","",COUNTIF($A$2:A424,A424))</f>
        <v/>
      </c>
      <c r="W424" s="4" t="str">
        <f t="shared" si="41"/>
        <v/>
      </c>
    </row>
    <row r="425" spans="1:23" x14ac:dyDescent="0.3">
      <c r="A425" s="4" t="str">
        <f>IF(T425="","",IFERROR(INDEX(激励事件明细!$C$2:$C$501,MATCH(T425,激励事件明细!$A$2:$A$501,0)),""))</f>
        <v/>
      </c>
      <c r="B425" s="4" t="str">
        <f>IF(A425="","",IFERROR(INDEX(激励事件明细!$D$2:$D$501,MATCH(T425,激励事件明细!$A$2:$A$501,0)),""))</f>
        <v/>
      </c>
      <c r="C425" s="4" t="str">
        <f>IF(A425="","",IFERROR(INDEX(激励事件明细!$H$2:$H$501,MATCH(T425,激励事件明细!$A$2:$A$501,0)),""))</f>
        <v/>
      </c>
      <c r="D425" s="9"/>
      <c r="E425" s="9"/>
      <c r="F425" s="15" t="str">
        <f>IF(A425="","",IFERROR(INDEX(激励事件明细!$AA$2:$AA$501,MATCH(T425,激励事件明细!$A$2:$A$501,0)),""))</f>
        <v/>
      </c>
      <c r="G425" s="17" t="str">
        <f>IF(A425="","",IFERROR(INDEX(激励事件明细!$AB$2:$AB$501,MATCH(T425,激励事件明细!$A$2:$A$501,0)),""))</f>
        <v/>
      </c>
      <c r="H425" s="17" t="str">
        <f>IF(A425="","",IFERROR(INDEX(激励事件明细!$AC$2:$AC$501,MATCH(T425,激励事件明细!$A$2:$A$501,0)),""))</f>
        <v/>
      </c>
      <c r="I425" s="13"/>
      <c r="J425" s="14"/>
      <c r="K425" s="14"/>
      <c r="L425" s="9"/>
      <c r="M425" s="15" t="str">
        <f t="shared" si="36"/>
        <v/>
      </c>
      <c r="N425" s="15" t="str">
        <f t="shared" si="37"/>
        <v/>
      </c>
      <c r="O425" s="4" t="str">
        <f t="shared" ca="1" si="38"/>
        <v/>
      </c>
      <c r="P425" s="17" t="str">
        <f>IF(A425="","",IFERROR(IF(INDEX(激励事件明细!$P$2:$P$501,MATCH(T425,激励事件明细!$A$2:$A$501,0))=0,"",INDEX(激励事件明细!$P$2:$P$501,MATCH(T425,激励事件明细!$A$2:$A$501,0))),""))</f>
        <v/>
      </c>
      <c r="Q425" s="4" t="str">
        <f t="shared" si="39"/>
        <v>无效</v>
      </c>
      <c r="R425" s="4" t="str">
        <f t="shared" ca="1" si="40"/>
        <v>异常：必须关联有效事件编号或税额批次</v>
      </c>
      <c r="S425" s="9"/>
      <c r="T425" s="4" t="str">
        <f>IF(D425&lt;&gt;"",IF(COUNTIF(激励事件明细!$A$2:$A$501,D425)=1,D425,""),IF(E425&lt;&gt;"",IFERROR(INDEX(激励事件明细!$A$2:$A$501,MATCH(E425,激励事件明细!$B$2:$B$501,0)),""),""))</f>
        <v/>
      </c>
      <c r="U425" s="4" t="str">
        <f>IF(T425="","",IFERROR(INDEX(激励事件明细!$B$2:$B$501,MATCH(T425,激励事件明细!$A$2:$A$501,0)),""))</f>
        <v/>
      </c>
      <c r="V425" s="4" t="str">
        <f>IF(A425="","",COUNTIF($A$2:A425,A425))</f>
        <v/>
      </c>
      <c r="W425" s="4" t="str">
        <f t="shared" si="41"/>
        <v/>
      </c>
    </row>
    <row r="426" spans="1:23" x14ac:dyDescent="0.3">
      <c r="A426" s="4" t="str">
        <f>IF(T426="","",IFERROR(INDEX(激励事件明细!$C$2:$C$501,MATCH(T426,激励事件明细!$A$2:$A$501,0)),""))</f>
        <v/>
      </c>
      <c r="B426" s="4" t="str">
        <f>IF(A426="","",IFERROR(INDEX(激励事件明细!$D$2:$D$501,MATCH(T426,激励事件明细!$A$2:$A$501,0)),""))</f>
        <v/>
      </c>
      <c r="C426" s="4" t="str">
        <f>IF(A426="","",IFERROR(INDEX(激励事件明细!$H$2:$H$501,MATCH(T426,激励事件明细!$A$2:$A$501,0)),""))</f>
        <v/>
      </c>
      <c r="D426" s="9"/>
      <c r="E426" s="9"/>
      <c r="F426" s="15" t="str">
        <f>IF(A426="","",IFERROR(INDEX(激励事件明细!$AA$2:$AA$501,MATCH(T426,激励事件明细!$A$2:$A$501,0)),""))</f>
        <v/>
      </c>
      <c r="G426" s="17" t="str">
        <f>IF(A426="","",IFERROR(INDEX(激励事件明细!$AB$2:$AB$501,MATCH(T426,激励事件明细!$A$2:$A$501,0)),""))</f>
        <v/>
      </c>
      <c r="H426" s="17" t="str">
        <f>IF(A426="","",IFERROR(INDEX(激励事件明细!$AC$2:$AC$501,MATCH(T426,激励事件明细!$A$2:$A$501,0)),""))</f>
        <v/>
      </c>
      <c r="I426" s="13"/>
      <c r="J426" s="14"/>
      <c r="K426" s="14"/>
      <c r="L426" s="9"/>
      <c r="M426" s="15" t="str">
        <f t="shared" si="36"/>
        <v/>
      </c>
      <c r="N426" s="15" t="str">
        <f t="shared" si="37"/>
        <v/>
      </c>
      <c r="O426" s="4" t="str">
        <f t="shared" ca="1" si="38"/>
        <v/>
      </c>
      <c r="P426" s="17" t="str">
        <f>IF(A426="","",IFERROR(IF(INDEX(激励事件明细!$P$2:$P$501,MATCH(T426,激励事件明细!$A$2:$A$501,0))=0,"",INDEX(激励事件明细!$P$2:$P$501,MATCH(T426,激励事件明细!$A$2:$A$501,0))),""))</f>
        <v/>
      </c>
      <c r="Q426" s="4" t="str">
        <f t="shared" si="39"/>
        <v>无效</v>
      </c>
      <c r="R426" s="4" t="str">
        <f t="shared" ca="1" si="40"/>
        <v>异常：必须关联有效事件编号或税额批次</v>
      </c>
      <c r="S426" s="9"/>
      <c r="T426" s="4" t="str">
        <f>IF(D426&lt;&gt;"",IF(COUNTIF(激励事件明细!$A$2:$A$501,D426)=1,D426,""),IF(E426&lt;&gt;"",IFERROR(INDEX(激励事件明细!$A$2:$A$501,MATCH(E426,激励事件明细!$B$2:$B$501,0)),""),""))</f>
        <v/>
      </c>
      <c r="U426" s="4" t="str">
        <f>IF(T426="","",IFERROR(INDEX(激励事件明细!$B$2:$B$501,MATCH(T426,激励事件明细!$A$2:$A$501,0)),""))</f>
        <v/>
      </c>
      <c r="V426" s="4" t="str">
        <f>IF(A426="","",COUNTIF($A$2:A426,A426))</f>
        <v/>
      </c>
      <c r="W426" s="4" t="str">
        <f t="shared" si="41"/>
        <v/>
      </c>
    </row>
    <row r="427" spans="1:23" x14ac:dyDescent="0.3">
      <c r="A427" s="4" t="str">
        <f>IF(T427="","",IFERROR(INDEX(激励事件明细!$C$2:$C$501,MATCH(T427,激励事件明细!$A$2:$A$501,0)),""))</f>
        <v/>
      </c>
      <c r="B427" s="4" t="str">
        <f>IF(A427="","",IFERROR(INDEX(激励事件明细!$D$2:$D$501,MATCH(T427,激励事件明细!$A$2:$A$501,0)),""))</f>
        <v/>
      </c>
      <c r="C427" s="4" t="str">
        <f>IF(A427="","",IFERROR(INDEX(激励事件明细!$H$2:$H$501,MATCH(T427,激励事件明细!$A$2:$A$501,0)),""))</f>
        <v/>
      </c>
      <c r="D427" s="9"/>
      <c r="E427" s="9"/>
      <c r="F427" s="15" t="str">
        <f>IF(A427="","",IFERROR(INDEX(激励事件明细!$AA$2:$AA$501,MATCH(T427,激励事件明细!$A$2:$A$501,0)),""))</f>
        <v/>
      </c>
      <c r="G427" s="17" t="str">
        <f>IF(A427="","",IFERROR(INDEX(激励事件明细!$AB$2:$AB$501,MATCH(T427,激励事件明细!$A$2:$A$501,0)),""))</f>
        <v/>
      </c>
      <c r="H427" s="17" t="str">
        <f>IF(A427="","",IFERROR(INDEX(激励事件明细!$AC$2:$AC$501,MATCH(T427,激励事件明细!$A$2:$A$501,0)),""))</f>
        <v/>
      </c>
      <c r="I427" s="13"/>
      <c r="J427" s="14"/>
      <c r="K427" s="14"/>
      <c r="L427" s="9"/>
      <c r="M427" s="15" t="str">
        <f t="shared" si="36"/>
        <v/>
      </c>
      <c r="N427" s="15" t="str">
        <f t="shared" si="37"/>
        <v/>
      </c>
      <c r="O427" s="4" t="str">
        <f t="shared" ca="1" si="38"/>
        <v/>
      </c>
      <c r="P427" s="17" t="str">
        <f>IF(A427="","",IFERROR(IF(INDEX(激励事件明细!$P$2:$P$501,MATCH(T427,激励事件明细!$A$2:$A$501,0))=0,"",INDEX(激励事件明细!$P$2:$P$501,MATCH(T427,激励事件明细!$A$2:$A$501,0))),""))</f>
        <v/>
      </c>
      <c r="Q427" s="4" t="str">
        <f t="shared" si="39"/>
        <v>无效</v>
      </c>
      <c r="R427" s="4" t="str">
        <f t="shared" ca="1" si="40"/>
        <v>异常：必须关联有效事件编号或税额批次</v>
      </c>
      <c r="S427" s="9"/>
      <c r="T427" s="4" t="str">
        <f>IF(D427&lt;&gt;"",IF(COUNTIF(激励事件明细!$A$2:$A$501,D427)=1,D427,""),IF(E427&lt;&gt;"",IFERROR(INDEX(激励事件明细!$A$2:$A$501,MATCH(E427,激励事件明细!$B$2:$B$501,0)),""),""))</f>
        <v/>
      </c>
      <c r="U427" s="4" t="str">
        <f>IF(T427="","",IFERROR(INDEX(激励事件明细!$B$2:$B$501,MATCH(T427,激励事件明细!$A$2:$A$501,0)),""))</f>
        <v/>
      </c>
      <c r="V427" s="4" t="str">
        <f>IF(A427="","",COUNTIF($A$2:A427,A427))</f>
        <v/>
      </c>
      <c r="W427" s="4" t="str">
        <f t="shared" si="41"/>
        <v/>
      </c>
    </row>
    <row r="428" spans="1:23" x14ac:dyDescent="0.3">
      <c r="A428" s="4" t="str">
        <f>IF(T428="","",IFERROR(INDEX(激励事件明细!$C$2:$C$501,MATCH(T428,激励事件明细!$A$2:$A$501,0)),""))</f>
        <v/>
      </c>
      <c r="B428" s="4" t="str">
        <f>IF(A428="","",IFERROR(INDEX(激励事件明细!$D$2:$D$501,MATCH(T428,激励事件明细!$A$2:$A$501,0)),""))</f>
        <v/>
      </c>
      <c r="C428" s="4" t="str">
        <f>IF(A428="","",IFERROR(INDEX(激励事件明细!$H$2:$H$501,MATCH(T428,激励事件明细!$A$2:$A$501,0)),""))</f>
        <v/>
      </c>
      <c r="D428" s="9"/>
      <c r="E428" s="9"/>
      <c r="F428" s="15" t="str">
        <f>IF(A428="","",IFERROR(INDEX(激励事件明细!$AA$2:$AA$501,MATCH(T428,激励事件明细!$A$2:$A$501,0)),""))</f>
        <v/>
      </c>
      <c r="G428" s="17" t="str">
        <f>IF(A428="","",IFERROR(INDEX(激励事件明细!$AB$2:$AB$501,MATCH(T428,激励事件明细!$A$2:$A$501,0)),""))</f>
        <v/>
      </c>
      <c r="H428" s="17" t="str">
        <f>IF(A428="","",IFERROR(INDEX(激励事件明细!$AC$2:$AC$501,MATCH(T428,激励事件明细!$A$2:$A$501,0)),""))</f>
        <v/>
      </c>
      <c r="I428" s="13"/>
      <c r="J428" s="14"/>
      <c r="K428" s="14"/>
      <c r="L428" s="9"/>
      <c r="M428" s="15" t="str">
        <f t="shared" si="36"/>
        <v/>
      </c>
      <c r="N428" s="15" t="str">
        <f t="shared" si="37"/>
        <v/>
      </c>
      <c r="O428" s="4" t="str">
        <f t="shared" ca="1" si="38"/>
        <v/>
      </c>
      <c r="P428" s="17" t="str">
        <f>IF(A428="","",IFERROR(IF(INDEX(激励事件明细!$P$2:$P$501,MATCH(T428,激励事件明细!$A$2:$A$501,0))=0,"",INDEX(激励事件明细!$P$2:$P$501,MATCH(T428,激励事件明细!$A$2:$A$501,0))),""))</f>
        <v/>
      </c>
      <c r="Q428" s="4" t="str">
        <f t="shared" si="39"/>
        <v>无效</v>
      </c>
      <c r="R428" s="4" t="str">
        <f t="shared" ca="1" si="40"/>
        <v>异常：必须关联有效事件编号或税额批次</v>
      </c>
      <c r="S428" s="9"/>
      <c r="T428" s="4" t="str">
        <f>IF(D428&lt;&gt;"",IF(COUNTIF(激励事件明细!$A$2:$A$501,D428)=1,D428,""),IF(E428&lt;&gt;"",IFERROR(INDEX(激励事件明细!$A$2:$A$501,MATCH(E428,激励事件明细!$B$2:$B$501,0)),""),""))</f>
        <v/>
      </c>
      <c r="U428" s="4" t="str">
        <f>IF(T428="","",IFERROR(INDEX(激励事件明细!$B$2:$B$501,MATCH(T428,激励事件明细!$A$2:$A$501,0)),""))</f>
        <v/>
      </c>
      <c r="V428" s="4" t="str">
        <f>IF(A428="","",COUNTIF($A$2:A428,A428))</f>
        <v/>
      </c>
      <c r="W428" s="4" t="str">
        <f t="shared" si="41"/>
        <v/>
      </c>
    </row>
    <row r="429" spans="1:23" x14ac:dyDescent="0.3">
      <c r="A429" s="4" t="str">
        <f>IF(T429="","",IFERROR(INDEX(激励事件明细!$C$2:$C$501,MATCH(T429,激励事件明细!$A$2:$A$501,0)),""))</f>
        <v/>
      </c>
      <c r="B429" s="4" t="str">
        <f>IF(A429="","",IFERROR(INDEX(激励事件明细!$D$2:$D$501,MATCH(T429,激励事件明细!$A$2:$A$501,0)),""))</f>
        <v/>
      </c>
      <c r="C429" s="4" t="str">
        <f>IF(A429="","",IFERROR(INDEX(激励事件明细!$H$2:$H$501,MATCH(T429,激励事件明细!$A$2:$A$501,0)),""))</f>
        <v/>
      </c>
      <c r="D429" s="9"/>
      <c r="E429" s="9"/>
      <c r="F429" s="15" t="str">
        <f>IF(A429="","",IFERROR(INDEX(激励事件明细!$AA$2:$AA$501,MATCH(T429,激励事件明细!$A$2:$A$501,0)),""))</f>
        <v/>
      </c>
      <c r="G429" s="17" t="str">
        <f>IF(A429="","",IFERROR(INDEX(激励事件明细!$AB$2:$AB$501,MATCH(T429,激励事件明细!$A$2:$A$501,0)),""))</f>
        <v/>
      </c>
      <c r="H429" s="17" t="str">
        <f>IF(A429="","",IFERROR(INDEX(激励事件明细!$AC$2:$AC$501,MATCH(T429,激励事件明细!$A$2:$A$501,0)),""))</f>
        <v/>
      </c>
      <c r="I429" s="13"/>
      <c r="J429" s="14"/>
      <c r="K429" s="14"/>
      <c r="L429" s="9"/>
      <c r="M429" s="15" t="str">
        <f t="shared" si="36"/>
        <v/>
      </c>
      <c r="N429" s="15" t="str">
        <f t="shared" si="37"/>
        <v/>
      </c>
      <c r="O429" s="4" t="str">
        <f t="shared" ca="1" si="38"/>
        <v/>
      </c>
      <c r="P429" s="17" t="str">
        <f>IF(A429="","",IFERROR(IF(INDEX(激励事件明细!$P$2:$P$501,MATCH(T429,激励事件明细!$A$2:$A$501,0))=0,"",INDEX(激励事件明细!$P$2:$P$501,MATCH(T429,激励事件明细!$A$2:$A$501,0))),""))</f>
        <v/>
      </c>
      <c r="Q429" s="4" t="str">
        <f t="shared" si="39"/>
        <v>无效</v>
      </c>
      <c r="R429" s="4" t="str">
        <f t="shared" ca="1" si="40"/>
        <v>异常：必须关联有效事件编号或税额批次</v>
      </c>
      <c r="S429" s="9"/>
      <c r="T429" s="4" t="str">
        <f>IF(D429&lt;&gt;"",IF(COUNTIF(激励事件明细!$A$2:$A$501,D429)=1,D429,""),IF(E429&lt;&gt;"",IFERROR(INDEX(激励事件明细!$A$2:$A$501,MATCH(E429,激励事件明细!$B$2:$B$501,0)),""),""))</f>
        <v/>
      </c>
      <c r="U429" s="4" t="str">
        <f>IF(T429="","",IFERROR(INDEX(激励事件明细!$B$2:$B$501,MATCH(T429,激励事件明细!$A$2:$A$501,0)),""))</f>
        <v/>
      </c>
      <c r="V429" s="4" t="str">
        <f>IF(A429="","",COUNTIF($A$2:A429,A429))</f>
        <v/>
      </c>
      <c r="W429" s="4" t="str">
        <f t="shared" si="41"/>
        <v/>
      </c>
    </row>
    <row r="430" spans="1:23" x14ac:dyDescent="0.3">
      <c r="A430" s="4" t="str">
        <f>IF(T430="","",IFERROR(INDEX(激励事件明细!$C$2:$C$501,MATCH(T430,激励事件明细!$A$2:$A$501,0)),""))</f>
        <v/>
      </c>
      <c r="B430" s="4" t="str">
        <f>IF(A430="","",IFERROR(INDEX(激励事件明细!$D$2:$D$501,MATCH(T430,激励事件明细!$A$2:$A$501,0)),""))</f>
        <v/>
      </c>
      <c r="C430" s="4" t="str">
        <f>IF(A430="","",IFERROR(INDEX(激励事件明细!$H$2:$H$501,MATCH(T430,激励事件明细!$A$2:$A$501,0)),""))</f>
        <v/>
      </c>
      <c r="D430" s="9"/>
      <c r="E430" s="9"/>
      <c r="F430" s="15" t="str">
        <f>IF(A430="","",IFERROR(INDEX(激励事件明细!$AA$2:$AA$501,MATCH(T430,激励事件明细!$A$2:$A$501,0)),""))</f>
        <v/>
      </c>
      <c r="G430" s="17" t="str">
        <f>IF(A430="","",IFERROR(INDEX(激励事件明细!$AB$2:$AB$501,MATCH(T430,激励事件明细!$A$2:$A$501,0)),""))</f>
        <v/>
      </c>
      <c r="H430" s="17" t="str">
        <f>IF(A430="","",IFERROR(INDEX(激励事件明细!$AC$2:$AC$501,MATCH(T430,激励事件明细!$A$2:$A$501,0)),""))</f>
        <v/>
      </c>
      <c r="I430" s="13"/>
      <c r="J430" s="14"/>
      <c r="K430" s="14"/>
      <c r="L430" s="9"/>
      <c r="M430" s="15" t="str">
        <f t="shared" si="36"/>
        <v/>
      </c>
      <c r="N430" s="15" t="str">
        <f t="shared" si="37"/>
        <v/>
      </c>
      <c r="O430" s="4" t="str">
        <f t="shared" ca="1" si="38"/>
        <v/>
      </c>
      <c r="P430" s="17" t="str">
        <f>IF(A430="","",IFERROR(IF(INDEX(激励事件明细!$P$2:$P$501,MATCH(T430,激励事件明细!$A$2:$A$501,0))=0,"",INDEX(激励事件明细!$P$2:$P$501,MATCH(T430,激励事件明细!$A$2:$A$501,0))),""))</f>
        <v/>
      </c>
      <c r="Q430" s="4" t="str">
        <f t="shared" si="39"/>
        <v>无效</v>
      </c>
      <c r="R430" s="4" t="str">
        <f t="shared" ca="1" si="40"/>
        <v>异常：必须关联有效事件编号或税额批次</v>
      </c>
      <c r="S430" s="9"/>
      <c r="T430" s="4" t="str">
        <f>IF(D430&lt;&gt;"",IF(COUNTIF(激励事件明细!$A$2:$A$501,D430)=1,D430,""),IF(E430&lt;&gt;"",IFERROR(INDEX(激励事件明细!$A$2:$A$501,MATCH(E430,激励事件明细!$B$2:$B$501,0)),""),""))</f>
        <v/>
      </c>
      <c r="U430" s="4" t="str">
        <f>IF(T430="","",IFERROR(INDEX(激励事件明细!$B$2:$B$501,MATCH(T430,激励事件明细!$A$2:$A$501,0)),""))</f>
        <v/>
      </c>
      <c r="V430" s="4" t="str">
        <f>IF(A430="","",COUNTIF($A$2:A430,A430))</f>
        <v/>
      </c>
      <c r="W430" s="4" t="str">
        <f t="shared" si="41"/>
        <v/>
      </c>
    </row>
    <row r="431" spans="1:23" x14ac:dyDescent="0.3">
      <c r="A431" s="4" t="str">
        <f>IF(T431="","",IFERROR(INDEX(激励事件明细!$C$2:$C$501,MATCH(T431,激励事件明细!$A$2:$A$501,0)),""))</f>
        <v/>
      </c>
      <c r="B431" s="4" t="str">
        <f>IF(A431="","",IFERROR(INDEX(激励事件明细!$D$2:$D$501,MATCH(T431,激励事件明细!$A$2:$A$501,0)),""))</f>
        <v/>
      </c>
      <c r="C431" s="4" t="str">
        <f>IF(A431="","",IFERROR(INDEX(激励事件明细!$H$2:$H$501,MATCH(T431,激励事件明细!$A$2:$A$501,0)),""))</f>
        <v/>
      </c>
      <c r="D431" s="9"/>
      <c r="E431" s="9"/>
      <c r="F431" s="15" t="str">
        <f>IF(A431="","",IFERROR(INDEX(激励事件明细!$AA$2:$AA$501,MATCH(T431,激励事件明细!$A$2:$A$501,0)),""))</f>
        <v/>
      </c>
      <c r="G431" s="17" t="str">
        <f>IF(A431="","",IFERROR(INDEX(激励事件明细!$AB$2:$AB$501,MATCH(T431,激励事件明细!$A$2:$A$501,0)),""))</f>
        <v/>
      </c>
      <c r="H431" s="17" t="str">
        <f>IF(A431="","",IFERROR(INDEX(激励事件明细!$AC$2:$AC$501,MATCH(T431,激励事件明细!$A$2:$A$501,0)),""))</f>
        <v/>
      </c>
      <c r="I431" s="13"/>
      <c r="J431" s="14"/>
      <c r="K431" s="14"/>
      <c r="L431" s="9"/>
      <c r="M431" s="15" t="str">
        <f t="shared" si="36"/>
        <v/>
      </c>
      <c r="N431" s="15" t="str">
        <f t="shared" si="37"/>
        <v/>
      </c>
      <c r="O431" s="4" t="str">
        <f t="shared" ca="1" si="38"/>
        <v/>
      </c>
      <c r="P431" s="17" t="str">
        <f>IF(A431="","",IFERROR(IF(INDEX(激励事件明细!$P$2:$P$501,MATCH(T431,激励事件明细!$A$2:$A$501,0))=0,"",INDEX(激励事件明细!$P$2:$P$501,MATCH(T431,激励事件明细!$A$2:$A$501,0))),""))</f>
        <v/>
      </c>
      <c r="Q431" s="4" t="str">
        <f t="shared" si="39"/>
        <v>无效</v>
      </c>
      <c r="R431" s="4" t="str">
        <f t="shared" ca="1" si="40"/>
        <v>异常：必须关联有效事件编号或税额批次</v>
      </c>
      <c r="S431" s="9"/>
      <c r="T431" s="4" t="str">
        <f>IF(D431&lt;&gt;"",IF(COUNTIF(激励事件明细!$A$2:$A$501,D431)=1,D431,""),IF(E431&lt;&gt;"",IFERROR(INDEX(激励事件明细!$A$2:$A$501,MATCH(E431,激励事件明细!$B$2:$B$501,0)),""),""))</f>
        <v/>
      </c>
      <c r="U431" s="4" t="str">
        <f>IF(T431="","",IFERROR(INDEX(激励事件明细!$B$2:$B$501,MATCH(T431,激励事件明细!$A$2:$A$501,0)),""))</f>
        <v/>
      </c>
      <c r="V431" s="4" t="str">
        <f>IF(A431="","",COUNTIF($A$2:A431,A431))</f>
        <v/>
      </c>
      <c r="W431" s="4" t="str">
        <f t="shared" si="41"/>
        <v/>
      </c>
    </row>
    <row r="432" spans="1:23" x14ac:dyDescent="0.3">
      <c r="A432" s="4" t="str">
        <f>IF(T432="","",IFERROR(INDEX(激励事件明细!$C$2:$C$501,MATCH(T432,激励事件明细!$A$2:$A$501,0)),""))</f>
        <v/>
      </c>
      <c r="B432" s="4" t="str">
        <f>IF(A432="","",IFERROR(INDEX(激励事件明细!$D$2:$D$501,MATCH(T432,激励事件明细!$A$2:$A$501,0)),""))</f>
        <v/>
      </c>
      <c r="C432" s="4" t="str">
        <f>IF(A432="","",IFERROR(INDEX(激励事件明细!$H$2:$H$501,MATCH(T432,激励事件明细!$A$2:$A$501,0)),""))</f>
        <v/>
      </c>
      <c r="D432" s="9"/>
      <c r="E432" s="9"/>
      <c r="F432" s="15" t="str">
        <f>IF(A432="","",IFERROR(INDEX(激励事件明细!$AA$2:$AA$501,MATCH(T432,激励事件明细!$A$2:$A$501,0)),""))</f>
        <v/>
      </c>
      <c r="G432" s="17" t="str">
        <f>IF(A432="","",IFERROR(INDEX(激励事件明细!$AB$2:$AB$501,MATCH(T432,激励事件明细!$A$2:$A$501,0)),""))</f>
        <v/>
      </c>
      <c r="H432" s="17" t="str">
        <f>IF(A432="","",IFERROR(INDEX(激励事件明细!$AC$2:$AC$501,MATCH(T432,激励事件明细!$A$2:$A$501,0)),""))</f>
        <v/>
      </c>
      <c r="I432" s="13"/>
      <c r="J432" s="14"/>
      <c r="K432" s="14"/>
      <c r="L432" s="9"/>
      <c r="M432" s="15" t="str">
        <f t="shared" si="36"/>
        <v/>
      </c>
      <c r="N432" s="15" t="str">
        <f t="shared" si="37"/>
        <v/>
      </c>
      <c r="O432" s="4" t="str">
        <f t="shared" ca="1" si="38"/>
        <v/>
      </c>
      <c r="P432" s="17" t="str">
        <f>IF(A432="","",IFERROR(IF(INDEX(激励事件明细!$P$2:$P$501,MATCH(T432,激励事件明细!$A$2:$A$501,0))=0,"",INDEX(激励事件明细!$P$2:$P$501,MATCH(T432,激励事件明细!$A$2:$A$501,0))),""))</f>
        <v/>
      </c>
      <c r="Q432" s="4" t="str">
        <f t="shared" si="39"/>
        <v>无效</v>
      </c>
      <c r="R432" s="4" t="str">
        <f t="shared" ca="1" si="40"/>
        <v>异常：必须关联有效事件编号或税额批次</v>
      </c>
      <c r="S432" s="9"/>
      <c r="T432" s="4" t="str">
        <f>IF(D432&lt;&gt;"",IF(COUNTIF(激励事件明细!$A$2:$A$501,D432)=1,D432,""),IF(E432&lt;&gt;"",IFERROR(INDEX(激励事件明细!$A$2:$A$501,MATCH(E432,激励事件明细!$B$2:$B$501,0)),""),""))</f>
        <v/>
      </c>
      <c r="U432" s="4" t="str">
        <f>IF(T432="","",IFERROR(INDEX(激励事件明细!$B$2:$B$501,MATCH(T432,激励事件明细!$A$2:$A$501,0)),""))</f>
        <v/>
      </c>
      <c r="V432" s="4" t="str">
        <f>IF(A432="","",COUNTIF($A$2:A432,A432))</f>
        <v/>
      </c>
      <c r="W432" s="4" t="str">
        <f t="shared" si="41"/>
        <v/>
      </c>
    </row>
    <row r="433" spans="1:23" x14ac:dyDescent="0.3">
      <c r="A433" s="4" t="str">
        <f>IF(T433="","",IFERROR(INDEX(激励事件明细!$C$2:$C$501,MATCH(T433,激励事件明细!$A$2:$A$501,0)),""))</f>
        <v/>
      </c>
      <c r="B433" s="4" t="str">
        <f>IF(A433="","",IFERROR(INDEX(激励事件明细!$D$2:$D$501,MATCH(T433,激励事件明细!$A$2:$A$501,0)),""))</f>
        <v/>
      </c>
      <c r="C433" s="4" t="str">
        <f>IF(A433="","",IFERROR(INDEX(激励事件明细!$H$2:$H$501,MATCH(T433,激励事件明细!$A$2:$A$501,0)),""))</f>
        <v/>
      </c>
      <c r="D433" s="9"/>
      <c r="E433" s="9"/>
      <c r="F433" s="15" t="str">
        <f>IF(A433="","",IFERROR(INDEX(激励事件明细!$AA$2:$AA$501,MATCH(T433,激励事件明细!$A$2:$A$501,0)),""))</f>
        <v/>
      </c>
      <c r="G433" s="17" t="str">
        <f>IF(A433="","",IFERROR(INDEX(激励事件明细!$AB$2:$AB$501,MATCH(T433,激励事件明细!$A$2:$A$501,0)),""))</f>
        <v/>
      </c>
      <c r="H433" s="17" t="str">
        <f>IF(A433="","",IFERROR(INDEX(激励事件明细!$AC$2:$AC$501,MATCH(T433,激励事件明细!$A$2:$A$501,0)),""))</f>
        <v/>
      </c>
      <c r="I433" s="13"/>
      <c r="J433" s="14"/>
      <c r="K433" s="14"/>
      <c r="L433" s="9"/>
      <c r="M433" s="15" t="str">
        <f t="shared" si="36"/>
        <v/>
      </c>
      <c r="N433" s="15" t="str">
        <f t="shared" si="37"/>
        <v/>
      </c>
      <c r="O433" s="4" t="str">
        <f t="shared" ca="1" si="38"/>
        <v/>
      </c>
      <c r="P433" s="17" t="str">
        <f>IF(A433="","",IFERROR(IF(INDEX(激励事件明细!$P$2:$P$501,MATCH(T433,激励事件明细!$A$2:$A$501,0))=0,"",INDEX(激励事件明细!$P$2:$P$501,MATCH(T433,激励事件明细!$A$2:$A$501,0))),""))</f>
        <v/>
      </c>
      <c r="Q433" s="4" t="str">
        <f t="shared" si="39"/>
        <v>无效</v>
      </c>
      <c r="R433" s="4" t="str">
        <f t="shared" ca="1" si="40"/>
        <v>异常：必须关联有效事件编号或税额批次</v>
      </c>
      <c r="S433" s="9"/>
      <c r="T433" s="4" t="str">
        <f>IF(D433&lt;&gt;"",IF(COUNTIF(激励事件明细!$A$2:$A$501,D433)=1,D433,""),IF(E433&lt;&gt;"",IFERROR(INDEX(激励事件明细!$A$2:$A$501,MATCH(E433,激励事件明细!$B$2:$B$501,0)),""),""))</f>
        <v/>
      </c>
      <c r="U433" s="4" t="str">
        <f>IF(T433="","",IFERROR(INDEX(激励事件明细!$B$2:$B$501,MATCH(T433,激励事件明细!$A$2:$A$501,0)),""))</f>
        <v/>
      </c>
      <c r="V433" s="4" t="str">
        <f>IF(A433="","",COUNTIF($A$2:A433,A433))</f>
        <v/>
      </c>
      <c r="W433" s="4" t="str">
        <f t="shared" si="41"/>
        <v/>
      </c>
    </row>
    <row r="434" spans="1:23" x14ac:dyDescent="0.3">
      <c r="A434" s="4" t="str">
        <f>IF(T434="","",IFERROR(INDEX(激励事件明细!$C$2:$C$501,MATCH(T434,激励事件明细!$A$2:$A$501,0)),""))</f>
        <v/>
      </c>
      <c r="B434" s="4" t="str">
        <f>IF(A434="","",IFERROR(INDEX(激励事件明细!$D$2:$D$501,MATCH(T434,激励事件明细!$A$2:$A$501,0)),""))</f>
        <v/>
      </c>
      <c r="C434" s="4" t="str">
        <f>IF(A434="","",IFERROR(INDEX(激励事件明细!$H$2:$H$501,MATCH(T434,激励事件明细!$A$2:$A$501,0)),""))</f>
        <v/>
      </c>
      <c r="D434" s="9"/>
      <c r="E434" s="9"/>
      <c r="F434" s="15" t="str">
        <f>IF(A434="","",IFERROR(INDEX(激励事件明细!$AA$2:$AA$501,MATCH(T434,激励事件明细!$A$2:$A$501,0)),""))</f>
        <v/>
      </c>
      <c r="G434" s="17" t="str">
        <f>IF(A434="","",IFERROR(INDEX(激励事件明细!$AB$2:$AB$501,MATCH(T434,激励事件明细!$A$2:$A$501,0)),""))</f>
        <v/>
      </c>
      <c r="H434" s="17" t="str">
        <f>IF(A434="","",IFERROR(INDEX(激励事件明细!$AC$2:$AC$501,MATCH(T434,激励事件明细!$A$2:$A$501,0)),""))</f>
        <v/>
      </c>
      <c r="I434" s="13"/>
      <c r="J434" s="14"/>
      <c r="K434" s="14"/>
      <c r="L434" s="9"/>
      <c r="M434" s="15" t="str">
        <f t="shared" si="36"/>
        <v/>
      </c>
      <c r="N434" s="15" t="str">
        <f t="shared" si="37"/>
        <v/>
      </c>
      <c r="O434" s="4" t="str">
        <f t="shared" ca="1" si="38"/>
        <v/>
      </c>
      <c r="P434" s="17" t="str">
        <f>IF(A434="","",IFERROR(IF(INDEX(激励事件明细!$P$2:$P$501,MATCH(T434,激励事件明细!$A$2:$A$501,0))=0,"",INDEX(激励事件明细!$P$2:$P$501,MATCH(T434,激励事件明细!$A$2:$A$501,0))),""))</f>
        <v/>
      </c>
      <c r="Q434" s="4" t="str">
        <f t="shared" si="39"/>
        <v>无效</v>
      </c>
      <c r="R434" s="4" t="str">
        <f t="shared" ca="1" si="40"/>
        <v>异常：必须关联有效事件编号或税额批次</v>
      </c>
      <c r="S434" s="9"/>
      <c r="T434" s="4" t="str">
        <f>IF(D434&lt;&gt;"",IF(COUNTIF(激励事件明细!$A$2:$A$501,D434)=1,D434,""),IF(E434&lt;&gt;"",IFERROR(INDEX(激励事件明细!$A$2:$A$501,MATCH(E434,激励事件明细!$B$2:$B$501,0)),""),""))</f>
        <v/>
      </c>
      <c r="U434" s="4" t="str">
        <f>IF(T434="","",IFERROR(INDEX(激励事件明细!$B$2:$B$501,MATCH(T434,激励事件明细!$A$2:$A$501,0)),""))</f>
        <v/>
      </c>
      <c r="V434" s="4" t="str">
        <f>IF(A434="","",COUNTIF($A$2:A434,A434))</f>
        <v/>
      </c>
      <c r="W434" s="4" t="str">
        <f t="shared" si="41"/>
        <v/>
      </c>
    </row>
    <row r="435" spans="1:23" x14ac:dyDescent="0.3">
      <c r="A435" s="4" t="str">
        <f>IF(T435="","",IFERROR(INDEX(激励事件明细!$C$2:$C$501,MATCH(T435,激励事件明细!$A$2:$A$501,0)),""))</f>
        <v/>
      </c>
      <c r="B435" s="4" t="str">
        <f>IF(A435="","",IFERROR(INDEX(激励事件明细!$D$2:$D$501,MATCH(T435,激励事件明细!$A$2:$A$501,0)),""))</f>
        <v/>
      </c>
      <c r="C435" s="4" t="str">
        <f>IF(A435="","",IFERROR(INDEX(激励事件明细!$H$2:$H$501,MATCH(T435,激励事件明细!$A$2:$A$501,0)),""))</f>
        <v/>
      </c>
      <c r="D435" s="9"/>
      <c r="E435" s="9"/>
      <c r="F435" s="15" t="str">
        <f>IF(A435="","",IFERROR(INDEX(激励事件明细!$AA$2:$AA$501,MATCH(T435,激励事件明细!$A$2:$A$501,0)),""))</f>
        <v/>
      </c>
      <c r="G435" s="17" t="str">
        <f>IF(A435="","",IFERROR(INDEX(激励事件明细!$AB$2:$AB$501,MATCH(T435,激励事件明细!$A$2:$A$501,0)),""))</f>
        <v/>
      </c>
      <c r="H435" s="17" t="str">
        <f>IF(A435="","",IFERROR(INDEX(激励事件明细!$AC$2:$AC$501,MATCH(T435,激励事件明细!$A$2:$A$501,0)),""))</f>
        <v/>
      </c>
      <c r="I435" s="13"/>
      <c r="J435" s="14"/>
      <c r="K435" s="14"/>
      <c r="L435" s="9"/>
      <c r="M435" s="15" t="str">
        <f t="shared" si="36"/>
        <v/>
      </c>
      <c r="N435" s="15" t="str">
        <f t="shared" si="37"/>
        <v/>
      </c>
      <c r="O435" s="4" t="str">
        <f t="shared" ca="1" si="38"/>
        <v/>
      </c>
      <c r="P435" s="17" t="str">
        <f>IF(A435="","",IFERROR(IF(INDEX(激励事件明细!$P$2:$P$501,MATCH(T435,激励事件明细!$A$2:$A$501,0))=0,"",INDEX(激励事件明细!$P$2:$P$501,MATCH(T435,激励事件明细!$A$2:$A$501,0))),""))</f>
        <v/>
      </c>
      <c r="Q435" s="4" t="str">
        <f t="shared" si="39"/>
        <v>无效</v>
      </c>
      <c r="R435" s="4" t="str">
        <f t="shared" ca="1" si="40"/>
        <v>异常：必须关联有效事件编号或税额批次</v>
      </c>
      <c r="S435" s="9"/>
      <c r="T435" s="4" t="str">
        <f>IF(D435&lt;&gt;"",IF(COUNTIF(激励事件明细!$A$2:$A$501,D435)=1,D435,""),IF(E435&lt;&gt;"",IFERROR(INDEX(激励事件明细!$A$2:$A$501,MATCH(E435,激励事件明细!$B$2:$B$501,0)),""),""))</f>
        <v/>
      </c>
      <c r="U435" s="4" t="str">
        <f>IF(T435="","",IFERROR(INDEX(激励事件明细!$B$2:$B$501,MATCH(T435,激励事件明细!$A$2:$A$501,0)),""))</f>
        <v/>
      </c>
      <c r="V435" s="4" t="str">
        <f>IF(A435="","",COUNTIF($A$2:A435,A435))</f>
        <v/>
      </c>
      <c r="W435" s="4" t="str">
        <f t="shared" si="41"/>
        <v/>
      </c>
    </row>
    <row r="436" spans="1:23" x14ac:dyDescent="0.3">
      <c r="A436" s="4" t="str">
        <f>IF(T436="","",IFERROR(INDEX(激励事件明细!$C$2:$C$501,MATCH(T436,激励事件明细!$A$2:$A$501,0)),""))</f>
        <v/>
      </c>
      <c r="B436" s="4" t="str">
        <f>IF(A436="","",IFERROR(INDEX(激励事件明细!$D$2:$D$501,MATCH(T436,激励事件明细!$A$2:$A$501,0)),""))</f>
        <v/>
      </c>
      <c r="C436" s="4" t="str">
        <f>IF(A436="","",IFERROR(INDEX(激励事件明细!$H$2:$H$501,MATCH(T436,激励事件明细!$A$2:$A$501,0)),""))</f>
        <v/>
      </c>
      <c r="D436" s="9"/>
      <c r="E436" s="9"/>
      <c r="F436" s="15" t="str">
        <f>IF(A436="","",IFERROR(INDEX(激励事件明细!$AA$2:$AA$501,MATCH(T436,激励事件明细!$A$2:$A$501,0)),""))</f>
        <v/>
      </c>
      <c r="G436" s="17" t="str">
        <f>IF(A436="","",IFERROR(INDEX(激励事件明细!$AB$2:$AB$501,MATCH(T436,激励事件明细!$A$2:$A$501,0)),""))</f>
        <v/>
      </c>
      <c r="H436" s="17" t="str">
        <f>IF(A436="","",IFERROR(INDEX(激励事件明细!$AC$2:$AC$501,MATCH(T436,激励事件明细!$A$2:$A$501,0)),""))</f>
        <v/>
      </c>
      <c r="I436" s="13"/>
      <c r="J436" s="14"/>
      <c r="K436" s="14"/>
      <c r="L436" s="9"/>
      <c r="M436" s="15" t="str">
        <f t="shared" si="36"/>
        <v/>
      </c>
      <c r="N436" s="15" t="str">
        <f t="shared" si="37"/>
        <v/>
      </c>
      <c r="O436" s="4" t="str">
        <f t="shared" ca="1" si="38"/>
        <v/>
      </c>
      <c r="P436" s="17" t="str">
        <f>IF(A436="","",IFERROR(IF(INDEX(激励事件明细!$P$2:$P$501,MATCH(T436,激励事件明细!$A$2:$A$501,0))=0,"",INDEX(激励事件明细!$P$2:$P$501,MATCH(T436,激励事件明细!$A$2:$A$501,0))),""))</f>
        <v/>
      </c>
      <c r="Q436" s="4" t="str">
        <f t="shared" si="39"/>
        <v>无效</v>
      </c>
      <c r="R436" s="4" t="str">
        <f t="shared" ca="1" si="40"/>
        <v>异常：必须关联有效事件编号或税额批次</v>
      </c>
      <c r="S436" s="9"/>
      <c r="T436" s="4" t="str">
        <f>IF(D436&lt;&gt;"",IF(COUNTIF(激励事件明细!$A$2:$A$501,D436)=1,D436,""),IF(E436&lt;&gt;"",IFERROR(INDEX(激励事件明细!$A$2:$A$501,MATCH(E436,激励事件明细!$B$2:$B$501,0)),""),""))</f>
        <v/>
      </c>
      <c r="U436" s="4" t="str">
        <f>IF(T436="","",IFERROR(INDEX(激励事件明细!$B$2:$B$501,MATCH(T436,激励事件明细!$A$2:$A$501,0)),""))</f>
        <v/>
      </c>
      <c r="V436" s="4" t="str">
        <f>IF(A436="","",COUNTIF($A$2:A436,A436))</f>
        <v/>
      </c>
      <c r="W436" s="4" t="str">
        <f t="shared" si="41"/>
        <v/>
      </c>
    </row>
    <row r="437" spans="1:23" x14ac:dyDescent="0.3">
      <c r="A437" s="4" t="str">
        <f>IF(T437="","",IFERROR(INDEX(激励事件明细!$C$2:$C$501,MATCH(T437,激励事件明细!$A$2:$A$501,0)),""))</f>
        <v/>
      </c>
      <c r="B437" s="4" t="str">
        <f>IF(A437="","",IFERROR(INDEX(激励事件明细!$D$2:$D$501,MATCH(T437,激励事件明细!$A$2:$A$501,0)),""))</f>
        <v/>
      </c>
      <c r="C437" s="4" t="str">
        <f>IF(A437="","",IFERROR(INDEX(激励事件明细!$H$2:$H$501,MATCH(T437,激励事件明细!$A$2:$A$501,0)),""))</f>
        <v/>
      </c>
      <c r="D437" s="9"/>
      <c r="E437" s="9"/>
      <c r="F437" s="15" t="str">
        <f>IF(A437="","",IFERROR(INDEX(激励事件明细!$AA$2:$AA$501,MATCH(T437,激励事件明细!$A$2:$A$501,0)),""))</f>
        <v/>
      </c>
      <c r="G437" s="17" t="str">
        <f>IF(A437="","",IFERROR(INDEX(激励事件明细!$AB$2:$AB$501,MATCH(T437,激励事件明细!$A$2:$A$501,0)),""))</f>
        <v/>
      </c>
      <c r="H437" s="17" t="str">
        <f>IF(A437="","",IFERROR(INDEX(激励事件明细!$AC$2:$AC$501,MATCH(T437,激励事件明细!$A$2:$A$501,0)),""))</f>
        <v/>
      </c>
      <c r="I437" s="13"/>
      <c r="J437" s="14"/>
      <c r="K437" s="14"/>
      <c r="L437" s="9"/>
      <c r="M437" s="15" t="str">
        <f t="shared" si="36"/>
        <v/>
      </c>
      <c r="N437" s="15" t="str">
        <f t="shared" si="37"/>
        <v/>
      </c>
      <c r="O437" s="4" t="str">
        <f t="shared" ca="1" si="38"/>
        <v/>
      </c>
      <c r="P437" s="17" t="str">
        <f>IF(A437="","",IFERROR(IF(INDEX(激励事件明细!$P$2:$P$501,MATCH(T437,激励事件明细!$A$2:$A$501,0))=0,"",INDEX(激励事件明细!$P$2:$P$501,MATCH(T437,激励事件明细!$A$2:$A$501,0))),""))</f>
        <v/>
      </c>
      <c r="Q437" s="4" t="str">
        <f t="shared" si="39"/>
        <v>无效</v>
      </c>
      <c r="R437" s="4" t="str">
        <f t="shared" ca="1" si="40"/>
        <v>异常：必须关联有效事件编号或税额批次</v>
      </c>
      <c r="S437" s="9"/>
      <c r="T437" s="4" t="str">
        <f>IF(D437&lt;&gt;"",IF(COUNTIF(激励事件明细!$A$2:$A$501,D437)=1,D437,""),IF(E437&lt;&gt;"",IFERROR(INDEX(激励事件明细!$A$2:$A$501,MATCH(E437,激励事件明细!$B$2:$B$501,0)),""),""))</f>
        <v/>
      </c>
      <c r="U437" s="4" t="str">
        <f>IF(T437="","",IFERROR(INDEX(激励事件明细!$B$2:$B$501,MATCH(T437,激励事件明细!$A$2:$A$501,0)),""))</f>
        <v/>
      </c>
      <c r="V437" s="4" t="str">
        <f>IF(A437="","",COUNTIF($A$2:A437,A437))</f>
        <v/>
      </c>
      <c r="W437" s="4" t="str">
        <f t="shared" si="41"/>
        <v/>
      </c>
    </row>
    <row r="438" spans="1:23" x14ac:dyDescent="0.3">
      <c r="A438" s="4" t="str">
        <f>IF(T438="","",IFERROR(INDEX(激励事件明细!$C$2:$C$501,MATCH(T438,激励事件明细!$A$2:$A$501,0)),""))</f>
        <v/>
      </c>
      <c r="B438" s="4" t="str">
        <f>IF(A438="","",IFERROR(INDEX(激励事件明细!$D$2:$D$501,MATCH(T438,激励事件明细!$A$2:$A$501,0)),""))</f>
        <v/>
      </c>
      <c r="C438" s="4" t="str">
        <f>IF(A438="","",IFERROR(INDEX(激励事件明细!$H$2:$H$501,MATCH(T438,激励事件明细!$A$2:$A$501,0)),""))</f>
        <v/>
      </c>
      <c r="D438" s="9"/>
      <c r="E438" s="9"/>
      <c r="F438" s="15" t="str">
        <f>IF(A438="","",IFERROR(INDEX(激励事件明细!$AA$2:$AA$501,MATCH(T438,激励事件明细!$A$2:$A$501,0)),""))</f>
        <v/>
      </c>
      <c r="G438" s="17" t="str">
        <f>IF(A438="","",IFERROR(INDEX(激励事件明细!$AB$2:$AB$501,MATCH(T438,激励事件明细!$A$2:$A$501,0)),""))</f>
        <v/>
      </c>
      <c r="H438" s="17" t="str">
        <f>IF(A438="","",IFERROR(INDEX(激励事件明细!$AC$2:$AC$501,MATCH(T438,激励事件明细!$A$2:$A$501,0)),""))</f>
        <v/>
      </c>
      <c r="I438" s="13"/>
      <c r="J438" s="14"/>
      <c r="K438" s="14"/>
      <c r="L438" s="9"/>
      <c r="M438" s="15" t="str">
        <f t="shared" si="36"/>
        <v/>
      </c>
      <c r="N438" s="15" t="str">
        <f t="shared" si="37"/>
        <v/>
      </c>
      <c r="O438" s="4" t="str">
        <f t="shared" ca="1" si="38"/>
        <v/>
      </c>
      <c r="P438" s="17" t="str">
        <f>IF(A438="","",IFERROR(IF(INDEX(激励事件明细!$P$2:$P$501,MATCH(T438,激励事件明细!$A$2:$A$501,0))=0,"",INDEX(激励事件明细!$P$2:$P$501,MATCH(T438,激励事件明细!$A$2:$A$501,0))),""))</f>
        <v/>
      </c>
      <c r="Q438" s="4" t="str">
        <f t="shared" si="39"/>
        <v>无效</v>
      </c>
      <c r="R438" s="4" t="str">
        <f t="shared" ca="1" si="40"/>
        <v>异常：必须关联有效事件编号或税额批次</v>
      </c>
      <c r="S438" s="9"/>
      <c r="T438" s="4" t="str">
        <f>IF(D438&lt;&gt;"",IF(COUNTIF(激励事件明细!$A$2:$A$501,D438)=1,D438,""),IF(E438&lt;&gt;"",IFERROR(INDEX(激励事件明细!$A$2:$A$501,MATCH(E438,激励事件明细!$B$2:$B$501,0)),""),""))</f>
        <v/>
      </c>
      <c r="U438" s="4" t="str">
        <f>IF(T438="","",IFERROR(INDEX(激励事件明细!$B$2:$B$501,MATCH(T438,激励事件明细!$A$2:$A$501,0)),""))</f>
        <v/>
      </c>
      <c r="V438" s="4" t="str">
        <f>IF(A438="","",COUNTIF($A$2:A438,A438))</f>
        <v/>
      </c>
      <c r="W438" s="4" t="str">
        <f t="shared" si="41"/>
        <v/>
      </c>
    </row>
    <row r="439" spans="1:23" x14ac:dyDescent="0.3">
      <c r="A439" s="4" t="str">
        <f>IF(T439="","",IFERROR(INDEX(激励事件明细!$C$2:$C$501,MATCH(T439,激励事件明细!$A$2:$A$501,0)),""))</f>
        <v/>
      </c>
      <c r="B439" s="4" t="str">
        <f>IF(A439="","",IFERROR(INDEX(激励事件明细!$D$2:$D$501,MATCH(T439,激励事件明细!$A$2:$A$501,0)),""))</f>
        <v/>
      </c>
      <c r="C439" s="4" t="str">
        <f>IF(A439="","",IFERROR(INDEX(激励事件明细!$H$2:$H$501,MATCH(T439,激励事件明细!$A$2:$A$501,0)),""))</f>
        <v/>
      </c>
      <c r="D439" s="9"/>
      <c r="E439" s="9"/>
      <c r="F439" s="15" t="str">
        <f>IF(A439="","",IFERROR(INDEX(激励事件明细!$AA$2:$AA$501,MATCH(T439,激励事件明细!$A$2:$A$501,0)),""))</f>
        <v/>
      </c>
      <c r="G439" s="17" t="str">
        <f>IF(A439="","",IFERROR(INDEX(激励事件明细!$AB$2:$AB$501,MATCH(T439,激励事件明细!$A$2:$A$501,0)),""))</f>
        <v/>
      </c>
      <c r="H439" s="17" t="str">
        <f>IF(A439="","",IFERROR(INDEX(激励事件明细!$AC$2:$AC$501,MATCH(T439,激励事件明细!$A$2:$A$501,0)),""))</f>
        <v/>
      </c>
      <c r="I439" s="13"/>
      <c r="J439" s="14"/>
      <c r="K439" s="14"/>
      <c r="L439" s="9"/>
      <c r="M439" s="15" t="str">
        <f t="shared" si="36"/>
        <v/>
      </c>
      <c r="N439" s="15" t="str">
        <f t="shared" si="37"/>
        <v/>
      </c>
      <c r="O439" s="4" t="str">
        <f t="shared" ca="1" si="38"/>
        <v/>
      </c>
      <c r="P439" s="17" t="str">
        <f>IF(A439="","",IFERROR(IF(INDEX(激励事件明细!$P$2:$P$501,MATCH(T439,激励事件明细!$A$2:$A$501,0))=0,"",INDEX(激励事件明细!$P$2:$P$501,MATCH(T439,激励事件明细!$A$2:$A$501,0))),""))</f>
        <v/>
      </c>
      <c r="Q439" s="4" t="str">
        <f t="shared" si="39"/>
        <v>无效</v>
      </c>
      <c r="R439" s="4" t="str">
        <f t="shared" ca="1" si="40"/>
        <v>异常：必须关联有效事件编号或税额批次</v>
      </c>
      <c r="S439" s="9"/>
      <c r="T439" s="4" t="str">
        <f>IF(D439&lt;&gt;"",IF(COUNTIF(激励事件明细!$A$2:$A$501,D439)=1,D439,""),IF(E439&lt;&gt;"",IFERROR(INDEX(激励事件明细!$A$2:$A$501,MATCH(E439,激励事件明细!$B$2:$B$501,0)),""),""))</f>
        <v/>
      </c>
      <c r="U439" s="4" t="str">
        <f>IF(T439="","",IFERROR(INDEX(激励事件明细!$B$2:$B$501,MATCH(T439,激励事件明细!$A$2:$A$501,0)),""))</f>
        <v/>
      </c>
      <c r="V439" s="4" t="str">
        <f>IF(A439="","",COUNTIF($A$2:A439,A439))</f>
        <v/>
      </c>
      <c r="W439" s="4" t="str">
        <f t="shared" si="41"/>
        <v/>
      </c>
    </row>
    <row r="440" spans="1:23" x14ac:dyDescent="0.3">
      <c r="A440" s="4" t="str">
        <f>IF(T440="","",IFERROR(INDEX(激励事件明细!$C$2:$C$501,MATCH(T440,激励事件明细!$A$2:$A$501,0)),""))</f>
        <v/>
      </c>
      <c r="B440" s="4" t="str">
        <f>IF(A440="","",IFERROR(INDEX(激励事件明细!$D$2:$D$501,MATCH(T440,激励事件明细!$A$2:$A$501,0)),""))</f>
        <v/>
      </c>
      <c r="C440" s="4" t="str">
        <f>IF(A440="","",IFERROR(INDEX(激励事件明细!$H$2:$H$501,MATCH(T440,激励事件明细!$A$2:$A$501,0)),""))</f>
        <v/>
      </c>
      <c r="D440" s="9"/>
      <c r="E440" s="9"/>
      <c r="F440" s="15" t="str">
        <f>IF(A440="","",IFERROR(INDEX(激励事件明细!$AA$2:$AA$501,MATCH(T440,激励事件明细!$A$2:$A$501,0)),""))</f>
        <v/>
      </c>
      <c r="G440" s="17" t="str">
        <f>IF(A440="","",IFERROR(INDEX(激励事件明细!$AB$2:$AB$501,MATCH(T440,激励事件明细!$A$2:$A$501,0)),""))</f>
        <v/>
      </c>
      <c r="H440" s="17" t="str">
        <f>IF(A440="","",IFERROR(INDEX(激励事件明细!$AC$2:$AC$501,MATCH(T440,激励事件明细!$A$2:$A$501,0)),""))</f>
        <v/>
      </c>
      <c r="I440" s="13"/>
      <c r="J440" s="14"/>
      <c r="K440" s="14"/>
      <c r="L440" s="9"/>
      <c r="M440" s="15" t="str">
        <f t="shared" si="36"/>
        <v/>
      </c>
      <c r="N440" s="15" t="str">
        <f t="shared" si="37"/>
        <v/>
      </c>
      <c r="O440" s="4" t="str">
        <f t="shared" ca="1" si="38"/>
        <v/>
      </c>
      <c r="P440" s="17" t="str">
        <f>IF(A440="","",IFERROR(IF(INDEX(激励事件明细!$P$2:$P$501,MATCH(T440,激励事件明细!$A$2:$A$501,0))=0,"",INDEX(激励事件明细!$P$2:$P$501,MATCH(T440,激励事件明细!$A$2:$A$501,0))),""))</f>
        <v/>
      </c>
      <c r="Q440" s="4" t="str">
        <f t="shared" si="39"/>
        <v>无效</v>
      </c>
      <c r="R440" s="4" t="str">
        <f t="shared" ca="1" si="40"/>
        <v>异常：必须关联有效事件编号或税额批次</v>
      </c>
      <c r="S440" s="9"/>
      <c r="T440" s="4" t="str">
        <f>IF(D440&lt;&gt;"",IF(COUNTIF(激励事件明细!$A$2:$A$501,D440)=1,D440,""),IF(E440&lt;&gt;"",IFERROR(INDEX(激励事件明细!$A$2:$A$501,MATCH(E440,激励事件明细!$B$2:$B$501,0)),""),""))</f>
        <v/>
      </c>
      <c r="U440" s="4" t="str">
        <f>IF(T440="","",IFERROR(INDEX(激励事件明细!$B$2:$B$501,MATCH(T440,激励事件明细!$A$2:$A$501,0)),""))</f>
        <v/>
      </c>
      <c r="V440" s="4" t="str">
        <f>IF(A440="","",COUNTIF($A$2:A440,A440))</f>
        <v/>
      </c>
      <c r="W440" s="4" t="str">
        <f t="shared" si="41"/>
        <v/>
      </c>
    </row>
    <row r="441" spans="1:23" x14ac:dyDescent="0.3">
      <c r="A441" s="4" t="str">
        <f>IF(T441="","",IFERROR(INDEX(激励事件明细!$C$2:$C$501,MATCH(T441,激励事件明细!$A$2:$A$501,0)),""))</f>
        <v/>
      </c>
      <c r="B441" s="4" t="str">
        <f>IF(A441="","",IFERROR(INDEX(激励事件明细!$D$2:$D$501,MATCH(T441,激励事件明细!$A$2:$A$501,0)),""))</f>
        <v/>
      </c>
      <c r="C441" s="4" t="str">
        <f>IF(A441="","",IFERROR(INDEX(激励事件明细!$H$2:$H$501,MATCH(T441,激励事件明细!$A$2:$A$501,0)),""))</f>
        <v/>
      </c>
      <c r="D441" s="9"/>
      <c r="E441" s="9"/>
      <c r="F441" s="15" t="str">
        <f>IF(A441="","",IFERROR(INDEX(激励事件明细!$AA$2:$AA$501,MATCH(T441,激励事件明细!$A$2:$A$501,0)),""))</f>
        <v/>
      </c>
      <c r="G441" s="17" t="str">
        <f>IF(A441="","",IFERROR(INDEX(激励事件明细!$AB$2:$AB$501,MATCH(T441,激励事件明细!$A$2:$A$501,0)),""))</f>
        <v/>
      </c>
      <c r="H441" s="17" t="str">
        <f>IF(A441="","",IFERROR(INDEX(激励事件明细!$AC$2:$AC$501,MATCH(T441,激励事件明细!$A$2:$A$501,0)),""))</f>
        <v/>
      </c>
      <c r="I441" s="13"/>
      <c r="J441" s="14"/>
      <c r="K441" s="14"/>
      <c r="L441" s="9"/>
      <c r="M441" s="15" t="str">
        <f t="shared" si="36"/>
        <v/>
      </c>
      <c r="N441" s="15" t="str">
        <f t="shared" si="37"/>
        <v/>
      </c>
      <c r="O441" s="4" t="str">
        <f t="shared" ca="1" si="38"/>
        <v/>
      </c>
      <c r="P441" s="17" t="str">
        <f>IF(A441="","",IFERROR(IF(INDEX(激励事件明细!$P$2:$P$501,MATCH(T441,激励事件明细!$A$2:$A$501,0))=0,"",INDEX(激励事件明细!$P$2:$P$501,MATCH(T441,激励事件明细!$A$2:$A$501,0))),""))</f>
        <v/>
      </c>
      <c r="Q441" s="4" t="str">
        <f t="shared" si="39"/>
        <v>无效</v>
      </c>
      <c r="R441" s="4" t="str">
        <f t="shared" ca="1" si="40"/>
        <v>异常：必须关联有效事件编号或税额批次</v>
      </c>
      <c r="S441" s="9"/>
      <c r="T441" s="4" t="str">
        <f>IF(D441&lt;&gt;"",IF(COUNTIF(激励事件明细!$A$2:$A$501,D441)=1,D441,""),IF(E441&lt;&gt;"",IFERROR(INDEX(激励事件明细!$A$2:$A$501,MATCH(E441,激励事件明细!$B$2:$B$501,0)),""),""))</f>
        <v/>
      </c>
      <c r="U441" s="4" t="str">
        <f>IF(T441="","",IFERROR(INDEX(激励事件明细!$B$2:$B$501,MATCH(T441,激励事件明细!$A$2:$A$501,0)),""))</f>
        <v/>
      </c>
      <c r="V441" s="4" t="str">
        <f>IF(A441="","",COUNTIF($A$2:A441,A441))</f>
        <v/>
      </c>
      <c r="W441" s="4" t="str">
        <f t="shared" si="41"/>
        <v/>
      </c>
    </row>
    <row r="442" spans="1:23" x14ac:dyDescent="0.3">
      <c r="A442" s="4" t="str">
        <f>IF(T442="","",IFERROR(INDEX(激励事件明细!$C$2:$C$501,MATCH(T442,激励事件明细!$A$2:$A$501,0)),""))</f>
        <v/>
      </c>
      <c r="B442" s="4" t="str">
        <f>IF(A442="","",IFERROR(INDEX(激励事件明细!$D$2:$D$501,MATCH(T442,激励事件明细!$A$2:$A$501,0)),""))</f>
        <v/>
      </c>
      <c r="C442" s="4" t="str">
        <f>IF(A442="","",IFERROR(INDEX(激励事件明细!$H$2:$H$501,MATCH(T442,激励事件明细!$A$2:$A$501,0)),""))</f>
        <v/>
      </c>
      <c r="D442" s="9"/>
      <c r="E442" s="9"/>
      <c r="F442" s="15" t="str">
        <f>IF(A442="","",IFERROR(INDEX(激励事件明细!$AA$2:$AA$501,MATCH(T442,激励事件明细!$A$2:$A$501,0)),""))</f>
        <v/>
      </c>
      <c r="G442" s="17" t="str">
        <f>IF(A442="","",IFERROR(INDEX(激励事件明细!$AB$2:$AB$501,MATCH(T442,激励事件明细!$A$2:$A$501,0)),""))</f>
        <v/>
      </c>
      <c r="H442" s="17" t="str">
        <f>IF(A442="","",IFERROR(INDEX(激励事件明细!$AC$2:$AC$501,MATCH(T442,激励事件明细!$A$2:$A$501,0)),""))</f>
        <v/>
      </c>
      <c r="I442" s="13"/>
      <c r="J442" s="14"/>
      <c r="K442" s="14"/>
      <c r="L442" s="9"/>
      <c r="M442" s="15" t="str">
        <f t="shared" si="36"/>
        <v/>
      </c>
      <c r="N442" s="15" t="str">
        <f t="shared" si="37"/>
        <v/>
      </c>
      <c r="O442" s="4" t="str">
        <f t="shared" ca="1" si="38"/>
        <v/>
      </c>
      <c r="P442" s="17" t="str">
        <f>IF(A442="","",IFERROR(IF(INDEX(激励事件明细!$P$2:$P$501,MATCH(T442,激励事件明细!$A$2:$A$501,0))=0,"",INDEX(激励事件明细!$P$2:$P$501,MATCH(T442,激励事件明细!$A$2:$A$501,0))),""))</f>
        <v/>
      </c>
      <c r="Q442" s="4" t="str">
        <f t="shared" si="39"/>
        <v>无效</v>
      </c>
      <c r="R442" s="4" t="str">
        <f t="shared" ca="1" si="40"/>
        <v>异常：必须关联有效事件编号或税额批次</v>
      </c>
      <c r="S442" s="9"/>
      <c r="T442" s="4" t="str">
        <f>IF(D442&lt;&gt;"",IF(COUNTIF(激励事件明细!$A$2:$A$501,D442)=1,D442,""),IF(E442&lt;&gt;"",IFERROR(INDEX(激励事件明细!$A$2:$A$501,MATCH(E442,激励事件明细!$B$2:$B$501,0)),""),""))</f>
        <v/>
      </c>
      <c r="U442" s="4" t="str">
        <f>IF(T442="","",IFERROR(INDEX(激励事件明细!$B$2:$B$501,MATCH(T442,激励事件明细!$A$2:$A$501,0)),""))</f>
        <v/>
      </c>
      <c r="V442" s="4" t="str">
        <f>IF(A442="","",COUNTIF($A$2:A442,A442))</f>
        <v/>
      </c>
      <c r="W442" s="4" t="str">
        <f t="shared" si="41"/>
        <v/>
      </c>
    </row>
    <row r="443" spans="1:23" x14ac:dyDescent="0.3">
      <c r="A443" s="4" t="str">
        <f>IF(T443="","",IFERROR(INDEX(激励事件明细!$C$2:$C$501,MATCH(T443,激励事件明细!$A$2:$A$501,0)),""))</f>
        <v/>
      </c>
      <c r="B443" s="4" t="str">
        <f>IF(A443="","",IFERROR(INDEX(激励事件明细!$D$2:$D$501,MATCH(T443,激励事件明细!$A$2:$A$501,0)),""))</f>
        <v/>
      </c>
      <c r="C443" s="4" t="str">
        <f>IF(A443="","",IFERROR(INDEX(激励事件明细!$H$2:$H$501,MATCH(T443,激励事件明细!$A$2:$A$501,0)),""))</f>
        <v/>
      </c>
      <c r="D443" s="9"/>
      <c r="E443" s="9"/>
      <c r="F443" s="15" t="str">
        <f>IF(A443="","",IFERROR(INDEX(激励事件明细!$AA$2:$AA$501,MATCH(T443,激励事件明细!$A$2:$A$501,0)),""))</f>
        <v/>
      </c>
      <c r="G443" s="17" t="str">
        <f>IF(A443="","",IFERROR(INDEX(激励事件明细!$AB$2:$AB$501,MATCH(T443,激励事件明细!$A$2:$A$501,0)),""))</f>
        <v/>
      </c>
      <c r="H443" s="17" t="str">
        <f>IF(A443="","",IFERROR(INDEX(激励事件明细!$AC$2:$AC$501,MATCH(T443,激励事件明细!$A$2:$A$501,0)),""))</f>
        <v/>
      </c>
      <c r="I443" s="13"/>
      <c r="J443" s="14"/>
      <c r="K443" s="14"/>
      <c r="L443" s="9"/>
      <c r="M443" s="15" t="str">
        <f t="shared" si="36"/>
        <v/>
      </c>
      <c r="N443" s="15" t="str">
        <f t="shared" si="37"/>
        <v/>
      </c>
      <c r="O443" s="4" t="str">
        <f t="shared" ca="1" si="38"/>
        <v/>
      </c>
      <c r="P443" s="17" t="str">
        <f>IF(A443="","",IFERROR(IF(INDEX(激励事件明细!$P$2:$P$501,MATCH(T443,激励事件明细!$A$2:$A$501,0))=0,"",INDEX(激励事件明细!$P$2:$P$501,MATCH(T443,激励事件明细!$A$2:$A$501,0))),""))</f>
        <v/>
      </c>
      <c r="Q443" s="4" t="str">
        <f t="shared" si="39"/>
        <v>无效</v>
      </c>
      <c r="R443" s="4" t="str">
        <f t="shared" ca="1" si="40"/>
        <v>异常：必须关联有效事件编号或税额批次</v>
      </c>
      <c r="S443" s="9"/>
      <c r="T443" s="4" t="str">
        <f>IF(D443&lt;&gt;"",IF(COUNTIF(激励事件明细!$A$2:$A$501,D443)=1,D443,""),IF(E443&lt;&gt;"",IFERROR(INDEX(激励事件明细!$A$2:$A$501,MATCH(E443,激励事件明细!$B$2:$B$501,0)),""),""))</f>
        <v/>
      </c>
      <c r="U443" s="4" t="str">
        <f>IF(T443="","",IFERROR(INDEX(激励事件明细!$B$2:$B$501,MATCH(T443,激励事件明细!$A$2:$A$501,0)),""))</f>
        <v/>
      </c>
      <c r="V443" s="4" t="str">
        <f>IF(A443="","",COUNTIF($A$2:A443,A443))</f>
        <v/>
      </c>
      <c r="W443" s="4" t="str">
        <f t="shared" si="41"/>
        <v/>
      </c>
    </row>
    <row r="444" spans="1:23" x14ac:dyDescent="0.3">
      <c r="A444" s="4" t="str">
        <f>IF(T444="","",IFERROR(INDEX(激励事件明细!$C$2:$C$501,MATCH(T444,激励事件明细!$A$2:$A$501,0)),""))</f>
        <v/>
      </c>
      <c r="B444" s="4" t="str">
        <f>IF(A444="","",IFERROR(INDEX(激励事件明细!$D$2:$D$501,MATCH(T444,激励事件明细!$A$2:$A$501,0)),""))</f>
        <v/>
      </c>
      <c r="C444" s="4" t="str">
        <f>IF(A444="","",IFERROR(INDEX(激励事件明细!$H$2:$H$501,MATCH(T444,激励事件明细!$A$2:$A$501,0)),""))</f>
        <v/>
      </c>
      <c r="D444" s="9"/>
      <c r="E444" s="9"/>
      <c r="F444" s="15" t="str">
        <f>IF(A444="","",IFERROR(INDEX(激励事件明细!$AA$2:$AA$501,MATCH(T444,激励事件明细!$A$2:$A$501,0)),""))</f>
        <v/>
      </c>
      <c r="G444" s="17" t="str">
        <f>IF(A444="","",IFERROR(INDEX(激励事件明细!$AB$2:$AB$501,MATCH(T444,激励事件明细!$A$2:$A$501,0)),""))</f>
        <v/>
      </c>
      <c r="H444" s="17" t="str">
        <f>IF(A444="","",IFERROR(INDEX(激励事件明细!$AC$2:$AC$501,MATCH(T444,激励事件明细!$A$2:$A$501,0)),""))</f>
        <v/>
      </c>
      <c r="I444" s="13"/>
      <c r="J444" s="14"/>
      <c r="K444" s="14"/>
      <c r="L444" s="9"/>
      <c r="M444" s="15" t="str">
        <f t="shared" si="36"/>
        <v/>
      </c>
      <c r="N444" s="15" t="str">
        <f t="shared" si="37"/>
        <v/>
      </c>
      <c r="O444" s="4" t="str">
        <f t="shared" ca="1" si="38"/>
        <v/>
      </c>
      <c r="P444" s="17" t="str">
        <f>IF(A444="","",IFERROR(IF(INDEX(激励事件明细!$P$2:$P$501,MATCH(T444,激励事件明细!$A$2:$A$501,0))=0,"",INDEX(激励事件明细!$P$2:$P$501,MATCH(T444,激励事件明细!$A$2:$A$501,0))),""))</f>
        <v/>
      </c>
      <c r="Q444" s="4" t="str">
        <f t="shared" si="39"/>
        <v>无效</v>
      </c>
      <c r="R444" s="4" t="str">
        <f t="shared" ca="1" si="40"/>
        <v>异常：必须关联有效事件编号或税额批次</v>
      </c>
      <c r="S444" s="9"/>
      <c r="T444" s="4" t="str">
        <f>IF(D444&lt;&gt;"",IF(COUNTIF(激励事件明细!$A$2:$A$501,D444)=1,D444,""),IF(E444&lt;&gt;"",IFERROR(INDEX(激励事件明细!$A$2:$A$501,MATCH(E444,激励事件明细!$B$2:$B$501,0)),""),""))</f>
        <v/>
      </c>
      <c r="U444" s="4" t="str">
        <f>IF(T444="","",IFERROR(INDEX(激励事件明细!$B$2:$B$501,MATCH(T444,激励事件明细!$A$2:$A$501,0)),""))</f>
        <v/>
      </c>
      <c r="V444" s="4" t="str">
        <f>IF(A444="","",COUNTIF($A$2:A444,A444))</f>
        <v/>
      </c>
      <c r="W444" s="4" t="str">
        <f t="shared" si="41"/>
        <v/>
      </c>
    </row>
    <row r="445" spans="1:23" x14ac:dyDescent="0.3">
      <c r="A445" s="4" t="str">
        <f>IF(T445="","",IFERROR(INDEX(激励事件明细!$C$2:$C$501,MATCH(T445,激励事件明细!$A$2:$A$501,0)),""))</f>
        <v/>
      </c>
      <c r="B445" s="4" t="str">
        <f>IF(A445="","",IFERROR(INDEX(激励事件明细!$D$2:$D$501,MATCH(T445,激励事件明细!$A$2:$A$501,0)),""))</f>
        <v/>
      </c>
      <c r="C445" s="4" t="str">
        <f>IF(A445="","",IFERROR(INDEX(激励事件明细!$H$2:$H$501,MATCH(T445,激励事件明细!$A$2:$A$501,0)),""))</f>
        <v/>
      </c>
      <c r="D445" s="9"/>
      <c r="E445" s="9"/>
      <c r="F445" s="15" t="str">
        <f>IF(A445="","",IFERROR(INDEX(激励事件明细!$AA$2:$AA$501,MATCH(T445,激励事件明细!$A$2:$A$501,0)),""))</f>
        <v/>
      </c>
      <c r="G445" s="17" t="str">
        <f>IF(A445="","",IFERROR(INDEX(激励事件明细!$AB$2:$AB$501,MATCH(T445,激励事件明细!$A$2:$A$501,0)),""))</f>
        <v/>
      </c>
      <c r="H445" s="17" t="str">
        <f>IF(A445="","",IFERROR(INDEX(激励事件明细!$AC$2:$AC$501,MATCH(T445,激励事件明细!$A$2:$A$501,0)),""))</f>
        <v/>
      </c>
      <c r="I445" s="13"/>
      <c r="J445" s="14"/>
      <c r="K445" s="14"/>
      <c r="L445" s="9"/>
      <c r="M445" s="15" t="str">
        <f t="shared" si="36"/>
        <v/>
      </c>
      <c r="N445" s="15" t="str">
        <f t="shared" si="37"/>
        <v/>
      </c>
      <c r="O445" s="4" t="str">
        <f t="shared" ca="1" si="38"/>
        <v/>
      </c>
      <c r="P445" s="17" t="str">
        <f>IF(A445="","",IFERROR(IF(INDEX(激励事件明细!$P$2:$P$501,MATCH(T445,激励事件明细!$A$2:$A$501,0))=0,"",INDEX(激励事件明细!$P$2:$P$501,MATCH(T445,激励事件明细!$A$2:$A$501,0))),""))</f>
        <v/>
      </c>
      <c r="Q445" s="4" t="str">
        <f t="shared" si="39"/>
        <v>无效</v>
      </c>
      <c r="R445" s="4" t="str">
        <f t="shared" ca="1" si="40"/>
        <v>异常：必须关联有效事件编号或税额批次</v>
      </c>
      <c r="S445" s="9"/>
      <c r="T445" s="4" t="str">
        <f>IF(D445&lt;&gt;"",IF(COUNTIF(激励事件明细!$A$2:$A$501,D445)=1,D445,""),IF(E445&lt;&gt;"",IFERROR(INDEX(激励事件明细!$A$2:$A$501,MATCH(E445,激励事件明细!$B$2:$B$501,0)),""),""))</f>
        <v/>
      </c>
      <c r="U445" s="4" t="str">
        <f>IF(T445="","",IFERROR(INDEX(激励事件明细!$B$2:$B$501,MATCH(T445,激励事件明细!$A$2:$A$501,0)),""))</f>
        <v/>
      </c>
      <c r="V445" s="4" t="str">
        <f>IF(A445="","",COUNTIF($A$2:A445,A445))</f>
        <v/>
      </c>
      <c r="W445" s="4" t="str">
        <f t="shared" si="41"/>
        <v/>
      </c>
    </row>
    <row r="446" spans="1:23" x14ac:dyDescent="0.3">
      <c r="A446" s="4" t="str">
        <f>IF(T446="","",IFERROR(INDEX(激励事件明细!$C$2:$C$501,MATCH(T446,激励事件明细!$A$2:$A$501,0)),""))</f>
        <v/>
      </c>
      <c r="B446" s="4" t="str">
        <f>IF(A446="","",IFERROR(INDEX(激励事件明细!$D$2:$D$501,MATCH(T446,激励事件明细!$A$2:$A$501,0)),""))</f>
        <v/>
      </c>
      <c r="C446" s="4" t="str">
        <f>IF(A446="","",IFERROR(INDEX(激励事件明细!$H$2:$H$501,MATCH(T446,激励事件明细!$A$2:$A$501,0)),""))</f>
        <v/>
      </c>
      <c r="D446" s="9"/>
      <c r="E446" s="9"/>
      <c r="F446" s="15" t="str">
        <f>IF(A446="","",IFERROR(INDEX(激励事件明细!$AA$2:$AA$501,MATCH(T446,激励事件明细!$A$2:$A$501,0)),""))</f>
        <v/>
      </c>
      <c r="G446" s="17" t="str">
        <f>IF(A446="","",IFERROR(INDEX(激励事件明细!$AB$2:$AB$501,MATCH(T446,激励事件明细!$A$2:$A$501,0)),""))</f>
        <v/>
      </c>
      <c r="H446" s="17" t="str">
        <f>IF(A446="","",IFERROR(INDEX(激励事件明细!$AC$2:$AC$501,MATCH(T446,激励事件明细!$A$2:$A$501,0)),""))</f>
        <v/>
      </c>
      <c r="I446" s="13"/>
      <c r="J446" s="14"/>
      <c r="K446" s="14"/>
      <c r="L446" s="9"/>
      <c r="M446" s="15" t="str">
        <f t="shared" si="36"/>
        <v/>
      </c>
      <c r="N446" s="15" t="str">
        <f t="shared" si="37"/>
        <v/>
      </c>
      <c r="O446" s="4" t="str">
        <f t="shared" ca="1" si="38"/>
        <v/>
      </c>
      <c r="P446" s="17" t="str">
        <f>IF(A446="","",IFERROR(IF(INDEX(激励事件明细!$P$2:$P$501,MATCH(T446,激励事件明细!$A$2:$A$501,0))=0,"",INDEX(激励事件明细!$P$2:$P$501,MATCH(T446,激励事件明细!$A$2:$A$501,0))),""))</f>
        <v/>
      </c>
      <c r="Q446" s="4" t="str">
        <f t="shared" si="39"/>
        <v>无效</v>
      </c>
      <c r="R446" s="4" t="str">
        <f t="shared" ca="1" si="40"/>
        <v>异常：必须关联有效事件编号或税额批次</v>
      </c>
      <c r="S446" s="9"/>
      <c r="T446" s="4" t="str">
        <f>IF(D446&lt;&gt;"",IF(COUNTIF(激励事件明细!$A$2:$A$501,D446)=1,D446,""),IF(E446&lt;&gt;"",IFERROR(INDEX(激励事件明细!$A$2:$A$501,MATCH(E446,激励事件明细!$B$2:$B$501,0)),""),""))</f>
        <v/>
      </c>
      <c r="U446" s="4" t="str">
        <f>IF(T446="","",IFERROR(INDEX(激励事件明细!$B$2:$B$501,MATCH(T446,激励事件明细!$A$2:$A$501,0)),""))</f>
        <v/>
      </c>
      <c r="V446" s="4" t="str">
        <f>IF(A446="","",COUNTIF($A$2:A446,A446))</f>
        <v/>
      </c>
      <c r="W446" s="4" t="str">
        <f t="shared" si="41"/>
        <v/>
      </c>
    </row>
    <row r="447" spans="1:23" x14ac:dyDescent="0.3">
      <c r="A447" s="4" t="str">
        <f>IF(T447="","",IFERROR(INDEX(激励事件明细!$C$2:$C$501,MATCH(T447,激励事件明细!$A$2:$A$501,0)),""))</f>
        <v/>
      </c>
      <c r="B447" s="4" t="str">
        <f>IF(A447="","",IFERROR(INDEX(激励事件明细!$D$2:$D$501,MATCH(T447,激励事件明细!$A$2:$A$501,0)),""))</f>
        <v/>
      </c>
      <c r="C447" s="4" t="str">
        <f>IF(A447="","",IFERROR(INDEX(激励事件明细!$H$2:$H$501,MATCH(T447,激励事件明细!$A$2:$A$501,0)),""))</f>
        <v/>
      </c>
      <c r="D447" s="9"/>
      <c r="E447" s="9"/>
      <c r="F447" s="15" t="str">
        <f>IF(A447="","",IFERROR(INDEX(激励事件明细!$AA$2:$AA$501,MATCH(T447,激励事件明细!$A$2:$A$501,0)),""))</f>
        <v/>
      </c>
      <c r="G447" s="17" t="str">
        <f>IF(A447="","",IFERROR(INDEX(激励事件明细!$AB$2:$AB$501,MATCH(T447,激励事件明细!$A$2:$A$501,0)),""))</f>
        <v/>
      </c>
      <c r="H447" s="17" t="str">
        <f>IF(A447="","",IFERROR(INDEX(激励事件明细!$AC$2:$AC$501,MATCH(T447,激励事件明细!$A$2:$A$501,0)),""))</f>
        <v/>
      </c>
      <c r="I447" s="13"/>
      <c r="J447" s="14"/>
      <c r="K447" s="14"/>
      <c r="L447" s="9"/>
      <c r="M447" s="15" t="str">
        <f t="shared" si="36"/>
        <v/>
      </c>
      <c r="N447" s="15" t="str">
        <f t="shared" si="37"/>
        <v/>
      </c>
      <c r="O447" s="4" t="str">
        <f t="shared" ca="1" si="38"/>
        <v/>
      </c>
      <c r="P447" s="17" t="str">
        <f>IF(A447="","",IFERROR(IF(INDEX(激励事件明细!$P$2:$P$501,MATCH(T447,激励事件明细!$A$2:$A$501,0))=0,"",INDEX(激励事件明细!$P$2:$P$501,MATCH(T447,激励事件明细!$A$2:$A$501,0))),""))</f>
        <v/>
      </c>
      <c r="Q447" s="4" t="str">
        <f t="shared" si="39"/>
        <v>无效</v>
      </c>
      <c r="R447" s="4" t="str">
        <f t="shared" ca="1" si="40"/>
        <v>异常：必须关联有效事件编号或税额批次</v>
      </c>
      <c r="S447" s="9"/>
      <c r="T447" s="4" t="str">
        <f>IF(D447&lt;&gt;"",IF(COUNTIF(激励事件明细!$A$2:$A$501,D447)=1,D447,""),IF(E447&lt;&gt;"",IFERROR(INDEX(激励事件明细!$A$2:$A$501,MATCH(E447,激励事件明细!$B$2:$B$501,0)),""),""))</f>
        <v/>
      </c>
      <c r="U447" s="4" t="str">
        <f>IF(T447="","",IFERROR(INDEX(激励事件明细!$B$2:$B$501,MATCH(T447,激励事件明细!$A$2:$A$501,0)),""))</f>
        <v/>
      </c>
      <c r="V447" s="4" t="str">
        <f>IF(A447="","",COUNTIF($A$2:A447,A447))</f>
        <v/>
      </c>
      <c r="W447" s="4" t="str">
        <f t="shared" si="41"/>
        <v/>
      </c>
    </row>
    <row r="448" spans="1:23" x14ac:dyDescent="0.3">
      <c r="A448" s="4" t="str">
        <f>IF(T448="","",IFERROR(INDEX(激励事件明细!$C$2:$C$501,MATCH(T448,激励事件明细!$A$2:$A$501,0)),""))</f>
        <v/>
      </c>
      <c r="B448" s="4" t="str">
        <f>IF(A448="","",IFERROR(INDEX(激励事件明细!$D$2:$D$501,MATCH(T448,激励事件明细!$A$2:$A$501,0)),""))</f>
        <v/>
      </c>
      <c r="C448" s="4" t="str">
        <f>IF(A448="","",IFERROR(INDEX(激励事件明细!$H$2:$H$501,MATCH(T448,激励事件明细!$A$2:$A$501,0)),""))</f>
        <v/>
      </c>
      <c r="D448" s="9"/>
      <c r="E448" s="9"/>
      <c r="F448" s="15" t="str">
        <f>IF(A448="","",IFERROR(INDEX(激励事件明细!$AA$2:$AA$501,MATCH(T448,激励事件明细!$A$2:$A$501,0)),""))</f>
        <v/>
      </c>
      <c r="G448" s="17" t="str">
        <f>IF(A448="","",IFERROR(INDEX(激励事件明细!$AB$2:$AB$501,MATCH(T448,激励事件明细!$A$2:$A$501,0)),""))</f>
        <v/>
      </c>
      <c r="H448" s="17" t="str">
        <f>IF(A448="","",IFERROR(INDEX(激励事件明细!$AC$2:$AC$501,MATCH(T448,激励事件明细!$A$2:$A$501,0)),""))</f>
        <v/>
      </c>
      <c r="I448" s="13"/>
      <c r="J448" s="14"/>
      <c r="K448" s="14"/>
      <c r="L448" s="9"/>
      <c r="M448" s="15" t="str">
        <f t="shared" si="36"/>
        <v/>
      </c>
      <c r="N448" s="15" t="str">
        <f t="shared" si="37"/>
        <v/>
      </c>
      <c r="O448" s="4" t="str">
        <f t="shared" ca="1" si="38"/>
        <v/>
      </c>
      <c r="P448" s="17" t="str">
        <f>IF(A448="","",IFERROR(IF(INDEX(激励事件明细!$P$2:$P$501,MATCH(T448,激励事件明细!$A$2:$A$501,0))=0,"",INDEX(激励事件明细!$P$2:$P$501,MATCH(T448,激励事件明细!$A$2:$A$501,0))),""))</f>
        <v/>
      </c>
      <c r="Q448" s="4" t="str">
        <f t="shared" si="39"/>
        <v>无效</v>
      </c>
      <c r="R448" s="4" t="str">
        <f t="shared" ca="1" si="40"/>
        <v>异常：必须关联有效事件编号或税额批次</v>
      </c>
      <c r="S448" s="9"/>
      <c r="T448" s="4" t="str">
        <f>IF(D448&lt;&gt;"",IF(COUNTIF(激励事件明细!$A$2:$A$501,D448)=1,D448,""),IF(E448&lt;&gt;"",IFERROR(INDEX(激励事件明细!$A$2:$A$501,MATCH(E448,激励事件明细!$B$2:$B$501,0)),""),""))</f>
        <v/>
      </c>
      <c r="U448" s="4" t="str">
        <f>IF(T448="","",IFERROR(INDEX(激励事件明细!$B$2:$B$501,MATCH(T448,激励事件明细!$A$2:$A$501,0)),""))</f>
        <v/>
      </c>
      <c r="V448" s="4" t="str">
        <f>IF(A448="","",COUNTIF($A$2:A448,A448))</f>
        <v/>
      </c>
      <c r="W448" s="4" t="str">
        <f t="shared" si="41"/>
        <v/>
      </c>
    </row>
    <row r="449" spans="1:23" x14ac:dyDescent="0.3">
      <c r="A449" s="4" t="str">
        <f>IF(T449="","",IFERROR(INDEX(激励事件明细!$C$2:$C$501,MATCH(T449,激励事件明细!$A$2:$A$501,0)),""))</f>
        <v/>
      </c>
      <c r="B449" s="4" t="str">
        <f>IF(A449="","",IFERROR(INDEX(激励事件明细!$D$2:$D$501,MATCH(T449,激励事件明细!$A$2:$A$501,0)),""))</f>
        <v/>
      </c>
      <c r="C449" s="4" t="str">
        <f>IF(A449="","",IFERROR(INDEX(激励事件明细!$H$2:$H$501,MATCH(T449,激励事件明细!$A$2:$A$501,0)),""))</f>
        <v/>
      </c>
      <c r="D449" s="9"/>
      <c r="E449" s="9"/>
      <c r="F449" s="15" t="str">
        <f>IF(A449="","",IFERROR(INDEX(激励事件明细!$AA$2:$AA$501,MATCH(T449,激励事件明细!$A$2:$A$501,0)),""))</f>
        <v/>
      </c>
      <c r="G449" s="17" t="str">
        <f>IF(A449="","",IFERROR(INDEX(激励事件明细!$AB$2:$AB$501,MATCH(T449,激励事件明细!$A$2:$A$501,0)),""))</f>
        <v/>
      </c>
      <c r="H449" s="17" t="str">
        <f>IF(A449="","",IFERROR(INDEX(激励事件明细!$AC$2:$AC$501,MATCH(T449,激励事件明细!$A$2:$A$501,0)),""))</f>
        <v/>
      </c>
      <c r="I449" s="13"/>
      <c r="J449" s="14"/>
      <c r="K449" s="14"/>
      <c r="L449" s="9"/>
      <c r="M449" s="15" t="str">
        <f t="shared" si="36"/>
        <v/>
      </c>
      <c r="N449" s="15" t="str">
        <f t="shared" si="37"/>
        <v/>
      </c>
      <c r="O449" s="4" t="str">
        <f t="shared" ca="1" si="38"/>
        <v/>
      </c>
      <c r="P449" s="17" t="str">
        <f>IF(A449="","",IFERROR(IF(INDEX(激励事件明细!$P$2:$P$501,MATCH(T449,激励事件明细!$A$2:$A$501,0))=0,"",INDEX(激励事件明细!$P$2:$P$501,MATCH(T449,激励事件明细!$A$2:$A$501,0))),""))</f>
        <v/>
      </c>
      <c r="Q449" s="4" t="str">
        <f t="shared" si="39"/>
        <v>无效</v>
      </c>
      <c r="R449" s="4" t="str">
        <f t="shared" ca="1" si="40"/>
        <v>异常：必须关联有效事件编号或税额批次</v>
      </c>
      <c r="S449" s="9"/>
      <c r="T449" s="4" t="str">
        <f>IF(D449&lt;&gt;"",IF(COUNTIF(激励事件明细!$A$2:$A$501,D449)=1,D449,""),IF(E449&lt;&gt;"",IFERROR(INDEX(激励事件明细!$A$2:$A$501,MATCH(E449,激励事件明细!$B$2:$B$501,0)),""),""))</f>
        <v/>
      </c>
      <c r="U449" s="4" t="str">
        <f>IF(T449="","",IFERROR(INDEX(激励事件明细!$B$2:$B$501,MATCH(T449,激励事件明细!$A$2:$A$501,0)),""))</f>
        <v/>
      </c>
      <c r="V449" s="4" t="str">
        <f>IF(A449="","",COUNTIF($A$2:A449,A449))</f>
        <v/>
      </c>
      <c r="W449" s="4" t="str">
        <f t="shared" si="41"/>
        <v/>
      </c>
    </row>
    <row r="450" spans="1:23" x14ac:dyDescent="0.3">
      <c r="A450" s="4" t="str">
        <f>IF(T450="","",IFERROR(INDEX(激励事件明细!$C$2:$C$501,MATCH(T450,激励事件明细!$A$2:$A$501,0)),""))</f>
        <v/>
      </c>
      <c r="B450" s="4" t="str">
        <f>IF(A450="","",IFERROR(INDEX(激励事件明细!$D$2:$D$501,MATCH(T450,激励事件明细!$A$2:$A$501,0)),""))</f>
        <v/>
      </c>
      <c r="C450" s="4" t="str">
        <f>IF(A450="","",IFERROR(INDEX(激励事件明细!$H$2:$H$501,MATCH(T450,激励事件明细!$A$2:$A$501,0)),""))</f>
        <v/>
      </c>
      <c r="D450" s="9"/>
      <c r="E450" s="9"/>
      <c r="F450" s="15" t="str">
        <f>IF(A450="","",IFERROR(INDEX(激励事件明细!$AA$2:$AA$501,MATCH(T450,激励事件明细!$A$2:$A$501,0)),""))</f>
        <v/>
      </c>
      <c r="G450" s="17" t="str">
        <f>IF(A450="","",IFERROR(INDEX(激励事件明细!$AB$2:$AB$501,MATCH(T450,激励事件明细!$A$2:$A$501,0)),""))</f>
        <v/>
      </c>
      <c r="H450" s="17" t="str">
        <f>IF(A450="","",IFERROR(INDEX(激励事件明细!$AC$2:$AC$501,MATCH(T450,激励事件明细!$A$2:$A$501,0)),""))</f>
        <v/>
      </c>
      <c r="I450" s="13"/>
      <c r="J450" s="14"/>
      <c r="K450" s="14"/>
      <c r="L450" s="9"/>
      <c r="M450" s="15" t="str">
        <f t="shared" ref="M450:M501" si="42">IF(T450="","",SUMIFS($K$2:$K$501,$T$2:$T$501,T450,$Q$2:$Q$501,"有效"))</f>
        <v/>
      </c>
      <c r="N450" s="15" t="str">
        <f t="shared" ref="N450:N513" si="43">IF(F450="","",MAX(0,F450-M450))</f>
        <v/>
      </c>
      <c r="O450" s="4" t="str">
        <f t="shared" ref="O450:O513" ca="1" si="44">IF(A450="","",IF(AND(I450&lt;&gt;"",I450&gt;H450),"是",IF(AND(TODAY()&gt;H450,N450&gt;0),"是","否")))</f>
        <v/>
      </c>
      <c r="P450" s="17" t="str">
        <f>IF(A450="","",IFERROR(IF(INDEX(激励事件明细!$P$2:$P$501,MATCH(T450,激励事件明细!$A$2:$A$501,0))=0,"",INDEX(激励事件明细!$P$2:$P$501,MATCH(T450,激励事件明细!$A$2:$A$501,0))),""))</f>
        <v/>
      </c>
      <c r="Q450" s="4" t="str">
        <f t="shared" ref="Q450:Q501" si="45">IF(AND(D450="",E450=""),"无效",IF(T450="","无效",IF(AND(D450&lt;&gt;"",E450&lt;&gt;"",U450&lt;&gt;E450),"冲突","有效")))</f>
        <v>无效</v>
      </c>
      <c r="R450" s="4" t="str">
        <f t="shared" ref="R450:R513" ca="1" si="46">IF(Q450="冲突","异常：事件编号与税额批次冲突",IF(Q450="无效","异常：必须关联有效事件编号或税额批次",IF(AND(ISNUMBER(P450),P450&gt;0,ISNUMBER(I450),K450&gt;0,I450&gt;P450),"异常：离职后缴税",IF(M450&gt;F450,"异常：本批次超额缴税",IF(AND(I450&lt;&gt;"",I450&gt;H450),"异常：超过事件截止日",IF(AND(ISNUMBER(P450),P450&gt;0,TODAY()&gt;=P450,N450&gt;0),"异常：离职前未缴清","正常"))))))</f>
        <v>异常：必须关联有效事件编号或税额批次</v>
      </c>
      <c r="S450" s="9"/>
      <c r="T450" s="4" t="str">
        <f>IF(D450&lt;&gt;"",IF(COUNTIF(激励事件明细!$A$2:$A$501,D450)=1,D450,""),IF(E450&lt;&gt;"",IFERROR(INDEX(激励事件明细!$A$2:$A$501,MATCH(E450,激励事件明细!$B$2:$B$501,0)),""),""))</f>
        <v/>
      </c>
      <c r="U450" s="4" t="str">
        <f>IF(T450="","",IFERROR(INDEX(激励事件明细!$B$2:$B$501,MATCH(T450,激励事件明细!$A$2:$A$501,0)),""))</f>
        <v/>
      </c>
      <c r="V450" s="4" t="str">
        <f>IF(A450="","",COUNTIF($A$2:A450,A450))</f>
        <v/>
      </c>
      <c r="W450" s="4" t="str">
        <f t="shared" ref="W450:W513" si="47">IF(A450="","",A450&amp;"|"&amp;V450)</f>
        <v/>
      </c>
    </row>
    <row r="451" spans="1:23" x14ac:dyDescent="0.3">
      <c r="A451" s="4" t="str">
        <f>IF(T451="","",IFERROR(INDEX(激励事件明细!$C$2:$C$501,MATCH(T451,激励事件明细!$A$2:$A$501,0)),""))</f>
        <v/>
      </c>
      <c r="B451" s="4" t="str">
        <f>IF(A451="","",IFERROR(INDEX(激励事件明细!$D$2:$D$501,MATCH(T451,激励事件明细!$A$2:$A$501,0)),""))</f>
        <v/>
      </c>
      <c r="C451" s="4" t="str">
        <f>IF(A451="","",IFERROR(INDEX(激励事件明细!$H$2:$H$501,MATCH(T451,激励事件明细!$A$2:$A$501,0)),""))</f>
        <v/>
      </c>
      <c r="D451" s="9"/>
      <c r="E451" s="9"/>
      <c r="F451" s="15" t="str">
        <f>IF(A451="","",IFERROR(INDEX(激励事件明细!$AA$2:$AA$501,MATCH(T451,激励事件明细!$A$2:$A$501,0)),""))</f>
        <v/>
      </c>
      <c r="G451" s="17" t="str">
        <f>IF(A451="","",IFERROR(INDEX(激励事件明细!$AB$2:$AB$501,MATCH(T451,激励事件明细!$A$2:$A$501,0)),""))</f>
        <v/>
      </c>
      <c r="H451" s="17" t="str">
        <f>IF(A451="","",IFERROR(INDEX(激励事件明细!$AC$2:$AC$501,MATCH(T451,激励事件明细!$A$2:$A$501,0)),""))</f>
        <v/>
      </c>
      <c r="I451" s="13"/>
      <c r="J451" s="14"/>
      <c r="K451" s="14"/>
      <c r="L451" s="9"/>
      <c r="M451" s="15" t="str">
        <f t="shared" si="42"/>
        <v/>
      </c>
      <c r="N451" s="15" t="str">
        <f t="shared" si="43"/>
        <v/>
      </c>
      <c r="O451" s="4" t="str">
        <f t="shared" ca="1" si="44"/>
        <v/>
      </c>
      <c r="P451" s="17" t="str">
        <f>IF(A451="","",IFERROR(IF(INDEX(激励事件明细!$P$2:$P$501,MATCH(T451,激励事件明细!$A$2:$A$501,0))=0,"",INDEX(激励事件明细!$P$2:$P$501,MATCH(T451,激励事件明细!$A$2:$A$501,0))),""))</f>
        <v/>
      </c>
      <c r="Q451" s="4" t="str">
        <f t="shared" si="45"/>
        <v>无效</v>
      </c>
      <c r="R451" s="4" t="str">
        <f t="shared" ca="1" si="46"/>
        <v>异常：必须关联有效事件编号或税额批次</v>
      </c>
      <c r="S451" s="9"/>
      <c r="T451" s="4" t="str">
        <f>IF(D451&lt;&gt;"",IF(COUNTIF(激励事件明细!$A$2:$A$501,D451)=1,D451,""),IF(E451&lt;&gt;"",IFERROR(INDEX(激励事件明细!$A$2:$A$501,MATCH(E451,激励事件明细!$B$2:$B$501,0)),""),""))</f>
        <v/>
      </c>
      <c r="U451" s="4" t="str">
        <f>IF(T451="","",IFERROR(INDEX(激励事件明细!$B$2:$B$501,MATCH(T451,激励事件明细!$A$2:$A$501,0)),""))</f>
        <v/>
      </c>
      <c r="V451" s="4" t="str">
        <f>IF(A451="","",COUNTIF($A$2:A451,A451))</f>
        <v/>
      </c>
      <c r="W451" s="4" t="str">
        <f t="shared" si="47"/>
        <v/>
      </c>
    </row>
    <row r="452" spans="1:23" x14ac:dyDescent="0.3">
      <c r="A452" s="4" t="str">
        <f>IF(T452="","",IFERROR(INDEX(激励事件明细!$C$2:$C$501,MATCH(T452,激励事件明细!$A$2:$A$501,0)),""))</f>
        <v/>
      </c>
      <c r="B452" s="4" t="str">
        <f>IF(A452="","",IFERROR(INDEX(激励事件明细!$D$2:$D$501,MATCH(T452,激励事件明细!$A$2:$A$501,0)),""))</f>
        <v/>
      </c>
      <c r="C452" s="4" t="str">
        <f>IF(A452="","",IFERROR(INDEX(激励事件明细!$H$2:$H$501,MATCH(T452,激励事件明细!$A$2:$A$501,0)),""))</f>
        <v/>
      </c>
      <c r="D452" s="9"/>
      <c r="E452" s="9"/>
      <c r="F452" s="15" t="str">
        <f>IF(A452="","",IFERROR(INDEX(激励事件明细!$AA$2:$AA$501,MATCH(T452,激励事件明细!$A$2:$A$501,0)),""))</f>
        <v/>
      </c>
      <c r="G452" s="17" t="str">
        <f>IF(A452="","",IFERROR(INDEX(激励事件明细!$AB$2:$AB$501,MATCH(T452,激励事件明细!$A$2:$A$501,0)),""))</f>
        <v/>
      </c>
      <c r="H452" s="17" t="str">
        <f>IF(A452="","",IFERROR(INDEX(激励事件明细!$AC$2:$AC$501,MATCH(T452,激励事件明细!$A$2:$A$501,0)),""))</f>
        <v/>
      </c>
      <c r="I452" s="13"/>
      <c r="J452" s="14"/>
      <c r="K452" s="14"/>
      <c r="L452" s="9"/>
      <c r="M452" s="15" t="str">
        <f t="shared" si="42"/>
        <v/>
      </c>
      <c r="N452" s="15" t="str">
        <f t="shared" si="43"/>
        <v/>
      </c>
      <c r="O452" s="4" t="str">
        <f t="shared" ca="1" si="44"/>
        <v/>
      </c>
      <c r="P452" s="17" t="str">
        <f>IF(A452="","",IFERROR(IF(INDEX(激励事件明细!$P$2:$P$501,MATCH(T452,激励事件明细!$A$2:$A$501,0))=0,"",INDEX(激励事件明细!$P$2:$P$501,MATCH(T452,激励事件明细!$A$2:$A$501,0))),""))</f>
        <v/>
      </c>
      <c r="Q452" s="4" t="str">
        <f t="shared" si="45"/>
        <v>无效</v>
      </c>
      <c r="R452" s="4" t="str">
        <f t="shared" ca="1" si="46"/>
        <v>异常：必须关联有效事件编号或税额批次</v>
      </c>
      <c r="S452" s="9"/>
      <c r="T452" s="4" t="str">
        <f>IF(D452&lt;&gt;"",IF(COUNTIF(激励事件明细!$A$2:$A$501,D452)=1,D452,""),IF(E452&lt;&gt;"",IFERROR(INDEX(激励事件明细!$A$2:$A$501,MATCH(E452,激励事件明细!$B$2:$B$501,0)),""),""))</f>
        <v/>
      </c>
      <c r="U452" s="4" t="str">
        <f>IF(T452="","",IFERROR(INDEX(激励事件明细!$B$2:$B$501,MATCH(T452,激励事件明细!$A$2:$A$501,0)),""))</f>
        <v/>
      </c>
      <c r="V452" s="4" t="str">
        <f>IF(A452="","",COUNTIF($A$2:A452,A452))</f>
        <v/>
      </c>
      <c r="W452" s="4" t="str">
        <f t="shared" si="47"/>
        <v/>
      </c>
    </row>
    <row r="453" spans="1:23" x14ac:dyDescent="0.3">
      <c r="A453" s="4" t="str">
        <f>IF(T453="","",IFERROR(INDEX(激励事件明细!$C$2:$C$501,MATCH(T453,激励事件明细!$A$2:$A$501,0)),""))</f>
        <v/>
      </c>
      <c r="B453" s="4" t="str">
        <f>IF(A453="","",IFERROR(INDEX(激励事件明细!$D$2:$D$501,MATCH(T453,激励事件明细!$A$2:$A$501,0)),""))</f>
        <v/>
      </c>
      <c r="C453" s="4" t="str">
        <f>IF(A453="","",IFERROR(INDEX(激励事件明细!$H$2:$H$501,MATCH(T453,激励事件明细!$A$2:$A$501,0)),""))</f>
        <v/>
      </c>
      <c r="D453" s="9"/>
      <c r="E453" s="9"/>
      <c r="F453" s="15" t="str">
        <f>IF(A453="","",IFERROR(INDEX(激励事件明细!$AA$2:$AA$501,MATCH(T453,激励事件明细!$A$2:$A$501,0)),""))</f>
        <v/>
      </c>
      <c r="G453" s="17" t="str">
        <f>IF(A453="","",IFERROR(INDEX(激励事件明细!$AB$2:$AB$501,MATCH(T453,激励事件明细!$A$2:$A$501,0)),""))</f>
        <v/>
      </c>
      <c r="H453" s="17" t="str">
        <f>IF(A453="","",IFERROR(INDEX(激励事件明细!$AC$2:$AC$501,MATCH(T453,激励事件明细!$A$2:$A$501,0)),""))</f>
        <v/>
      </c>
      <c r="I453" s="13"/>
      <c r="J453" s="14"/>
      <c r="K453" s="14"/>
      <c r="L453" s="9"/>
      <c r="M453" s="15" t="str">
        <f t="shared" si="42"/>
        <v/>
      </c>
      <c r="N453" s="15" t="str">
        <f t="shared" si="43"/>
        <v/>
      </c>
      <c r="O453" s="4" t="str">
        <f t="shared" ca="1" si="44"/>
        <v/>
      </c>
      <c r="P453" s="17" t="str">
        <f>IF(A453="","",IFERROR(IF(INDEX(激励事件明细!$P$2:$P$501,MATCH(T453,激励事件明细!$A$2:$A$501,0))=0,"",INDEX(激励事件明细!$P$2:$P$501,MATCH(T453,激励事件明细!$A$2:$A$501,0))),""))</f>
        <v/>
      </c>
      <c r="Q453" s="4" t="str">
        <f t="shared" si="45"/>
        <v>无效</v>
      </c>
      <c r="R453" s="4" t="str">
        <f t="shared" ca="1" si="46"/>
        <v>异常：必须关联有效事件编号或税额批次</v>
      </c>
      <c r="S453" s="9"/>
      <c r="T453" s="4" t="str">
        <f>IF(D453&lt;&gt;"",IF(COUNTIF(激励事件明细!$A$2:$A$501,D453)=1,D453,""),IF(E453&lt;&gt;"",IFERROR(INDEX(激励事件明细!$A$2:$A$501,MATCH(E453,激励事件明细!$B$2:$B$501,0)),""),""))</f>
        <v/>
      </c>
      <c r="U453" s="4" t="str">
        <f>IF(T453="","",IFERROR(INDEX(激励事件明细!$B$2:$B$501,MATCH(T453,激励事件明细!$A$2:$A$501,0)),""))</f>
        <v/>
      </c>
      <c r="V453" s="4" t="str">
        <f>IF(A453="","",COUNTIF($A$2:A453,A453))</f>
        <v/>
      </c>
      <c r="W453" s="4" t="str">
        <f t="shared" si="47"/>
        <v/>
      </c>
    </row>
    <row r="454" spans="1:23" x14ac:dyDescent="0.3">
      <c r="A454" s="4" t="str">
        <f>IF(T454="","",IFERROR(INDEX(激励事件明细!$C$2:$C$501,MATCH(T454,激励事件明细!$A$2:$A$501,0)),""))</f>
        <v/>
      </c>
      <c r="B454" s="4" t="str">
        <f>IF(A454="","",IFERROR(INDEX(激励事件明细!$D$2:$D$501,MATCH(T454,激励事件明细!$A$2:$A$501,0)),""))</f>
        <v/>
      </c>
      <c r="C454" s="4" t="str">
        <f>IF(A454="","",IFERROR(INDEX(激励事件明细!$H$2:$H$501,MATCH(T454,激励事件明细!$A$2:$A$501,0)),""))</f>
        <v/>
      </c>
      <c r="D454" s="9"/>
      <c r="E454" s="9"/>
      <c r="F454" s="15" t="str">
        <f>IF(A454="","",IFERROR(INDEX(激励事件明细!$AA$2:$AA$501,MATCH(T454,激励事件明细!$A$2:$A$501,0)),""))</f>
        <v/>
      </c>
      <c r="G454" s="17" t="str">
        <f>IF(A454="","",IFERROR(INDEX(激励事件明细!$AB$2:$AB$501,MATCH(T454,激励事件明细!$A$2:$A$501,0)),""))</f>
        <v/>
      </c>
      <c r="H454" s="17" t="str">
        <f>IF(A454="","",IFERROR(INDEX(激励事件明细!$AC$2:$AC$501,MATCH(T454,激励事件明细!$A$2:$A$501,0)),""))</f>
        <v/>
      </c>
      <c r="I454" s="13"/>
      <c r="J454" s="14"/>
      <c r="K454" s="14"/>
      <c r="L454" s="9"/>
      <c r="M454" s="15" t="str">
        <f t="shared" si="42"/>
        <v/>
      </c>
      <c r="N454" s="15" t="str">
        <f t="shared" si="43"/>
        <v/>
      </c>
      <c r="O454" s="4" t="str">
        <f t="shared" ca="1" si="44"/>
        <v/>
      </c>
      <c r="P454" s="17" t="str">
        <f>IF(A454="","",IFERROR(IF(INDEX(激励事件明细!$P$2:$P$501,MATCH(T454,激励事件明细!$A$2:$A$501,0))=0,"",INDEX(激励事件明细!$P$2:$P$501,MATCH(T454,激励事件明细!$A$2:$A$501,0))),""))</f>
        <v/>
      </c>
      <c r="Q454" s="4" t="str">
        <f t="shared" si="45"/>
        <v>无效</v>
      </c>
      <c r="R454" s="4" t="str">
        <f t="shared" ca="1" si="46"/>
        <v>异常：必须关联有效事件编号或税额批次</v>
      </c>
      <c r="S454" s="9"/>
      <c r="T454" s="4" t="str">
        <f>IF(D454&lt;&gt;"",IF(COUNTIF(激励事件明细!$A$2:$A$501,D454)=1,D454,""),IF(E454&lt;&gt;"",IFERROR(INDEX(激励事件明细!$A$2:$A$501,MATCH(E454,激励事件明细!$B$2:$B$501,0)),""),""))</f>
        <v/>
      </c>
      <c r="U454" s="4" t="str">
        <f>IF(T454="","",IFERROR(INDEX(激励事件明细!$B$2:$B$501,MATCH(T454,激励事件明细!$A$2:$A$501,0)),""))</f>
        <v/>
      </c>
      <c r="V454" s="4" t="str">
        <f>IF(A454="","",COUNTIF($A$2:A454,A454))</f>
        <v/>
      </c>
      <c r="W454" s="4" t="str">
        <f t="shared" si="47"/>
        <v/>
      </c>
    </row>
    <row r="455" spans="1:23" x14ac:dyDescent="0.3">
      <c r="A455" s="4" t="str">
        <f>IF(T455="","",IFERROR(INDEX(激励事件明细!$C$2:$C$501,MATCH(T455,激励事件明细!$A$2:$A$501,0)),""))</f>
        <v/>
      </c>
      <c r="B455" s="4" t="str">
        <f>IF(A455="","",IFERROR(INDEX(激励事件明细!$D$2:$D$501,MATCH(T455,激励事件明细!$A$2:$A$501,0)),""))</f>
        <v/>
      </c>
      <c r="C455" s="4" t="str">
        <f>IF(A455="","",IFERROR(INDEX(激励事件明细!$H$2:$H$501,MATCH(T455,激励事件明细!$A$2:$A$501,0)),""))</f>
        <v/>
      </c>
      <c r="D455" s="9"/>
      <c r="E455" s="9"/>
      <c r="F455" s="15" t="str">
        <f>IF(A455="","",IFERROR(INDEX(激励事件明细!$AA$2:$AA$501,MATCH(T455,激励事件明细!$A$2:$A$501,0)),""))</f>
        <v/>
      </c>
      <c r="G455" s="17" t="str">
        <f>IF(A455="","",IFERROR(INDEX(激励事件明细!$AB$2:$AB$501,MATCH(T455,激励事件明细!$A$2:$A$501,0)),""))</f>
        <v/>
      </c>
      <c r="H455" s="17" t="str">
        <f>IF(A455="","",IFERROR(INDEX(激励事件明细!$AC$2:$AC$501,MATCH(T455,激励事件明细!$A$2:$A$501,0)),""))</f>
        <v/>
      </c>
      <c r="I455" s="13"/>
      <c r="J455" s="14"/>
      <c r="K455" s="14"/>
      <c r="L455" s="9"/>
      <c r="M455" s="15" t="str">
        <f t="shared" si="42"/>
        <v/>
      </c>
      <c r="N455" s="15" t="str">
        <f t="shared" si="43"/>
        <v/>
      </c>
      <c r="O455" s="4" t="str">
        <f t="shared" ca="1" si="44"/>
        <v/>
      </c>
      <c r="P455" s="17" t="str">
        <f>IF(A455="","",IFERROR(IF(INDEX(激励事件明细!$P$2:$P$501,MATCH(T455,激励事件明细!$A$2:$A$501,0))=0,"",INDEX(激励事件明细!$P$2:$P$501,MATCH(T455,激励事件明细!$A$2:$A$501,0))),""))</f>
        <v/>
      </c>
      <c r="Q455" s="4" t="str">
        <f t="shared" si="45"/>
        <v>无效</v>
      </c>
      <c r="R455" s="4" t="str">
        <f t="shared" ca="1" si="46"/>
        <v>异常：必须关联有效事件编号或税额批次</v>
      </c>
      <c r="S455" s="9"/>
      <c r="T455" s="4" t="str">
        <f>IF(D455&lt;&gt;"",IF(COUNTIF(激励事件明细!$A$2:$A$501,D455)=1,D455,""),IF(E455&lt;&gt;"",IFERROR(INDEX(激励事件明细!$A$2:$A$501,MATCH(E455,激励事件明细!$B$2:$B$501,0)),""),""))</f>
        <v/>
      </c>
      <c r="U455" s="4" t="str">
        <f>IF(T455="","",IFERROR(INDEX(激励事件明细!$B$2:$B$501,MATCH(T455,激励事件明细!$A$2:$A$501,0)),""))</f>
        <v/>
      </c>
      <c r="V455" s="4" t="str">
        <f>IF(A455="","",COUNTIF($A$2:A455,A455))</f>
        <v/>
      </c>
      <c r="W455" s="4" t="str">
        <f t="shared" si="47"/>
        <v/>
      </c>
    </row>
    <row r="456" spans="1:23" x14ac:dyDescent="0.3">
      <c r="A456" s="4" t="str">
        <f>IF(T456="","",IFERROR(INDEX(激励事件明细!$C$2:$C$501,MATCH(T456,激励事件明细!$A$2:$A$501,0)),""))</f>
        <v/>
      </c>
      <c r="B456" s="4" t="str">
        <f>IF(A456="","",IFERROR(INDEX(激励事件明细!$D$2:$D$501,MATCH(T456,激励事件明细!$A$2:$A$501,0)),""))</f>
        <v/>
      </c>
      <c r="C456" s="4" t="str">
        <f>IF(A456="","",IFERROR(INDEX(激励事件明细!$H$2:$H$501,MATCH(T456,激励事件明细!$A$2:$A$501,0)),""))</f>
        <v/>
      </c>
      <c r="D456" s="9"/>
      <c r="E456" s="9"/>
      <c r="F456" s="15" t="str">
        <f>IF(A456="","",IFERROR(INDEX(激励事件明细!$AA$2:$AA$501,MATCH(T456,激励事件明细!$A$2:$A$501,0)),""))</f>
        <v/>
      </c>
      <c r="G456" s="17" t="str">
        <f>IF(A456="","",IFERROR(INDEX(激励事件明细!$AB$2:$AB$501,MATCH(T456,激励事件明细!$A$2:$A$501,0)),""))</f>
        <v/>
      </c>
      <c r="H456" s="17" t="str">
        <f>IF(A456="","",IFERROR(INDEX(激励事件明细!$AC$2:$AC$501,MATCH(T456,激励事件明细!$A$2:$A$501,0)),""))</f>
        <v/>
      </c>
      <c r="I456" s="13"/>
      <c r="J456" s="14"/>
      <c r="K456" s="14"/>
      <c r="L456" s="9"/>
      <c r="M456" s="15" t="str">
        <f t="shared" si="42"/>
        <v/>
      </c>
      <c r="N456" s="15" t="str">
        <f t="shared" si="43"/>
        <v/>
      </c>
      <c r="O456" s="4" t="str">
        <f t="shared" ca="1" si="44"/>
        <v/>
      </c>
      <c r="P456" s="17" t="str">
        <f>IF(A456="","",IFERROR(IF(INDEX(激励事件明细!$P$2:$P$501,MATCH(T456,激励事件明细!$A$2:$A$501,0))=0,"",INDEX(激励事件明细!$P$2:$P$501,MATCH(T456,激励事件明细!$A$2:$A$501,0))),""))</f>
        <v/>
      </c>
      <c r="Q456" s="4" t="str">
        <f t="shared" si="45"/>
        <v>无效</v>
      </c>
      <c r="R456" s="4" t="str">
        <f t="shared" ca="1" si="46"/>
        <v>异常：必须关联有效事件编号或税额批次</v>
      </c>
      <c r="S456" s="9"/>
      <c r="T456" s="4" t="str">
        <f>IF(D456&lt;&gt;"",IF(COUNTIF(激励事件明细!$A$2:$A$501,D456)=1,D456,""),IF(E456&lt;&gt;"",IFERROR(INDEX(激励事件明细!$A$2:$A$501,MATCH(E456,激励事件明细!$B$2:$B$501,0)),""),""))</f>
        <v/>
      </c>
      <c r="U456" s="4" t="str">
        <f>IF(T456="","",IFERROR(INDEX(激励事件明细!$B$2:$B$501,MATCH(T456,激励事件明细!$A$2:$A$501,0)),""))</f>
        <v/>
      </c>
      <c r="V456" s="4" t="str">
        <f>IF(A456="","",COUNTIF($A$2:A456,A456))</f>
        <v/>
      </c>
      <c r="W456" s="4" t="str">
        <f t="shared" si="47"/>
        <v/>
      </c>
    </row>
    <row r="457" spans="1:23" x14ac:dyDescent="0.3">
      <c r="A457" s="4" t="str">
        <f>IF(T457="","",IFERROR(INDEX(激励事件明细!$C$2:$C$501,MATCH(T457,激励事件明细!$A$2:$A$501,0)),""))</f>
        <v/>
      </c>
      <c r="B457" s="4" t="str">
        <f>IF(A457="","",IFERROR(INDEX(激励事件明细!$D$2:$D$501,MATCH(T457,激励事件明细!$A$2:$A$501,0)),""))</f>
        <v/>
      </c>
      <c r="C457" s="4" t="str">
        <f>IF(A457="","",IFERROR(INDEX(激励事件明细!$H$2:$H$501,MATCH(T457,激励事件明细!$A$2:$A$501,0)),""))</f>
        <v/>
      </c>
      <c r="D457" s="9"/>
      <c r="E457" s="9"/>
      <c r="F457" s="15" t="str">
        <f>IF(A457="","",IFERROR(INDEX(激励事件明细!$AA$2:$AA$501,MATCH(T457,激励事件明细!$A$2:$A$501,0)),""))</f>
        <v/>
      </c>
      <c r="G457" s="17" t="str">
        <f>IF(A457="","",IFERROR(INDEX(激励事件明细!$AB$2:$AB$501,MATCH(T457,激励事件明细!$A$2:$A$501,0)),""))</f>
        <v/>
      </c>
      <c r="H457" s="17" t="str">
        <f>IF(A457="","",IFERROR(INDEX(激励事件明细!$AC$2:$AC$501,MATCH(T457,激励事件明细!$A$2:$A$501,0)),""))</f>
        <v/>
      </c>
      <c r="I457" s="13"/>
      <c r="J457" s="14"/>
      <c r="K457" s="14"/>
      <c r="L457" s="9"/>
      <c r="M457" s="15" t="str">
        <f t="shared" si="42"/>
        <v/>
      </c>
      <c r="N457" s="15" t="str">
        <f t="shared" si="43"/>
        <v/>
      </c>
      <c r="O457" s="4" t="str">
        <f t="shared" ca="1" si="44"/>
        <v/>
      </c>
      <c r="P457" s="17" t="str">
        <f>IF(A457="","",IFERROR(IF(INDEX(激励事件明细!$P$2:$P$501,MATCH(T457,激励事件明细!$A$2:$A$501,0))=0,"",INDEX(激励事件明细!$P$2:$P$501,MATCH(T457,激励事件明细!$A$2:$A$501,0))),""))</f>
        <v/>
      </c>
      <c r="Q457" s="4" t="str">
        <f t="shared" si="45"/>
        <v>无效</v>
      </c>
      <c r="R457" s="4" t="str">
        <f t="shared" ca="1" si="46"/>
        <v>异常：必须关联有效事件编号或税额批次</v>
      </c>
      <c r="S457" s="9"/>
      <c r="T457" s="4" t="str">
        <f>IF(D457&lt;&gt;"",IF(COUNTIF(激励事件明细!$A$2:$A$501,D457)=1,D457,""),IF(E457&lt;&gt;"",IFERROR(INDEX(激励事件明细!$A$2:$A$501,MATCH(E457,激励事件明细!$B$2:$B$501,0)),""),""))</f>
        <v/>
      </c>
      <c r="U457" s="4" t="str">
        <f>IF(T457="","",IFERROR(INDEX(激励事件明细!$B$2:$B$501,MATCH(T457,激励事件明细!$A$2:$A$501,0)),""))</f>
        <v/>
      </c>
      <c r="V457" s="4" t="str">
        <f>IF(A457="","",COUNTIF($A$2:A457,A457))</f>
        <v/>
      </c>
      <c r="W457" s="4" t="str">
        <f t="shared" si="47"/>
        <v/>
      </c>
    </row>
    <row r="458" spans="1:23" x14ac:dyDescent="0.3">
      <c r="A458" s="4" t="str">
        <f>IF(T458="","",IFERROR(INDEX(激励事件明细!$C$2:$C$501,MATCH(T458,激励事件明细!$A$2:$A$501,0)),""))</f>
        <v/>
      </c>
      <c r="B458" s="4" t="str">
        <f>IF(A458="","",IFERROR(INDEX(激励事件明细!$D$2:$D$501,MATCH(T458,激励事件明细!$A$2:$A$501,0)),""))</f>
        <v/>
      </c>
      <c r="C458" s="4" t="str">
        <f>IF(A458="","",IFERROR(INDEX(激励事件明细!$H$2:$H$501,MATCH(T458,激励事件明细!$A$2:$A$501,0)),""))</f>
        <v/>
      </c>
      <c r="D458" s="9"/>
      <c r="E458" s="9"/>
      <c r="F458" s="15" t="str">
        <f>IF(A458="","",IFERROR(INDEX(激励事件明细!$AA$2:$AA$501,MATCH(T458,激励事件明细!$A$2:$A$501,0)),""))</f>
        <v/>
      </c>
      <c r="G458" s="17" t="str">
        <f>IF(A458="","",IFERROR(INDEX(激励事件明细!$AB$2:$AB$501,MATCH(T458,激励事件明细!$A$2:$A$501,0)),""))</f>
        <v/>
      </c>
      <c r="H458" s="17" t="str">
        <f>IF(A458="","",IFERROR(INDEX(激励事件明细!$AC$2:$AC$501,MATCH(T458,激励事件明细!$A$2:$A$501,0)),""))</f>
        <v/>
      </c>
      <c r="I458" s="13"/>
      <c r="J458" s="14"/>
      <c r="K458" s="14"/>
      <c r="L458" s="9"/>
      <c r="M458" s="15" t="str">
        <f t="shared" si="42"/>
        <v/>
      </c>
      <c r="N458" s="15" t="str">
        <f t="shared" si="43"/>
        <v/>
      </c>
      <c r="O458" s="4" t="str">
        <f t="shared" ca="1" si="44"/>
        <v/>
      </c>
      <c r="P458" s="17" t="str">
        <f>IF(A458="","",IFERROR(IF(INDEX(激励事件明细!$P$2:$P$501,MATCH(T458,激励事件明细!$A$2:$A$501,0))=0,"",INDEX(激励事件明细!$P$2:$P$501,MATCH(T458,激励事件明细!$A$2:$A$501,0))),""))</f>
        <v/>
      </c>
      <c r="Q458" s="4" t="str">
        <f t="shared" si="45"/>
        <v>无效</v>
      </c>
      <c r="R458" s="4" t="str">
        <f t="shared" ca="1" si="46"/>
        <v>异常：必须关联有效事件编号或税额批次</v>
      </c>
      <c r="S458" s="9"/>
      <c r="T458" s="4" t="str">
        <f>IF(D458&lt;&gt;"",IF(COUNTIF(激励事件明细!$A$2:$A$501,D458)=1,D458,""),IF(E458&lt;&gt;"",IFERROR(INDEX(激励事件明细!$A$2:$A$501,MATCH(E458,激励事件明细!$B$2:$B$501,0)),""),""))</f>
        <v/>
      </c>
      <c r="U458" s="4" t="str">
        <f>IF(T458="","",IFERROR(INDEX(激励事件明细!$B$2:$B$501,MATCH(T458,激励事件明细!$A$2:$A$501,0)),""))</f>
        <v/>
      </c>
      <c r="V458" s="4" t="str">
        <f>IF(A458="","",COUNTIF($A$2:A458,A458))</f>
        <v/>
      </c>
      <c r="W458" s="4" t="str">
        <f t="shared" si="47"/>
        <v/>
      </c>
    </row>
    <row r="459" spans="1:23" x14ac:dyDescent="0.3">
      <c r="A459" s="4" t="str">
        <f>IF(T459="","",IFERROR(INDEX(激励事件明细!$C$2:$C$501,MATCH(T459,激励事件明细!$A$2:$A$501,0)),""))</f>
        <v/>
      </c>
      <c r="B459" s="4" t="str">
        <f>IF(A459="","",IFERROR(INDEX(激励事件明细!$D$2:$D$501,MATCH(T459,激励事件明细!$A$2:$A$501,0)),""))</f>
        <v/>
      </c>
      <c r="C459" s="4" t="str">
        <f>IF(A459="","",IFERROR(INDEX(激励事件明细!$H$2:$H$501,MATCH(T459,激励事件明细!$A$2:$A$501,0)),""))</f>
        <v/>
      </c>
      <c r="D459" s="9"/>
      <c r="E459" s="9"/>
      <c r="F459" s="15" t="str">
        <f>IF(A459="","",IFERROR(INDEX(激励事件明细!$AA$2:$AA$501,MATCH(T459,激励事件明细!$A$2:$A$501,0)),""))</f>
        <v/>
      </c>
      <c r="G459" s="17" t="str">
        <f>IF(A459="","",IFERROR(INDEX(激励事件明细!$AB$2:$AB$501,MATCH(T459,激励事件明细!$A$2:$A$501,0)),""))</f>
        <v/>
      </c>
      <c r="H459" s="17" t="str">
        <f>IF(A459="","",IFERROR(INDEX(激励事件明细!$AC$2:$AC$501,MATCH(T459,激励事件明细!$A$2:$A$501,0)),""))</f>
        <v/>
      </c>
      <c r="I459" s="13"/>
      <c r="J459" s="14"/>
      <c r="K459" s="14"/>
      <c r="L459" s="9"/>
      <c r="M459" s="15" t="str">
        <f t="shared" si="42"/>
        <v/>
      </c>
      <c r="N459" s="15" t="str">
        <f t="shared" si="43"/>
        <v/>
      </c>
      <c r="O459" s="4" t="str">
        <f t="shared" ca="1" si="44"/>
        <v/>
      </c>
      <c r="P459" s="17" t="str">
        <f>IF(A459="","",IFERROR(IF(INDEX(激励事件明细!$P$2:$P$501,MATCH(T459,激励事件明细!$A$2:$A$501,0))=0,"",INDEX(激励事件明细!$P$2:$P$501,MATCH(T459,激励事件明细!$A$2:$A$501,0))),""))</f>
        <v/>
      </c>
      <c r="Q459" s="4" t="str">
        <f t="shared" si="45"/>
        <v>无效</v>
      </c>
      <c r="R459" s="4" t="str">
        <f t="shared" ca="1" si="46"/>
        <v>异常：必须关联有效事件编号或税额批次</v>
      </c>
      <c r="S459" s="9"/>
      <c r="T459" s="4" t="str">
        <f>IF(D459&lt;&gt;"",IF(COUNTIF(激励事件明细!$A$2:$A$501,D459)=1,D459,""),IF(E459&lt;&gt;"",IFERROR(INDEX(激励事件明细!$A$2:$A$501,MATCH(E459,激励事件明细!$B$2:$B$501,0)),""),""))</f>
        <v/>
      </c>
      <c r="U459" s="4" t="str">
        <f>IF(T459="","",IFERROR(INDEX(激励事件明细!$B$2:$B$501,MATCH(T459,激励事件明细!$A$2:$A$501,0)),""))</f>
        <v/>
      </c>
      <c r="V459" s="4" t="str">
        <f>IF(A459="","",COUNTIF($A$2:A459,A459))</f>
        <v/>
      </c>
      <c r="W459" s="4" t="str">
        <f t="shared" si="47"/>
        <v/>
      </c>
    </row>
    <row r="460" spans="1:23" x14ac:dyDescent="0.3">
      <c r="A460" s="4" t="str">
        <f>IF(T460="","",IFERROR(INDEX(激励事件明细!$C$2:$C$501,MATCH(T460,激励事件明细!$A$2:$A$501,0)),""))</f>
        <v/>
      </c>
      <c r="B460" s="4" t="str">
        <f>IF(A460="","",IFERROR(INDEX(激励事件明细!$D$2:$D$501,MATCH(T460,激励事件明细!$A$2:$A$501,0)),""))</f>
        <v/>
      </c>
      <c r="C460" s="4" t="str">
        <f>IF(A460="","",IFERROR(INDEX(激励事件明细!$H$2:$H$501,MATCH(T460,激励事件明细!$A$2:$A$501,0)),""))</f>
        <v/>
      </c>
      <c r="D460" s="9"/>
      <c r="E460" s="9"/>
      <c r="F460" s="15" t="str">
        <f>IF(A460="","",IFERROR(INDEX(激励事件明细!$AA$2:$AA$501,MATCH(T460,激励事件明细!$A$2:$A$501,0)),""))</f>
        <v/>
      </c>
      <c r="G460" s="17" t="str">
        <f>IF(A460="","",IFERROR(INDEX(激励事件明细!$AB$2:$AB$501,MATCH(T460,激励事件明细!$A$2:$A$501,0)),""))</f>
        <v/>
      </c>
      <c r="H460" s="17" t="str">
        <f>IF(A460="","",IFERROR(INDEX(激励事件明细!$AC$2:$AC$501,MATCH(T460,激励事件明细!$A$2:$A$501,0)),""))</f>
        <v/>
      </c>
      <c r="I460" s="13"/>
      <c r="J460" s="14"/>
      <c r="K460" s="14"/>
      <c r="L460" s="9"/>
      <c r="M460" s="15" t="str">
        <f t="shared" si="42"/>
        <v/>
      </c>
      <c r="N460" s="15" t="str">
        <f t="shared" si="43"/>
        <v/>
      </c>
      <c r="O460" s="4" t="str">
        <f t="shared" ca="1" si="44"/>
        <v/>
      </c>
      <c r="P460" s="17" t="str">
        <f>IF(A460="","",IFERROR(IF(INDEX(激励事件明细!$P$2:$P$501,MATCH(T460,激励事件明细!$A$2:$A$501,0))=0,"",INDEX(激励事件明细!$P$2:$P$501,MATCH(T460,激励事件明细!$A$2:$A$501,0))),""))</f>
        <v/>
      </c>
      <c r="Q460" s="4" t="str">
        <f t="shared" si="45"/>
        <v>无效</v>
      </c>
      <c r="R460" s="4" t="str">
        <f t="shared" ca="1" si="46"/>
        <v>异常：必须关联有效事件编号或税额批次</v>
      </c>
      <c r="S460" s="9"/>
      <c r="T460" s="4" t="str">
        <f>IF(D460&lt;&gt;"",IF(COUNTIF(激励事件明细!$A$2:$A$501,D460)=1,D460,""),IF(E460&lt;&gt;"",IFERROR(INDEX(激励事件明细!$A$2:$A$501,MATCH(E460,激励事件明细!$B$2:$B$501,0)),""),""))</f>
        <v/>
      </c>
      <c r="U460" s="4" t="str">
        <f>IF(T460="","",IFERROR(INDEX(激励事件明细!$B$2:$B$501,MATCH(T460,激励事件明细!$A$2:$A$501,0)),""))</f>
        <v/>
      </c>
      <c r="V460" s="4" t="str">
        <f>IF(A460="","",COUNTIF($A$2:A460,A460))</f>
        <v/>
      </c>
      <c r="W460" s="4" t="str">
        <f t="shared" si="47"/>
        <v/>
      </c>
    </row>
    <row r="461" spans="1:23" x14ac:dyDescent="0.3">
      <c r="A461" s="4" t="str">
        <f>IF(T461="","",IFERROR(INDEX(激励事件明细!$C$2:$C$501,MATCH(T461,激励事件明细!$A$2:$A$501,0)),""))</f>
        <v/>
      </c>
      <c r="B461" s="4" t="str">
        <f>IF(A461="","",IFERROR(INDEX(激励事件明细!$D$2:$D$501,MATCH(T461,激励事件明细!$A$2:$A$501,0)),""))</f>
        <v/>
      </c>
      <c r="C461" s="4" t="str">
        <f>IF(A461="","",IFERROR(INDEX(激励事件明细!$H$2:$H$501,MATCH(T461,激励事件明细!$A$2:$A$501,0)),""))</f>
        <v/>
      </c>
      <c r="D461" s="9"/>
      <c r="E461" s="9"/>
      <c r="F461" s="15" t="str">
        <f>IF(A461="","",IFERROR(INDEX(激励事件明细!$AA$2:$AA$501,MATCH(T461,激励事件明细!$A$2:$A$501,0)),""))</f>
        <v/>
      </c>
      <c r="G461" s="17" t="str">
        <f>IF(A461="","",IFERROR(INDEX(激励事件明细!$AB$2:$AB$501,MATCH(T461,激励事件明细!$A$2:$A$501,0)),""))</f>
        <v/>
      </c>
      <c r="H461" s="17" t="str">
        <f>IF(A461="","",IFERROR(INDEX(激励事件明细!$AC$2:$AC$501,MATCH(T461,激励事件明细!$A$2:$A$501,0)),""))</f>
        <v/>
      </c>
      <c r="I461" s="13"/>
      <c r="J461" s="14"/>
      <c r="K461" s="14"/>
      <c r="L461" s="9"/>
      <c r="M461" s="15" t="str">
        <f t="shared" si="42"/>
        <v/>
      </c>
      <c r="N461" s="15" t="str">
        <f t="shared" si="43"/>
        <v/>
      </c>
      <c r="O461" s="4" t="str">
        <f t="shared" ca="1" si="44"/>
        <v/>
      </c>
      <c r="P461" s="17" t="str">
        <f>IF(A461="","",IFERROR(IF(INDEX(激励事件明细!$P$2:$P$501,MATCH(T461,激励事件明细!$A$2:$A$501,0))=0,"",INDEX(激励事件明细!$P$2:$P$501,MATCH(T461,激励事件明细!$A$2:$A$501,0))),""))</f>
        <v/>
      </c>
      <c r="Q461" s="4" t="str">
        <f t="shared" si="45"/>
        <v>无效</v>
      </c>
      <c r="R461" s="4" t="str">
        <f t="shared" ca="1" si="46"/>
        <v>异常：必须关联有效事件编号或税额批次</v>
      </c>
      <c r="S461" s="9"/>
      <c r="T461" s="4" t="str">
        <f>IF(D461&lt;&gt;"",IF(COUNTIF(激励事件明细!$A$2:$A$501,D461)=1,D461,""),IF(E461&lt;&gt;"",IFERROR(INDEX(激励事件明细!$A$2:$A$501,MATCH(E461,激励事件明细!$B$2:$B$501,0)),""),""))</f>
        <v/>
      </c>
      <c r="U461" s="4" t="str">
        <f>IF(T461="","",IFERROR(INDEX(激励事件明细!$B$2:$B$501,MATCH(T461,激励事件明细!$A$2:$A$501,0)),""))</f>
        <v/>
      </c>
      <c r="V461" s="4" t="str">
        <f>IF(A461="","",COUNTIF($A$2:A461,A461))</f>
        <v/>
      </c>
      <c r="W461" s="4" t="str">
        <f t="shared" si="47"/>
        <v/>
      </c>
    </row>
    <row r="462" spans="1:23" x14ac:dyDescent="0.3">
      <c r="A462" s="4" t="str">
        <f>IF(T462="","",IFERROR(INDEX(激励事件明细!$C$2:$C$501,MATCH(T462,激励事件明细!$A$2:$A$501,0)),""))</f>
        <v/>
      </c>
      <c r="B462" s="4" t="str">
        <f>IF(A462="","",IFERROR(INDEX(激励事件明细!$D$2:$D$501,MATCH(T462,激励事件明细!$A$2:$A$501,0)),""))</f>
        <v/>
      </c>
      <c r="C462" s="4" t="str">
        <f>IF(A462="","",IFERROR(INDEX(激励事件明细!$H$2:$H$501,MATCH(T462,激励事件明细!$A$2:$A$501,0)),""))</f>
        <v/>
      </c>
      <c r="D462" s="9"/>
      <c r="E462" s="9"/>
      <c r="F462" s="15" t="str">
        <f>IF(A462="","",IFERROR(INDEX(激励事件明细!$AA$2:$AA$501,MATCH(T462,激励事件明细!$A$2:$A$501,0)),""))</f>
        <v/>
      </c>
      <c r="G462" s="17" t="str">
        <f>IF(A462="","",IFERROR(INDEX(激励事件明细!$AB$2:$AB$501,MATCH(T462,激励事件明细!$A$2:$A$501,0)),""))</f>
        <v/>
      </c>
      <c r="H462" s="17" t="str">
        <f>IF(A462="","",IFERROR(INDEX(激励事件明细!$AC$2:$AC$501,MATCH(T462,激励事件明细!$A$2:$A$501,0)),""))</f>
        <v/>
      </c>
      <c r="I462" s="13"/>
      <c r="J462" s="14"/>
      <c r="K462" s="14"/>
      <c r="L462" s="9"/>
      <c r="M462" s="15" t="str">
        <f t="shared" si="42"/>
        <v/>
      </c>
      <c r="N462" s="15" t="str">
        <f t="shared" si="43"/>
        <v/>
      </c>
      <c r="O462" s="4" t="str">
        <f t="shared" ca="1" si="44"/>
        <v/>
      </c>
      <c r="P462" s="17" t="str">
        <f>IF(A462="","",IFERROR(IF(INDEX(激励事件明细!$P$2:$P$501,MATCH(T462,激励事件明细!$A$2:$A$501,0))=0,"",INDEX(激励事件明细!$P$2:$P$501,MATCH(T462,激励事件明细!$A$2:$A$501,0))),""))</f>
        <v/>
      </c>
      <c r="Q462" s="4" t="str">
        <f t="shared" si="45"/>
        <v>无效</v>
      </c>
      <c r="R462" s="4" t="str">
        <f t="shared" ca="1" si="46"/>
        <v>异常：必须关联有效事件编号或税额批次</v>
      </c>
      <c r="S462" s="9"/>
      <c r="T462" s="4" t="str">
        <f>IF(D462&lt;&gt;"",IF(COUNTIF(激励事件明细!$A$2:$A$501,D462)=1,D462,""),IF(E462&lt;&gt;"",IFERROR(INDEX(激励事件明细!$A$2:$A$501,MATCH(E462,激励事件明细!$B$2:$B$501,0)),""),""))</f>
        <v/>
      </c>
      <c r="U462" s="4" t="str">
        <f>IF(T462="","",IFERROR(INDEX(激励事件明细!$B$2:$B$501,MATCH(T462,激励事件明细!$A$2:$A$501,0)),""))</f>
        <v/>
      </c>
      <c r="V462" s="4" t="str">
        <f>IF(A462="","",COUNTIF($A$2:A462,A462))</f>
        <v/>
      </c>
      <c r="W462" s="4" t="str">
        <f t="shared" si="47"/>
        <v/>
      </c>
    </row>
    <row r="463" spans="1:23" x14ac:dyDescent="0.3">
      <c r="A463" s="4" t="str">
        <f>IF(T463="","",IFERROR(INDEX(激励事件明细!$C$2:$C$501,MATCH(T463,激励事件明细!$A$2:$A$501,0)),""))</f>
        <v/>
      </c>
      <c r="B463" s="4" t="str">
        <f>IF(A463="","",IFERROR(INDEX(激励事件明细!$D$2:$D$501,MATCH(T463,激励事件明细!$A$2:$A$501,0)),""))</f>
        <v/>
      </c>
      <c r="C463" s="4" t="str">
        <f>IF(A463="","",IFERROR(INDEX(激励事件明细!$H$2:$H$501,MATCH(T463,激励事件明细!$A$2:$A$501,0)),""))</f>
        <v/>
      </c>
      <c r="D463" s="9"/>
      <c r="E463" s="9"/>
      <c r="F463" s="15" t="str">
        <f>IF(A463="","",IFERROR(INDEX(激励事件明细!$AA$2:$AA$501,MATCH(T463,激励事件明细!$A$2:$A$501,0)),""))</f>
        <v/>
      </c>
      <c r="G463" s="17" t="str">
        <f>IF(A463="","",IFERROR(INDEX(激励事件明细!$AB$2:$AB$501,MATCH(T463,激励事件明细!$A$2:$A$501,0)),""))</f>
        <v/>
      </c>
      <c r="H463" s="17" t="str">
        <f>IF(A463="","",IFERROR(INDEX(激励事件明细!$AC$2:$AC$501,MATCH(T463,激励事件明细!$A$2:$A$501,0)),""))</f>
        <v/>
      </c>
      <c r="I463" s="13"/>
      <c r="J463" s="14"/>
      <c r="K463" s="14"/>
      <c r="L463" s="9"/>
      <c r="M463" s="15" t="str">
        <f t="shared" si="42"/>
        <v/>
      </c>
      <c r="N463" s="15" t="str">
        <f t="shared" si="43"/>
        <v/>
      </c>
      <c r="O463" s="4" t="str">
        <f t="shared" ca="1" si="44"/>
        <v/>
      </c>
      <c r="P463" s="17" t="str">
        <f>IF(A463="","",IFERROR(IF(INDEX(激励事件明细!$P$2:$P$501,MATCH(T463,激励事件明细!$A$2:$A$501,0))=0,"",INDEX(激励事件明细!$P$2:$P$501,MATCH(T463,激励事件明细!$A$2:$A$501,0))),""))</f>
        <v/>
      </c>
      <c r="Q463" s="4" t="str">
        <f t="shared" si="45"/>
        <v>无效</v>
      </c>
      <c r="R463" s="4" t="str">
        <f t="shared" ca="1" si="46"/>
        <v>异常：必须关联有效事件编号或税额批次</v>
      </c>
      <c r="S463" s="9"/>
      <c r="T463" s="4" t="str">
        <f>IF(D463&lt;&gt;"",IF(COUNTIF(激励事件明细!$A$2:$A$501,D463)=1,D463,""),IF(E463&lt;&gt;"",IFERROR(INDEX(激励事件明细!$A$2:$A$501,MATCH(E463,激励事件明细!$B$2:$B$501,0)),""),""))</f>
        <v/>
      </c>
      <c r="U463" s="4" t="str">
        <f>IF(T463="","",IFERROR(INDEX(激励事件明细!$B$2:$B$501,MATCH(T463,激励事件明细!$A$2:$A$501,0)),""))</f>
        <v/>
      </c>
      <c r="V463" s="4" t="str">
        <f>IF(A463="","",COUNTIF($A$2:A463,A463))</f>
        <v/>
      </c>
      <c r="W463" s="4" t="str">
        <f t="shared" si="47"/>
        <v/>
      </c>
    </row>
    <row r="464" spans="1:23" x14ac:dyDescent="0.3">
      <c r="A464" s="4" t="str">
        <f>IF(T464="","",IFERROR(INDEX(激励事件明细!$C$2:$C$501,MATCH(T464,激励事件明细!$A$2:$A$501,0)),""))</f>
        <v/>
      </c>
      <c r="B464" s="4" t="str">
        <f>IF(A464="","",IFERROR(INDEX(激励事件明细!$D$2:$D$501,MATCH(T464,激励事件明细!$A$2:$A$501,0)),""))</f>
        <v/>
      </c>
      <c r="C464" s="4" t="str">
        <f>IF(A464="","",IFERROR(INDEX(激励事件明细!$H$2:$H$501,MATCH(T464,激励事件明细!$A$2:$A$501,0)),""))</f>
        <v/>
      </c>
      <c r="D464" s="9"/>
      <c r="E464" s="9"/>
      <c r="F464" s="15" t="str">
        <f>IF(A464="","",IFERROR(INDEX(激励事件明细!$AA$2:$AA$501,MATCH(T464,激励事件明细!$A$2:$A$501,0)),""))</f>
        <v/>
      </c>
      <c r="G464" s="17" t="str">
        <f>IF(A464="","",IFERROR(INDEX(激励事件明细!$AB$2:$AB$501,MATCH(T464,激励事件明细!$A$2:$A$501,0)),""))</f>
        <v/>
      </c>
      <c r="H464" s="17" t="str">
        <f>IF(A464="","",IFERROR(INDEX(激励事件明细!$AC$2:$AC$501,MATCH(T464,激励事件明细!$A$2:$A$501,0)),""))</f>
        <v/>
      </c>
      <c r="I464" s="13"/>
      <c r="J464" s="14"/>
      <c r="K464" s="14"/>
      <c r="L464" s="9"/>
      <c r="M464" s="15" t="str">
        <f t="shared" si="42"/>
        <v/>
      </c>
      <c r="N464" s="15" t="str">
        <f t="shared" si="43"/>
        <v/>
      </c>
      <c r="O464" s="4" t="str">
        <f t="shared" ca="1" si="44"/>
        <v/>
      </c>
      <c r="P464" s="17" t="str">
        <f>IF(A464="","",IFERROR(IF(INDEX(激励事件明细!$P$2:$P$501,MATCH(T464,激励事件明细!$A$2:$A$501,0))=0,"",INDEX(激励事件明细!$P$2:$P$501,MATCH(T464,激励事件明细!$A$2:$A$501,0))),""))</f>
        <v/>
      </c>
      <c r="Q464" s="4" t="str">
        <f t="shared" si="45"/>
        <v>无效</v>
      </c>
      <c r="R464" s="4" t="str">
        <f t="shared" ca="1" si="46"/>
        <v>异常：必须关联有效事件编号或税额批次</v>
      </c>
      <c r="S464" s="9"/>
      <c r="T464" s="4" t="str">
        <f>IF(D464&lt;&gt;"",IF(COUNTIF(激励事件明细!$A$2:$A$501,D464)=1,D464,""),IF(E464&lt;&gt;"",IFERROR(INDEX(激励事件明细!$A$2:$A$501,MATCH(E464,激励事件明细!$B$2:$B$501,0)),""),""))</f>
        <v/>
      </c>
      <c r="U464" s="4" t="str">
        <f>IF(T464="","",IFERROR(INDEX(激励事件明细!$B$2:$B$501,MATCH(T464,激励事件明细!$A$2:$A$501,0)),""))</f>
        <v/>
      </c>
      <c r="V464" s="4" t="str">
        <f>IF(A464="","",COUNTIF($A$2:A464,A464))</f>
        <v/>
      </c>
      <c r="W464" s="4" t="str">
        <f t="shared" si="47"/>
        <v/>
      </c>
    </row>
    <row r="465" spans="1:23" x14ac:dyDescent="0.3">
      <c r="A465" s="4" t="str">
        <f>IF(T465="","",IFERROR(INDEX(激励事件明细!$C$2:$C$501,MATCH(T465,激励事件明细!$A$2:$A$501,0)),""))</f>
        <v/>
      </c>
      <c r="B465" s="4" t="str">
        <f>IF(A465="","",IFERROR(INDEX(激励事件明细!$D$2:$D$501,MATCH(T465,激励事件明细!$A$2:$A$501,0)),""))</f>
        <v/>
      </c>
      <c r="C465" s="4" t="str">
        <f>IF(A465="","",IFERROR(INDEX(激励事件明细!$H$2:$H$501,MATCH(T465,激励事件明细!$A$2:$A$501,0)),""))</f>
        <v/>
      </c>
      <c r="D465" s="9"/>
      <c r="E465" s="9"/>
      <c r="F465" s="15" t="str">
        <f>IF(A465="","",IFERROR(INDEX(激励事件明细!$AA$2:$AA$501,MATCH(T465,激励事件明细!$A$2:$A$501,0)),""))</f>
        <v/>
      </c>
      <c r="G465" s="17" t="str">
        <f>IF(A465="","",IFERROR(INDEX(激励事件明细!$AB$2:$AB$501,MATCH(T465,激励事件明细!$A$2:$A$501,0)),""))</f>
        <v/>
      </c>
      <c r="H465" s="17" t="str">
        <f>IF(A465="","",IFERROR(INDEX(激励事件明细!$AC$2:$AC$501,MATCH(T465,激励事件明细!$A$2:$A$501,0)),""))</f>
        <v/>
      </c>
      <c r="I465" s="13"/>
      <c r="J465" s="14"/>
      <c r="K465" s="14"/>
      <c r="L465" s="9"/>
      <c r="M465" s="15" t="str">
        <f t="shared" si="42"/>
        <v/>
      </c>
      <c r="N465" s="15" t="str">
        <f t="shared" si="43"/>
        <v/>
      </c>
      <c r="O465" s="4" t="str">
        <f t="shared" ca="1" si="44"/>
        <v/>
      </c>
      <c r="P465" s="17" t="str">
        <f>IF(A465="","",IFERROR(IF(INDEX(激励事件明细!$P$2:$P$501,MATCH(T465,激励事件明细!$A$2:$A$501,0))=0,"",INDEX(激励事件明细!$P$2:$P$501,MATCH(T465,激励事件明细!$A$2:$A$501,0))),""))</f>
        <v/>
      </c>
      <c r="Q465" s="4" t="str">
        <f t="shared" si="45"/>
        <v>无效</v>
      </c>
      <c r="R465" s="4" t="str">
        <f t="shared" ca="1" si="46"/>
        <v>异常：必须关联有效事件编号或税额批次</v>
      </c>
      <c r="S465" s="9"/>
      <c r="T465" s="4" t="str">
        <f>IF(D465&lt;&gt;"",IF(COUNTIF(激励事件明细!$A$2:$A$501,D465)=1,D465,""),IF(E465&lt;&gt;"",IFERROR(INDEX(激励事件明细!$A$2:$A$501,MATCH(E465,激励事件明细!$B$2:$B$501,0)),""),""))</f>
        <v/>
      </c>
      <c r="U465" s="4" t="str">
        <f>IF(T465="","",IFERROR(INDEX(激励事件明细!$B$2:$B$501,MATCH(T465,激励事件明细!$A$2:$A$501,0)),""))</f>
        <v/>
      </c>
      <c r="V465" s="4" t="str">
        <f>IF(A465="","",COUNTIF($A$2:A465,A465))</f>
        <v/>
      </c>
      <c r="W465" s="4" t="str">
        <f t="shared" si="47"/>
        <v/>
      </c>
    </row>
    <row r="466" spans="1:23" x14ac:dyDescent="0.3">
      <c r="A466" s="4" t="str">
        <f>IF(T466="","",IFERROR(INDEX(激励事件明细!$C$2:$C$501,MATCH(T466,激励事件明细!$A$2:$A$501,0)),""))</f>
        <v/>
      </c>
      <c r="B466" s="4" t="str">
        <f>IF(A466="","",IFERROR(INDEX(激励事件明细!$D$2:$D$501,MATCH(T466,激励事件明细!$A$2:$A$501,0)),""))</f>
        <v/>
      </c>
      <c r="C466" s="4" t="str">
        <f>IF(A466="","",IFERROR(INDEX(激励事件明细!$H$2:$H$501,MATCH(T466,激励事件明细!$A$2:$A$501,0)),""))</f>
        <v/>
      </c>
      <c r="D466" s="9"/>
      <c r="E466" s="9"/>
      <c r="F466" s="15" t="str">
        <f>IF(A466="","",IFERROR(INDEX(激励事件明细!$AA$2:$AA$501,MATCH(T466,激励事件明细!$A$2:$A$501,0)),""))</f>
        <v/>
      </c>
      <c r="G466" s="17" t="str">
        <f>IF(A466="","",IFERROR(INDEX(激励事件明细!$AB$2:$AB$501,MATCH(T466,激励事件明细!$A$2:$A$501,0)),""))</f>
        <v/>
      </c>
      <c r="H466" s="17" t="str">
        <f>IF(A466="","",IFERROR(INDEX(激励事件明细!$AC$2:$AC$501,MATCH(T466,激励事件明细!$A$2:$A$501,0)),""))</f>
        <v/>
      </c>
      <c r="I466" s="13"/>
      <c r="J466" s="14"/>
      <c r="K466" s="14"/>
      <c r="L466" s="9"/>
      <c r="M466" s="15" t="str">
        <f t="shared" si="42"/>
        <v/>
      </c>
      <c r="N466" s="15" t="str">
        <f t="shared" si="43"/>
        <v/>
      </c>
      <c r="O466" s="4" t="str">
        <f t="shared" ca="1" si="44"/>
        <v/>
      </c>
      <c r="P466" s="17" t="str">
        <f>IF(A466="","",IFERROR(IF(INDEX(激励事件明细!$P$2:$P$501,MATCH(T466,激励事件明细!$A$2:$A$501,0))=0,"",INDEX(激励事件明细!$P$2:$P$501,MATCH(T466,激励事件明细!$A$2:$A$501,0))),""))</f>
        <v/>
      </c>
      <c r="Q466" s="4" t="str">
        <f t="shared" si="45"/>
        <v>无效</v>
      </c>
      <c r="R466" s="4" t="str">
        <f t="shared" ca="1" si="46"/>
        <v>异常：必须关联有效事件编号或税额批次</v>
      </c>
      <c r="S466" s="9"/>
      <c r="T466" s="4" t="str">
        <f>IF(D466&lt;&gt;"",IF(COUNTIF(激励事件明细!$A$2:$A$501,D466)=1,D466,""),IF(E466&lt;&gt;"",IFERROR(INDEX(激励事件明细!$A$2:$A$501,MATCH(E466,激励事件明细!$B$2:$B$501,0)),""),""))</f>
        <v/>
      </c>
      <c r="U466" s="4" t="str">
        <f>IF(T466="","",IFERROR(INDEX(激励事件明细!$B$2:$B$501,MATCH(T466,激励事件明细!$A$2:$A$501,0)),""))</f>
        <v/>
      </c>
      <c r="V466" s="4" t="str">
        <f>IF(A466="","",COUNTIF($A$2:A466,A466))</f>
        <v/>
      </c>
      <c r="W466" s="4" t="str">
        <f t="shared" si="47"/>
        <v/>
      </c>
    </row>
    <row r="467" spans="1:23" x14ac:dyDescent="0.3">
      <c r="A467" s="4" t="str">
        <f>IF(T467="","",IFERROR(INDEX(激励事件明细!$C$2:$C$501,MATCH(T467,激励事件明细!$A$2:$A$501,0)),""))</f>
        <v/>
      </c>
      <c r="B467" s="4" t="str">
        <f>IF(A467="","",IFERROR(INDEX(激励事件明细!$D$2:$D$501,MATCH(T467,激励事件明细!$A$2:$A$501,0)),""))</f>
        <v/>
      </c>
      <c r="C467" s="4" t="str">
        <f>IF(A467="","",IFERROR(INDEX(激励事件明细!$H$2:$H$501,MATCH(T467,激励事件明细!$A$2:$A$501,0)),""))</f>
        <v/>
      </c>
      <c r="D467" s="9"/>
      <c r="E467" s="9"/>
      <c r="F467" s="15" t="str">
        <f>IF(A467="","",IFERROR(INDEX(激励事件明细!$AA$2:$AA$501,MATCH(T467,激励事件明细!$A$2:$A$501,0)),""))</f>
        <v/>
      </c>
      <c r="G467" s="17" t="str">
        <f>IF(A467="","",IFERROR(INDEX(激励事件明细!$AB$2:$AB$501,MATCH(T467,激励事件明细!$A$2:$A$501,0)),""))</f>
        <v/>
      </c>
      <c r="H467" s="17" t="str">
        <f>IF(A467="","",IFERROR(INDEX(激励事件明细!$AC$2:$AC$501,MATCH(T467,激励事件明细!$A$2:$A$501,0)),""))</f>
        <v/>
      </c>
      <c r="I467" s="13"/>
      <c r="J467" s="14"/>
      <c r="K467" s="14"/>
      <c r="L467" s="9"/>
      <c r="M467" s="15" t="str">
        <f t="shared" si="42"/>
        <v/>
      </c>
      <c r="N467" s="15" t="str">
        <f t="shared" si="43"/>
        <v/>
      </c>
      <c r="O467" s="4" t="str">
        <f t="shared" ca="1" si="44"/>
        <v/>
      </c>
      <c r="P467" s="17" t="str">
        <f>IF(A467="","",IFERROR(IF(INDEX(激励事件明细!$P$2:$P$501,MATCH(T467,激励事件明细!$A$2:$A$501,0))=0,"",INDEX(激励事件明细!$P$2:$P$501,MATCH(T467,激励事件明细!$A$2:$A$501,0))),""))</f>
        <v/>
      </c>
      <c r="Q467" s="4" t="str">
        <f t="shared" si="45"/>
        <v>无效</v>
      </c>
      <c r="R467" s="4" t="str">
        <f t="shared" ca="1" si="46"/>
        <v>异常：必须关联有效事件编号或税额批次</v>
      </c>
      <c r="S467" s="9"/>
      <c r="T467" s="4" t="str">
        <f>IF(D467&lt;&gt;"",IF(COUNTIF(激励事件明细!$A$2:$A$501,D467)=1,D467,""),IF(E467&lt;&gt;"",IFERROR(INDEX(激励事件明细!$A$2:$A$501,MATCH(E467,激励事件明细!$B$2:$B$501,0)),""),""))</f>
        <v/>
      </c>
      <c r="U467" s="4" t="str">
        <f>IF(T467="","",IFERROR(INDEX(激励事件明细!$B$2:$B$501,MATCH(T467,激励事件明细!$A$2:$A$501,0)),""))</f>
        <v/>
      </c>
      <c r="V467" s="4" t="str">
        <f>IF(A467="","",COUNTIF($A$2:A467,A467))</f>
        <v/>
      </c>
      <c r="W467" s="4" t="str">
        <f t="shared" si="47"/>
        <v/>
      </c>
    </row>
    <row r="468" spans="1:23" x14ac:dyDescent="0.3">
      <c r="A468" s="4" t="str">
        <f>IF(T468="","",IFERROR(INDEX(激励事件明细!$C$2:$C$501,MATCH(T468,激励事件明细!$A$2:$A$501,0)),""))</f>
        <v/>
      </c>
      <c r="B468" s="4" t="str">
        <f>IF(A468="","",IFERROR(INDEX(激励事件明细!$D$2:$D$501,MATCH(T468,激励事件明细!$A$2:$A$501,0)),""))</f>
        <v/>
      </c>
      <c r="C468" s="4" t="str">
        <f>IF(A468="","",IFERROR(INDEX(激励事件明细!$H$2:$H$501,MATCH(T468,激励事件明细!$A$2:$A$501,0)),""))</f>
        <v/>
      </c>
      <c r="D468" s="9"/>
      <c r="E468" s="9"/>
      <c r="F468" s="15" t="str">
        <f>IF(A468="","",IFERROR(INDEX(激励事件明细!$AA$2:$AA$501,MATCH(T468,激励事件明细!$A$2:$A$501,0)),""))</f>
        <v/>
      </c>
      <c r="G468" s="17" t="str">
        <f>IF(A468="","",IFERROR(INDEX(激励事件明细!$AB$2:$AB$501,MATCH(T468,激励事件明细!$A$2:$A$501,0)),""))</f>
        <v/>
      </c>
      <c r="H468" s="17" t="str">
        <f>IF(A468="","",IFERROR(INDEX(激励事件明细!$AC$2:$AC$501,MATCH(T468,激励事件明细!$A$2:$A$501,0)),""))</f>
        <v/>
      </c>
      <c r="I468" s="13"/>
      <c r="J468" s="14"/>
      <c r="K468" s="14"/>
      <c r="L468" s="9"/>
      <c r="M468" s="15" t="str">
        <f t="shared" si="42"/>
        <v/>
      </c>
      <c r="N468" s="15" t="str">
        <f t="shared" si="43"/>
        <v/>
      </c>
      <c r="O468" s="4" t="str">
        <f t="shared" ca="1" si="44"/>
        <v/>
      </c>
      <c r="P468" s="17" t="str">
        <f>IF(A468="","",IFERROR(IF(INDEX(激励事件明细!$P$2:$P$501,MATCH(T468,激励事件明细!$A$2:$A$501,0))=0,"",INDEX(激励事件明细!$P$2:$P$501,MATCH(T468,激励事件明细!$A$2:$A$501,0))),""))</f>
        <v/>
      </c>
      <c r="Q468" s="4" t="str">
        <f t="shared" si="45"/>
        <v>无效</v>
      </c>
      <c r="R468" s="4" t="str">
        <f t="shared" ca="1" si="46"/>
        <v>异常：必须关联有效事件编号或税额批次</v>
      </c>
      <c r="S468" s="9"/>
      <c r="T468" s="4" t="str">
        <f>IF(D468&lt;&gt;"",IF(COUNTIF(激励事件明细!$A$2:$A$501,D468)=1,D468,""),IF(E468&lt;&gt;"",IFERROR(INDEX(激励事件明细!$A$2:$A$501,MATCH(E468,激励事件明细!$B$2:$B$501,0)),""),""))</f>
        <v/>
      </c>
      <c r="U468" s="4" t="str">
        <f>IF(T468="","",IFERROR(INDEX(激励事件明细!$B$2:$B$501,MATCH(T468,激励事件明细!$A$2:$A$501,0)),""))</f>
        <v/>
      </c>
      <c r="V468" s="4" t="str">
        <f>IF(A468="","",COUNTIF($A$2:A468,A468))</f>
        <v/>
      </c>
      <c r="W468" s="4" t="str">
        <f t="shared" si="47"/>
        <v/>
      </c>
    </row>
    <row r="469" spans="1:23" x14ac:dyDescent="0.3">
      <c r="A469" s="4" t="str">
        <f>IF(T469="","",IFERROR(INDEX(激励事件明细!$C$2:$C$501,MATCH(T469,激励事件明细!$A$2:$A$501,0)),""))</f>
        <v/>
      </c>
      <c r="B469" s="4" t="str">
        <f>IF(A469="","",IFERROR(INDEX(激励事件明细!$D$2:$D$501,MATCH(T469,激励事件明细!$A$2:$A$501,0)),""))</f>
        <v/>
      </c>
      <c r="C469" s="4" t="str">
        <f>IF(A469="","",IFERROR(INDEX(激励事件明细!$H$2:$H$501,MATCH(T469,激励事件明细!$A$2:$A$501,0)),""))</f>
        <v/>
      </c>
      <c r="D469" s="9"/>
      <c r="E469" s="9"/>
      <c r="F469" s="15" t="str">
        <f>IF(A469="","",IFERROR(INDEX(激励事件明细!$AA$2:$AA$501,MATCH(T469,激励事件明细!$A$2:$A$501,0)),""))</f>
        <v/>
      </c>
      <c r="G469" s="17" t="str">
        <f>IF(A469="","",IFERROR(INDEX(激励事件明细!$AB$2:$AB$501,MATCH(T469,激励事件明细!$A$2:$A$501,0)),""))</f>
        <v/>
      </c>
      <c r="H469" s="17" t="str">
        <f>IF(A469="","",IFERROR(INDEX(激励事件明细!$AC$2:$AC$501,MATCH(T469,激励事件明细!$A$2:$A$501,0)),""))</f>
        <v/>
      </c>
      <c r="I469" s="13"/>
      <c r="J469" s="14"/>
      <c r="K469" s="14"/>
      <c r="L469" s="9"/>
      <c r="M469" s="15" t="str">
        <f t="shared" si="42"/>
        <v/>
      </c>
      <c r="N469" s="15" t="str">
        <f t="shared" si="43"/>
        <v/>
      </c>
      <c r="O469" s="4" t="str">
        <f t="shared" ca="1" si="44"/>
        <v/>
      </c>
      <c r="P469" s="17" t="str">
        <f>IF(A469="","",IFERROR(IF(INDEX(激励事件明细!$P$2:$P$501,MATCH(T469,激励事件明细!$A$2:$A$501,0))=0,"",INDEX(激励事件明细!$P$2:$P$501,MATCH(T469,激励事件明细!$A$2:$A$501,0))),""))</f>
        <v/>
      </c>
      <c r="Q469" s="4" t="str">
        <f t="shared" si="45"/>
        <v>无效</v>
      </c>
      <c r="R469" s="4" t="str">
        <f t="shared" ca="1" si="46"/>
        <v>异常：必须关联有效事件编号或税额批次</v>
      </c>
      <c r="S469" s="9"/>
      <c r="T469" s="4" t="str">
        <f>IF(D469&lt;&gt;"",IF(COUNTIF(激励事件明细!$A$2:$A$501,D469)=1,D469,""),IF(E469&lt;&gt;"",IFERROR(INDEX(激励事件明细!$A$2:$A$501,MATCH(E469,激励事件明细!$B$2:$B$501,0)),""),""))</f>
        <v/>
      </c>
      <c r="U469" s="4" t="str">
        <f>IF(T469="","",IFERROR(INDEX(激励事件明细!$B$2:$B$501,MATCH(T469,激励事件明细!$A$2:$A$501,0)),""))</f>
        <v/>
      </c>
      <c r="V469" s="4" t="str">
        <f>IF(A469="","",COUNTIF($A$2:A469,A469))</f>
        <v/>
      </c>
      <c r="W469" s="4" t="str">
        <f t="shared" si="47"/>
        <v/>
      </c>
    </row>
    <row r="470" spans="1:23" x14ac:dyDescent="0.3">
      <c r="A470" s="4" t="str">
        <f>IF(T470="","",IFERROR(INDEX(激励事件明细!$C$2:$C$501,MATCH(T470,激励事件明细!$A$2:$A$501,0)),""))</f>
        <v/>
      </c>
      <c r="B470" s="4" t="str">
        <f>IF(A470="","",IFERROR(INDEX(激励事件明细!$D$2:$D$501,MATCH(T470,激励事件明细!$A$2:$A$501,0)),""))</f>
        <v/>
      </c>
      <c r="C470" s="4" t="str">
        <f>IF(A470="","",IFERROR(INDEX(激励事件明细!$H$2:$H$501,MATCH(T470,激励事件明细!$A$2:$A$501,0)),""))</f>
        <v/>
      </c>
      <c r="D470" s="9"/>
      <c r="E470" s="9"/>
      <c r="F470" s="15" t="str">
        <f>IF(A470="","",IFERROR(INDEX(激励事件明细!$AA$2:$AA$501,MATCH(T470,激励事件明细!$A$2:$A$501,0)),""))</f>
        <v/>
      </c>
      <c r="G470" s="17" t="str">
        <f>IF(A470="","",IFERROR(INDEX(激励事件明细!$AB$2:$AB$501,MATCH(T470,激励事件明细!$A$2:$A$501,0)),""))</f>
        <v/>
      </c>
      <c r="H470" s="17" t="str">
        <f>IF(A470="","",IFERROR(INDEX(激励事件明细!$AC$2:$AC$501,MATCH(T470,激励事件明细!$A$2:$A$501,0)),""))</f>
        <v/>
      </c>
      <c r="I470" s="13"/>
      <c r="J470" s="14"/>
      <c r="K470" s="14"/>
      <c r="L470" s="9"/>
      <c r="M470" s="15" t="str">
        <f t="shared" si="42"/>
        <v/>
      </c>
      <c r="N470" s="15" t="str">
        <f t="shared" si="43"/>
        <v/>
      </c>
      <c r="O470" s="4" t="str">
        <f t="shared" ca="1" si="44"/>
        <v/>
      </c>
      <c r="P470" s="17" t="str">
        <f>IF(A470="","",IFERROR(IF(INDEX(激励事件明细!$P$2:$P$501,MATCH(T470,激励事件明细!$A$2:$A$501,0))=0,"",INDEX(激励事件明细!$P$2:$P$501,MATCH(T470,激励事件明细!$A$2:$A$501,0))),""))</f>
        <v/>
      </c>
      <c r="Q470" s="4" t="str">
        <f t="shared" si="45"/>
        <v>无效</v>
      </c>
      <c r="R470" s="4" t="str">
        <f t="shared" ca="1" si="46"/>
        <v>异常：必须关联有效事件编号或税额批次</v>
      </c>
      <c r="S470" s="9"/>
      <c r="T470" s="4" t="str">
        <f>IF(D470&lt;&gt;"",IF(COUNTIF(激励事件明细!$A$2:$A$501,D470)=1,D470,""),IF(E470&lt;&gt;"",IFERROR(INDEX(激励事件明细!$A$2:$A$501,MATCH(E470,激励事件明细!$B$2:$B$501,0)),""),""))</f>
        <v/>
      </c>
      <c r="U470" s="4" t="str">
        <f>IF(T470="","",IFERROR(INDEX(激励事件明细!$B$2:$B$501,MATCH(T470,激励事件明细!$A$2:$A$501,0)),""))</f>
        <v/>
      </c>
      <c r="V470" s="4" t="str">
        <f>IF(A470="","",COUNTIF($A$2:A470,A470))</f>
        <v/>
      </c>
      <c r="W470" s="4" t="str">
        <f t="shared" si="47"/>
        <v/>
      </c>
    </row>
    <row r="471" spans="1:23" x14ac:dyDescent="0.3">
      <c r="A471" s="4" t="str">
        <f>IF(T471="","",IFERROR(INDEX(激励事件明细!$C$2:$C$501,MATCH(T471,激励事件明细!$A$2:$A$501,0)),""))</f>
        <v/>
      </c>
      <c r="B471" s="4" t="str">
        <f>IF(A471="","",IFERROR(INDEX(激励事件明细!$D$2:$D$501,MATCH(T471,激励事件明细!$A$2:$A$501,0)),""))</f>
        <v/>
      </c>
      <c r="C471" s="4" t="str">
        <f>IF(A471="","",IFERROR(INDEX(激励事件明细!$H$2:$H$501,MATCH(T471,激励事件明细!$A$2:$A$501,0)),""))</f>
        <v/>
      </c>
      <c r="D471" s="9"/>
      <c r="E471" s="9"/>
      <c r="F471" s="15" t="str">
        <f>IF(A471="","",IFERROR(INDEX(激励事件明细!$AA$2:$AA$501,MATCH(T471,激励事件明细!$A$2:$A$501,0)),""))</f>
        <v/>
      </c>
      <c r="G471" s="17" t="str">
        <f>IF(A471="","",IFERROR(INDEX(激励事件明细!$AB$2:$AB$501,MATCH(T471,激励事件明细!$A$2:$A$501,0)),""))</f>
        <v/>
      </c>
      <c r="H471" s="17" t="str">
        <f>IF(A471="","",IFERROR(INDEX(激励事件明细!$AC$2:$AC$501,MATCH(T471,激励事件明细!$A$2:$A$501,0)),""))</f>
        <v/>
      </c>
      <c r="I471" s="13"/>
      <c r="J471" s="14"/>
      <c r="K471" s="14"/>
      <c r="L471" s="9"/>
      <c r="M471" s="15" t="str">
        <f t="shared" si="42"/>
        <v/>
      </c>
      <c r="N471" s="15" t="str">
        <f t="shared" si="43"/>
        <v/>
      </c>
      <c r="O471" s="4" t="str">
        <f t="shared" ca="1" si="44"/>
        <v/>
      </c>
      <c r="P471" s="17" t="str">
        <f>IF(A471="","",IFERROR(IF(INDEX(激励事件明细!$P$2:$P$501,MATCH(T471,激励事件明细!$A$2:$A$501,0))=0,"",INDEX(激励事件明细!$P$2:$P$501,MATCH(T471,激励事件明细!$A$2:$A$501,0))),""))</f>
        <v/>
      </c>
      <c r="Q471" s="4" t="str">
        <f t="shared" si="45"/>
        <v>无效</v>
      </c>
      <c r="R471" s="4" t="str">
        <f t="shared" ca="1" si="46"/>
        <v>异常：必须关联有效事件编号或税额批次</v>
      </c>
      <c r="S471" s="9"/>
      <c r="T471" s="4" t="str">
        <f>IF(D471&lt;&gt;"",IF(COUNTIF(激励事件明细!$A$2:$A$501,D471)=1,D471,""),IF(E471&lt;&gt;"",IFERROR(INDEX(激励事件明细!$A$2:$A$501,MATCH(E471,激励事件明细!$B$2:$B$501,0)),""),""))</f>
        <v/>
      </c>
      <c r="U471" s="4" t="str">
        <f>IF(T471="","",IFERROR(INDEX(激励事件明细!$B$2:$B$501,MATCH(T471,激励事件明细!$A$2:$A$501,0)),""))</f>
        <v/>
      </c>
      <c r="V471" s="4" t="str">
        <f>IF(A471="","",COUNTIF($A$2:A471,A471))</f>
        <v/>
      </c>
      <c r="W471" s="4" t="str">
        <f t="shared" si="47"/>
        <v/>
      </c>
    </row>
    <row r="472" spans="1:23" x14ac:dyDescent="0.3">
      <c r="A472" s="4" t="str">
        <f>IF(T472="","",IFERROR(INDEX(激励事件明细!$C$2:$C$501,MATCH(T472,激励事件明细!$A$2:$A$501,0)),""))</f>
        <v/>
      </c>
      <c r="B472" s="4" t="str">
        <f>IF(A472="","",IFERROR(INDEX(激励事件明细!$D$2:$D$501,MATCH(T472,激励事件明细!$A$2:$A$501,0)),""))</f>
        <v/>
      </c>
      <c r="C472" s="4" t="str">
        <f>IF(A472="","",IFERROR(INDEX(激励事件明细!$H$2:$H$501,MATCH(T472,激励事件明细!$A$2:$A$501,0)),""))</f>
        <v/>
      </c>
      <c r="D472" s="9"/>
      <c r="E472" s="9"/>
      <c r="F472" s="15" t="str">
        <f>IF(A472="","",IFERROR(INDEX(激励事件明细!$AA$2:$AA$501,MATCH(T472,激励事件明细!$A$2:$A$501,0)),""))</f>
        <v/>
      </c>
      <c r="G472" s="17" t="str">
        <f>IF(A472="","",IFERROR(INDEX(激励事件明细!$AB$2:$AB$501,MATCH(T472,激励事件明细!$A$2:$A$501,0)),""))</f>
        <v/>
      </c>
      <c r="H472" s="17" t="str">
        <f>IF(A472="","",IFERROR(INDEX(激励事件明细!$AC$2:$AC$501,MATCH(T472,激励事件明细!$A$2:$A$501,0)),""))</f>
        <v/>
      </c>
      <c r="I472" s="13"/>
      <c r="J472" s="14"/>
      <c r="K472" s="14"/>
      <c r="L472" s="9"/>
      <c r="M472" s="15" t="str">
        <f t="shared" si="42"/>
        <v/>
      </c>
      <c r="N472" s="15" t="str">
        <f t="shared" si="43"/>
        <v/>
      </c>
      <c r="O472" s="4" t="str">
        <f t="shared" ca="1" si="44"/>
        <v/>
      </c>
      <c r="P472" s="17" t="str">
        <f>IF(A472="","",IFERROR(IF(INDEX(激励事件明细!$P$2:$P$501,MATCH(T472,激励事件明细!$A$2:$A$501,0))=0,"",INDEX(激励事件明细!$P$2:$P$501,MATCH(T472,激励事件明细!$A$2:$A$501,0))),""))</f>
        <v/>
      </c>
      <c r="Q472" s="4" t="str">
        <f t="shared" si="45"/>
        <v>无效</v>
      </c>
      <c r="R472" s="4" t="str">
        <f t="shared" ca="1" si="46"/>
        <v>异常：必须关联有效事件编号或税额批次</v>
      </c>
      <c r="S472" s="9"/>
      <c r="T472" s="4" t="str">
        <f>IF(D472&lt;&gt;"",IF(COUNTIF(激励事件明细!$A$2:$A$501,D472)=1,D472,""),IF(E472&lt;&gt;"",IFERROR(INDEX(激励事件明细!$A$2:$A$501,MATCH(E472,激励事件明细!$B$2:$B$501,0)),""),""))</f>
        <v/>
      </c>
      <c r="U472" s="4" t="str">
        <f>IF(T472="","",IFERROR(INDEX(激励事件明细!$B$2:$B$501,MATCH(T472,激励事件明细!$A$2:$A$501,0)),""))</f>
        <v/>
      </c>
      <c r="V472" s="4" t="str">
        <f>IF(A472="","",COUNTIF($A$2:A472,A472))</f>
        <v/>
      </c>
      <c r="W472" s="4" t="str">
        <f t="shared" si="47"/>
        <v/>
      </c>
    </row>
    <row r="473" spans="1:23" x14ac:dyDescent="0.3">
      <c r="A473" s="4" t="str">
        <f>IF(T473="","",IFERROR(INDEX(激励事件明细!$C$2:$C$501,MATCH(T473,激励事件明细!$A$2:$A$501,0)),""))</f>
        <v/>
      </c>
      <c r="B473" s="4" t="str">
        <f>IF(A473="","",IFERROR(INDEX(激励事件明细!$D$2:$D$501,MATCH(T473,激励事件明细!$A$2:$A$501,0)),""))</f>
        <v/>
      </c>
      <c r="C473" s="4" t="str">
        <f>IF(A473="","",IFERROR(INDEX(激励事件明细!$H$2:$H$501,MATCH(T473,激励事件明细!$A$2:$A$501,0)),""))</f>
        <v/>
      </c>
      <c r="D473" s="9"/>
      <c r="E473" s="9"/>
      <c r="F473" s="15" t="str">
        <f>IF(A473="","",IFERROR(INDEX(激励事件明细!$AA$2:$AA$501,MATCH(T473,激励事件明细!$A$2:$A$501,0)),""))</f>
        <v/>
      </c>
      <c r="G473" s="17" t="str">
        <f>IF(A473="","",IFERROR(INDEX(激励事件明细!$AB$2:$AB$501,MATCH(T473,激励事件明细!$A$2:$A$501,0)),""))</f>
        <v/>
      </c>
      <c r="H473" s="17" t="str">
        <f>IF(A473="","",IFERROR(INDEX(激励事件明细!$AC$2:$AC$501,MATCH(T473,激励事件明细!$A$2:$A$501,0)),""))</f>
        <v/>
      </c>
      <c r="I473" s="13"/>
      <c r="J473" s="14"/>
      <c r="K473" s="14"/>
      <c r="L473" s="9"/>
      <c r="M473" s="15" t="str">
        <f t="shared" si="42"/>
        <v/>
      </c>
      <c r="N473" s="15" t="str">
        <f t="shared" si="43"/>
        <v/>
      </c>
      <c r="O473" s="4" t="str">
        <f t="shared" ca="1" si="44"/>
        <v/>
      </c>
      <c r="P473" s="17" t="str">
        <f>IF(A473="","",IFERROR(IF(INDEX(激励事件明细!$P$2:$P$501,MATCH(T473,激励事件明细!$A$2:$A$501,0))=0,"",INDEX(激励事件明细!$P$2:$P$501,MATCH(T473,激励事件明细!$A$2:$A$501,0))),""))</f>
        <v/>
      </c>
      <c r="Q473" s="4" t="str">
        <f t="shared" si="45"/>
        <v>无效</v>
      </c>
      <c r="R473" s="4" t="str">
        <f t="shared" ca="1" si="46"/>
        <v>异常：必须关联有效事件编号或税额批次</v>
      </c>
      <c r="S473" s="9"/>
      <c r="T473" s="4" t="str">
        <f>IF(D473&lt;&gt;"",IF(COUNTIF(激励事件明细!$A$2:$A$501,D473)=1,D473,""),IF(E473&lt;&gt;"",IFERROR(INDEX(激励事件明细!$A$2:$A$501,MATCH(E473,激励事件明细!$B$2:$B$501,0)),""),""))</f>
        <v/>
      </c>
      <c r="U473" s="4" t="str">
        <f>IF(T473="","",IFERROR(INDEX(激励事件明细!$B$2:$B$501,MATCH(T473,激励事件明细!$A$2:$A$501,0)),""))</f>
        <v/>
      </c>
      <c r="V473" s="4" t="str">
        <f>IF(A473="","",COUNTIF($A$2:A473,A473))</f>
        <v/>
      </c>
      <c r="W473" s="4" t="str">
        <f t="shared" si="47"/>
        <v/>
      </c>
    </row>
    <row r="474" spans="1:23" x14ac:dyDescent="0.3">
      <c r="A474" s="4" t="str">
        <f>IF(T474="","",IFERROR(INDEX(激励事件明细!$C$2:$C$501,MATCH(T474,激励事件明细!$A$2:$A$501,0)),""))</f>
        <v/>
      </c>
      <c r="B474" s="4" t="str">
        <f>IF(A474="","",IFERROR(INDEX(激励事件明细!$D$2:$D$501,MATCH(T474,激励事件明细!$A$2:$A$501,0)),""))</f>
        <v/>
      </c>
      <c r="C474" s="4" t="str">
        <f>IF(A474="","",IFERROR(INDEX(激励事件明细!$H$2:$H$501,MATCH(T474,激励事件明细!$A$2:$A$501,0)),""))</f>
        <v/>
      </c>
      <c r="D474" s="9"/>
      <c r="E474" s="9"/>
      <c r="F474" s="15" t="str">
        <f>IF(A474="","",IFERROR(INDEX(激励事件明细!$AA$2:$AA$501,MATCH(T474,激励事件明细!$A$2:$A$501,0)),""))</f>
        <v/>
      </c>
      <c r="G474" s="17" t="str">
        <f>IF(A474="","",IFERROR(INDEX(激励事件明细!$AB$2:$AB$501,MATCH(T474,激励事件明细!$A$2:$A$501,0)),""))</f>
        <v/>
      </c>
      <c r="H474" s="17" t="str">
        <f>IF(A474="","",IFERROR(INDEX(激励事件明细!$AC$2:$AC$501,MATCH(T474,激励事件明细!$A$2:$A$501,0)),""))</f>
        <v/>
      </c>
      <c r="I474" s="13"/>
      <c r="J474" s="14"/>
      <c r="K474" s="14"/>
      <c r="L474" s="9"/>
      <c r="M474" s="15" t="str">
        <f t="shared" si="42"/>
        <v/>
      </c>
      <c r="N474" s="15" t="str">
        <f t="shared" si="43"/>
        <v/>
      </c>
      <c r="O474" s="4" t="str">
        <f t="shared" ca="1" si="44"/>
        <v/>
      </c>
      <c r="P474" s="17" t="str">
        <f>IF(A474="","",IFERROR(IF(INDEX(激励事件明细!$P$2:$P$501,MATCH(T474,激励事件明细!$A$2:$A$501,0))=0,"",INDEX(激励事件明细!$P$2:$P$501,MATCH(T474,激励事件明细!$A$2:$A$501,0))),""))</f>
        <v/>
      </c>
      <c r="Q474" s="4" t="str">
        <f t="shared" si="45"/>
        <v>无效</v>
      </c>
      <c r="R474" s="4" t="str">
        <f t="shared" ca="1" si="46"/>
        <v>异常：必须关联有效事件编号或税额批次</v>
      </c>
      <c r="S474" s="9"/>
      <c r="T474" s="4" t="str">
        <f>IF(D474&lt;&gt;"",IF(COUNTIF(激励事件明细!$A$2:$A$501,D474)=1,D474,""),IF(E474&lt;&gt;"",IFERROR(INDEX(激励事件明细!$A$2:$A$501,MATCH(E474,激励事件明细!$B$2:$B$501,0)),""),""))</f>
        <v/>
      </c>
      <c r="U474" s="4" t="str">
        <f>IF(T474="","",IFERROR(INDEX(激励事件明细!$B$2:$B$501,MATCH(T474,激励事件明细!$A$2:$A$501,0)),""))</f>
        <v/>
      </c>
      <c r="V474" s="4" t="str">
        <f>IF(A474="","",COUNTIF($A$2:A474,A474))</f>
        <v/>
      </c>
      <c r="W474" s="4" t="str">
        <f t="shared" si="47"/>
        <v/>
      </c>
    </row>
    <row r="475" spans="1:23" x14ac:dyDescent="0.3">
      <c r="A475" s="4" t="str">
        <f>IF(T475="","",IFERROR(INDEX(激励事件明细!$C$2:$C$501,MATCH(T475,激励事件明细!$A$2:$A$501,0)),""))</f>
        <v/>
      </c>
      <c r="B475" s="4" t="str">
        <f>IF(A475="","",IFERROR(INDEX(激励事件明细!$D$2:$D$501,MATCH(T475,激励事件明细!$A$2:$A$501,0)),""))</f>
        <v/>
      </c>
      <c r="C475" s="4" t="str">
        <f>IF(A475="","",IFERROR(INDEX(激励事件明细!$H$2:$H$501,MATCH(T475,激励事件明细!$A$2:$A$501,0)),""))</f>
        <v/>
      </c>
      <c r="D475" s="9"/>
      <c r="E475" s="9"/>
      <c r="F475" s="15" t="str">
        <f>IF(A475="","",IFERROR(INDEX(激励事件明细!$AA$2:$AA$501,MATCH(T475,激励事件明细!$A$2:$A$501,0)),""))</f>
        <v/>
      </c>
      <c r="G475" s="17" t="str">
        <f>IF(A475="","",IFERROR(INDEX(激励事件明细!$AB$2:$AB$501,MATCH(T475,激励事件明细!$A$2:$A$501,0)),""))</f>
        <v/>
      </c>
      <c r="H475" s="17" t="str">
        <f>IF(A475="","",IFERROR(INDEX(激励事件明细!$AC$2:$AC$501,MATCH(T475,激励事件明细!$A$2:$A$501,0)),""))</f>
        <v/>
      </c>
      <c r="I475" s="13"/>
      <c r="J475" s="14"/>
      <c r="K475" s="14"/>
      <c r="L475" s="9"/>
      <c r="M475" s="15" t="str">
        <f t="shared" si="42"/>
        <v/>
      </c>
      <c r="N475" s="15" t="str">
        <f t="shared" si="43"/>
        <v/>
      </c>
      <c r="O475" s="4" t="str">
        <f t="shared" ca="1" si="44"/>
        <v/>
      </c>
      <c r="P475" s="17" t="str">
        <f>IF(A475="","",IFERROR(IF(INDEX(激励事件明细!$P$2:$P$501,MATCH(T475,激励事件明细!$A$2:$A$501,0))=0,"",INDEX(激励事件明细!$P$2:$P$501,MATCH(T475,激励事件明细!$A$2:$A$501,0))),""))</f>
        <v/>
      </c>
      <c r="Q475" s="4" t="str">
        <f t="shared" si="45"/>
        <v>无效</v>
      </c>
      <c r="R475" s="4" t="str">
        <f t="shared" ca="1" si="46"/>
        <v>异常：必须关联有效事件编号或税额批次</v>
      </c>
      <c r="S475" s="9"/>
      <c r="T475" s="4" t="str">
        <f>IF(D475&lt;&gt;"",IF(COUNTIF(激励事件明细!$A$2:$A$501,D475)=1,D475,""),IF(E475&lt;&gt;"",IFERROR(INDEX(激励事件明细!$A$2:$A$501,MATCH(E475,激励事件明细!$B$2:$B$501,0)),""),""))</f>
        <v/>
      </c>
      <c r="U475" s="4" t="str">
        <f>IF(T475="","",IFERROR(INDEX(激励事件明细!$B$2:$B$501,MATCH(T475,激励事件明细!$A$2:$A$501,0)),""))</f>
        <v/>
      </c>
      <c r="V475" s="4" t="str">
        <f>IF(A475="","",COUNTIF($A$2:A475,A475))</f>
        <v/>
      </c>
      <c r="W475" s="4" t="str">
        <f t="shared" si="47"/>
        <v/>
      </c>
    </row>
    <row r="476" spans="1:23" x14ac:dyDescent="0.3">
      <c r="A476" s="4" t="str">
        <f>IF(T476="","",IFERROR(INDEX(激励事件明细!$C$2:$C$501,MATCH(T476,激励事件明细!$A$2:$A$501,0)),""))</f>
        <v/>
      </c>
      <c r="B476" s="4" t="str">
        <f>IF(A476="","",IFERROR(INDEX(激励事件明细!$D$2:$D$501,MATCH(T476,激励事件明细!$A$2:$A$501,0)),""))</f>
        <v/>
      </c>
      <c r="C476" s="4" t="str">
        <f>IF(A476="","",IFERROR(INDEX(激励事件明细!$H$2:$H$501,MATCH(T476,激励事件明细!$A$2:$A$501,0)),""))</f>
        <v/>
      </c>
      <c r="D476" s="9"/>
      <c r="E476" s="9"/>
      <c r="F476" s="15" t="str">
        <f>IF(A476="","",IFERROR(INDEX(激励事件明细!$AA$2:$AA$501,MATCH(T476,激励事件明细!$A$2:$A$501,0)),""))</f>
        <v/>
      </c>
      <c r="G476" s="17" t="str">
        <f>IF(A476="","",IFERROR(INDEX(激励事件明细!$AB$2:$AB$501,MATCH(T476,激励事件明细!$A$2:$A$501,0)),""))</f>
        <v/>
      </c>
      <c r="H476" s="17" t="str">
        <f>IF(A476="","",IFERROR(INDEX(激励事件明细!$AC$2:$AC$501,MATCH(T476,激励事件明细!$A$2:$A$501,0)),""))</f>
        <v/>
      </c>
      <c r="I476" s="13"/>
      <c r="J476" s="14"/>
      <c r="K476" s="14"/>
      <c r="L476" s="9"/>
      <c r="M476" s="15" t="str">
        <f t="shared" si="42"/>
        <v/>
      </c>
      <c r="N476" s="15" t="str">
        <f t="shared" si="43"/>
        <v/>
      </c>
      <c r="O476" s="4" t="str">
        <f t="shared" ca="1" si="44"/>
        <v/>
      </c>
      <c r="P476" s="17" t="str">
        <f>IF(A476="","",IFERROR(IF(INDEX(激励事件明细!$P$2:$P$501,MATCH(T476,激励事件明细!$A$2:$A$501,0))=0,"",INDEX(激励事件明细!$P$2:$P$501,MATCH(T476,激励事件明细!$A$2:$A$501,0))),""))</f>
        <v/>
      </c>
      <c r="Q476" s="4" t="str">
        <f t="shared" si="45"/>
        <v>无效</v>
      </c>
      <c r="R476" s="4" t="str">
        <f t="shared" ca="1" si="46"/>
        <v>异常：必须关联有效事件编号或税额批次</v>
      </c>
      <c r="S476" s="9"/>
      <c r="T476" s="4" t="str">
        <f>IF(D476&lt;&gt;"",IF(COUNTIF(激励事件明细!$A$2:$A$501,D476)=1,D476,""),IF(E476&lt;&gt;"",IFERROR(INDEX(激励事件明细!$A$2:$A$501,MATCH(E476,激励事件明细!$B$2:$B$501,0)),""),""))</f>
        <v/>
      </c>
      <c r="U476" s="4" t="str">
        <f>IF(T476="","",IFERROR(INDEX(激励事件明细!$B$2:$B$501,MATCH(T476,激励事件明细!$A$2:$A$501,0)),""))</f>
        <v/>
      </c>
      <c r="V476" s="4" t="str">
        <f>IF(A476="","",COUNTIF($A$2:A476,A476))</f>
        <v/>
      </c>
      <c r="W476" s="4" t="str">
        <f t="shared" si="47"/>
        <v/>
      </c>
    </row>
    <row r="477" spans="1:23" x14ac:dyDescent="0.3">
      <c r="A477" s="4" t="str">
        <f>IF(T477="","",IFERROR(INDEX(激励事件明细!$C$2:$C$501,MATCH(T477,激励事件明细!$A$2:$A$501,0)),""))</f>
        <v/>
      </c>
      <c r="B477" s="4" t="str">
        <f>IF(A477="","",IFERROR(INDEX(激励事件明细!$D$2:$D$501,MATCH(T477,激励事件明细!$A$2:$A$501,0)),""))</f>
        <v/>
      </c>
      <c r="C477" s="4" t="str">
        <f>IF(A477="","",IFERROR(INDEX(激励事件明细!$H$2:$H$501,MATCH(T477,激励事件明细!$A$2:$A$501,0)),""))</f>
        <v/>
      </c>
      <c r="D477" s="9"/>
      <c r="E477" s="9"/>
      <c r="F477" s="15" t="str">
        <f>IF(A477="","",IFERROR(INDEX(激励事件明细!$AA$2:$AA$501,MATCH(T477,激励事件明细!$A$2:$A$501,0)),""))</f>
        <v/>
      </c>
      <c r="G477" s="17" t="str">
        <f>IF(A477="","",IFERROR(INDEX(激励事件明细!$AB$2:$AB$501,MATCH(T477,激励事件明细!$A$2:$A$501,0)),""))</f>
        <v/>
      </c>
      <c r="H477" s="17" t="str">
        <f>IF(A477="","",IFERROR(INDEX(激励事件明细!$AC$2:$AC$501,MATCH(T477,激励事件明细!$A$2:$A$501,0)),""))</f>
        <v/>
      </c>
      <c r="I477" s="13"/>
      <c r="J477" s="14"/>
      <c r="K477" s="14"/>
      <c r="L477" s="9"/>
      <c r="M477" s="15" t="str">
        <f t="shared" si="42"/>
        <v/>
      </c>
      <c r="N477" s="15" t="str">
        <f t="shared" si="43"/>
        <v/>
      </c>
      <c r="O477" s="4" t="str">
        <f t="shared" ca="1" si="44"/>
        <v/>
      </c>
      <c r="P477" s="17" t="str">
        <f>IF(A477="","",IFERROR(IF(INDEX(激励事件明细!$P$2:$P$501,MATCH(T477,激励事件明细!$A$2:$A$501,0))=0,"",INDEX(激励事件明细!$P$2:$P$501,MATCH(T477,激励事件明细!$A$2:$A$501,0))),""))</f>
        <v/>
      </c>
      <c r="Q477" s="4" t="str">
        <f t="shared" si="45"/>
        <v>无效</v>
      </c>
      <c r="R477" s="4" t="str">
        <f t="shared" ca="1" si="46"/>
        <v>异常：必须关联有效事件编号或税额批次</v>
      </c>
      <c r="S477" s="9"/>
      <c r="T477" s="4" t="str">
        <f>IF(D477&lt;&gt;"",IF(COUNTIF(激励事件明细!$A$2:$A$501,D477)=1,D477,""),IF(E477&lt;&gt;"",IFERROR(INDEX(激励事件明细!$A$2:$A$501,MATCH(E477,激励事件明细!$B$2:$B$501,0)),""),""))</f>
        <v/>
      </c>
      <c r="U477" s="4" t="str">
        <f>IF(T477="","",IFERROR(INDEX(激励事件明细!$B$2:$B$501,MATCH(T477,激励事件明细!$A$2:$A$501,0)),""))</f>
        <v/>
      </c>
      <c r="V477" s="4" t="str">
        <f>IF(A477="","",COUNTIF($A$2:A477,A477))</f>
        <v/>
      </c>
      <c r="W477" s="4" t="str">
        <f t="shared" si="47"/>
        <v/>
      </c>
    </row>
    <row r="478" spans="1:23" x14ac:dyDescent="0.3">
      <c r="A478" s="4" t="str">
        <f>IF(T478="","",IFERROR(INDEX(激励事件明细!$C$2:$C$501,MATCH(T478,激励事件明细!$A$2:$A$501,0)),""))</f>
        <v/>
      </c>
      <c r="B478" s="4" t="str">
        <f>IF(A478="","",IFERROR(INDEX(激励事件明细!$D$2:$D$501,MATCH(T478,激励事件明细!$A$2:$A$501,0)),""))</f>
        <v/>
      </c>
      <c r="C478" s="4" t="str">
        <f>IF(A478="","",IFERROR(INDEX(激励事件明细!$H$2:$H$501,MATCH(T478,激励事件明细!$A$2:$A$501,0)),""))</f>
        <v/>
      </c>
      <c r="D478" s="9"/>
      <c r="E478" s="9"/>
      <c r="F478" s="15" t="str">
        <f>IF(A478="","",IFERROR(INDEX(激励事件明细!$AA$2:$AA$501,MATCH(T478,激励事件明细!$A$2:$A$501,0)),""))</f>
        <v/>
      </c>
      <c r="G478" s="17" t="str">
        <f>IF(A478="","",IFERROR(INDEX(激励事件明细!$AB$2:$AB$501,MATCH(T478,激励事件明细!$A$2:$A$501,0)),""))</f>
        <v/>
      </c>
      <c r="H478" s="17" t="str">
        <f>IF(A478="","",IFERROR(INDEX(激励事件明细!$AC$2:$AC$501,MATCH(T478,激励事件明细!$A$2:$A$501,0)),""))</f>
        <v/>
      </c>
      <c r="I478" s="13"/>
      <c r="J478" s="14"/>
      <c r="K478" s="14"/>
      <c r="L478" s="9"/>
      <c r="M478" s="15" t="str">
        <f t="shared" si="42"/>
        <v/>
      </c>
      <c r="N478" s="15" t="str">
        <f t="shared" si="43"/>
        <v/>
      </c>
      <c r="O478" s="4" t="str">
        <f t="shared" ca="1" si="44"/>
        <v/>
      </c>
      <c r="P478" s="17" t="str">
        <f>IF(A478="","",IFERROR(IF(INDEX(激励事件明细!$P$2:$P$501,MATCH(T478,激励事件明细!$A$2:$A$501,0))=0,"",INDEX(激励事件明细!$P$2:$P$501,MATCH(T478,激励事件明细!$A$2:$A$501,0))),""))</f>
        <v/>
      </c>
      <c r="Q478" s="4" t="str">
        <f t="shared" si="45"/>
        <v>无效</v>
      </c>
      <c r="R478" s="4" t="str">
        <f t="shared" ca="1" si="46"/>
        <v>异常：必须关联有效事件编号或税额批次</v>
      </c>
      <c r="S478" s="9"/>
      <c r="T478" s="4" t="str">
        <f>IF(D478&lt;&gt;"",IF(COUNTIF(激励事件明细!$A$2:$A$501,D478)=1,D478,""),IF(E478&lt;&gt;"",IFERROR(INDEX(激励事件明细!$A$2:$A$501,MATCH(E478,激励事件明细!$B$2:$B$501,0)),""),""))</f>
        <v/>
      </c>
      <c r="U478" s="4" t="str">
        <f>IF(T478="","",IFERROR(INDEX(激励事件明细!$B$2:$B$501,MATCH(T478,激励事件明细!$A$2:$A$501,0)),""))</f>
        <v/>
      </c>
      <c r="V478" s="4" t="str">
        <f>IF(A478="","",COUNTIF($A$2:A478,A478))</f>
        <v/>
      </c>
      <c r="W478" s="4" t="str">
        <f t="shared" si="47"/>
        <v/>
      </c>
    </row>
    <row r="479" spans="1:23" x14ac:dyDescent="0.3">
      <c r="A479" s="4" t="str">
        <f>IF(T479="","",IFERROR(INDEX(激励事件明细!$C$2:$C$501,MATCH(T479,激励事件明细!$A$2:$A$501,0)),""))</f>
        <v/>
      </c>
      <c r="B479" s="4" t="str">
        <f>IF(A479="","",IFERROR(INDEX(激励事件明细!$D$2:$D$501,MATCH(T479,激励事件明细!$A$2:$A$501,0)),""))</f>
        <v/>
      </c>
      <c r="C479" s="4" t="str">
        <f>IF(A479="","",IFERROR(INDEX(激励事件明细!$H$2:$H$501,MATCH(T479,激励事件明细!$A$2:$A$501,0)),""))</f>
        <v/>
      </c>
      <c r="D479" s="9"/>
      <c r="E479" s="9"/>
      <c r="F479" s="15" t="str">
        <f>IF(A479="","",IFERROR(INDEX(激励事件明细!$AA$2:$AA$501,MATCH(T479,激励事件明细!$A$2:$A$501,0)),""))</f>
        <v/>
      </c>
      <c r="G479" s="17" t="str">
        <f>IF(A479="","",IFERROR(INDEX(激励事件明细!$AB$2:$AB$501,MATCH(T479,激励事件明细!$A$2:$A$501,0)),""))</f>
        <v/>
      </c>
      <c r="H479" s="17" t="str">
        <f>IF(A479="","",IFERROR(INDEX(激励事件明细!$AC$2:$AC$501,MATCH(T479,激励事件明细!$A$2:$A$501,0)),""))</f>
        <v/>
      </c>
      <c r="I479" s="13"/>
      <c r="J479" s="14"/>
      <c r="K479" s="14"/>
      <c r="L479" s="9"/>
      <c r="M479" s="15" t="str">
        <f t="shared" si="42"/>
        <v/>
      </c>
      <c r="N479" s="15" t="str">
        <f t="shared" si="43"/>
        <v/>
      </c>
      <c r="O479" s="4" t="str">
        <f t="shared" ca="1" si="44"/>
        <v/>
      </c>
      <c r="P479" s="17" t="str">
        <f>IF(A479="","",IFERROR(IF(INDEX(激励事件明细!$P$2:$P$501,MATCH(T479,激励事件明细!$A$2:$A$501,0))=0,"",INDEX(激励事件明细!$P$2:$P$501,MATCH(T479,激励事件明细!$A$2:$A$501,0))),""))</f>
        <v/>
      </c>
      <c r="Q479" s="4" t="str">
        <f t="shared" si="45"/>
        <v>无效</v>
      </c>
      <c r="R479" s="4" t="str">
        <f t="shared" ca="1" si="46"/>
        <v>异常：必须关联有效事件编号或税额批次</v>
      </c>
      <c r="S479" s="9"/>
      <c r="T479" s="4" t="str">
        <f>IF(D479&lt;&gt;"",IF(COUNTIF(激励事件明细!$A$2:$A$501,D479)=1,D479,""),IF(E479&lt;&gt;"",IFERROR(INDEX(激励事件明细!$A$2:$A$501,MATCH(E479,激励事件明细!$B$2:$B$501,0)),""),""))</f>
        <v/>
      </c>
      <c r="U479" s="4" t="str">
        <f>IF(T479="","",IFERROR(INDEX(激励事件明细!$B$2:$B$501,MATCH(T479,激励事件明细!$A$2:$A$501,0)),""))</f>
        <v/>
      </c>
      <c r="V479" s="4" t="str">
        <f>IF(A479="","",COUNTIF($A$2:A479,A479))</f>
        <v/>
      </c>
      <c r="W479" s="4" t="str">
        <f t="shared" si="47"/>
        <v/>
      </c>
    </row>
    <row r="480" spans="1:23" x14ac:dyDescent="0.3">
      <c r="A480" s="4" t="str">
        <f>IF(T480="","",IFERROR(INDEX(激励事件明细!$C$2:$C$501,MATCH(T480,激励事件明细!$A$2:$A$501,0)),""))</f>
        <v/>
      </c>
      <c r="B480" s="4" t="str">
        <f>IF(A480="","",IFERROR(INDEX(激励事件明细!$D$2:$D$501,MATCH(T480,激励事件明细!$A$2:$A$501,0)),""))</f>
        <v/>
      </c>
      <c r="C480" s="4" t="str">
        <f>IF(A480="","",IFERROR(INDEX(激励事件明细!$H$2:$H$501,MATCH(T480,激励事件明细!$A$2:$A$501,0)),""))</f>
        <v/>
      </c>
      <c r="D480" s="9"/>
      <c r="E480" s="9"/>
      <c r="F480" s="15" t="str">
        <f>IF(A480="","",IFERROR(INDEX(激励事件明细!$AA$2:$AA$501,MATCH(T480,激励事件明细!$A$2:$A$501,0)),""))</f>
        <v/>
      </c>
      <c r="G480" s="17" t="str">
        <f>IF(A480="","",IFERROR(INDEX(激励事件明细!$AB$2:$AB$501,MATCH(T480,激励事件明细!$A$2:$A$501,0)),""))</f>
        <v/>
      </c>
      <c r="H480" s="17" t="str">
        <f>IF(A480="","",IFERROR(INDEX(激励事件明细!$AC$2:$AC$501,MATCH(T480,激励事件明细!$A$2:$A$501,0)),""))</f>
        <v/>
      </c>
      <c r="I480" s="13"/>
      <c r="J480" s="14"/>
      <c r="K480" s="14"/>
      <c r="L480" s="9"/>
      <c r="M480" s="15" t="str">
        <f t="shared" si="42"/>
        <v/>
      </c>
      <c r="N480" s="15" t="str">
        <f t="shared" si="43"/>
        <v/>
      </c>
      <c r="O480" s="4" t="str">
        <f t="shared" ca="1" si="44"/>
        <v/>
      </c>
      <c r="P480" s="17" t="str">
        <f>IF(A480="","",IFERROR(IF(INDEX(激励事件明细!$P$2:$P$501,MATCH(T480,激励事件明细!$A$2:$A$501,0))=0,"",INDEX(激励事件明细!$P$2:$P$501,MATCH(T480,激励事件明细!$A$2:$A$501,0))),""))</f>
        <v/>
      </c>
      <c r="Q480" s="4" t="str">
        <f t="shared" si="45"/>
        <v>无效</v>
      </c>
      <c r="R480" s="4" t="str">
        <f t="shared" ca="1" si="46"/>
        <v>异常：必须关联有效事件编号或税额批次</v>
      </c>
      <c r="S480" s="9"/>
      <c r="T480" s="4" t="str">
        <f>IF(D480&lt;&gt;"",IF(COUNTIF(激励事件明细!$A$2:$A$501,D480)=1,D480,""),IF(E480&lt;&gt;"",IFERROR(INDEX(激励事件明细!$A$2:$A$501,MATCH(E480,激励事件明细!$B$2:$B$501,0)),""),""))</f>
        <v/>
      </c>
      <c r="U480" s="4" t="str">
        <f>IF(T480="","",IFERROR(INDEX(激励事件明细!$B$2:$B$501,MATCH(T480,激励事件明细!$A$2:$A$501,0)),""))</f>
        <v/>
      </c>
      <c r="V480" s="4" t="str">
        <f>IF(A480="","",COUNTIF($A$2:A480,A480))</f>
        <v/>
      </c>
      <c r="W480" s="4" t="str">
        <f t="shared" si="47"/>
        <v/>
      </c>
    </row>
    <row r="481" spans="1:23" x14ac:dyDescent="0.3">
      <c r="A481" s="4" t="str">
        <f>IF(T481="","",IFERROR(INDEX(激励事件明细!$C$2:$C$501,MATCH(T481,激励事件明细!$A$2:$A$501,0)),""))</f>
        <v/>
      </c>
      <c r="B481" s="4" t="str">
        <f>IF(A481="","",IFERROR(INDEX(激励事件明细!$D$2:$D$501,MATCH(T481,激励事件明细!$A$2:$A$501,0)),""))</f>
        <v/>
      </c>
      <c r="C481" s="4" t="str">
        <f>IF(A481="","",IFERROR(INDEX(激励事件明细!$H$2:$H$501,MATCH(T481,激励事件明细!$A$2:$A$501,0)),""))</f>
        <v/>
      </c>
      <c r="D481" s="9"/>
      <c r="E481" s="9"/>
      <c r="F481" s="15" t="str">
        <f>IF(A481="","",IFERROR(INDEX(激励事件明细!$AA$2:$AA$501,MATCH(T481,激励事件明细!$A$2:$A$501,0)),""))</f>
        <v/>
      </c>
      <c r="G481" s="17" t="str">
        <f>IF(A481="","",IFERROR(INDEX(激励事件明细!$AB$2:$AB$501,MATCH(T481,激励事件明细!$A$2:$A$501,0)),""))</f>
        <v/>
      </c>
      <c r="H481" s="17" t="str">
        <f>IF(A481="","",IFERROR(INDEX(激励事件明细!$AC$2:$AC$501,MATCH(T481,激励事件明细!$A$2:$A$501,0)),""))</f>
        <v/>
      </c>
      <c r="I481" s="13"/>
      <c r="J481" s="14"/>
      <c r="K481" s="14"/>
      <c r="L481" s="9"/>
      <c r="M481" s="15" t="str">
        <f t="shared" si="42"/>
        <v/>
      </c>
      <c r="N481" s="15" t="str">
        <f t="shared" si="43"/>
        <v/>
      </c>
      <c r="O481" s="4" t="str">
        <f t="shared" ca="1" si="44"/>
        <v/>
      </c>
      <c r="P481" s="17" t="str">
        <f>IF(A481="","",IFERROR(IF(INDEX(激励事件明细!$P$2:$P$501,MATCH(T481,激励事件明细!$A$2:$A$501,0))=0,"",INDEX(激励事件明细!$P$2:$P$501,MATCH(T481,激励事件明细!$A$2:$A$501,0))),""))</f>
        <v/>
      </c>
      <c r="Q481" s="4" t="str">
        <f t="shared" si="45"/>
        <v>无效</v>
      </c>
      <c r="R481" s="4" t="str">
        <f t="shared" ca="1" si="46"/>
        <v>异常：必须关联有效事件编号或税额批次</v>
      </c>
      <c r="S481" s="9"/>
      <c r="T481" s="4" t="str">
        <f>IF(D481&lt;&gt;"",IF(COUNTIF(激励事件明细!$A$2:$A$501,D481)=1,D481,""),IF(E481&lt;&gt;"",IFERROR(INDEX(激励事件明细!$A$2:$A$501,MATCH(E481,激励事件明细!$B$2:$B$501,0)),""),""))</f>
        <v/>
      </c>
      <c r="U481" s="4" t="str">
        <f>IF(T481="","",IFERROR(INDEX(激励事件明细!$B$2:$B$501,MATCH(T481,激励事件明细!$A$2:$A$501,0)),""))</f>
        <v/>
      </c>
      <c r="V481" s="4" t="str">
        <f>IF(A481="","",COUNTIF($A$2:A481,A481))</f>
        <v/>
      </c>
      <c r="W481" s="4" t="str">
        <f t="shared" si="47"/>
        <v/>
      </c>
    </row>
    <row r="482" spans="1:23" x14ac:dyDescent="0.3">
      <c r="A482" s="4" t="str">
        <f>IF(T482="","",IFERROR(INDEX(激励事件明细!$C$2:$C$501,MATCH(T482,激励事件明细!$A$2:$A$501,0)),""))</f>
        <v/>
      </c>
      <c r="B482" s="4" t="str">
        <f>IF(A482="","",IFERROR(INDEX(激励事件明细!$D$2:$D$501,MATCH(T482,激励事件明细!$A$2:$A$501,0)),""))</f>
        <v/>
      </c>
      <c r="C482" s="4" t="str">
        <f>IF(A482="","",IFERROR(INDEX(激励事件明细!$H$2:$H$501,MATCH(T482,激励事件明细!$A$2:$A$501,0)),""))</f>
        <v/>
      </c>
      <c r="D482" s="9"/>
      <c r="E482" s="9"/>
      <c r="F482" s="15" t="str">
        <f>IF(A482="","",IFERROR(INDEX(激励事件明细!$AA$2:$AA$501,MATCH(T482,激励事件明细!$A$2:$A$501,0)),""))</f>
        <v/>
      </c>
      <c r="G482" s="17" t="str">
        <f>IF(A482="","",IFERROR(INDEX(激励事件明细!$AB$2:$AB$501,MATCH(T482,激励事件明细!$A$2:$A$501,0)),""))</f>
        <v/>
      </c>
      <c r="H482" s="17" t="str">
        <f>IF(A482="","",IFERROR(INDEX(激励事件明细!$AC$2:$AC$501,MATCH(T482,激励事件明细!$A$2:$A$501,0)),""))</f>
        <v/>
      </c>
      <c r="I482" s="13"/>
      <c r="J482" s="14"/>
      <c r="K482" s="14"/>
      <c r="L482" s="9"/>
      <c r="M482" s="15" t="str">
        <f t="shared" si="42"/>
        <v/>
      </c>
      <c r="N482" s="15" t="str">
        <f t="shared" si="43"/>
        <v/>
      </c>
      <c r="O482" s="4" t="str">
        <f t="shared" ca="1" si="44"/>
        <v/>
      </c>
      <c r="P482" s="17" t="str">
        <f>IF(A482="","",IFERROR(IF(INDEX(激励事件明细!$P$2:$P$501,MATCH(T482,激励事件明细!$A$2:$A$501,0))=0,"",INDEX(激励事件明细!$P$2:$P$501,MATCH(T482,激励事件明细!$A$2:$A$501,0))),""))</f>
        <v/>
      </c>
      <c r="Q482" s="4" t="str">
        <f t="shared" si="45"/>
        <v>无效</v>
      </c>
      <c r="R482" s="4" t="str">
        <f t="shared" ca="1" si="46"/>
        <v>异常：必须关联有效事件编号或税额批次</v>
      </c>
      <c r="S482" s="9"/>
      <c r="T482" s="4" t="str">
        <f>IF(D482&lt;&gt;"",IF(COUNTIF(激励事件明细!$A$2:$A$501,D482)=1,D482,""),IF(E482&lt;&gt;"",IFERROR(INDEX(激励事件明细!$A$2:$A$501,MATCH(E482,激励事件明细!$B$2:$B$501,0)),""),""))</f>
        <v/>
      </c>
      <c r="U482" s="4" t="str">
        <f>IF(T482="","",IFERROR(INDEX(激励事件明细!$B$2:$B$501,MATCH(T482,激励事件明细!$A$2:$A$501,0)),""))</f>
        <v/>
      </c>
      <c r="V482" s="4" t="str">
        <f>IF(A482="","",COUNTIF($A$2:A482,A482))</f>
        <v/>
      </c>
      <c r="W482" s="4" t="str">
        <f t="shared" si="47"/>
        <v/>
      </c>
    </row>
    <row r="483" spans="1:23" x14ac:dyDescent="0.3">
      <c r="A483" s="4" t="str">
        <f>IF(T483="","",IFERROR(INDEX(激励事件明细!$C$2:$C$501,MATCH(T483,激励事件明细!$A$2:$A$501,0)),""))</f>
        <v/>
      </c>
      <c r="B483" s="4" t="str">
        <f>IF(A483="","",IFERROR(INDEX(激励事件明细!$D$2:$D$501,MATCH(T483,激励事件明细!$A$2:$A$501,0)),""))</f>
        <v/>
      </c>
      <c r="C483" s="4" t="str">
        <f>IF(A483="","",IFERROR(INDEX(激励事件明细!$H$2:$H$501,MATCH(T483,激励事件明细!$A$2:$A$501,0)),""))</f>
        <v/>
      </c>
      <c r="D483" s="9"/>
      <c r="E483" s="9"/>
      <c r="F483" s="15" t="str">
        <f>IF(A483="","",IFERROR(INDEX(激励事件明细!$AA$2:$AA$501,MATCH(T483,激励事件明细!$A$2:$A$501,0)),""))</f>
        <v/>
      </c>
      <c r="G483" s="17" t="str">
        <f>IF(A483="","",IFERROR(INDEX(激励事件明细!$AB$2:$AB$501,MATCH(T483,激励事件明细!$A$2:$A$501,0)),""))</f>
        <v/>
      </c>
      <c r="H483" s="17" t="str">
        <f>IF(A483="","",IFERROR(INDEX(激励事件明细!$AC$2:$AC$501,MATCH(T483,激励事件明细!$A$2:$A$501,0)),""))</f>
        <v/>
      </c>
      <c r="I483" s="13"/>
      <c r="J483" s="14"/>
      <c r="K483" s="14"/>
      <c r="L483" s="9"/>
      <c r="M483" s="15" t="str">
        <f t="shared" si="42"/>
        <v/>
      </c>
      <c r="N483" s="15" t="str">
        <f t="shared" si="43"/>
        <v/>
      </c>
      <c r="O483" s="4" t="str">
        <f t="shared" ca="1" si="44"/>
        <v/>
      </c>
      <c r="P483" s="17" t="str">
        <f>IF(A483="","",IFERROR(IF(INDEX(激励事件明细!$P$2:$P$501,MATCH(T483,激励事件明细!$A$2:$A$501,0))=0,"",INDEX(激励事件明细!$P$2:$P$501,MATCH(T483,激励事件明细!$A$2:$A$501,0))),""))</f>
        <v/>
      </c>
      <c r="Q483" s="4" t="str">
        <f t="shared" si="45"/>
        <v>无效</v>
      </c>
      <c r="R483" s="4" t="str">
        <f t="shared" ca="1" si="46"/>
        <v>异常：必须关联有效事件编号或税额批次</v>
      </c>
      <c r="S483" s="9"/>
      <c r="T483" s="4" t="str">
        <f>IF(D483&lt;&gt;"",IF(COUNTIF(激励事件明细!$A$2:$A$501,D483)=1,D483,""),IF(E483&lt;&gt;"",IFERROR(INDEX(激励事件明细!$A$2:$A$501,MATCH(E483,激励事件明细!$B$2:$B$501,0)),""),""))</f>
        <v/>
      </c>
      <c r="U483" s="4" t="str">
        <f>IF(T483="","",IFERROR(INDEX(激励事件明细!$B$2:$B$501,MATCH(T483,激励事件明细!$A$2:$A$501,0)),""))</f>
        <v/>
      </c>
      <c r="V483" s="4" t="str">
        <f>IF(A483="","",COUNTIF($A$2:A483,A483))</f>
        <v/>
      </c>
      <c r="W483" s="4" t="str">
        <f t="shared" si="47"/>
        <v/>
      </c>
    </row>
    <row r="484" spans="1:23" x14ac:dyDescent="0.3">
      <c r="A484" s="4" t="str">
        <f>IF(T484="","",IFERROR(INDEX(激励事件明细!$C$2:$C$501,MATCH(T484,激励事件明细!$A$2:$A$501,0)),""))</f>
        <v/>
      </c>
      <c r="B484" s="4" t="str">
        <f>IF(A484="","",IFERROR(INDEX(激励事件明细!$D$2:$D$501,MATCH(T484,激励事件明细!$A$2:$A$501,0)),""))</f>
        <v/>
      </c>
      <c r="C484" s="4" t="str">
        <f>IF(A484="","",IFERROR(INDEX(激励事件明细!$H$2:$H$501,MATCH(T484,激励事件明细!$A$2:$A$501,0)),""))</f>
        <v/>
      </c>
      <c r="D484" s="9"/>
      <c r="E484" s="9"/>
      <c r="F484" s="15" t="str">
        <f>IF(A484="","",IFERROR(INDEX(激励事件明细!$AA$2:$AA$501,MATCH(T484,激励事件明细!$A$2:$A$501,0)),""))</f>
        <v/>
      </c>
      <c r="G484" s="17" t="str">
        <f>IF(A484="","",IFERROR(INDEX(激励事件明细!$AB$2:$AB$501,MATCH(T484,激励事件明细!$A$2:$A$501,0)),""))</f>
        <v/>
      </c>
      <c r="H484" s="17" t="str">
        <f>IF(A484="","",IFERROR(INDEX(激励事件明细!$AC$2:$AC$501,MATCH(T484,激励事件明细!$A$2:$A$501,0)),""))</f>
        <v/>
      </c>
      <c r="I484" s="13"/>
      <c r="J484" s="14"/>
      <c r="K484" s="14"/>
      <c r="L484" s="9"/>
      <c r="M484" s="15" t="str">
        <f t="shared" si="42"/>
        <v/>
      </c>
      <c r="N484" s="15" t="str">
        <f t="shared" si="43"/>
        <v/>
      </c>
      <c r="O484" s="4" t="str">
        <f t="shared" ca="1" si="44"/>
        <v/>
      </c>
      <c r="P484" s="17" t="str">
        <f>IF(A484="","",IFERROR(IF(INDEX(激励事件明细!$P$2:$P$501,MATCH(T484,激励事件明细!$A$2:$A$501,0))=0,"",INDEX(激励事件明细!$P$2:$P$501,MATCH(T484,激励事件明细!$A$2:$A$501,0))),""))</f>
        <v/>
      </c>
      <c r="Q484" s="4" t="str">
        <f t="shared" si="45"/>
        <v>无效</v>
      </c>
      <c r="R484" s="4" t="str">
        <f t="shared" ca="1" si="46"/>
        <v>异常：必须关联有效事件编号或税额批次</v>
      </c>
      <c r="S484" s="9"/>
      <c r="T484" s="4" t="str">
        <f>IF(D484&lt;&gt;"",IF(COUNTIF(激励事件明细!$A$2:$A$501,D484)=1,D484,""),IF(E484&lt;&gt;"",IFERROR(INDEX(激励事件明细!$A$2:$A$501,MATCH(E484,激励事件明细!$B$2:$B$501,0)),""),""))</f>
        <v/>
      </c>
      <c r="U484" s="4" t="str">
        <f>IF(T484="","",IFERROR(INDEX(激励事件明细!$B$2:$B$501,MATCH(T484,激励事件明细!$A$2:$A$501,0)),""))</f>
        <v/>
      </c>
      <c r="V484" s="4" t="str">
        <f>IF(A484="","",COUNTIF($A$2:A484,A484))</f>
        <v/>
      </c>
      <c r="W484" s="4" t="str">
        <f t="shared" si="47"/>
        <v/>
      </c>
    </row>
    <row r="485" spans="1:23" x14ac:dyDescent="0.3">
      <c r="A485" s="4" t="str">
        <f>IF(T485="","",IFERROR(INDEX(激励事件明细!$C$2:$C$501,MATCH(T485,激励事件明细!$A$2:$A$501,0)),""))</f>
        <v/>
      </c>
      <c r="B485" s="4" t="str">
        <f>IF(A485="","",IFERROR(INDEX(激励事件明细!$D$2:$D$501,MATCH(T485,激励事件明细!$A$2:$A$501,0)),""))</f>
        <v/>
      </c>
      <c r="C485" s="4" t="str">
        <f>IF(A485="","",IFERROR(INDEX(激励事件明细!$H$2:$H$501,MATCH(T485,激励事件明细!$A$2:$A$501,0)),""))</f>
        <v/>
      </c>
      <c r="D485" s="9"/>
      <c r="E485" s="9"/>
      <c r="F485" s="15" t="str">
        <f>IF(A485="","",IFERROR(INDEX(激励事件明细!$AA$2:$AA$501,MATCH(T485,激励事件明细!$A$2:$A$501,0)),""))</f>
        <v/>
      </c>
      <c r="G485" s="17" t="str">
        <f>IF(A485="","",IFERROR(INDEX(激励事件明细!$AB$2:$AB$501,MATCH(T485,激励事件明细!$A$2:$A$501,0)),""))</f>
        <v/>
      </c>
      <c r="H485" s="17" t="str">
        <f>IF(A485="","",IFERROR(INDEX(激励事件明细!$AC$2:$AC$501,MATCH(T485,激励事件明细!$A$2:$A$501,0)),""))</f>
        <v/>
      </c>
      <c r="I485" s="13"/>
      <c r="J485" s="14"/>
      <c r="K485" s="14"/>
      <c r="L485" s="9"/>
      <c r="M485" s="15" t="str">
        <f t="shared" si="42"/>
        <v/>
      </c>
      <c r="N485" s="15" t="str">
        <f t="shared" si="43"/>
        <v/>
      </c>
      <c r="O485" s="4" t="str">
        <f t="shared" ca="1" si="44"/>
        <v/>
      </c>
      <c r="P485" s="17" t="str">
        <f>IF(A485="","",IFERROR(IF(INDEX(激励事件明细!$P$2:$P$501,MATCH(T485,激励事件明细!$A$2:$A$501,0))=0,"",INDEX(激励事件明细!$P$2:$P$501,MATCH(T485,激励事件明细!$A$2:$A$501,0))),""))</f>
        <v/>
      </c>
      <c r="Q485" s="4" t="str">
        <f t="shared" si="45"/>
        <v>无效</v>
      </c>
      <c r="R485" s="4" t="str">
        <f t="shared" ca="1" si="46"/>
        <v>异常：必须关联有效事件编号或税额批次</v>
      </c>
      <c r="S485" s="9"/>
      <c r="T485" s="4" t="str">
        <f>IF(D485&lt;&gt;"",IF(COUNTIF(激励事件明细!$A$2:$A$501,D485)=1,D485,""),IF(E485&lt;&gt;"",IFERROR(INDEX(激励事件明细!$A$2:$A$501,MATCH(E485,激励事件明细!$B$2:$B$501,0)),""),""))</f>
        <v/>
      </c>
      <c r="U485" s="4" t="str">
        <f>IF(T485="","",IFERROR(INDEX(激励事件明细!$B$2:$B$501,MATCH(T485,激励事件明细!$A$2:$A$501,0)),""))</f>
        <v/>
      </c>
      <c r="V485" s="4" t="str">
        <f>IF(A485="","",COUNTIF($A$2:A485,A485))</f>
        <v/>
      </c>
      <c r="W485" s="4" t="str">
        <f t="shared" si="47"/>
        <v/>
      </c>
    </row>
    <row r="486" spans="1:23" x14ac:dyDescent="0.3">
      <c r="A486" s="4" t="str">
        <f>IF(T486="","",IFERROR(INDEX(激励事件明细!$C$2:$C$501,MATCH(T486,激励事件明细!$A$2:$A$501,0)),""))</f>
        <v/>
      </c>
      <c r="B486" s="4" t="str">
        <f>IF(A486="","",IFERROR(INDEX(激励事件明细!$D$2:$D$501,MATCH(T486,激励事件明细!$A$2:$A$501,0)),""))</f>
        <v/>
      </c>
      <c r="C486" s="4" t="str">
        <f>IF(A486="","",IFERROR(INDEX(激励事件明细!$H$2:$H$501,MATCH(T486,激励事件明细!$A$2:$A$501,0)),""))</f>
        <v/>
      </c>
      <c r="D486" s="9"/>
      <c r="E486" s="9"/>
      <c r="F486" s="15" t="str">
        <f>IF(A486="","",IFERROR(INDEX(激励事件明细!$AA$2:$AA$501,MATCH(T486,激励事件明细!$A$2:$A$501,0)),""))</f>
        <v/>
      </c>
      <c r="G486" s="17" t="str">
        <f>IF(A486="","",IFERROR(INDEX(激励事件明细!$AB$2:$AB$501,MATCH(T486,激励事件明细!$A$2:$A$501,0)),""))</f>
        <v/>
      </c>
      <c r="H486" s="17" t="str">
        <f>IF(A486="","",IFERROR(INDEX(激励事件明细!$AC$2:$AC$501,MATCH(T486,激励事件明细!$A$2:$A$501,0)),""))</f>
        <v/>
      </c>
      <c r="I486" s="13"/>
      <c r="J486" s="14"/>
      <c r="K486" s="14"/>
      <c r="L486" s="9"/>
      <c r="M486" s="15" t="str">
        <f t="shared" si="42"/>
        <v/>
      </c>
      <c r="N486" s="15" t="str">
        <f t="shared" si="43"/>
        <v/>
      </c>
      <c r="O486" s="4" t="str">
        <f t="shared" ca="1" si="44"/>
        <v/>
      </c>
      <c r="P486" s="17" t="str">
        <f>IF(A486="","",IFERROR(IF(INDEX(激励事件明细!$P$2:$P$501,MATCH(T486,激励事件明细!$A$2:$A$501,0))=0,"",INDEX(激励事件明细!$P$2:$P$501,MATCH(T486,激励事件明细!$A$2:$A$501,0))),""))</f>
        <v/>
      </c>
      <c r="Q486" s="4" t="str">
        <f t="shared" si="45"/>
        <v>无效</v>
      </c>
      <c r="R486" s="4" t="str">
        <f t="shared" ca="1" si="46"/>
        <v>异常：必须关联有效事件编号或税额批次</v>
      </c>
      <c r="S486" s="9"/>
      <c r="T486" s="4" t="str">
        <f>IF(D486&lt;&gt;"",IF(COUNTIF(激励事件明细!$A$2:$A$501,D486)=1,D486,""),IF(E486&lt;&gt;"",IFERROR(INDEX(激励事件明细!$A$2:$A$501,MATCH(E486,激励事件明细!$B$2:$B$501,0)),""),""))</f>
        <v/>
      </c>
      <c r="U486" s="4" t="str">
        <f>IF(T486="","",IFERROR(INDEX(激励事件明细!$B$2:$B$501,MATCH(T486,激励事件明细!$A$2:$A$501,0)),""))</f>
        <v/>
      </c>
      <c r="V486" s="4" t="str">
        <f>IF(A486="","",COUNTIF($A$2:A486,A486))</f>
        <v/>
      </c>
      <c r="W486" s="4" t="str">
        <f t="shared" si="47"/>
        <v/>
      </c>
    </row>
    <row r="487" spans="1:23" x14ac:dyDescent="0.3">
      <c r="A487" s="4" t="str">
        <f>IF(T487="","",IFERROR(INDEX(激励事件明细!$C$2:$C$501,MATCH(T487,激励事件明细!$A$2:$A$501,0)),""))</f>
        <v/>
      </c>
      <c r="B487" s="4" t="str">
        <f>IF(A487="","",IFERROR(INDEX(激励事件明细!$D$2:$D$501,MATCH(T487,激励事件明细!$A$2:$A$501,0)),""))</f>
        <v/>
      </c>
      <c r="C487" s="4" t="str">
        <f>IF(A487="","",IFERROR(INDEX(激励事件明细!$H$2:$H$501,MATCH(T487,激励事件明细!$A$2:$A$501,0)),""))</f>
        <v/>
      </c>
      <c r="D487" s="9"/>
      <c r="E487" s="9"/>
      <c r="F487" s="15" t="str">
        <f>IF(A487="","",IFERROR(INDEX(激励事件明细!$AA$2:$AA$501,MATCH(T487,激励事件明细!$A$2:$A$501,0)),""))</f>
        <v/>
      </c>
      <c r="G487" s="17" t="str">
        <f>IF(A487="","",IFERROR(INDEX(激励事件明细!$AB$2:$AB$501,MATCH(T487,激励事件明细!$A$2:$A$501,0)),""))</f>
        <v/>
      </c>
      <c r="H487" s="17" t="str">
        <f>IF(A487="","",IFERROR(INDEX(激励事件明细!$AC$2:$AC$501,MATCH(T487,激励事件明细!$A$2:$A$501,0)),""))</f>
        <v/>
      </c>
      <c r="I487" s="13"/>
      <c r="J487" s="14"/>
      <c r="K487" s="14"/>
      <c r="L487" s="9"/>
      <c r="M487" s="15" t="str">
        <f t="shared" si="42"/>
        <v/>
      </c>
      <c r="N487" s="15" t="str">
        <f t="shared" si="43"/>
        <v/>
      </c>
      <c r="O487" s="4" t="str">
        <f t="shared" ca="1" si="44"/>
        <v/>
      </c>
      <c r="P487" s="17" t="str">
        <f>IF(A487="","",IFERROR(IF(INDEX(激励事件明细!$P$2:$P$501,MATCH(T487,激励事件明细!$A$2:$A$501,0))=0,"",INDEX(激励事件明细!$P$2:$P$501,MATCH(T487,激励事件明细!$A$2:$A$501,0))),""))</f>
        <v/>
      </c>
      <c r="Q487" s="4" t="str">
        <f t="shared" si="45"/>
        <v>无效</v>
      </c>
      <c r="R487" s="4" t="str">
        <f t="shared" ca="1" si="46"/>
        <v>异常：必须关联有效事件编号或税额批次</v>
      </c>
      <c r="S487" s="9"/>
      <c r="T487" s="4" t="str">
        <f>IF(D487&lt;&gt;"",IF(COUNTIF(激励事件明细!$A$2:$A$501,D487)=1,D487,""),IF(E487&lt;&gt;"",IFERROR(INDEX(激励事件明细!$A$2:$A$501,MATCH(E487,激励事件明细!$B$2:$B$501,0)),""),""))</f>
        <v/>
      </c>
      <c r="U487" s="4" t="str">
        <f>IF(T487="","",IFERROR(INDEX(激励事件明细!$B$2:$B$501,MATCH(T487,激励事件明细!$A$2:$A$501,0)),""))</f>
        <v/>
      </c>
      <c r="V487" s="4" t="str">
        <f>IF(A487="","",COUNTIF($A$2:A487,A487))</f>
        <v/>
      </c>
      <c r="W487" s="4" t="str">
        <f t="shared" si="47"/>
        <v/>
      </c>
    </row>
    <row r="488" spans="1:23" x14ac:dyDescent="0.3">
      <c r="A488" s="4" t="str">
        <f>IF(T488="","",IFERROR(INDEX(激励事件明细!$C$2:$C$501,MATCH(T488,激励事件明细!$A$2:$A$501,0)),""))</f>
        <v/>
      </c>
      <c r="B488" s="4" t="str">
        <f>IF(A488="","",IFERROR(INDEX(激励事件明细!$D$2:$D$501,MATCH(T488,激励事件明细!$A$2:$A$501,0)),""))</f>
        <v/>
      </c>
      <c r="C488" s="4" t="str">
        <f>IF(A488="","",IFERROR(INDEX(激励事件明细!$H$2:$H$501,MATCH(T488,激励事件明细!$A$2:$A$501,0)),""))</f>
        <v/>
      </c>
      <c r="D488" s="9"/>
      <c r="E488" s="9"/>
      <c r="F488" s="15" t="str">
        <f>IF(A488="","",IFERROR(INDEX(激励事件明细!$AA$2:$AA$501,MATCH(T488,激励事件明细!$A$2:$A$501,0)),""))</f>
        <v/>
      </c>
      <c r="G488" s="17" t="str">
        <f>IF(A488="","",IFERROR(INDEX(激励事件明细!$AB$2:$AB$501,MATCH(T488,激励事件明细!$A$2:$A$501,0)),""))</f>
        <v/>
      </c>
      <c r="H488" s="17" t="str">
        <f>IF(A488="","",IFERROR(INDEX(激励事件明细!$AC$2:$AC$501,MATCH(T488,激励事件明细!$A$2:$A$501,0)),""))</f>
        <v/>
      </c>
      <c r="I488" s="13"/>
      <c r="J488" s="14"/>
      <c r="K488" s="14"/>
      <c r="L488" s="9"/>
      <c r="M488" s="15" t="str">
        <f t="shared" si="42"/>
        <v/>
      </c>
      <c r="N488" s="15" t="str">
        <f t="shared" si="43"/>
        <v/>
      </c>
      <c r="O488" s="4" t="str">
        <f t="shared" ca="1" si="44"/>
        <v/>
      </c>
      <c r="P488" s="17" t="str">
        <f>IF(A488="","",IFERROR(IF(INDEX(激励事件明细!$P$2:$P$501,MATCH(T488,激励事件明细!$A$2:$A$501,0))=0,"",INDEX(激励事件明细!$P$2:$P$501,MATCH(T488,激励事件明细!$A$2:$A$501,0))),""))</f>
        <v/>
      </c>
      <c r="Q488" s="4" t="str">
        <f t="shared" si="45"/>
        <v>无效</v>
      </c>
      <c r="R488" s="4" t="str">
        <f t="shared" ca="1" si="46"/>
        <v>异常：必须关联有效事件编号或税额批次</v>
      </c>
      <c r="S488" s="9"/>
      <c r="T488" s="4" t="str">
        <f>IF(D488&lt;&gt;"",IF(COUNTIF(激励事件明细!$A$2:$A$501,D488)=1,D488,""),IF(E488&lt;&gt;"",IFERROR(INDEX(激励事件明细!$A$2:$A$501,MATCH(E488,激励事件明细!$B$2:$B$501,0)),""),""))</f>
        <v/>
      </c>
      <c r="U488" s="4" t="str">
        <f>IF(T488="","",IFERROR(INDEX(激励事件明细!$B$2:$B$501,MATCH(T488,激励事件明细!$A$2:$A$501,0)),""))</f>
        <v/>
      </c>
      <c r="V488" s="4" t="str">
        <f>IF(A488="","",COUNTIF($A$2:A488,A488))</f>
        <v/>
      </c>
      <c r="W488" s="4" t="str">
        <f t="shared" si="47"/>
        <v/>
      </c>
    </row>
    <row r="489" spans="1:23" x14ac:dyDescent="0.3">
      <c r="A489" s="4" t="str">
        <f>IF(T489="","",IFERROR(INDEX(激励事件明细!$C$2:$C$501,MATCH(T489,激励事件明细!$A$2:$A$501,0)),""))</f>
        <v/>
      </c>
      <c r="B489" s="4" t="str">
        <f>IF(A489="","",IFERROR(INDEX(激励事件明细!$D$2:$D$501,MATCH(T489,激励事件明细!$A$2:$A$501,0)),""))</f>
        <v/>
      </c>
      <c r="C489" s="4" t="str">
        <f>IF(A489="","",IFERROR(INDEX(激励事件明细!$H$2:$H$501,MATCH(T489,激励事件明细!$A$2:$A$501,0)),""))</f>
        <v/>
      </c>
      <c r="D489" s="9"/>
      <c r="E489" s="9"/>
      <c r="F489" s="15" t="str">
        <f>IF(A489="","",IFERROR(INDEX(激励事件明细!$AA$2:$AA$501,MATCH(T489,激励事件明细!$A$2:$A$501,0)),""))</f>
        <v/>
      </c>
      <c r="G489" s="17" t="str">
        <f>IF(A489="","",IFERROR(INDEX(激励事件明细!$AB$2:$AB$501,MATCH(T489,激励事件明细!$A$2:$A$501,0)),""))</f>
        <v/>
      </c>
      <c r="H489" s="17" t="str">
        <f>IF(A489="","",IFERROR(INDEX(激励事件明细!$AC$2:$AC$501,MATCH(T489,激励事件明细!$A$2:$A$501,0)),""))</f>
        <v/>
      </c>
      <c r="I489" s="13"/>
      <c r="J489" s="14"/>
      <c r="K489" s="14"/>
      <c r="L489" s="9"/>
      <c r="M489" s="15" t="str">
        <f t="shared" si="42"/>
        <v/>
      </c>
      <c r="N489" s="15" t="str">
        <f t="shared" si="43"/>
        <v/>
      </c>
      <c r="O489" s="4" t="str">
        <f t="shared" ca="1" si="44"/>
        <v/>
      </c>
      <c r="P489" s="17" t="str">
        <f>IF(A489="","",IFERROR(IF(INDEX(激励事件明细!$P$2:$P$501,MATCH(T489,激励事件明细!$A$2:$A$501,0))=0,"",INDEX(激励事件明细!$P$2:$P$501,MATCH(T489,激励事件明细!$A$2:$A$501,0))),""))</f>
        <v/>
      </c>
      <c r="Q489" s="4" t="str">
        <f t="shared" si="45"/>
        <v>无效</v>
      </c>
      <c r="R489" s="4" t="str">
        <f t="shared" ca="1" si="46"/>
        <v>异常：必须关联有效事件编号或税额批次</v>
      </c>
      <c r="S489" s="9"/>
      <c r="T489" s="4" t="str">
        <f>IF(D489&lt;&gt;"",IF(COUNTIF(激励事件明细!$A$2:$A$501,D489)=1,D489,""),IF(E489&lt;&gt;"",IFERROR(INDEX(激励事件明细!$A$2:$A$501,MATCH(E489,激励事件明细!$B$2:$B$501,0)),""),""))</f>
        <v/>
      </c>
      <c r="U489" s="4" t="str">
        <f>IF(T489="","",IFERROR(INDEX(激励事件明细!$B$2:$B$501,MATCH(T489,激励事件明细!$A$2:$A$501,0)),""))</f>
        <v/>
      </c>
      <c r="V489" s="4" t="str">
        <f>IF(A489="","",COUNTIF($A$2:A489,A489))</f>
        <v/>
      </c>
      <c r="W489" s="4" t="str">
        <f t="shared" si="47"/>
        <v/>
      </c>
    </row>
    <row r="490" spans="1:23" x14ac:dyDescent="0.3">
      <c r="A490" s="4" t="str">
        <f>IF(T490="","",IFERROR(INDEX(激励事件明细!$C$2:$C$501,MATCH(T490,激励事件明细!$A$2:$A$501,0)),""))</f>
        <v/>
      </c>
      <c r="B490" s="4" t="str">
        <f>IF(A490="","",IFERROR(INDEX(激励事件明细!$D$2:$D$501,MATCH(T490,激励事件明细!$A$2:$A$501,0)),""))</f>
        <v/>
      </c>
      <c r="C490" s="4" t="str">
        <f>IF(A490="","",IFERROR(INDEX(激励事件明细!$H$2:$H$501,MATCH(T490,激励事件明细!$A$2:$A$501,0)),""))</f>
        <v/>
      </c>
      <c r="D490" s="9"/>
      <c r="E490" s="9"/>
      <c r="F490" s="15" t="str">
        <f>IF(A490="","",IFERROR(INDEX(激励事件明细!$AA$2:$AA$501,MATCH(T490,激励事件明细!$A$2:$A$501,0)),""))</f>
        <v/>
      </c>
      <c r="G490" s="17" t="str">
        <f>IF(A490="","",IFERROR(INDEX(激励事件明细!$AB$2:$AB$501,MATCH(T490,激励事件明细!$A$2:$A$501,0)),""))</f>
        <v/>
      </c>
      <c r="H490" s="17" t="str">
        <f>IF(A490="","",IFERROR(INDEX(激励事件明细!$AC$2:$AC$501,MATCH(T490,激励事件明细!$A$2:$A$501,0)),""))</f>
        <v/>
      </c>
      <c r="I490" s="13"/>
      <c r="J490" s="14"/>
      <c r="K490" s="14"/>
      <c r="L490" s="9"/>
      <c r="M490" s="15" t="str">
        <f t="shared" si="42"/>
        <v/>
      </c>
      <c r="N490" s="15" t="str">
        <f t="shared" si="43"/>
        <v/>
      </c>
      <c r="O490" s="4" t="str">
        <f t="shared" ca="1" si="44"/>
        <v/>
      </c>
      <c r="P490" s="17" t="str">
        <f>IF(A490="","",IFERROR(IF(INDEX(激励事件明细!$P$2:$P$501,MATCH(T490,激励事件明细!$A$2:$A$501,0))=0,"",INDEX(激励事件明细!$P$2:$P$501,MATCH(T490,激励事件明细!$A$2:$A$501,0))),""))</f>
        <v/>
      </c>
      <c r="Q490" s="4" t="str">
        <f t="shared" si="45"/>
        <v>无效</v>
      </c>
      <c r="R490" s="4" t="str">
        <f t="shared" ca="1" si="46"/>
        <v>异常：必须关联有效事件编号或税额批次</v>
      </c>
      <c r="S490" s="9"/>
      <c r="T490" s="4" t="str">
        <f>IF(D490&lt;&gt;"",IF(COUNTIF(激励事件明细!$A$2:$A$501,D490)=1,D490,""),IF(E490&lt;&gt;"",IFERROR(INDEX(激励事件明细!$A$2:$A$501,MATCH(E490,激励事件明细!$B$2:$B$501,0)),""),""))</f>
        <v/>
      </c>
      <c r="U490" s="4" t="str">
        <f>IF(T490="","",IFERROR(INDEX(激励事件明细!$B$2:$B$501,MATCH(T490,激励事件明细!$A$2:$A$501,0)),""))</f>
        <v/>
      </c>
      <c r="V490" s="4" t="str">
        <f>IF(A490="","",COUNTIF($A$2:A490,A490))</f>
        <v/>
      </c>
      <c r="W490" s="4" t="str">
        <f t="shared" si="47"/>
        <v/>
      </c>
    </row>
    <row r="491" spans="1:23" x14ac:dyDescent="0.3">
      <c r="A491" s="4" t="str">
        <f>IF(T491="","",IFERROR(INDEX(激励事件明细!$C$2:$C$501,MATCH(T491,激励事件明细!$A$2:$A$501,0)),""))</f>
        <v/>
      </c>
      <c r="B491" s="4" t="str">
        <f>IF(A491="","",IFERROR(INDEX(激励事件明细!$D$2:$D$501,MATCH(T491,激励事件明细!$A$2:$A$501,0)),""))</f>
        <v/>
      </c>
      <c r="C491" s="4" t="str">
        <f>IF(A491="","",IFERROR(INDEX(激励事件明细!$H$2:$H$501,MATCH(T491,激励事件明细!$A$2:$A$501,0)),""))</f>
        <v/>
      </c>
      <c r="D491" s="9"/>
      <c r="E491" s="9"/>
      <c r="F491" s="15" t="str">
        <f>IF(A491="","",IFERROR(INDEX(激励事件明细!$AA$2:$AA$501,MATCH(T491,激励事件明细!$A$2:$A$501,0)),""))</f>
        <v/>
      </c>
      <c r="G491" s="17" t="str">
        <f>IF(A491="","",IFERROR(INDEX(激励事件明细!$AB$2:$AB$501,MATCH(T491,激励事件明细!$A$2:$A$501,0)),""))</f>
        <v/>
      </c>
      <c r="H491" s="17" t="str">
        <f>IF(A491="","",IFERROR(INDEX(激励事件明细!$AC$2:$AC$501,MATCH(T491,激励事件明细!$A$2:$A$501,0)),""))</f>
        <v/>
      </c>
      <c r="I491" s="13"/>
      <c r="J491" s="14"/>
      <c r="K491" s="14"/>
      <c r="L491" s="9"/>
      <c r="M491" s="15" t="str">
        <f t="shared" si="42"/>
        <v/>
      </c>
      <c r="N491" s="15" t="str">
        <f t="shared" si="43"/>
        <v/>
      </c>
      <c r="O491" s="4" t="str">
        <f t="shared" ca="1" si="44"/>
        <v/>
      </c>
      <c r="P491" s="17" t="str">
        <f>IF(A491="","",IFERROR(IF(INDEX(激励事件明细!$P$2:$P$501,MATCH(T491,激励事件明细!$A$2:$A$501,0))=0,"",INDEX(激励事件明细!$P$2:$P$501,MATCH(T491,激励事件明细!$A$2:$A$501,0))),""))</f>
        <v/>
      </c>
      <c r="Q491" s="4" t="str">
        <f t="shared" si="45"/>
        <v>无效</v>
      </c>
      <c r="R491" s="4" t="str">
        <f t="shared" ca="1" si="46"/>
        <v>异常：必须关联有效事件编号或税额批次</v>
      </c>
      <c r="S491" s="9"/>
      <c r="T491" s="4" t="str">
        <f>IF(D491&lt;&gt;"",IF(COUNTIF(激励事件明细!$A$2:$A$501,D491)=1,D491,""),IF(E491&lt;&gt;"",IFERROR(INDEX(激励事件明细!$A$2:$A$501,MATCH(E491,激励事件明细!$B$2:$B$501,0)),""),""))</f>
        <v/>
      </c>
      <c r="U491" s="4" t="str">
        <f>IF(T491="","",IFERROR(INDEX(激励事件明细!$B$2:$B$501,MATCH(T491,激励事件明细!$A$2:$A$501,0)),""))</f>
        <v/>
      </c>
      <c r="V491" s="4" t="str">
        <f>IF(A491="","",COUNTIF($A$2:A491,A491))</f>
        <v/>
      </c>
      <c r="W491" s="4" t="str">
        <f t="shared" si="47"/>
        <v/>
      </c>
    </row>
    <row r="492" spans="1:23" x14ac:dyDescent="0.3">
      <c r="A492" s="4" t="str">
        <f>IF(T492="","",IFERROR(INDEX(激励事件明细!$C$2:$C$501,MATCH(T492,激励事件明细!$A$2:$A$501,0)),""))</f>
        <v/>
      </c>
      <c r="B492" s="4" t="str">
        <f>IF(A492="","",IFERROR(INDEX(激励事件明细!$D$2:$D$501,MATCH(T492,激励事件明细!$A$2:$A$501,0)),""))</f>
        <v/>
      </c>
      <c r="C492" s="4" t="str">
        <f>IF(A492="","",IFERROR(INDEX(激励事件明细!$H$2:$H$501,MATCH(T492,激励事件明细!$A$2:$A$501,0)),""))</f>
        <v/>
      </c>
      <c r="D492" s="9"/>
      <c r="E492" s="9"/>
      <c r="F492" s="15" t="str">
        <f>IF(A492="","",IFERROR(INDEX(激励事件明细!$AA$2:$AA$501,MATCH(T492,激励事件明细!$A$2:$A$501,0)),""))</f>
        <v/>
      </c>
      <c r="G492" s="17" t="str">
        <f>IF(A492="","",IFERROR(INDEX(激励事件明细!$AB$2:$AB$501,MATCH(T492,激励事件明细!$A$2:$A$501,0)),""))</f>
        <v/>
      </c>
      <c r="H492" s="17" t="str">
        <f>IF(A492="","",IFERROR(INDEX(激励事件明细!$AC$2:$AC$501,MATCH(T492,激励事件明细!$A$2:$A$501,0)),""))</f>
        <v/>
      </c>
      <c r="I492" s="13"/>
      <c r="J492" s="14"/>
      <c r="K492" s="14"/>
      <c r="L492" s="9"/>
      <c r="M492" s="15" t="str">
        <f t="shared" si="42"/>
        <v/>
      </c>
      <c r="N492" s="15" t="str">
        <f t="shared" si="43"/>
        <v/>
      </c>
      <c r="O492" s="4" t="str">
        <f t="shared" ca="1" si="44"/>
        <v/>
      </c>
      <c r="P492" s="17" t="str">
        <f>IF(A492="","",IFERROR(IF(INDEX(激励事件明细!$P$2:$P$501,MATCH(T492,激励事件明细!$A$2:$A$501,0))=0,"",INDEX(激励事件明细!$P$2:$P$501,MATCH(T492,激励事件明细!$A$2:$A$501,0))),""))</f>
        <v/>
      </c>
      <c r="Q492" s="4" t="str">
        <f t="shared" si="45"/>
        <v>无效</v>
      </c>
      <c r="R492" s="4" t="str">
        <f t="shared" ca="1" si="46"/>
        <v>异常：必须关联有效事件编号或税额批次</v>
      </c>
      <c r="S492" s="9"/>
      <c r="T492" s="4" t="str">
        <f>IF(D492&lt;&gt;"",IF(COUNTIF(激励事件明细!$A$2:$A$501,D492)=1,D492,""),IF(E492&lt;&gt;"",IFERROR(INDEX(激励事件明细!$A$2:$A$501,MATCH(E492,激励事件明细!$B$2:$B$501,0)),""),""))</f>
        <v/>
      </c>
      <c r="U492" s="4" t="str">
        <f>IF(T492="","",IFERROR(INDEX(激励事件明细!$B$2:$B$501,MATCH(T492,激励事件明细!$A$2:$A$501,0)),""))</f>
        <v/>
      </c>
      <c r="V492" s="4" t="str">
        <f>IF(A492="","",COUNTIF($A$2:A492,A492))</f>
        <v/>
      </c>
      <c r="W492" s="4" t="str">
        <f t="shared" si="47"/>
        <v/>
      </c>
    </row>
    <row r="493" spans="1:23" x14ac:dyDescent="0.3">
      <c r="A493" s="4" t="str">
        <f>IF(T493="","",IFERROR(INDEX(激励事件明细!$C$2:$C$501,MATCH(T493,激励事件明细!$A$2:$A$501,0)),""))</f>
        <v/>
      </c>
      <c r="B493" s="4" t="str">
        <f>IF(A493="","",IFERROR(INDEX(激励事件明细!$D$2:$D$501,MATCH(T493,激励事件明细!$A$2:$A$501,0)),""))</f>
        <v/>
      </c>
      <c r="C493" s="4" t="str">
        <f>IF(A493="","",IFERROR(INDEX(激励事件明细!$H$2:$H$501,MATCH(T493,激励事件明细!$A$2:$A$501,0)),""))</f>
        <v/>
      </c>
      <c r="D493" s="9"/>
      <c r="E493" s="9"/>
      <c r="F493" s="15" t="str">
        <f>IF(A493="","",IFERROR(INDEX(激励事件明细!$AA$2:$AA$501,MATCH(T493,激励事件明细!$A$2:$A$501,0)),""))</f>
        <v/>
      </c>
      <c r="G493" s="17" t="str">
        <f>IF(A493="","",IFERROR(INDEX(激励事件明细!$AB$2:$AB$501,MATCH(T493,激励事件明细!$A$2:$A$501,0)),""))</f>
        <v/>
      </c>
      <c r="H493" s="17" t="str">
        <f>IF(A493="","",IFERROR(INDEX(激励事件明细!$AC$2:$AC$501,MATCH(T493,激励事件明细!$A$2:$A$501,0)),""))</f>
        <v/>
      </c>
      <c r="I493" s="13"/>
      <c r="J493" s="14"/>
      <c r="K493" s="14"/>
      <c r="L493" s="9"/>
      <c r="M493" s="15" t="str">
        <f t="shared" si="42"/>
        <v/>
      </c>
      <c r="N493" s="15" t="str">
        <f t="shared" si="43"/>
        <v/>
      </c>
      <c r="O493" s="4" t="str">
        <f t="shared" ca="1" si="44"/>
        <v/>
      </c>
      <c r="P493" s="17" t="str">
        <f>IF(A493="","",IFERROR(IF(INDEX(激励事件明细!$P$2:$P$501,MATCH(T493,激励事件明细!$A$2:$A$501,0))=0,"",INDEX(激励事件明细!$P$2:$P$501,MATCH(T493,激励事件明细!$A$2:$A$501,0))),""))</f>
        <v/>
      </c>
      <c r="Q493" s="4" t="str">
        <f t="shared" si="45"/>
        <v>无效</v>
      </c>
      <c r="R493" s="4" t="str">
        <f t="shared" ca="1" si="46"/>
        <v>异常：必须关联有效事件编号或税额批次</v>
      </c>
      <c r="S493" s="9"/>
      <c r="T493" s="4" t="str">
        <f>IF(D493&lt;&gt;"",IF(COUNTIF(激励事件明细!$A$2:$A$501,D493)=1,D493,""),IF(E493&lt;&gt;"",IFERROR(INDEX(激励事件明细!$A$2:$A$501,MATCH(E493,激励事件明细!$B$2:$B$501,0)),""),""))</f>
        <v/>
      </c>
      <c r="U493" s="4" t="str">
        <f>IF(T493="","",IFERROR(INDEX(激励事件明细!$B$2:$B$501,MATCH(T493,激励事件明细!$A$2:$A$501,0)),""))</f>
        <v/>
      </c>
      <c r="V493" s="4" t="str">
        <f>IF(A493="","",COUNTIF($A$2:A493,A493))</f>
        <v/>
      </c>
      <c r="W493" s="4" t="str">
        <f t="shared" si="47"/>
        <v/>
      </c>
    </row>
    <row r="494" spans="1:23" x14ac:dyDescent="0.3">
      <c r="A494" s="4" t="str">
        <f>IF(T494="","",IFERROR(INDEX(激励事件明细!$C$2:$C$501,MATCH(T494,激励事件明细!$A$2:$A$501,0)),""))</f>
        <v/>
      </c>
      <c r="B494" s="4" t="str">
        <f>IF(A494="","",IFERROR(INDEX(激励事件明细!$D$2:$D$501,MATCH(T494,激励事件明细!$A$2:$A$501,0)),""))</f>
        <v/>
      </c>
      <c r="C494" s="4" t="str">
        <f>IF(A494="","",IFERROR(INDEX(激励事件明细!$H$2:$H$501,MATCH(T494,激励事件明细!$A$2:$A$501,0)),""))</f>
        <v/>
      </c>
      <c r="D494" s="9"/>
      <c r="E494" s="9"/>
      <c r="F494" s="15" t="str">
        <f>IF(A494="","",IFERROR(INDEX(激励事件明细!$AA$2:$AA$501,MATCH(T494,激励事件明细!$A$2:$A$501,0)),""))</f>
        <v/>
      </c>
      <c r="G494" s="17" t="str">
        <f>IF(A494="","",IFERROR(INDEX(激励事件明细!$AB$2:$AB$501,MATCH(T494,激励事件明细!$A$2:$A$501,0)),""))</f>
        <v/>
      </c>
      <c r="H494" s="17" t="str">
        <f>IF(A494="","",IFERROR(INDEX(激励事件明细!$AC$2:$AC$501,MATCH(T494,激励事件明细!$A$2:$A$501,0)),""))</f>
        <v/>
      </c>
      <c r="I494" s="13"/>
      <c r="J494" s="14"/>
      <c r="K494" s="14"/>
      <c r="L494" s="9"/>
      <c r="M494" s="15" t="str">
        <f t="shared" si="42"/>
        <v/>
      </c>
      <c r="N494" s="15" t="str">
        <f t="shared" si="43"/>
        <v/>
      </c>
      <c r="O494" s="4" t="str">
        <f t="shared" ca="1" si="44"/>
        <v/>
      </c>
      <c r="P494" s="17" t="str">
        <f>IF(A494="","",IFERROR(IF(INDEX(激励事件明细!$P$2:$P$501,MATCH(T494,激励事件明细!$A$2:$A$501,0))=0,"",INDEX(激励事件明细!$P$2:$P$501,MATCH(T494,激励事件明细!$A$2:$A$501,0))),""))</f>
        <v/>
      </c>
      <c r="Q494" s="4" t="str">
        <f t="shared" si="45"/>
        <v>无效</v>
      </c>
      <c r="R494" s="4" t="str">
        <f t="shared" ca="1" si="46"/>
        <v>异常：必须关联有效事件编号或税额批次</v>
      </c>
      <c r="S494" s="9"/>
      <c r="T494" s="4" t="str">
        <f>IF(D494&lt;&gt;"",IF(COUNTIF(激励事件明细!$A$2:$A$501,D494)=1,D494,""),IF(E494&lt;&gt;"",IFERROR(INDEX(激励事件明细!$A$2:$A$501,MATCH(E494,激励事件明细!$B$2:$B$501,0)),""),""))</f>
        <v/>
      </c>
      <c r="U494" s="4" t="str">
        <f>IF(T494="","",IFERROR(INDEX(激励事件明细!$B$2:$B$501,MATCH(T494,激励事件明细!$A$2:$A$501,0)),""))</f>
        <v/>
      </c>
      <c r="V494" s="4" t="str">
        <f>IF(A494="","",COUNTIF($A$2:A494,A494))</f>
        <v/>
      </c>
      <c r="W494" s="4" t="str">
        <f t="shared" si="47"/>
        <v/>
      </c>
    </row>
    <row r="495" spans="1:23" x14ac:dyDescent="0.3">
      <c r="A495" s="4" t="str">
        <f>IF(T495="","",IFERROR(INDEX(激励事件明细!$C$2:$C$501,MATCH(T495,激励事件明细!$A$2:$A$501,0)),""))</f>
        <v/>
      </c>
      <c r="B495" s="4" t="str">
        <f>IF(A495="","",IFERROR(INDEX(激励事件明细!$D$2:$D$501,MATCH(T495,激励事件明细!$A$2:$A$501,0)),""))</f>
        <v/>
      </c>
      <c r="C495" s="4" t="str">
        <f>IF(A495="","",IFERROR(INDEX(激励事件明细!$H$2:$H$501,MATCH(T495,激励事件明细!$A$2:$A$501,0)),""))</f>
        <v/>
      </c>
      <c r="D495" s="9"/>
      <c r="E495" s="9"/>
      <c r="F495" s="15" t="str">
        <f>IF(A495="","",IFERROR(INDEX(激励事件明细!$AA$2:$AA$501,MATCH(T495,激励事件明细!$A$2:$A$501,0)),""))</f>
        <v/>
      </c>
      <c r="G495" s="17" t="str">
        <f>IF(A495="","",IFERROR(INDEX(激励事件明细!$AB$2:$AB$501,MATCH(T495,激励事件明细!$A$2:$A$501,0)),""))</f>
        <v/>
      </c>
      <c r="H495" s="17" t="str">
        <f>IF(A495="","",IFERROR(INDEX(激励事件明细!$AC$2:$AC$501,MATCH(T495,激励事件明细!$A$2:$A$501,0)),""))</f>
        <v/>
      </c>
      <c r="I495" s="13"/>
      <c r="J495" s="14"/>
      <c r="K495" s="14"/>
      <c r="L495" s="9"/>
      <c r="M495" s="15" t="str">
        <f t="shared" si="42"/>
        <v/>
      </c>
      <c r="N495" s="15" t="str">
        <f t="shared" si="43"/>
        <v/>
      </c>
      <c r="O495" s="4" t="str">
        <f t="shared" ca="1" si="44"/>
        <v/>
      </c>
      <c r="P495" s="17" t="str">
        <f>IF(A495="","",IFERROR(IF(INDEX(激励事件明细!$P$2:$P$501,MATCH(T495,激励事件明细!$A$2:$A$501,0))=0,"",INDEX(激励事件明细!$P$2:$P$501,MATCH(T495,激励事件明细!$A$2:$A$501,0))),""))</f>
        <v/>
      </c>
      <c r="Q495" s="4" t="str">
        <f t="shared" si="45"/>
        <v>无效</v>
      </c>
      <c r="R495" s="4" t="str">
        <f t="shared" ca="1" si="46"/>
        <v>异常：必须关联有效事件编号或税额批次</v>
      </c>
      <c r="S495" s="9"/>
      <c r="T495" s="4" t="str">
        <f>IF(D495&lt;&gt;"",IF(COUNTIF(激励事件明细!$A$2:$A$501,D495)=1,D495,""),IF(E495&lt;&gt;"",IFERROR(INDEX(激励事件明细!$A$2:$A$501,MATCH(E495,激励事件明细!$B$2:$B$501,0)),""),""))</f>
        <v/>
      </c>
      <c r="U495" s="4" t="str">
        <f>IF(T495="","",IFERROR(INDEX(激励事件明细!$B$2:$B$501,MATCH(T495,激励事件明细!$A$2:$A$501,0)),""))</f>
        <v/>
      </c>
      <c r="V495" s="4" t="str">
        <f>IF(A495="","",COUNTIF($A$2:A495,A495))</f>
        <v/>
      </c>
      <c r="W495" s="4" t="str">
        <f t="shared" si="47"/>
        <v/>
      </c>
    </row>
    <row r="496" spans="1:23" x14ac:dyDescent="0.3">
      <c r="A496" s="4" t="str">
        <f>IF(T496="","",IFERROR(INDEX(激励事件明细!$C$2:$C$501,MATCH(T496,激励事件明细!$A$2:$A$501,0)),""))</f>
        <v/>
      </c>
      <c r="B496" s="4" t="str">
        <f>IF(A496="","",IFERROR(INDEX(激励事件明细!$D$2:$D$501,MATCH(T496,激励事件明细!$A$2:$A$501,0)),""))</f>
        <v/>
      </c>
      <c r="C496" s="4" t="str">
        <f>IF(A496="","",IFERROR(INDEX(激励事件明细!$H$2:$H$501,MATCH(T496,激励事件明细!$A$2:$A$501,0)),""))</f>
        <v/>
      </c>
      <c r="D496" s="9"/>
      <c r="E496" s="9"/>
      <c r="F496" s="15" t="str">
        <f>IF(A496="","",IFERROR(INDEX(激励事件明细!$AA$2:$AA$501,MATCH(T496,激励事件明细!$A$2:$A$501,0)),""))</f>
        <v/>
      </c>
      <c r="G496" s="17" t="str">
        <f>IF(A496="","",IFERROR(INDEX(激励事件明细!$AB$2:$AB$501,MATCH(T496,激励事件明细!$A$2:$A$501,0)),""))</f>
        <v/>
      </c>
      <c r="H496" s="17" t="str">
        <f>IF(A496="","",IFERROR(INDEX(激励事件明细!$AC$2:$AC$501,MATCH(T496,激励事件明细!$A$2:$A$501,0)),""))</f>
        <v/>
      </c>
      <c r="I496" s="13"/>
      <c r="J496" s="14"/>
      <c r="K496" s="14"/>
      <c r="L496" s="9"/>
      <c r="M496" s="15" t="str">
        <f t="shared" si="42"/>
        <v/>
      </c>
      <c r="N496" s="15" t="str">
        <f t="shared" si="43"/>
        <v/>
      </c>
      <c r="O496" s="4" t="str">
        <f t="shared" ca="1" si="44"/>
        <v/>
      </c>
      <c r="P496" s="17" t="str">
        <f>IF(A496="","",IFERROR(IF(INDEX(激励事件明细!$P$2:$P$501,MATCH(T496,激励事件明细!$A$2:$A$501,0))=0,"",INDEX(激励事件明细!$P$2:$P$501,MATCH(T496,激励事件明细!$A$2:$A$501,0))),""))</f>
        <v/>
      </c>
      <c r="Q496" s="4" t="str">
        <f t="shared" si="45"/>
        <v>无效</v>
      </c>
      <c r="R496" s="4" t="str">
        <f t="shared" ca="1" si="46"/>
        <v>异常：必须关联有效事件编号或税额批次</v>
      </c>
      <c r="S496" s="9"/>
      <c r="T496" s="4" t="str">
        <f>IF(D496&lt;&gt;"",IF(COUNTIF(激励事件明细!$A$2:$A$501,D496)=1,D496,""),IF(E496&lt;&gt;"",IFERROR(INDEX(激励事件明细!$A$2:$A$501,MATCH(E496,激励事件明细!$B$2:$B$501,0)),""),""))</f>
        <v/>
      </c>
      <c r="U496" s="4" t="str">
        <f>IF(T496="","",IFERROR(INDEX(激励事件明细!$B$2:$B$501,MATCH(T496,激励事件明细!$A$2:$A$501,0)),""))</f>
        <v/>
      </c>
      <c r="V496" s="4" t="str">
        <f>IF(A496="","",COUNTIF($A$2:A496,A496))</f>
        <v/>
      </c>
      <c r="W496" s="4" t="str">
        <f t="shared" si="47"/>
        <v/>
      </c>
    </row>
    <row r="497" spans="1:23" x14ac:dyDescent="0.3">
      <c r="A497" s="4" t="str">
        <f>IF(T497="","",IFERROR(INDEX(激励事件明细!$C$2:$C$501,MATCH(T497,激励事件明细!$A$2:$A$501,0)),""))</f>
        <v/>
      </c>
      <c r="B497" s="4" t="str">
        <f>IF(A497="","",IFERROR(INDEX(激励事件明细!$D$2:$D$501,MATCH(T497,激励事件明细!$A$2:$A$501,0)),""))</f>
        <v/>
      </c>
      <c r="C497" s="4" t="str">
        <f>IF(A497="","",IFERROR(INDEX(激励事件明细!$H$2:$H$501,MATCH(T497,激励事件明细!$A$2:$A$501,0)),""))</f>
        <v/>
      </c>
      <c r="D497" s="9"/>
      <c r="E497" s="9"/>
      <c r="F497" s="15" t="str">
        <f>IF(A497="","",IFERROR(INDEX(激励事件明细!$AA$2:$AA$501,MATCH(T497,激励事件明细!$A$2:$A$501,0)),""))</f>
        <v/>
      </c>
      <c r="G497" s="17" t="str">
        <f>IF(A497="","",IFERROR(INDEX(激励事件明细!$AB$2:$AB$501,MATCH(T497,激励事件明细!$A$2:$A$501,0)),""))</f>
        <v/>
      </c>
      <c r="H497" s="17" t="str">
        <f>IF(A497="","",IFERROR(INDEX(激励事件明细!$AC$2:$AC$501,MATCH(T497,激励事件明细!$A$2:$A$501,0)),""))</f>
        <v/>
      </c>
      <c r="I497" s="13"/>
      <c r="J497" s="14"/>
      <c r="K497" s="14"/>
      <c r="L497" s="9"/>
      <c r="M497" s="15" t="str">
        <f t="shared" si="42"/>
        <v/>
      </c>
      <c r="N497" s="15" t="str">
        <f t="shared" si="43"/>
        <v/>
      </c>
      <c r="O497" s="4" t="str">
        <f t="shared" ca="1" si="44"/>
        <v/>
      </c>
      <c r="P497" s="17" t="str">
        <f>IF(A497="","",IFERROR(IF(INDEX(激励事件明细!$P$2:$P$501,MATCH(T497,激励事件明细!$A$2:$A$501,0))=0,"",INDEX(激励事件明细!$P$2:$P$501,MATCH(T497,激励事件明细!$A$2:$A$501,0))),""))</f>
        <v/>
      </c>
      <c r="Q497" s="4" t="str">
        <f t="shared" si="45"/>
        <v>无效</v>
      </c>
      <c r="R497" s="4" t="str">
        <f t="shared" ca="1" si="46"/>
        <v>异常：必须关联有效事件编号或税额批次</v>
      </c>
      <c r="S497" s="9"/>
      <c r="T497" s="4" t="str">
        <f>IF(D497&lt;&gt;"",IF(COUNTIF(激励事件明细!$A$2:$A$501,D497)=1,D497,""),IF(E497&lt;&gt;"",IFERROR(INDEX(激励事件明细!$A$2:$A$501,MATCH(E497,激励事件明细!$B$2:$B$501,0)),""),""))</f>
        <v/>
      </c>
      <c r="U497" s="4" t="str">
        <f>IF(T497="","",IFERROR(INDEX(激励事件明细!$B$2:$B$501,MATCH(T497,激励事件明细!$A$2:$A$501,0)),""))</f>
        <v/>
      </c>
      <c r="V497" s="4" t="str">
        <f>IF(A497="","",COUNTIF($A$2:A497,A497))</f>
        <v/>
      </c>
      <c r="W497" s="4" t="str">
        <f t="shared" si="47"/>
        <v/>
      </c>
    </row>
    <row r="498" spans="1:23" x14ac:dyDescent="0.3">
      <c r="A498" s="4" t="str">
        <f>IF(T498="","",IFERROR(INDEX(激励事件明细!$C$2:$C$501,MATCH(T498,激励事件明细!$A$2:$A$501,0)),""))</f>
        <v/>
      </c>
      <c r="B498" s="4" t="str">
        <f>IF(A498="","",IFERROR(INDEX(激励事件明细!$D$2:$D$501,MATCH(T498,激励事件明细!$A$2:$A$501,0)),""))</f>
        <v/>
      </c>
      <c r="C498" s="4" t="str">
        <f>IF(A498="","",IFERROR(INDEX(激励事件明细!$H$2:$H$501,MATCH(T498,激励事件明细!$A$2:$A$501,0)),""))</f>
        <v/>
      </c>
      <c r="D498" s="9"/>
      <c r="E498" s="9"/>
      <c r="F498" s="15" t="str">
        <f>IF(A498="","",IFERROR(INDEX(激励事件明细!$AA$2:$AA$501,MATCH(T498,激励事件明细!$A$2:$A$501,0)),""))</f>
        <v/>
      </c>
      <c r="G498" s="17" t="str">
        <f>IF(A498="","",IFERROR(INDEX(激励事件明细!$AB$2:$AB$501,MATCH(T498,激励事件明细!$A$2:$A$501,0)),""))</f>
        <v/>
      </c>
      <c r="H498" s="17" t="str">
        <f>IF(A498="","",IFERROR(INDEX(激励事件明细!$AC$2:$AC$501,MATCH(T498,激励事件明细!$A$2:$A$501,0)),""))</f>
        <v/>
      </c>
      <c r="I498" s="13"/>
      <c r="J498" s="14"/>
      <c r="K498" s="14"/>
      <c r="L498" s="9"/>
      <c r="M498" s="15" t="str">
        <f t="shared" si="42"/>
        <v/>
      </c>
      <c r="N498" s="15" t="str">
        <f t="shared" si="43"/>
        <v/>
      </c>
      <c r="O498" s="4" t="str">
        <f t="shared" ca="1" si="44"/>
        <v/>
      </c>
      <c r="P498" s="17" t="str">
        <f>IF(A498="","",IFERROR(IF(INDEX(激励事件明细!$P$2:$P$501,MATCH(T498,激励事件明细!$A$2:$A$501,0))=0,"",INDEX(激励事件明细!$P$2:$P$501,MATCH(T498,激励事件明细!$A$2:$A$501,0))),""))</f>
        <v/>
      </c>
      <c r="Q498" s="4" t="str">
        <f t="shared" si="45"/>
        <v>无效</v>
      </c>
      <c r="R498" s="4" t="str">
        <f t="shared" ca="1" si="46"/>
        <v>异常：必须关联有效事件编号或税额批次</v>
      </c>
      <c r="S498" s="9"/>
      <c r="T498" s="4" t="str">
        <f>IF(D498&lt;&gt;"",IF(COUNTIF(激励事件明细!$A$2:$A$501,D498)=1,D498,""),IF(E498&lt;&gt;"",IFERROR(INDEX(激励事件明细!$A$2:$A$501,MATCH(E498,激励事件明细!$B$2:$B$501,0)),""),""))</f>
        <v/>
      </c>
      <c r="U498" s="4" t="str">
        <f>IF(T498="","",IFERROR(INDEX(激励事件明细!$B$2:$B$501,MATCH(T498,激励事件明细!$A$2:$A$501,0)),""))</f>
        <v/>
      </c>
      <c r="V498" s="4" t="str">
        <f>IF(A498="","",COUNTIF($A$2:A498,A498))</f>
        <v/>
      </c>
      <c r="W498" s="4" t="str">
        <f t="shared" si="47"/>
        <v/>
      </c>
    </row>
    <row r="499" spans="1:23" x14ac:dyDescent="0.3">
      <c r="A499" s="4" t="str">
        <f>IF(T499="","",IFERROR(INDEX(激励事件明细!$C$2:$C$501,MATCH(T499,激励事件明细!$A$2:$A$501,0)),""))</f>
        <v/>
      </c>
      <c r="B499" s="4" t="str">
        <f>IF(A499="","",IFERROR(INDEX(激励事件明细!$D$2:$D$501,MATCH(T499,激励事件明细!$A$2:$A$501,0)),""))</f>
        <v/>
      </c>
      <c r="C499" s="4" t="str">
        <f>IF(A499="","",IFERROR(INDEX(激励事件明细!$H$2:$H$501,MATCH(T499,激励事件明细!$A$2:$A$501,0)),""))</f>
        <v/>
      </c>
      <c r="D499" s="9"/>
      <c r="E499" s="9"/>
      <c r="F499" s="15" t="str">
        <f>IF(A499="","",IFERROR(INDEX(激励事件明细!$AA$2:$AA$501,MATCH(T499,激励事件明细!$A$2:$A$501,0)),""))</f>
        <v/>
      </c>
      <c r="G499" s="17" t="str">
        <f>IF(A499="","",IFERROR(INDEX(激励事件明细!$AB$2:$AB$501,MATCH(T499,激励事件明细!$A$2:$A$501,0)),""))</f>
        <v/>
      </c>
      <c r="H499" s="17" t="str">
        <f>IF(A499="","",IFERROR(INDEX(激励事件明细!$AC$2:$AC$501,MATCH(T499,激励事件明细!$A$2:$A$501,0)),""))</f>
        <v/>
      </c>
      <c r="I499" s="13"/>
      <c r="J499" s="14"/>
      <c r="K499" s="14"/>
      <c r="L499" s="9"/>
      <c r="M499" s="15" t="str">
        <f t="shared" si="42"/>
        <v/>
      </c>
      <c r="N499" s="15" t="str">
        <f t="shared" si="43"/>
        <v/>
      </c>
      <c r="O499" s="4" t="str">
        <f t="shared" ca="1" si="44"/>
        <v/>
      </c>
      <c r="P499" s="17" t="str">
        <f>IF(A499="","",IFERROR(IF(INDEX(激励事件明细!$P$2:$P$501,MATCH(T499,激励事件明细!$A$2:$A$501,0))=0,"",INDEX(激励事件明细!$P$2:$P$501,MATCH(T499,激励事件明细!$A$2:$A$501,0))),""))</f>
        <v/>
      </c>
      <c r="Q499" s="4" t="str">
        <f t="shared" si="45"/>
        <v>无效</v>
      </c>
      <c r="R499" s="4" t="str">
        <f t="shared" ca="1" si="46"/>
        <v>异常：必须关联有效事件编号或税额批次</v>
      </c>
      <c r="S499" s="9"/>
      <c r="T499" s="4" t="str">
        <f>IF(D499&lt;&gt;"",IF(COUNTIF(激励事件明细!$A$2:$A$501,D499)=1,D499,""),IF(E499&lt;&gt;"",IFERROR(INDEX(激励事件明细!$A$2:$A$501,MATCH(E499,激励事件明细!$B$2:$B$501,0)),""),""))</f>
        <v/>
      </c>
      <c r="U499" s="4" t="str">
        <f>IF(T499="","",IFERROR(INDEX(激励事件明细!$B$2:$B$501,MATCH(T499,激励事件明细!$A$2:$A$501,0)),""))</f>
        <v/>
      </c>
      <c r="V499" s="4" t="str">
        <f>IF(A499="","",COUNTIF($A$2:A499,A499))</f>
        <v/>
      </c>
      <c r="W499" s="4" t="str">
        <f t="shared" si="47"/>
        <v/>
      </c>
    </row>
    <row r="500" spans="1:23" x14ac:dyDescent="0.3">
      <c r="A500" s="4" t="str">
        <f>IF(T500="","",IFERROR(INDEX(激励事件明细!$C$2:$C$501,MATCH(T500,激励事件明细!$A$2:$A$501,0)),""))</f>
        <v/>
      </c>
      <c r="B500" s="4" t="str">
        <f>IF(A500="","",IFERROR(INDEX(激励事件明细!$D$2:$D$501,MATCH(T500,激励事件明细!$A$2:$A$501,0)),""))</f>
        <v/>
      </c>
      <c r="C500" s="4" t="str">
        <f>IF(A500="","",IFERROR(INDEX(激励事件明细!$H$2:$H$501,MATCH(T500,激励事件明细!$A$2:$A$501,0)),""))</f>
        <v/>
      </c>
      <c r="D500" s="9"/>
      <c r="E500" s="9"/>
      <c r="F500" s="15" t="str">
        <f>IF(A500="","",IFERROR(INDEX(激励事件明细!$AA$2:$AA$501,MATCH(T500,激励事件明细!$A$2:$A$501,0)),""))</f>
        <v/>
      </c>
      <c r="G500" s="17" t="str">
        <f>IF(A500="","",IFERROR(INDEX(激励事件明细!$AB$2:$AB$501,MATCH(T500,激励事件明细!$A$2:$A$501,0)),""))</f>
        <v/>
      </c>
      <c r="H500" s="17" t="str">
        <f>IF(A500="","",IFERROR(INDEX(激励事件明细!$AC$2:$AC$501,MATCH(T500,激励事件明细!$A$2:$A$501,0)),""))</f>
        <v/>
      </c>
      <c r="I500" s="13"/>
      <c r="J500" s="14"/>
      <c r="K500" s="14"/>
      <c r="L500" s="9"/>
      <c r="M500" s="15" t="str">
        <f t="shared" si="42"/>
        <v/>
      </c>
      <c r="N500" s="15" t="str">
        <f t="shared" si="43"/>
        <v/>
      </c>
      <c r="O500" s="4" t="str">
        <f t="shared" ca="1" si="44"/>
        <v/>
      </c>
      <c r="P500" s="17" t="str">
        <f>IF(A500="","",IFERROR(IF(INDEX(激励事件明细!$P$2:$P$501,MATCH(T500,激励事件明细!$A$2:$A$501,0))=0,"",INDEX(激励事件明细!$P$2:$P$501,MATCH(T500,激励事件明细!$A$2:$A$501,0))),""))</f>
        <v/>
      </c>
      <c r="Q500" s="4" t="str">
        <f t="shared" si="45"/>
        <v>无效</v>
      </c>
      <c r="R500" s="4" t="str">
        <f t="shared" ca="1" si="46"/>
        <v>异常：必须关联有效事件编号或税额批次</v>
      </c>
      <c r="S500" s="9"/>
      <c r="T500" s="4" t="str">
        <f>IF(D500&lt;&gt;"",IF(COUNTIF(激励事件明细!$A$2:$A$501,D500)=1,D500,""),IF(E500&lt;&gt;"",IFERROR(INDEX(激励事件明细!$A$2:$A$501,MATCH(E500,激励事件明细!$B$2:$B$501,0)),""),""))</f>
        <v/>
      </c>
      <c r="U500" s="4" t="str">
        <f>IF(T500="","",IFERROR(INDEX(激励事件明细!$B$2:$B$501,MATCH(T500,激励事件明细!$A$2:$A$501,0)),""))</f>
        <v/>
      </c>
      <c r="V500" s="4" t="str">
        <f>IF(A500="","",COUNTIF($A$2:A500,A500))</f>
        <v/>
      </c>
      <c r="W500" s="4" t="str">
        <f t="shared" si="47"/>
        <v/>
      </c>
    </row>
    <row r="501" spans="1:23" x14ac:dyDescent="0.3">
      <c r="A501" s="4" t="str">
        <f>IF(T501="","",IFERROR(INDEX(激励事件明细!$C$2:$C$501,MATCH(T501,激励事件明细!$A$2:$A$501,0)),""))</f>
        <v/>
      </c>
      <c r="B501" s="4" t="str">
        <f>IF(A501="","",IFERROR(INDEX(激励事件明细!$D$2:$D$501,MATCH(T501,激励事件明细!$A$2:$A$501,0)),""))</f>
        <v/>
      </c>
      <c r="C501" s="4" t="str">
        <f>IF(A501="","",IFERROR(INDEX(激励事件明细!$H$2:$H$501,MATCH(T501,激励事件明细!$A$2:$A$501,0)),""))</f>
        <v/>
      </c>
      <c r="D501" s="9"/>
      <c r="E501" s="9"/>
      <c r="F501" s="15" t="str">
        <f>IF(A501="","",IFERROR(INDEX(激励事件明细!$AA$2:$AA$501,MATCH(T501,激励事件明细!$A$2:$A$501,0)),""))</f>
        <v/>
      </c>
      <c r="G501" s="17" t="str">
        <f>IF(A501="","",IFERROR(INDEX(激励事件明细!$AB$2:$AB$501,MATCH(T501,激励事件明细!$A$2:$A$501,0)),""))</f>
        <v/>
      </c>
      <c r="H501" s="17" t="str">
        <f>IF(A501="","",IFERROR(INDEX(激励事件明细!$AC$2:$AC$501,MATCH(T501,激励事件明细!$A$2:$A$501,0)),""))</f>
        <v/>
      </c>
      <c r="I501" s="13"/>
      <c r="J501" s="14"/>
      <c r="K501" s="14"/>
      <c r="L501" s="9"/>
      <c r="M501" s="15" t="str">
        <f t="shared" si="42"/>
        <v/>
      </c>
      <c r="N501" s="15" t="str">
        <f t="shared" si="43"/>
        <v/>
      </c>
      <c r="O501" s="4" t="str">
        <f t="shared" ca="1" si="44"/>
        <v/>
      </c>
      <c r="P501" s="17" t="str">
        <f>IF(A501="","",IFERROR(IF(INDEX(激励事件明细!$P$2:$P$501,MATCH(T501,激励事件明细!$A$2:$A$501,0))=0,"",INDEX(激励事件明细!$P$2:$P$501,MATCH(T501,激励事件明细!$A$2:$A$501,0))),""))</f>
        <v/>
      </c>
      <c r="Q501" s="4" t="str">
        <f t="shared" si="45"/>
        <v>无效</v>
      </c>
      <c r="R501" s="4" t="str">
        <f t="shared" ca="1" si="46"/>
        <v>异常：必须关联有效事件编号或税额批次</v>
      </c>
      <c r="S501" s="9"/>
      <c r="T501" s="4" t="str">
        <f>IF(D501&lt;&gt;"",IF(COUNTIF(激励事件明细!$A$2:$A$501,D501)=1,D501,""),IF(E501&lt;&gt;"",IFERROR(INDEX(激励事件明细!$A$2:$A$501,MATCH(E501,激励事件明细!$B$2:$B$501,0)),""),""))</f>
        <v/>
      </c>
      <c r="U501" s="4" t="str">
        <f>IF(T501="","",IFERROR(INDEX(激励事件明细!$B$2:$B$501,MATCH(T501,激励事件明细!$A$2:$A$501,0)),""))</f>
        <v/>
      </c>
      <c r="V501" s="4" t="str">
        <f>IF(A501="","",COUNTIF($A$2:A501,A501))</f>
        <v/>
      </c>
      <c r="W501" s="4" t="str">
        <f t="shared" si="47"/>
        <v/>
      </c>
    </row>
  </sheetData>
  <sheetProtection sheet="1" selectLockedCells="1" sort="0" autoFilter="0" selectUnlockedCells="1"/>
  <phoneticPr fontId="7" type="noConversion"/>
  <conditionalFormatting sqref="R2:R501">
    <cfRule type="expression" dxfId="0" priority="1">
      <formula>LEFT(R2,2)="异常"</formula>
    </cfRule>
  </conditionalFormatting>
  <dataValidations count="4">
    <dataValidation type="list" allowBlank="1" showInputMessage="1" showErrorMessage="1" errorTitle="输入无效" error="请选择下拉列表中的有效值。" promptTitle="可选值" prompt="请从下拉列表选择。" sqref="D2:D501" xr:uid="{00000000-0002-0000-0400-000000000000}">
      <formula1>事件编号列表</formula1>
    </dataValidation>
    <dataValidation type="list" allowBlank="1" showInputMessage="1" showErrorMessage="1" errorTitle="输入无效" error="请选择下拉列表中的有效值。" promptTitle="可选值" prompt="请从下拉列表选择。" sqref="E2:E501" xr:uid="{00000000-0002-0000-0400-000001000000}">
      <formula1>税额批次列表</formula1>
    </dataValidation>
    <dataValidation type="date" allowBlank="1" showErrorMessage="1" errorTitle="日期无效" error="请输入2024-01-01至2035-12-31之间的日期。" sqref="I2:I501" xr:uid="{00000000-0002-0000-0400-000002000000}">
      <formula1>DATE(2024,1,1)</formula1>
      <formula2>DATE(2035,12,31)</formula2>
    </dataValidation>
    <dataValidation type="decimal" operator="greaterThanOrEqual" allowBlank="1" showErrorMessage="1" errorTitle="数值无效" error="请输入符合条件的非负数字。" sqref="J2:K501" xr:uid="{00000000-0002-0000-0400-000003000000}">
      <formula1>0</formula1>
    </dataValidation>
  </dataValidations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00"/>
  <sheetViews>
    <sheetView showGridLines="0" workbookViewId="0">
      <pane ySplit="2" topLeftCell="A3" activePane="bottomLeft" state="frozen"/>
      <selection pane="bottomLeft"/>
    </sheetView>
  </sheetViews>
  <sheetFormatPr defaultRowHeight="13.5" x14ac:dyDescent="0.3"/>
  <cols>
    <col min="1" max="2" width="22" customWidth="1"/>
    <col min="3" max="6" width="18" customWidth="1"/>
    <col min="7" max="7" width="28" customWidth="1"/>
  </cols>
  <sheetData>
    <row r="1" spans="1:7" ht="19.149999999999999" x14ac:dyDescent="0.45">
      <c r="A1" s="26" t="s">
        <v>155</v>
      </c>
      <c r="B1" s="24"/>
      <c r="C1" s="24"/>
      <c r="D1" s="24"/>
      <c r="E1" s="24"/>
      <c r="F1" s="24"/>
      <c r="G1" s="24"/>
    </row>
    <row r="3" spans="1:7" x14ac:dyDescent="0.3">
      <c r="A3" t="s">
        <v>39</v>
      </c>
      <c r="B3" s="9" t="s">
        <v>46</v>
      </c>
    </row>
    <row r="5" spans="1:7" x14ac:dyDescent="0.3">
      <c r="A5" s="18" t="s">
        <v>40</v>
      </c>
      <c r="B5" s="4" t="str">
        <f>IFERROR(INDEX(激励事件明细!$D$2:$D$501,MATCH(B3,激励事件明细!$C$2:$C$501,0)),"")</f>
        <v>演示员工</v>
      </c>
    </row>
    <row r="6" spans="1:7" x14ac:dyDescent="0.3">
      <c r="A6" s="18" t="s">
        <v>156</v>
      </c>
      <c r="B6" s="15">
        <f>SUMIFS(激励事件明细!$T$2:$T$501,激励事件明细!$C$2:$C$501,B3)</f>
        <v>499500</v>
      </c>
    </row>
    <row r="7" spans="1:7" x14ac:dyDescent="0.3">
      <c r="A7" s="18" t="s">
        <v>157</v>
      </c>
      <c r="B7" s="15">
        <f>SUMIFS(年度计税汇总!$J$2:$J$201,年度计税汇总!$A$2:$A$201,B3)</f>
        <v>96930</v>
      </c>
    </row>
    <row r="8" spans="1:7" x14ac:dyDescent="0.3">
      <c r="A8" s="18" t="s">
        <v>158</v>
      </c>
      <c r="B8" s="15">
        <f>SUMIFS(分期缴税台账!$K$2:$K$501,分期缴税台账!$A$2:$A$501,B3,分期缴税台账!$Q$2:$Q$501,"有效")</f>
        <v>0</v>
      </c>
    </row>
    <row r="9" spans="1:7" x14ac:dyDescent="0.3">
      <c r="A9" s="18" t="s">
        <v>148</v>
      </c>
      <c r="B9" s="15">
        <f>MAX(0,B7-B8)</f>
        <v>96930</v>
      </c>
    </row>
    <row r="10" spans="1:7" x14ac:dyDescent="0.3">
      <c r="A10" s="18" t="s">
        <v>159</v>
      </c>
      <c r="B10" s="17">
        <f>IFERROR(INDEX(激励事件明细!$AC$2:$AC$501,MATCH(B3&amp;"|1",激励事件明细!$AJ$2:$AJ$501,0)),"")</f>
        <v>46761</v>
      </c>
    </row>
    <row r="12" spans="1:7" x14ac:dyDescent="0.3">
      <c r="A12" t="s">
        <v>160</v>
      </c>
      <c r="B12" s="9">
        <v>1</v>
      </c>
      <c r="C12" t="s">
        <v>161</v>
      </c>
      <c r="D12" s="9">
        <v>1</v>
      </c>
      <c r="E12" t="s">
        <v>162</v>
      </c>
      <c r="F12" s="9">
        <v>1</v>
      </c>
    </row>
    <row r="13" spans="1:7" x14ac:dyDescent="0.3">
      <c r="B13" t="str">
        <f>"事件总数："&amp;COUNTIF(激励事件明细!$C$2:$C$501,$B$3)&amp;"；总页数："&amp;MAX(1,ROUNDUP(COUNTIF(激励事件明细!$C$2:$C$501,$B$3)/25,0))</f>
        <v>事件总数：2；总页数：1</v>
      </c>
      <c r="D13" t="str">
        <f>"缴税总数："&amp;COUNTIF(分期缴税台账!$A$2:$A$501,$B$3)&amp;"；总页数："&amp;MAX(1,ROUNDUP(COUNTIF(分期缴税台账!$A$2:$A$501,$B$3)/25,0))</f>
        <v>缴税总数：0；总页数：1</v>
      </c>
      <c r="F13" t="str">
        <f>"批次总数："&amp;COUNTIF(激励事件明细!$C$2:$C$501,$B$3)&amp;"；总页数："&amp;MAX(1,ROUNDUP(COUNTIF(激励事件明细!$C$2:$C$501,$B$3)/25,0))</f>
        <v>批次总数：2；总页数：1</v>
      </c>
    </row>
    <row r="14" spans="1:7" x14ac:dyDescent="0.3">
      <c r="B14" t="str">
        <f>IF(OR(B12&lt;1,B12&gt;MAX(1,ROUNDUP(COUNTIF(激励事件明细!$C$2:$C$501,$B$3)/25,0))),"页码越界","正常")</f>
        <v>正常</v>
      </c>
      <c r="D14" t="str">
        <f>IF(OR(D12&lt;1,D12&gt;MAX(1,ROUNDUP(COUNTIF(分期缴税台账!$A$2:$A$501,$B$3)/25,0))),"页码越界","正常")</f>
        <v>正常</v>
      </c>
      <c r="F14" t="str">
        <f>IF(OR(F12&lt;1,F12&gt;MAX(1,ROUNDUP(COUNTIF(激励事件明细!$C$2:$C$501,$B$3)/25,0))),"页码越界","正常")</f>
        <v>正常</v>
      </c>
    </row>
    <row r="16" spans="1:7" x14ac:dyDescent="0.3">
      <c r="A16" s="1" t="s">
        <v>163</v>
      </c>
    </row>
    <row r="17" spans="1:7" x14ac:dyDescent="0.3">
      <c r="A17" s="7" t="s">
        <v>86</v>
      </c>
      <c r="B17" s="7" t="s">
        <v>89</v>
      </c>
      <c r="C17" s="7" t="s">
        <v>88</v>
      </c>
      <c r="D17" s="7" t="s">
        <v>164</v>
      </c>
      <c r="E17" s="7" t="s">
        <v>165</v>
      </c>
      <c r="F17" s="7" t="s">
        <v>166</v>
      </c>
      <c r="G17" s="7" t="s">
        <v>112</v>
      </c>
    </row>
    <row r="18" spans="1:7" x14ac:dyDescent="0.3">
      <c r="A18" t="str">
        <f>IFERROR(INDEX(激励事件明细!$A$2:$A$501,MATCH($B$3&amp;"|"&amp;(($B$12-1)*25+ROW()-17),激励事件明细!$AH$2:$AH$501,0)),"")</f>
        <v>DEMO-OPT-001</v>
      </c>
      <c r="B18" s="11">
        <f>IFERROR(INDEX(激励事件明细!$G$2:$G$501,MATCH($B$3&amp;"|"&amp;(($B$12-1)*25+ROW()-17),激励事件明细!$AH$2:$AH$501,0)),"")</f>
        <v>45666</v>
      </c>
      <c r="C18" t="str">
        <f>IFERROR(INDEX(激励事件明细!$F$2:$F$501,MATCH($B$3&amp;"|"&amp;(($B$12-1)*25+ROW()-17),激励事件明细!$AH$2:$AH$501,0)),"")</f>
        <v>股票期权</v>
      </c>
      <c r="D18" s="19">
        <f>IFERROR(INDEX(激励事件明细!$T$2:$T$501,MATCH($B$3&amp;"|"&amp;(($B$12-1)*25+ROW()-17),激励事件明细!$AH$2:$AH$501,0)),"")</f>
        <v>162000</v>
      </c>
      <c r="E18" s="19">
        <f>IFERROR(INDEX(激励事件明细!$AA$2:$AA$501,MATCH($B$3&amp;"|"&amp;(($B$12-1)*25+ROW()-17),激励事件明细!$AH$2:$AH$501,0)),"")</f>
        <v>15480</v>
      </c>
      <c r="F18" s="11">
        <f>IFERROR(INDEX(激励事件明细!$AC$2:$AC$501,MATCH($B$3&amp;"|"&amp;(($B$12-1)*25+ROW()-17),激励事件明细!$AH$2:$AH$501,0)),"")</f>
        <v>46761</v>
      </c>
      <c r="G18" t="str">
        <f>IFERROR(INDEX(激励事件明细!$AD$2:$AD$501,MATCH($B$3&amp;"|"&amp;(($B$12-1)*25+ROW()-17),激励事件明细!$AH$2:$AH$501,0)),"")</f>
        <v>正常</v>
      </c>
    </row>
    <row r="19" spans="1:7" x14ac:dyDescent="0.3">
      <c r="A19" t="str">
        <f>IFERROR(INDEX(激励事件明细!$A$2:$A$501,MATCH($B$3&amp;"|"&amp;(($B$12-1)*25+ROW()-17),激励事件明细!$AH$2:$AH$501,0)),"")</f>
        <v>DEMO-RS-001</v>
      </c>
      <c r="B19" s="11">
        <f>IFERROR(INDEX(激励事件明细!$G$2:$G$501,MATCH($B$3&amp;"|"&amp;(($B$12-1)*25+ROW()-17),激励事件明细!$AH$2:$AH$501,0)),"")</f>
        <v>45838</v>
      </c>
      <c r="C19" t="str">
        <f>IFERROR(INDEX(激励事件明细!$F$2:$F$501,MATCH($B$3&amp;"|"&amp;(($B$12-1)*25+ROW()-17),激励事件明细!$AH$2:$AH$501,0)),"")</f>
        <v>限制性股票</v>
      </c>
      <c r="D19" s="19">
        <f>IFERROR(INDEX(激励事件明细!$T$2:$T$501,MATCH($B$3&amp;"|"&amp;(($B$12-1)*25+ROW()-17),激励事件明细!$AH$2:$AH$501,0)),"")</f>
        <v>337500</v>
      </c>
      <c r="E19" s="19">
        <f>IFERROR(INDEX(激励事件明细!$AA$2:$AA$501,MATCH($B$3&amp;"|"&amp;(($B$12-1)*25+ROW()-17),激励事件明细!$AH$2:$AH$501,0)),"")</f>
        <v>81450</v>
      </c>
      <c r="F19" s="11">
        <f>IFERROR(INDEX(激励事件明细!$AC$2:$AC$501,MATCH($B$3&amp;"|"&amp;(($B$12-1)*25+ROW()-17),激励事件明细!$AH$2:$AH$501,0)),"")</f>
        <v>46934</v>
      </c>
      <c r="G19" t="str">
        <f>IFERROR(INDEX(激励事件明细!$AD$2:$AD$501,MATCH($B$3&amp;"|"&amp;(($B$12-1)*25+ROW()-17),激励事件明细!$AH$2:$AH$501,0)),"")</f>
        <v>正常</v>
      </c>
    </row>
    <row r="20" spans="1:7" x14ac:dyDescent="0.3">
      <c r="A20" t="str">
        <f>IFERROR(INDEX(激励事件明细!$A$2:$A$501,MATCH($B$3&amp;"|"&amp;(($B$12-1)*25+ROW()-17),激励事件明细!$AH$2:$AH$501,0)),"")</f>
        <v/>
      </c>
      <c r="B20" s="11" t="str">
        <f>IFERROR(INDEX(激励事件明细!$G$2:$G$501,MATCH($B$3&amp;"|"&amp;(($B$12-1)*25+ROW()-17),激励事件明细!$AH$2:$AH$501,0)),"")</f>
        <v/>
      </c>
      <c r="C20" t="str">
        <f>IFERROR(INDEX(激励事件明细!$F$2:$F$501,MATCH($B$3&amp;"|"&amp;(($B$12-1)*25+ROW()-17),激励事件明细!$AH$2:$AH$501,0)),"")</f>
        <v/>
      </c>
      <c r="D20" s="19" t="str">
        <f>IFERROR(INDEX(激励事件明细!$T$2:$T$501,MATCH($B$3&amp;"|"&amp;(($B$12-1)*25+ROW()-17),激励事件明细!$AH$2:$AH$501,0)),"")</f>
        <v/>
      </c>
      <c r="E20" s="19" t="str">
        <f>IFERROR(INDEX(激励事件明细!$AA$2:$AA$501,MATCH($B$3&amp;"|"&amp;(($B$12-1)*25+ROW()-17),激励事件明细!$AH$2:$AH$501,0)),"")</f>
        <v/>
      </c>
      <c r="F20" s="11" t="str">
        <f>IFERROR(INDEX(激励事件明细!$AC$2:$AC$501,MATCH($B$3&amp;"|"&amp;(($B$12-1)*25+ROW()-17),激励事件明细!$AH$2:$AH$501,0)),"")</f>
        <v/>
      </c>
      <c r="G20" t="str">
        <f>IFERROR(INDEX(激励事件明细!$AD$2:$AD$501,MATCH($B$3&amp;"|"&amp;(($B$12-1)*25+ROW()-17),激励事件明细!$AH$2:$AH$501,0)),"")</f>
        <v/>
      </c>
    </row>
    <row r="21" spans="1:7" x14ac:dyDescent="0.3">
      <c r="A21" t="str">
        <f>IFERROR(INDEX(激励事件明细!$A$2:$A$501,MATCH($B$3&amp;"|"&amp;(($B$12-1)*25+ROW()-17),激励事件明细!$AH$2:$AH$501,0)),"")</f>
        <v/>
      </c>
      <c r="B21" s="11" t="str">
        <f>IFERROR(INDEX(激励事件明细!$G$2:$G$501,MATCH($B$3&amp;"|"&amp;(($B$12-1)*25+ROW()-17),激励事件明细!$AH$2:$AH$501,0)),"")</f>
        <v/>
      </c>
      <c r="C21" t="str">
        <f>IFERROR(INDEX(激励事件明细!$F$2:$F$501,MATCH($B$3&amp;"|"&amp;(($B$12-1)*25+ROW()-17),激励事件明细!$AH$2:$AH$501,0)),"")</f>
        <v/>
      </c>
      <c r="D21" s="19" t="str">
        <f>IFERROR(INDEX(激励事件明细!$T$2:$T$501,MATCH($B$3&amp;"|"&amp;(($B$12-1)*25+ROW()-17),激励事件明细!$AH$2:$AH$501,0)),"")</f>
        <v/>
      </c>
      <c r="E21" s="19" t="str">
        <f>IFERROR(INDEX(激励事件明细!$AA$2:$AA$501,MATCH($B$3&amp;"|"&amp;(($B$12-1)*25+ROW()-17),激励事件明细!$AH$2:$AH$501,0)),"")</f>
        <v/>
      </c>
      <c r="F21" s="11" t="str">
        <f>IFERROR(INDEX(激励事件明细!$AC$2:$AC$501,MATCH($B$3&amp;"|"&amp;(($B$12-1)*25+ROW()-17),激励事件明细!$AH$2:$AH$501,0)),"")</f>
        <v/>
      </c>
      <c r="G21" t="str">
        <f>IFERROR(INDEX(激励事件明细!$AD$2:$AD$501,MATCH($B$3&amp;"|"&amp;(($B$12-1)*25+ROW()-17),激励事件明细!$AH$2:$AH$501,0)),"")</f>
        <v/>
      </c>
    </row>
    <row r="22" spans="1:7" x14ac:dyDescent="0.3">
      <c r="A22" t="str">
        <f>IFERROR(INDEX(激励事件明细!$A$2:$A$501,MATCH($B$3&amp;"|"&amp;(($B$12-1)*25+ROW()-17),激励事件明细!$AH$2:$AH$501,0)),"")</f>
        <v/>
      </c>
      <c r="B22" s="11" t="str">
        <f>IFERROR(INDEX(激励事件明细!$G$2:$G$501,MATCH($B$3&amp;"|"&amp;(($B$12-1)*25+ROW()-17),激励事件明细!$AH$2:$AH$501,0)),"")</f>
        <v/>
      </c>
      <c r="C22" t="str">
        <f>IFERROR(INDEX(激励事件明细!$F$2:$F$501,MATCH($B$3&amp;"|"&amp;(($B$12-1)*25+ROW()-17),激励事件明细!$AH$2:$AH$501,0)),"")</f>
        <v/>
      </c>
      <c r="D22" s="19" t="str">
        <f>IFERROR(INDEX(激励事件明细!$T$2:$T$501,MATCH($B$3&amp;"|"&amp;(($B$12-1)*25+ROW()-17),激励事件明细!$AH$2:$AH$501,0)),"")</f>
        <v/>
      </c>
      <c r="E22" s="19" t="str">
        <f>IFERROR(INDEX(激励事件明细!$AA$2:$AA$501,MATCH($B$3&amp;"|"&amp;(($B$12-1)*25+ROW()-17),激励事件明细!$AH$2:$AH$501,0)),"")</f>
        <v/>
      </c>
      <c r="F22" s="11" t="str">
        <f>IFERROR(INDEX(激励事件明细!$AC$2:$AC$501,MATCH($B$3&amp;"|"&amp;(($B$12-1)*25+ROW()-17),激励事件明细!$AH$2:$AH$501,0)),"")</f>
        <v/>
      </c>
      <c r="G22" t="str">
        <f>IFERROR(INDEX(激励事件明细!$AD$2:$AD$501,MATCH($B$3&amp;"|"&amp;(($B$12-1)*25+ROW()-17),激励事件明细!$AH$2:$AH$501,0)),"")</f>
        <v/>
      </c>
    </row>
    <row r="23" spans="1:7" x14ac:dyDescent="0.3">
      <c r="A23" t="str">
        <f>IFERROR(INDEX(激励事件明细!$A$2:$A$501,MATCH($B$3&amp;"|"&amp;(($B$12-1)*25+ROW()-17),激励事件明细!$AH$2:$AH$501,0)),"")</f>
        <v/>
      </c>
      <c r="B23" s="11" t="str">
        <f>IFERROR(INDEX(激励事件明细!$G$2:$G$501,MATCH($B$3&amp;"|"&amp;(($B$12-1)*25+ROW()-17),激励事件明细!$AH$2:$AH$501,0)),"")</f>
        <v/>
      </c>
      <c r="C23" t="str">
        <f>IFERROR(INDEX(激励事件明细!$F$2:$F$501,MATCH($B$3&amp;"|"&amp;(($B$12-1)*25+ROW()-17),激励事件明细!$AH$2:$AH$501,0)),"")</f>
        <v/>
      </c>
      <c r="D23" s="19" t="str">
        <f>IFERROR(INDEX(激励事件明细!$T$2:$T$501,MATCH($B$3&amp;"|"&amp;(($B$12-1)*25+ROW()-17),激励事件明细!$AH$2:$AH$501,0)),"")</f>
        <v/>
      </c>
      <c r="E23" s="19" t="str">
        <f>IFERROR(INDEX(激励事件明细!$AA$2:$AA$501,MATCH($B$3&amp;"|"&amp;(($B$12-1)*25+ROW()-17),激励事件明细!$AH$2:$AH$501,0)),"")</f>
        <v/>
      </c>
      <c r="F23" s="11" t="str">
        <f>IFERROR(INDEX(激励事件明细!$AC$2:$AC$501,MATCH($B$3&amp;"|"&amp;(($B$12-1)*25+ROW()-17),激励事件明细!$AH$2:$AH$501,0)),"")</f>
        <v/>
      </c>
      <c r="G23" t="str">
        <f>IFERROR(INDEX(激励事件明细!$AD$2:$AD$501,MATCH($B$3&amp;"|"&amp;(($B$12-1)*25+ROW()-17),激励事件明细!$AH$2:$AH$501,0)),"")</f>
        <v/>
      </c>
    </row>
    <row r="24" spans="1:7" x14ac:dyDescent="0.3">
      <c r="A24" t="str">
        <f>IFERROR(INDEX(激励事件明细!$A$2:$A$501,MATCH($B$3&amp;"|"&amp;(($B$12-1)*25+ROW()-17),激励事件明细!$AH$2:$AH$501,0)),"")</f>
        <v/>
      </c>
      <c r="B24" s="11" t="str">
        <f>IFERROR(INDEX(激励事件明细!$G$2:$G$501,MATCH($B$3&amp;"|"&amp;(($B$12-1)*25+ROW()-17),激励事件明细!$AH$2:$AH$501,0)),"")</f>
        <v/>
      </c>
      <c r="C24" t="str">
        <f>IFERROR(INDEX(激励事件明细!$F$2:$F$501,MATCH($B$3&amp;"|"&amp;(($B$12-1)*25+ROW()-17),激励事件明细!$AH$2:$AH$501,0)),"")</f>
        <v/>
      </c>
      <c r="D24" s="19" t="str">
        <f>IFERROR(INDEX(激励事件明细!$T$2:$T$501,MATCH($B$3&amp;"|"&amp;(($B$12-1)*25+ROW()-17),激励事件明细!$AH$2:$AH$501,0)),"")</f>
        <v/>
      </c>
      <c r="E24" s="19" t="str">
        <f>IFERROR(INDEX(激励事件明细!$AA$2:$AA$501,MATCH($B$3&amp;"|"&amp;(($B$12-1)*25+ROW()-17),激励事件明细!$AH$2:$AH$501,0)),"")</f>
        <v/>
      </c>
      <c r="F24" s="11" t="str">
        <f>IFERROR(INDEX(激励事件明细!$AC$2:$AC$501,MATCH($B$3&amp;"|"&amp;(($B$12-1)*25+ROW()-17),激励事件明细!$AH$2:$AH$501,0)),"")</f>
        <v/>
      </c>
      <c r="G24" t="str">
        <f>IFERROR(INDEX(激励事件明细!$AD$2:$AD$501,MATCH($B$3&amp;"|"&amp;(($B$12-1)*25+ROW()-17),激励事件明细!$AH$2:$AH$501,0)),"")</f>
        <v/>
      </c>
    </row>
    <row r="25" spans="1:7" x14ac:dyDescent="0.3">
      <c r="A25" t="str">
        <f>IFERROR(INDEX(激励事件明细!$A$2:$A$501,MATCH($B$3&amp;"|"&amp;(($B$12-1)*25+ROW()-17),激励事件明细!$AH$2:$AH$501,0)),"")</f>
        <v/>
      </c>
      <c r="B25" s="11" t="str">
        <f>IFERROR(INDEX(激励事件明细!$G$2:$G$501,MATCH($B$3&amp;"|"&amp;(($B$12-1)*25+ROW()-17),激励事件明细!$AH$2:$AH$501,0)),"")</f>
        <v/>
      </c>
      <c r="C25" t="str">
        <f>IFERROR(INDEX(激励事件明细!$F$2:$F$501,MATCH($B$3&amp;"|"&amp;(($B$12-1)*25+ROW()-17),激励事件明细!$AH$2:$AH$501,0)),"")</f>
        <v/>
      </c>
      <c r="D25" s="19" t="str">
        <f>IFERROR(INDEX(激励事件明细!$T$2:$T$501,MATCH($B$3&amp;"|"&amp;(($B$12-1)*25+ROW()-17),激励事件明细!$AH$2:$AH$501,0)),"")</f>
        <v/>
      </c>
      <c r="E25" s="19" t="str">
        <f>IFERROR(INDEX(激励事件明细!$AA$2:$AA$501,MATCH($B$3&amp;"|"&amp;(($B$12-1)*25+ROW()-17),激励事件明细!$AH$2:$AH$501,0)),"")</f>
        <v/>
      </c>
      <c r="F25" s="11" t="str">
        <f>IFERROR(INDEX(激励事件明细!$AC$2:$AC$501,MATCH($B$3&amp;"|"&amp;(($B$12-1)*25+ROW()-17),激励事件明细!$AH$2:$AH$501,0)),"")</f>
        <v/>
      </c>
      <c r="G25" t="str">
        <f>IFERROR(INDEX(激励事件明细!$AD$2:$AD$501,MATCH($B$3&amp;"|"&amp;(($B$12-1)*25+ROW()-17),激励事件明细!$AH$2:$AH$501,0)),"")</f>
        <v/>
      </c>
    </row>
    <row r="26" spans="1:7" x14ac:dyDescent="0.3">
      <c r="A26" t="str">
        <f>IFERROR(INDEX(激励事件明细!$A$2:$A$501,MATCH($B$3&amp;"|"&amp;(($B$12-1)*25+ROW()-17),激励事件明细!$AH$2:$AH$501,0)),"")</f>
        <v/>
      </c>
      <c r="B26" s="11" t="str">
        <f>IFERROR(INDEX(激励事件明细!$G$2:$G$501,MATCH($B$3&amp;"|"&amp;(($B$12-1)*25+ROW()-17),激励事件明细!$AH$2:$AH$501,0)),"")</f>
        <v/>
      </c>
      <c r="C26" t="str">
        <f>IFERROR(INDEX(激励事件明细!$F$2:$F$501,MATCH($B$3&amp;"|"&amp;(($B$12-1)*25+ROW()-17),激励事件明细!$AH$2:$AH$501,0)),"")</f>
        <v/>
      </c>
      <c r="D26" s="19" t="str">
        <f>IFERROR(INDEX(激励事件明细!$T$2:$T$501,MATCH($B$3&amp;"|"&amp;(($B$12-1)*25+ROW()-17),激励事件明细!$AH$2:$AH$501,0)),"")</f>
        <v/>
      </c>
      <c r="E26" s="19" t="str">
        <f>IFERROR(INDEX(激励事件明细!$AA$2:$AA$501,MATCH($B$3&amp;"|"&amp;(($B$12-1)*25+ROW()-17),激励事件明细!$AH$2:$AH$501,0)),"")</f>
        <v/>
      </c>
      <c r="F26" s="11" t="str">
        <f>IFERROR(INDEX(激励事件明细!$AC$2:$AC$501,MATCH($B$3&amp;"|"&amp;(($B$12-1)*25+ROW()-17),激励事件明细!$AH$2:$AH$501,0)),"")</f>
        <v/>
      </c>
      <c r="G26" t="str">
        <f>IFERROR(INDEX(激励事件明细!$AD$2:$AD$501,MATCH($B$3&amp;"|"&amp;(($B$12-1)*25+ROW()-17),激励事件明细!$AH$2:$AH$501,0)),"")</f>
        <v/>
      </c>
    </row>
    <row r="27" spans="1:7" x14ac:dyDescent="0.3">
      <c r="A27" t="str">
        <f>IFERROR(INDEX(激励事件明细!$A$2:$A$501,MATCH($B$3&amp;"|"&amp;(($B$12-1)*25+ROW()-17),激励事件明细!$AH$2:$AH$501,0)),"")</f>
        <v/>
      </c>
      <c r="B27" s="11" t="str">
        <f>IFERROR(INDEX(激励事件明细!$G$2:$G$501,MATCH($B$3&amp;"|"&amp;(($B$12-1)*25+ROW()-17),激励事件明细!$AH$2:$AH$501,0)),"")</f>
        <v/>
      </c>
      <c r="C27" t="str">
        <f>IFERROR(INDEX(激励事件明细!$F$2:$F$501,MATCH($B$3&amp;"|"&amp;(($B$12-1)*25+ROW()-17),激励事件明细!$AH$2:$AH$501,0)),"")</f>
        <v/>
      </c>
      <c r="D27" s="19" t="str">
        <f>IFERROR(INDEX(激励事件明细!$T$2:$T$501,MATCH($B$3&amp;"|"&amp;(($B$12-1)*25+ROW()-17),激励事件明细!$AH$2:$AH$501,0)),"")</f>
        <v/>
      </c>
      <c r="E27" s="19" t="str">
        <f>IFERROR(INDEX(激励事件明细!$AA$2:$AA$501,MATCH($B$3&amp;"|"&amp;(($B$12-1)*25+ROW()-17),激励事件明细!$AH$2:$AH$501,0)),"")</f>
        <v/>
      </c>
      <c r="F27" s="11" t="str">
        <f>IFERROR(INDEX(激励事件明细!$AC$2:$AC$501,MATCH($B$3&amp;"|"&amp;(($B$12-1)*25+ROW()-17),激励事件明细!$AH$2:$AH$501,0)),"")</f>
        <v/>
      </c>
      <c r="G27" t="str">
        <f>IFERROR(INDEX(激励事件明细!$AD$2:$AD$501,MATCH($B$3&amp;"|"&amp;(($B$12-1)*25+ROW()-17),激励事件明细!$AH$2:$AH$501,0)),"")</f>
        <v/>
      </c>
    </row>
    <row r="28" spans="1:7" x14ac:dyDescent="0.3">
      <c r="A28" t="str">
        <f>IFERROR(INDEX(激励事件明细!$A$2:$A$501,MATCH($B$3&amp;"|"&amp;(($B$12-1)*25+ROW()-17),激励事件明细!$AH$2:$AH$501,0)),"")</f>
        <v/>
      </c>
      <c r="B28" s="11" t="str">
        <f>IFERROR(INDEX(激励事件明细!$G$2:$G$501,MATCH($B$3&amp;"|"&amp;(($B$12-1)*25+ROW()-17),激励事件明细!$AH$2:$AH$501,0)),"")</f>
        <v/>
      </c>
      <c r="C28" t="str">
        <f>IFERROR(INDEX(激励事件明细!$F$2:$F$501,MATCH($B$3&amp;"|"&amp;(($B$12-1)*25+ROW()-17),激励事件明细!$AH$2:$AH$501,0)),"")</f>
        <v/>
      </c>
      <c r="D28" s="19" t="str">
        <f>IFERROR(INDEX(激励事件明细!$T$2:$T$501,MATCH($B$3&amp;"|"&amp;(($B$12-1)*25+ROW()-17),激励事件明细!$AH$2:$AH$501,0)),"")</f>
        <v/>
      </c>
      <c r="E28" s="19" t="str">
        <f>IFERROR(INDEX(激励事件明细!$AA$2:$AA$501,MATCH($B$3&amp;"|"&amp;(($B$12-1)*25+ROW()-17),激励事件明细!$AH$2:$AH$501,0)),"")</f>
        <v/>
      </c>
      <c r="F28" s="11" t="str">
        <f>IFERROR(INDEX(激励事件明细!$AC$2:$AC$501,MATCH($B$3&amp;"|"&amp;(($B$12-1)*25+ROW()-17),激励事件明细!$AH$2:$AH$501,0)),"")</f>
        <v/>
      </c>
      <c r="G28" t="str">
        <f>IFERROR(INDEX(激励事件明细!$AD$2:$AD$501,MATCH($B$3&amp;"|"&amp;(($B$12-1)*25+ROW()-17),激励事件明细!$AH$2:$AH$501,0)),"")</f>
        <v/>
      </c>
    </row>
    <row r="29" spans="1:7" x14ac:dyDescent="0.3">
      <c r="A29" t="str">
        <f>IFERROR(INDEX(激励事件明细!$A$2:$A$501,MATCH($B$3&amp;"|"&amp;(($B$12-1)*25+ROW()-17),激励事件明细!$AH$2:$AH$501,0)),"")</f>
        <v/>
      </c>
      <c r="B29" s="11" t="str">
        <f>IFERROR(INDEX(激励事件明细!$G$2:$G$501,MATCH($B$3&amp;"|"&amp;(($B$12-1)*25+ROW()-17),激励事件明细!$AH$2:$AH$501,0)),"")</f>
        <v/>
      </c>
      <c r="C29" t="str">
        <f>IFERROR(INDEX(激励事件明细!$F$2:$F$501,MATCH($B$3&amp;"|"&amp;(($B$12-1)*25+ROW()-17),激励事件明细!$AH$2:$AH$501,0)),"")</f>
        <v/>
      </c>
      <c r="D29" s="19" t="str">
        <f>IFERROR(INDEX(激励事件明细!$T$2:$T$501,MATCH($B$3&amp;"|"&amp;(($B$12-1)*25+ROW()-17),激励事件明细!$AH$2:$AH$501,0)),"")</f>
        <v/>
      </c>
      <c r="E29" s="19" t="str">
        <f>IFERROR(INDEX(激励事件明细!$AA$2:$AA$501,MATCH($B$3&amp;"|"&amp;(($B$12-1)*25+ROW()-17),激励事件明细!$AH$2:$AH$501,0)),"")</f>
        <v/>
      </c>
      <c r="F29" s="11" t="str">
        <f>IFERROR(INDEX(激励事件明细!$AC$2:$AC$501,MATCH($B$3&amp;"|"&amp;(($B$12-1)*25+ROW()-17),激励事件明细!$AH$2:$AH$501,0)),"")</f>
        <v/>
      </c>
      <c r="G29" t="str">
        <f>IFERROR(INDEX(激励事件明细!$AD$2:$AD$501,MATCH($B$3&amp;"|"&amp;(($B$12-1)*25+ROW()-17),激励事件明细!$AH$2:$AH$501,0)),"")</f>
        <v/>
      </c>
    </row>
    <row r="30" spans="1:7" x14ac:dyDescent="0.3">
      <c r="A30" t="str">
        <f>IFERROR(INDEX(激励事件明细!$A$2:$A$501,MATCH($B$3&amp;"|"&amp;(($B$12-1)*25+ROW()-17),激励事件明细!$AH$2:$AH$501,0)),"")</f>
        <v/>
      </c>
      <c r="B30" s="11" t="str">
        <f>IFERROR(INDEX(激励事件明细!$G$2:$G$501,MATCH($B$3&amp;"|"&amp;(($B$12-1)*25+ROW()-17),激励事件明细!$AH$2:$AH$501,0)),"")</f>
        <v/>
      </c>
      <c r="C30" t="str">
        <f>IFERROR(INDEX(激励事件明细!$F$2:$F$501,MATCH($B$3&amp;"|"&amp;(($B$12-1)*25+ROW()-17),激励事件明细!$AH$2:$AH$501,0)),"")</f>
        <v/>
      </c>
      <c r="D30" s="19" t="str">
        <f>IFERROR(INDEX(激励事件明细!$T$2:$T$501,MATCH($B$3&amp;"|"&amp;(($B$12-1)*25+ROW()-17),激励事件明细!$AH$2:$AH$501,0)),"")</f>
        <v/>
      </c>
      <c r="E30" s="19" t="str">
        <f>IFERROR(INDEX(激励事件明细!$AA$2:$AA$501,MATCH($B$3&amp;"|"&amp;(($B$12-1)*25+ROW()-17),激励事件明细!$AH$2:$AH$501,0)),"")</f>
        <v/>
      </c>
      <c r="F30" s="11" t="str">
        <f>IFERROR(INDEX(激励事件明细!$AC$2:$AC$501,MATCH($B$3&amp;"|"&amp;(($B$12-1)*25+ROW()-17),激励事件明细!$AH$2:$AH$501,0)),"")</f>
        <v/>
      </c>
      <c r="G30" t="str">
        <f>IFERROR(INDEX(激励事件明细!$AD$2:$AD$501,MATCH($B$3&amp;"|"&amp;(($B$12-1)*25+ROW()-17),激励事件明细!$AH$2:$AH$501,0)),"")</f>
        <v/>
      </c>
    </row>
    <row r="31" spans="1:7" x14ac:dyDescent="0.3">
      <c r="A31" t="str">
        <f>IFERROR(INDEX(激励事件明细!$A$2:$A$501,MATCH($B$3&amp;"|"&amp;(($B$12-1)*25+ROW()-17),激励事件明细!$AH$2:$AH$501,0)),"")</f>
        <v/>
      </c>
      <c r="B31" s="11" t="str">
        <f>IFERROR(INDEX(激励事件明细!$G$2:$G$501,MATCH($B$3&amp;"|"&amp;(($B$12-1)*25+ROW()-17),激励事件明细!$AH$2:$AH$501,0)),"")</f>
        <v/>
      </c>
      <c r="C31" t="str">
        <f>IFERROR(INDEX(激励事件明细!$F$2:$F$501,MATCH($B$3&amp;"|"&amp;(($B$12-1)*25+ROW()-17),激励事件明细!$AH$2:$AH$501,0)),"")</f>
        <v/>
      </c>
      <c r="D31" s="19" t="str">
        <f>IFERROR(INDEX(激励事件明细!$T$2:$T$501,MATCH($B$3&amp;"|"&amp;(($B$12-1)*25+ROW()-17),激励事件明细!$AH$2:$AH$501,0)),"")</f>
        <v/>
      </c>
      <c r="E31" s="19" t="str">
        <f>IFERROR(INDEX(激励事件明细!$AA$2:$AA$501,MATCH($B$3&amp;"|"&amp;(($B$12-1)*25+ROW()-17),激励事件明细!$AH$2:$AH$501,0)),"")</f>
        <v/>
      </c>
      <c r="F31" s="11" t="str">
        <f>IFERROR(INDEX(激励事件明细!$AC$2:$AC$501,MATCH($B$3&amp;"|"&amp;(($B$12-1)*25+ROW()-17),激励事件明细!$AH$2:$AH$501,0)),"")</f>
        <v/>
      </c>
      <c r="G31" t="str">
        <f>IFERROR(INDEX(激励事件明细!$AD$2:$AD$501,MATCH($B$3&amp;"|"&amp;(($B$12-1)*25+ROW()-17),激励事件明细!$AH$2:$AH$501,0)),"")</f>
        <v/>
      </c>
    </row>
    <row r="32" spans="1:7" x14ac:dyDescent="0.3">
      <c r="A32" t="str">
        <f>IFERROR(INDEX(激励事件明细!$A$2:$A$501,MATCH($B$3&amp;"|"&amp;(($B$12-1)*25+ROW()-17),激励事件明细!$AH$2:$AH$501,0)),"")</f>
        <v/>
      </c>
      <c r="B32" s="11" t="str">
        <f>IFERROR(INDEX(激励事件明细!$G$2:$G$501,MATCH($B$3&amp;"|"&amp;(($B$12-1)*25+ROW()-17),激励事件明细!$AH$2:$AH$501,0)),"")</f>
        <v/>
      </c>
      <c r="C32" t="str">
        <f>IFERROR(INDEX(激励事件明细!$F$2:$F$501,MATCH($B$3&amp;"|"&amp;(($B$12-1)*25+ROW()-17),激励事件明细!$AH$2:$AH$501,0)),"")</f>
        <v/>
      </c>
      <c r="D32" s="19" t="str">
        <f>IFERROR(INDEX(激励事件明细!$T$2:$T$501,MATCH($B$3&amp;"|"&amp;(($B$12-1)*25+ROW()-17),激励事件明细!$AH$2:$AH$501,0)),"")</f>
        <v/>
      </c>
      <c r="E32" s="19" t="str">
        <f>IFERROR(INDEX(激励事件明细!$AA$2:$AA$501,MATCH($B$3&amp;"|"&amp;(($B$12-1)*25+ROW()-17),激励事件明细!$AH$2:$AH$501,0)),"")</f>
        <v/>
      </c>
      <c r="F32" s="11" t="str">
        <f>IFERROR(INDEX(激励事件明细!$AC$2:$AC$501,MATCH($B$3&amp;"|"&amp;(($B$12-1)*25+ROW()-17),激励事件明细!$AH$2:$AH$501,0)),"")</f>
        <v/>
      </c>
      <c r="G32" t="str">
        <f>IFERROR(INDEX(激励事件明细!$AD$2:$AD$501,MATCH($B$3&amp;"|"&amp;(($B$12-1)*25+ROW()-17),激励事件明细!$AH$2:$AH$501,0)),"")</f>
        <v/>
      </c>
    </row>
    <row r="33" spans="1:7" x14ac:dyDescent="0.3">
      <c r="A33" t="str">
        <f>IFERROR(INDEX(激励事件明细!$A$2:$A$501,MATCH($B$3&amp;"|"&amp;(($B$12-1)*25+ROW()-17),激励事件明细!$AH$2:$AH$501,0)),"")</f>
        <v/>
      </c>
      <c r="B33" s="11" t="str">
        <f>IFERROR(INDEX(激励事件明细!$G$2:$G$501,MATCH($B$3&amp;"|"&amp;(($B$12-1)*25+ROW()-17),激励事件明细!$AH$2:$AH$501,0)),"")</f>
        <v/>
      </c>
      <c r="C33" t="str">
        <f>IFERROR(INDEX(激励事件明细!$F$2:$F$501,MATCH($B$3&amp;"|"&amp;(($B$12-1)*25+ROW()-17),激励事件明细!$AH$2:$AH$501,0)),"")</f>
        <v/>
      </c>
      <c r="D33" s="19" t="str">
        <f>IFERROR(INDEX(激励事件明细!$T$2:$T$501,MATCH($B$3&amp;"|"&amp;(($B$12-1)*25+ROW()-17),激励事件明细!$AH$2:$AH$501,0)),"")</f>
        <v/>
      </c>
      <c r="E33" s="19" t="str">
        <f>IFERROR(INDEX(激励事件明细!$AA$2:$AA$501,MATCH($B$3&amp;"|"&amp;(($B$12-1)*25+ROW()-17),激励事件明细!$AH$2:$AH$501,0)),"")</f>
        <v/>
      </c>
      <c r="F33" s="11" t="str">
        <f>IFERROR(INDEX(激励事件明细!$AC$2:$AC$501,MATCH($B$3&amp;"|"&amp;(($B$12-1)*25+ROW()-17),激励事件明细!$AH$2:$AH$501,0)),"")</f>
        <v/>
      </c>
      <c r="G33" t="str">
        <f>IFERROR(INDEX(激励事件明细!$AD$2:$AD$501,MATCH($B$3&amp;"|"&amp;(($B$12-1)*25+ROW()-17),激励事件明细!$AH$2:$AH$501,0)),"")</f>
        <v/>
      </c>
    </row>
    <row r="34" spans="1:7" x14ac:dyDescent="0.3">
      <c r="A34" t="str">
        <f>IFERROR(INDEX(激励事件明细!$A$2:$A$501,MATCH($B$3&amp;"|"&amp;(($B$12-1)*25+ROW()-17),激励事件明细!$AH$2:$AH$501,0)),"")</f>
        <v/>
      </c>
      <c r="B34" s="11" t="str">
        <f>IFERROR(INDEX(激励事件明细!$G$2:$G$501,MATCH($B$3&amp;"|"&amp;(($B$12-1)*25+ROW()-17),激励事件明细!$AH$2:$AH$501,0)),"")</f>
        <v/>
      </c>
      <c r="C34" t="str">
        <f>IFERROR(INDEX(激励事件明细!$F$2:$F$501,MATCH($B$3&amp;"|"&amp;(($B$12-1)*25+ROW()-17),激励事件明细!$AH$2:$AH$501,0)),"")</f>
        <v/>
      </c>
      <c r="D34" s="19" t="str">
        <f>IFERROR(INDEX(激励事件明细!$T$2:$T$501,MATCH($B$3&amp;"|"&amp;(($B$12-1)*25+ROW()-17),激励事件明细!$AH$2:$AH$501,0)),"")</f>
        <v/>
      </c>
      <c r="E34" s="19" t="str">
        <f>IFERROR(INDEX(激励事件明细!$AA$2:$AA$501,MATCH($B$3&amp;"|"&amp;(($B$12-1)*25+ROW()-17),激励事件明细!$AH$2:$AH$501,0)),"")</f>
        <v/>
      </c>
      <c r="F34" s="11" t="str">
        <f>IFERROR(INDEX(激励事件明细!$AC$2:$AC$501,MATCH($B$3&amp;"|"&amp;(($B$12-1)*25+ROW()-17),激励事件明细!$AH$2:$AH$501,0)),"")</f>
        <v/>
      </c>
      <c r="G34" t="str">
        <f>IFERROR(INDEX(激励事件明细!$AD$2:$AD$501,MATCH($B$3&amp;"|"&amp;(($B$12-1)*25+ROW()-17),激励事件明细!$AH$2:$AH$501,0)),"")</f>
        <v/>
      </c>
    </row>
    <row r="35" spans="1:7" x14ac:dyDescent="0.3">
      <c r="A35" t="str">
        <f>IFERROR(INDEX(激励事件明细!$A$2:$A$501,MATCH($B$3&amp;"|"&amp;(($B$12-1)*25+ROW()-17),激励事件明细!$AH$2:$AH$501,0)),"")</f>
        <v/>
      </c>
      <c r="B35" s="11" t="str">
        <f>IFERROR(INDEX(激励事件明细!$G$2:$G$501,MATCH($B$3&amp;"|"&amp;(($B$12-1)*25+ROW()-17),激励事件明细!$AH$2:$AH$501,0)),"")</f>
        <v/>
      </c>
      <c r="C35" t="str">
        <f>IFERROR(INDEX(激励事件明细!$F$2:$F$501,MATCH($B$3&amp;"|"&amp;(($B$12-1)*25+ROW()-17),激励事件明细!$AH$2:$AH$501,0)),"")</f>
        <v/>
      </c>
      <c r="D35" s="19" t="str">
        <f>IFERROR(INDEX(激励事件明细!$T$2:$T$501,MATCH($B$3&amp;"|"&amp;(($B$12-1)*25+ROW()-17),激励事件明细!$AH$2:$AH$501,0)),"")</f>
        <v/>
      </c>
      <c r="E35" s="19" t="str">
        <f>IFERROR(INDEX(激励事件明细!$AA$2:$AA$501,MATCH($B$3&amp;"|"&amp;(($B$12-1)*25+ROW()-17),激励事件明细!$AH$2:$AH$501,0)),"")</f>
        <v/>
      </c>
      <c r="F35" s="11" t="str">
        <f>IFERROR(INDEX(激励事件明细!$AC$2:$AC$501,MATCH($B$3&amp;"|"&amp;(($B$12-1)*25+ROW()-17),激励事件明细!$AH$2:$AH$501,0)),"")</f>
        <v/>
      </c>
      <c r="G35" t="str">
        <f>IFERROR(INDEX(激励事件明细!$AD$2:$AD$501,MATCH($B$3&amp;"|"&amp;(($B$12-1)*25+ROW()-17),激励事件明细!$AH$2:$AH$501,0)),"")</f>
        <v/>
      </c>
    </row>
    <row r="36" spans="1:7" x14ac:dyDescent="0.3">
      <c r="A36" t="str">
        <f>IFERROR(INDEX(激励事件明细!$A$2:$A$501,MATCH($B$3&amp;"|"&amp;(($B$12-1)*25+ROW()-17),激励事件明细!$AH$2:$AH$501,0)),"")</f>
        <v/>
      </c>
      <c r="B36" s="11" t="str">
        <f>IFERROR(INDEX(激励事件明细!$G$2:$G$501,MATCH($B$3&amp;"|"&amp;(($B$12-1)*25+ROW()-17),激励事件明细!$AH$2:$AH$501,0)),"")</f>
        <v/>
      </c>
      <c r="C36" t="str">
        <f>IFERROR(INDEX(激励事件明细!$F$2:$F$501,MATCH($B$3&amp;"|"&amp;(($B$12-1)*25+ROW()-17),激励事件明细!$AH$2:$AH$501,0)),"")</f>
        <v/>
      </c>
      <c r="D36" s="19" t="str">
        <f>IFERROR(INDEX(激励事件明细!$T$2:$T$501,MATCH($B$3&amp;"|"&amp;(($B$12-1)*25+ROW()-17),激励事件明细!$AH$2:$AH$501,0)),"")</f>
        <v/>
      </c>
      <c r="E36" s="19" t="str">
        <f>IFERROR(INDEX(激励事件明细!$AA$2:$AA$501,MATCH($B$3&amp;"|"&amp;(($B$12-1)*25+ROW()-17),激励事件明细!$AH$2:$AH$501,0)),"")</f>
        <v/>
      </c>
      <c r="F36" s="11" t="str">
        <f>IFERROR(INDEX(激励事件明细!$AC$2:$AC$501,MATCH($B$3&amp;"|"&amp;(($B$12-1)*25+ROW()-17),激励事件明细!$AH$2:$AH$501,0)),"")</f>
        <v/>
      </c>
      <c r="G36" t="str">
        <f>IFERROR(INDEX(激励事件明细!$AD$2:$AD$501,MATCH($B$3&amp;"|"&amp;(($B$12-1)*25+ROW()-17),激励事件明细!$AH$2:$AH$501,0)),"")</f>
        <v/>
      </c>
    </row>
    <row r="37" spans="1:7" x14ac:dyDescent="0.3">
      <c r="A37" t="str">
        <f>IFERROR(INDEX(激励事件明细!$A$2:$A$501,MATCH($B$3&amp;"|"&amp;(($B$12-1)*25+ROW()-17),激励事件明细!$AH$2:$AH$501,0)),"")</f>
        <v/>
      </c>
      <c r="B37" s="11" t="str">
        <f>IFERROR(INDEX(激励事件明细!$G$2:$G$501,MATCH($B$3&amp;"|"&amp;(($B$12-1)*25+ROW()-17),激励事件明细!$AH$2:$AH$501,0)),"")</f>
        <v/>
      </c>
      <c r="C37" t="str">
        <f>IFERROR(INDEX(激励事件明细!$F$2:$F$501,MATCH($B$3&amp;"|"&amp;(($B$12-1)*25+ROW()-17),激励事件明细!$AH$2:$AH$501,0)),"")</f>
        <v/>
      </c>
      <c r="D37" s="19" t="str">
        <f>IFERROR(INDEX(激励事件明细!$T$2:$T$501,MATCH($B$3&amp;"|"&amp;(($B$12-1)*25+ROW()-17),激励事件明细!$AH$2:$AH$501,0)),"")</f>
        <v/>
      </c>
      <c r="E37" s="19" t="str">
        <f>IFERROR(INDEX(激励事件明细!$AA$2:$AA$501,MATCH($B$3&amp;"|"&amp;(($B$12-1)*25+ROW()-17),激励事件明细!$AH$2:$AH$501,0)),"")</f>
        <v/>
      </c>
      <c r="F37" s="11" t="str">
        <f>IFERROR(INDEX(激励事件明细!$AC$2:$AC$501,MATCH($B$3&amp;"|"&amp;(($B$12-1)*25+ROW()-17),激励事件明细!$AH$2:$AH$501,0)),"")</f>
        <v/>
      </c>
      <c r="G37" t="str">
        <f>IFERROR(INDEX(激励事件明细!$AD$2:$AD$501,MATCH($B$3&amp;"|"&amp;(($B$12-1)*25+ROW()-17),激励事件明细!$AH$2:$AH$501,0)),"")</f>
        <v/>
      </c>
    </row>
    <row r="38" spans="1:7" x14ac:dyDescent="0.3">
      <c r="A38" t="str">
        <f>IFERROR(INDEX(激励事件明细!$A$2:$A$501,MATCH($B$3&amp;"|"&amp;(($B$12-1)*25+ROW()-17),激励事件明细!$AH$2:$AH$501,0)),"")</f>
        <v/>
      </c>
      <c r="B38" s="11" t="str">
        <f>IFERROR(INDEX(激励事件明细!$G$2:$G$501,MATCH($B$3&amp;"|"&amp;(($B$12-1)*25+ROW()-17),激励事件明细!$AH$2:$AH$501,0)),"")</f>
        <v/>
      </c>
      <c r="C38" t="str">
        <f>IFERROR(INDEX(激励事件明细!$F$2:$F$501,MATCH($B$3&amp;"|"&amp;(($B$12-1)*25+ROW()-17),激励事件明细!$AH$2:$AH$501,0)),"")</f>
        <v/>
      </c>
      <c r="D38" s="19" t="str">
        <f>IFERROR(INDEX(激励事件明细!$T$2:$T$501,MATCH($B$3&amp;"|"&amp;(($B$12-1)*25+ROW()-17),激励事件明细!$AH$2:$AH$501,0)),"")</f>
        <v/>
      </c>
      <c r="E38" s="19" t="str">
        <f>IFERROR(INDEX(激励事件明细!$AA$2:$AA$501,MATCH($B$3&amp;"|"&amp;(($B$12-1)*25+ROW()-17),激励事件明细!$AH$2:$AH$501,0)),"")</f>
        <v/>
      </c>
      <c r="F38" s="11" t="str">
        <f>IFERROR(INDEX(激励事件明细!$AC$2:$AC$501,MATCH($B$3&amp;"|"&amp;(($B$12-1)*25+ROW()-17),激励事件明细!$AH$2:$AH$501,0)),"")</f>
        <v/>
      </c>
      <c r="G38" t="str">
        <f>IFERROR(INDEX(激励事件明细!$AD$2:$AD$501,MATCH($B$3&amp;"|"&amp;(($B$12-1)*25+ROW()-17),激励事件明细!$AH$2:$AH$501,0)),"")</f>
        <v/>
      </c>
    </row>
    <row r="39" spans="1:7" x14ac:dyDescent="0.3">
      <c r="A39" t="str">
        <f>IFERROR(INDEX(激励事件明细!$A$2:$A$501,MATCH($B$3&amp;"|"&amp;(($B$12-1)*25+ROW()-17),激励事件明细!$AH$2:$AH$501,0)),"")</f>
        <v/>
      </c>
      <c r="B39" s="11" t="str">
        <f>IFERROR(INDEX(激励事件明细!$G$2:$G$501,MATCH($B$3&amp;"|"&amp;(($B$12-1)*25+ROW()-17),激励事件明细!$AH$2:$AH$501,0)),"")</f>
        <v/>
      </c>
      <c r="C39" t="str">
        <f>IFERROR(INDEX(激励事件明细!$F$2:$F$501,MATCH($B$3&amp;"|"&amp;(($B$12-1)*25+ROW()-17),激励事件明细!$AH$2:$AH$501,0)),"")</f>
        <v/>
      </c>
      <c r="D39" s="19" t="str">
        <f>IFERROR(INDEX(激励事件明细!$T$2:$T$501,MATCH($B$3&amp;"|"&amp;(($B$12-1)*25+ROW()-17),激励事件明细!$AH$2:$AH$501,0)),"")</f>
        <v/>
      </c>
      <c r="E39" s="19" t="str">
        <f>IFERROR(INDEX(激励事件明细!$AA$2:$AA$501,MATCH($B$3&amp;"|"&amp;(($B$12-1)*25+ROW()-17),激励事件明细!$AH$2:$AH$501,0)),"")</f>
        <v/>
      </c>
      <c r="F39" s="11" t="str">
        <f>IFERROR(INDEX(激励事件明细!$AC$2:$AC$501,MATCH($B$3&amp;"|"&amp;(($B$12-1)*25+ROW()-17),激励事件明细!$AH$2:$AH$501,0)),"")</f>
        <v/>
      </c>
      <c r="G39" t="str">
        <f>IFERROR(INDEX(激励事件明细!$AD$2:$AD$501,MATCH($B$3&amp;"|"&amp;(($B$12-1)*25+ROW()-17),激励事件明细!$AH$2:$AH$501,0)),"")</f>
        <v/>
      </c>
    </row>
    <row r="40" spans="1:7" x14ac:dyDescent="0.3">
      <c r="A40" t="str">
        <f>IFERROR(INDEX(激励事件明细!$A$2:$A$501,MATCH($B$3&amp;"|"&amp;(($B$12-1)*25+ROW()-17),激励事件明细!$AH$2:$AH$501,0)),"")</f>
        <v/>
      </c>
      <c r="B40" s="11" t="str">
        <f>IFERROR(INDEX(激励事件明细!$G$2:$G$501,MATCH($B$3&amp;"|"&amp;(($B$12-1)*25+ROW()-17),激励事件明细!$AH$2:$AH$501,0)),"")</f>
        <v/>
      </c>
      <c r="C40" t="str">
        <f>IFERROR(INDEX(激励事件明细!$F$2:$F$501,MATCH($B$3&amp;"|"&amp;(($B$12-1)*25+ROW()-17),激励事件明细!$AH$2:$AH$501,0)),"")</f>
        <v/>
      </c>
      <c r="D40" s="19" t="str">
        <f>IFERROR(INDEX(激励事件明细!$T$2:$T$501,MATCH($B$3&amp;"|"&amp;(($B$12-1)*25+ROW()-17),激励事件明细!$AH$2:$AH$501,0)),"")</f>
        <v/>
      </c>
      <c r="E40" s="19" t="str">
        <f>IFERROR(INDEX(激励事件明细!$AA$2:$AA$501,MATCH($B$3&amp;"|"&amp;(($B$12-1)*25+ROW()-17),激励事件明细!$AH$2:$AH$501,0)),"")</f>
        <v/>
      </c>
      <c r="F40" s="11" t="str">
        <f>IFERROR(INDEX(激励事件明细!$AC$2:$AC$501,MATCH($B$3&amp;"|"&amp;(($B$12-1)*25+ROW()-17),激励事件明细!$AH$2:$AH$501,0)),"")</f>
        <v/>
      </c>
      <c r="G40" t="str">
        <f>IFERROR(INDEX(激励事件明细!$AD$2:$AD$501,MATCH($B$3&amp;"|"&amp;(($B$12-1)*25+ROW()-17),激励事件明细!$AH$2:$AH$501,0)),"")</f>
        <v/>
      </c>
    </row>
    <row r="41" spans="1:7" x14ac:dyDescent="0.3">
      <c r="A41" t="str">
        <f>IFERROR(INDEX(激励事件明细!$A$2:$A$501,MATCH($B$3&amp;"|"&amp;(($B$12-1)*25+ROW()-17),激励事件明细!$AH$2:$AH$501,0)),"")</f>
        <v/>
      </c>
      <c r="B41" s="11" t="str">
        <f>IFERROR(INDEX(激励事件明细!$G$2:$G$501,MATCH($B$3&amp;"|"&amp;(($B$12-1)*25+ROW()-17),激励事件明细!$AH$2:$AH$501,0)),"")</f>
        <v/>
      </c>
      <c r="C41" t="str">
        <f>IFERROR(INDEX(激励事件明细!$F$2:$F$501,MATCH($B$3&amp;"|"&amp;(($B$12-1)*25+ROW()-17),激励事件明细!$AH$2:$AH$501,0)),"")</f>
        <v/>
      </c>
      <c r="D41" s="19" t="str">
        <f>IFERROR(INDEX(激励事件明细!$T$2:$T$501,MATCH($B$3&amp;"|"&amp;(($B$12-1)*25+ROW()-17),激励事件明细!$AH$2:$AH$501,0)),"")</f>
        <v/>
      </c>
      <c r="E41" s="19" t="str">
        <f>IFERROR(INDEX(激励事件明细!$AA$2:$AA$501,MATCH($B$3&amp;"|"&amp;(($B$12-1)*25+ROW()-17),激励事件明细!$AH$2:$AH$501,0)),"")</f>
        <v/>
      </c>
      <c r="F41" s="11" t="str">
        <f>IFERROR(INDEX(激励事件明细!$AC$2:$AC$501,MATCH($B$3&amp;"|"&amp;(($B$12-1)*25+ROW()-17),激励事件明细!$AH$2:$AH$501,0)),"")</f>
        <v/>
      </c>
      <c r="G41" t="str">
        <f>IFERROR(INDEX(激励事件明细!$AD$2:$AD$501,MATCH($B$3&amp;"|"&amp;(($B$12-1)*25+ROW()-17),激励事件明细!$AH$2:$AH$501,0)),"")</f>
        <v/>
      </c>
    </row>
    <row r="42" spans="1:7" x14ac:dyDescent="0.3">
      <c r="A42" t="str">
        <f>IFERROR(INDEX(激励事件明细!$A$2:$A$501,MATCH($B$3&amp;"|"&amp;(($B$12-1)*25+ROW()-17),激励事件明细!$AH$2:$AH$501,0)),"")</f>
        <v/>
      </c>
      <c r="B42" s="11" t="str">
        <f>IFERROR(INDEX(激励事件明细!$G$2:$G$501,MATCH($B$3&amp;"|"&amp;(($B$12-1)*25+ROW()-17),激励事件明细!$AH$2:$AH$501,0)),"")</f>
        <v/>
      </c>
      <c r="C42" t="str">
        <f>IFERROR(INDEX(激励事件明细!$F$2:$F$501,MATCH($B$3&amp;"|"&amp;(($B$12-1)*25+ROW()-17),激励事件明细!$AH$2:$AH$501,0)),"")</f>
        <v/>
      </c>
      <c r="D42" s="19" t="str">
        <f>IFERROR(INDEX(激励事件明细!$T$2:$T$501,MATCH($B$3&amp;"|"&amp;(($B$12-1)*25+ROW()-17),激励事件明细!$AH$2:$AH$501,0)),"")</f>
        <v/>
      </c>
      <c r="E42" s="19" t="str">
        <f>IFERROR(INDEX(激励事件明细!$AA$2:$AA$501,MATCH($B$3&amp;"|"&amp;(($B$12-1)*25+ROW()-17),激励事件明细!$AH$2:$AH$501,0)),"")</f>
        <v/>
      </c>
      <c r="F42" s="11" t="str">
        <f>IFERROR(INDEX(激励事件明细!$AC$2:$AC$501,MATCH($B$3&amp;"|"&amp;(($B$12-1)*25+ROW()-17),激励事件明细!$AH$2:$AH$501,0)),"")</f>
        <v/>
      </c>
      <c r="G42" t="str">
        <f>IFERROR(INDEX(激励事件明细!$AD$2:$AD$501,MATCH($B$3&amp;"|"&amp;(($B$12-1)*25+ROW()-17),激励事件明细!$AH$2:$AH$501,0)),"")</f>
        <v/>
      </c>
    </row>
    <row r="44" spans="1:7" x14ac:dyDescent="0.3">
      <c r="A44" s="1" t="s">
        <v>167</v>
      </c>
    </row>
    <row r="45" spans="1:7" x14ac:dyDescent="0.3">
      <c r="A45" s="7" t="s">
        <v>86</v>
      </c>
      <c r="B45" s="7" t="s">
        <v>87</v>
      </c>
      <c r="C45" s="7" t="s">
        <v>143</v>
      </c>
      <c r="D45" s="7" t="s">
        <v>168</v>
      </c>
      <c r="E45" s="7" t="s">
        <v>169</v>
      </c>
      <c r="F45" s="7" t="s">
        <v>170</v>
      </c>
      <c r="G45" s="7" t="s">
        <v>112</v>
      </c>
    </row>
    <row r="46" spans="1:7" x14ac:dyDescent="0.3">
      <c r="A46" t="str">
        <f>IFERROR(INDEX(分期缴税台账!$T$2:$T$501,MATCH($B$3&amp;"|"&amp;(($D$12-1)*25+ROW()-45),分期缴税台账!$W$2:$W$501,0)),"")</f>
        <v/>
      </c>
      <c r="B46" t="str">
        <f>IFERROR(INDEX(分期缴税台账!$U$2:$U$501,MATCH($B$3&amp;"|"&amp;(($D$12-1)*25+ROW()-45),分期缴税台账!$W$2:$W$501,0)),"")</f>
        <v/>
      </c>
      <c r="C46" s="11" t="str">
        <f>IFERROR(INDEX(分期缴税台账!$I$2:$I$501,MATCH($B$3&amp;"|"&amp;(($D$12-1)*25+ROW()-45),分期缴税台账!$W$2:$W$501,0)),"")</f>
        <v/>
      </c>
      <c r="D46" s="19" t="str">
        <f>IFERROR(INDEX(分期缴税台账!$K$2:$K$501,MATCH($B$3&amp;"|"&amp;(($D$12-1)*25+ROW()-45),分期缴税台账!$W$2:$W$501,0)),"")</f>
        <v/>
      </c>
      <c r="E46" s="19" t="str">
        <f>IFERROR(INDEX(分期缴税台账!$M$2:$M$501,MATCH($B$3&amp;"|"&amp;(($D$12-1)*25+ROW()-45),分期缴税台账!$W$2:$W$501,0)),"")</f>
        <v/>
      </c>
      <c r="F46" s="19" t="str">
        <f>IFERROR(INDEX(分期缴税台账!$N$2:$N$501,MATCH($B$3&amp;"|"&amp;(($D$12-1)*25+ROW()-45),分期缴税台账!$W$2:$W$501,0)),"")</f>
        <v/>
      </c>
      <c r="G46" t="str">
        <f>IFERROR(INDEX(分期缴税台账!$R$2:$R$501,MATCH($B$3&amp;"|"&amp;(($D$12-1)*25+ROW()-45),分期缴税台账!$W$2:$W$501,0)),"")</f>
        <v/>
      </c>
    </row>
    <row r="47" spans="1:7" x14ac:dyDescent="0.3">
      <c r="A47" t="str">
        <f>IFERROR(INDEX(分期缴税台账!$T$2:$T$501,MATCH($B$3&amp;"|"&amp;(($D$12-1)*25+ROW()-45),分期缴税台账!$W$2:$W$501,0)),"")</f>
        <v/>
      </c>
      <c r="B47" t="str">
        <f>IFERROR(INDEX(分期缴税台账!$U$2:$U$501,MATCH($B$3&amp;"|"&amp;(($D$12-1)*25+ROW()-45),分期缴税台账!$W$2:$W$501,0)),"")</f>
        <v/>
      </c>
      <c r="C47" s="11" t="str">
        <f>IFERROR(INDEX(分期缴税台账!$I$2:$I$501,MATCH($B$3&amp;"|"&amp;(($D$12-1)*25+ROW()-45),分期缴税台账!$W$2:$W$501,0)),"")</f>
        <v/>
      </c>
      <c r="D47" s="19" t="str">
        <f>IFERROR(INDEX(分期缴税台账!$K$2:$K$501,MATCH($B$3&amp;"|"&amp;(($D$12-1)*25+ROW()-45),分期缴税台账!$W$2:$W$501,0)),"")</f>
        <v/>
      </c>
      <c r="E47" s="19" t="str">
        <f>IFERROR(INDEX(分期缴税台账!$M$2:$M$501,MATCH($B$3&amp;"|"&amp;(($D$12-1)*25+ROW()-45),分期缴税台账!$W$2:$W$501,0)),"")</f>
        <v/>
      </c>
      <c r="F47" s="19" t="str">
        <f>IFERROR(INDEX(分期缴税台账!$N$2:$N$501,MATCH($B$3&amp;"|"&amp;(($D$12-1)*25+ROW()-45),分期缴税台账!$W$2:$W$501,0)),"")</f>
        <v/>
      </c>
      <c r="G47" t="str">
        <f>IFERROR(INDEX(分期缴税台账!$R$2:$R$501,MATCH($B$3&amp;"|"&amp;(($D$12-1)*25+ROW()-45),分期缴税台账!$W$2:$W$501,0)),"")</f>
        <v/>
      </c>
    </row>
    <row r="48" spans="1:7" x14ac:dyDescent="0.3">
      <c r="A48" t="str">
        <f>IFERROR(INDEX(分期缴税台账!$T$2:$T$501,MATCH($B$3&amp;"|"&amp;(($D$12-1)*25+ROW()-45),分期缴税台账!$W$2:$W$501,0)),"")</f>
        <v/>
      </c>
      <c r="B48" t="str">
        <f>IFERROR(INDEX(分期缴税台账!$U$2:$U$501,MATCH($B$3&amp;"|"&amp;(($D$12-1)*25+ROW()-45),分期缴税台账!$W$2:$W$501,0)),"")</f>
        <v/>
      </c>
      <c r="C48" s="11" t="str">
        <f>IFERROR(INDEX(分期缴税台账!$I$2:$I$501,MATCH($B$3&amp;"|"&amp;(($D$12-1)*25+ROW()-45),分期缴税台账!$W$2:$W$501,0)),"")</f>
        <v/>
      </c>
      <c r="D48" s="19" t="str">
        <f>IFERROR(INDEX(分期缴税台账!$K$2:$K$501,MATCH($B$3&amp;"|"&amp;(($D$12-1)*25+ROW()-45),分期缴税台账!$W$2:$W$501,0)),"")</f>
        <v/>
      </c>
      <c r="E48" s="19" t="str">
        <f>IFERROR(INDEX(分期缴税台账!$M$2:$M$501,MATCH($B$3&amp;"|"&amp;(($D$12-1)*25+ROW()-45),分期缴税台账!$W$2:$W$501,0)),"")</f>
        <v/>
      </c>
      <c r="F48" s="19" t="str">
        <f>IFERROR(INDEX(分期缴税台账!$N$2:$N$501,MATCH($B$3&amp;"|"&amp;(($D$12-1)*25+ROW()-45),分期缴税台账!$W$2:$W$501,0)),"")</f>
        <v/>
      </c>
      <c r="G48" t="str">
        <f>IFERROR(INDEX(分期缴税台账!$R$2:$R$501,MATCH($B$3&amp;"|"&amp;(($D$12-1)*25+ROW()-45),分期缴税台账!$W$2:$W$501,0)),"")</f>
        <v/>
      </c>
    </row>
    <row r="49" spans="1:7" x14ac:dyDescent="0.3">
      <c r="A49" t="str">
        <f>IFERROR(INDEX(分期缴税台账!$T$2:$T$501,MATCH($B$3&amp;"|"&amp;(($D$12-1)*25+ROW()-45),分期缴税台账!$W$2:$W$501,0)),"")</f>
        <v/>
      </c>
      <c r="B49" t="str">
        <f>IFERROR(INDEX(分期缴税台账!$U$2:$U$501,MATCH($B$3&amp;"|"&amp;(($D$12-1)*25+ROW()-45),分期缴税台账!$W$2:$W$501,0)),"")</f>
        <v/>
      </c>
      <c r="C49" s="11" t="str">
        <f>IFERROR(INDEX(分期缴税台账!$I$2:$I$501,MATCH($B$3&amp;"|"&amp;(($D$12-1)*25+ROW()-45),分期缴税台账!$W$2:$W$501,0)),"")</f>
        <v/>
      </c>
      <c r="D49" s="19" t="str">
        <f>IFERROR(INDEX(分期缴税台账!$K$2:$K$501,MATCH($B$3&amp;"|"&amp;(($D$12-1)*25+ROW()-45),分期缴税台账!$W$2:$W$501,0)),"")</f>
        <v/>
      </c>
      <c r="E49" s="19" t="str">
        <f>IFERROR(INDEX(分期缴税台账!$M$2:$M$501,MATCH($B$3&amp;"|"&amp;(($D$12-1)*25+ROW()-45),分期缴税台账!$W$2:$W$501,0)),"")</f>
        <v/>
      </c>
      <c r="F49" s="19" t="str">
        <f>IFERROR(INDEX(分期缴税台账!$N$2:$N$501,MATCH($B$3&amp;"|"&amp;(($D$12-1)*25+ROW()-45),分期缴税台账!$W$2:$W$501,0)),"")</f>
        <v/>
      </c>
      <c r="G49" t="str">
        <f>IFERROR(INDEX(分期缴税台账!$R$2:$R$501,MATCH($B$3&amp;"|"&amp;(($D$12-1)*25+ROW()-45),分期缴税台账!$W$2:$W$501,0)),"")</f>
        <v/>
      </c>
    </row>
    <row r="50" spans="1:7" x14ac:dyDescent="0.3">
      <c r="A50" t="str">
        <f>IFERROR(INDEX(分期缴税台账!$T$2:$T$501,MATCH($B$3&amp;"|"&amp;(($D$12-1)*25+ROW()-45),分期缴税台账!$W$2:$W$501,0)),"")</f>
        <v/>
      </c>
      <c r="B50" t="str">
        <f>IFERROR(INDEX(分期缴税台账!$U$2:$U$501,MATCH($B$3&amp;"|"&amp;(($D$12-1)*25+ROW()-45),分期缴税台账!$W$2:$W$501,0)),"")</f>
        <v/>
      </c>
      <c r="C50" s="11" t="str">
        <f>IFERROR(INDEX(分期缴税台账!$I$2:$I$501,MATCH($B$3&amp;"|"&amp;(($D$12-1)*25+ROW()-45),分期缴税台账!$W$2:$W$501,0)),"")</f>
        <v/>
      </c>
      <c r="D50" s="19" t="str">
        <f>IFERROR(INDEX(分期缴税台账!$K$2:$K$501,MATCH($B$3&amp;"|"&amp;(($D$12-1)*25+ROW()-45),分期缴税台账!$W$2:$W$501,0)),"")</f>
        <v/>
      </c>
      <c r="E50" s="19" t="str">
        <f>IFERROR(INDEX(分期缴税台账!$M$2:$M$501,MATCH($B$3&amp;"|"&amp;(($D$12-1)*25+ROW()-45),分期缴税台账!$W$2:$W$501,0)),"")</f>
        <v/>
      </c>
      <c r="F50" s="19" t="str">
        <f>IFERROR(INDEX(分期缴税台账!$N$2:$N$501,MATCH($B$3&amp;"|"&amp;(($D$12-1)*25+ROW()-45),分期缴税台账!$W$2:$W$501,0)),"")</f>
        <v/>
      </c>
      <c r="G50" t="str">
        <f>IFERROR(INDEX(分期缴税台账!$R$2:$R$501,MATCH($B$3&amp;"|"&amp;(($D$12-1)*25+ROW()-45),分期缴税台账!$W$2:$W$501,0)),"")</f>
        <v/>
      </c>
    </row>
    <row r="51" spans="1:7" x14ac:dyDescent="0.3">
      <c r="A51" t="str">
        <f>IFERROR(INDEX(分期缴税台账!$T$2:$T$501,MATCH($B$3&amp;"|"&amp;(($D$12-1)*25+ROW()-45),分期缴税台账!$W$2:$W$501,0)),"")</f>
        <v/>
      </c>
      <c r="B51" t="str">
        <f>IFERROR(INDEX(分期缴税台账!$U$2:$U$501,MATCH($B$3&amp;"|"&amp;(($D$12-1)*25+ROW()-45),分期缴税台账!$W$2:$W$501,0)),"")</f>
        <v/>
      </c>
      <c r="C51" s="11" t="str">
        <f>IFERROR(INDEX(分期缴税台账!$I$2:$I$501,MATCH($B$3&amp;"|"&amp;(($D$12-1)*25+ROW()-45),分期缴税台账!$W$2:$W$501,0)),"")</f>
        <v/>
      </c>
      <c r="D51" s="19" t="str">
        <f>IFERROR(INDEX(分期缴税台账!$K$2:$K$501,MATCH($B$3&amp;"|"&amp;(($D$12-1)*25+ROW()-45),分期缴税台账!$W$2:$W$501,0)),"")</f>
        <v/>
      </c>
      <c r="E51" s="19" t="str">
        <f>IFERROR(INDEX(分期缴税台账!$M$2:$M$501,MATCH($B$3&amp;"|"&amp;(($D$12-1)*25+ROW()-45),分期缴税台账!$W$2:$W$501,0)),"")</f>
        <v/>
      </c>
      <c r="F51" s="19" t="str">
        <f>IFERROR(INDEX(分期缴税台账!$N$2:$N$501,MATCH($B$3&amp;"|"&amp;(($D$12-1)*25+ROW()-45),分期缴税台账!$W$2:$W$501,0)),"")</f>
        <v/>
      </c>
      <c r="G51" t="str">
        <f>IFERROR(INDEX(分期缴税台账!$R$2:$R$501,MATCH($B$3&amp;"|"&amp;(($D$12-1)*25+ROW()-45),分期缴税台账!$W$2:$W$501,0)),"")</f>
        <v/>
      </c>
    </row>
    <row r="52" spans="1:7" x14ac:dyDescent="0.3">
      <c r="A52" t="str">
        <f>IFERROR(INDEX(分期缴税台账!$T$2:$T$501,MATCH($B$3&amp;"|"&amp;(($D$12-1)*25+ROW()-45),分期缴税台账!$W$2:$W$501,0)),"")</f>
        <v/>
      </c>
      <c r="B52" t="str">
        <f>IFERROR(INDEX(分期缴税台账!$U$2:$U$501,MATCH($B$3&amp;"|"&amp;(($D$12-1)*25+ROW()-45),分期缴税台账!$W$2:$W$501,0)),"")</f>
        <v/>
      </c>
      <c r="C52" s="11" t="str">
        <f>IFERROR(INDEX(分期缴税台账!$I$2:$I$501,MATCH($B$3&amp;"|"&amp;(($D$12-1)*25+ROW()-45),分期缴税台账!$W$2:$W$501,0)),"")</f>
        <v/>
      </c>
      <c r="D52" s="19" t="str">
        <f>IFERROR(INDEX(分期缴税台账!$K$2:$K$501,MATCH($B$3&amp;"|"&amp;(($D$12-1)*25+ROW()-45),分期缴税台账!$W$2:$W$501,0)),"")</f>
        <v/>
      </c>
      <c r="E52" s="19" t="str">
        <f>IFERROR(INDEX(分期缴税台账!$M$2:$M$501,MATCH($B$3&amp;"|"&amp;(($D$12-1)*25+ROW()-45),分期缴税台账!$W$2:$W$501,0)),"")</f>
        <v/>
      </c>
      <c r="F52" s="19" t="str">
        <f>IFERROR(INDEX(分期缴税台账!$N$2:$N$501,MATCH($B$3&amp;"|"&amp;(($D$12-1)*25+ROW()-45),分期缴税台账!$W$2:$W$501,0)),"")</f>
        <v/>
      </c>
      <c r="G52" t="str">
        <f>IFERROR(INDEX(分期缴税台账!$R$2:$R$501,MATCH($B$3&amp;"|"&amp;(($D$12-1)*25+ROW()-45),分期缴税台账!$W$2:$W$501,0)),"")</f>
        <v/>
      </c>
    </row>
    <row r="53" spans="1:7" x14ac:dyDescent="0.3">
      <c r="A53" t="str">
        <f>IFERROR(INDEX(分期缴税台账!$T$2:$T$501,MATCH($B$3&amp;"|"&amp;(($D$12-1)*25+ROW()-45),分期缴税台账!$W$2:$W$501,0)),"")</f>
        <v/>
      </c>
      <c r="B53" t="str">
        <f>IFERROR(INDEX(分期缴税台账!$U$2:$U$501,MATCH($B$3&amp;"|"&amp;(($D$12-1)*25+ROW()-45),分期缴税台账!$W$2:$W$501,0)),"")</f>
        <v/>
      </c>
      <c r="C53" s="11" t="str">
        <f>IFERROR(INDEX(分期缴税台账!$I$2:$I$501,MATCH($B$3&amp;"|"&amp;(($D$12-1)*25+ROW()-45),分期缴税台账!$W$2:$W$501,0)),"")</f>
        <v/>
      </c>
      <c r="D53" s="19" t="str">
        <f>IFERROR(INDEX(分期缴税台账!$K$2:$K$501,MATCH($B$3&amp;"|"&amp;(($D$12-1)*25+ROW()-45),分期缴税台账!$W$2:$W$501,0)),"")</f>
        <v/>
      </c>
      <c r="E53" s="19" t="str">
        <f>IFERROR(INDEX(分期缴税台账!$M$2:$M$501,MATCH($B$3&amp;"|"&amp;(($D$12-1)*25+ROW()-45),分期缴税台账!$W$2:$W$501,0)),"")</f>
        <v/>
      </c>
      <c r="F53" s="19" t="str">
        <f>IFERROR(INDEX(分期缴税台账!$N$2:$N$501,MATCH($B$3&amp;"|"&amp;(($D$12-1)*25+ROW()-45),分期缴税台账!$W$2:$W$501,0)),"")</f>
        <v/>
      </c>
      <c r="G53" t="str">
        <f>IFERROR(INDEX(分期缴税台账!$R$2:$R$501,MATCH($B$3&amp;"|"&amp;(($D$12-1)*25+ROW()-45),分期缴税台账!$W$2:$W$501,0)),"")</f>
        <v/>
      </c>
    </row>
    <row r="54" spans="1:7" x14ac:dyDescent="0.3">
      <c r="A54" t="str">
        <f>IFERROR(INDEX(分期缴税台账!$T$2:$T$501,MATCH($B$3&amp;"|"&amp;(($D$12-1)*25+ROW()-45),分期缴税台账!$W$2:$W$501,0)),"")</f>
        <v/>
      </c>
      <c r="B54" t="str">
        <f>IFERROR(INDEX(分期缴税台账!$U$2:$U$501,MATCH($B$3&amp;"|"&amp;(($D$12-1)*25+ROW()-45),分期缴税台账!$W$2:$W$501,0)),"")</f>
        <v/>
      </c>
      <c r="C54" s="11" t="str">
        <f>IFERROR(INDEX(分期缴税台账!$I$2:$I$501,MATCH($B$3&amp;"|"&amp;(($D$12-1)*25+ROW()-45),分期缴税台账!$W$2:$W$501,0)),"")</f>
        <v/>
      </c>
      <c r="D54" s="19" t="str">
        <f>IFERROR(INDEX(分期缴税台账!$K$2:$K$501,MATCH($B$3&amp;"|"&amp;(($D$12-1)*25+ROW()-45),分期缴税台账!$W$2:$W$501,0)),"")</f>
        <v/>
      </c>
      <c r="E54" s="19" t="str">
        <f>IFERROR(INDEX(分期缴税台账!$M$2:$M$501,MATCH($B$3&amp;"|"&amp;(($D$12-1)*25+ROW()-45),分期缴税台账!$W$2:$W$501,0)),"")</f>
        <v/>
      </c>
      <c r="F54" s="19" t="str">
        <f>IFERROR(INDEX(分期缴税台账!$N$2:$N$501,MATCH($B$3&amp;"|"&amp;(($D$12-1)*25+ROW()-45),分期缴税台账!$W$2:$W$501,0)),"")</f>
        <v/>
      </c>
      <c r="G54" t="str">
        <f>IFERROR(INDEX(分期缴税台账!$R$2:$R$501,MATCH($B$3&amp;"|"&amp;(($D$12-1)*25+ROW()-45),分期缴税台账!$W$2:$W$501,0)),"")</f>
        <v/>
      </c>
    </row>
    <row r="55" spans="1:7" x14ac:dyDescent="0.3">
      <c r="A55" t="str">
        <f>IFERROR(INDEX(分期缴税台账!$T$2:$T$501,MATCH($B$3&amp;"|"&amp;(($D$12-1)*25+ROW()-45),分期缴税台账!$W$2:$W$501,0)),"")</f>
        <v/>
      </c>
      <c r="B55" t="str">
        <f>IFERROR(INDEX(分期缴税台账!$U$2:$U$501,MATCH($B$3&amp;"|"&amp;(($D$12-1)*25+ROW()-45),分期缴税台账!$W$2:$W$501,0)),"")</f>
        <v/>
      </c>
      <c r="C55" s="11" t="str">
        <f>IFERROR(INDEX(分期缴税台账!$I$2:$I$501,MATCH($B$3&amp;"|"&amp;(($D$12-1)*25+ROW()-45),分期缴税台账!$W$2:$W$501,0)),"")</f>
        <v/>
      </c>
      <c r="D55" s="19" t="str">
        <f>IFERROR(INDEX(分期缴税台账!$K$2:$K$501,MATCH($B$3&amp;"|"&amp;(($D$12-1)*25+ROW()-45),分期缴税台账!$W$2:$W$501,0)),"")</f>
        <v/>
      </c>
      <c r="E55" s="19" t="str">
        <f>IFERROR(INDEX(分期缴税台账!$M$2:$M$501,MATCH($B$3&amp;"|"&amp;(($D$12-1)*25+ROW()-45),分期缴税台账!$W$2:$W$501,0)),"")</f>
        <v/>
      </c>
      <c r="F55" s="19" t="str">
        <f>IFERROR(INDEX(分期缴税台账!$N$2:$N$501,MATCH($B$3&amp;"|"&amp;(($D$12-1)*25+ROW()-45),分期缴税台账!$W$2:$W$501,0)),"")</f>
        <v/>
      </c>
      <c r="G55" t="str">
        <f>IFERROR(INDEX(分期缴税台账!$R$2:$R$501,MATCH($B$3&amp;"|"&amp;(($D$12-1)*25+ROW()-45),分期缴税台账!$W$2:$W$501,0)),"")</f>
        <v/>
      </c>
    </row>
    <row r="56" spans="1:7" x14ac:dyDescent="0.3">
      <c r="A56" t="str">
        <f>IFERROR(INDEX(分期缴税台账!$T$2:$T$501,MATCH($B$3&amp;"|"&amp;(($D$12-1)*25+ROW()-45),分期缴税台账!$W$2:$W$501,0)),"")</f>
        <v/>
      </c>
      <c r="B56" t="str">
        <f>IFERROR(INDEX(分期缴税台账!$U$2:$U$501,MATCH($B$3&amp;"|"&amp;(($D$12-1)*25+ROW()-45),分期缴税台账!$W$2:$W$501,0)),"")</f>
        <v/>
      </c>
      <c r="C56" s="11" t="str">
        <f>IFERROR(INDEX(分期缴税台账!$I$2:$I$501,MATCH($B$3&amp;"|"&amp;(($D$12-1)*25+ROW()-45),分期缴税台账!$W$2:$W$501,0)),"")</f>
        <v/>
      </c>
      <c r="D56" s="19" t="str">
        <f>IFERROR(INDEX(分期缴税台账!$K$2:$K$501,MATCH($B$3&amp;"|"&amp;(($D$12-1)*25+ROW()-45),分期缴税台账!$W$2:$W$501,0)),"")</f>
        <v/>
      </c>
      <c r="E56" s="19" t="str">
        <f>IFERROR(INDEX(分期缴税台账!$M$2:$M$501,MATCH($B$3&amp;"|"&amp;(($D$12-1)*25+ROW()-45),分期缴税台账!$W$2:$W$501,0)),"")</f>
        <v/>
      </c>
      <c r="F56" s="19" t="str">
        <f>IFERROR(INDEX(分期缴税台账!$N$2:$N$501,MATCH($B$3&amp;"|"&amp;(($D$12-1)*25+ROW()-45),分期缴税台账!$W$2:$W$501,0)),"")</f>
        <v/>
      </c>
      <c r="G56" t="str">
        <f>IFERROR(INDEX(分期缴税台账!$R$2:$R$501,MATCH($B$3&amp;"|"&amp;(($D$12-1)*25+ROW()-45),分期缴税台账!$W$2:$W$501,0)),"")</f>
        <v/>
      </c>
    </row>
    <row r="57" spans="1:7" x14ac:dyDescent="0.3">
      <c r="A57" t="str">
        <f>IFERROR(INDEX(分期缴税台账!$T$2:$T$501,MATCH($B$3&amp;"|"&amp;(($D$12-1)*25+ROW()-45),分期缴税台账!$W$2:$W$501,0)),"")</f>
        <v/>
      </c>
      <c r="B57" t="str">
        <f>IFERROR(INDEX(分期缴税台账!$U$2:$U$501,MATCH($B$3&amp;"|"&amp;(($D$12-1)*25+ROW()-45),分期缴税台账!$W$2:$W$501,0)),"")</f>
        <v/>
      </c>
      <c r="C57" s="11" t="str">
        <f>IFERROR(INDEX(分期缴税台账!$I$2:$I$501,MATCH($B$3&amp;"|"&amp;(($D$12-1)*25+ROW()-45),分期缴税台账!$W$2:$W$501,0)),"")</f>
        <v/>
      </c>
      <c r="D57" s="19" t="str">
        <f>IFERROR(INDEX(分期缴税台账!$K$2:$K$501,MATCH($B$3&amp;"|"&amp;(($D$12-1)*25+ROW()-45),分期缴税台账!$W$2:$W$501,0)),"")</f>
        <v/>
      </c>
      <c r="E57" s="19" t="str">
        <f>IFERROR(INDEX(分期缴税台账!$M$2:$M$501,MATCH($B$3&amp;"|"&amp;(($D$12-1)*25+ROW()-45),分期缴税台账!$W$2:$W$501,0)),"")</f>
        <v/>
      </c>
      <c r="F57" s="19" t="str">
        <f>IFERROR(INDEX(分期缴税台账!$N$2:$N$501,MATCH($B$3&amp;"|"&amp;(($D$12-1)*25+ROW()-45),分期缴税台账!$W$2:$W$501,0)),"")</f>
        <v/>
      </c>
      <c r="G57" t="str">
        <f>IFERROR(INDEX(分期缴税台账!$R$2:$R$501,MATCH($B$3&amp;"|"&amp;(($D$12-1)*25+ROW()-45),分期缴税台账!$W$2:$W$501,0)),"")</f>
        <v/>
      </c>
    </row>
    <row r="58" spans="1:7" x14ac:dyDescent="0.3">
      <c r="A58" t="str">
        <f>IFERROR(INDEX(分期缴税台账!$T$2:$T$501,MATCH($B$3&amp;"|"&amp;(($D$12-1)*25+ROW()-45),分期缴税台账!$W$2:$W$501,0)),"")</f>
        <v/>
      </c>
      <c r="B58" t="str">
        <f>IFERROR(INDEX(分期缴税台账!$U$2:$U$501,MATCH($B$3&amp;"|"&amp;(($D$12-1)*25+ROW()-45),分期缴税台账!$W$2:$W$501,0)),"")</f>
        <v/>
      </c>
      <c r="C58" s="11" t="str">
        <f>IFERROR(INDEX(分期缴税台账!$I$2:$I$501,MATCH($B$3&amp;"|"&amp;(($D$12-1)*25+ROW()-45),分期缴税台账!$W$2:$W$501,0)),"")</f>
        <v/>
      </c>
      <c r="D58" s="19" t="str">
        <f>IFERROR(INDEX(分期缴税台账!$K$2:$K$501,MATCH($B$3&amp;"|"&amp;(($D$12-1)*25+ROW()-45),分期缴税台账!$W$2:$W$501,0)),"")</f>
        <v/>
      </c>
      <c r="E58" s="19" t="str">
        <f>IFERROR(INDEX(分期缴税台账!$M$2:$M$501,MATCH($B$3&amp;"|"&amp;(($D$12-1)*25+ROW()-45),分期缴税台账!$W$2:$W$501,0)),"")</f>
        <v/>
      </c>
      <c r="F58" s="19" t="str">
        <f>IFERROR(INDEX(分期缴税台账!$N$2:$N$501,MATCH($B$3&amp;"|"&amp;(($D$12-1)*25+ROW()-45),分期缴税台账!$W$2:$W$501,0)),"")</f>
        <v/>
      </c>
      <c r="G58" t="str">
        <f>IFERROR(INDEX(分期缴税台账!$R$2:$R$501,MATCH($B$3&amp;"|"&amp;(($D$12-1)*25+ROW()-45),分期缴税台账!$W$2:$W$501,0)),"")</f>
        <v/>
      </c>
    </row>
    <row r="59" spans="1:7" x14ac:dyDescent="0.3">
      <c r="A59" t="str">
        <f>IFERROR(INDEX(分期缴税台账!$T$2:$T$501,MATCH($B$3&amp;"|"&amp;(($D$12-1)*25+ROW()-45),分期缴税台账!$W$2:$W$501,0)),"")</f>
        <v/>
      </c>
      <c r="B59" t="str">
        <f>IFERROR(INDEX(分期缴税台账!$U$2:$U$501,MATCH($B$3&amp;"|"&amp;(($D$12-1)*25+ROW()-45),分期缴税台账!$W$2:$W$501,0)),"")</f>
        <v/>
      </c>
      <c r="C59" s="11" t="str">
        <f>IFERROR(INDEX(分期缴税台账!$I$2:$I$501,MATCH($B$3&amp;"|"&amp;(($D$12-1)*25+ROW()-45),分期缴税台账!$W$2:$W$501,0)),"")</f>
        <v/>
      </c>
      <c r="D59" s="19" t="str">
        <f>IFERROR(INDEX(分期缴税台账!$K$2:$K$501,MATCH($B$3&amp;"|"&amp;(($D$12-1)*25+ROW()-45),分期缴税台账!$W$2:$W$501,0)),"")</f>
        <v/>
      </c>
      <c r="E59" s="19" t="str">
        <f>IFERROR(INDEX(分期缴税台账!$M$2:$M$501,MATCH($B$3&amp;"|"&amp;(($D$12-1)*25+ROW()-45),分期缴税台账!$W$2:$W$501,0)),"")</f>
        <v/>
      </c>
      <c r="F59" s="19" t="str">
        <f>IFERROR(INDEX(分期缴税台账!$N$2:$N$501,MATCH($B$3&amp;"|"&amp;(($D$12-1)*25+ROW()-45),分期缴税台账!$W$2:$W$501,0)),"")</f>
        <v/>
      </c>
      <c r="G59" t="str">
        <f>IFERROR(INDEX(分期缴税台账!$R$2:$R$501,MATCH($B$3&amp;"|"&amp;(($D$12-1)*25+ROW()-45),分期缴税台账!$W$2:$W$501,0)),"")</f>
        <v/>
      </c>
    </row>
    <row r="60" spans="1:7" x14ac:dyDescent="0.3">
      <c r="A60" t="str">
        <f>IFERROR(INDEX(分期缴税台账!$T$2:$T$501,MATCH($B$3&amp;"|"&amp;(($D$12-1)*25+ROW()-45),分期缴税台账!$W$2:$W$501,0)),"")</f>
        <v/>
      </c>
      <c r="B60" t="str">
        <f>IFERROR(INDEX(分期缴税台账!$U$2:$U$501,MATCH($B$3&amp;"|"&amp;(($D$12-1)*25+ROW()-45),分期缴税台账!$W$2:$W$501,0)),"")</f>
        <v/>
      </c>
      <c r="C60" s="11" t="str">
        <f>IFERROR(INDEX(分期缴税台账!$I$2:$I$501,MATCH($B$3&amp;"|"&amp;(($D$12-1)*25+ROW()-45),分期缴税台账!$W$2:$W$501,0)),"")</f>
        <v/>
      </c>
      <c r="D60" s="19" t="str">
        <f>IFERROR(INDEX(分期缴税台账!$K$2:$K$501,MATCH($B$3&amp;"|"&amp;(($D$12-1)*25+ROW()-45),分期缴税台账!$W$2:$W$501,0)),"")</f>
        <v/>
      </c>
      <c r="E60" s="19" t="str">
        <f>IFERROR(INDEX(分期缴税台账!$M$2:$M$501,MATCH($B$3&amp;"|"&amp;(($D$12-1)*25+ROW()-45),分期缴税台账!$W$2:$W$501,0)),"")</f>
        <v/>
      </c>
      <c r="F60" s="19" t="str">
        <f>IFERROR(INDEX(分期缴税台账!$N$2:$N$501,MATCH($B$3&amp;"|"&amp;(($D$12-1)*25+ROW()-45),分期缴税台账!$W$2:$W$501,0)),"")</f>
        <v/>
      </c>
      <c r="G60" t="str">
        <f>IFERROR(INDEX(分期缴税台账!$R$2:$R$501,MATCH($B$3&amp;"|"&amp;(($D$12-1)*25+ROW()-45),分期缴税台账!$W$2:$W$501,0)),"")</f>
        <v/>
      </c>
    </row>
    <row r="61" spans="1:7" x14ac:dyDescent="0.3">
      <c r="A61" t="str">
        <f>IFERROR(INDEX(分期缴税台账!$T$2:$T$501,MATCH($B$3&amp;"|"&amp;(($D$12-1)*25+ROW()-45),分期缴税台账!$W$2:$W$501,0)),"")</f>
        <v/>
      </c>
      <c r="B61" t="str">
        <f>IFERROR(INDEX(分期缴税台账!$U$2:$U$501,MATCH($B$3&amp;"|"&amp;(($D$12-1)*25+ROW()-45),分期缴税台账!$W$2:$W$501,0)),"")</f>
        <v/>
      </c>
      <c r="C61" s="11" t="str">
        <f>IFERROR(INDEX(分期缴税台账!$I$2:$I$501,MATCH($B$3&amp;"|"&amp;(($D$12-1)*25+ROW()-45),分期缴税台账!$W$2:$W$501,0)),"")</f>
        <v/>
      </c>
      <c r="D61" s="19" t="str">
        <f>IFERROR(INDEX(分期缴税台账!$K$2:$K$501,MATCH($B$3&amp;"|"&amp;(($D$12-1)*25+ROW()-45),分期缴税台账!$W$2:$W$501,0)),"")</f>
        <v/>
      </c>
      <c r="E61" s="19" t="str">
        <f>IFERROR(INDEX(分期缴税台账!$M$2:$M$501,MATCH($B$3&amp;"|"&amp;(($D$12-1)*25+ROW()-45),分期缴税台账!$W$2:$W$501,0)),"")</f>
        <v/>
      </c>
      <c r="F61" s="19" t="str">
        <f>IFERROR(INDEX(分期缴税台账!$N$2:$N$501,MATCH($B$3&amp;"|"&amp;(($D$12-1)*25+ROW()-45),分期缴税台账!$W$2:$W$501,0)),"")</f>
        <v/>
      </c>
      <c r="G61" t="str">
        <f>IFERROR(INDEX(分期缴税台账!$R$2:$R$501,MATCH($B$3&amp;"|"&amp;(($D$12-1)*25+ROW()-45),分期缴税台账!$W$2:$W$501,0)),"")</f>
        <v/>
      </c>
    </row>
    <row r="62" spans="1:7" x14ac:dyDescent="0.3">
      <c r="A62" t="str">
        <f>IFERROR(INDEX(分期缴税台账!$T$2:$T$501,MATCH($B$3&amp;"|"&amp;(($D$12-1)*25+ROW()-45),分期缴税台账!$W$2:$W$501,0)),"")</f>
        <v/>
      </c>
      <c r="B62" t="str">
        <f>IFERROR(INDEX(分期缴税台账!$U$2:$U$501,MATCH($B$3&amp;"|"&amp;(($D$12-1)*25+ROW()-45),分期缴税台账!$W$2:$W$501,0)),"")</f>
        <v/>
      </c>
      <c r="C62" s="11" t="str">
        <f>IFERROR(INDEX(分期缴税台账!$I$2:$I$501,MATCH($B$3&amp;"|"&amp;(($D$12-1)*25+ROW()-45),分期缴税台账!$W$2:$W$501,0)),"")</f>
        <v/>
      </c>
      <c r="D62" s="19" t="str">
        <f>IFERROR(INDEX(分期缴税台账!$K$2:$K$501,MATCH($B$3&amp;"|"&amp;(($D$12-1)*25+ROW()-45),分期缴税台账!$W$2:$W$501,0)),"")</f>
        <v/>
      </c>
      <c r="E62" s="19" t="str">
        <f>IFERROR(INDEX(分期缴税台账!$M$2:$M$501,MATCH($B$3&amp;"|"&amp;(($D$12-1)*25+ROW()-45),分期缴税台账!$W$2:$W$501,0)),"")</f>
        <v/>
      </c>
      <c r="F62" s="19" t="str">
        <f>IFERROR(INDEX(分期缴税台账!$N$2:$N$501,MATCH($B$3&amp;"|"&amp;(($D$12-1)*25+ROW()-45),分期缴税台账!$W$2:$W$501,0)),"")</f>
        <v/>
      </c>
      <c r="G62" t="str">
        <f>IFERROR(INDEX(分期缴税台账!$R$2:$R$501,MATCH($B$3&amp;"|"&amp;(($D$12-1)*25+ROW()-45),分期缴税台账!$W$2:$W$501,0)),"")</f>
        <v/>
      </c>
    </row>
    <row r="63" spans="1:7" x14ac:dyDescent="0.3">
      <c r="A63" t="str">
        <f>IFERROR(INDEX(分期缴税台账!$T$2:$T$501,MATCH($B$3&amp;"|"&amp;(($D$12-1)*25+ROW()-45),分期缴税台账!$W$2:$W$501,0)),"")</f>
        <v/>
      </c>
      <c r="B63" t="str">
        <f>IFERROR(INDEX(分期缴税台账!$U$2:$U$501,MATCH($B$3&amp;"|"&amp;(($D$12-1)*25+ROW()-45),分期缴税台账!$W$2:$W$501,0)),"")</f>
        <v/>
      </c>
      <c r="C63" s="11" t="str">
        <f>IFERROR(INDEX(分期缴税台账!$I$2:$I$501,MATCH($B$3&amp;"|"&amp;(($D$12-1)*25+ROW()-45),分期缴税台账!$W$2:$W$501,0)),"")</f>
        <v/>
      </c>
      <c r="D63" s="19" t="str">
        <f>IFERROR(INDEX(分期缴税台账!$K$2:$K$501,MATCH($B$3&amp;"|"&amp;(($D$12-1)*25+ROW()-45),分期缴税台账!$W$2:$W$501,0)),"")</f>
        <v/>
      </c>
      <c r="E63" s="19" t="str">
        <f>IFERROR(INDEX(分期缴税台账!$M$2:$M$501,MATCH($B$3&amp;"|"&amp;(($D$12-1)*25+ROW()-45),分期缴税台账!$W$2:$W$501,0)),"")</f>
        <v/>
      </c>
      <c r="F63" s="19" t="str">
        <f>IFERROR(INDEX(分期缴税台账!$N$2:$N$501,MATCH($B$3&amp;"|"&amp;(($D$12-1)*25+ROW()-45),分期缴税台账!$W$2:$W$501,0)),"")</f>
        <v/>
      </c>
      <c r="G63" t="str">
        <f>IFERROR(INDEX(分期缴税台账!$R$2:$R$501,MATCH($B$3&amp;"|"&amp;(($D$12-1)*25+ROW()-45),分期缴税台账!$W$2:$W$501,0)),"")</f>
        <v/>
      </c>
    </row>
    <row r="64" spans="1:7" x14ac:dyDescent="0.3">
      <c r="A64" t="str">
        <f>IFERROR(INDEX(分期缴税台账!$T$2:$T$501,MATCH($B$3&amp;"|"&amp;(($D$12-1)*25+ROW()-45),分期缴税台账!$W$2:$W$501,0)),"")</f>
        <v/>
      </c>
      <c r="B64" t="str">
        <f>IFERROR(INDEX(分期缴税台账!$U$2:$U$501,MATCH($B$3&amp;"|"&amp;(($D$12-1)*25+ROW()-45),分期缴税台账!$W$2:$W$501,0)),"")</f>
        <v/>
      </c>
      <c r="C64" s="11" t="str">
        <f>IFERROR(INDEX(分期缴税台账!$I$2:$I$501,MATCH($B$3&amp;"|"&amp;(($D$12-1)*25+ROW()-45),分期缴税台账!$W$2:$W$501,0)),"")</f>
        <v/>
      </c>
      <c r="D64" s="19" t="str">
        <f>IFERROR(INDEX(分期缴税台账!$K$2:$K$501,MATCH($B$3&amp;"|"&amp;(($D$12-1)*25+ROW()-45),分期缴税台账!$W$2:$W$501,0)),"")</f>
        <v/>
      </c>
      <c r="E64" s="19" t="str">
        <f>IFERROR(INDEX(分期缴税台账!$M$2:$M$501,MATCH($B$3&amp;"|"&amp;(($D$12-1)*25+ROW()-45),分期缴税台账!$W$2:$W$501,0)),"")</f>
        <v/>
      </c>
      <c r="F64" s="19" t="str">
        <f>IFERROR(INDEX(分期缴税台账!$N$2:$N$501,MATCH($B$3&amp;"|"&amp;(($D$12-1)*25+ROW()-45),分期缴税台账!$W$2:$W$501,0)),"")</f>
        <v/>
      </c>
      <c r="G64" t="str">
        <f>IFERROR(INDEX(分期缴税台账!$R$2:$R$501,MATCH($B$3&amp;"|"&amp;(($D$12-1)*25+ROW()-45),分期缴税台账!$W$2:$W$501,0)),"")</f>
        <v/>
      </c>
    </row>
    <row r="65" spans="1:7" x14ac:dyDescent="0.3">
      <c r="A65" t="str">
        <f>IFERROR(INDEX(分期缴税台账!$T$2:$T$501,MATCH($B$3&amp;"|"&amp;(($D$12-1)*25+ROW()-45),分期缴税台账!$W$2:$W$501,0)),"")</f>
        <v/>
      </c>
      <c r="B65" t="str">
        <f>IFERROR(INDEX(分期缴税台账!$U$2:$U$501,MATCH($B$3&amp;"|"&amp;(($D$12-1)*25+ROW()-45),分期缴税台账!$W$2:$W$501,0)),"")</f>
        <v/>
      </c>
      <c r="C65" s="11" t="str">
        <f>IFERROR(INDEX(分期缴税台账!$I$2:$I$501,MATCH($B$3&amp;"|"&amp;(($D$12-1)*25+ROW()-45),分期缴税台账!$W$2:$W$501,0)),"")</f>
        <v/>
      </c>
      <c r="D65" s="19" t="str">
        <f>IFERROR(INDEX(分期缴税台账!$K$2:$K$501,MATCH($B$3&amp;"|"&amp;(($D$12-1)*25+ROW()-45),分期缴税台账!$W$2:$W$501,0)),"")</f>
        <v/>
      </c>
      <c r="E65" s="19" t="str">
        <f>IFERROR(INDEX(分期缴税台账!$M$2:$M$501,MATCH($B$3&amp;"|"&amp;(($D$12-1)*25+ROW()-45),分期缴税台账!$W$2:$W$501,0)),"")</f>
        <v/>
      </c>
      <c r="F65" s="19" t="str">
        <f>IFERROR(INDEX(分期缴税台账!$N$2:$N$501,MATCH($B$3&amp;"|"&amp;(($D$12-1)*25+ROW()-45),分期缴税台账!$W$2:$W$501,0)),"")</f>
        <v/>
      </c>
      <c r="G65" t="str">
        <f>IFERROR(INDEX(分期缴税台账!$R$2:$R$501,MATCH($B$3&amp;"|"&amp;(($D$12-1)*25+ROW()-45),分期缴税台账!$W$2:$W$501,0)),"")</f>
        <v/>
      </c>
    </row>
    <row r="66" spans="1:7" x14ac:dyDescent="0.3">
      <c r="A66" t="str">
        <f>IFERROR(INDEX(分期缴税台账!$T$2:$T$501,MATCH($B$3&amp;"|"&amp;(($D$12-1)*25+ROW()-45),分期缴税台账!$W$2:$W$501,0)),"")</f>
        <v/>
      </c>
      <c r="B66" t="str">
        <f>IFERROR(INDEX(分期缴税台账!$U$2:$U$501,MATCH($B$3&amp;"|"&amp;(($D$12-1)*25+ROW()-45),分期缴税台账!$W$2:$W$501,0)),"")</f>
        <v/>
      </c>
      <c r="C66" s="11" t="str">
        <f>IFERROR(INDEX(分期缴税台账!$I$2:$I$501,MATCH($B$3&amp;"|"&amp;(($D$12-1)*25+ROW()-45),分期缴税台账!$W$2:$W$501,0)),"")</f>
        <v/>
      </c>
      <c r="D66" s="19" t="str">
        <f>IFERROR(INDEX(分期缴税台账!$K$2:$K$501,MATCH($B$3&amp;"|"&amp;(($D$12-1)*25+ROW()-45),分期缴税台账!$W$2:$W$501,0)),"")</f>
        <v/>
      </c>
      <c r="E66" s="19" t="str">
        <f>IFERROR(INDEX(分期缴税台账!$M$2:$M$501,MATCH($B$3&amp;"|"&amp;(($D$12-1)*25+ROW()-45),分期缴税台账!$W$2:$W$501,0)),"")</f>
        <v/>
      </c>
      <c r="F66" s="19" t="str">
        <f>IFERROR(INDEX(分期缴税台账!$N$2:$N$501,MATCH($B$3&amp;"|"&amp;(($D$12-1)*25+ROW()-45),分期缴税台账!$W$2:$W$501,0)),"")</f>
        <v/>
      </c>
      <c r="G66" t="str">
        <f>IFERROR(INDEX(分期缴税台账!$R$2:$R$501,MATCH($B$3&amp;"|"&amp;(($D$12-1)*25+ROW()-45),分期缴税台账!$W$2:$W$501,0)),"")</f>
        <v/>
      </c>
    </row>
    <row r="67" spans="1:7" x14ac:dyDescent="0.3">
      <c r="A67" t="str">
        <f>IFERROR(INDEX(分期缴税台账!$T$2:$T$501,MATCH($B$3&amp;"|"&amp;(($D$12-1)*25+ROW()-45),分期缴税台账!$W$2:$W$501,0)),"")</f>
        <v/>
      </c>
      <c r="B67" t="str">
        <f>IFERROR(INDEX(分期缴税台账!$U$2:$U$501,MATCH($B$3&amp;"|"&amp;(($D$12-1)*25+ROW()-45),分期缴税台账!$W$2:$W$501,0)),"")</f>
        <v/>
      </c>
      <c r="C67" s="11" t="str">
        <f>IFERROR(INDEX(分期缴税台账!$I$2:$I$501,MATCH($B$3&amp;"|"&amp;(($D$12-1)*25+ROW()-45),分期缴税台账!$W$2:$W$501,0)),"")</f>
        <v/>
      </c>
      <c r="D67" s="19" t="str">
        <f>IFERROR(INDEX(分期缴税台账!$K$2:$K$501,MATCH($B$3&amp;"|"&amp;(($D$12-1)*25+ROW()-45),分期缴税台账!$W$2:$W$501,0)),"")</f>
        <v/>
      </c>
      <c r="E67" s="19" t="str">
        <f>IFERROR(INDEX(分期缴税台账!$M$2:$M$501,MATCH($B$3&amp;"|"&amp;(($D$12-1)*25+ROW()-45),分期缴税台账!$W$2:$W$501,0)),"")</f>
        <v/>
      </c>
      <c r="F67" s="19" t="str">
        <f>IFERROR(INDEX(分期缴税台账!$N$2:$N$501,MATCH($B$3&amp;"|"&amp;(($D$12-1)*25+ROW()-45),分期缴税台账!$W$2:$W$501,0)),"")</f>
        <v/>
      </c>
      <c r="G67" t="str">
        <f>IFERROR(INDEX(分期缴税台账!$R$2:$R$501,MATCH($B$3&amp;"|"&amp;(($D$12-1)*25+ROW()-45),分期缴税台账!$W$2:$W$501,0)),"")</f>
        <v/>
      </c>
    </row>
    <row r="68" spans="1:7" x14ac:dyDescent="0.3">
      <c r="A68" t="str">
        <f>IFERROR(INDEX(分期缴税台账!$T$2:$T$501,MATCH($B$3&amp;"|"&amp;(($D$12-1)*25+ROW()-45),分期缴税台账!$W$2:$W$501,0)),"")</f>
        <v/>
      </c>
      <c r="B68" t="str">
        <f>IFERROR(INDEX(分期缴税台账!$U$2:$U$501,MATCH($B$3&amp;"|"&amp;(($D$12-1)*25+ROW()-45),分期缴税台账!$W$2:$W$501,0)),"")</f>
        <v/>
      </c>
      <c r="C68" s="11" t="str">
        <f>IFERROR(INDEX(分期缴税台账!$I$2:$I$501,MATCH($B$3&amp;"|"&amp;(($D$12-1)*25+ROW()-45),分期缴税台账!$W$2:$W$501,0)),"")</f>
        <v/>
      </c>
      <c r="D68" s="19" t="str">
        <f>IFERROR(INDEX(分期缴税台账!$K$2:$K$501,MATCH($B$3&amp;"|"&amp;(($D$12-1)*25+ROW()-45),分期缴税台账!$W$2:$W$501,0)),"")</f>
        <v/>
      </c>
      <c r="E68" s="19" t="str">
        <f>IFERROR(INDEX(分期缴税台账!$M$2:$M$501,MATCH($B$3&amp;"|"&amp;(($D$12-1)*25+ROW()-45),分期缴税台账!$W$2:$W$501,0)),"")</f>
        <v/>
      </c>
      <c r="F68" s="19" t="str">
        <f>IFERROR(INDEX(分期缴税台账!$N$2:$N$501,MATCH($B$3&amp;"|"&amp;(($D$12-1)*25+ROW()-45),分期缴税台账!$W$2:$W$501,0)),"")</f>
        <v/>
      </c>
      <c r="G68" t="str">
        <f>IFERROR(INDEX(分期缴税台账!$R$2:$R$501,MATCH($B$3&amp;"|"&amp;(($D$12-1)*25+ROW()-45),分期缴税台账!$W$2:$W$501,0)),"")</f>
        <v/>
      </c>
    </row>
    <row r="69" spans="1:7" x14ac:dyDescent="0.3">
      <c r="A69" t="str">
        <f>IFERROR(INDEX(分期缴税台账!$T$2:$T$501,MATCH($B$3&amp;"|"&amp;(($D$12-1)*25+ROW()-45),分期缴税台账!$W$2:$W$501,0)),"")</f>
        <v/>
      </c>
      <c r="B69" t="str">
        <f>IFERROR(INDEX(分期缴税台账!$U$2:$U$501,MATCH($B$3&amp;"|"&amp;(($D$12-1)*25+ROW()-45),分期缴税台账!$W$2:$W$501,0)),"")</f>
        <v/>
      </c>
      <c r="C69" s="11" t="str">
        <f>IFERROR(INDEX(分期缴税台账!$I$2:$I$501,MATCH($B$3&amp;"|"&amp;(($D$12-1)*25+ROW()-45),分期缴税台账!$W$2:$W$501,0)),"")</f>
        <v/>
      </c>
      <c r="D69" s="19" t="str">
        <f>IFERROR(INDEX(分期缴税台账!$K$2:$K$501,MATCH($B$3&amp;"|"&amp;(($D$12-1)*25+ROW()-45),分期缴税台账!$W$2:$W$501,0)),"")</f>
        <v/>
      </c>
      <c r="E69" s="19" t="str">
        <f>IFERROR(INDEX(分期缴税台账!$M$2:$M$501,MATCH($B$3&amp;"|"&amp;(($D$12-1)*25+ROW()-45),分期缴税台账!$W$2:$W$501,0)),"")</f>
        <v/>
      </c>
      <c r="F69" s="19" t="str">
        <f>IFERROR(INDEX(分期缴税台账!$N$2:$N$501,MATCH($B$3&amp;"|"&amp;(($D$12-1)*25+ROW()-45),分期缴税台账!$W$2:$W$501,0)),"")</f>
        <v/>
      </c>
      <c r="G69" t="str">
        <f>IFERROR(INDEX(分期缴税台账!$R$2:$R$501,MATCH($B$3&amp;"|"&amp;(($D$12-1)*25+ROW()-45),分期缴税台账!$W$2:$W$501,0)),"")</f>
        <v/>
      </c>
    </row>
    <row r="70" spans="1:7" x14ac:dyDescent="0.3">
      <c r="A70" t="str">
        <f>IFERROR(INDEX(分期缴税台账!$T$2:$T$501,MATCH($B$3&amp;"|"&amp;(($D$12-1)*25+ROW()-45),分期缴税台账!$W$2:$W$501,0)),"")</f>
        <v/>
      </c>
      <c r="B70" t="str">
        <f>IFERROR(INDEX(分期缴税台账!$U$2:$U$501,MATCH($B$3&amp;"|"&amp;(($D$12-1)*25+ROW()-45),分期缴税台账!$W$2:$W$501,0)),"")</f>
        <v/>
      </c>
      <c r="C70" s="11" t="str">
        <f>IFERROR(INDEX(分期缴税台账!$I$2:$I$501,MATCH($B$3&amp;"|"&amp;(($D$12-1)*25+ROW()-45),分期缴税台账!$W$2:$W$501,0)),"")</f>
        <v/>
      </c>
      <c r="D70" s="19" t="str">
        <f>IFERROR(INDEX(分期缴税台账!$K$2:$K$501,MATCH($B$3&amp;"|"&amp;(($D$12-1)*25+ROW()-45),分期缴税台账!$W$2:$W$501,0)),"")</f>
        <v/>
      </c>
      <c r="E70" s="19" t="str">
        <f>IFERROR(INDEX(分期缴税台账!$M$2:$M$501,MATCH($B$3&amp;"|"&amp;(($D$12-1)*25+ROW()-45),分期缴税台账!$W$2:$W$501,0)),"")</f>
        <v/>
      </c>
      <c r="F70" s="19" t="str">
        <f>IFERROR(INDEX(分期缴税台账!$N$2:$N$501,MATCH($B$3&amp;"|"&amp;(($D$12-1)*25+ROW()-45),分期缴税台账!$W$2:$W$501,0)),"")</f>
        <v/>
      </c>
      <c r="G70" t="str">
        <f>IFERROR(INDEX(分期缴税台账!$R$2:$R$501,MATCH($B$3&amp;"|"&amp;(($D$12-1)*25+ROW()-45),分期缴税台账!$W$2:$W$501,0)),"")</f>
        <v/>
      </c>
    </row>
    <row r="72" spans="1:7" x14ac:dyDescent="0.3">
      <c r="A72" s="1" t="s">
        <v>171</v>
      </c>
    </row>
    <row r="73" spans="1:7" x14ac:dyDescent="0.3">
      <c r="A73" s="7" t="s">
        <v>86</v>
      </c>
      <c r="B73" s="7" t="s">
        <v>87</v>
      </c>
      <c r="C73" s="7" t="s">
        <v>165</v>
      </c>
      <c r="D73" s="7" t="s">
        <v>172</v>
      </c>
      <c r="E73" s="7" t="s">
        <v>148</v>
      </c>
      <c r="F73" s="7" t="s">
        <v>173</v>
      </c>
      <c r="G73" s="7" t="s">
        <v>174</v>
      </c>
    </row>
    <row r="74" spans="1:7" x14ac:dyDescent="0.3">
      <c r="A74" t="str">
        <f>IFERROR(INDEX(激励事件明细!$A$2:$A$501,MATCH($B$3&amp;"|"&amp;(($F$12-1)*25+ROW()-73),激励事件明细!$AH$2:$AH$501,0)),"")</f>
        <v>DEMO-OPT-001</v>
      </c>
      <c r="B74" t="str">
        <f>IFERROR(INDEX(激励事件明细!$B$2:$B$501,MATCH($B$3&amp;"|"&amp;(($F$12-1)*25+ROW()-73),激励事件明细!$AH$2:$AH$501,0)),"")</f>
        <v>DEMO-OPT-001-TAX</v>
      </c>
      <c r="C74" s="19">
        <f>IFERROR(INDEX(激励事件明细!$AA$2:$AA$501,MATCH($B$3&amp;"|"&amp;(($F$12-1)*25+ROW()-73),激励事件明细!$AH$2:$AH$501,0)),"")</f>
        <v>15480</v>
      </c>
      <c r="D74" s="19">
        <f>IF(A74="","",SUMIFS(分期缴税台账!$K$2:$K$501,分期缴税台账!$T$2:$T$501,A74,分期缴税台账!$Q$2:$Q$501,"有效"))</f>
        <v>0</v>
      </c>
      <c r="E74" s="19">
        <f t="shared" ref="E74:E98" si="0">IF(C74="","",MAX(0,C74-D74))</f>
        <v>15480</v>
      </c>
      <c r="F74" s="11">
        <f>IFERROR(INDEX(激励事件明细!$AC$2:$AC$501,MATCH($B$3&amp;"|"&amp;(($F$12-1)*25+ROW()-73),激励事件明细!$AH$2:$AH$501,0)),"")</f>
        <v>46761</v>
      </c>
      <c r="G74" t="str">
        <f t="shared" ref="G74:G98" ca="1" si="1">IF(A74="","",IF(E74=0,"已缴清",IF(F74&lt;TODAY(),"逾期","未到期")))</f>
        <v>未到期</v>
      </c>
    </row>
    <row r="75" spans="1:7" x14ac:dyDescent="0.3">
      <c r="A75" t="str">
        <f>IFERROR(INDEX(激励事件明细!$A$2:$A$501,MATCH($B$3&amp;"|"&amp;(($F$12-1)*25+ROW()-73),激励事件明细!$AH$2:$AH$501,0)),"")</f>
        <v>DEMO-RS-001</v>
      </c>
      <c r="B75" t="str">
        <f>IFERROR(INDEX(激励事件明细!$B$2:$B$501,MATCH($B$3&amp;"|"&amp;(($F$12-1)*25+ROW()-73),激励事件明细!$AH$2:$AH$501,0)),"")</f>
        <v>DEMO-RS-001-TAX</v>
      </c>
      <c r="C75" s="19">
        <f>IFERROR(INDEX(激励事件明细!$AA$2:$AA$501,MATCH($B$3&amp;"|"&amp;(($F$12-1)*25+ROW()-73),激励事件明细!$AH$2:$AH$501,0)),"")</f>
        <v>81450</v>
      </c>
      <c r="D75" s="19">
        <f>IF(A75="","",SUMIFS(分期缴税台账!$K$2:$K$501,分期缴税台账!$T$2:$T$501,A75,分期缴税台账!$Q$2:$Q$501,"有效"))</f>
        <v>0</v>
      </c>
      <c r="E75" s="19">
        <f t="shared" si="0"/>
        <v>81450</v>
      </c>
      <c r="F75" s="11">
        <f>IFERROR(INDEX(激励事件明细!$AC$2:$AC$501,MATCH($B$3&amp;"|"&amp;(($F$12-1)*25+ROW()-73),激励事件明细!$AH$2:$AH$501,0)),"")</f>
        <v>46934</v>
      </c>
      <c r="G75" t="str">
        <f t="shared" ca="1" si="1"/>
        <v>未到期</v>
      </c>
    </row>
    <row r="76" spans="1:7" x14ac:dyDescent="0.3">
      <c r="A76" t="str">
        <f>IFERROR(INDEX(激励事件明细!$A$2:$A$501,MATCH($B$3&amp;"|"&amp;(($F$12-1)*25+ROW()-73),激励事件明细!$AH$2:$AH$501,0)),"")</f>
        <v/>
      </c>
      <c r="B76" t="str">
        <f>IFERROR(INDEX(激励事件明细!$B$2:$B$501,MATCH($B$3&amp;"|"&amp;(($F$12-1)*25+ROW()-73),激励事件明细!$AH$2:$AH$501,0)),"")</f>
        <v/>
      </c>
      <c r="C76" s="19" t="str">
        <f>IFERROR(INDEX(激励事件明细!$AA$2:$AA$501,MATCH($B$3&amp;"|"&amp;(($F$12-1)*25+ROW()-73),激励事件明细!$AH$2:$AH$501,0)),"")</f>
        <v/>
      </c>
      <c r="D76" s="19" t="str">
        <f>IF(A76="","",SUMIFS(分期缴税台账!$K$2:$K$501,分期缴税台账!$T$2:$T$501,A76,分期缴税台账!$Q$2:$Q$501,"有效"))</f>
        <v/>
      </c>
      <c r="E76" s="19" t="str">
        <f t="shared" si="0"/>
        <v/>
      </c>
      <c r="F76" s="11" t="str">
        <f>IFERROR(INDEX(激励事件明细!$AC$2:$AC$501,MATCH($B$3&amp;"|"&amp;(($F$12-1)*25+ROW()-73),激励事件明细!$AH$2:$AH$501,0)),"")</f>
        <v/>
      </c>
      <c r="G76" t="str">
        <f t="shared" ca="1" si="1"/>
        <v/>
      </c>
    </row>
    <row r="77" spans="1:7" x14ac:dyDescent="0.3">
      <c r="A77" t="str">
        <f>IFERROR(INDEX(激励事件明细!$A$2:$A$501,MATCH($B$3&amp;"|"&amp;(($F$12-1)*25+ROW()-73),激励事件明细!$AH$2:$AH$501,0)),"")</f>
        <v/>
      </c>
      <c r="B77" t="str">
        <f>IFERROR(INDEX(激励事件明细!$B$2:$B$501,MATCH($B$3&amp;"|"&amp;(($F$12-1)*25+ROW()-73),激励事件明细!$AH$2:$AH$501,0)),"")</f>
        <v/>
      </c>
      <c r="C77" s="19" t="str">
        <f>IFERROR(INDEX(激励事件明细!$AA$2:$AA$501,MATCH($B$3&amp;"|"&amp;(($F$12-1)*25+ROW()-73),激励事件明细!$AH$2:$AH$501,0)),"")</f>
        <v/>
      </c>
      <c r="D77" s="19" t="str">
        <f>IF(A77="","",SUMIFS(分期缴税台账!$K$2:$K$501,分期缴税台账!$T$2:$T$501,A77,分期缴税台账!$Q$2:$Q$501,"有效"))</f>
        <v/>
      </c>
      <c r="E77" s="19" t="str">
        <f t="shared" si="0"/>
        <v/>
      </c>
      <c r="F77" s="11" t="str">
        <f>IFERROR(INDEX(激励事件明细!$AC$2:$AC$501,MATCH($B$3&amp;"|"&amp;(($F$12-1)*25+ROW()-73),激励事件明细!$AH$2:$AH$501,0)),"")</f>
        <v/>
      </c>
      <c r="G77" t="str">
        <f t="shared" ca="1" si="1"/>
        <v/>
      </c>
    </row>
    <row r="78" spans="1:7" x14ac:dyDescent="0.3">
      <c r="A78" t="str">
        <f>IFERROR(INDEX(激励事件明细!$A$2:$A$501,MATCH($B$3&amp;"|"&amp;(($F$12-1)*25+ROW()-73),激励事件明细!$AH$2:$AH$501,0)),"")</f>
        <v/>
      </c>
      <c r="B78" t="str">
        <f>IFERROR(INDEX(激励事件明细!$B$2:$B$501,MATCH($B$3&amp;"|"&amp;(($F$12-1)*25+ROW()-73),激励事件明细!$AH$2:$AH$501,0)),"")</f>
        <v/>
      </c>
      <c r="C78" s="19" t="str">
        <f>IFERROR(INDEX(激励事件明细!$AA$2:$AA$501,MATCH($B$3&amp;"|"&amp;(($F$12-1)*25+ROW()-73),激励事件明细!$AH$2:$AH$501,0)),"")</f>
        <v/>
      </c>
      <c r="D78" s="19" t="str">
        <f>IF(A78="","",SUMIFS(分期缴税台账!$K$2:$K$501,分期缴税台账!$T$2:$T$501,A78,分期缴税台账!$Q$2:$Q$501,"有效"))</f>
        <v/>
      </c>
      <c r="E78" s="19" t="str">
        <f t="shared" si="0"/>
        <v/>
      </c>
      <c r="F78" s="11" t="str">
        <f>IFERROR(INDEX(激励事件明细!$AC$2:$AC$501,MATCH($B$3&amp;"|"&amp;(($F$12-1)*25+ROW()-73),激励事件明细!$AH$2:$AH$501,0)),"")</f>
        <v/>
      </c>
      <c r="G78" t="str">
        <f t="shared" ca="1" si="1"/>
        <v/>
      </c>
    </row>
    <row r="79" spans="1:7" x14ac:dyDescent="0.3">
      <c r="A79" t="str">
        <f>IFERROR(INDEX(激励事件明细!$A$2:$A$501,MATCH($B$3&amp;"|"&amp;(($F$12-1)*25+ROW()-73),激励事件明细!$AH$2:$AH$501,0)),"")</f>
        <v/>
      </c>
      <c r="B79" t="str">
        <f>IFERROR(INDEX(激励事件明细!$B$2:$B$501,MATCH($B$3&amp;"|"&amp;(($F$12-1)*25+ROW()-73),激励事件明细!$AH$2:$AH$501,0)),"")</f>
        <v/>
      </c>
      <c r="C79" s="19" t="str">
        <f>IFERROR(INDEX(激励事件明细!$AA$2:$AA$501,MATCH($B$3&amp;"|"&amp;(($F$12-1)*25+ROW()-73),激励事件明细!$AH$2:$AH$501,0)),"")</f>
        <v/>
      </c>
      <c r="D79" s="19" t="str">
        <f>IF(A79="","",SUMIFS(分期缴税台账!$K$2:$K$501,分期缴税台账!$T$2:$T$501,A79,分期缴税台账!$Q$2:$Q$501,"有效"))</f>
        <v/>
      </c>
      <c r="E79" s="19" t="str">
        <f t="shared" si="0"/>
        <v/>
      </c>
      <c r="F79" s="11" t="str">
        <f>IFERROR(INDEX(激励事件明细!$AC$2:$AC$501,MATCH($B$3&amp;"|"&amp;(($F$12-1)*25+ROW()-73),激励事件明细!$AH$2:$AH$501,0)),"")</f>
        <v/>
      </c>
      <c r="G79" t="str">
        <f t="shared" ca="1" si="1"/>
        <v/>
      </c>
    </row>
    <row r="80" spans="1:7" x14ac:dyDescent="0.3">
      <c r="A80" t="str">
        <f>IFERROR(INDEX(激励事件明细!$A$2:$A$501,MATCH($B$3&amp;"|"&amp;(($F$12-1)*25+ROW()-73),激励事件明细!$AH$2:$AH$501,0)),"")</f>
        <v/>
      </c>
      <c r="B80" t="str">
        <f>IFERROR(INDEX(激励事件明细!$B$2:$B$501,MATCH($B$3&amp;"|"&amp;(($F$12-1)*25+ROW()-73),激励事件明细!$AH$2:$AH$501,0)),"")</f>
        <v/>
      </c>
      <c r="C80" s="19" t="str">
        <f>IFERROR(INDEX(激励事件明细!$AA$2:$AA$501,MATCH($B$3&amp;"|"&amp;(($F$12-1)*25+ROW()-73),激励事件明细!$AH$2:$AH$501,0)),"")</f>
        <v/>
      </c>
      <c r="D80" s="19" t="str">
        <f>IF(A80="","",SUMIFS(分期缴税台账!$K$2:$K$501,分期缴税台账!$T$2:$T$501,A80,分期缴税台账!$Q$2:$Q$501,"有效"))</f>
        <v/>
      </c>
      <c r="E80" s="19" t="str">
        <f t="shared" si="0"/>
        <v/>
      </c>
      <c r="F80" s="11" t="str">
        <f>IFERROR(INDEX(激励事件明细!$AC$2:$AC$501,MATCH($B$3&amp;"|"&amp;(($F$12-1)*25+ROW()-73),激励事件明细!$AH$2:$AH$501,0)),"")</f>
        <v/>
      </c>
      <c r="G80" t="str">
        <f t="shared" ca="1" si="1"/>
        <v/>
      </c>
    </row>
    <row r="81" spans="1:7" x14ac:dyDescent="0.3">
      <c r="A81" t="str">
        <f>IFERROR(INDEX(激励事件明细!$A$2:$A$501,MATCH($B$3&amp;"|"&amp;(($F$12-1)*25+ROW()-73),激励事件明细!$AH$2:$AH$501,0)),"")</f>
        <v/>
      </c>
      <c r="B81" t="str">
        <f>IFERROR(INDEX(激励事件明细!$B$2:$B$501,MATCH($B$3&amp;"|"&amp;(($F$12-1)*25+ROW()-73),激励事件明细!$AH$2:$AH$501,0)),"")</f>
        <v/>
      </c>
      <c r="C81" s="19" t="str">
        <f>IFERROR(INDEX(激励事件明细!$AA$2:$AA$501,MATCH($B$3&amp;"|"&amp;(($F$12-1)*25+ROW()-73),激励事件明细!$AH$2:$AH$501,0)),"")</f>
        <v/>
      </c>
      <c r="D81" s="19" t="str">
        <f>IF(A81="","",SUMIFS(分期缴税台账!$K$2:$K$501,分期缴税台账!$T$2:$T$501,A81,分期缴税台账!$Q$2:$Q$501,"有效"))</f>
        <v/>
      </c>
      <c r="E81" s="19" t="str">
        <f t="shared" si="0"/>
        <v/>
      </c>
      <c r="F81" s="11" t="str">
        <f>IFERROR(INDEX(激励事件明细!$AC$2:$AC$501,MATCH($B$3&amp;"|"&amp;(($F$12-1)*25+ROW()-73),激励事件明细!$AH$2:$AH$501,0)),"")</f>
        <v/>
      </c>
      <c r="G81" t="str">
        <f t="shared" ca="1" si="1"/>
        <v/>
      </c>
    </row>
    <row r="82" spans="1:7" x14ac:dyDescent="0.3">
      <c r="A82" t="str">
        <f>IFERROR(INDEX(激励事件明细!$A$2:$A$501,MATCH($B$3&amp;"|"&amp;(($F$12-1)*25+ROW()-73),激励事件明细!$AH$2:$AH$501,0)),"")</f>
        <v/>
      </c>
      <c r="B82" t="str">
        <f>IFERROR(INDEX(激励事件明细!$B$2:$B$501,MATCH($B$3&amp;"|"&amp;(($F$12-1)*25+ROW()-73),激励事件明细!$AH$2:$AH$501,0)),"")</f>
        <v/>
      </c>
      <c r="C82" s="19" t="str">
        <f>IFERROR(INDEX(激励事件明细!$AA$2:$AA$501,MATCH($B$3&amp;"|"&amp;(($F$12-1)*25+ROW()-73),激励事件明细!$AH$2:$AH$501,0)),"")</f>
        <v/>
      </c>
      <c r="D82" s="19" t="str">
        <f>IF(A82="","",SUMIFS(分期缴税台账!$K$2:$K$501,分期缴税台账!$T$2:$T$501,A82,分期缴税台账!$Q$2:$Q$501,"有效"))</f>
        <v/>
      </c>
      <c r="E82" s="19" t="str">
        <f t="shared" si="0"/>
        <v/>
      </c>
      <c r="F82" s="11" t="str">
        <f>IFERROR(INDEX(激励事件明细!$AC$2:$AC$501,MATCH($B$3&amp;"|"&amp;(($F$12-1)*25+ROW()-73),激励事件明细!$AH$2:$AH$501,0)),"")</f>
        <v/>
      </c>
      <c r="G82" t="str">
        <f t="shared" ca="1" si="1"/>
        <v/>
      </c>
    </row>
    <row r="83" spans="1:7" x14ac:dyDescent="0.3">
      <c r="A83" t="str">
        <f>IFERROR(INDEX(激励事件明细!$A$2:$A$501,MATCH($B$3&amp;"|"&amp;(($F$12-1)*25+ROW()-73),激励事件明细!$AH$2:$AH$501,0)),"")</f>
        <v/>
      </c>
      <c r="B83" t="str">
        <f>IFERROR(INDEX(激励事件明细!$B$2:$B$501,MATCH($B$3&amp;"|"&amp;(($F$12-1)*25+ROW()-73),激励事件明细!$AH$2:$AH$501,0)),"")</f>
        <v/>
      </c>
      <c r="C83" s="19" t="str">
        <f>IFERROR(INDEX(激励事件明细!$AA$2:$AA$501,MATCH($B$3&amp;"|"&amp;(($F$12-1)*25+ROW()-73),激励事件明细!$AH$2:$AH$501,0)),"")</f>
        <v/>
      </c>
      <c r="D83" s="19" t="str">
        <f>IF(A83="","",SUMIFS(分期缴税台账!$K$2:$K$501,分期缴税台账!$T$2:$T$501,A83,分期缴税台账!$Q$2:$Q$501,"有效"))</f>
        <v/>
      </c>
      <c r="E83" s="19" t="str">
        <f t="shared" si="0"/>
        <v/>
      </c>
      <c r="F83" s="11" t="str">
        <f>IFERROR(INDEX(激励事件明细!$AC$2:$AC$501,MATCH($B$3&amp;"|"&amp;(($F$12-1)*25+ROW()-73),激励事件明细!$AH$2:$AH$501,0)),"")</f>
        <v/>
      </c>
      <c r="G83" t="str">
        <f t="shared" ca="1" si="1"/>
        <v/>
      </c>
    </row>
    <row r="84" spans="1:7" x14ac:dyDescent="0.3">
      <c r="A84" t="str">
        <f>IFERROR(INDEX(激励事件明细!$A$2:$A$501,MATCH($B$3&amp;"|"&amp;(($F$12-1)*25+ROW()-73),激励事件明细!$AH$2:$AH$501,0)),"")</f>
        <v/>
      </c>
      <c r="B84" t="str">
        <f>IFERROR(INDEX(激励事件明细!$B$2:$B$501,MATCH($B$3&amp;"|"&amp;(($F$12-1)*25+ROW()-73),激励事件明细!$AH$2:$AH$501,0)),"")</f>
        <v/>
      </c>
      <c r="C84" s="19" t="str">
        <f>IFERROR(INDEX(激励事件明细!$AA$2:$AA$501,MATCH($B$3&amp;"|"&amp;(($F$12-1)*25+ROW()-73),激励事件明细!$AH$2:$AH$501,0)),"")</f>
        <v/>
      </c>
      <c r="D84" s="19" t="str">
        <f>IF(A84="","",SUMIFS(分期缴税台账!$K$2:$K$501,分期缴税台账!$T$2:$T$501,A84,分期缴税台账!$Q$2:$Q$501,"有效"))</f>
        <v/>
      </c>
      <c r="E84" s="19" t="str">
        <f t="shared" si="0"/>
        <v/>
      </c>
      <c r="F84" s="11" t="str">
        <f>IFERROR(INDEX(激励事件明细!$AC$2:$AC$501,MATCH($B$3&amp;"|"&amp;(($F$12-1)*25+ROW()-73),激励事件明细!$AH$2:$AH$501,0)),"")</f>
        <v/>
      </c>
      <c r="G84" t="str">
        <f t="shared" ca="1" si="1"/>
        <v/>
      </c>
    </row>
    <row r="85" spans="1:7" x14ac:dyDescent="0.3">
      <c r="A85" t="str">
        <f>IFERROR(INDEX(激励事件明细!$A$2:$A$501,MATCH($B$3&amp;"|"&amp;(($F$12-1)*25+ROW()-73),激励事件明细!$AH$2:$AH$501,0)),"")</f>
        <v/>
      </c>
      <c r="B85" t="str">
        <f>IFERROR(INDEX(激励事件明细!$B$2:$B$501,MATCH($B$3&amp;"|"&amp;(($F$12-1)*25+ROW()-73),激励事件明细!$AH$2:$AH$501,0)),"")</f>
        <v/>
      </c>
      <c r="C85" s="19" t="str">
        <f>IFERROR(INDEX(激励事件明细!$AA$2:$AA$501,MATCH($B$3&amp;"|"&amp;(($F$12-1)*25+ROW()-73),激励事件明细!$AH$2:$AH$501,0)),"")</f>
        <v/>
      </c>
      <c r="D85" s="19" t="str">
        <f>IF(A85="","",SUMIFS(分期缴税台账!$K$2:$K$501,分期缴税台账!$T$2:$T$501,A85,分期缴税台账!$Q$2:$Q$501,"有效"))</f>
        <v/>
      </c>
      <c r="E85" s="19" t="str">
        <f t="shared" si="0"/>
        <v/>
      </c>
      <c r="F85" s="11" t="str">
        <f>IFERROR(INDEX(激励事件明细!$AC$2:$AC$501,MATCH($B$3&amp;"|"&amp;(($F$12-1)*25+ROW()-73),激励事件明细!$AH$2:$AH$501,0)),"")</f>
        <v/>
      </c>
      <c r="G85" t="str">
        <f t="shared" ca="1" si="1"/>
        <v/>
      </c>
    </row>
    <row r="86" spans="1:7" x14ac:dyDescent="0.3">
      <c r="A86" t="str">
        <f>IFERROR(INDEX(激励事件明细!$A$2:$A$501,MATCH($B$3&amp;"|"&amp;(($F$12-1)*25+ROW()-73),激励事件明细!$AH$2:$AH$501,0)),"")</f>
        <v/>
      </c>
      <c r="B86" t="str">
        <f>IFERROR(INDEX(激励事件明细!$B$2:$B$501,MATCH($B$3&amp;"|"&amp;(($F$12-1)*25+ROW()-73),激励事件明细!$AH$2:$AH$501,0)),"")</f>
        <v/>
      </c>
      <c r="C86" s="19" t="str">
        <f>IFERROR(INDEX(激励事件明细!$AA$2:$AA$501,MATCH($B$3&amp;"|"&amp;(($F$12-1)*25+ROW()-73),激励事件明细!$AH$2:$AH$501,0)),"")</f>
        <v/>
      </c>
      <c r="D86" s="19" t="str">
        <f>IF(A86="","",SUMIFS(分期缴税台账!$K$2:$K$501,分期缴税台账!$T$2:$T$501,A86,分期缴税台账!$Q$2:$Q$501,"有效"))</f>
        <v/>
      </c>
      <c r="E86" s="19" t="str">
        <f t="shared" si="0"/>
        <v/>
      </c>
      <c r="F86" s="11" t="str">
        <f>IFERROR(INDEX(激励事件明细!$AC$2:$AC$501,MATCH($B$3&amp;"|"&amp;(($F$12-1)*25+ROW()-73),激励事件明细!$AH$2:$AH$501,0)),"")</f>
        <v/>
      </c>
      <c r="G86" t="str">
        <f t="shared" ca="1" si="1"/>
        <v/>
      </c>
    </row>
    <row r="87" spans="1:7" x14ac:dyDescent="0.3">
      <c r="A87" t="str">
        <f>IFERROR(INDEX(激励事件明细!$A$2:$A$501,MATCH($B$3&amp;"|"&amp;(($F$12-1)*25+ROW()-73),激励事件明细!$AH$2:$AH$501,0)),"")</f>
        <v/>
      </c>
      <c r="B87" t="str">
        <f>IFERROR(INDEX(激励事件明细!$B$2:$B$501,MATCH($B$3&amp;"|"&amp;(($F$12-1)*25+ROW()-73),激励事件明细!$AH$2:$AH$501,0)),"")</f>
        <v/>
      </c>
      <c r="C87" s="19" t="str">
        <f>IFERROR(INDEX(激励事件明细!$AA$2:$AA$501,MATCH($B$3&amp;"|"&amp;(($F$12-1)*25+ROW()-73),激励事件明细!$AH$2:$AH$501,0)),"")</f>
        <v/>
      </c>
      <c r="D87" s="19" t="str">
        <f>IF(A87="","",SUMIFS(分期缴税台账!$K$2:$K$501,分期缴税台账!$T$2:$T$501,A87,分期缴税台账!$Q$2:$Q$501,"有效"))</f>
        <v/>
      </c>
      <c r="E87" s="19" t="str">
        <f t="shared" si="0"/>
        <v/>
      </c>
      <c r="F87" s="11" t="str">
        <f>IFERROR(INDEX(激励事件明细!$AC$2:$AC$501,MATCH($B$3&amp;"|"&amp;(($F$12-1)*25+ROW()-73),激励事件明细!$AH$2:$AH$501,0)),"")</f>
        <v/>
      </c>
      <c r="G87" t="str">
        <f t="shared" ca="1" si="1"/>
        <v/>
      </c>
    </row>
    <row r="88" spans="1:7" x14ac:dyDescent="0.3">
      <c r="A88" t="str">
        <f>IFERROR(INDEX(激励事件明细!$A$2:$A$501,MATCH($B$3&amp;"|"&amp;(($F$12-1)*25+ROW()-73),激励事件明细!$AH$2:$AH$501,0)),"")</f>
        <v/>
      </c>
      <c r="B88" t="str">
        <f>IFERROR(INDEX(激励事件明细!$B$2:$B$501,MATCH($B$3&amp;"|"&amp;(($F$12-1)*25+ROW()-73),激励事件明细!$AH$2:$AH$501,0)),"")</f>
        <v/>
      </c>
      <c r="C88" s="19" t="str">
        <f>IFERROR(INDEX(激励事件明细!$AA$2:$AA$501,MATCH($B$3&amp;"|"&amp;(($F$12-1)*25+ROW()-73),激励事件明细!$AH$2:$AH$501,0)),"")</f>
        <v/>
      </c>
      <c r="D88" s="19" t="str">
        <f>IF(A88="","",SUMIFS(分期缴税台账!$K$2:$K$501,分期缴税台账!$T$2:$T$501,A88,分期缴税台账!$Q$2:$Q$501,"有效"))</f>
        <v/>
      </c>
      <c r="E88" s="19" t="str">
        <f t="shared" si="0"/>
        <v/>
      </c>
      <c r="F88" s="11" t="str">
        <f>IFERROR(INDEX(激励事件明细!$AC$2:$AC$501,MATCH($B$3&amp;"|"&amp;(($F$12-1)*25+ROW()-73),激励事件明细!$AH$2:$AH$501,0)),"")</f>
        <v/>
      </c>
      <c r="G88" t="str">
        <f t="shared" ca="1" si="1"/>
        <v/>
      </c>
    </row>
    <row r="89" spans="1:7" x14ac:dyDescent="0.3">
      <c r="A89" t="str">
        <f>IFERROR(INDEX(激励事件明细!$A$2:$A$501,MATCH($B$3&amp;"|"&amp;(($F$12-1)*25+ROW()-73),激励事件明细!$AH$2:$AH$501,0)),"")</f>
        <v/>
      </c>
      <c r="B89" t="str">
        <f>IFERROR(INDEX(激励事件明细!$B$2:$B$501,MATCH($B$3&amp;"|"&amp;(($F$12-1)*25+ROW()-73),激励事件明细!$AH$2:$AH$501,0)),"")</f>
        <v/>
      </c>
      <c r="C89" s="19" t="str">
        <f>IFERROR(INDEX(激励事件明细!$AA$2:$AA$501,MATCH($B$3&amp;"|"&amp;(($F$12-1)*25+ROW()-73),激励事件明细!$AH$2:$AH$501,0)),"")</f>
        <v/>
      </c>
      <c r="D89" s="19" t="str">
        <f>IF(A89="","",SUMIFS(分期缴税台账!$K$2:$K$501,分期缴税台账!$T$2:$T$501,A89,分期缴税台账!$Q$2:$Q$501,"有效"))</f>
        <v/>
      </c>
      <c r="E89" s="19" t="str">
        <f t="shared" si="0"/>
        <v/>
      </c>
      <c r="F89" s="11" t="str">
        <f>IFERROR(INDEX(激励事件明细!$AC$2:$AC$501,MATCH($B$3&amp;"|"&amp;(($F$12-1)*25+ROW()-73),激励事件明细!$AH$2:$AH$501,0)),"")</f>
        <v/>
      </c>
      <c r="G89" t="str">
        <f t="shared" ca="1" si="1"/>
        <v/>
      </c>
    </row>
    <row r="90" spans="1:7" x14ac:dyDescent="0.3">
      <c r="A90" t="str">
        <f>IFERROR(INDEX(激励事件明细!$A$2:$A$501,MATCH($B$3&amp;"|"&amp;(($F$12-1)*25+ROW()-73),激励事件明细!$AH$2:$AH$501,0)),"")</f>
        <v/>
      </c>
      <c r="B90" t="str">
        <f>IFERROR(INDEX(激励事件明细!$B$2:$B$501,MATCH($B$3&amp;"|"&amp;(($F$12-1)*25+ROW()-73),激励事件明细!$AH$2:$AH$501,0)),"")</f>
        <v/>
      </c>
      <c r="C90" s="19" t="str">
        <f>IFERROR(INDEX(激励事件明细!$AA$2:$AA$501,MATCH($B$3&amp;"|"&amp;(($F$12-1)*25+ROW()-73),激励事件明细!$AH$2:$AH$501,0)),"")</f>
        <v/>
      </c>
      <c r="D90" s="19" t="str">
        <f>IF(A90="","",SUMIFS(分期缴税台账!$K$2:$K$501,分期缴税台账!$T$2:$T$501,A90,分期缴税台账!$Q$2:$Q$501,"有效"))</f>
        <v/>
      </c>
      <c r="E90" s="19" t="str">
        <f t="shared" si="0"/>
        <v/>
      </c>
      <c r="F90" s="11" t="str">
        <f>IFERROR(INDEX(激励事件明细!$AC$2:$AC$501,MATCH($B$3&amp;"|"&amp;(($F$12-1)*25+ROW()-73),激励事件明细!$AH$2:$AH$501,0)),"")</f>
        <v/>
      </c>
      <c r="G90" t="str">
        <f t="shared" ca="1" si="1"/>
        <v/>
      </c>
    </row>
    <row r="91" spans="1:7" x14ac:dyDescent="0.3">
      <c r="A91" t="str">
        <f>IFERROR(INDEX(激励事件明细!$A$2:$A$501,MATCH($B$3&amp;"|"&amp;(($F$12-1)*25+ROW()-73),激励事件明细!$AH$2:$AH$501,0)),"")</f>
        <v/>
      </c>
      <c r="B91" t="str">
        <f>IFERROR(INDEX(激励事件明细!$B$2:$B$501,MATCH($B$3&amp;"|"&amp;(($F$12-1)*25+ROW()-73),激励事件明细!$AH$2:$AH$501,0)),"")</f>
        <v/>
      </c>
      <c r="C91" s="19" t="str">
        <f>IFERROR(INDEX(激励事件明细!$AA$2:$AA$501,MATCH($B$3&amp;"|"&amp;(($F$12-1)*25+ROW()-73),激励事件明细!$AH$2:$AH$501,0)),"")</f>
        <v/>
      </c>
      <c r="D91" s="19" t="str">
        <f>IF(A91="","",SUMIFS(分期缴税台账!$K$2:$K$501,分期缴税台账!$T$2:$T$501,A91,分期缴税台账!$Q$2:$Q$501,"有效"))</f>
        <v/>
      </c>
      <c r="E91" s="19" t="str">
        <f t="shared" si="0"/>
        <v/>
      </c>
      <c r="F91" s="11" t="str">
        <f>IFERROR(INDEX(激励事件明细!$AC$2:$AC$501,MATCH($B$3&amp;"|"&amp;(($F$12-1)*25+ROW()-73),激励事件明细!$AH$2:$AH$501,0)),"")</f>
        <v/>
      </c>
      <c r="G91" t="str">
        <f t="shared" ca="1" si="1"/>
        <v/>
      </c>
    </row>
    <row r="92" spans="1:7" x14ac:dyDescent="0.3">
      <c r="A92" t="str">
        <f>IFERROR(INDEX(激励事件明细!$A$2:$A$501,MATCH($B$3&amp;"|"&amp;(($F$12-1)*25+ROW()-73),激励事件明细!$AH$2:$AH$501,0)),"")</f>
        <v/>
      </c>
      <c r="B92" t="str">
        <f>IFERROR(INDEX(激励事件明细!$B$2:$B$501,MATCH($B$3&amp;"|"&amp;(($F$12-1)*25+ROW()-73),激励事件明细!$AH$2:$AH$501,0)),"")</f>
        <v/>
      </c>
      <c r="C92" s="19" t="str">
        <f>IFERROR(INDEX(激励事件明细!$AA$2:$AA$501,MATCH($B$3&amp;"|"&amp;(($F$12-1)*25+ROW()-73),激励事件明细!$AH$2:$AH$501,0)),"")</f>
        <v/>
      </c>
      <c r="D92" s="19" t="str">
        <f>IF(A92="","",SUMIFS(分期缴税台账!$K$2:$K$501,分期缴税台账!$T$2:$T$501,A92,分期缴税台账!$Q$2:$Q$501,"有效"))</f>
        <v/>
      </c>
      <c r="E92" s="19" t="str">
        <f t="shared" si="0"/>
        <v/>
      </c>
      <c r="F92" s="11" t="str">
        <f>IFERROR(INDEX(激励事件明细!$AC$2:$AC$501,MATCH($B$3&amp;"|"&amp;(($F$12-1)*25+ROW()-73),激励事件明细!$AH$2:$AH$501,0)),"")</f>
        <v/>
      </c>
      <c r="G92" t="str">
        <f t="shared" ca="1" si="1"/>
        <v/>
      </c>
    </row>
    <row r="93" spans="1:7" x14ac:dyDescent="0.3">
      <c r="A93" t="str">
        <f>IFERROR(INDEX(激励事件明细!$A$2:$A$501,MATCH($B$3&amp;"|"&amp;(($F$12-1)*25+ROW()-73),激励事件明细!$AH$2:$AH$501,0)),"")</f>
        <v/>
      </c>
      <c r="B93" t="str">
        <f>IFERROR(INDEX(激励事件明细!$B$2:$B$501,MATCH($B$3&amp;"|"&amp;(($F$12-1)*25+ROW()-73),激励事件明细!$AH$2:$AH$501,0)),"")</f>
        <v/>
      </c>
      <c r="C93" s="19" t="str">
        <f>IFERROR(INDEX(激励事件明细!$AA$2:$AA$501,MATCH($B$3&amp;"|"&amp;(($F$12-1)*25+ROW()-73),激励事件明细!$AH$2:$AH$501,0)),"")</f>
        <v/>
      </c>
      <c r="D93" s="19" t="str">
        <f>IF(A93="","",SUMIFS(分期缴税台账!$K$2:$K$501,分期缴税台账!$T$2:$T$501,A93,分期缴税台账!$Q$2:$Q$501,"有效"))</f>
        <v/>
      </c>
      <c r="E93" s="19" t="str">
        <f t="shared" si="0"/>
        <v/>
      </c>
      <c r="F93" s="11" t="str">
        <f>IFERROR(INDEX(激励事件明细!$AC$2:$AC$501,MATCH($B$3&amp;"|"&amp;(($F$12-1)*25+ROW()-73),激励事件明细!$AH$2:$AH$501,0)),"")</f>
        <v/>
      </c>
      <c r="G93" t="str">
        <f t="shared" ca="1" si="1"/>
        <v/>
      </c>
    </row>
    <row r="94" spans="1:7" x14ac:dyDescent="0.3">
      <c r="A94" t="str">
        <f>IFERROR(INDEX(激励事件明细!$A$2:$A$501,MATCH($B$3&amp;"|"&amp;(($F$12-1)*25+ROW()-73),激励事件明细!$AH$2:$AH$501,0)),"")</f>
        <v/>
      </c>
      <c r="B94" t="str">
        <f>IFERROR(INDEX(激励事件明细!$B$2:$B$501,MATCH($B$3&amp;"|"&amp;(($F$12-1)*25+ROW()-73),激励事件明细!$AH$2:$AH$501,0)),"")</f>
        <v/>
      </c>
      <c r="C94" s="19" t="str">
        <f>IFERROR(INDEX(激励事件明细!$AA$2:$AA$501,MATCH($B$3&amp;"|"&amp;(($F$12-1)*25+ROW()-73),激励事件明细!$AH$2:$AH$501,0)),"")</f>
        <v/>
      </c>
      <c r="D94" s="19" t="str">
        <f>IF(A94="","",SUMIFS(分期缴税台账!$K$2:$K$501,分期缴税台账!$T$2:$T$501,A94,分期缴税台账!$Q$2:$Q$501,"有效"))</f>
        <v/>
      </c>
      <c r="E94" s="19" t="str">
        <f t="shared" si="0"/>
        <v/>
      </c>
      <c r="F94" s="11" t="str">
        <f>IFERROR(INDEX(激励事件明细!$AC$2:$AC$501,MATCH($B$3&amp;"|"&amp;(($F$12-1)*25+ROW()-73),激励事件明细!$AH$2:$AH$501,0)),"")</f>
        <v/>
      </c>
      <c r="G94" t="str">
        <f t="shared" ca="1" si="1"/>
        <v/>
      </c>
    </row>
    <row r="95" spans="1:7" x14ac:dyDescent="0.3">
      <c r="A95" t="str">
        <f>IFERROR(INDEX(激励事件明细!$A$2:$A$501,MATCH($B$3&amp;"|"&amp;(($F$12-1)*25+ROW()-73),激励事件明细!$AH$2:$AH$501,0)),"")</f>
        <v/>
      </c>
      <c r="B95" t="str">
        <f>IFERROR(INDEX(激励事件明细!$B$2:$B$501,MATCH($B$3&amp;"|"&amp;(($F$12-1)*25+ROW()-73),激励事件明细!$AH$2:$AH$501,0)),"")</f>
        <v/>
      </c>
      <c r="C95" s="19" t="str">
        <f>IFERROR(INDEX(激励事件明细!$AA$2:$AA$501,MATCH($B$3&amp;"|"&amp;(($F$12-1)*25+ROW()-73),激励事件明细!$AH$2:$AH$501,0)),"")</f>
        <v/>
      </c>
      <c r="D95" s="19" t="str">
        <f>IF(A95="","",SUMIFS(分期缴税台账!$K$2:$K$501,分期缴税台账!$T$2:$T$501,A95,分期缴税台账!$Q$2:$Q$501,"有效"))</f>
        <v/>
      </c>
      <c r="E95" s="19" t="str">
        <f t="shared" si="0"/>
        <v/>
      </c>
      <c r="F95" s="11" t="str">
        <f>IFERROR(INDEX(激励事件明细!$AC$2:$AC$501,MATCH($B$3&amp;"|"&amp;(($F$12-1)*25+ROW()-73),激励事件明细!$AH$2:$AH$501,0)),"")</f>
        <v/>
      </c>
      <c r="G95" t="str">
        <f t="shared" ca="1" si="1"/>
        <v/>
      </c>
    </row>
    <row r="96" spans="1:7" x14ac:dyDescent="0.3">
      <c r="A96" t="str">
        <f>IFERROR(INDEX(激励事件明细!$A$2:$A$501,MATCH($B$3&amp;"|"&amp;(($F$12-1)*25+ROW()-73),激励事件明细!$AH$2:$AH$501,0)),"")</f>
        <v/>
      </c>
      <c r="B96" t="str">
        <f>IFERROR(INDEX(激励事件明细!$B$2:$B$501,MATCH($B$3&amp;"|"&amp;(($F$12-1)*25+ROW()-73),激励事件明细!$AH$2:$AH$501,0)),"")</f>
        <v/>
      </c>
      <c r="C96" s="19" t="str">
        <f>IFERROR(INDEX(激励事件明细!$AA$2:$AA$501,MATCH($B$3&amp;"|"&amp;(($F$12-1)*25+ROW()-73),激励事件明细!$AH$2:$AH$501,0)),"")</f>
        <v/>
      </c>
      <c r="D96" s="19" t="str">
        <f>IF(A96="","",SUMIFS(分期缴税台账!$K$2:$K$501,分期缴税台账!$T$2:$T$501,A96,分期缴税台账!$Q$2:$Q$501,"有效"))</f>
        <v/>
      </c>
      <c r="E96" s="19" t="str">
        <f t="shared" si="0"/>
        <v/>
      </c>
      <c r="F96" s="11" t="str">
        <f>IFERROR(INDEX(激励事件明细!$AC$2:$AC$501,MATCH($B$3&amp;"|"&amp;(($F$12-1)*25+ROW()-73),激励事件明细!$AH$2:$AH$501,0)),"")</f>
        <v/>
      </c>
      <c r="G96" t="str">
        <f t="shared" ca="1" si="1"/>
        <v/>
      </c>
    </row>
    <row r="97" spans="1:7" x14ac:dyDescent="0.3">
      <c r="A97" t="str">
        <f>IFERROR(INDEX(激励事件明细!$A$2:$A$501,MATCH($B$3&amp;"|"&amp;(($F$12-1)*25+ROW()-73),激励事件明细!$AH$2:$AH$501,0)),"")</f>
        <v/>
      </c>
      <c r="B97" t="str">
        <f>IFERROR(INDEX(激励事件明细!$B$2:$B$501,MATCH($B$3&amp;"|"&amp;(($F$12-1)*25+ROW()-73),激励事件明细!$AH$2:$AH$501,0)),"")</f>
        <v/>
      </c>
      <c r="C97" s="19" t="str">
        <f>IFERROR(INDEX(激励事件明细!$AA$2:$AA$501,MATCH($B$3&amp;"|"&amp;(($F$12-1)*25+ROW()-73),激励事件明细!$AH$2:$AH$501,0)),"")</f>
        <v/>
      </c>
      <c r="D97" s="19" t="str">
        <f>IF(A97="","",SUMIFS(分期缴税台账!$K$2:$K$501,分期缴税台账!$T$2:$T$501,A97,分期缴税台账!$Q$2:$Q$501,"有效"))</f>
        <v/>
      </c>
      <c r="E97" s="19" t="str">
        <f t="shared" si="0"/>
        <v/>
      </c>
      <c r="F97" s="11" t="str">
        <f>IFERROR(INDEX(激励事件明细!$AC$2:$AC$501,MATCH($B$3&amp;"|"&amp;(($F$12-1)*25+ROW()-73),激励事件明细!$AH$2:$AH$501,0)),"")</f>
        <v/>
      </c>
      <c r="G97" t="str">
        <f t="shared" ca="1" si="1"/>
        <v/>
      </c>
    </row>
    <row r="98" spans="1:7" x14ac:dyDescent="0.3">
      <c r="A98" t="str">
        <f>IFERROR(INDEX(激励事件明细!$A$2:$A$501,MATCH($B$3&amp;"|"&amp;(($F$12-1)*25+ROW()-73),激励事件明细!$AH$2:$AH$501,0)),"")</f>
        <v/>
      </c>
      <c r="B98" t="str">
        <f>IFERROR(INDEX(激励事件明细!$B$2:$B$501,MATCH($B$3&amp;"|"&amp;(($F$12-1)*25+ROW()-73),激励事件明细!$AH$2:$AH$501,0)),"")</f>
        <v/>
      </c>
      <c r="C98" s="19" t="str">
        <f>IFERROR(INDEX(激励事件明细!$AA$2:$AA$501,MATCH($B$3&amp;"|"&amp;(($F$12-1)*25+ROW()-73),激励事件明细!$AH$2:$AH$501,0)),"")</f>
        <v/>
      </c>
      <c r="D98" s="19" t="str">
        <f>IF(A98="","",SUMIFS(分期缴税台账!$K$2:$K$501,分期缴税台账!$T$2:$T$501,A98,分期缴税台账!$Q$2:$Q$501,"有效"))</f>
        <v/>
      </c>
      <c r="E98" s="19" t="str">
        <f t="shared" si="0"/>
        <v/>
      </c>
      <c r="F98" s="11" t="str">
        <f>IFERROR(INDEX(激励事件明细!$AC$2:$AC$501,MATCH($B$3&amp;"|"&amp;(($F$12-1)*25+ROW()-73),激励事件明细!$AH$2:$AH$501,0)),"")</f>
        <v/>
      </c>
      <c r="G98" t="str">
        <f t="shared" ca="1" si="1"/>
        <v/>
      </c>
    </row>
    <row r="100" spans="1:7" x14ac:dyDescent="0.3">
      <c r="A100" s="1" t="s">
        <v>174</v>
      </c>
      <c r="B100" t="str">
        <f ca="1">IF(COUNTIF(G74:G98,"逾期")&gt;0,"存在逾期批次",IF(COUNTIF(G74:G98,"未到期")&gt;0,"存在未缴清批次","本页全部已缴清"))</f>
        <v>存在未缴清批次</v>
      </c>
    </row>
  </sheetData>
  <sheetProtection sheet="1" selectLockedCells="1" sort="0" autoFilter="0" selectUnlockedCells="1"/>
  <autoFilter ref="A17:G42" xr:uid="{00000000-0009-0000-0000-000005000000}"/>
  <mergeCells count="1">
    <mergeCell ref="A1:G1"/>
  </mergeCells>
  <phoneticPr fontId="7" type="noConversion"/>
  <dataValidations count="2">
    <dataValidation type="list" allowBlank="1" showInputMessage="1" showErrorMessage="1" errorTitle="输入无效" error="请选择下拉列表中的有效值。" promptTitle="可选值" prompt="请从下拉列表选择。" sqref="B3" xr:uid="{00000000-0002-0000-0500-000000000000}">
      <formula1>员工主数据编号</formula1>
    </dataValidation>
    <dataValidation type="whole" sqref="B12 D12 F12" xr:uid="{00000000-0002-0000-0500-000001000000}">
      <formula1>1</formula1>
      <formula2>20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4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8" customWidth="1"/>
    <col min="2" max="2" width="12" customWidth="1"/>
    <col min="3" max="4" width="18" customWidth="1"/>
    <col min="5" max="5" width="55" customWidth="1"/>
  </cols>
  <sheetData>
    <row r="1" spans="1:5" ht="32" customHeight="1" x14ac:dyDescent="0.3">
      <c r="A1" s="6" t="s">
        <v>175</v>
      </c>
      <c r="B1" s="6" t="s">
        <v>105</v>
      </c>
      <c r="C1" s="6" t="s">
        <v>106</v>
      </c>
      <c r="D1" s="6" t="s">
        <v>176</v>
      </c>
      <c r="E1" s="6" t="s">
        <v>177</v>
      </c>
    </row>
    <row r="2" spans="1:5" x14ac:dyDescent="0.3">
      <c r="A2" s="20">
        <v>0</v>
      </c>
      <c r="B2" s="21">
        <v>0.03</v>
      </c>
      <c r="C2" s="20">
        <v>0</v>
      </c>
      <c r="D2" s="3">
        <v>36000</v>
      </c>
      <c r="E2" s="3" t="s">
        <v>178</v>
      </c>
    </row>
    <row r="3" spans="1:5" x14ac:dyDescent="0.3">
      <c r="A3" s="20">
        <v>36000.01</v>
      </c>
      <c r="B3" s="21">
        <v>0.1</v>
      </c>
      <c r="C3" s="20">
        <v>2520</v>
      </c>
      <c r="D3" s="3">
        <v>144000</v>
      </c>
      <c r="E3" s="3" t="s">
        <v>178</v>
      </c>
    </row>
    <row r="4" spans="1:5" x14ac:dyDescent="0.3">
      <c r="A4" s="20">
        <v>144000.01</v>
      </c>
      <c r="B4" s="21">
        <v>0.2</v>
      </c>
      <c r="C4" s="20">
        <v>16920</v>
      </c>
      <c r="D4" s="3">
        <v>300000</v>
      </c>
      <c r="E4" s="3" t="s">
        <v>178</v>
      </c>
    </row>
    <row r="5" spans="1:5" x14ac:dyDescent="0.3">
      <c r="A5" s="20">
        <v>300000.01</v>
      </c>
      <c r="B5" s="21">
        <v>0.25</v>
      </c>
      <c r="C5" s="20">
        <v>31920</v>
      </c>
      <c r="D5" s="3">
        <v>420000</v>
      </c>
      <c r="E5" s="3" t="s">
        <v>178</v>
      </c>
    </row>
    <row r="6" spans="1:5" x14ac:dyDescent="0.3">
      <c r="A6" s="20">
        <v>420000.01</v>
      </c>
      <c r="B6" s="21">
        <v>0.3</v>
      </c>
      <c r="C6" s="20">
        <v>52920</v>
      </c>
      <c r="D6" s="3">
        <v>660000</v>
      </c>
      <c r="E6" s="3" t="s">
        <v>178</v>
      </c>
    </row>
    <row r="7" spans="1:5" x14ac:dyDescent="0.3">
      <c r="A7" s="20">
        <v>660000.01</v>
      </c>
      <c r="B7" s="21">
        <v>0.35</v>
      </c>
      <c r="C7" s="20">
        <v>85920</v>
      </c>
      <c r="D7" s="3">
        <v>960000</v>
      </c>
      <c r="E7" s="3" t="s">
        <v>178</v>
      </c>
    </row>
    <row r="8" spans="1:5" x14ac:dyDescent="0.3">
      <c r="A8" s="20">
        <v>960000.01</v>
      </c>
      <c r="B8" s="21">
        <v>0.45</v>
      </c>
      <c r="C8" s="20">
        <v>181920</v>
      </c>
      <c r="D8" s="3" t="s">
        <v>179</v>
      </c>
      <c r="E8" s="3" t="s">
        <v>178</v>
      </c>
    </row>
    <row r="9" spans="1:5" x14ac:dyDescent="0.3">
      <c r="A9" s="3"/>
      <c r="B9" s="3"/>
      <c r="C9" s="3"/>
      <c r="D9" s="3"/>
      <c r="E9" s="3"/>
    </row>
    <row r="10" spans="1:5" x14ac:dyDescent="0.3">
      <c r="A10" s="3" t="s">
        <v>128</v>
      </c>
      <c r="B10" s="3" t="s">
        <v>180</v>
      </c>
      <c r="C10" s="3"/>
      <c r="D10" s="3"/>
      <c r="E10" s="3"/>
    </row>
    <row r="11" spans="1:5" x14ac:dyDescent="0.3">
      <c r="A11" s="3" t="s">
        <v>129</v>
      </c>
      <c r="B11" s="3" t="s">
        <v>181</v>
      </c>
      <c r="C11" s="3"/>
      <c r="D11" s="3"/>
      <c r="E11" s="3"/>
    </row>
    <row r="12" spans="1:5" x14ac:dyDescent="0.3">
      <c r="A12" s="3" t="s">
        <v>182</v>
      </c>
      <c r="B12" s="3" t="s">
        <v>183</v>
      </c>
      <c r="C12" s="3"/>
      <c r="D12" s="3"/>
      <c r="E12" s="3"/>
    </row>
    <row r="13" spans="1:5" x14ac:dyDescent="0.3">
      <c r="A13" s="3" t="s">
        <v>184</v>
      </c>
      <c r="B13" s="3" t="s">
        <v>185</v>
      </c>
      <c r="C13" s="3"/>
      <c r="D13" s="3"/>
      <c r="E13" s="3"/>
    </row>
    <row r="14" spans="1:5" x14ac:dyDescent="0.3">
      <c r="A14" s="3" t="s">
        <v>186</v>
      </c>
      <c r="B14" s="3" t="s">
        <v>187</v>
      </c>
      <c r="C14" s="3"/>
      <c r="D14" s="3"/>
      <c r="E14" s="3"/>
    </row>
  </sheetData>
  <sheetProtection sheet="1" selectLockedCells="1" sort="0" autoFilter="0" selectUnlockedCells="1"/>
  <phoneticPr fontId="7" type="noConversion"/>
  <pageMargins left="0.75" right="0.75" top="1" bottom="1" header="0.5" footer="0.5"/>
  <pageSetup paperSize="9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3"/>
  <cols>
    <col min="1" max="1" width="14" customWidth="1"/>
    <col min="2" max="2" width="48" customWidth="1"/>
    <col min="3" max="3" width="14" customWidth="1"/>
    <col min="4" max="4" width="30" customWidth="1"/>
    <col min="5" max="5" width="52" customWidth="1"/>
    <col min="6" max="6" width="55" customWidth="1"/>
  </cols>
  <sheetData>
    <row r="1" spans="1:6" ht="32" customHeight="1" x14ac:dyDescent="0.3">
      <c r="A1" s="6" t="s">
        <v>188</v>
      </c>
      <c r="B1" s="6" t="s">
        <v>189</v>
      </c>
      <c r="C1" s="6" t="s">
        <v>190</v>
      </c>
      <c r="D1" s="6" t="s">
        <v>191</v>
      </c>
      <c r="E1" s="6" t="s">
        <v>192</v>
      </c>
      <c r="F1" s="6" t="s">
        <v>193</v>
      </c>
    </row>
    <row r="2" spans="1:6" ht="15.75" x14ac:dyDescent="0.4">
      <c r="A2" s="3" t="s">
        <v>50</v>
      </c>
      <c r="B2" s="3" t="s">
        <v>194</v>
      </c>
      <c r="C2" s="8">
        <v>45475</v>
      </c>
      <c r="D2" s="3" t="s">
        <v>54</v>
      </c>
      <c r="E2" s="3" t="s">
        <v>195</v>
      </c>
      <c r="F2" s="22" t="s">
        <v>196</v>
      </c>
    </row>
    <row r="3" spans="1:6" ht="15.75" x14ac:dyDescent="0.4">
      <c r="A3" s="3" t="s">
        <v>50</v>
      </c>
      <c r="B3" s="3" t="s">
        <v>197</v>
      </c>
      <c r="C3" s="8">
        <v>45498</v>
      </c>
      <c r="D3" s="3" t="s">
        <v>58</v>
      </c>
      <c r="E3" s="3" t="s">
        <v>198</v>
      </c>
      <c r="F3" s="22" t="s">
        <v>199</v>
      </c>
    </row>
    <row r="4" spans="1:6" ht="15.75" x14ac:dyDescent="0.4">
      <c r="A4" s="3" t="s">
        <v>50</v>
      </c>
      <c r="B4" s="3" t="s">
        <v>200</v>
      </c>
      <c r="C4" s="8">
        <v>45530</v>
      </c>
      <c r="D4" s="3" t="s">
        <v>61</v>
      </c>
      <c r="E4" s="3" t="s">
        <v>201</v>
      </c>
      <c r="F4" s="22" t="s">
        <v>202</v>
      </c>
    </row>
    <row r="5" spans="1:6" ht="15.75" x14ac:dyDescent="0.4">
      <c r="A5" s="3" t="s">
        <v>203</v>
      </c>
      <c r="B5" s="3" t="s">
        <v>204</v>
      </c>
      <c r="C5" s="8">
        <v>45531</v>
      </c>
      <c r="D5" s="3" t="s">
        <v>205</v>
      </c>
      <c r="E5" s="3" t="s">
        <v>206</v>
      </c>
      <c r="F5" s="22" t="s">
        <v>207</v>
      </c>
    </row>
    <row r="6" spans="1:6" ht="15.75" x14ac:dyDescent="0.4">
      <c r="A6" s="3" t="s">
        <v>208</v>
      </c>
      <c r="B6" s="3" t="s">
        <v>209</v>
      </c>
      <c r="C6" s="8">
        <v>45156</v>
      </c>
      <c r="D6" s="3" t="s">
        <v>210</v>
      </c>
      <c r="E6" s="3" t="s">
        <v>211</v>
      </c>
      <c r="F6" s="22" t="s">
        <v>212</v>
      </c>
    </row>
    <row r="7" spans="1:6" ht="15.75" x14ac:dyDescent="0.4">
      <c r="A7" s="3" t="s">
        <v>208</v>
      </c>
      <c r="B7" s="3" t="s">
        <v>213</v>
      </c>
      <c r="C7" s="8">
        <v>45399</v>
      </c>
      <c r="D7" s="3" t="s">
        <v>214</v>
      </c>
      <c r="E7" s="3" t="s">
        <v>215</v>
      </c>
      <c r="F7" s="22" t="s">
        <v>216</v>
      </c>
    </row>
    <row r="8" spans="1:6" ht="15.75" x14ac:dyDescent="0.4">
      <c r="A8" s="3" t="s">
        <v>208</v>
      </c>
      <c r="B8" s="3" t="s">
        <v>217</v>
      </c>
      <c r="C8" s="8">
        <v>40049</v>
      </c>
      <c r="D8" s="3" t="s">
        <v>75</v>
      </c>
      <c r="E8" s="3" t="s">
        <v>218</v>
      </c>
      <c r="F8" s="22" t="s">
        <v>219</v>
      </c>
    </row>
    <row r="9" spans="1:6" ht="15.75" x14ac:dyDescent="0.4">
      <c r="A9" s="3" t="s">
        <v>208</v>
      </c>
      <c r="B9" s="3" t="s">
        <v>220</v>
      </c>
      <c r="C9" s="8">
        <v>38439</v>
      </c>
      <c r="D9" s="3" t="s">
        <v>221</v>
      </c>
      <c r="E9" s="3" t="s">
        <v>222</v>
      </c>
      <c r="F9" s="22" t="s">
        <v>223</v>
      </c>
    </row>
    <row r="10" spans="1:6" ht="15.75" x14ac:dyDescent="0.4">
      <c r="A10" s="3" t="s">
        <v>50</v>
      </c>
      <c r="B10" s="3" t="s">
        <v>224</v>
      </c>
      <c r="C10" s="8">
        <v>45663</v>
      </c>
      <c r="D10" s="3" t="s">
        <v>80</v>
      </c>
      <c r="E10" s="3" t="s">
        <v>225</v>
      </c>
      <c r="F10" s="22" t="s">
        <v>226</v>
      </c>
    </row>
    <row r="11" spans="1:6" ht="15.75" x14ac:dyDescent="0.4">
      <c r="A11" s="3" t="s">
        <v>50</v>
      </c>
      <c r="B11" s="3" t="s">
        <v>227</v>
      </c>
      <c r="C11" s="8">
        <v>45770</v>
      </c>
      <c r="D11" s="3" t="s">
        <v>81</v>
      </c>
      <c r="E11" s="3" t="s">
        <v>228</v>
      </c>
      <c r="F11" s="22" t="s">
        <v>229</v>
      </c>
    </row>
    <row r="12" spans="1:6" ht="15.75" x14ac:dyDescent="0.4">
      <c r="A12" s="3" t="s">
        <v>50</v>
      </c>
      <c r="B12" s="3" t="s">
        <v>230</v>
      </c>
      <c r="C12" s="8">
        <v>45919</v>
      </c>
      <c r="D12" s="3" t="s">
        <v>83</v>
      </c>
      <c r="E12" s="3" t="s">
        <v>231</v>
      </c>
      <c r="F12" s="22" t="s">
        <v>232</v>
      </c>
    </row>
  </sheetData>
  <sheetProtection sheet="1" selectLockedCells="1" sort="0" autoFilter="0" selectUnlockedCells="1"/>
  <phoneticPr fontId="7" type="noConversion"/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  <hyperlink ref="F6" r:id="rId5" xr:uid="{00000000-0004-0000-0700-000004000000}"/>
    <hyperlink ref="F7" r:id="rId6" xr:uid="{00000000-0004-0000-0700-000005000000}"/>
    <hyperlink ref="F8" r:id="rId7" xr:uid="{00000000-0004-0000-0700-000006000000}"/>
    <hyperlink ref="F9" r:id="rId8" xr:uid="{00000000-0004-0000-0700-000007000000}"/>
    <hyperlink ref="F10" r:id="rId9" xr:uid="{00000000-0004-0000-0700-000008000000}"/>
    <hyperlink ref="F11" r:id="rId10" xr:uid="{00000000-0004-0000-0700-000009000000}"/>
    <hyperlink ref="F12" r:id="rId11" xr:uid="{00000000-0004-0000-0700-00000A000000}"/>
  </hyperlinks>
  <pageMargins left="0.75" right="0.75" top="1" bottom="1" header="0.5" footer="0.5"/>
  <pageSetup paperSize="9" fitToHeight="0" orientation="landscape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18</vt:i4>
      </vt:variant>
    </vt:vector>
  </HeadingPairs>
  <TitlesOfParts>
    <vt:vector size="26" baseType="lpstr">
      <vt:lpstr>使用说明</vt:lpstr>
      <vt:lpstr>计划参数</vt:lpstr>
      <vt:lpstr>激励事件明细</vt:lpstr>
      <vt:lpstr>年度计税汇总</vt:lpstr>
      <vt:lpstr>分期缴税台账</vt:lpstr>
      <vt:lpstr>单人测算</vt:lpstr>
      <vt:lpstr>税率及规则</vt:lpstr>
      <vt:lpstr>政策及公告</vt:lpstr>
      <vt:lpstr>单人测算!Print_Area</vt:lpstr>
      <vt:lpstr>分期缴税台账!Print_Area</vt:lpstr>
      <vt:lpstr>激励事件明细!Print_Area</vt:lpstr>
      <vt:lpstr>计划参数!Print_Area</vt:lpstr>
      <vt:lpstr>年度计税汇总!Print_Area</vt:lpstr>
      <vt:lpstr>使用说明!Print_Area</vt:lpstr>
      <vt:lpstr>税率及规则!Print_Area</vt:lpstr>
      <vt:lpstr>政策及公告!Print_Area</vt:lpstr>
      <vt:lpstr>分期缴税台账!Print_Titles</vt:lpstr>
      <vt:lpstr>激励事件明细!Print_Titles</vt:lpstr>
      <vt:lpstr>计划参数!Print_Titles</vt:lpstr>
      <vt:lpstr>年度计税汇总!Print_Titles</vt:lpstr>
      <vt:lpstr>税率及规则!Print_Titles</vt:lpstr>
      <vt:lpstr>政策及公告!Print_Titles</vt:lpstr>
      <vt:lpstr>事件编号列表</vt:lpstr>
      <vt:lpstr>税额批次列表</vt:lpstr>
      <vt:lpstr>员工编号列表</vt:lpstr>
      <vt:lpstr>员工主数据编号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cheng</cp:lastModifiedBy>
  <dcterms:created xsi:type="dcterms:W3CDTF">2026-06-13T16:24:22Z</dcterms:created>
  <dcterms:modified xsi:type="dcterms:W3CDTF">2026-06-13T16:24:34Z</dcterms:modified>
</cp:coreProperties>
</file>