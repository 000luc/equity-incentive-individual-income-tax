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计划参数" sheetId="2" state="visible" r:id="rId2"/>
    <sheet xmlns:r="http://schemas.openxmlformats.org/officeDocument/2006/relationships" name="激励事件明细" sheetId="3" state="visible" r:id="rId3"/>
    <sheet xmlns:r="http://schemas.openxmlformats.org/officeDocument/2006/relationships" name="年度计税汇总" sheetId="4" state="visible" r:id="rId4"/>
    <sheet xmlns:r="http://schemas.openxmlformats.org/officeDocument/2006/relationships" name="分期缴税台账" sheetId="5" state="visible" r:id="rId5"/>
    <sheet xmlns:r="http://schemas.openxmlformats.org/officeDocument/2006/relationships" name="单人测算" sheetId="6" state="visible" r:id="rId6"/>
    <sheet xmlns:r="http://schemas.openxmlformats.org/officeDocument/2006/relationships" name="税率及规则" sheetId="7" state="visible" r:id="rId7"/>
    <sheet xmlns:r="http://schemas.openxmlformats.org/officeDocument/2006/relationships" name="政策及公告" sheetId="8" state="visible" r:id="rId8"/>
  </sheets>
  <definedNames>
    <definedName name="员工编号列表">'激励事件明细'!$C$2:$C$501</definedName>
    <definedName name="事件编号列表">'激励事件明细'!$A$2:$A$501</definedName>
    <definedName name="税额批次列表">'激励事件明细'!$B$2:$B$501</definedName>
    <definedName name="_xlnm.Print_Area" localSheetId="0">'使用说明'!$A$1:$H$18</definedName>
    <definedName name="_xlnm._FilterDatabase" localSheetId="1" hidden="1">'计划参数'!$A$1:$G$15</definedName>
    <definedName name="_xlnm.Print_Titles" localSheetId="1">'计划参数'!$1:$1</definedName>
    <definedName name="_xlnm.Print_Area" localSheetId="1">'计划参数'!$A$1:$G$15</definedName>
    <definedName name="_xlnm._FilterDatabase" localSheetId="2" hidden="1">'激励事件明细'!$A$1:$AD$501</definedName>
    <definedName name="_xlnm.Print_Titles" localSheetId="2">'激励事件明细'!$1:$1</definedName>
    <definedName name="_xlnm.Print_Area" localSheetId="2">'激励事件明细'!$A$1:$AD$501</definedName>
    <definedName name="_xlnm._FilterDatabase" localSheetId="3" hidden="1">'年度计税汇总'!$A$1:$P$201</definedName>
    <definedName name="_xlnm.Print_Titles" localSheetId="3">'年度计税汇总'!$1:$1</definedName>
    <definedName name="_xlnm.Print_Area" localSheetId="3">'年度计税汇总'!$A$1:$P$201</definedName>
    <definedName name="_xlnm._FilterDatabase" localSheetId="4" hidden="1">'分期缴税台账'!$A$1:$R$501</definedName>
    <definedName name="_xlnm.Print_Titles" localSheetId="4">'分期缴税台账'!$1:$1</definedName>
    <definedName name="_xlnm.Print_Area" localSheetId="4">'分期缴税台账'!$A$1:$R$501</definedName>
    <definedName name="_xlnm._FilterDatabase" localSheetId="5" hidden="1">'单人测算'!$A$13:$E$20</definedName>
    <definedName name="_xlnm.Print_Area" localSheetId="5">'单人测算'!$A$1:$F$21</definedName>
    <definedName name="_xlnm._FilterDatabase" localSheetId="6" hidden="1">'税率及规则'!$A$1:$E$8</definedName>
    <definedName name="_xlnm.Print_Titles" localSheetId="6">'税率及规则'!$1:$1</definedName>
    <definedName name="_xlnm.Print_Area" localSheetId="6">'税率及规则'!$A$1:$E$14</definedName>
    <definedName name="_xlnm._FilterDatabase" localSheetId="7" hidden="1">'政策及公告'!$A$1:$F$12</definedName>
    <definedName name="_xlnm.Print_Titles" localSheetId="7">'政策及公告'!$1:$1</definedName>
    <definedName name="_xlnm.Print_Area" localSheetId="7">'政策及公告'!$A$1:$F$12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00;[Red]-#,##0.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4E78"/>
    </font>
    <font>
      <b val="1"/>
      <color rgb="00FFFFFF"/>
    </font>
    <font>
      <b val="1"/>
      <color rgb="00FFFFFF"/>
      <sz val="15"/>
    </font>
    <font>
      <b val="1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E2F0D9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2">
    <xf numFmtId="0" fontId="0" fillId="0" borderId="0"/>
    <xf numFmtId="0" fontId="6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4" borderId="0" pivotButton="0" quotePrefix="0" xfId="0"/>
    <xf numFmtId="2" fontId="0" fillId="4" borderId="0" pivotButton="0" quotePrefix="0" xfId="0"/>
    <xf numFmtId="0" fontId="0" fillId="3" borderId="0" applyProtection="1" pivotButton="0" quotePrefix="0" xfId="0">
      <protection locked="0" hidden="0"/>
    </xf>
    <xf numFmtId="164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165" fontId="0" fillId="5" borderId="0" pivotButton="0" quotePrefix="0" xfId="0"/>
    <xf numFmtId="9" fontId="0" fillId="5" borderId="0" pivotButton="0" quotePrefix="0" xfId="0"/>
    <xf numFmtId="164" fontId="0" fillId="5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3" fillId="2" borderId="0" pivotButton="0" quotePrefix="0" xfId="0"/>
    <xf numFmtId="165" fontId="0" fillId="4" borderId="0" pivotButton="0" quotePrefix="0" xfId="0"/>
    <xf numFmtId="9" fontId="0" fillId="4" borderId="0" pivotButton="0" quotePrefix="0" xfId="0"/>
    <xf numFmtId="0" fontId="6" fillId="0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PlanParameters" displayName="tblPlanParameters" ref="A1:G15" headerRowCount="1">
  <autoFilter ref="A1:G15"/>
  <tableColumns count="7">
    <tableColumn id="1" name="参数类别"/>
    <tableColumn id="2" name="参数名称"/>
    <tableColumn id="3" name="参数值"/>
    <tableColumn id="4" name="生效日"/>
    <tableColumn id="5" name="失效日"/>
    <tableColumn id="6" name="口径/说明"/>
    <tableColumn id="7" name="来源公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IncentiveEvents" displayName="tblIncentiveEvents" ref="A1:AD501" headerRowCount="1">
  <autoFilter ref="A1:AD501"/>
  <tableColumns count="30">
    <tableColumn id="1" name="事件编号"/>
    <tableColumn id="2" name="税额批次"/>
    <tableColumn id="3" name="员工编号"/>
    <tableColumn id="4" name="姓名"/>
    <tableColumn id="5" name="激励计划"/>
    <tableColumn id="6" name="权益类型"/>
    <tableColumn id="7" name="事件日期"/>
    <tableColumn id="8" name="纳税年度"/>
    <tableColumn id="9" name="本次行权或解禁数量"/>
    <tableColumn id="10" name="行权日或解禁日收盘价"/>
    <tableColumn id="11" name="适用行权或授予价格"/>
    <tableColumn id="12" name="限制性股票登记日收盘价"/>
    <tableColumn id="13" name="员工获授限制性股票总数"/>
    <tableColumn id="14" name="员工实际出资总额"/>
    <tableColumn id="15" name="其他需合并股权激励所得"/>
    <tableColumn id="16" name="离职日期"/>
    <tableColumn id="17" name="备案状态"/>
    <tableColumn id="18" name="备案日期"/>
    <tableColumn id="19" name="本次应纳税所得额"/>
    <tableColumn id="20" name="此前年度累计所得"/>
    <tableColumn id="21" name="本次事件后年度累计所得"/>
    <tableColumn id="22" name="税率"/>
    <tableColumn id="23" name="速算扣除数"/>
    <tableColumn id="24" name="累计税额"/>
    <tableColumn id="25" name="此前累计已确认税额"/>
    <tableColumn id="26" name="本次新增税额"/>
    <tableColumn id="27" name="本事件纳税义务发生日"/>
    <tableColumn id="28" name="事件级36个月截止日"/>
    <tableColumn id="29" name="校验"/>
    <tableColumn id="30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AnnualSummary" displayName="tblAnnualSummary" ref="A1:P201" headerRowCount="1">
  <autoFilter ref="A1:P201"/>
  <tableColumns count="16">
    <tableColumn id="1" name="员工编号"/>
    <tableColumn id="2" name="姓名"/>
    <tableColumn id="3" name="纳税年度"/>
    <tableColumn id="4" name="股票期权所得"/>
    <tableColumn id="5" name="限制性股票所得"/>
    <tableColumn id="6" name="其他股权激励所得"/>
    <tableColumn id="7" name="年度股权激励应纳税所得额"/>
    <tableColumn id="8" name="税率"/>
    <tableColumn id="9" name="速算扣除数"/>
    <tableColumn id="10" name="年度应纳税额"/>
    <tableColumn id="11" name="已缴金额"/>
    <tableColumn id="12" name="未缴金额"/>
    <tableColumn id="13" name="事件新增税额批次数"/>
    <tableColumn id="14" name="最早到期事件编号"/>
    <tableColumn id="15" name="最早到期日"/>
    <tableColumn id="16" name="状态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stallments" displayName="tblInstallments" ref="A1:R501" headerRowCount="1">
  <autoFilter ref="A1:R501"/>
  <tableColumns count="18">
    <tableColumn id="1" name="员工编号"/>
    <tableColumn id="2" name="姓名"/>
    <tableColumn id="3" name="纳税年度"/>
    <tableColumn id="4" name="事件编号"/>
    <tableColumn id="5" name="新增税额批次"/>
    <tableColumn id="6" name="该事件新增应纳税额"/>
    <tableColumn id="7" name="该事件纳税义务发生日"/>
    <tableColumn id="8" name="该事件最晚缴清日"/>
    <tableColumn id="9" name="缴税日期"/>
    <tableColumn id="10" name="计划缴税金额"/>
    <tableColumn id="11" name="实际缴税金额"/>
    <tableColumn id="12" name="完税凭证号"/>
    <tableColumn id="13" name="累计已缴"/>
    <tableColumn id="14" name="剩余税额"/>
    <tableColumn id="15" name="是否逾期"/>
    <tableColumn id="16" name="离职日期"/>
    <tableColumn id="17" name="校验"/>
    <tableColumn id="18" name="备注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TaxRates" displayName="tblTaxRates" ref="A1:E8" headerRowCount="1">
  <autoFilter ref="A1:E8"/>
  <tableColumns count="5">
    <tableColumn id="1" name="所得下限"/>
    <tableColumn id="2" name="税率"/>
    <tableColumn id="3" name="速算扣除数"/>
    <tableColumn id="4" name="所得上限"/>
    <tableColumn id="5" name="规则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olicies" displayName="tblPolicies" ref="A1:F12" headerRowCount="1">
  <autoFilter ref="A1:F12"/>
  <tableColumns count="6">
    <tableColumn id="1" name="类别"/>
    <tableColumn id="2" name="文件名称"/>
    <tableColumn id="3" name="发布日期"/>
    <tableColumn id="4" name="文号/公告编号"/>
    <tableColumn id="5" name="采用内容"/>
    <tableColumn id="6" name="来源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disc.static.szse.cn/disc/disk03/finalpage/2024-07-01/d4e22bf2-dc60-41be-ab59-090c05df4556.PDF" TargetMode="External" Id="rId1"/><Relationship Type="http://schemas.openxmlformats.org/officeDocument/2006/relationships/hyperlink" Target="https://static.cninfo.com.cn/finalpage/2024-07-25/1220719491.PDF" TargetMode="External" Id="rId2"/><Relationship Type="http://schemas.openxmlformats.org/officeDocument/2006/relationships/hyperlink" Target="https://static.cninfo.com.cn/finalpage/2024-08-26/1220961881.PDF" TargetMode="External" Id="rId3"/><Relationship Type="http://schemas.openxmlformats.org/officeDocument/2006/relationships/hyperlink" Target="https://www.szse.cn/api/report/ShowReport/data?SHOWTYPE=JSON&amp;CATALOGID=1815_stock&amp;TABKEY=tab1&amp;txtDMorJC=002967&amp;txtBeginDate=2024-08-27" TargetMode="External" Id="rId4"/><Relationship Type="http://schemas.openxmlformats.org/officeDocument/2006/relationships/hyperlink" Target="https://fgk.chinatax.gov.cn/zcfgk/c102416/c5211082/content.html" TargetMode="External" Id="rId5"/><Relationship Type="http://schemas.openxmlformats.org/officeDocument/2006/relationships/hyperlink" Target="https://jiangsu.chinatax.gov.cn/art/2024/4/28/art_8349_458449.html" TargetMode="External" Id="rId6"/><Relationship Type="http://schemas.openxmlformats.org/officeDocument/2006/relationships/hyperlink" Target="https://fgk.chinatax.gov.cn/zcfgk/c100012/c5194079/content.html" TargetMode="External" Id="rId7"/><Relationship Type="http://schemas.openxmlformats.org/officeDocument/2006/relationships/hyperlink" Target="https://fgk.chinatax.gov.cn/zcfgk/c102416/c5203004/content.html" TargetMode="External" Id="rId8"/><Relationship Type="http://schemas.openxmlformats.org/officeDocument/2006/relationships/hyperlink" Target="https://static.cninfo.com.cn/finalpage/2025-01-06/1222225049.PDF" TargetMode="External" Id="rId9"/><Relationship Type="http://schemas.openxmlformats.org/officeDocument/2006/relationships/hyperlink" Target="https://static.cninfo.com.cn/finalpage/2025-04-23/1223212213.PDF" TargetMode="External" Id="rId10"/><Relationship Type="http://schemas.openxmlformats.org/officeDocument/2006/relationships/hyperlink" Target="https://static.cninfo.com.cn/finalpage/2025-09-19/1224668254.PDF" TargetMode="External" Id="rId11"/><Relationship Type="http://schemas.openxmlformats.org/officeDocument/2006/relationships/table" Target="/xl/tables/table6.xml" Id="rId1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广电计量股权激励个人所得税计算及分期台账（2026版）</t>
        </is>
      </c>
    </row>
    <row r="3" ht="34" customHeight="1">
      <c r="A3" s="2" t="inlineStr">
        <is>
          <t>一、录入顺序</t>
        </is>
      </c>
      <c r="B3" s="3" t="inlineStr">
        <is>
          <t>先维护计划参数，再逐笔录入激励事件，最后在分期缴税台账登记计划及实际缴税。</t>
        </is>
      </c>
    </row>
    <row r="4" ht="34" customHeight="1">
      <c r="A4" s="2" t="inlineStr">
        <is>
          <t>二、颜色</t>
        </is>
      </c>
      <c r="B4" s="3" t="inlineStr">
        <is>
          <t>蓝色为人工输入；灰色为公告参数；绿色为公式；红色为异常；黄色为说明。</t>
        </is>
      </c>
    </row>
    <row r="5" ht="34" customHeight="1">
      <c r="A5" s="2" t="inlineStr">
        <is>
          <t>三、年度计税</t>
        </is>
      </c>
      <c r="B5" s="3" t="inlineStr">
        <is>
          <t>同一员工同一纳税年度的股权激励所得合并计税，按事件日期及事件编号稳定排序逐笔确认新增税额。</t>
        </is>
      </c>
    </row>
    <row r="6" ht="34" customHeight="1">
      <c r="A6" s="2" t="inlineStr">
        <is>
          <t>四、36个月</t>
        </is>
      </c>
      <c r="B6" s="3" t="inlineStr">
        <is>
          <t>每次事件新增税额独立形成批次，从该事件行权日或解禁日起单独计算36个月。</t>
        </is>
      </c>
    </row>
    <row r="7" ht="34" customHeight="1">
      <c r="A7" s="2" t="inlineStr">
        <is>
          <t>五、限制性股票</t>
        </is>
      </c>
      <c r="B7" s="3" t="inlineStr">
        <is>
          <t>个人获授总数和个人实际出资必须按员工口径录入，公司802万股绝不能作为个人分母。</t>
        </is>
      </c>
    </row>
    <row r="8" ht="34" customHeight="1">
      <c r="A8" s="2" t="inlineStr">
        <is>
          <t>六、分期缴税</t>
        </is>
      </c>
      <c r="B8" s="3" t="inlineStr">
        <is>
          <t>缴税日期、计划金额和实际金额均可自定义，但必须关联事件编号或税额批次。</t>
        </is>
      </c>
    </row>
    <row r="9" ht="34" customHeight="1">
      <c r="A9" s="2" t="inlineStr">
        <is>
          <t>七、单人测算</t>
        </is>
      </c>
      <c r="B9" s="3" t="inlineStr">
        <is>
          <t>该页只引用事件明细、年度汇总和分期台账，不另建计算逻辑。</t>
        </is>
      </c>
    </row>
    <row r="10" ht="34" customHeight="1">
      <c r="A10" s="2" t="inlineStr">
        <is>
          <t>八、范围</t>
        </is>
      </c>
      <c r="B10" s="3" t="inlineStr">
        <is>
          <t>不计算股息红利个人所得税；演示数据仅用于验证公式，不得直接用于申报。</t>
        </is>
      </c>
    </row>
    <row r="11" ht="34" customHeight="1">
      <c r="A11" s="2" t="inlineStr">
        <is>
          <t>九、保护</t>
        </is>
      </c>
      <c r="B11" s="3" t="inlineStr">
        <is>
          <t>公式及公告参数已启用无密码保护；需要维护时可在Excel“审阅-撤销工作表保护”后操作。</t>
        </is>
      </c>
    </row>
    <row r="12" ht="34" customHeight="1">
      <c r="A12" s="2" t="inlineStr">
        <is>
          <t>十、申报</t>
        </is>
      </c>
      <c r="B12" s="3" t="inlineStr">
        <is>
          <t>36个月缴税以完成主管税务机关备案为前提，最终申报口径以备案及主管税务机关要求为准。</t>
        </is>
      </c>
    </row>
    <row r="15">
      <c r="A15" t="inlineStr">
        <is>
          <t>演示员工</t>
        </is>
      </c>
      <c r="B15" t="inlineStr">
        <is>
          <t>DEMO001，两条事件均标注“仅演示”。</t>
        </is>
      </c>
    </row>
    <row r="17">
      <c r="A17" t="inlineStr">
        <is>
          <t>图例</t>
        </is>
      </c>
      <c r="B17" s="4" t="inlineStr">
        <is>
          <t>人工输入</t>
        </is>
      </c>
      <c r="C17" s="5" t="inlineStr">
        <is>
          <t>公告参数</t>
        </is>
      </c>
      <c r="D17" s="6" t="inlineStr">
        <is>
          <t>公式结果</t>
        </is>
      </c>
      <c r="E17" s="7" t="inlineStr">
        <is>
          <t>异常提示</t>
        </is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14" customWidth="1" min="4" max="4"/>
    <col width="14" customWidth="1" min="5" max="5"/>
    <col width="36" customWidth="1" min="6" max="6"/>
    <col width="24" customWidth="1" min="7" max="7"/>
  </cols>
  <sheetData>
    <row r="1" ht="32" customHeight="1">
      <c r="A1" s="8" t="inlineStr">
        <is>
          <t>参数类别</t>
        </is>
      </c>
      <c r="B1" s="8" t="inlineStr">
        <is>
          <t>参数名称</t>
        </is>
      </c>
      <c r="C1" s="8" t="inlineStr">
        <is>
          <t>参数值</t>
        </is>
      </c>
      <c r="D1" s="8" t="inlineStr">
        <is>
          <t>生效日</t>
        </is>
      </c>
      <c r="E1" s="8" t="inlineStr">
        <is>
          <t>失效日</t>
        </is>
      </c>
      <c r="F1" s="8" t="inlineStr">
        <is>
          <t>口径/说明</t>
        </is>
      </c>
      <c r="G1" s="8" t="inlineStr">
        <is>
          <t>来源公告</t>
        </is>
      </c>
    </row>
    <row r="2">
      <c r="A2" s="5" t="inlineStr">
        <is>
          <t>基本</t>
        </is>
      </c>
      <c r="B2" s="5" t="inlineStr">
        <is>
          <t>激励计划</t>
        </is>
      </c>
      <c r="C2" s="5" t="inlineStr">
        <is>
          <t>2023年股票期权与限制性股票激励计划</t>
        </is>
      </c>
      <c r="D2" s="9" t="n"/>
      <c r="E2" s="9" t="n"/>
      <c r="F2" s="5" t="inlineStr">
        <is>
          <t>2023计划</t>
        </is>
      </c>
      <c r="G2" s="5" t="inlineStr">
        <is>
          <t>2024-035</t>
        </is>
      </c>
    </row>
    <row r="3">
      <c r="A3" s="5" t="inlineStr">
        <is>
          <t>基本</t>
        </is>
      </c>
      <c r="B3" s="5" t="inlineStr">
        <is>
          <t>股票代码</t>
        </is>
      </c>
      <c r="C3" s="5" t="inlineStr">
        <is>
          <t>002967</t>
        </is>
      </c>
      <c r="D3" s="9" t="n"/>
      <c r="E3" s="9" t="n"/>
      <c r="F3" s="5" t="inlineStr">
        <is>
          <t>广电计量</t>
        </is>
      </c>
      <c r="G3" s="5" t="inlineStr">
        <is>
          <t>公司公告</t>
        </is>
      </c>
    </row>
    <row r="4">
      <c r="A4" s="5" t="inlineStr">
        <is>
          <t>实际授予</t>
        </is>
      </c>
      <c r="B4" s="5" t="inlineStr">
        <is>
          <t>股票期权实际授予数量</t>
        </is>
      </c>
      <c r="C4" s="5" t="n">
        <v>8625000</v>
      </c>
      <c r="D4" s="9" t="n">
        <v>45474</v>
      </c>
      <c r="E4" s="9" t="n"/>
      <c r="F4" s="5" t="inlineStr">
        <is>
          <t>623人；授予决定口径</t>
        </is>
      </c>
      <c r="G4" s="5" t="inlineStr">
        <is>
          <t>2024-043</t>
        </is>
      </c>
    </row>
    <row r="5">
      <c r="A5" s="5" t="inlineStr">
        <is>
          <t>完成登记</t>
        </is>
      </c>
      <c r="B5" s="5" t="inlineStr">
        <is>
          <t>股票期权登记数量</t>
        </is>
      </c>
      <c r="C5" s="5" t="n">
        <v>8020000</v>
      </c>
      <c r="D5" s="9" t="n">
        <v>45497</v>
      </c>
      <c r="E5" s="9" t="n"/>
      <c r="F5" s="5" t="inlineStr">
        <is>
          <t>557人；完成登记口径</t>
        </is>
      </c>
      <c r="G5" s="5" t="inlineStr">
        <is>
          <t>2024-045</t>
        </is>
      </c>
    </row>
    <row r="6">
      <c r="A6" s="5" t="inlineStr">
        <is>
          <t>实际授予</t>
        </is>
      </c>
      <c r="B6" s="5" t="inlineStr">
        <is>
          <t>限制性股票实际授予数量</t>
        </is>
      </c>
      <c r="C6" s="5" t="n">
        <v>8625000</v>
      </c>
      <c r="D6" s="9" t="n">
        <v>45474</v>
      </c>
      <c r="E6" s="9" t="n"/>
      <c r="F6" s="5" t="inlineStr">
        <is>
          <t>623人；授予决定口径</t>
        </is>
      </c>
      <c r="G6" s="5" t="inlineStr">
        <is>
          <t>2024-043</t>
        </is>
      </c>
    </row>
    <row r="7">
      <c r="A7" s="5" t="inlineStr">
        <is>
          <t>完成登记</t>
        </is>
      </c>
      <c r="B7" s="5" t="inlineStr">
        <is>
          <t>限制性股票登记数量</t>
        </is>
      </c>
      <c r="C7" s="5" t="n">
        <v>8020000</v>
      </c>
      <c r="D7" s="9" t="n">
        <v>45531</v>
      </c>
      <c r="E7" s="9" t="n"/>
      <c r="F7" s="5" t="inlineStr">
        <is>
          <t>557人；完成登记口径</t>
        </is>
      </c>
      <c r="G7" s="5" t="inlineStr">
        <is>
          <t>2024-054</t>
        </is>
      </c>
    </row>
    <row r="8">
      <c r="A8" s="5" t="inlineStr">
        <is>
          <t>限制性股票</t>
        </is>
      </c>
      <c r="B8" s="5" t="inlineStr">
        <is>
          <t>登记日</t>
        </is>
      </c>
      <c r="C8" s="9" t="n">
        <v>45531</v>
      </c>
      <c r="D8" s="9" t="n">
        <v>45531</v>
      </c>
      <c r="E8" s="9" t="n"/>
      <c r="F8" s="5" t="inlineStr">
        <is>
          <t>登记完成日及上市日</t>
        </is>
      </c>
      <c r="G8" s="5" t="inlineStr">
        <is>
          <t>2024-054及后续公告</t>
        </is>
      </c>
    </row>
    <row r="9">
      <c r="A9" s="5" t="inlineStr">
        <is>
          <t>限制性股票</t>
        </is>
      </c>
      <c r="B9" s="5" t="inlineStr">
        <is>
          <t>登记日收盘价</t>
        </is>
      </c>
      <c r="C9" s="10" t="n">
        <v>13.06</v>
      </c>
      <c r="D9" s="9" t="n">
        <v>45531</v>
      </c>
      <c r="E9" s="9" t="n"/>
      <c r="F9" s="5" t="inlineStr">
        <is>
          <t>深交所2024-08-27今收</t>
        </is>
      </c>
      <c r="G9" s="5" t="inlineStr">
        <is>
          <t>深交所历史行情</t>
        </is>
      </c>
    </row>
    <row r="10">
      <c r="A10" s="5" t="inlineStr">
        <is>
          <t>限制性股票</t>
        </is>
      </c>
      <c r="B10" s="5" t="inlineStr">
        <is>
          <t>授予价格</t>
        </is>
      </c>
      <c r="C10" s="10" t="n">
        <v>8.68</v>
      </c>
      <c r="D10" s="9" t="n">
        <v>45474</v>
      </c>
      <c r="E10" s="9" t="n"/>
      <c r="F10" s="5" t="inlineStr">
        <is>
          <t>仅用于核对个人实际出资</t>
        </is>
      </c>
      <c r="G10" s="5" t="inlineStr">
        <is>
          <t>2024-043</t>
        </is>
      </c>
    </row>
    <row r="11">
      <c r="A11" s="5" t="inlineStr">
        <is>
          <t>个人口径</t>
        </is>
      </c>
      <c r="B11" s="5" t="inlineStr">
        <is>
          <t>限制性股票个人分母</t>
        </is>
      </c>
      <c r="C11" s="5" t="inlineStr">
        <is>
          <t>员工实际登记取得总股数</t>
        </is>
      </c>
      <c r="D11" s="9" t="n"/>
      <c r="E11" s="9" t="n"/>
      <c r="F11" s="5" t="inlineStr">
        <is>
          <t>802万股不得作为个人分母</t>
        </is>
      </c>
      <c r="G11" s="5" t="inlineStr">
        <is>
          <t>国税函〔2009〕461号</t>
        </is>
      </c>
    </row>
    <row r="12">
      <c r="A12" s="5" t="inlineStr">
        <is>
          <t>行权价格</t>
        </is>
      </c>
      <c r="B12" s="5" t="inlineStr">
        <is>
          <t>股票期权行权价格</t>
        </is>
      </c>
      <c r="C12" s="10" t="n">
        <v>14.56</v>
      </c>
      <c r="D12" s="9" t="n">
        <v>45474</v>
      </c>
      <c r="E12" s="9" t="n">
        <v>45666</v>
      </c>
      <c r="F12" s="5" t="inlineStr">
        <is>
          <t>按事件日自动选择</t>
        </is>
      </c>
      <c r="G12" s="5" t="inlineStr">
        <is>
          <t>2024-043/045</t>
        </is>
      </c>
    </row>
    <row r="13">
      <c r="A13" s="5" t="inlineStr">
        <is>
          <t>行权价格</t>
        </is>
      </c>
      <c r="B13" s="5" t="inlineStr">
        <is>
          <t>股票期权行权价格</t>
        </is>
      </c>
      <c r="C13" s="10" t="n">
        <v>14.32</v>
      </c>
      <c r="D13" s="9" t="n">
        <v>45667</v>
      </c>
      <c r="E13" s="9" t="n">
        <v>45775</v>
      </c>
      <c r="F13" s="5" t="inlineStr">
        <is>
          <t>按事件日自动选择</t>
        </is>
      </c>
      <c r="G13" s="5" t="inlineStr">
        <is>
          <t>2025-002</t>
        </is>
      </c>
    </row>
    <row r="14">
      <c r="A14" s="5" t="inlineStr">
        <is>
          <t>行权价格</t>
        </is>
      </c>
      <c r="B14" s="5" t="inlineStr">
        <is>
          <t>股票期权行权价格</t>
        </is>
      </c>
      <c r="C14" s="10" t="n">
        <v>14.18</v>
      </c>
      <c r="D14" s="9" t="n">
        <v>45776</v>
      </c>
      <c r="E14" s="9" t="n">
        <v>45925</v>
      </c>
      <c r="F14" s="5" t="inlineStr">
        <is>
          <t>按事件日自动选择</t>
        </is>
      </c>
      <c r="G14" s="5" t="inlineStr">
        <is>
          <t>2025-031</t>
        </is>
      </c>
    </row>
    <row r="15">
      <c r="A15" s="5" t="inlineStr">
        <is>
          <t>行权价格</t>
        </is>
      </c>
      <c r="B15" s="5" t="inlineStr">
        <is>
          <t>股票期权行权价格</t>
        </is>
      </c>
      <c r="C15" s="10" t="n">
        <v>14.04</v>
      </c>
      <c r="D15" s="9" t="n">
        <v>45926</v>
      </c>
      <c r="E15" s="9" t="n"/>
      <c r="F15" s="5" t="inlineStr">
        <is>
          <t>按本任务要求内置至该区间</t>
        </is>
      </c>
      <c r="G15" s="5" t="inlineStr">
        <is>
          <t>2025-060</t>
        </is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G15"/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2" customWidth="1" min="4" max="4"/>
    <col width="30" customWidth="1" min="5" max="5"/>
    <col width="16" customWidth="1" min="6" max="6"/>
    <col width="13" customWidth="1" min="7" max="7"/>
    <col width="10" customWidth="1" min="8" max="8"/>
    <col width="18" customWidth="1" min="9" max="9"/>
    <col width="20" customWidth="1" min="10" max="10"/>
    <col width="20" customWidth="1" min="11" max="11"/>
    <col width="22" customWidth="1" min="12" max="12"/>
    <col width="22" customWidth="1" min="13" max="13"/>
    <col width="20" customWidth="1" min="14" max="14"/>
    <col width="22" customWidth="1" min="15" max="15"/>
    <col width="13" customWidth="1" min="16" max="16"/>
    <col width="12" customWidth="1" min="17" max="17"/>
    <col width="13" customWidth="1" min="18" max="18"/>
    <col width="20" customWidth="1" min="19" max="19"/>
    <col width="20" customWidth="1" min="20" max="20"/>
    <col width="22" customWidth="1" min="21" max="21"/>
    <col width="10" customWidth="1" min="22" max="22"/>
    <col width="14" customWidth="1" min="23" max="23"/>
    <col width="16" customWidth="1" min="24" max="24"/>
    <col width="20" customWidth="1" min="25" max="25"/>
    <col width="16" customWidth="1" min="26" max="26"/>
    <col width="18" customWidth="1" min="27" max="27"/>
    <col width="22" customWidth="1" min="28" max="28"/>
    <col width="28" customWidth="1" min="29" max="29"/>
    <col width="28" customWidth="1" min="30" max="30"/>
  </cols>
  <sheetData>
    <row r="1" ht="32" customHeight="1">
      <c r="A1" s="8" t="inlineStr">
        <is>
          <t>事件编号</t>
        </is>
      </c>
      <c r="B1" s="8" t="inlineStr">
        <is>
          <t>税额批次</t>
        </is>
      </c>
      <c r="C1" s="8" t="inlineStr">
        <is>
          <t>员工编号</t>
        </is>
      </c>
      <c r="D1" s="8" t="inlineStr">
        <is>
          <t>姓名</t>
        </is>
      </c>
      <c r="E1" s="8" t="inlineStr">
        <is>
          <t>激励计划</t>
        </is>
      </c>
      <c r="F1" s="8" t="inlineStr">
        <is>
          <t>权益类型</t>
        </is>
      </c>
      <c r="G1" s="8" t="inlineStr">
        <is>
          <t>事件日期</t>
        </is>
      </c>
      <c r="H1" s="8" t="inlineStr">
        <is>
          <t>纳税年度</t>
        </is>
      </c>
      <c r="I1" s="8" t="inlineStr">
        <is>
          <t>本次行权或解禁数量</t>
        </is>
      </c>
      <c r="J1" s="8" t="inlineStr">
        <is>
          <t>行权日或解禁日收盘价</t>
        </is>
      </c>
      <c r="K1" s="8" t="inlineStr">
        <is>
          <t>适用行权或授予价格</t>
        </is>
      </c>
      <c r="L1" s="8" t="inlineStr">
        <is>
          <t>限制性股票登记日收盘价</t>
        </is>
      </c>
      <c r="M1" s="8" t="inlineStr">
        <is>
          <t>员工获授限制性股票总数</t>
        </is>
      </c>
      <c r="N1" s="8" t="inlineStr">
        <is>
          <t>员工实际出资总额</t>
        </is>
      </c>
      <c r="O1" s="8" t="inlineStr">
        <is>
          <t>其他需合并股权激励所得</t>
        </is>
      </c>
      <c r="P1" s="8" t="inlineStr">
        <is>
          <t>离职日期</t>
        </is>
      </c>
      <c r="Q1" s="8" t="inlineStr">
        <is>
          <t>备案状态</t>
        </is>
      </c>
      <c r="R1" s="8" t="inlineStr">
        <is>
          <t>备案日期</t>
        </is>
      </c>
      <c r="S1" s="8" t="inlineStr">
        <is>
          <t>本次应纳税所得额</t>
        </is>
      </c>
      <c r="T1" s="8" t="inlineStr">
        <is>
          <t>此前年度累计所得</t>
        </is>
      </c>
      <c r="U1" s="8" t="inlineStr">
        <is>
          <t>本次事件后年度累计所得</t>
        </is>
      </c>
      <c r="V1" s="8" t="inlineStr">
        <is>
          <t>税率</t>
        </is>
      </c>
      <c r="W1" s="8" t="inlineStr">
        <is>
          <t>速算扣除数</t>
        </is>
      </c>
      <c r="X1" s="8" t="inlineStr">
        <is>
          <t>累计税额</t>
        </is>
      </c>
      <c r="Y1" s="8" t="inlineStr">
        <is>
          <t>此前累计已确认税额</t>
        </is>
      </c>
      <c r="Z1" s="8" t="inlineStr">
        <is>
          <t>本次新增税额</t>
        </is>
      </c>
      <c r="AA1" s="8" t="inlineStr">
        <is>
          <t>本事件纳税义务发生日</t>
        </is>
      </c>
      <c r="AB1" s="8" t="inlineStr">
        <is>
          <t>事件级36个月截止日</t>
        </is>
      </c>
      <c r="AC1" s="8" t="inlineStr">
        <is>
          <t>校验</t>
        </is>
      </c>
      <c r="AD1" s="8" t="inlineStr">
        <is>
          <t>备注</t>
        </is>
      </c>
    </row>
    <row r="2">
      <c r="A2" s="11" t="inlineStr">
        <is>
          <t>DEMO-OPT-001</t>
        </is>
      </c>
      <c r="B2" s="6">
        <f>IF(A2="","",A2&amp;"-TAX")</f>
        <v/>
      </c>
      <c r="C2" s="11" t="inlineStr">
        <is>
          <t>DEMO001</t>
        </is>
      </c>
      <c r="D2" s="11" t="inlineStr">
        <is>
          <t>演示员工</t>
        </is>
      </c>
      <c r="E2" s="11" t="inlineStr">
        <is>
          <t>2023年股票期权与限制性股票激励计划</t>
        </is>
      </c>
      <c r="F2" s="11" t="inlineStr">
        <is>
          <t>股票期权</t>
        </is>
      </c>
      <c r="G2" s="12" t="n">
        <v>45666</v>
      </c>
      <c r="H2" s="6">
        <f>IF(G2="","",YEAR(G2))</f>
        <v/>
      </c>
      <c r="I2" s="11" t="n">
        <v>50000</v>
      </c>
      <c r="J2" s="13" t="n">
        <v>17.8</v>
      </c>
      <c r="K2" s="14">
        <f>IF(F2="股票期权",IF(G2="","",IF(G2&lt;DATE(2025,1,10),14.56,IF(G2&lt;DATE(2025,4,29),14.32,IF(G2&lt;DATE(2025,9,26),14.18,14.04)))),IF(F2="限制性股票",8.68,""))</f>
        <v/>
      </c>
      <c r="L2" s="14">
        <f>IF(F2="限制性股票",13.06,"")</f>
        <v/>
      </c>
      <c r="M2" s="11" t="n"/>
      <c r="N2" s="13" t="n"/>
      <c r="O2" s="13" t="n">
        <v>0</v>
      </c>
      <c r="P2" s="12" t="n"/>
      <c r="Q2" s="11" t="inlineStr">
        <is>
          <t>已备案</t>
        </is>
      </c>
      <c r="R2" s="12" t="n">
        <v>45665</v>
      </c>
      <c r="S2" s="14">
        <f>IF(OR(A2="",C2="",F2="",G2="",I2="",J2=""),"",IF(F2="股票期权",MAX(0,(J2-K2)*I2),IF(F2="限制性股票",IF(OR(L2="",M2="",M2&lt;=0,N2=""),"",MAX(0,((L2+J2)/2)*I2-N2*I2/M2)),MAX(0,O2))))</f>
        <v/>
      </c>
      <c r="T2" s="14">
        <f>IF(S2="","",SUMIFS($S$2:$S$501,$C$2:$C$501,C2,$H$2:$H$501,H2,$G$2:$G$501,"&lt;"&amp;G2)+SUMIFS($S$2:$S$501,$C$2:$C$501,C2,$H$2:$H$501,H2,$G$2:$G$501,G2,$A$2:$A$501,"&lt;"&amp;A2))</f>
        <v/>
      </c>
      <c r="U2" s="14">
        <f>IF(S2="","",T2+S2)</f>
        <v/>
      </c>
      <c r="V2" s="15">
        <f>IF(U2="","",VLOOKUP(U2,'税率及规则'!$A$2:$C$8,2,TRUE))</f>
        <v/>
      </c>
      <c r="W2" s="14">
        <f>IF(U2="","",VLOOKUP(U2,'税率及规则'!$A$2:$C$8,3,TRUE))</f>
        <v/>
      </c>
      <c r="X2" s="14">
        <f>IF(U2="","",MAX(0,U2*V2-W2))</f>
        <v/>
      </c>
      <c r="Y2" s="14">
        <f>IF(T2="","",MAX(0,T2*VLOOKUP(T2,'税率及规则'!$A$2:$C$8,2,TRUE)-VLOOKUP(T2,'税率及规则'!$A$2:$C$8,3,TRUE)))</f>
        <v/>
      </c>
      <c r="Z2" s="14">
        <f>IF(X2="","",MAX(0,X2-Y2))</f>
        <v/>
      </c>
      <c r="AA2" s="16">
        <f>IF(G2="","",G2)</f>
        <v/>
      </c>
      <c r="AB2" s="16">
        <f>IF(AA2="","",EDATE(AA2,36))</f>
        <v/>
      </c>
      <c r="AC2" s="6">
        <f>IF(A2="","",IF(COUNTIF($A$2:$A$501,A2)&gt;1,"异常：事件编号重复",IF(OR(C2="",D2="",E2="",F2="",G2="",I2="",J2=""),"异常：必填项缺失",IF(OR(I2&lt;=0,J2&lt;0),"异常：数量或价格无效",IF(AND(F2="限制性股票",OR(M2&lt;=0,N2&lt;0,I2&gt;M2)),"异常：个人获授或出资数据无效",IF(AND(F2="股票期权",K2&lt;&gt;IF(G2&lt;DATE(2025,1,10),14.56,IF(G2&lt;DATE(2025,4,29),14.32,IF(G2&lt;DATE(2025,9,26),14.18,14.04)))),"异常：行权价格区间不符",IF(Q2&lt;&gt;"已备案","提示：未确认备案","正常")))))))</f>
        <v/>
      </c>
      <c r="AD2" s="11" t="inlineStr">
        <is>
          <t>仅演示：5万份期权</t>
        </is>
      </c>
    </row>
    <row r="3">
      <c r="A3" s="11" t="inlineStr">
        <is>
          <t>DEMO-RS-001</t>
        </is>
      </c>
      <c r="B3" s="6">
        <f>IF(A3="","",A3&amp;"-TAX")</f>
        <v/>
      </c>
      <c r="C3" s="11" t="inlineStr">
        <is>
          <t>DEMO001</t>
        </is>
      </c>
      <c r="D3" s="11" t="inlineStr">
        <is>
          <t>演示员工</t>
        </is>
      </c>
      <c r="E3" s="11" t="inlineStr">
        <is>
          <t>2023年股票期权与限制性股票激励计划</t>
        </is>
      </c>
      <c r="F3" s="11" t="inlineStr">
        <is>
          <t>限制性股票</t>
        </is>
      </c>
      <c r="G3" s="12" t="n">
        <v>45838</v>
      </c>
      <c r="H3" s="6">
        <f>IF(G3="","",YEAR(G3))</f>
        <v/>
      </c>
      <c r="I3" s="11" t="n">
        <v>50000</v>
      </c>
      <c r="J3" s="13" t="n">
        <v>17.8</v>
      </c>
      <c r="K3" s="14">
        <f>IF(F3="股票期权",IF(G3="","",IF(G3&lt;DATE(2025,1,10),14.56,IF(G3&lt;DATE(2025,4,29),14.32,IF(G3&lt;DATE(2025,9,26),14.18,14.04)))),IF(F3="限制性股票",8.68,""))</f>
        <v/>
      </c>
      <c r="L3" s="14">
        <f>IF(F3="限制性股票",13.06,"")</f>
        <v/>
      </c>
      <c r="M3" s="11" t="n">
        <v>50000</v>
      </c>
      <c r="N3" s="13" t="n">
        <v>434000</v>
      </c>
      <c r="O3" s="13" t="n">
        <v>0</v>
      </c>
      <c r="P3" s="12" t="n"/>
      <c r="Q3" s="11" t="inlineStr">
        <is>
          <t>已备案</t>
        </is>
      </c>
      <c r="R3" s="12" t="n">
        <v>45545</v>
      </c>
      <c r="S3" s="14">
        <f>IF(OR(A3="",C3="",F3="",G3="",I3="",J3=""),"",IF(F3="股票期权",MAX(0,(J3-K3)*I3),IF(F3="限制性股票",IF(OR(L3="",M3="",M3&lt;=0,N3=""),"",MAX(0,((L3+J3)/2)*I3-N3*I3/M3)),MAX(0,O3))))</f>
        <v/>
      </c>
      <c r="T3" s="14">
        <f>IF(S3="","",SUMIFS($S$2:$S$501,$C$2:$C$501,C3,$H$2:$H$501,H3,$G$2:$G$501,"&lt;"&amp;G3)+SUMIFS($S$2:$S$501,$C$2:$C$501,C3,$H$2:$H$501,H3,$G$2:$G$501,G3,$A$2:$A$501,"&lt;"&amp;A3))</f>
        <v/>
      </c>
      <c r="U3" s="14">
        <f>IF(S3="","",T3+S3)</f>
        <v/>
      </c>
      <c r="V3" s="15">
        <f>IF(U3="","",VLOOKUP(U3,'税率及规则'!$A$2:$C$8,2,TRUE))</f>
        <v/>
      </c>
      <c r="W3" s="14">
        <f>IF(U3="","",VLOOKUP(U3,'税率及规则'!$A$2:$C$8,3,TRUE))</f>
        <v/>
      </c>
      <c r="X3" s="14">
        <f>IF(U3="","",MAX(0,U3*V3-W3))</f>
        <v/>
      </c>
      <c r="Y3" s="14">
        <f>IF(T3="","",MAX(0,T3*VLOOKUP(T3,'税率及规则'!$A$2:$C$8,2,TRUE)-VLOOKUP(T3,'税率及规则'!$A$2:$C$8,3,TRUE)))</f>
        <v/>
      </c>
      <c r="Z3" s="14">
        <f>IF(X3="","",MAX(0,X3-Y3))</f>
        <v/>
      </c>
      <c r="AA3" s="16">
        <f>IF(G3="","",G3)</f>
        <v/>
      </c>
      <c r="AB3" s="16">
        <f>IF(AA3="","",EDATE(AA3,36))</f>
        <v/>
      </c>
      <c r="AC3" s="6">
        <f>IF(A3="","",IF(COUNTIF($A$2:$A$501,A3)&gt;1,"异常：事件编号重复",IF(OR(C3="",D3="",E3="",F3="",G3="",I3="",J3=""),"异常：必填项缺失",IF(OR(I3&lt;=0,J3&lt;0),"异常：数量或价格无效",IF(AND(F3="限制性股票",OR(M3&lt;=0,N3&lt;0,I3&gt;M3)),"异常：个人获授或出资数据无效",IF(AND(F3="股票期权",K3&lt;&gt;IF(G3&lt;DATE(2025,1,10),14.56,IF(G3&lt;DATE(2025,4,29),14.32,IF(G3&lt;DATE(2025,9,26),14.18,14.04)))),"异常：行权价格区间不符",IF(Q3&lt;&gt;"已备案","提示：未确认备案","正常")))))))</f>
        <v/>
      </c>
      <c r="AD3" s="11" t="inlineStr">
        <is>
          <t>仅演示：5万股限制性股票</t>
        </is>
      </c>
    </row>
    <row r="4">
      <c r="A4" s="11" t="n"/>
      <c r="B4" s="6">
        <f>IF(A4="","",A4&amp;"-TAX")</f>
        <v/>
      </c>
      <c r="C4" s="11" t="n"/>
      <c r="D4" s="11" t="n"/>
      <c r="E4" s="11" t="n"/>
      <c r="F4" s="11" t="n"/>
      <c r="G4" s="12" t="n"/>
      <c r="H4" s="6">
        <f>IF(G4="","",YEAR(G4))</f>
        <v/>
      </c>
      <c r="I4" s="11" t="n"/>
      <c r="J4" s="13" t="n"/>
      <c r="K4" s="14">
        <f>IF(F4="股票期权",IF(G4="","",IF(G4&lt;DATE(2025,1,10),14.56,IF(G4&lt;DATE(2025,4,29),14.32,IF(G4&lt;DATE(2025,9,26),14.18,14.04)))),IF(F4="限制性股票",8.68,""))</f>
        <v/>
      </c>
      <c r="L4" s="14">
        <f>IF(F4="限制性股票",13.06,"")</f>
        <v/>
      </c>
      <c r="M4" s="11" t="n"/>
      <c r="N4" s="13" t="n"/>
      <c r="O4" s="13" t="n"/>
      <c r="P4" s="12" t="n"/>
      <c r="Q4" s="11" t="n"/>
      <c r="R4" s="12" t="n"/>
      <c r="S4" s="14">
        <f>IF(OR(A4="",C4="",F4="",G4="",I4="",J4=""),"",IF(F4="股票期权",MAX(0,(J4-K4)*I4),IF(F4="限制性股票",IF(OR(L4="",M4="",M4&lt;=0,N4=""),"",MAX(0,((L4+J4)/2)*I4-N4*I4/M4)),MAX(0,O4))))</f>
        <v/>
      </c>
      <c r="T4" s="14">
        <f>IF(S4="","",SUMIFS($S$2:$S$501,$C$2:$C$501,C4,$H$2:$H$501,H4,$G$2:$G$501,"&lt;"&amp;G4)+SUMIFS($S$2:$S$501,$C$2:$C$501,C4,$H$2:$H$501,H4,$G$2:$G$501,G4,$A$2:$A$501,"&lt;"&amp;A4))</f>
        <v/>
      </c>
      <c r="U4" s="14">
        <f>IF(S4="","",T4+S4)</f>
        <v/>
      </c>
      <c r="V4" s="15">
        <f>IF(U4="","",VLOOKUP(U4,'税率及规则'!$A$2:$C$8,2,TRUE))</f>
        <v/>
      </c>
      <c r="W4" s="14">
        <f>IF(U4="","",VLOOKUP(U4,'税率及规则'!$A$2:$C$8,3,TRUE))</f>
        <v/>
      </c>
      <c r="X4" s="14">
        <f>IF(U4="","",MAX(0,U4*V4-W4))</f>
        <v/>
      </c>
      <c r="Y4" s="14">
        <f>IF(T4="","",MAX(0,T4*VLOOKUP(T4,'税率及规则'!$A$2:$C$8,2,TRUE)-VLOOKUP(T4,'税率及规则'!$A$2:$C$8,3,TRUE)))</f>
        <v/>
      </c>
      <c r="Z4" s="14">
        <f>IF(X4="","",MAX(0,X4-Y4))</f>
        <v/>
      </c>
      <c r="AA4" s="16">
        <f>IF(G4="","",G4)</f>
        <v/>
      </c>
      <c r="AB4" s="16">
        <f>IF(AA4="","",EDATE(AA4,36))</f>
        <v/>
      </c>
      <c r="AC4" s="6">
        <f>IF(A4="","",IF(COUNTIF($A$2:$A$501,A4)&gt;1,"异常：事件编号重复",IF(OR(C4="",D4="",E4="",F4="",G4="",I4="",J4=""),"异常：必填项缺失",IF(OR(I4&lt;=0,J4&lt;0),"异常：数量或价格无效",IF(AND(F4="限制性股票",OR(M4&lt;=0,N4&lt;0,I4&gt;M4)),"异常：个人获授或出资数据无效",IF(AND(F4="股票期权",K4&lt;&gt;IF(G4&lt;DATE(2025,1,10),14.56,IF(G4&lt;DATE(2025,4,29),14.32,IF(G4&lt;DATE(2025,9,26),14.18,14.04)))),"异常：行权价格区间不符",IF(Q4&lt;&gt;"已备案","提示：未确认备案","正常")))))))</f>
        <v/>
      </c>
      <c r="AD4" s="11" t="n"/>
    </row>
    <row r="5">
      <c r="A5" s="11" t="n"/>
      <c r="B5" s="6">
        <f>IF(A5="","",A5&amp;"-TAX")</f>
        <v/>
      </c>
      <c r="C5" s="11" t="n"/>
      <c r="D5" s="11" t="n"/>
      <c r="E5" s="11" t="n"/>
      <c r="F5" s="11" t="n"/>
      <c r="G5" s="12" t="n"/>
      <c r="H5" s="6">
        <f>IF(G5="","",YEAR(G5))</f>
        <v/>
      </c>
      <c r="I5" s="11" t="n"/>
      <c r="J5" s="13" t="n"/>
      <c r="K5" s="14">
        <f>IF(F5="股票期权",IF(G5="","",IF(G5&lt;DATE(2025,1,10),14.56,IF(G5&lt;DATE(2025,4,29),14.32,IF(G5&lt;DATE(2025,9,26),14.18,14.04)))),IF(F5="限制性股票",8.68,""))</f>
        <v/>
      </c>
      <c r="L5" s="14">
        <f>IF(F5="限制性股票",13.06,"")</f>
        <v/>
      </c>
      <c r="M5" s="11" t="n"/>
      <c r="N5" s="13" t="n"/>
      <c r="O5" s="13" t="n"/>
      <c r="P5" s="12" t="n"/>
      <c r="Q5" s="11" t="n"/>
      <c r="R5" s="12" t="n"/>
      <c r="S5" s="14">
        <f>IF(OR(A5="",C5="",F5="",G5="",I5="",J5=""),"",IF(F5="股票期权",MAX(0,(J5-K5)*I5),IF(F5="限制性股票",IF(OR(L5="",M5="",M5&lt;=0,N5=""),"",MAX(0,((L5+J5)/2)*I5-N5*I5/M5)),MAX(0,O5))))</f>
        <v/>
      </c>
      <c r="T5" s="14">
        <f>IF(S5="","",SUMIFS($S$2:$S$501,$C$2:$C$501,C5,$H$2:$H$501,H5,$G$2:$G$501,"&lt;"&amp;G5)+SUMIFS($S$2:$S$501,$C$2:$C$501,C5,$H$2:$H$501,H5,$G$2:$G$501,G5,$A$2:$A$501,"&lt;"&amp;A5))</f>
        <v/>
      </c>
      <c r="U5" s="14">
        <f>IF(S5="","",T5+S5)</f>
        <v/>
      </c>
      <c r="V5" s="15">
        <f>IF(U5="","",VLOOKUP(U5,'税率及规则'!$A$2:$C$8,2,TRUE))</f>
        <v/>
      </c>
      <c r="W5" s="14">
        <f>IF(U5="","",VLOOKUP(U5,'税率及规则'!$A$2:$C$8,3,TRUE))</f>
        <v/>
      </c>
      <c r="X5" s="14">
        <f>IF(U5="","",MAX(0,U5*V5-W5))</f>
        <v/>
      </c>
      <c r="Y5" s="14">
        <f>IF(T5="","",MAX(0,T5*VLOOKUP(T5,'税率及规则'!$A$2:$C$8,2,TRUE)-VLOOKUP(T5,'税率及规则'!$A$2:$C$8,3,TRUE)))</f>
        <v/>
      </c>
      <c r="Z5" s="14">
        <f>IF(X5="","",MAX(0,X5-Y5))</f>
        <v/>
      </c>
      <c r="AA5" s="16">
        <f>IF(G5="","",G5)</f>
        <v/>
      </c>
      <c r="AB5" s="16">
        <f>IF(AA5="","",EDATE(AA5,36))</f>
        <v/>
      </c>
      <c r="AC5" s="6">
        <f>IF(A5="","",IF(COUNTIF($A$2:$A$501,A5)&gt;1,"异常：事件编号重复",IF(OR(C5="",D5="",E5="",F5="",G5="",I5="",J5=""),"异常：必填项缺失",IF(OR(I5&lt;=0,J5&lt;0),"异常：数量或价格无效",IF(AND(F5="限制性股票",OR(M5&lt;=0,N5&lt;0,I5&gt;M5)),"异常：个人获授或出资数据无效",IF(AND(F5="股票期权",K5&lt;&gt;IF(G5&lt;DATE(2025,1,10),14.56,IF(G5&lt;DATE(2025,4,29),14.32,IF(G5&lt;DATE(2025,9,26),14.18,14.04)))),"异常：行权价格区间不符",IF(Q5&lt;&gt;"已备案","提示：未确认备案","正常")))))))</f>
        <v/>
      </c>
      <c r="AD5" s="11" t="n"/>
    </row>
    <row r="6">
      <c r="A6" s="11" t="n"/>
      <c r="B6" s="6">
        <f>IF(A6="","",A6&amp;"-TAX")</f>
        <v/>
      </c>
      <c r="C6" s="11" t="n"/>
      <c r="D6" s="11" t="n"/>
      <c r="E6" s="11" t="n"/>
      <c r="F6" s="11" t="n"/>
      <c r="G6" s="12" t="n"/>
      <c r="H6" s="6">
        <f>IF(G6="","",YEAR(G6))</f>
        <v/>
      </c>
      <c r="I6" s="11" t="n"/>
      <c r="J6" s="13" t="n"/>
      <c r="K6" s="14">
        <f>IF(F6="股票期权",IF(G6="","",IF(G6&lt;DATE(2025,1,10),14.56,IF(G6&lt;DATE(2025,4,29),14.32,IF(G6&lt;DATE(2025,9,26),14.18,14.04)))),IF(F6="限制性股票",8.68,""))</f>
        <v/>
      </c>
      <c r="L6" s="14">
        <f>IF(F6="限制性股票",13.06,"")</f>
        <v/>
      </c>
      <c r="M6" s="11" t="n"/>
      <c r="N6" s="13" t="n"/>
      <c r="O6" s="13" t="n"/>
      <c r="P6" s="12" t="n"/>
      <c r="Q6" s="11" t="n"/>
      <c r="R6" s="12" t="n"/>
      <c r="S6" s="14">
        <f>IF(OR(A6="",C6="",F6="",G6="",I6="",J6=""),"",IF(F6="股票期权",MAX(0,(J6-K6)*I6),IF(F6="限制性股票",IF(OR(L6="",M6="",M6&lt;=0,N6=""),"",MAX(0,((L6+J6)/2)*I6-N6*I6/M6)),MAX(0,O6))))</f>
        <v/>
      </c>
      <c r="T6" s="14">
        <f>IF(S6="","",SUMIFS($S$2:$S$501,$C$2:$C$501,C6,$H$2:$H$501,H6,$G$2:$G$501,"&lt;"&amp;G6)+SUMIFS($S$2:$S$501,$C$2:$C$501,C6,$H$2:$H$501,H6,$G$2:$G$501,G6,$A$2:$A$501,"&lt;"&amp;A6))</f>
        <v/>
      </c>
      <c r="U6" s="14">
        <f>IF(S6="","",T6+S6)</f>
        <v/>
      </c>
      <c r="V6" s="15">
        <f>IF(U6="","",VLOOKUP(U6,'税率及规则'!$A$2:$C$8,2,TRUE))</f>
        <v/>
      </c>
      <c r="W6" s="14">
        <f>IF(U6="","",VLOOKUP(U6,'税率及规则'!$A$2:$C$8,3,TRUE))</f>
        <v/>
      </c>
      <c r="X6" s="14">
        <f>IF(U6="","",MAX(0,U6*V6-W6))</f>
        <v/>
      </c>
      <c r="Y6" s="14">
        <f>IF(T6="","",MAX(0,T6*VLOOKUP(T6,'税率及规则'!$A$2:$C$8,2,TRUE)-VLOOKUP(T6,'税率及规则'!$A$2:$C$8,3,TRUE)))</f>
        <v/>
      </c>
      <c r="Z6" s="14">
        <f>IF(X6="","",MAX(0,X6-Y6))</f>
        <v/>
      </c>
      <c r="AA6" s="16">
        <f>IF(G6="","",G6)</f>
        <v/>
      </c>
      <c r="AB6" s="16">
        <f>IF(AA6="","",EDATE(AA6,36))</f>
        <v/>
      </c>
      <c r="AC6" s="6">
        <f>IF(A6="","",IF(COUNTIF($A$2:$A$501,A6)&gt;1,"异常：事件编号重复",IF(OR(C6="",D6="",E6="",F6="",G6="",I6="",J6=""),"异常：必填项缺失",IF(OR(I6&lt;=0,J6&lt;0),"异常：数量或价格无效",IF(AND(F6="限制性股票",OR(M6&lt;=0,N6&lt;0,I6&gt;M6)),"异常：个人获授或出资数据无效",IF(AND(F6="股票期权",K6&lt;&gt;IF(G6&lt;DATE(2025,1,10),14.56,IF(G6&lt;DATE(2025,4,29),14.32,IF(G6&lt;DATE(2025,9,26),14.18,14.04)))),"异常：行权价格区间不符",IF(Q6&lt;&gt;"已备案","提示：未确认备案","正常")))))))</f>
        <v/>
      </c>
      <c r="AD6" s="11" t="n"/>
    </row>
    <row r="7">
      <c r="A7" s="11" t="n"/>
      <c r="B7" s="6">
        <f>IF(A7="","",A7&amp;"-TAX")</f>
        <v/>
      </c>
      <c r="C7" s="11" t="n"/>
      <c r="D7" s="11" t="n"/>
      <c r="E7" s="11" t="n"/>
      <c r="F7" s="11" t="n"/>
      <c r="G7" s="12" t="n"/>
      <c r="H7" s="6">
        <f>IF(G7="","",YEAR(G7))</f>
        <v/>
      </c>
      <c r="I7" s="11" t="n"/>
      <c r="J7" s="13" t="n"/>
      <c r="K7" s="14">
        <f>IF(F7="股票期权",IF(G7="","",IF(G7&lt;DATE(2025,1,10),14.56,IF(G7&lt;DATE(2025,4,29),14.32,IF(G7&lt;DATE(2025,9,26),14.18,14.04)))),IF(F7="限制性股票",8.68,""))</f>
        <v/>
      </c>
      <c r="L7" s="14">
        <f>IF(F7="限制性股票",13.06,"")</f>
        <v/>
      </c>
      <c r="M7" s="11" t="n"/>
      <c r="N7" s="13" t="n"/>
      <c r="O7" s="13" t="n"/>
      <c r="P7" s="12" t="n"/>
      <c r="Q7" s="11" t="n"/>
      <c r="R7" s="12" t="n"/>
      <c r="S7" s="14">
        <f>IF(OR(A7="",C7="",F7="",G7="",I7="",J7=""),"",IF(F7="股票期权",MAX(0,(J7-K7)*I7),IF(F7="限制性股票",IF(OR(L7="",M7="",M7&lt;=0,N7=""),"",MAX(0,((L7+J7)/2)*I7-N7*I7/M7)),MAX(0,O7))))</f>
        <v/>
      </c>
      <c r="T7" s="14">
        <f>IF(S7="","",SUMIFS($S$2:$S$501,$C$2:$C$501,C7,$H$2:$H$501,H7,$G$2:$G$501,"&lt;"&amp;G7)+SUMIFS($S$2:$S$501,$C$2:$C$501,C7,$H$2:$H$501,H7,$G$2:$G$501,G7,$A$2:$A$501,"&lt;"&amp;A7))</f>
        <v/>
      </c>
      <c r="U7" s="14">
        <f>IF(S7="","",T7+S7)</f>
        <v/>
      </c>
      <c r="V7" s="15">
        <f>IF(U7="","",VLOOKUP(U7,'税率及规则'!$A$2:$C$8,2,TRUE))</f>
        <v/>
      </c>
      <c r="W7" s="14">
        <f>IF(U7="","",VLOOKUP(U7,'税率及规则'!$A$2:$C$8,3,TRUE))</f>
        <v/>
      </c>
      <c r="X7" s="14">
        <f>IF(U7="","",MAX(0,U7*V7-W7))</f>
        <v/>
      </c>
      <c r="Y7" s="14">
        <f>IF(T7="","",MAX(0,T7*VLOOKUP(T7,'税率及规则'!$A$2:$C$8,2,TRUE)-VLOOKUP(T7,'税率及规则'!$A$2:$C$8,3,TRUE)))</f>
        <v/>
      </c>
      <c r="Z7" s="14">
        <f>IF(X7="","",MAX(0,X7-Y7))</f>
        <v/>
      </c>
      <c r="AA7" s="16">
        <f>IF(G7="","",G7)</f>
        <v/>
      </c>
      <c r="AB7" s="16">
        <f>IF(AA7="","",EDATE(AA7,36))</f>
        <v/>
      </c>
      <c r="AC7" s="6">
        <f>IF(A7="","",IF(COUNTIF($A$2:$A$501,A7)&gt;1,"异常：事件编号重复",IF(OR(C7="",D7="",E7="",F7="",G7="",I7="",J7=""),"异常：必填项缺失",IF(OR(I7&lt;=0,J7&lt;0),"异常：数量或价格无效",IF(AND(F7="限制性股票",OR(M7&lt;=0,N7&lt;0,I7&gt;M7)),"异常：个人获授或出资数据无效",IF(AND(F7="股票期权",K7&lt;&gt;IF(G7&lt;DATE(2025,1,10),14.56,IF(G7&lt;DATE(2025,4,29),14.32,IF(G7&lt;DATE(2025,9,26),14.18,14.04)))),"异常：行权价格区间不符",IF(Q7&lt;&gt;"已备案","提示：未确认备案","正常")))))))</f>
        <v/>
      </c>
      <c r="AD7" s="11" t="n"/>
    </row>
    <row r="8">
      <c r="A8" s="11" t="n"/>
      <c r="B8" s="6">
        <f>IF(A8="","",A8&amp;"-TAX")</f>
        <v/>
      </c>
      <c r="C8" s="11" t="n"/>
      <c r="D8" s="11" t="n"/>
      <c r="E8" s="11" t="n"/>
      <c r="F8" s="11" t="n"/>
      <c r="G8" s="12" t="n"/>
      <c r="H8" s="6">
        <f>IF(G8="","",YEAR(G8))</f>
        <v/>
      </c>
      <c r="I8" s="11" t="n"/>
      <c r="J8" s="13" t="n"/>
      <c r="K8" s="14">
        <f>IF(F8="股票期权",IF(G8="","",IF(G8&lt;DATE(2025,1,10),14.56,IF(G8&lt;DATE(2025,4,29),14.32,IF(G8&lt;DATE(2025,9,26),14.18,14.04)))),IF(F8="限制性股票",8.68,""))</f>
        <v/>
      </c>
      <c r="L8" s="14">
        <f>IF(F8="限制性股票",13.06,"")</f>
        <v/>
      </c>
      <c r="M8" s="11" t="n"/>
      <c r="N8" s="13" t="n"/>
      <c r="O8" s="13" t="n"/>
      <c r="P8" s="12" t="n"/>
      <c r="Q8" s="11" t="n"/>
      <c r="R8" s="12" t="n"/>
      <c r="S8" s="14">
        <f>IF(OR(A8="",C8="",F8="",G8="",I8="",J8=""),"",IF(F8="股票期权",MAX(0,(J8-K8)*I8),IF(F8="限制性股票",IF(OR(L8="",M8="",M8&lt;=0,N8=""),"",MAX(0,((L8+J8)/2)*I8-N8*I8/M8)),MAX(0,O8))))</f>
        <v/>
      </c>
      <c r="T8" s="14">
        <f>IF(S8="","",SUMIFS($S$2:$S$501,$C$2:$C$501,C8,$H$2:$H$501,H8,$G$2:$G$501,"&lt;"&amp;G8)+SUMIFS($S$2:$S$501,$C$2:$C$501,C8,$H$2:$H$501,H8,$G$2:$G$501,G8,$A$2:$A$501,"&lt;"&amp;A8))</f>
        <v/>
      </c>
      <c r="U8" s="14">
        <f>IF(S8="","",T8+S8)</f>
        <v/>
      </c>
      <c r="V8" s="15">
        <f>IF(U8="","",VLOOKUP(U8,'税率及规则'!$A$2:$C$8,2,TRUE))</f>
        <v/>
      </c>
      <c r="W8" s="14">
        <f>IF(U8="","",VLOOKUP(U8,'税率及规则'!$A$2:$C$8,3,TRUE))</f>
        <v/>
      </c>
      <c r="X8" s="14">
        <f>IF(U8="","",MAX(0,U8*V8-W8))</f>
        <v/>
      </c>
      <c r="Y8" s="14">
        <f>IF(T8="","",MAX(0,T8*VLOOKUP(T8,'税率及规则'!$A$2:$C$8,2,TRUE)-VLOOKUP(T8,'税率及规则'!$A$2:$C$8,3,TRUE)))</f>
        <v/>
      </c>
      <c r="Z8" s="14">
        <f>IF(X8="","",MAX(0,X8-Y8))</f>
        <v/>
      </c>
      <c r="AA8" s="16">
        <f>IF(G8="","",G8)</f>
        <v/>
      </c>
      <c r="AB8" s="16">
        <f>IF(AA8="","",EDATE(AA8,36))</f>
        <v/>
      </c>
      <c r="AC8" s="6">
        <f>IF(A8="","",IF(COUNTIF($A$2:$A$501,A8)&gt;1,"异常：事件编号重复",IF(OR(C8="",D8="",E8="",F8="",G8="",I8="",J8=""),"异常：必填项缺失",IF(OR(I8&lt;=0,J8&lt;0),"异常：数量或价格无效",IF(AND(F8="限制性股票",OR(M8&lt;=0,N8&lt;0,I8&gt;M8)),"异常：个人获授或出资数据无效",IF(AND(F8="股票期权",K8&lt;&gt;IF(G8&lt;DATE(2025,1,10),14.56,IF(G8&lt;DATE(2025,4,29),14.32,IF(G8&lt;DATE(2025,9,26),14.18,14.04)))),"异常：行权价格区间不符",IF(Q8&lt;&gt;"已备案","提示：未确认备案","正常")))))))</f>
        <v/>
      </c>
      <c r="AD8" s="11" t="n"/>
    </row>
    <row r="9">
      <c r="A9" s="11" t="n"/>
      <c r="B9" s="6">
        <f>IF(A9="","",A9&amp;"-TAX")</f>
        <v/>
      </c>
      <c r="C9" s="11" t="n"/>
      <c r="D9" s="11" t="n"/>
      <c r="E9" s="11" t="n"/>
      <c r="F9" s="11" t="n"/>
      <c r="G9" s="12" t="n"/>
      <c r="H9" s="6">
        <f>IF(G9="","",YEAR(G9))</f>
        <v/>
      </c>
      <c r="I9" s="11" t="n"/>
      <c r="J9" s="13" t="n"/>
      <c r="K9" s="14">
        <f>IF(F9="股票期权",IF(G9="","",IF(G9&lt;DATE(2025,1,10),14.56,IF(G9&lt;DATE(2025,4,29),14.32,IF(G9&lt;DATE(2025,9,26),14.18,14.04)))),IF(F9="限制性股票",8.68,""))</f>
        <v/>
      </c>
      <c r="L9" s="14">
        <f>IF(F9="限制性股票",13.06,"")</f>
        <v/>
      </c>
      <c r="M9" s="11" t="n"/>
      <c r="N9" s="13" t="n"/>
      <c r="O9" s="13" t="n"/>
      <c r="P9" s="12" t="n"/>
      <c r="Q9" s="11" t="n"/>
      <c r="R9" s="12" t="n"/>
      <c r="S9" s="14">
        <f>IF(OR(A9="",C9="",F9="",G9="",I9="",J9=""),"",IF(F9="股票期权",MAX(0,(J9-K9)*I9),IF(F9="限制性股票",IF(OR(L9="",M9="",M9&lt;=0,N9=""),"",MAX(0,((L9+J9)/2)*I9-N9*I9/M9)),MAX(0,O9))))</f>
        <v/>
      </c>
      <c r="T9" s="14">
        <f>IF(S9="","",SUMIFS($S$2:$S$501,$C$2:$C$501,C9,$H$2:$H$501,H9,$G$2:$G$501,"&lt;"&amp;G9)+SUMIFS($S$2:$S$501,$C$2:$C$501,C9,$H$2:$H$501,H9,$G$2:$G$501,G9,$A$2:$A$501,"&lt;"&amp;A9))</f>
        <v/>
      </c>
      <c r="U9" s="14">
        <f>IF(S9="","",T9+S9)</f>
        <v/>
      </c>
      <c r="V9" s="15">
        <f>IF(U9="","",VLOOKUP(U9,'税率及规则'!$A$2:$C$8,2,TRUE))</f>
        <v/>
      </c>
      <c r="W9" s="14">
        <f>IF(U9="","",VLOOKUP(U9,'税率及规则'!$A$2:$C$8,3,TRUE))</f>
        <v/>
      </c>
      <c r="X9" s="14">
        <f>IF(U9="","",MAX(0,U9*V9-W9))</f>
        <v/>
      </c>
      <c r="Y9" s="14">
        <f>IF(T9="","",MAX(0,T9*VLOOKUP(T9,'税率及规则'!$A$2:$C$8,2,TRUE)-VLOOKUP(T9,'税率及规则'!$A$2:$C$8,3,TRUE)))</f>
        <v/>
      </c>
      <c r="Z9" s="14">
        <f>IF(X9="","",MAX(0,X9-Y9))</f>
        <v/>
      </c>
      <c r="AA9" s="16">
        <f>IF(G9="","",G9)</f>
        <v/>
      </c>
      <c r="AB9" s="16">
        <f>IF(AA9="","",EDATE(AA9,36))</f>
        <v/>
      </c>
      <c r="AC9" s="6">
        <f>IF(A9="","",IF(COUNTIF($A$2:$A$501,A9)&gt;1,"异常：事件编号重复",IF(OR(C9="",D9="",E9="",F9="",G9="",I9="",J9=""),"异常：必填项缺失",IF(OR(I9&lt;=0,J9&lt;0),"异常：数量或价格无效",IF(AND(F9="限制性股票",OR(M9&lt;=0,N9&lt;0,I9&gt;M9)),"异常：个人获授或出资数据无效",IF(AND(F9="股票期权",K9&lt;&gt;IF(G9&lt;DATE(2025,1,10),14.56,IF(G9&lt;DATE(2025,4,29),14.32,IF(G9&lt;DATE(2025,9,26),14.18,14.04)))),"异常：行权价格区间不符",IF(Q9&lt;&gt;"已备案","提示：未确认备案","正常")))))))</f>
        <v/>
      </c>
      <c r="AD9" s="11" t="n"/>
    </row>
    <row r="10">
      <c r="A10" s="11" t="n"/>
      <c r="B10" s="6">
        <f>IF(A10="","",A10&amp;"-TAX")</f>
        <v/>
      </c>
      <c r="C10" s="11" t="n"/>
      <c r="D10" s="11" t="n"/>
      <c r="E10" s="11" t="n"/>
      <c r="F10" s="11" t="n"/>
      <c r="G10" s="12" t="n"/>
      <c r="H10" s="6">
        <f>IF(G10="","",YEAR(G10))</f>
        <v/>
      </c>
      <c r="I10" s="11" t="n"/>
      <c r="J10" s="13" t="n"/>
      <c r="K10" s="14">
        <f>IF(F10="股票期权",IF(G10="","",IF(G10&lt;DATE(2025,1,10),14.56,IF(G10&lt;DATE(2025,4,29),14.32,IF(G10&lt;DATE(2025,9,26),14.18,14.04)))),IF(F10="限制性股票",8.68,""))</f>
        <v/>
      </c>
      <c r="L10" s="14">
        <f>IF(F10="限制性股票",13.06,"")</f>
        <v/>
      </c>
      <c r="M10" s="11" t="n"/>
      <c r="N10" s="13" t="n"/>
      <c r="O10" s="13" t="n"/>
      <c r="P10" s="12" t="n"/>
      <c r="Q10" s="11" t="n"/>
      <c r="R10" s="12" t="n"/>
      <c r="S10" s="14">
        <f>IF(OR(A10="",C10="",F10="",G10="",I10="",J10=""),"",IF(F10="股票期权",MAX(0,(J10-K10)*I10),IF(F10="限制性股票",IF(OR(L10="",M10="",M10&lt;=0,N10=""),"",MAX(0,((L10+J10)/2)*I10-N10*I10/M10)),MAX(0,O10))))</f>
        <v/>
      </c>
      <c r="T10" s="14">
        <f>IF(S10="","",SUMIFS($S$2:$S$501,$C$2:$C$501,C10,$H$2:$H$501,H10,$G$2:$G$501,"&lt;"&amp;G10)+SUMIFS($S$2:$S$501,$C$2:$C$501,C10,$H$2:$H$501,H10,$G$2:$G$501,G10,$A$2:$A$501,"&lt;"&amp;A10))</f>
        <v/>
      </c>
      <c r="U10" s="14">
        <f>IF(S10="","",T10+S10)</f>
        <v/>
      </c>
      <c r="V10" s="15">
        <f>IF(U10="","",VLOOKUP(U10,'税率及规则'!$A$2:$C$8,2,TRUE))</f>
        <v/>
      </c>
      <c r="W10" s="14">
        <f>IF(U10="","",VLOOKUP(U10,'税率及规则'!$A$2:$C$8,3,TRUE))</f>
        <v/>
      </c>
      <c r="X10" s="14">
        <f>IF(U10="","",MAX(0,U10*V10-W10))</f>
        <v/>
      </c>
      <c r="Y10" s="14">
        <f>IF(T10="","",MAX(0,T10*VLOOKUP(T10,'税率及规则'!$A$2:$C$8,2,TRUE)-VLOOKUP(T10,'税率及规则'!$A$2:$C$8,3,TRUE)))</f>
        <v/>
      </c>
      <c r="Z10" s="14">
        <f>IF(X10="","",MAX(0,X10-Y10))</f>
        <v/>
      </c>
      <c r="AA10" s="16">
        <f>IF(G10="","",G10)</f>
        <v/>
      </c>
      <c r="AB10" s="16">
        <f>IF(AA10="","",EDATE(AA10,36))</f>
        <v/>
      </c>
      <c r="AC10" s="6">
        <f>IF(A10="","",IF(COUNTIF($A$2:$A$501,A10)&gt;1,"异常：事件编号重复",IF(OR(C10="",D10="",E10="",F10="",G10="",I10="",J10=""),"异常：必填项缺失",IF(OR(I10&lt;=0,J10&lt;0),"异常：数量或价格无效",IF(AND(F10="限制性股票",OR(M10&lt;=0,N10&lt;0,I10&gt;M10)),"异常：个人获授或出资数据无效",IF(AND(F10="股票期权",K10&lt;&gt;IF(G10&lt;DATE(2025,1,10),14.56,IF(G10&lt;DATE(2025,4,29),14.32,IF(G10&lt;DATE(2025,9,26),14.18,14.04)))),"异常：行权价格区间不符",IF(Q10&lt;&gt;"已备案","提示：未确认备案","正常")))))))</f>
        <v/>
      </c>
      <c r="AD10" s="11" t="n"/>
    </row>
    <row r="11">
      <c r="A11" s="11" t="n"/>
      <c r="B11" s="6">
        <f>IF(A11="","",A11&amp;"-TAX")</f>
        <v/>
      </c>
      <c r="C11" s="11" t="n"/>
      <c r="D11" s="11" t="n"/>
      <c r="E11" s="11" t="n"/>
      <c r="F11" s="11" t="n"/>
      <c r="G11" s="12" t="n"/>
      <c r="H11" s="6">
        <f>IF(G11="","",YEAR(G11))</f>
        <v/>
      </c>
      <c r="I11" s="11" t="n"/>
      <c r="J11" s="13" t="n"/>
      <c r="K11" s="14">
        <f>IF(F11="股票期权",IF(G11="","",IF(G11&lt;DATE(2025,1,10),14.56,IF(G11&lt;DATE(2025,4,29),14.32,IF(G11&lt;DATE(2025,9,26),14.18,14.04)))),IF(F11="限制性股票",8.68,""))</f>
        <v/>
      </c>
      <c r="L11" s="14">
        <f>IF(F11="限制性股票",13.06,"")</f>
        <v/>
      </c>
      <c r="M11" s="11" t="n"/>
      <c r="N11" s="13" t="n"/>
      <c r="O11" s="13" t="n"/>
      <c r="P11" s="12" t="n"/>
      <c r="Q11" s="11" t="n"/>
      <c r="R11" s="12" t="n"/>
      <c r="S11" s="14">
        <f>IF(OR(A11="",C11="",F11="",G11="",I11="",J11=""),"",IF(F11="股票期权",MAX(0,(J11-K11)*I11),IF(F11="限制性股票",IF(OR(L11="",M11="",M11&lt;=0,N11=""),"",MAX(0,((L11+J11)/2)*I11-N11*I11/M11)),MAX(0,O11))))</f>
        <v/>
      </c>
      <c r="T11" s="14">
        <f>IF(S11="","",SUMIFS($S$2:$S$501,$C$2:$C$501,C11,$H$2:$H$501,H11,$G$2:$G$501,"&lt;"&amp;G11)+SUMIFS($S$2:$S$501,$C$2:$C$501,C11,$H$2:$H$501,H11,$G$2:$G$501,G11,$A$2:$A$501,"&lt;"&amp;A11))</f>
        <v/>
      </c>
      <c r="U11" s="14">
        <f>IF(S11="","",T11+S11)</f>
        <v/>
      </c>
      <c r="V11" s="15">
        <f>IF(U11="","",VLOOKUP(U11,'税率及规则'!$A$2:$C$8,2,TRUE))</f>
        <v/>
      </c>
      <c r="W11" s="14">
        <f>IF(U11="","",VLOOKUP(U11,'税率及规则'!$A$2:$C$8,3,TRUE))</f>
        <v/>
      </c>
      <c r="X11" s="14">
        <f>IF(U11="","",MAX(0,U11*V11-W11))</f>
        <v/>
      </c>
      <c r="Y11" s="14">
        <f>IF(T11="","",MAX(0,T11*VLOOKUP(T11,'税率及规则'!$A$2:$C$8,2,TRUE)-VLOOKUP(T11,'税率及规则'!$A$2:$C$8,3,TRUE)))</f>
        <v/>
      </c>
      <c r="Z11" s="14">
        <f>IF(X11="","",MAX(0,X11-Y11))</f>
        <v/>
      </c>
      <c r="AA11" s="16">
        <f>IF(G11="","",G11)</f>
        <v/>
      </c>
      <c r="AB11" s="16">
        <f>IF(AA11="","",EDATE(AA11,36))</f>
        <v/>
      </c>
      <c r="AC11" s="6">
        <f>IF(A11="","",IF(COUNTIF($A$2:$A$501,A11)&gt;1,"异常：事件编号重复",IF(OR(C11="",D11="",E11="",F11="",G11="",I11="",J11=""),"异常：必填项缺失",IF(OR(I11&lt;=0,J11&lt;0),"异常：数量或价格无效",IF(AND(F11="限制性股票",OR(M11&lt;=0,N11&lt;0,I11&gt;M11)),"异常：个人获授或出资数据无效",IF(AND(F11="股票期权",K11&lt;&gt;IF(G11&lt;DATE(2025,1,10),14.56,IF(G11&lt;DATE(2025,4,29),14.32,IF(G11&lt;DATE(2025,9,26),14.18,14.04)))),"异常：行权价格区间不符",IF(Q11&lt;&gt;"已备案","提示：未确认备案","正常")))))))</f>
        <v/>
      </c>
      <c r="AD11" s="11" t="n"/>
    </row>
    <row r="12">
      <c r="A12" s="11" t="n"/>
      <c r="B12" s="6">
        <f>IF(A12="","",A12&amp;"-TAX")</f>
        <v/>
      </c>
      <c r="C12" s="11" t="n"/>
      <c r="D12" s="11" t="n"/>
      <c r="E12" s="11" t="n"/>
      <c r="F12" s="11" t="n"/>
      <c r="G12" s="12" t="n"/>
      <c r="H12" s="6">
        <f>IF(G12="","",YEAR(G12))</f>
        <v/>
      </c>
      <c r="I12" s="11" t="n"/>
      <c r="J12" s="13" t="n"/>
      <c r="K12" s="14">
        <f>IF(F12="股票期权",IF(G12="","",IF(G12&lt;DATE(2025,1,10),14.56,IF(G12&lt;DATE(2025,4,29),14.32,IF(G12&lt;DATE(2025,9,26),14.18,14.04)))),IF(F12="限制性股票",8.68,""))</f>
        <v/>
      </c>
      <c r="L12" s="14">
        <f>IF(F12="限制性股票",13.06,"")</f>
        <v/>
      </c>
      <c r="M12" s="11" t="n"/>
      <c r="N12" s="13" t="n"/>
      <c r="O12" s="13" t="n"/>
      <c r="P12" s="12" t="n"/>
      <c r="Q12" s="11" t="n"/>
      <c r="R12" s="12" t="n"/>
      <c r="S12" s="14">
        <f>IF(OR(A12="",C12="",F12="",G12="",I12="",J12=""),"",IF(F12="股票期权",MAX(0,(J12-K12)*I12),IF(F12="限制性股票",IF(OR(L12="",M12="",M12&lt;=0,N12=""),"",MAX(0,((L12+J12)/2)*I12-N12*I12/M12)),MAX(0,O12))))</f>
        <v/>
      </c>
      <c r="T12" s="14">
        <f>IF(S12="","",SUMIFS($S$2:$S$501,$C$2:$C$501,C12,$H$2:$H$501,H12,$G$2:$G$501,"&lt;"&amp;G12)+SUMIFS($S$2:$S$501,$C$2:$C$501,C12,$H$2:$H$501,H12,$G$2:$G$501,G12,$A$2:$A$501,"&lt;"&amp;A12))</f>
        <v/>
      </c>
      <c r="U12" s="14">
        <f>IF(S12="","",T12+S12)</f>
        <v/>
      </c>
      <c r="V12" s="15">
        <f>IF(U12="","",VLOOKUP(U12,'税率及规则'!$A$2:$C$8,2,TRUE))</f>
        <v/>
      </c>
      <c r="W12" s="14">
        <f>IF(U12="","",VLOOKUP(U12,'税率及规则'!$A$2:$C$8,3,TRUE))</f>
        <v/>
      </c>
      <c r="X12" s="14">
        <f>IF(U12="","",MAX(0,U12*V12-W12))</f>
        <v/>
      </c>
      <c r="Y12" s="14">
        <f>IF(T12="","",MAX(0,T12*VLOOKUP(T12,'税率及规则'!$A$2:$C$8,2,TRUE)-VLOOKUP(T12,'税率及规则'!$A$2:$C$8,3,TRUE)))</f>
        <v/>
      </c>
      <c r="Z12" s="14">
        <f>IF(X12="","",MAX(0,X12-Y12))</f>
        <v/>
      </c>
      <c r="AA12" s="16">
        <f>IF(G12="","",G12)</f>
        <v/>
      </c>
      <c r="AB12" s="16">
        <f>IF(AA12="","",EDATE(AA12,36))</f>
        <v/>
      </c>
      <c r="AC12" s="6">
        <f>IF(A12="","",IF(COUNTIF($A$2:$A$501,A12)&gt;1,"异常：事件编号重复",IF(OR(C12="",D12="",E12="",F12="",G12="",I12="",J12=""),"异常：必填项缺失",IF(OR(I12&lt;=0,J12&lt;0),"异常：数量或价格无效",IF(AND(F12="限制性股票",OR(M12&lt;=0,N12&lt;0,I12&gt;M12)),"异常：个人获授或出资数据无效",IF(AND(F12="股票期权",K12&lt;&gt;IF(G12&lt;DATE(2025,1,10),14.56,IF(G12&lt;DATE(2025,4,29),14.32,IF(G12&lt;DATE(2025,9,26),14.18,14.04)))),"异常：行权价格区间不符",IF(Q12&lt;&gt;"已备案","提示：未确认备案","正常")))))))</f>
        <v/>
      </c>
      <c r="AD12" s="11" t="n"/>
    </row>
    <row r="13">
      <c r="A13" s="11" t="n"/>
      <c r="B13" s="6">
        <f>IF(A13="","",A13&amp;"-TAX")</f>
        <v/>
      </c>
      <c r="C13" s="11" t="n"/>
      <c r="D13" s="11" t="n"/>
      <c r="E13" s="11" t="n"/>
      <c r="F13" s="11" t="n"/>
      <c r="G13" s="12" t="n"/>
      <c r="H13" s="6">
        <f>IF(G13="","",YEAR(G13))</f>
        <v/>
      </c>
      <c r="I13" s="11" t="n"/>
      <c r="J13" s="13" t="n"/>
      <c r="K13" s="14">
        <f>IF(F13="股票期权",IF(G13="","",IF(G13&lt;DATE(2025,1,10),14.56,IF(G13&lt;DATE(2025,4,29),14.32,IF(G13&lt;DATE(2025,9,26),14.18,14.04)))),IF(F13="限制性股票",8.68,""))</f>
        <v/>
      </c>
      <c r="L13" s="14">
        <f>IF(F13="限制性股票",13.06,"")</f>
        <v/>
      </c>
      <c r="M13" s="11" t="n"/>
      <c r="N13" s="13" t="n"/>
      <c r="O13" s="13" t="n"/>
      <c r="P13" s="12" t="n"/>
      <c r="Q13" s="11" t="n"/>
      <c r="R13" s="12" t="n"/>
      <c r="S13" s="14">
        <f>IF(OR(A13="",C13="",F13="",G13="",I13="",J13=""),"",IF(F13="股票期权",MAX(0,(J13-K13)*I13),IF(F13="限制性股票",IF(OR(L13="",M13="",M13&lt;=0,N13=""),"",MAX(0,((L13+J13)/2)*I13-N13*I13/M13)),MAX(0,O13))))</f>
        <v/>
      </c>
      <c r="T13" s="14">
        <f>IF(S13="","",SUMIFS($S$2:$S$501,$C$2:$C$501,C13,$H$2:$H$501,H13,$G$2:$G$501,"&lt;"&amp;G13)+SUMIFS($S$2:$S$501,$C$2:$C$501,C13,$H$2:$H$501,H13,$G$2:$G$501,G13,$A$2:$A$501,"&lt;"&amp;A13))</f>
        <v/>
      </c>
      <c r="U13" s="14">
        <f>IF(S13="","",T13+S13)</f>
        <v/>
      </c>
      <c r="V13" s="15">
        <f>IF(U13="","",VLOOKUP(U13,'税率及规则'!$A$2:$C$8,2,TRUE))</f>
        <v/>
      </c>
      <c r="W13" s="14">
        <f>IF(U13="","",VLOOKUP(U13,'税率及规则'!$A$2:$C$8,3,TRUE))</f>
        <v/>
      </c>
      <c r="X13" s="14">
        <f>IF(U13="","",MAX(0,U13*V13-W13))</f>
        <v/>
      </c>
      <c r="Y13" s="14">
        <f>IF(T13="","",MAX(0,T13*VLOOKUP(T13,'税率及规则'!$A$2:$C$8,2,TRUE)-VLOOKUP(T13,'税率及规则'!$A$2:$C$8,3,TRUE)))</f>
        <v/>
      </c>
      <c r="Z13" s="14">
        <f>IF(X13="","",MAX(0,X13-Y13))</f>
        <v/>
      </c>
      <c r="AA13" s="16">
        <f>IF(G13="","",G13)</f>
        <v/>
      </c>
      <c r="AB13" s="16">
        <f>IF(AA13="","",EDATE(AA13,36))</f>
        <v/>
      </c>
      <c r="AC13" s="6">
        <f>IF(A13="","",IF(COUNTIF($A$2:$A$501,A13)&gt;1,"异常：事件编号重复",IF(OR(C13="",D13="",E13="",F13="",G13="",I13="",J13=""),"异常：必填项缺失",IF(OR(I13&lt;=0,J13&lt;0),"异常：数量或价格无效",IF(AND(F13="限制性股票",OR(M13&lt;=0,N13&lt;0,I13&gt;M13)),"异常：个人获授或出资数据无效",IF(AND(F13="股票期权",K13&lt;&gt;IF(G13&lt;DATE(2025,1,10),14.56,IF(G13&lt;DATE(2025,4,29),14.32,IF(G13&lt;DATE(2025,9,26),14.18,14.04)))),"异常：行权价格区间不符",IF(Q13&lt;&gt;"已备案","提示：未确认备案","正常")))))))</f>
        <v/>
      </c>
      <c r="AD13" s="11" t="n"/>
    </row>
    <row r="14">
      <c r="A14" s="11" t="n"/>
      <c r="B14" s="6">
        <f>IF(A14="","",A14&amp;"-TAX")</f>
        <v/>
      </c>
      <c r="C14" s="11" t="n"/>
      <c r="D14" s="11" t="n"/>
      <c r="E14" s="11" t="n"/>
      <c r="F14" s="11" t="n"/>
      <c r="G14" s="12" t="n"/>
      <c r="H14" s="6">
        <f>IF(G14="","",YEAR(G14))</f>
        <v/>
      </c>
      <c r="I14" s="11" t="n"/>
      <c r="J14" s="13" t="n"/>
      <c r="K14" s="14">
        <f>IF(F14="股票期权",IF(G14="","",IF(G14&lt;DATE(2025,1,10),14.56,IF(G14&lt;DATE(2025,4,29),14.32,IF(G14&lt;DATE(2025,9,26),14.18,14.04)))),IF(F14="限制性股票",8.68,""))</f>
        <v/>
      </c>
      <c r="L14" s="14">
        <f>IF(F14="限制性股票",13.06,"")</f>
        <v/>
      </c>
      <c r="M14" s="11" t="n"/>
      <c r="N14" s="13" t="n"/>
      <c r="O14" s="13" t="n"/>
      <c r="P14" s="12" t="n"/>
      <c r="Q14" s="11" t="n"/>
      <c r="R14" s="12" t="n"/>
      <c r="S14" s="14">
        <f>IF(OR(A14="",C14="",F14="",G14="",I14="",J14=""),"",IF(F14="股票期权",MAX(0,(J14-K14)*I14),IF(F14="限制性股票",IF(OR(L14="",M14="",M14&lt;=0,N14=""),"",MAX(0,((L14+J14)/2)*I14-N14*I14/M14)),MAX(0,O14))))</f>
        <v/>
      </c>
      <c r="T14" s="14">
        <f>IF(S14="","",SUMIFS($S$2:$S$501,$C$2:$C$501,C14,$H$2:$H$501,H14,$G$2:$G$501,"&lt;"&amp;G14)+SUMIFS($S$2:$S$501,$C$2:$C$501,C14,$H$2:$H$501,H14,$G$2:$G$501,G14,$A$2:$A$501,"&lt;"&amp;A14))</f>
        <v/>
      </c>
      <c r="U14" s="14">
        <f>IF(S14="","",T14+S14)</f>
        <v/>
      </c>
      <c r="V14" s="15">
        <f>IF(U14="","",VLOOKUP(U14,'税率及规则'!$A$2:$C$8,2,TRUE))</f>
        <v/>
      </c>
      <c r="W14" s="14">
        <f>IF(U14="","",VLOOKUP(U14,'税率及规则'!$A$2:$C$8,3,TRUE))</f>
        <v/>
      </c>
      <c r="X14" s="14">
        <f>IF(U14="","",MAX(0,U14*V14-W14))</f>
        <v/>
      </c>
      <c r="Y14" s="14">
        <f>IF(T14="","",MAX(0,T14*VLOOKUP(T14,'税率及规则'!$A$2:$C$8,2,TRUE)-VLOOKUP(T14,'税率及规则'!$A$2:$C$8,3,TRUE)))</f>
        <v/>
      </c>
      <c r="Z14" s="14">
        <f>IF(X14="","",MAX(0,X14-Y14))</f>
        <v/>
      </c>
      <c r="AA14" s="16">
        <f>IF(G14="","",G14)</f>
        <v/>
      </c>
      <c r="AB14" s="16">
        <f>IF(AA14="","",EDATE(AA14,36))</f>
        <v/>
      </c>
      <c r="AC14" s="6">
        <f>IF(A14="","",IF(COUNTIF($A$2:$A$501,A14)&gt;1,"异常：事件编号重复",IF(OR(C14="",D14="",E14="",F14="",G14="",I14="",J14=""),"异常：必填项缺失",IF(OR(I14&lt;=0,J14&lt;0),"异常：数量或价格无效",IF(AND(F14="限制性股票",OR(M14&lt;=0,N14&lt;0,I14&gt;M14)),"异常：个人获授或出资数据无效",IF(AND(F14="股票期权",K14&lt;&gt;IF(G14&lt;DATE(2025,1,10),14.56,IF(G14&lt;DATE(2025,4,29),14.32,IF(G14&lt;DATE(2025,9,26),14.18,14.04)))),"异常：行权价格区间不符",IF(Q14&lt;&gt;"已备案","提示：未确认备案","正常")))))))</f>
        <v/>
      </c>
      <c r="AD14" s="11" t="n"/>
    </row>
    <row r="15">
      <c r="A15" s="11" t="n"/>
      <c r="B15" s="6">
        <f>IF(A15="","",A15&amp;"-TAX")</f>
        <v/>
      </c>
      <c r="C15" s="11" t="n"/>
      <c r="D15" s="11" t="n"/>
      <c r="E15" s="11" t="n"/>
      <c r="F15" s="11" t="n"/>
      <c r="G15" s="12" t="n"/>
      <c r="H15" s="6">
        <f>IF(G15="","",YEAR(G15))</f>
        <v/>
      </c>
      <c r="I15" s="11" t="n"/>
      <c r="J15" s="13" t="n"/>
      <c r="K15" s="14">
        <f>IF(F15="股票期权",IF(G15="","",IF(G15&lt;DATE(2025,1,10),14.56,IF(G15&lt;DATE(2025,4,29),14.32,IF(G15&lt;DATE(2025,9,26),14.18,14.04)))),IF(F15="限制性股票",8.68,""))</f>
        <v/>
      </c>
      <c r="L15" s="14">
        <f>IF(F15="限制性股票",13.06,"")</f>
        <v/>
      </c>
      <c r="M15" s="11" t="n"/>
      <c r="N15" s="13" t="n"/>
      <c r="O15" s="13" t="n"/>
      <c r="P15" s="12" t="n"/>
      <c r="Q15" s="11" t="n"/>
      <c r="R15" s="12" t="n"/>
      <c r="S15" s="14">
        <f>IF(OR(A15="",C15="",F15="",G15="",I15="",J15=""),"",IF(F15="股票期权",MAX(0,(J15-K15)*I15),IF(F15="限制性股票",IF(OR(L15="",M15="",M15&lt;=0,N15=""),"",MAX(0,((L15+J15)/2)*I15-N15*I15/M15)),MAX(0,O15))))</f>
        <v/>
      </c>
      <c r="T15" s="14">
        <f>IF(S15="","",SUMIFS($S$2:$S$501,$C$2:$C$501,C15,$H$2:$H$501,H15,$G$2:$G$501,"&lt;"&amp;G15)+SUMIFS($S$2:$S$501,$C$2:$C$501,C15,$H$2:$H$501,H15,$G$2:$G$501,G15,$A$2:$A$501,"&lt;"&amp;A15))</f>
        <v/>
      </c>
      <c r="U15" s="14">
        <f>IF(S15="","",T15+S15)</f>
        <v/>
      </c>
      <c r="V15" s="15">
        <f>IF(U15="","",VLOOKUP(U15,'税率及规则'!$A$2:$C$8,2,TRUE))</f>
        <v/>
      </c>
      <c r="W15" s="14">
        <f>IF(U15="","",VLOOKUP(U15,'税率及规则'!$A$2:$C$8,3,TRUE))</f>
        <v/>
      </c>
      <c r="X15" s="14">
        <f>IF(U15="","",MAX(0,U15*V15-W15))</f>
        <v/>
      </c>
      <c r="Y15" s="14">
        <f>IF(T15="","",MAX(0,T15*VLOOKUP(T15,'税率及规则'!$A$2:$C$8,2,TRUE)-VLOOKUP(T15,'税率及规则'!$A$2:$C$8,3,TRUE)))</f>
        <v/>
      </c>
      <c r="Z15" s="14">
        <f>IF(X15="","",MAX(0,X15-Y15))</f>
        <v/>
      </c>
      <c r="AA15" s="16">
        <f>IF(G15="","",G15)</f>
        <v/>
      </c>
      <c r="AB15" s="16">
        <f>IF(AA15="","",EDATE(AA15,36))</f>
        <v/>
      </c>
      <c r="AC15" s="6">
        <f>IF(A15="","",IF(COUNTIF($A$2:$A$501,A15)&gt;1,"异常：事件编号重复",IF(OR(C15="",D15="",E15="",F15="",G15="",I15="",J15=""),"异常：必填项缺失",IF(OR(I15&lt;=0,J15&lt;0),"异常：数量或价格无效",IF(AND(F15="限制性股票",OR(M15&lt;=0,N15&lt;0,I15&gt;M15)),"异常：个人获授或出资数据无效",IF(AND(F15="股票期权",K15&lt;&gt;IF(G15&lt;DATE(2025,1,10),14.56,IF(G15&lt;DATE(2025,4,29),14.32,IF(G15&lt;DATE(2025,9,26),14.18,14.04)))),"异常：行权价格区间不符",IF(Q15&lt;&gt;"已备案","提示：未确认备案","正常")))))))</f>
        <v/>
      </c>
      <c r="AD15" s="11" t="n"/>
    </row>
    <row r="16">
      <c r="A16" s="11" t="n"/>
      <c r="B16" s="6">
        <f>IF(A16="","",A16&amp;"-TAX")</f>
        <v/>
      </c>
      <c r="C16" s="11" t="n"/>
      <c r="D16" s="11" t="n"/>
      <c r="E16" s="11" t="n"/>
      <c r="F16" s="11" t="n"/>
      <c r="G16" s="12" t="n"/>
      <c r="H16" s="6">
        <f>IF(G16="","",YEAR(G16))</f>
        <v/>
      </c>
      <c r="I16" s="11" t="n"/>
      <c r="J16" s="13" t="n"/>
      <c r="K16" s="14">
        <f>IF(F16="股票期权",IF(G16="","",IF(G16&lt;DATE(2025,1,10),14.56,IF(G16&lt;DATE(2025,4,29),14.32,IF(G16&lt;DATE(2025,9,26),14.18,14.04)))),IF(F16="限制性股票",8.68,""))</f>
        <v/>
      </c>
      <c r="L16" s="14">
        <f>IF(F16="限制性股票",13.06,"")</f>
        <v/>
      </c>
      <c r="M16" s="11" t="n"/>
      <c r="N16" s="13" t="n"/>
      <c r="O16" s="13" t="n"/>
      <c r="P16" s="12" t="n"/>
      <c r="Q16" s="11" t="n"/>
      <c r="R16" s="12" t="n"/>
      <c r="S16" s="14">
        <f>IF(OR(A16="",C16="",F16="",G16="",I16="",J16=""),"",IF(F16="股票期权",MAX(0,(J16-K16)*I16),IF(F16="限制性股票",IF(OR(L16="",M16="",M16&lt;=0,N16=""),"",MAX(0,((L16+J16)/2)*I16-N16*I16/M16)),MAX(0,O16))))</f>
        <v/>
      </c>
      <c r="T16" s="14">
        <f>IF(S16="","",SUMIFS($S$2:$S$501,$C$2:$C$501,C16,$H$2:$H$501,H16,$G$2:$G$501,"&lt;"&amp;G16)+SUMIFS($S$2:$S$501,$C$2:$C$501,C16,$H$2:$H$501,H16,$G$2:$G$501,G16,$A$2:$A$501,"&lt;"&amp;A16))</f>
        <v/>
      </c>
      <c r="U16" s="14">
        <f>IF(S16="","",T16+S16)</f>
        <v/>
      </c>
      <c r="V16" s="15">
        <f>IF(U16="","",VLOOKUP(U16,'税率及规则'!$A$2:$C$8,2,TRUE))</f>
        <v/>
      </c>
      <c r="W16" s="14">
        <f>IF(U16="","",VLOOKUP(U16,'税率及规则'!$A$2:$C$8,3,TRUE))</f>
        <v/>
      </c>
      <c r="X16" s="14">
        <f>IF(U16="","",MAX(0,U16*V16-W16))</f>
        <v/>
      </c>
      <c r="Y16" s="14">
        <f>IF(T16="","",MAX(0,T16*VLOOKUP(T16,'税率及规则'!$A$2:$C$8,2,TRUE)-VLOOKUP(T16,'税率及规则'!$A$2:$C$8,3,TRUE)))</f>
        <v/>
      </c>
      <c r="Z16" s="14">
        <f>IF(X16="","",MAX(0,X16-Y16))</f>
        <v/>
      </c>
      <c r="AA16" s="16">
        <f>IF(G16="","",G16)</f>
        <v/>
      </c>
      <c r="AB16" s="16">
        <f>IF(AA16="","",EDATE(AA16,36))</f>
        <v/>
      </c>
      <c r="AC16" s="6">
        <f>IF(A16="","",IF(COUNTIF($A$2:$A$501,A16)&gt;1,"异常：事件编号重复",IF(OR(C16="",D16="",E16="",F16="",G16="",I16="",J16=""),"异常：必填项缺失",IF(OR(I16&lt;=0,J16&lt;0),"异常：数量或价格无效",IF(AND(F16="限制性股票",OR(M16&lt;=0,N16&lt;0,I16&gt;M16)),"异常：个人获授或出资数据无效",IF(AND(F16="股票期权",K16&lt;&gt;IF(G16&lt;DATE(2025,1,10),14.56,IF(G16&lt;DATE(2025,4,29),14.32,IF(G16&lt;DATE(2025,9,26),14.18,14.04)))),"异常：行权价格区间不符",IF(Q16&lt;&gt;"已备案","提示：未确认备案","正常")))))))</f>
        <v/>
      </c>
      <c r="AD16" s="11" t="n"/>
    </row>
    <row r="17">
      <c r="A17" s="11" t="n"/>
      <c r="B17" s="6">
        <f>IF(A17="","",A17&amp;"-TAX")</f>
        <v/>
      </c>
      <c r="C17" s="11" t="n"/>
      <c r="D17" s="11" t="n"/>
      <c r="E17" s="11" t="n"/>
      <c r="F17" s="11" t="n"/>
      <c r="G17" s="12" t="n"/>
      <c r="H17" s="6">
        <f>IF(G17="","",YEAR(G17))</f>
        <v/>
      </c>
      <c r="I17" s="11" t="n"/>
      <c r="J17" s="13" t="n"/>
      <c r="K17" s="14">
        <f>IF(F17="股票期权",IF(G17="","",IF(G17&lt;DATE(2025,1,10),14.56,IF(G17&lt;DATE(2025,4,29),14.32,IF(G17&lt;DATE(2025,9,26),14.18,14.04)))),IF(F17="限制性股票",8.68,""))</f>
        <v/>
      </c>
      <c r="L17" s="14">
        <f>IF(F17="限制性股票",13.06,"")</f>
        <v/>
      </c>
      <c r="M17" s="11" t="n"/>
      <c r="N17" s="13" t="n"/>
      <c r="O17" s="13" t="n"/>
      <c r="P17" s="12" t="n"/>
      <c r="Q17" s="11" t="n"/>
      <c r="R17" s="12" t="n"/>
      <c r="S17" s="14">
        <f>IF(OR(A17="",C17="",F17="",G17="",I17="",J17=""),"",IF(F17="股票期权",MAX(0,(J17-K17)*I17),IF(F17="限制性股票",IF(OR(L17="",M17="",M17&lt;=0,N17=""),"",MAX(0,((L17+J17)/2)*I17-N17*I17/M17)),MAX(0,O17))))</f>
        <v/>
      </c>
      <c r="T17" s="14">
        <f>IF(S17="","",SUMIFS($S$2:$S$501,$C$2:$C$501,C17,$H$2:$H$501,H17,$G$2:$G$501,"&lt;"&amp;G17)+SUMIFS($S$2:$S$501,$C$2:$C$501,C17,$H$2:$H$501,H17,$G$2:$G$501,G17,$A$2:$A$501,"&lt;"&amp;A17))</f>
        <v/>
      </c>
      <c r="U17" s="14">
        <f>IF(S17="","",T17+S17)</f>
        <v/>
      </c>
      <c r="V17" s="15">
        <f>IF(U17="","",VLOOKUP(U17,'税率及规则'!$A$2:$C$8,2,TRUE))</f>
        <v/>
      </c>
      <c r="W17" s="14">
        <f>IF(U17="","",VLOOKUP(U17,'税率及规则'!$A$2:$C$8,3,TRUE))</f>
        <v/>
      </c>
      <c r="X17" s="14">
        <f>IF(U17="","",MAX(0,U17*V17-W17))</f>
        <v/>
      </c>
      <c r="Y17" s="14">
        <f>IF(T17="","",MAX(0,T17*VLOOKUP(T17,'税率及规则'!$A$2:$C$8,2,TRUE)-VLOOKUP(T17,'税率及规则'!$A$2:$C$8,3,TRUE)))</f>
        <v/>
      </c>
      <c r="Z17" s="14">
        <f>IF(X17="","",MAX(0,X17-Y17))</f>
        <v/>
      </c>
      <c r="AA17" s="16">
        <f>IF(G17="","",G17)</f>
        <v/>
      </c>
      <c r="AB17" s="16">
        <f>IF(AA17="","",EDATE(AA17,36))</f>
        <v/>
      </c>
      <c r="AC17" s="6">
        <f>IF(A17="","",IF(COUNTIF($A$2:$A$501,A17)&gt;1,"异常：事件编号重复",IF(OR(C17="",D17="",E17="",F17="",G17="",I17="",J17=""),"异常：必填项缺失",IF(OR(I17&lt;=0,J17&lt;0),"异常：数量或价格无效",IF(AND(F17="限制性股票",OR(M17&lt;=0,N17&lt;0,I17&gt;M17)),"异常：个人获授或出资数据无效",IF(AND(F17="股票期权",K17&lt;&gt;IF(G17&lt;DATE(2025,1,10),14.56,IF(G17&lt;DATE(2025,4,29),14.32,IF(G17&lt;DATE(2025,9,26),14.18,14.04)))),"异常：行权价格区间不符",IF(Q17&lt;&gt;"已备案","提示：未确认备案","正常")))))))</f>
        <v/>
      </c>
      <c r="AD17" s="11" t="n"/>
    </row>
    <row r="18">
      <c r="A18" s="11" t="n"/>
      <c r="B18" s="6">
        <f>IF(A18="","",A18&amp;"-TAX")</f>
        <v/>
      </c>
      <c r="C18" s="11" t="n"/>
      <c r="D18" s="11" t="n"/>
      <c r="E18" s="11" t="n"/>
      <c r="F18" s="11" t="n"/>
      <c r="G18" s="12" t="n"/>
      <c r="H18" s="6">
        <f>IF(G18="","",YEAR(G18))</f>
        <v/>
      </c>
      <c r="I18" s="11" t="n"/>
      <c r="J18" s="13" t="n"/>
      <c r="K18" s="14">
        <f>IF(F18="股票期权",IF(G18="","",IF(G18&lt;DATE(2025,1,10),14.56,IF(G18&lt;DATE(2025,4,29),14.32,IF(G18&lt;DATE(2025,9,26),14.18,14.04)))),IF(F18="限制性股票",8.68,""))</f>
        <v/>
      </c>
      <c r="L18" s="14">
        <f>IF(F18="限制性股票",13.06,"")</f>
        <v/>
      </c>
      <c r="M18" s="11" t="n"/>
      <c r="N18" s="13" t="n"/>
      <c r="O18" s="13" t="n"/>
      <c r="P18" s="12" t="n"/>
      <c r="Q18" s="11" t="n"/>
      <c r="R18" s="12" t="n"/>
      <c r="S18" s="14">
        <f>IF(OR(A18="",C18="",F18="",G18="",I18="",J18=""),"",IF(F18="股票期权",MAX(0,(J18-K18)*I18),IF(F18="限制性股票",IF(OR(L18="",M18="",M18&lt;=0,N18=""),"",MAX(0,((L18+J18)/2)*I18-N18*I18/M18)),MAX(0,O18))))</f>
        <v/>
      </c>
      <c r="T18" s="14">
        <f>IF(S18="","",SUMIFS($S$2:$S$501,$C$2:$C$501,C18,$H$2:$H$501,H18,$G$2:$G$501,"&lt;"&amp;G18)+SUMIFS($S$2:$S$501,$C$2:$C$501,C18,$H$2:$H$501,H18,$G$2:$G$501,G18,$A$2:$A$501,"&lt;"&amp;A18))</f>
        <v/>
      </c>
      <c r="U18" s="14">
        <f>IF(S18="","",T18+S18)</f>
        <v/>
      </c>
      <c r="V18" s="15">
        <f>IF(U18="","",VLOOKUP(U18,'税率及规则'!$A$2:$C$8,2,TRUE))</f>
        <v/>
      </c>
      <c r="W18" s="14">
        <f>IF(U18="","",VLOOKUP(U18,'税率及规则'!$A$2:$C$8,3,TRUE))</f>
        <v/>
      </c>
      <c r="X18" s="14">
        <f>IF(U18="","",MAX(0,U18*V18-W18))</f>
        <v/>
      </c>
      <c r="Y18" s="14">
        <f>IF(T18="","",MAX(0,T18*VLOOKUP(T18,'税率及规则'!$A$2:$C$8,2,TRUE)-VLOOKUP(T18,'税率及规则'!$A$2:$C$8,3,TRUE)))</f>
        <v/>
      </c>
      <c r="Z18" s="14">
        <f>IF(X18="","",MAX(0,X18-Y18))</f>
        <v/>
      </c>
      <c r="AA18" s="16">
        <f>IF(G18="","",G18)</f>
        <v/>
      </c>
      <c r="AB18" s="16">
        <f>IF(AA18="","",EDATE(AA18,36))</f>
        <v/>
      </c>
      <c r="AC18" s="6">
        <f>IF(A18="","",IF(COUNTIF($A$2:$A$501,A18)&gt;1,"异常：事件编号重复",IF(OR(C18="",D18="",E18="",F18="",G18="",I18="",J18=""),"异常：必填项缺失",IF(OR(I18&lt;=0,J18&lt;0),"异常：数量或价格无效",IF(AND(F18="限制性股票",OR(M18&lt;=0,N18&lt;0,I18&gt;M18)),"异常：个人获授或出资数据无效",IF(AND(F18="股票期权",K18&lt;&gt;IF(G18&lt;DATE(2025,1,10),14.56,IF(G18&lt;DATE(2025,4,29),14.32,IF(G18&lt;DATE(2025,9,26),14.18,14.04)))),"异常：行权价格区间不符",IF(Q18&lt;&gt;"已备案","提示：未确认备案","正常")))))))</f>
        <v/>
      </c>
      <c r="AD18" s="11" t="n"/>
    </row>
    <row r="19">
      <c r="A19" s="11" t="n"/>
      <c r="B19" s="6">
        <f>IF(A19="","",A19&amp;"-TAX")</f>
        <v/>
      </c>
      <c r="C19" s="11" t="n"/>
      <c r="D19" s="11" t="n"/>
      <c r="E19" s="11" t="n"/>
      <c r="F19" s="11" t="n"/>
      <c r="G19" s="12" t="n"/>
      <c r="H19" s="6">
        <f>IF(G19="","",YEAR(G19))</f>
        <v/>
      </c>
      <c r="I19" s="11" t="n"/>
      <c r="J19" s="13" t="n"/>
      <c r="K19" s="14">
        <f>IF(F19="股票期权",IF(G19="","",IF(G19&lt;DATE(2025,1,10),14.56,IF(G19&lt;DATE(2025,4,29),14.32,IF(G19&lt;DATE(2025,9,26),14.18,14.04)))),IF(F19="限制性股票",8.68,""))</f>
        <v/>
      </c>
      <c r="L19" s="14">
        <f>IF(F19="限制性股票",13.06,"")</f>
        <v/>
      </c>
      <c r="M19" s="11" t="n"/>
      <c r="N19" s="13" t="n"/>
      <c r="O19" s="13" t="n"/>
      <c r="P19" s="12" t="n"/>
      <c r="Q19" s="11" t="n"/>
      <c r="R19" s="12" t="n"/>
      <c r="S19" s="14">
        <f>IF(OR(A19="",C19="",F19="",G19="",I19="",J19=""),"",IF(F19="股票期权",MAX(0,(J19-K19)*I19),IF(F19="限制性股票",IF(OR(L19="",M19="",M19&lt;=0,N19=""),"",MAX(0,((L19+J19)/2)*I19-N19*I19/M19)),MAX(0,O19))))</f>
        <v/>
      </c>
      <c r="T19" s="14">
        <f>IF(S19="","",SUMIFS($S$2:$S$501,$C$2:$C$501,C19,$H$2:$H$501,H19,$G$2:$G$501,"&lt;"&amp;G19)+SUMIFS($S$2:$S$501,$C$2:$C$501,C19,$H$2:$H$501,H19,$G$2:$G$501,G19,$A$2:$A$501,"&lt;"&amp;A19))</f>
        <v/>
      </c>
      <c r="U19" s="14">
        <f>IF(S19="","",T19+S19)</f>
        <v/>
      </c>
      <c r="V19" s="15">
        <f>IF(U19="","",VLOOKUP(U19,'税率及规则'!$A$2:$C$8,2,TRUE))</f>
        <v/>
      </c>
      <c r="W19" s="14">
        <f>IF(U19="","",VLOOKUP(U19,'税率及规则'!$A$2:$C$8,3,TRUE))</f>
        <v/>
      </c>
      <c r="X19" s="14">
        <f>IF(U19="","",MAX(0,U19*V19-W19))</f>
        <v/>
      </c>
      <c r="Y19" s="14">
        <f>IF(T19="","",MAX(0,T19*VLOOKUP(T19,'税率及规则'!$A$2:$C$8,2,TRUE)-VLOOKUP(T19,'税率及规则'!$A$2:$C$8,3,TRUE)))</f>
        <v/>
      </c>
      <c r="Z19" s="14">
        <f>IF(X19="","",MAX(0,X19-Y19))</f>
        <v/>
      </c>
      <c r="AA19" s="16">
        <f>IF(G19="","",G19)</f>
        <v/>
      </c>
      <c r="AB19" s="16">
        <f>IF(AA19="","",EDATE(AA19,36))</f>
        <v/>
      </c>
      <c r="AC19" s="6">
        <f>IF(A19="","",IF(COUNTIF($A$2:$A$501,A19)&gt;1,"异常：事件编号重复",IF(OR(C19="",D19="",E19="",F19="",G19="",I19="",J19=""),"异常：必填项缺失",IF(OR(I19&lt;=0,J19&lt;0),"异常：数量或价格无效",IF(AND(F19="限制性股票",OR(M19&lt;=0,N19&lt;0,I19&gt;M19)),"异常：个人获授或出资数据无效",IF(AND(F19="股票期权",K19&lt;&gt;IF(G19&lt;DATE(2025,1,10),14.56,IF(G19&lt;DATE(2025,4,29),14.32,IF(G19&lt;DATE(2025,9,26),14.18,14.04)))),"异常：行权价格区间不符",IF(Q19&lt;&gt;"已备案","提示：未确认备案","正常")))))))</f>
        <v/>
      </c>
      <c r="AD19" s="11" t="n"/>
    </row>
    <row r="20">
      <c r="A20" s="11" t="n"/>
      <c r="B20" s="6">
        <f>IF(A20="","",A20&amp;"-TAX")</f>
        <v/>
      </c>
      <c r="C20" s="11" t="n"/>
      <c r="D20" s="11" t="n"/>
      <c r="E20" s="11" t="n"/>
      <c r="F20" s="11" t="n"/>
      <c r="G20" s="12" t="n"/>
      <c r="H20" s="6">
        <f>IF(G20="","",YEAR(G20))</f>
        <v/>
      </c>
      <c r="I20" s="11" t="n"/>
      <c r="J20" s="13" t="n"/>
      <c r="K20" s="14">
        <f>IF(F20="股票期权",IF(G20="","",IF(G20&lt;DATE(2025,1,10),14.56,IF(G20&lt;DATE(2025,4,29),14.32,IF(G20&lt;DATE(2025,9,26),14.18,14.04)))),IF(F20="限制性股票",8.68,""))</f>
        <v/>
      </c>
      <c r="L20" s="14">
        <f>IF(F20="限制性股票",13.06,"")</f>
        <v/>
      </c>
      <c r="M20" s="11" t="n"/>
      <c r="N20" s="13" t="n"/>
      <c r="O20" s="13" t="n"/>
      <c r="P20" s="12" t="n"/>
      <c r="Q20" s="11" t="n"/>
      <c r="R20" s="12" t="n"/>
      <c r="S20" s="14">
        <f>IF(OR(A20="",C20="",F20="",G20="",I20="",J20=""),"",IF(F20="股票期权",MAX(0,(J20-K20)*I20),IF(F20="限制性股票",IF(OR(L20="",M20="",M20&lt;=0,N20=""),"",MAX(0,((L20+J20)/2)*I20-N20*I20/M20)),MAX(0,O20))))</f>
        <v/>
      </c>
      <c r="T20" s="14">
        <f>IF(S20="","",SUMIFS($S$2:$S$501,$C$2:$C$501,C20,$H$2:$H$501,H20,$G$2:$G$501,"&lt;"&amp;G20)+SUMIFS($S$2:$S$501,$C$2:$C$501,C20,$H$2:$H$501,H20,$G$2:$G$501,G20,$A$2:$A$501,"&lt;"&amp;A20))</f>
        <v/>
      </c>
      <c r="U20" s="14">
        <f>IF(S20="","",T20+S20)</f>
        <v/>
      </c>
      <c r="V20" s="15">
        <f>IF(U20="","",VLOOKUP(U20,'税率及规则'!$A$2:$C$8,2,TRUE))</f>
        <v/>
      </c>
      <c r="W20" s="14">
        <f>IF(U20="","",VLOOKUP(U20,'税率及规则'!$A$2:$C$8,3,TRUE))</f>
        <v/>
      </c>
      <c r="X20" s="14">
        <f>IF(U20="","",MAX(0,U20*V20-W20))</f>
        <v/>
      </c>
      <c r="Y20" s="14">
        <f>IF(T20="","",MAX(0,T20*VLOOKUP(T20,'税率及规则'!$A$2:$C$8,2,TRUE)-VLOOKUP(T20,'税率及规则'!$A$2:$C$8,3,TRUE)))</f>
        <v/>
      </c>
      <c r="Z20" s="14">
        <f>IF(X20="","",MAX(0,X20-Y20))</f>
        <v/>
      </c>
      <c r="AA20" s="16">
        <f>IF(G20="","",G20)</f>
        <v/>
      </c>
      <c r="AB20" s="16">
        <f>IF(AA20="","",EDATE(AA20,36))</f>
        <v/>
      </c>
      <c r="AC20" s="6">
        <f>IF(A20="","",IF(COUNTIF($A$2:$A$501,A20)&gt;1,"异常：事件编号重复",IF(OR(C20="",D20="",E20="",F20="",G20="",I20="",J20=""),"异常：必填项缺失",IF(OR(I20&lt;=0,J20&lt;0),"异常：数量或价格无效",IF(AND(F20="限制性股票",OR(M20&lt;=0,N20&lt;0,I20&gt;M20)),"异常：个人获授或出资数据无效",IF(AND(F20="股票期权",K20&lt;&gt;IF(G20&lt;DATE(2025,1,10),14.56,IF(G20&lt;DATE(2025,4,29),14.32,IF(G20&lt;DATE(2025,9,26),14.18,14.04)))),"异常：行权价格区间不符",IF(Q20&lt;&gt;"已备案","提示：未确认备案","正常")))))))</f>
        <v/>
      </c>
      <c r="AD20" s="11" t="n"/>
    </row>
    <row r="21">
      <c r="A21" s="11" t="n"/>
      <c r="B21" s="6">
        <f>IF(A21="","",A21&amp;"-TAX")</f>
        <v/>
      </c>
      <c r="C21" s="11" t="n"/>
      <c r="D21" s="11" t="n"/>
      <c r="E21" s="11" t="n"/>
      <c r="F21" s="11" t="n"/>
      <c r="G21" s="12" t="n"/>
      <c r="H21" s="6">
        <f>IF(G21="","",YEAR(G21))</f>
        <v/>
      </c>
      <c r="I21" s="11" t="n"/>
      <c r="J21" s="13" t="n"/>
      <c r="K21" s="14">
        <f>IF(F21="股票期权",IF(G21="","",IF(G21&lt;DATE(2025,1,10),14.56,IF(G21&lt;DATE(2025,4,29),14.32,IF(G21&lt;DATE(2025,9,26),14.18,14.04)))),IF(F21="限制性股票",8.68,""))</f>
        <v/>
      </c>
      <c r="L21" s="14">
        <f>IF(F21="限制性股票",13.06,"")</f>
        <v/>
      </c>
      <c r="M21" s="11" t="n"/>
      <c r="N21" s="13" t="n"/>
      <c r="O21" s="13" t="n"/>
      <c r="P21" s="12" t="n"/>
      <c r="Q21" s="11" t="n"/>
      <c r="R21" s="12" t="n"/>
      <c r="S21" s="14">
        <f>IF(OR(A21="",C21="",F21="",G21="",I21="",J21=""),"",IF(F21="股票期权",MAX(0,(J21-K21)*I21),IF(F21="限制性股票",IF(OR(L21="",M21="",M21&lt;=0,N21=""),"",MAX(0,((L21+J21)/2)*I21-N21*I21/M21)),MAX(0,O21))))</f>
        <v/>
      </c>
      <c r="T21" s="14">
        <f>IF(S21="","",SUMIFS($S$2:$S$501,$C$2:$C$501,C21,$H$2:$H$501,H21,$G$2:$G$501,"&lt;"&amp;G21)+SUMIFS($S$2:$S$501,$C$2:$C$501,C21,$H$2:$H$501,H21,$G$2:$G$501,G21,$A$2:$A$501,"&lt;"&amp;A21))</f>
        <v/>
      </c>
      <c r="U21" s="14">
        <f>IF(S21="","",T21+S21)</f>
        <v/>
      </c>
      <c r="V21" s="15">
        <f>IF(U21="","",VLOOKUP(U21,'税率及规则'!$A$2:$C$8,2,TRUE))</f>
        <v/>
      </c>
      <c r="W21" s="14">
        <f>IF(U21="","",VLOOKUP(U21,'税率及规则'!$A$2:$C$8,3,TRUE))</f>
        <v/>
      </c>
      <c r="X21" s="14">
        <f>IF(U21="","",MAX(0,U21*V21-W21))</f>
        <v/>
      </c>
      <c r="Y21" s="14">
        <f>IF(T21="","",MAX(0,T21*VLOOKUP(T21,'税率及规则'!$A$2:$C$8,2,TRUE)-VLOOKUP(T21,'税率及规则'!$A$2:$C$8,3,TRUE)))</f>
        <v/>
      </c>
      <c r="Z21" s="14">
        <f>IF(X21="","",MAX(0,X21-Y21))</f>
        <v/>
      </c>
      <c r="AA21" s="16">
        <f>IF(G21="","",G21)</f>
        <v/>
      </c>
      <c r="AB21" s="16">
        <f>IF(AA21="","",EDATE(AA21,36))</f>
        <v/>
      </c>
      <c r="AC21" s="6">
        <f>IF(A21="","",IF(COUNTIF($A$2:$A$501,A21)&gt;1,"异常：事件编号重复",IF(OR(C21="",D21="",E21="",F21="",G21="",I21="",J21=""),"异常：必填项缺失",IF(OR(I21&lt;=0,J21&lt;0),"异常：数量或价格无效",IF(AND(F21="限制性股票",OR(M21&lt;=0,N21&lt;0,I21&gt;M21)),"异常：个人获授或出资数据无效",IF(AND(F21="股票期权",K21&lt;&gt;IF(G21&lt;DATE(2025,1,10),14.56,IF(G21&lt;DATE(2025,4,29),14.32,IF(G21&lt;DATE(2025,9,26),14.18,14.04)))),"异常：行权价格区间不符",IF(Q21&lt;&gt;"已备案","提示：未确认备案","正常")))))))</f>
        <v/>
      </c>
      <c r="AD21" s="11" t="n"/>
    </row>
    <row r="22">
      <c r="A22" s="11" t="n"/>
      <c r="B22" s="6">
        <f>IF(A22="","",A22&amp;"-TAX")</f>
        <v/>
      </c>
      <c r="C22" s="11" t="n"/>
      <c r="D22" s="11" t="n"/>
      <c r="E22" s="11" t="n"/>
      <c r="F22" s="11" t="n"/>
      <c r="G22" s="12" t="n"/>
      <c r="H22" s="6">
        <f>IF(G22="","",YEAR(G22))</f>
        <v/>
      </c>
      <c r="I22" s="11" t="n"/>
      <c r="J22" s="13" t="n"/>
      <c r="K22" s="14">
        <f>IF(F22="股票期权",IF(G22="","",IF(G22&lt;DATE(2025,1,10),14.56,IF(G22&lt;DATE(2025,4,29),14.32,IF(G22&lt;DATE(2025,9,26),14.18,14.04)))),IF(F22="限制性股票",8.68,""))</f>
        <v/>
      </c>
      <c r="L22" s="14">
        <f>IF(F22="限制性股票",13.06,"")</f>
        <v/>
      </c>
      <c r="M22" s="11" t="n"/>
      <c r="N22" s="13" t="n"/>
      <c r="O22" s="13" t="n"/>
      <c r="P22" s="12" t="n"/>
      <c r="Q22" s="11" t="n"/>
      <c r="R22" s="12" t="n"/>
      <c r="S22" s="14">
        <f>IF(OR(A22="",C22="",F22="",G22="",I22="",J22=""),"",IF(F22="股票期权",MAX(0,(J22-K22)*I22),IF(F22="限制性股票",IF(OR(L22="",M22="",M22&lt;=0,N22=""),"",MAX(0,((L22+J22)/2)*I22-N22*I22/M22)),MAX(0,O22))))</f>
        <v/>
      </c>
      <c r="T22" s="14">
        <f>IF(S22="","",SUMIFS($S$2:$S$501,$C$2:$C$501,C22,$H$2:$H$501,H22,$G$2:$G$501,"&lt;"&amp;G22)+SUMIFS($S$2:$S$501,$C$2:$C$501,C22,$H$2:$H$501,H22,$G$2:$G$501,G22,$A$2:$A$501,"&lt;"&amp;A22))</f>
        <v/>
      </c>
      <c r="U22" s="14">
        <f>IF(S22="","",T22+S22)</f>
        <v/>
      </c>
      <c r="V22" s="15">
        <f>IF(U22="","",VLOOKUP(U22,'税率及规则'!$A$2:$C$8,2,TRUE))</f>
        <v/>
      </c>
      <c r="W22" s="14">
        <f>IF(U22="","",VLOOKUP(U22,'税率及规则'!$A$2:$C$8,3,TRUE))</f>
        <v/>
      </c>
      <c r="X22" s="14">
        <f>IF(U22="","",MAX(0,U22*V22-W22))</f>
        <v/>
      </c>
      <c r="Y22" s="14">
        <f>IF(T22="","",MAX(0,T22*VLOOKUP(T22,'税率及规则'!$A$2:$C$8,2,TRUE)-VLOOKUP(T22,'税率及规则'!$A$2:$C$8,3,TRUE)))</f>
        <v/>
      </c>
      <c r="Z22" s="14">
        <f>IF(X22="","",MAX(0,X22-Y22))</f>
        <v/>
      </c>
      <c r="AA22" s="16">
        <f>IF(G22="","",G22)</f>
        <v/>
      </c>
      <c r="AB22" s="16">
        <f>IF(AA22="","",EDATE(AA22,36))</f>
        <v/>
      </c>
      <c r="AC22" s="6">
        <f>IF(A22="","",IF(COUNTIF($A$2:$A$501,A22)&gt;1,"异常：事件编号重复",IF(OR(C22="",D22="",E22="",F22="",G22="",I22="",J22=""),"异常：必填项缺失",IF(OR(I22&lt;=0,J22&lt;0),"异常：数量或价格无效",IF(AND(F22="限制性股票",OR(M22&lt;=0,N22&lt;0,I22&gt;M22)),"异常：个人获授或出资数据无效",IF(AND(F22="股票期权",K22&lt;&gt;IF(G22&lt;DATE(2025,1,10),14.56,IF(G22&lt;DATE(2025,4,29),14.32,IF(G22&lt;DATE(2025,9,26),14.18,14.04)))),"异常：行权价格区间不符",IF(Q22&lt;&gt;"已备案","提示：未确认备案","正常")))))))</f>
        <v/>
      </c>
      <c r="AD22" s="11" t="n"/>
    </row>
    <row r="23">
      <c r="A23" s="11" t="n"/>
      <c r="B23" s="6">
        <f>IF(A23="","",A23&amp;"-TAX")</f>
        <v/>
      </c>
      <c r="C23" s="11" t="n"/>
      <c r="D23" s="11" t="n"/>
      <c r="E23" s="11" t="n"/>
      <c r="F23" s="11" t="n"/>
      <c r="G23" s="12" t="n"/>
      <c r="H23" s="6">
        <f>IF(G23="","",YEAR(G23))</f>
        <v/>
      </c>
      <c r="I23" s="11" t="n"/>
      <c r="J23" s="13" t="n"/>
      <c r="K23" s="14">
        <f>IF(F23="股票期权",IF(G23="","",IF(G23&lt;DATE(2025,1,10),14.56,IF(G23&lt;DATE(2025,4,29),14.32,IF(G23&lt;DATE(2025,9,26),14.18,14.04)))),IF(F23="限制性股票",8.68,""))</f>
        <v/>
      </c>
      <c r="L23" s="14">
        <f>IF(F23="限制性股票",13.06,"")</f>
        <v/>
      </c>
      <c r="M23" s="11" t="n"/>
      <c r="N23" s="13" t="n"/>
      <c r="O23" s="13" t="n"/>
      <c r="P23" s="12" t="n"/>
      <c r="Q23" s="11" t="n"/>
      <c r="R23" s="12" t="n"/>
      <c r="S23" s="14">
        <f>IF(OR(A23="",C23="",F23="",G23="",I23="",J23=""),"",IF(F23="股票期权",MAX(0,(J23-K23)*I23),IF(F23="限制性股票",IF(OR(L23="",M23="",M23&lt;=0,N23=""),"",MAX(0,((L23+J23)/2)*I23-N23*I23/M23)),MAX(0,O23))))</f>
        <v/>
      </c>
      <c r="T23" s="14">
        <f>IF(S23="","",SUMIFS($S$2:$S$501,$C$2:$C$501,C23,$H$2:$H$501,H23,$G$2:$G$501,"&lt;"&amp;G23)+SUMIFS($S$2:$S$501,$C$2:$C$501,C23,$H$2:$H$501,H23,$G$2:$G$501,G23,$A$2:$A$501,"&lt;"&amp;A23))</f>
        <v/>
      </c>
      <c r="U23" s="14">
        <f>IF(S23="","",T23+S23)</f>
        <v/>
      </c>
      <c r="V23" s="15">
        <f>IF(U23="","",VLOOKUP(U23,'税率及规则'!$A$2:$C$8,2,TRUE))</f>
        <v/>
      </c>
      <c r="W23" s="14">
        <f>IF(U23="","",VLOOKUP(U23,'税率及规则'!$A$2:$C$8,3,TRUE))</f>
        <v/>
      </c>
      <c r="X23" s="14">
        <f>IF(U23="","",MAX(0,U23*V23-W23))</f>
        <v/>
      </c>
      <c r="Y23" s="14">
        <f>IF(T23="","",MAX(0,T23*VLOOKUP(T23,'税率及规则'!$A$2:$C$8,2,TRUE)-VLOOKUP(T23,'税率及规则'!$A$2:$C$8,3,TRUE)))</f>
        <v/>
      </c>
      <c r="Z23" s="14">
        <f>IF(X23="","",MAX(0,X23-Y23))</f>
        <v/>
      </c>
      <c r="AA23" s="16">
        <f>IF(G23="","",G23)</f>
        <v/>
      </c>
      <c r="AB23" s="16">
        <f>IF(AA23="","",EDATE(AA23,36))</f>
        <v/>
      </c>
      <c r="AC23" s="6">
        <f>IF(A23="","",IF(COUNTIF($A$2:$A$501,A23)&gt;1,"异常：事件编号重复",IF(OR(C23="",D23="",E23="",F23="",G23="",I23="",J23=""),"异常：必填项缺失",IF(OR(I23&lt;=0,J23&lt;0),"异常：数量或价格无效",IF(AND(F23="限制性股票",OR(M23&lt;=0,N23&lt;0,I23&gt;M23)),"异常：个人获授或出资数据无效",IF(AND(F23="股票期权",K23&lt;&gt;IF(G23&lt;DATE(2025,1,10),14.56,IF(G23&lt;DATE(2025,4,29),14.32,IF(G23&lt;DATE(2025,9,26),14.18,14.04)))),"异常：行权价格区间不符",IF(Q23&lt;&gt;"已备案","提示：未确认备案","正常")))))))</f>
        <v/>
      </c>
      <c r="AD23" s="11" t="n"/>
    </row>
    <row r="24">
      <c r="A24" s="11" t="n"/>
      <c r="B24" s="6">
        <f>IF(A24="","",A24&amp;"-TAX")</f>
        <v/>
      </c>
      <c r="C24" s="11" t="n"/>
      <c r="D24" s="11" t="n"/>
      <c r="E24" s="11" t="n"/>
      <c r="F24" s="11" t="n"/>
      <c r="G24" s="12" t="n"/>
      <c r="H24" s="6">
        <f>IF(G24="","",YEAR(G24))</f>
        <v/>
      </c>
      <c r="I24" s="11" t="n"/>
      <c r="J24" s="13" t="n"/>
      <c r="K24" s="14">
        <f>IF(F24="股票期权",IF(G24="","",IF(G24&lt;DATE(2025,1,10),14.56,IF(G24&lt;DATE(2025,4,29),14.32,IF(G24&lt;DATE(2025,9,26),14.18,14.04)))),IF(F24="限制性股票",8.68,""))</f>
        <v/>
      </c>
      <c r="L24" s="14">
        <f>IF(F24="限制性股票",13.06,"")</f>
        <v/>
      </c>
      <c r="M24" s="11" t="n"/>
      <c r="N24" s="13" t="n"/>
      <c r="O24" s="13" t="n"/>
      <c r="P24" s="12" t="n"/>
      <c r="Q24" s="11" t="n"/>
      <c r="R24" s="12" t="n"/>
      <c r="S24" s="14">
        <f>IF(OR(A24="",C24="",F24="",G24="",I24="",J24=""),"",IF(F24="股票期权",MAX(0,(J24-K24)*I24),IF(F24="限制性股票",IF(OR(L24="",M24="",M24&lt;=0,N24=""),"",MAX(0,((L24+J24)/2)*I24-N24*I24/M24)),MAX(0,O24))))</f>
        <v/>
      </c>
      <c r="T24" s="14">
        <f>IF(S24="","",SUMIFS($S$2:$S$501,$C$2:$C$501,C24,$H$2:$H$501,H24,$G$2:$G$501,"&lt;"&amp;G24)+SUMIFS($S$2:$S$501,$C$2:$C$501,C24,$H$2:$H$501,H24,$G$2:$G$501,G24,$A$2:$A$501,"&lt;"&amp;A24))</f>
        <v/>
      </c>
      <c r="U24" s="14">
        <f>IF(S24="","",T24+S24)</f>
        <v/>
      </c>
      <c r="V24" s="15">
        <f>IF(U24="","",VLOOKUP(U24,'税率及规则'!$A$2:$C$8,2,TRUE))</f>
        <v/>
      </c>
      <c r="W24" s="14">
        <f>IF(U24="","",VLOOKUP(U24,'税率及规则'!$A$2:$C$8,3,TRUE))</f>
        <v/>
      </c>
      <c r="X24" s="14">
        <f>IF(U24="","",MAX(0,U24*V24-W24))</f>
        <v/>
      </c>
      <c r="Y24" s="14">
        <f>IF(T24="","",MAX(0,T24*VLOOKUP(T24,'税率及规则'!$A$2:$C$8,2,TRUE)-VLOOKUP(T24,'税率及规则'!$A$2:$C$8,3,TRUE)))</f>
        <v/>
      </c>
      <c r="Z24" s="14">
        <f>IF(X24="","",MAX(0,X24-Y24))</f>
        <v/>
      </c>
      <c r="AA24" s="16">
        <f>IF(G24="","",G24)</f>
        <v/>
      </c>
      <c r="AB24" s="16">
        <f>IF(AA24="","",EDATE(AA24,36))</f>
        <v/>
      </c>
      <c r="AC24" s="6">
        <f>IF(A24="","",IF(COUNTIF($A$2:$A$501,A24)&gt;1,"异常：事件编号重复",IF(OR(C24="",D24="",E24="",F24="",G24="",I24="",J24=""),"异常：必填项缺失",IF(OR(I24&lt;=0,J24&lt;0),"异常：数量或价格无效",IF(AND(F24="限制性股票",OR(M24&lt;=0,N24&lt;0,I24&gt;M24)),"异常：个人获授或出资数据无效",IF(AND(F24="股票期权",K24&lt;&gt;IF(G24&lt;DATE(2025,1,10),14.56,IF(G24&lt;DATE(2025,4,29),14.32,IF(G24&lt;DATE(2025,9,26),14.18,14.04)))),"异常：行权价格区间不符",IF(Q24&lt;&gt;"已备案","提示：未确认备案","正常")))))))</f>
        <v/>
      </c>
      <c r="AD24" s="11" t="n"/>
    </row>
    <row r="25">
      <c r="A25" s="11" t="n"/>
      <c r="B25" s="6">
        <f>IF(A25="","",A25&amp;"-TAX")</f>
        <v/>
      </c>
      <c r="C25" s="11" t="n"/>
      <c r="D25" s="11" t="n"/>
      <c r="E25" s="11" t="n"/>
      <c r="F25" s="11" t="n"/>
      <c r="G25" s="12" t="n"/>
      <c r="H25" s="6">
        <f>IF(G25="","",YEAR(G25))</f>
        <v/>
      </c>
      <c r="I25" s="11" t="n"/>
      <c r="J25" s="13" t="n"/>
      <c r="K25" s="14">
        <f>IF(F25="股票期权",IF(G25="","",IF(G25&lt;DATE(2025,1,10),14.56,IF(G25&lt;DATE(2025,4,29),14.32,IF(G25&lt;DATE(2025,9,26),14.18,14.04)))),IF(F25="限制性股票",8.68,""))</f>
        <v/>
      </c>
      <c r="L25" s="14">
        <f>IF(F25="限制性股票",13.06,"")</f>
        <v/>
      </c>
      <c r="M25" s="11" t="n"/>
      <c r="N25" s="13" t="n"/>
      <c r="O25" s="13" t="n"/>
      <c r="P25" s="12" t="n"/>
      <c r="Q25" s="11" t="n"/>
      <c r="R25" s="12" t="n"/>
      <c r="S25" s="14">
        <f>IF(OR(A25="",C25="",F25="",G25="",I25="",J25=""),"",IF(F25="股票期权",MAX(0,(J25-K25)*I25),IF(F25="限制性股票",IF(OR(L25="",M25="",M25&lt;=0,N25=""),"",MAX(0,((L25+J25)/2)*I25-N25*I25/M25)),MAX(0,O25))))</f>
        <v/>
      </c>
      <c r="T25" s="14">
        <f>IF(S25="","",SUMIFS($S$2:$S$501,$C$2:$C$501,C25,$H$2:$H$501,H25,$G$2:$G$501,"&lt;"&amp;G25)+SUMIFS($S$2:$S$501,$C$2:$C$501,C25,$H$2:$H$501,H25,$G$2:$G$501,G25,$A$2:$A$501,"&lt;"&amp;A25))</f>
        <v/>
      </c>
      <c r="U25" s="14">
        <f>IF(S25="","",T25+S25)</f>
        <v/>
      </c>
      <c r="V25" s="15">
        <f>IF(U25="","",VLOOKUP(U25,'税率及规则'!$A$2:$C$8,2,TRUE))</f>
        <v/>
      </c>
      <c r="W25" s="14">
        <f>IF(U25="","",VLOOKUP(U25,'税率及规则'!$A$2:$C$8,3,TRUE))</f>
        <v/>
      </c>
      <c r="X25" s="14">
        <f>IF(U25="","",MAX(0,U25*V25-W25))</f>
        <v/>
      </c>
      <c r="Y25" s="14">
        <f>IF(T25="","",MAX(0,T25*VLOOKUP(T25,'税率及规则'!$A$2:$C$8,2,TRUE)-VLOOKUP(T25,'税率及规则'!$A$2:$C$8,3,TRUE)))</f>
        <v/>
      </c>
      <c r="Z25" s="14">
        <f>IF(X25="","",MAX(0,X25-Y25))</f>
        <v/>
      </c>
      <c r="AA25" s="16">
        <f>IF(G25="","",G25)</f>
        <v/>
      </c>
      <c r="AB25" s="16">
        <f>IF(AA25="","",EDATE(AA25,36))</f>
        <v/>
      </c>
      <c r="AC25" s="6">
        <f>IF(A25="","",IF(COUNTIF($A$2:$A$501,A25)&gt;1,"异常：事件编号重复",IF(OR(C25="",D25="",E25="",F25="",G25="",I25="",J25=""),"异常：必填项缺失",IF(OR(I25&lt;=0,J25&lt;0),"异常：数量或价格无效",IF(AND(F25="限制性股票",OR(M25&lt;=0,N25&lt;0,I25&gt;M25)),"异常：个人获授或出资数据无效",IF(AND(F25="股票期权",K25&lt;&gt;IF(G25&lt;DATE(2025,1,10),14.56,IF(G25&lt;DATE(2025,4,29),14.32,IF(G25&lt;DATE(2025,9,26),14.18,14.04)))),"异常：行权价格区间不符",IF(Q25&lt;&gt;"已备案","提示：未确认备案","正常")))))))</f>
        <v/>
      </c>
      <c r="AD25" s="11" t="n"/>
    </row>
    <row r="26">
      <c r="A26" s="11" t="n"/>
      <c r="B26" s="6">
        <f>IF(A26="","",A26&amp;"-TAX")</f>
        <v/>
      </c>
      <c r="C26" s="11" t="n"/>
      <c r="D26" s="11" t="n"/>
      <c r="E26" s="11" t="n"/>
      <c r="F26" s="11" t="n"/>
      <c r="G26" s="12" t="n"/>
      <c r="H26" s="6">
        <f>IF(G26="","",YEAR(G26))</f>
        <v/>
      </c>
      <c r="I26" s="11" t="n"/>
      <c r="J26" s="13" t="n"/>
      <c r="K26" s="14">
        <f>IF(F26="股票期权",IF(G26="","",IF(G26&lt;DATE(2025,1,10),14.56,IF(G26&lt;DATE(2025,4,29),14.32,IF(G26&lt;DATE(2025,9,26),14.18,14.04)))),IF(F26="限制性股票",8.68,""))</f>
        <v/>
      </c>
      <c r="L26" s="14">
        <f>IF(F26="限制性股票",13.06,"")</f>
        <v/>
      </c>
      <c r="M26" s="11" t="n"/>
      <c r="N26" s="13" t="n"/>
      <c r="O26" s="13" t="n"/>
      <c r="P26" s="12" t="n"/>
      <c r="Q26" s="11" t="n"/>
      <c r="R26" s="12" t="n"/>
      <c r="S26" s="14">
        <f>IF(OR(A26="",C26="",F26="",G26="",I26="",J26=""),"",IF(F26="股票期权",MAX(0,(J26-K26)*I26),IF(F26="限制性股票",IF(OR(L26="",M26="",M26&lt;=0,N26=""),"",MAX(0,((L26+J26)/2)*I26-N26*I26/M26)),MAX(0,O26))))</f>
        <v/>
      </c>
      <c r="T26" s="14">
        <f>IF(S26="","",SUMIFS($S$2:$S$501,$C$2:$C$501,C26,$H$2:$H$501,H26,$G$2:$G$501,"&lt;"&amp;G26)+SUMIFS($S$2:$S$501,$C$2:$C$501,C26,$H$2:$H$501,H26,$G$2:$G$501,G26,$A$2:$A$501,"&lt;"&amp;A26))</f>
        <v/>
      </c>
      <c r="U26" s="14">
        <f>IF(S26="","",T26+S26)</f>
        <v/>
      </c>
      <c r="V26" s="15">
        <f>IF(U26="","",VLOOKUP(U26,'税率及规则'!$A$2:$C$8,2,TRUE))</f>
        <v/>
      </c>
      <c r="W26" s="14">
        <f>IF(U26="","",VLOOKUP(U26,'税率及规则'!$A$2:$C$8,3,TRUE))</f>
        <v/>
      </c>
      <c r="X26" s="14">
        <f>IF(U26="","",MAX(0,U26*V26-W26))</f>
        <v/>
      </c>
      <c r="Y26" s="14">
        <f>IF(T26="","",MAX(0,T26*VLOOKUP(T26,'税率及规则'!$A$2:$C$8,2,TRUE)-VLOOKUP(T26,'税率及规则'!$A$2:$C$8,3,TRUE)))</f>
        <v/>
      </c>
      <c r="Z26" s="14">
        <f>IF(X26="","",MAX(0,X26-Y26))</f>
        <v/>
      </c>
      <c r="AA26" s="16">
        <f>IF(G26="","",G26)</f>
        <v/>
      </c>
      <c r="AB26" s="16">
        <f>IF(AA26="","",EDATE(AA26,36))</f>
        <v/>
      </c>
      <c r="AC26" s="6">
        <f>IF(A26="","",IF(COUNTIF($A$2:$A$501,A26)&gt;1,"异常：事件编号重复",IF(OR(C26="",D26="",E26="",F26="",G26="",I26="",J26=""),"异常：必填项缺失",IF(OR(I26&lt;=0,J26&lt;0),"异常：数量或价格无效",IF(AND(F26="限制性股票",OR(M26&lt;=0,N26&lt;0,I26&gt;M26)),"异常：个人获授或出资数据无效",IF(AND(F26="股票期权",K26&lt;&gt;IF(G26&lt;DATE(2025,1,10),14.56,IF(G26&lt;DATE(2025,4,29),14.32,IF(G26&lt;DATE(2025,9,26),14.18,14.04)))),"异常：行权价格区间不符",IF(Q26&lt;&gt;"已备案","提示：未确认备案","正常")))))))</f>
        <v/>
      </c>
      <c r="AD26" s="11" t="n"/>
    </row>
    <row r="27">
      <c r="A27" s="11" t="n"/>
      <c r="B27" s="6">
        <f>IF(A27="","",A27&amp;"-TAX")</f>
        <v/>
      </c>
      <c r="C27" s="11" t="n"/>
      <c r="D27" s="11" t="n"/>
      <c r="E27" s="11" t="n"/>
      <c r="F27" s="11" t="n"/>
      <c r="G27" s="12" t="n"/>
      <c r="H27" s="6">
        <f>IF(G27="","",YEAR(G27))</f>
        <v/>
      </c>
      <c r="I27" s="11" t="n"/>
      <c r="J27" s="13" t="n"/>
      <c r="K27" s="14">
        <f>IF(F27="股票期权",IF(G27="","",IF(G27&lt;DATE(2025,1,10),14.56,IF(G27&lt;DATE(2025,4,29),14.32,IF(G27&lt;DATE(2025,9,26),14.18,14.04)))),IF(F27="限制性股票",8.68,""))</f>
        <v/>
      </c>
      <c r="L27" s="14">
        <f>IF(F27="限制性股票",13.06,"")</f>
        <v/>
      </c>
      <c r="M27" s="11" t="n"/>
      <c r="N27" s="13" t="n"/>
      <c r="O27" s="13" t="n"/>
      <c r="P27" s="12" t="n"/>
      <c r="Q27" s="11" t="n"/>
      <c r="R27" s="12" t="n"/>
      <c r="S27" s="14">
        <f>IF(OR(A27="",C27="",F27="",G27="",I27="",J27=""),"",IF(F27="股票期权",MAX(0,(J27-K27)*I27),IF(F27="限制性股票",IF(OR(L27="",M27="",M27&lt;=0,N27=""),"",MAX(0,((L27+J27)/2)*I27-N27*I27/M27)),MAX(0,O27))))</f>
        <v/>
      </c>
      <c r="T27" s="14">
        <f>IF(S27="","",SUMIFS($S$2:$S$501,$C$2:$C$501,C27,$H$2:$H$501,H27,$G$2:$G$501,"&lt;"&amp;G27)+SUMIFS($S$2:$S$501,$C$2:$C$501,C27,$H$2:$H$501,H27,$G$2:$G$501,G27,$A$2:$A$501,"&lt;"&amp;A27))</f>
        <v/>
      </c>
      <c r="U27" s="14">
        <f>IF(S27="","",T27+S27)</f>
        <v/>
      </c>
      <c r="V27" s="15">
        <f>IF(U27="","",VLOOKUP(U27,'税率及规则'!$A$2:$C$8,2,TRUE))</f>
        <v/>
      </c>
      <c r="W27" s="14">
        <f>IF(U27="","",VLOOKUP(U27,'税率及规则'!$A$2:$C$8,3,TRUE))</f>
        <v/>
      </c>
      <c r="X27" s="14">
        <f>IF(U27="","",MAX(0,U27*V27-W27))</f>
        <v/>
      </c>
      <c r="Y27" s="14">
        <f>IF(T27="","",MAX(0,T27*VLOOKUP(T27,'税率及规则'!$A$2:$C$8,2,TRUE)-VLOOKUP(T27,'税率及规则'!$A$2:$C$8,3,TRUE)))</f>
        <v/>
      </c>
      <c r="Z27" s="14">
        <f>IF(X27="","",MAX(0,X27-Y27))</f>
        <v/>
      </c>
      <c r="AA27" s="16">
        <f>IF(G27="","",G27)</f>
        <v/>
      </c>
      <c r="AB27" s="16">
        <f>IF(AA27="","",EDATE(AA27,36))</f>
        <v/>
      </c>
      <c r="AC27" s="6">
        <f>IF(A27="","",IF(COUNTIF($A$2:$A$501,A27)&gt;1,"异常：事件编号重复",IF(OR(C27="",D27="",E27="",F27="",G27="",I27="",J27=""),"异常：必填项缺失",IF(OR(I27&lt;=0,J27&lt;0),"异常：数量或价格无效",IF(AND(F27="限制性股票",OR(M27&lt;=0,N27&lt;0,I27&gt;M27)),"异常：个人获授或出资数据无效",IF(AND(F27="股票期权",K27&lt;&gt;IF(G27&lt;DATE(2025,1,10),14.56,IF(G27&lt;DATE(2025,4,29),14.32,IF(G27&lt;DATE(2025,9,26),14.18,14.04)))),"异常：行权价格区间不符",IF(Q27&lt;&gt;"已备案","提示：未确认备案","正常")))))))</f>
        <v/>
      </c>
      <c r="AD27" s="11" t="n"/>
    </row>
    <row r="28">
      <c r="A28" s="11" t="n"/>
      <c r="B28" s="6">
        <f>IF(A28="","",A28&amp;"-TAX")</f>
        <v/>
      </c>
      <c r="C28" s="11" t="n"/>
      <c r="D28" s="11" t="n"/>
      <c r="E28" s="11" t="n"/>
      <c r="F28" s="11" t="n"/>
      <c r="G28" s="12" t="n"/>
      <c r="H28" s="6">
        <f>IF(G28="","",YEAR(G28))</f>
        <v/>
      </c>
      <c r="I28" s="11" t="n"/>
      <c r="J28" s="13" t="n"/>
      <c r="K28" s="14">
        <f>IF(F28="股票期权",IF(G28="","",IF(G28&lt;DATE(2025,1,10),14.56,IF(G28&lt;DATE(2025,4,29),14.32,IF(G28&lt;DATE(2025,9,26),14.18,14.04)))),IF(F28="限制性股票",8.68,""))</f>
        <v/>
      </c>
      <c r="L28" s="14">
        <f>IF(F28="限制性股票",13.06,"")</f>
        <v/>
      </c>
      <c r="M28" s="11" t="n"/>
      <c r="N28" s="13" t="n"/>
      <c r="O28" s="13" t="n"/>
      <c r="P28" s="12" t="n"/>
      <c r="Q28" s="11" t="n"/>
      <c r="R28" s="12" t="n"/>
      <c r="S28" s="14">
        <f>IF(OR(A28="",C28="",F28="",G28="",I28="",J28=""),"",IF(F28="股票期权",MAX(0,(J28-K28)*I28),IF(F28="限制性股票",IF(OR(L28="",M28="",M28&lt;=0,N28=""),"",MAX(0,((L28+J28)/2)*I28-N28*I28/M28)),MAX(0,O28))))</f>
        <v/>
      </c>
      <c r="T28" s="14">
        <f>IF(S28="","",SUMIFS($S$2:$S$501,$C$2:$C$501,C28,$H$2:$H$501,H28,$G$2:$G$501,"&lt;"&amp;G28)+SUMIFS($S$2:$S$501,$C$2:$C$501,C28,$H$2:$H$501,H28,$G$2:$G$501,G28,$A$2:$A$501,"&lt;"&amp;A28))</f>
        <v/>
      </c>
      <c r="U28" s="14">
        <f>IF(S28="","",T28+S28)</f>
        <v/>
      </c>
      <c r="V28" s="15">
        <f>IF(U28="","",VLOOKUP(U28,'税率及规则'!$A$2:$C$8,2,TRUE))</f>
        <v/>
      </c>
      <c r="W28" s="14">
        <f>IF(U28="","",VLOOKUP(U28,'税率及规则'!$A$2:$C$8,3,TRUE))</f>
        <v/>
      </c>
      <c r="X28" s="14">
        <f>IF(U28="","",MAX(0,U28*V28-W28))</f>
        <v/>
      </c>
      <c r="Y28" s="14">
        <f>IF(T28="","",MAX(0,T28*VLOOKUP(T28,'税率及规则'!$A$2:$C$8,2,TRUE)-VLOOKUP(T28,'税率及规则'!$A$2:$C$8,3,TRUE)))</f>
        <v/>
      </c>
      <c r="Z28" s="14">
        <f>IF(X28="","",MAX(0,X28-Y28))</f>
        <v/>
      </c>
      <c r="AA28" s="16">
        <f>IF(G28="","",G28)</f>
        <v/>
      </c>
      <c r="AB28" s="16">
        <f>IF(AA28="","",EDATE(AA28,36))</f>
        <v/>
      </c>
      <c r="AC28" s="6">
        <f>IF(A28="","",IF(COUNTIF($A$2:$A$501,A28)&gt;1,"异常：事件编号重复",IF(OR(C28="",D28="",E28="",F28="",G28="",I28="",J28=""),"异常：必填项缺失",IF(OR(I28&lt;=0,J28&lt;0),"异常：数量或价格无效",IF(AND(F28="限制性股票",OR(M28&lt;=0,N28&lt;0,I28&gt;M28)),"异常：个人获授或出资数据无效",IF(AND(F28="股票期权",K28&lt;&gt;IF(G28&lt;DATE(2025,1,10),14.56,IF(G28&lt;DATE(2025,4,29),14.32,IF(G28&lt;DATE(2025,9,26),14.18,14.04)))),"异常：行权价格区间不符",IF(Q28&lt;&gt;"已备案","提示：未确认备案","正常")))))))</f>
        <v/>
      </c>
      <c r="AD28" s="11" t="n"/>
    </row>
    <row r="29">
      <c r="A29" s="11" t="n"/>
      <c r="B29" s="6">
        <f>IF(A29="","",A29&amp;"-TAX")</f>
        <v/>
      </c>
      <c r="C29" s="11" t="n"/>
      <c r="D29" s="11" t="n"/>
      <c r="E29" s="11" t="n"/>
      <c r="F29" s="11" t="n"/>
      <c r="G29" s="12" t="n"/>
      <c r="H29" s="6">
        <f>IF(G29="","",YEAR(G29))</f>
        <v/>
      </c>
      <c r="I29" s="11" t="n"/>
      <c r="J29" s="13" t="n"/>
      <c r="K29" s="14">
        <f>IF(F29="股票期权",IF(G29="","",IF(G29&lt;DATE(2025,1,10),14.56,IF(G29&lt;DATE(2025,4,29),14.32,IF(G29&lt;DATE(2025,9,26),14.18,14.04)))),IF(F29="限制性股票",8.68,""))</f>
        <v/>
      </c>
      <c r="L29" s="14">
        <f>IF(F29="限制性股票",13.06,"")</f>
        <v/>
      </c>
      <c r="M29" s="11" t="n"/>
      <c r="N29" s="13" t="n"/>
      <c r="O29" s="13" t="n"/>
      <c r="P29" s="12" t="n"/>
      <c r="Q29" s="11" t="n"/>
      <c r="R29" s="12" t="n"/>
      <c r="S29" s="14">
        <f>IF(OR(A29="",C29="",F29="",G29="",I29="",J29=""),"",IF(F29="股票期权",MAX(0,(J29-K29)*I29),IF(F29="限制性股票",IF(OR(L29="",M29="",M29&lt;=0,N29=""),"",MAX(0,((L29+J29)/2)*I29-N29*I29/M29)),MAX(0,O29))))</f>
        <v/>
      </c>
      <c r="T29" s="14">
        <f>IF(S29="","",SUMIFS($S$2:$S$501,$C$2:$C$501,C29,$H$2:$H$501,H29,$G$2:$G$501,"&lt;"&amp;G29)+SUMIFS($S$2:$S$501,$C$2:$C$501,C29,$H$2:$H$501,H29,$G$2:$G$501,G29,$A$2:$A$501,"&lt;"&amp;A29))</f>
        <v/>
      </c>
      <c r="U29" s="14">
        <f>IF(S29="","",T29+S29)</f>
        <v/>
      </c>
      <c r="V29" s="15">
        <f>IF(U29="","",VLOOKUP(U29,'税率及规则'!$A$2:$C$8,2,TRUE))</f>
        <v/>
      </c>
      <c r="W29" s="14">
        <f>IF(U29="","",VLOOKUP(U29,'税率及规则'!$A$2:$C$8,3,TRUE))</f>
        <v/>
      </c>
      <c r="X29" s="14">
        <f>IF(U29="","",MAX(0,U29*V29-W29))</f>
        <v/>
      </c>
      <c r="Y29" s="14">
        <f>IF(T29="","",MAX(0,T29*VLOOKUP(T29,'税率及规则'!$A$2:$C$8,2,TRUE)-VLOOKUP(T29,'税率及规则'!$A$2:$C$8,3,TRUE)))</f>
        <v/>
      </c>
      <c r="Z29" s="14">
        <f>IF(X29="","",MAX(0,X29-Y29))</f>
        <v/>
      </c>
      <c r="AA29" s="16">
        <f>IF(G29="","",G29)</f>
        <v/>
      </c>
      <c r="AB29" s="16">
        <f>IF(AA29="","",EDATE(AA29,36))</f>
        <v/>
      </c>
      <c r="AC29" s="6">
        <f>IF(A29="","",IF(COUNTIF($A$2:$A$501,A29)&gt;1,"异常：事件编号重复",IF(OR(C29="",D29="",E29="",F29="",G29="",I29="",J29=""),"异常：必填项缺失",IF(OR(I29&lt;=0,J29&lt;0),"异常：数量或价格无效",IF(AND(F29="限制性股票",OR(M29&lt;=0,N29&lt;0,I29&gt;M29)),"异常：个人获授或出资数据无效",IF(AND(F29="股票期权",K29&lt;&gt;IF(G29&lt;DATE(2025,1,10),14.56,IF(G29&lt;DATE(2025,4,29),14.32,IF(G29&lt;DATE(2025,9,26),14.18,14.04)))),"异常：行权价格区间不符",IF(Q29&lt;&gt;"已备案","提示：未确认备案","正常")))))))</f>
        <v/>
      </c>
      <c r="AD29" s="11" t="n"/>
    </row>
    <row r="30">
      <c r="A30" s="11" t="n"/>
      <c r="B30" s="6">
        <f>IF(A30="","",A30&amp;"-TAX")</f>
        <v/>
      </c>
      <c r="C30" s="11" t="n"/>
      <c r="D30" s="11" t="n"/>
      <c r="E30" s="11" t="n"/>
      <c r="F30" s="11" t="n"/>
      <c r="G30" s="12" t="n"/>
      <c r="H30" s="6">
        <f>IF(G30="","",YEAR(G30))</f>
        <v/>
      </c>
      <c r="I30" s="11" t="n"/>
      <c r="J30" s="13" t="n"/>
      <c r="K30" s="14">
        <f>IF(F30="股票期权",IF(G30="","",IF(G30&lt;DATE(2025,1,10),14.56,IF(G30&lt;DATE(2025,4,29),14.32,IF(G30&lt;DATE(2025,9,26),14.18,14.04)))),IF(F30="限制性股票",8.68,""))</f>
        <v/>
      </c>
      <c r="L30" s="14">
        <f>IF(F30="限制性股票",13.06,"")</f>
        <v/>
      </c>
      <c r="M30" s="11" t="n"/>
      <c r="N30" s="13" t="n"/>
      <c r="O30" s="13" t="n"/>
      <c r="P30" s="12" t="n"/>
      <c r="Q30" s="11" t="n"/>
      <c r="R30" s="12" t="n"/>
      <c r="S30" s="14">
        <f>IF(OR(A30="",C30="",F30="",G30="",I30="",J30=""),"",IF(F30="股票期权",MAX(0,(J30-K30)*I30),IF(F30="限制性股票",IF(OR(L30="",M30="",M30&lt;=0,N30=""),"",MAX(0,((L30+J30)/2)*I30-N30*I30/M30)),MAX(0,O30))))</f>
        <v/>
      </c>
      <c r="T30" s="14">
        <f>IF(S30="","",SUMIFS($S$2:$S$501,$C$2:$C$501,C30,$H$2:$H$501,H30,$G$2:$G$501,"&lt;"&amp;G30)+SUMIFS($S$2:$S$501,$C$2:$C$501,C30,$H$2:$H$501,H30,$G$2:$G$501,G30,$A$2:$A$501,"&lt;"&amp;A30))</f>
        <v/>
      </c>
      <c r="U30" s="14">
        <f>IF(S30="","",T30+S30)</f>
        <v/>
      </c>
      <c r="V30" s="15">
        <f>IF(U30="","",VLOOKUP(U30,'税率及规则'!$A$2:$C$8,2,TRUE))</f>
        <v/>
      </c>
      <c r="W30" s="14">
        <f>IF(U30="","",VLOOKUP(U30,'税率及规则'!$A$2:$C$8,3,TRUE))</f>
        <v/>
      </c>
      <c r="X30" s="14">
        <f>IF(U30="","",MAX(0,U30*V30-W30))</f>
        <v/>
      </c>
      <c r="Y30" s="14">
        <f>IF(T30="","",MAX(0,T30*VLOOKUP(T30,'税率及规则'!$A$2:$C$8,2,TRUE)-VLOOKUP(T30,'税率及规则'!$A$2:$C$8,3,TRUE)))</f>
        <v/>
      </c>
      <c r="Z30" s="14">
        <f>IF(X30="","",MAX(0,X30-Y30))</f>
        <v/>
      </c>
      <c r="AA30" s="16">
        <f>IF(G30="","",G30)</f>
        <v/>
      </c>
      <c r="AB30" s="16">
        <f>IF(AA30="","",EDATE(AA30,36))</f>
        <v/>
      </c>
      <c r="AC30" s="6">
        <f>IF(A30="","",IF(COUNTIF($A$2:$A$501,A30)&gt;1,"异常：事件编号重复",IF(OR(C30="",D30="",E30="",F30="",G30="",I30="",J30=""),"异常：必填项缺失",IF(OR(I30&lt;=0,J30&lt;0),"异常：数量或价格无效",IF(AND(F30="限制性股票",OR(M30&lt;=0,N30&lt;0,I30&gt;M30)),"异常：个人获授或出资数据无效",IF(AND(F30="股票期权",K30&lt;&gt;IF(G30&lt;DATE(2025,1,10),14.56,IF(G30&lt;DATE(2025,4,29),14.32,IF(G30&lt;DATE(2025,9,26),14.18,14.04)))),"异常：行权价格区间不符",IF(Q30&lt;&gt;"已备案","提示：未确认备案","正常")))))))</f>
        <v/>
      </c>
      <c r="AD30" s="11" t="n"/>
    </row>
    <row r="31">
      <c r="A31" s="11" t="n"/>
      <c r="B31" s="6">
        <f>IF(A31="","",A31&amp;"-TAX")</f>
        <v/>
      </c>
      <c r="C31" s="11" t="n"/>
      <c r="D31" s="11" t="n"/>
      <c r="E31" s="11" t="n"/>
      <c r="F31" s="11" t="n"/>
      <c r="G31" s="12" t="n"/>
      <c r="H31" s="6">
        <f>IF(G31="","",YEAR(G31))</f>
        <v/>
      </c>
      <c r="I31" s="11" t="n"/>
      <c r="J31" s="13" t="n"/>
      <c r="K31" s="14">
        <f>IF(F31="股票期权",IF(G31="","",IF(G31&lt;DATE(2025,1,10),14.56,IF(G31&lt;DATE(2025,4,29),14.32,IF(G31&lt;DATE(2025,9,26),14.18,14.04)))),IF(F31="限制性股票",8.68,""))</f>
        <v/>
      </c>
      <c r="L31" s="14">
        <f>IF(F31="限制性股票",13.06,"")</f>
        <v/>
      </c>
      <c r="M31" s="11" t="n"/>
      <c r="N31" s="13" t="n"/>
      <c r="O31" s="13" t="n"/>
      <c r="P31" s="12" t="n"/>
      <c r="Q31" s="11" t="n"/>
      <c r="R31" s="12" t="n"/>
      <c r="S31" s="14">
        <f>IF(OR(A31="",C31="",F31="",G31="",I31="",J31=""),"",IF(F31="股票期权",MAX(0,(J31-K31)*I31),IF(F31="限制性股票",IF(OR(L31="",M31="",M31&lt;=0,N31=""),"",MAX(0,((L31+J31)/2)*I31-N31*I31/M31)),MAX(0,O31))))</f>
        <v/>
      </c>
      <c r="T31" s="14">
        <f>IF(S31="","",SUMIFS($S$2:$S$501,$C$2:$C$501,C31,$H$2:$H$501,H31,$G$2:$G$501,"&lt;"&amp;G31)+SUMIFS($S$2:$S$501,$C$2:$C$501,C31,$H$2:$H$501,H31,$G$2:$G$501,G31,$A$2:$A$501,"&lt;"&amp;A31))</f>
        <v/>
      </c>
      <c r="U31" s="14">
        <f>IF(S31="","",T31+S31)</f>
        <v/>
      </c>
      <c r="V31" s="15">
        <f>IF(U31="","",VLOOKUP(U31,'税率及规则'!$A$2:$C$8,2,TRUE))</f>
        <v/>
      </c>
      <c r="W31" s="14">
        <f>IF(U31="","",VLOOKUP(U31,'税率及规则'!$A$2:$C$8,3,TRUE))</f>
        <v/>
      </c>
      <c r="X31" s="14">
        <f>IF(U31="","",MAX(0,U31*V31-W31))</f>
        <v/>
      </c>
      <c r="Y31" s="14">
        <f>IF(T31="","",MAX(0,T31*VLOOKUP(T31,'税率及规则'!$A$2:$C$8,2,TRUE)-VLOOKUP(T31,'税率及规则'!$A$2:$C$8,3,TRUE)))</f>
        <v/>
      </c>
      <c r="Z31" s="14">
        <f>IF(X31="","",MAX(0,X31-Y31))</f>
        <v/>
      </c>
      <c r="AA31" s="16">
        <f>IF(G31="","",G31)</f>
        <v/>
      </c>
      <c r="AB31" s="16">
        <f>IF(AA31="","",EDATE(AA31,36))</f>
        <v/>
      </c>
      <c r="AC31" s="6">
        <f>IF(A31="","",IF(COUNTIF($A$2:$A$501,A31)&gt;1,"异常：事件编号重复",IF(OR(C31="",D31="",E31="",F31="",G31="",I31="",J31=""),"异常：必填项缺失",IF(OR(I31&lt;=0,J31&lt;0),"异常：数量或价格无效",IF(AND(F31="限制性股票",OR(M31&lt;=0,N31&lt;0,I31&gt;M31)),"异常：个人获授或出资数据无效",IF(AND(F31="股票期权",K31&lt;&gt;IF(G31&lt;DATE(2025,1,10),14.56,IF(G31&lt;DATE(2025,4,29),14.32,IF(G31&lt;DATE(2025,9,26),14.18,14.04)))),"异常：行权价格区间不符",IF(Q31&lt;&gt;"已备案","提示：未确认备案","正常")))))))</f>
        <v/>
      </c>
      <c r="AD31" s="11" t="n"/>
    </row>
    <row r="32">
      <c r="A32" s="11" t="n"/>
      <c r="B32" s="6">
        <f>IF(A32="","",A32&amp;"-TAX")</f>
        <v/>
      </c>
      <c r="C32" s="11" t="n"/>
      <c r="D32" s="11" t="n"/>
      <c r="E32" s="11" t="n"/>
      <c r="F32" s="11" t="n"/>
      <c r="G32" s="12" t="n"/>
      <c r="H32" s="6">
        <f>IF(G32="","",YEAR(G32))</f>
        <v/>
      </c>
      <c r="I32" s="11" t="n"/>
      <c r="J32" s="13" t="n"/>
      <c r="K32" s="14">
        <f>IF(F32="股票期权",IF(G32="","",IF(G32&lt;DATE(2025,1,10),14.56,IF(G32&lt;DATE(2025,4,29),14.32,IF(G32&lt;DATE(2025,9,26),14.18,14.04)))),IF(F32="限制性股票",8.68,""))</f>
        <v/>
      </c>
      <c r="L32" s="14">
        <f>IF(F32="限制性股票",13.06,"")</f>
        <v/>
      </c>
      <c r="M32" s="11" t="n"/>
      <c r="N32" s="13" t="n"/>
      <c r="O32" s="13" t="n"/>
      <c r="P32" s="12" t="n"/>
      <c r="Q32" s="11" t="n"/>
      <c r="R32" s="12" t="n"/>
      <c r="S32" s="14">
        <f>IF(OR(A32="",C32="",F32="",G32="",I32="",J32=""),"",IF(F32="股票期权",MAX(0,(J32-K32)*I32),IF(F32="限制性股票",IF(OR(L32="",M32="",M32&lt;=0,N32=""),"",MAX(0,((L32+J32)/2)*I32-N32*I32/M32)),MAX(0,O32))))</f>
        <v/>
      </c>
      <c r="T32" s="14">
        <f>IF(S32="","",SUMIFS($S$2:$S$501,$C$2:$C$501,C32,$H$2:$H$501,H32,$G$2:$G$501,"&lt;"&amp;G32)+SUMIFS($S$2:$S$501,$C$2:$C$501,C32,$H$2:$H$501,H32,$G$2:$G$501,G32,$A$2:$A$501,"&lt;"&amp;A32))</f>
        <v/>
      </c>
      <c r="U32" s="14">
        <f>IF(S32="","",T32+S32)</f>
        <v/>
      </c>
      <c r="V32" s="15">
        <f>IF(U32="","",VLOOKUP(U32,'税率及规则'!$A$2:$C$8,2,TRUE))</f>
        <v/>
      </c>
      <c r="W32" s="14">
        <f>IF(U32="","",VLOOKUP(U32,'税率及规则'!$A$2:$C$8,3,TRUE))</f>
        <v/>
      </c>
      <c r="X32" s="14">
        <f>IF(U32="","",MAX(0,U32*V32-W32))</f>
        <v/>
      </c>
      <c r="Y32" s="14">
        <f>IF(T32="","",MAX(0,T32*VLOOKUP(T32,'税率及规则'!$A$2:$C$8,2,TRUE)-VLOOKUP(T32,'税率及规则'!$A$2:$C$8,3,TRUE)))</f>
        <v/>
      </c>
      <c r="Z32" s="14">
        <f>IF(X32="","",MAX(0,X32-Y32))</f>
        <v/>
      </c>
      <c r="AA32" s="16">
        <f>IF(G32="","",G32)</f>
        <v/>
      </c>
      <c r="AB32" s="16">
        <f>IF(AA32="","",EDATE(AA32,36))</f>
        <v/>
      </c>
      <c r="AC32" s="6">
        <f>IF(A32="","",IF(COUNTIF($A$2:$A$501,A32)&gt;1,"异常：事件编号重复",IF(OR(C32="",D32="",E32="",F32="",G32="",I32="",J32=""),"异常：必填项缺失",IF(OR(I32&lt;=0,J32&lt;0),"异常：数量或价格无效",IF(AND(F32="限制性股票",OR(M32&lt;=0,N32&lt;0,I32&gt;M32)),"异常：个人获授或出资数据无效",IF(AND(F32="股票期权",K32&lt;&gt;IF(G32&lt;DATE(2025,1,10),14.56,IF(G32&lt;DATE(2025,4,29),14.32,IF(G32&lt;DATE(2025,9,26),14.18,14.04)))),"异常：行权价格区间不符",IF(Q32&lt;&gt;"已备案","提示：未确认备案","正常")))))))</f>
        <v/>
      </c>
      <c r="AD32" s="11" t="n"/>
    </row>
    <row r="33">
      <c r="A33" s="11" t="n"/>
      <c r="B33" s="6">
        <f>IF(A33="","",A33&amp;"-TAX")</f>
        <v/>
      </c>
      <c r="C33" s="11" t="n"/>
      <c r="D33" s="11" t="n"/>
      <c r="E33" s="11" t="n"/>
      <c r="F33" s="11" t="n"/>
      <c r="G33" s="12" t="n"/>
      <c r="H33" s="6">
        <f>IF(G33="","",YEAR(G33))</f>
        <v/>
      </c>
      <c r="I33" s="11" t="n"/>
      <c r="J33" s="13" t="n"/>
      <c r="K33" s="14">
        <f>IF(F33="股票期权",IF(G33="","",IF(G33&lt;DATE(2025,1,10),14.56,IF(G33&lt;DATE(2025,4,29),14.32,IF(G33&lt;DATE(2025,9,26),14.18,14.04)))),IF(F33="限制性股票",8.68,""))</f>
        <v/>
      </c>
      <c r="L33" s="14">
        <f>IF(F33="限制性股票",13.06,"")</f>
        <v/>
      </c>
      <c r="M33" s="11" t="n"/>
      <c r="N33" s="13" t="n"/>
      <c r="O33" s="13" t="n"/>
      <c r="P33" s="12" t="n"/>
      <c r="Q33" s="11" t="n"/>
      <c r="R33" s="12" t="n"/>
      <c r="S33" s="14">
        <f>IF(OR(A33="",C33="",F33="",G33="",I33="",J33=""),"",IF(F33="股票期权",MAX(0,(J33-K33)*I33),IF(F33="限制性股票",IF(OR(L33="",M33="",M33&lt;=0,N33=""),"",MAX(0,((L33+J33)/2)*I33-N33*I33/M33)),MAX(0,O33))))</f>
        <v/>
      </c>
      <c r="T33" s="14">
        <f>IF(S33="","",SUMIFS($S$2:$S$501,$C$2:$C$501,C33,$H$2:$H$501,H33,$G$2:$G$501,"&lt;"&amp;G33)+SUMIFS($S$2:$S$501,$C$2:$C$501,C33,$H$2:$H$501,H33,$G$2:$G$501,G33,$A$2:$A$501,"&lt;"&amp;A33))</f>
        <v/>
      </c>
      <c r="U33" s="14">
        <f>IF(S33="","",T33+S33)</f>
        <v/>
      </c>
      <c r="V33" s="15">
        <f>IF(U33="","",VLOOKUP(U33,'税率及规则'!$A$2:$C$8,2,TRUE))</f>
        <v/>
      </c>
      <c r="W33" s="14">
        <f>IF(U33="","",VLOOKUP(U33,'税率及规则'!$A$2:$C$8,3,TRUE))</f>
        <v/>
      </c>
      <c r="X33" s="14">
        <f>IF(U33="","",MAX(0,U33*V33-W33))</f>
        <v/>
      </c>
      <c r="Y33" s="14">
        <f>IF(T33="","",MAX(0,T33*VLOOKUP(T33,'税率及规则'!$A$2:$C$8,2,TRUE)-VLOOKUP(T33,'税率及规则'!$A$2:$C$8,3,TRUE)))</f>
        <v/>
      </c>
      <c r="Z33" s="14">
        <f>IF(X33="","",MAX(0,X33-Y33))</f>
        <v/>
      </c>
      <c r="AA33" s="16">
        <f>IF(G33="","",G33)</f>
        <v/>
      </c>
      <c r="AB33" s="16">
        <f>IF(AA33="","",EDATE(AA33,36))</f>
        <v/>
      </c>
      <c r="AC33" s="6">
        <f>IF(A33="","",IF(COUNTIF($A$2:$A$501,A33)&gt;1,"异常：事件编号重复",IF(OR(C33="",D33="",E33="",F33="",G33="",I33="",J33=""),"异常：必填项缺失",IF(OR(I33&lt;=0,J33&lt;0),"异常：数量或价格无效",IF(AND(F33="限制性股票",OR(M33&lt;=0,N33&lt;0,I33&gt;M33)),"异常：个人获授或出资数据无效",IF(AND(F33="股票期权",K33&lt;&gt;IF(G33&lt;DATE(2025,1,10),14.56,IF(G33&lt;DATE(2025,4,29),14.32,IF(G33&lt;DATE(2025,9,26),14.18,14.04)))),"异常：行权价格区间不符",IF(Q33&lt;&gt;"已备案","提示：未确认备案","正常")))))))</f>
        <v/>
      </c>
      <c r="AD33" s="11" t="n"/>
    </row>
    <row r="34">
      <c r="A34" s="11" t="n"/>
      <c r="B34" s="6">
        <f>IF(A34="","",A34&amp;"-TAX")</f>
        <v/>
      </c>
      <c r="C34" s="11" t="n"/>
      <c r="D34" s="11" t="n"/>
      <c r="E34" s="11" t="n"/>
      <c r="F34" s="11" t="n"/>
      <c r="G34" s="12" t="n"/>
      <c r="H34" s="6">
        <f>IF(G34="","",YEAR(G34))</f>
        <v/>
      </c>
      <c r="I34" s="11" t="n"/>
      <c r="J34" s="13" t="n"/>
      <c r="K34" s="14">
        <f>IF(F34="股票期权",IF(G34="","",IF(G34&lt;DATE(2025,1,10),14.56,IF(G34&lt;DATE(2025,4,29),14.32,IF(G34&lt;DATE(2025,9,26),14.18,14.04)))),IF(F34="限制性股票",8.68,""))</f>
        <v/>
      </c>
      <c r="L34" s="14">
        <f>IF(F34="限制性股票",13.06,"")</f>
        <v/>
      </c>
      <c r="M34" s="11" t="n"/>
      <c r="N34" s="13" t="n"/>
      <c r="O34" s="13" t="n"/>
      <c r="P34" s="12" t="n"/>
      <c r="Q34" s="11" t="n"/>
      <c r="R34" s="12" t="n"/>
      <c r="S34" s="14">
        <f>IF(OR(A34="",C34="",F34="",G34="",I34="",J34=""),"",IF(F34="股票期权",MAX(0,(J34-K34)*I34),IF(F34="限制性股票",IF(OR(L34="",M34="",M34&lt;=0,N34=""),"",MAX(0,((L34+J34)/2)*I34-N34*I34/M34)),MAX(0,O34))))</f>
        <v/>
      </c>
      <c r="T34" s="14">
        <f>IF(S34="","",SUMIFS($S$2:$S$501,$C$2:$C$501,C34,$H$2:$H$501,H34,$G$2:$G$501,"&lt;"&amp;G34)+SUMIFS($S$2:$S$501,$C$2:$C$501,C34,$H$2:$H$501,H34,$G$2:$G$501,G34,$A$2:$A$501,"&lt;"&amp;A34))</f>
        <v/>
      </c>
      <c r="U34" s="14">
        <f>IF(S34="","",T34+S34)</f>
        <v/>
      </c>
      <c r="V34" s="15">
        <f>IF(U34="","",VLOOKUP(U34,'税率及规则'!$A$2:$C$8,2,TRUE))</f>
        <v/>
      </c>
      <c r="W34" s="14">
        <f>IF(U34="","",VLOOKUP(U34,'税率及规则'!$A$2:$C$8,3,TRUE))</f>
        <v/>
      </c>
      <c r="X34" s="14">
        <f>IF(U34="","",MAX(0,U34*V34-W34))</f>
        <v/>
      </c>
      <c r="Y34" s="14">
        <f>IF(T34="","",MAX(0,T34*VLOOKUP(T34,'税率及规则'!$A$2:$C$8,2,TRUE)-VLOOKUP(T34,'税率及规则'!$A$2:$C$8,3,TRUE)))</f>
        <v/>
      </c>
      <c r="Z34" s="14">
        <f>IF(X34="","",MAX(0,X34-Y34))</f>
        <v/>
      </c>
      <c r="AA34" s="16">
        <f>IF(G34="","",G34)</f>
        <v/>
      </c>
      <c r="AB34" s="16">
        <f>IF(AA34="","",EDATE(AA34,36))</f>
        <v/>
      </c>
      <c r="AC34" s="6">
        <f>IF(A34="","",IF(COUNTIF($A$2:$A$501,A34)&gt;1,"异常：事件编号重复",IF(OR(C34="",D34="",E34="",F34="",G34="",I34="",J34=""),"异常：必填项缺失",IF(OR(I34&lt;=0,J34&lt;0),"异常：数量或价格无效",IF(AND(F34="限制性股票",OR(M34&lt;=0,N34&lt;0,I34&gt;M34)),"异常：个人获授或出资数据无效",IF(AND(F34="股票期权",K34&lt;&gt;IF(G34&lt;DATE(2025,1,10),14.56,IF(G34&lt;DATE(2025,4,29),14.32,IF(G34&lt;DATE(2025,9,26),14.18,14.04)))),"异常：行权价格区间不符",IF(Q34&lt;&gt;"已备案","提示：未确认备案","正常")))))))</f>
        <v/>
      </c>
      <c r="AD34" s="11" t="n"/>
    </row>
    <row r="35">
      <c r="A35" s="11" t="n"/>
      <c r="B35" s="6">
        <f>IF(A35="","",A35&amp;"-TAX")</f>
        <v/>
      </c>
      <c r="C35" s="11" t="n"/>
      <c r="D35" s="11" t="n"/>
      <c r="E35" s="11" t="n"/>
      <c r="F35" s="11" t="n"/>
      <c r="G35" s="12" t="n"/>
      <c r="H35" s="6">
        <f>IF(G35="","",YEAR(G35))</f>
        <v/>
      </c>
      <c r="I35" s="11" t="n"/>
      <c r="J35" s="13" t="n"/>
      <c r="K35" s="14">
        <f>IF(F35="股票期权",IF(G35="","",IF(G35&lt;DATE(2025,1,10),14.56,IF(G35&lt;DATE(2025,4,29),14.32,IF(G35&lt;DATE(2025,9,26),14.18,14.04)))),IF(F35="限制性股票",8.68,""))</f>
        <v/>
      </c>
      <c r="L35" s="14">
        <f>IF(F35="限制性股票",13.06,"")</f>
        <v/>
      </c>
      <c r="M35" s="11" t="n"/>
      <c r="N35" s="13" t="n"/>
      <c r="O35" s="13" t="n"/>
      <c r="P35" s="12" t="n"/>
      <c r="Q35" s="11" t="n"/>
      <c r="R35" s="12" t="n"/>
      <c r="S35" s="14">
        <f>IF(OR(A35="",C35="",F35="",G35="",I35="",J35=""),"",IF(F35="股票期权",MAX(0,(J35-K35)*I35),IF(F35="限制性股票",IF(OR(L35="",M35="",M35&lt;=0,N35=""),"",MAX(0,((L35+J35)/2)*I35-N35*I35/M35)),MAX(0,O35))))</f>
        <v/>
      </c>
      <c r="T35" s="14">
        <f>IF(S35="","",SUMIFS($S$2:$S$501,$C$2:$C$501,C35,$H$2:$H$501,H35,$G$2:$G$501,"&lt;"&amp;G35)+SUMIFS($S$2:$S$501,$C$2:$C$501,C35,$H$2:$H$501,H35,$G$2:$G$501,G35,$A$2:$A$501,"&lt;"&amp;A35))</f>
        <v/>
      </c>
      <c r="U35" s="14">
        <f>IF(S35="","",T35+S35)</f>
        <v/>
      </c>
      <c r="V35" s="15">
        <f>IF(U35="","",VLOOKUP(U35,'税率及规则'!$A$2:$C$8,2,TRUE))</f>
        <v/>
      </c>
      <c r="W35" s="14">
        <f>IF(U35="","",VLOOKUP(U35,'税率及规则'!$A$2:$C$8,3,TRUE))</f>
        <v/>
      </c>
      <c r="X35" s="14">
        <f>IF(U35="","",MAX(0,U35*V35-W35))</f>
        <v/>
      </c>
      <c r="Y35" s="14">
        <f>IF(T35="","",MAX(0,T35*VLOOKUP(T35,'税率及规则'!$A$2:$C$8,2,TRUE)-VLOOKUP(T35,'税率及规则'!$A$2:$C$8,3,TRUE)))</f>
        <v/>
      </c>
      <c r="Z35" s="14">
        <f>IF(X35="","",MAX(0,X35-Y35))</f>
        <v/>
      </c>
      <c r="AA35" s="16">
        <f>IF(G35="","",G35)</f>
        <v/>
      </c>
      <c r="AB35" s="16">
        <f>IF(AA35="","",EDATE(AA35,36))</f>
        <v/>
      </c>
      <c r="AC35" s="6">
        <f>IF(A35="","",IF(COUNTIF($A$2:$A$501,A35)&gt;1,"异常：事件编号重复",IF(OR(C35="",D35="",E35="",F35="",G35="",I35="",J35=""),"异常：必填项缺失",IF(OR(I35&lt;=0,J35&lt;0),"异常：数量或价格无效",IF(AND(F35="限制性股票",OR(M35&lt;=0,N35&lt;0,I35&gt;M35)),"异常：个人获授或出资数据无效",IF(AND(F35="股票期权",K35&lt;&gt;IF(G35&lt;DATE(2025,1,10),14.56,IF(G35&lt;DATE(2025,4,29),14.32,IF(G35&lt;DATE(2025,9,26),14.18,14.04)))),"异常：行权价格区间不符",IF(Q35&lt;&gt;"已备案","提示：未确认备案","正常")))))))</f>
        <v/>
      </c>
      <c r="AD35" s="11" t="n"/>
    </row>
    <row r="36">
      <c r="A36" s="11" t="n"/>
      <c r="B36" s="6">
        <f>IF(A36="","",A36&amp;"-TAX")</f>
        <v/>
      </c>
      <c r="C36" s="11" t="n"/>
      <c r="D36" s="11" t="n"/>
      <c r="E36" s="11" t="n"/>
      <c r="F36" s="11" t="n"/>
      <c r="G36" s="12" t="n"/>
      <c r="H36" s="6">
        <f>IF(G36="","",YEAR(G36))</f>
        <v/>
      </c>
      <c r="I36" s="11" t="n"/>
      <c r="J36" s="13" t="n"/>
      <c r="K36" s="14">
        <f>IF(F36="股票期权",IF(G36="","",IF(G36&lt;DATE(2025,1,10),14.56,IF(G36&lt;DATE(2025,4,29),14.32,IF(G36&lt;DATE(2025,9,26),14.18,14.04)))),IF(F36="限制性股票",8.68,""))</f>
        <v/>
      </c>
      <c r="L36" s="14">
        <f>IF(F36="限制性股票",13.06,"")</f>
        <v/>
      </c>
      <c r="M36" s="11" t="n"/>
      <c r="N36" s="13" t="n"/>
      <c r="O36" s="13" t="n"/>
      <c r="P36" s="12" t="n"/>
      <c r="Q36" s="11" t="n"/>
      <c r="R36" s="12" t="n"/>
      <c r="S36" s="14">
        <f>IF(OR(A36="",C36="",F36="",G36="",I36="",J36=""),"",IF(F36="股票期权",MAX(0,(J36-K36)*I36),IF(F36="限制性股票",IF(OR(L36="",M36="",M36&lt;=0,N36=""),"",MAX(0,((L36+J36)/2)*I36-N36*I36/M36)),MAX(0,O36))))</f>
        <v/>
      </c>
      <c r="T36" s="14">
        <f>IF(S36="","",SUMIFS($S$2:$S$501,$C$2:$C$501,C36,$H$2:$H$501,H36,$G$2:$G$501,"&lt;"&amp;G36)+SUMIFS($S$2:$S$501,$C$2:$C$501,C36,$H$2:$H$501,H36,$G$2:$G$501,G36,$A$2:$A$501,"&lt;"&amp;A36))</f>
        <v/>
      </c>
      <c r="U36" s="14">
        <f>IF(S36="","",T36+S36)</f>
        <v/>
      </c>
      <c r="V36" s="15">
        <f>IF(U36="","",VLOOKUP(U36,'税率及规则'!$A$2:$C$8,2,TRUE))</f>
        <v/>
      </c>
      <c r="W36" s="14">
        <f>IF(U36="","",VLOOKUP(U36,'税率及规则'!$A$2:$C$8,3,TRUE))</f>
        <v/>
      </c>
      <c r="X36" s="14">
        <f>IF(U36="","",MAX(0,U36*V36-W36))</f>
        <v/>
      </c>
      <c r="Y36" s="14">
        <f>IF(T36="","",MAX(0,T36*VLOOKUP(T36,'税率及规则'!$A$2:$C$8,2,TRUE)-VLOOKUP(T36,'税率及规则'!$A$2:$C$8,3,TRUE)))</f>
        <v/>
      </c>
      <c r="Z36" s="14">
        <f>IF(X36="","",MAX(0,X36-Y36))</f>
        <v/>
      </c>
      <c r="AA36" s="16">
        <f>IF(G36="","",G36)</f>
        <v/>
      </c>
      <c r="AB36" s="16">
        <f>IF(AA36="","",EDATE(AA36,36))</f>
        <v/>
      </c>
      <c r="AC36" s="6">
        <f>IF(A36="","",IF(COUNTIF($A$2:$A$501,A36)&gt;1,"异常：事件编号重复",IF(OR(C36="",D36="",E36="",F36="",G36="",I36="",J36=""),"异常：必填项缺失",IF(OR(I36&lt;=0,J36&lt;0),"异常：数量或价格无效",IF(AND(F36="限制性股票",OR(M36&lt;=0,N36&lt;0,I36&gt;M36)),"异常：个人获授或出资数据无效",IF(AND(F36="股票期权",K36&lt;&gt;IF(G36&lt;DATE(2025,1,10),14.56,IF(G36&lt;DATE(2025,4,29),14.32,IF(G36&lt;DATE(2025,9,26),14.18,14.04)))),"异常：行权价格区间不符",IF(Q36&lt;&gt;"已备案","提示：未确认备案","正常")))))))</f>
        <v/>
      </c>
      <c r="AD36" s="11" t="n"/>
    </row>
    <row r="37">
      <c r="A37" s="11" t="n"/>
      <c r="B37" s="6">
        <f>IF(A37="","",A37&amp;"-TAX")</f>
        <v/>
      </c>
      <c r="C37" s="11" t="n"/>
      <c r="D37" s="11" t="n"/>
      <c r="E37" s="11" t="n"/>
      <c r="F37" s="11" t="n"/>
      <c r="G37" s="12" t="n"/>
      <c r="H37" s="6">
        <f>IF(G37="","",YEAR(G37))</f>
        <v/>
      </c>
      <c r="I37" s="11" t="n"/>
      <c r="J37" s="13" t="n"/>
      <c r="K37" s="14">
        <f>IF(F37="股票期权",IF(G37="","",IF(G37&lt;DATE(2025,1,10),14.56,IF(G37&lt;DATE(2025,4,29),14.32,IF(G37&lt;DATE(2025,9,26),14.18,14.04)))),IF(F37="限制性股票",8.68,""))</f>
        <v/>
      </c>
      <c r="L37" s="14">
        <f>IF(F37="限制性股票",13.06,"")</f>
        <v/>
      </c>
      <c r="M37" s="11" t="n"/>
      <c r="N37" s="13" t="n"/>
      <c r="O37" s="13" t="n"/>
      <c r="P37" s="12" t="n"/>
      <c r="Q37" s="11" t="n"/>
      <c r="R37" s="12" t="n"/>
      <c r="S37" s="14">
        <f>IF(OR(A37="",C37="",F37="",G37="",I37="",J37=""),"",IF(F37="股票期权",MAX(0,(J37-K37)*I37),IF(F37="限制性股票",IF(OR(L37="",M37="",M37&lt;=0,N37=""),"",MAX(0,((L37+J37)/2)*I37-N37*I37/M37)),MAX(0,O37))))</f>
        <v/>
      </c>
      <c r="T37" s="14">
        <f>IF(S37="","",SUMIFS($S$2:$S$501,$C$2:$C$501,C37,$H$2:$H$501,H37,$G$2:$G$501,"&lt;"&amp;G37)+SUMIFS($S$2:$S$501,$C$2:$C$501,C37,$H$2:$H$501,H37,$G$2:$G$501,G37,$A$2:$A$501,"&lt;"&amp;A37))</f>
        <v/>
      </c>
      <c r="U37" s="14">
        <f>IF(S37="","",T37+S37)</f>
        <v/>
      </c>
      <c r="V37" s="15">
        <f>IF(U37="","",VLOOKUP(U37,'税率及规则'!$A$2:$C$8,2,TRUE))</f>
        <v/>
      </c>
      <c r="W37" s="14">
        <f>IF(U37="","",VLOOKUP(U37,'税率及规则'!$A$2:$C$8,3,TRUE))</f>
        <v/>
      </c>
      <c r="X37" s="14">
        <f>IF(U37="","",MAX(0,U37*V37-W37))</f>
        <v/>
      </c>
      <c r="Y37" s="14">
        <f>IF(T37="","",MAX(0,T37*VLOOKUP(T37,'税率及规则'!$A$2:$C$8,2,TRUE)-VLOOKUP(T37,'税率及规则'!$A$2:$C$8,3,TRUE)))</f>
        <v/>
      </c>
      <c r="Z37" s="14">
        <f>IF(X37="","",MAX(0,X37-Y37))</f>
        <v/>
      </c>
      <c r="AA37" s="16">
        <f>IF(G37="","",G37)</f>
        <v/>
      </c>
      <c r="AB37" s="16">
        <f>IF(AA37="","",EDATE(AA37,36))</f>
        <v/>
      </c>
      <c r="AC37" s="6">
        <f>IF(A37="","",IF(COUNTIF($A$2:$A$501,A37)&gt;1,"异常：事件编号重复",IF(OR(C37="",D37="",E37="",F37="",G37="",I37="",J37=""),"异常：必填项缺失",IF(OR(I37&lt;=0,J37&lt;0),"异常：数量或价格无效",IF(AND(F37="限制性股票",OR(M37&lt;=0,N37&lt;0,I37&gt;M37)),"异常：个人获授或出资数据无效",IF(AND(F37="股票期权",K37&lt;&gt;IF(G37&lt;DATE(2025,1,10),14.56,IF(G37&lt;DATE(2025,4,29),14.32,IF(G37&lt;DATE(2025,9,26),14.18,14.04)))),"异常：行权价格区间不符",IF(Q37&lt;&gt;"已备案","提示：未确认备案","正常")))))))</f>
        <v/>
      </c>
      <c r="AD37" s="11" t="n"/>
    </row>
    <row r="38">
      <c r="A38" s="11" t="n"/>
      <c r="B38" s="6">
        <f>IF(A38="","",A38&amp;"-TAX")</f>
        <v/>
      </c>
      <c r="C38" s="11" t="n"/>
      <c r="D38" s="11" t="n"/>
      <c r="E38" s="11" t="n"/>
      <c r="F38" s="11" t="n"/>
      <c r="G38" s="12" t="n"/>
      <c r="H38" s="6">
        <f>IF(G38="","",YEAR(G38))</f>
        <v/>
      </c>
      <c r="I38" s="11" t="n"/>
      <c r="J38" s="13" t="n"/>
      <c r="K38" s="14">
        <f>IF(F38="股票期权",IF(G38="","",IF(G38&lt;DATE(2025,1,10),14.56,IF(G38&lt;DATE(2025,4,29),14.32,IF(G38&lt;DATE(2025,9,26),14.18,14.04)))),IF(F38="限制性股票",8.68,""))</f>
        <v/>
      </c>
      <c r="L38" s="14">
        <f>IF(F38="限制性股票",13.06,"")</f>
        <v/>
      </c>
      <c r="M38" s="11" t="n"/>
      <c r="N38" s="13" t="n"/>
      <c r="O38" s="13" t="n"/>
      <c r="P38" s="12" t="n"/>
      <c r="Q38" s="11" t="n"/>
      <c r="R38" s="12" t="n"/>
      <c r="S38" s="14">
        <f>IF(OR(A38="",C38="",F38="",G38="",I38="",J38=""),"",IF(F38="股票期权",MAX(0,(J38-K38)*I38),IF(F38="限制性股票",IF(OR(L38="",M38="",M38&lt;=0,N38=""),"",MAX(0,((L38+J38)/2)*I38-N38*I38/M38)),MAX(0,O38))))</f>
        <v/>
      </c>
      <c r="T38" s="14">
        <f>IF(S38="","",SUMIFS($S$2:$S$501,$C$2:$C$501,C38,$H$2:$H$501,H38,$G$2:$G$501,"&lt;"&amp;G38)+SUMIFS($S$2:$S$501,$C$2:$C$501,C38,$H$2:$H$501,H38,$G$2:$G$501,G38,$A$2:$A$501,"&lt;"&amp;A38))</f>
        <v/>
      </c>
      <c r="U38" s="14">
        <f>IF(S38="","",T38+S38)</f>
        <v/>
      </c>
      <c r="V38" s="15">
        <f>IF(U38="","",VLOOKUP(U38,'税率及规则'!$A$2:$C$8,2,TRUE))</f>
        <v/>
      </c>
      <c r="W38" s="14">
        <f>IF(U38="","",VLOOKUP(U38,'税率及规则'!$A$2:$C$8,3,TRUE))</f>
        <v/>
      </c>
      <c r="X38" s="14">
        <f>IF(U38="","",MAX(0,U38*V38-W38))</f>
        <v/>
      </c>
      <c r="Y38" s="14">
        <f>IF(T38="","",MAX(0,T38*VLOOKUP(T38,'税率及规则'!$A$2:$C$8,2,TRUE)-VLOOKUP(T38,'税率及规则'!$A$2:$C$8,3,TRUE)))</f>
        <v/>
      </c>
      <c r="Z38" s="14">
        <f>IF(X38="","",MAX(0,X38-Y38))</f>
        <v/>
      </c>
      <c r="AA38" s="16">
        <f>IF(G38="","",G38)</f>
        <v/>
      </c>
      <c r="AB38" s="16">
        <f>IF(AA38="","",EDATE(AA38,36))</f>
        <v/>
      </c>
      <c r="AC38" s="6">
        <f>IF(A38="","",IF(COUNTIF($A$2:$A$501,A38)&gt;1,"异常：事件编号重复",IF(OR(C38="",D38="",E38="",F38="",G38="",I38="",J38=""),"异常：必填项缺失",IF(OR(I38&lt;=0,J38&lt;0),"异常：数量或价格无效",IF(AND(F38="限制性股票",OR(M38&lt;=0,N38&lt;0,I38&gt;M38)),"异常：个人获授或出资数据无效",IF(AND(F38="股票期权",K38&lt;&gt;IF(G38&lt;DATE(2025,1,10),14.56,IF(G38&lt;DATE(2025,4,29),14.32,IF(G38&lt;DATE(2025,9,26),14.18,14.04)))),"异常：行权价格区间不符",IF(Q38&lt;&gt;"已备案","提示：未确认备案","正常")))))))</f>
        <v/>
      </c>
      <c r="AD38" s="11" t="n"/>
    </row>
    <row r="39">
      <c r="A39" s="11" t="n"/>
      <c r="B39" s="6">
        <f>IF(A39="","",A39&amp;"-TAX")</f>
        <v/>
      </c>
      <c r="C39" s="11" t="n"/>
      <c r="D39" s="11" t="n"/>
      <c r="E39" s="11" t="n"/>
      <c r="F39" s="11" t="n"/>
      <c r="G39" s="12" t="n"/>
      <c r="H39" s="6">
        <f>IF(G39="","",YEAR(G39))</f>
        <v/>
      </c>
      <c r="I39" s="11" t="n"/>
      <c r="J39" s="13" t="n"/>
      <c r="K39" s="14">
        <f>IF(F39="股票期权",IF(G39="","",IF(G39&lt;DATE(2025,1,10),14.56,IF(G39&lt;DATE(2025,4,29),14.32,IF(G39&lt;DATE(2025,9,26),14.18,14.04)))),IF(F39="限制性股票",8.68,""))</f>
        <v/>
      </c>
      <c r="L39" s="14">
        <f>IF(F39="限制性股票",13.06,"")</f>
        <v/>
      </c>
      <c r="M39" s="11" t="n"/>
      <c r="N39" s="13" t="n"/>
      <c r="O39" s="13" t="n"/>
      <c r="P39" s="12" t="n"/>
      <c r="Q39" s="11" t="n"/>
      <c r="R39" s="12" t="n"/>
      <c r="S39" s="14">
        <f>IF(OR(A39="",C39="",F39="",G39="",I39="",J39=""),"",IF(F39="股票期权",MAX(0,(J39-K39)*I39),IF(F39="限制性股票",IF(OR(L39="",M39="",M39&lt;=0,N39=""),"",MAX(0,((L39+J39)/2)*I39-N39*I39/M39)),MAX(0,O39))))</f>
        <v/>
      </c>
      <c r="T39" s="14">
        <f>IF(S39="","",SUMIFS($S$2:$S$501,$C$2:$C$501,C39,$H$2:$H$501,H39,$G$2:$G$501,"&lt;"&amp;G39)+SUMIFS($S$2:$S$501,$C$2:$C$501,C39,$H$2:$H$501,H39,$G$2:$G$501,G39,$A$2:$A$501,"&lt;"&amp;A39))</f>
        <v/>
      </c>
      <c r="U39" s="14">
        <f>IF(S39="","",T39+S39)</f>
        <v/>
      </c>
      <c r="V39" s="15">
        <f>IF(U39="","",VLOOKUP(U39,'税率及规则'!$A$2:$C$8,2,TRUE))</f>
        <v/>
      </c>
      <c r="W39" s="14">
        <f>IF(U39="","",VLOOKUP(U39,'税率及规则'!$A$2:$C$8,3,TRUE))</f>
        <v/>
      </c>
      <c r="X39" s="14">
        <f>IF(U39="","",MAX(0,U39*V39-W39))</f>
        <v/>
      </c>
      <c r="Y39" s="14">
        <f>IF(T39="","",MAX(0,T39*VLOOKUP(T39,'税率及规则'!$A$2:$C$8,2,TRUE)-VLOOKUP(T39,'税率及规则'!$A$2:$C$8,3,TRUE)))</f>
        <v/>
      </c>
      <c r="Z39" s="14">
        <f>IF(X39="","",MAX(0,X39-Y39))</f>
        <v/>
      </c>
      <c r="AA39" s="16">
        <f>IF(G39="","",G39)</f>
        <v/>
      </c>
      <c r="AB39" s="16">
        <f>IF(AA39="","",EDATE(AA39,36))</f>
        <v/>
      </c>
      <c r="AC39" s="6">
        <f>IF(A39="","",IF(COUNTIF($A$2:$A$501,A39)&gt;1,"异常：事件编号重复",IF(OR(C39="",D39="",E39="",F39="",G39="",I39="",J39=""),"异常：必填项缺失",IF(OR(I39&lt;=0,J39&lt;0),"异常：数量或价格无效",IF(AND(F39="限制性股票",OR(M39&lt;=0,N39&lt;0,I39&gt;M39)),"异常：个人获授或出资数据无效",IF(AND(F39="股票期权",K39&lt;&gt;IF(G39&lt;DATE(2025,1,10),14.56,IF(G39&lt;DATE(2025,4,29),14.32,IF(G39&lt;DATE(2025,9,26),14.18,14.04)))),"异常：行权价格区间不符",IF(Q39&lt;&gt;"已备案","提示：未确认备案","正常")))))))</f>
        <v/>
      </c>
      <c r="AD39" s="11" t="n"/>
    </row>
    <row r="40">
      <c r="A40" s="11" t="n"/>
      <c r="B40" s="6">
        <f>IF(A40="","",A40&amp;"-TAX")</f>
        <v/>
      </c>
      <c r="C40" s="11" t="n"/>
      <c r="D40" s="11" t="n"/>
      <c r="E40" s="11" t="n"/>
      <c r="F40" s="11" t="n"/>
      <c r="G40" s="12" t="n"/>
      <c r="H40" s="6">
        <f>IF(G40="","",YEAR(G40))</f>
        <v/>
      </c>
      <c r="I40" s="11" t="n"/>
      <c r="J40" s="13" t="n"/>
      <c r="K40" s="14">
        <f>IF(F40="股票期权",IF(G40="","",IF(G40&lt;DATE(2025,1,10),14.56,IF(G40&lt;DATE(2025,4,29),14.32,IF(G40&lt;DATE(2025,9,26),14.18,14.04)))),IF(F40="限制性股票",8.68,""))</f>
        <v/>
      </c>
      <c r="L40" s="14">
        <f>IF(F40="限制性股票",13.06,"")</f>
        <v/>
      </c>
      <c r="M40" s="11" t="n"/>
      <c r="N40" s="13" t="n"/>
      <c r="O40" s="13" t="n"/>
      <c r="P40" s="12" t="n"/>
      <c r="Q40" s="11" t="n"/>
      <c r="R40" s="12" t="n"/>
      <c r="S40" s="14">
        <f>IF(OR(A40="",C40="",F40="",G40="",I40="",J40=""),"",IF(F40="股票期权",MAX(0,(J40-K40)*I40),IF(F40="限制性股票",IF(OR(L40="",M40="",M40&lt;=0,N40=""),"",MAX(0,((L40+J40)/2)*I40-N40*I40/M40)),MAX(0,O40))))</f>
        <v/>
      </c>
      <c r="T40" s="14">
        <f>IF(S40="","",SUMIFS($S$2:$S$501,$C$2:$C$501,C40,$H$2:$H$501,H40,$G$2:$G$501,"&lt;"&amp;G40)+SUMIFS($S$2:$S$501,$C$2:$C$501,C40,$H$2:$H$501,H40,$G$2:$G$501,G40,$A$2:$A$501,"&lt;"&amp;A40))</f>
        <v/>
      </c>
      <c r="U40" s="14">
        <f>IF(S40="","",T40+S40)</f>
        <v/>
      </c>
      <c r="V40" s="15">
        <f>IF(U40="","",VLOOKUP(U40,'税率及规则'!$A$2:$C$8,2,TRUE))</f>
        <v/>
      </c>
      <c r="W40" s="14">
        <f>IF(U40="","",VLOOKUP(U40,'税率及规则'!$A$2:$C$8,3,TRUE))</f>
        <v/>
      </c>
      <c r="X40" s="14">
        <f>IF(U40="","",MAX(0,U40*V40-W40))</f>
        <v/>
      </c>
      <c r="Y40" s="14">
        <f>IF(T40="","",MAX(0,T40*VLOOKUP(T40,'税率及规则'!$A$2:$C$8,2,TRUE)-VLOOKUP(T40,'税率及规则'!$A$2:$C$8,3,TRUE)))</f>
        <v/>
      </c>
      <c r="Z40" s="14">
        <f>IF(X40="","",MAX(0,X40-Y40))</f>
        <v/>
      </c>
      <c r="AA40" s="16">
        <f>IF(G40="","",G40)</f>
        <v/>
      </c>
      <c r="AB40" s="16">
        <f>IF(AA40="","",EDATE(AA40,36))</f>
        <v/>
      </c>
      <c r="AC40" s="6">
        <f>IF(A40="","",IF(COUNTIF($A$2:$A$501,A40)&gt;1,"异常：事件编号重复",IF(OR(C40="",D40="",E40="",F40="",G40="",I40="",J40=""),"异常：必填项缺失",IF(OR(I40&lt;=0,J40&lt;0),"异常：数量或价格无效",IF(AND(F40="限制性股票",OR(M40&lt;=0,N40&lt;0,I40&gt;M40)),"异常：个人获授或出资数据无效",IF(AND(F40="股票期权",K40&lt;&gt;IF(G40&lt;DATE(2025,1,10),14.56,IF(G40&lt;DATE(2025,4,29),14.32,IF(G40&lt;DATE(2025,9,26),14.18,14.04)))),"异常：行权价格区间不符",IF(Q40&lt;&gt;"已备案","提示：未确认备案","正常")))))))</f>
        <v/>
      </c>
      <c r="AD40" s="11" t="n"/>
    </row>
    <row r="41">
      <c r="A41" s="11" t="n"/>
      <c r="B41" s="6">
        <f>IF(A41="","",A41&amp;"-TAX")</f>
        <v/>
      </c>
      <c r="C41" s="11" t="n"/>
      <c r="D41" s="11" t="n"/>
      <c r="E41" s="11" t="n"/>
      <c r="F41" s="11" t="n"/>
      <c r="G41" s="12" t="n"/>
      <c r="H41" s="6">
        <f>IF(G41="","",YEAR(G41))</f>
        <v/>
      </c>
      <c r="I41" s="11" t="n"/>
      <c r="J41" s="13" t="n"/>
      <c r="K41" s="14">
        <f>IF(F41="股票期权",IF(G41="","",IF(G41&lt;DATE(2025,1,10),14.56,IF(G41&lt;DATE(2025,4,29),14.32,IF(G41&lt;DATE(2025,9,26),14.18,14.04)))),IF(F41="限制性股票",8.68,""))</f>
        <v/>
      </c>
      <c r="L41" s="14">
        <f>IF(F41="限制性股票",13.06,"")</f>
        <v/>
      </c>
      <c r="M41" s="11" t="n"/>
      <c r="N41" s="13" t="n"/>
      <c r="O41" s="13" t="n"/>
      <c r="P41" s="12" t="n"/>
      <c r="Q41" s="11" t="n"/>
      <c r="R41" s="12" t="n"/>
      <c r="S41" s="14">
        <f>IF(OR(A41="",C41="",F41="",G41="",I41="",J41=""),"",IF(F41="股票期权",MAX(0,(J41-K41)*I41),IF(F41="限制性股票",IF(OR(L41="",M41="",M41&lt;=0,N41=""),"",MAX(0,((L41+J41)/2)*I41-N41*I41/M41)),MAX(0,O41))))</f>
        <v/>
      </c>
      <c r="T41" s="14">
        <f>IF(S41="","",SUMIFS($S$2:$S$501,$C$2:$C$501,C41,$H$2:$H$501,H41,$G$2:$G$501,"&lt;"&amp;G41)+SUMIFS($S$2:$S$501,$C$2:$C$501,C41,$H$2:$H$501,H41,$G$2:$G$501,G41,$A$2:$A$501,"&lt;"&amp;A41))</f>
        <v/>
      </c>
      <c r="U41" s="14">
        <f>IF(S41="","",T41+S41)</f>
        <v/>
      </c>
      <c r="V41" s="15">
        <f>IF(U41="","",VLOOKUP(U41,'税率及规则'!$A$2:$C$8,2,TRUE))</f>
        <v/>
      </c>
      <c r="W41" s="14">
        <f>IF(U41="","",VLOOKUP(U41,'税率及规则'!$A$2:$C$8,3,TRUE))</f>
        <v/>
      </c>
      <c r="X41" s="14">
        <f>IF(U41="","",MAX(0,U41*V41-W41))</f>
        <v/>
      </c>
      <c r="Y41" s="14">
        <f>IF(T41="","",MAX(0,T41*VLOOKUP(T41,'税率及规则'!$A$2:$C$8,2,TRUE)-VLOOKUP(T41,'税率及规则'!$A$2:$C$8,3,TRUE)))</f>
        <v/>
      </c>
      <c r="Z41" s="14">
        <f>IF(X41="","",MAX(0,X41-Y41))</f>
        <v/>
      </c>
      <c r="AA41" s="16">
        <f>IF(G41="","",G41)</f>
        <v/>
      </c>
      <c r="AB41" s="16">
        <f>IF(AA41="","",EDATE(AA41,36))</f>
        <v/>
      </c>
      <c r="AC41" s="6">
        <f>IF(A41="","",IF(COUNTIF($A$2:$A$501,A41)&gt;1,"异常：事件编号重复",IF(OR(C41="",D41="",E41="",F41="",G41="",I41="",J41=""),"异常：必填项缺失",IF(OR(I41&lt;=0,J41&lt;0),"异常：数量或价格无效",IF(AND(F41="限制性股票",OR(M41&lt;=0,N41&lt;0,I41&gt;M41)),"异常：个人获授或出资数据无效",IF(AND(F41="股票期权",K41&lt;&gt;IF(G41&lt;DATE(2025,1,10),14.56,IF(G41&lt;DATE(2025,4,29),14.32,IF(G41&lt;DATE(2025,9,26),14.18,14.04)))),"异常：行权价格区间不符",IF(Q41&lt;&gt;"已备案","提示：未确认备案","正常")))))))</f>
        <v/>
      </c>
      <c r="AD41" s="11" t="n"/>
    </row>
    <row r="42">
      <c r="A42" s="11" t="n"/>
      <c r="B42" s="6">
        <f>IF(A42="","",A42&amp;"-TAX")</f>
        <v/>
      </c>
      <c r="C42" s="11" t="n"/>
      <c r="D42" s="11" t="n"/>
      <c r="E42" s="11" t="n"/>
      <c r="F42" s="11" t="n"/>
      <c r="G42" s="12" t="n"/>
      <c r="H42" s="6">
        <f>IF(G42="","",YEAR(G42))</f>
        <v/>
      </c>
      <c r="I42" s="11" t="n"/>
      <c r="J42" s="13" t="n"/>
      <c r="K42" s="14">
        <f>IF(F42="股票期权",IF(G42="","",IF(G42&lt;DATE(2025,1,10),14.56,IF(G42&lt;DATE(2025,4,29),14.32,IF(G42&lt;DATE(2025,9,26),14.18,14.04)))),IF(F42="限制性股票",8.68,""))</f>
        <v/>
      </c>
      <c r="L42" s="14">
        <f>IF(F42="限制性股票",13.06,"")</f>
        <v/>
      </c>
      <c r="M42" s="11" t="n"/>
      <c r="N42" s="13" t="n"/>
      <c r="O42" s="13" t="n"/>
      <c r="P42" s="12" t="n"/>
      <c r="Q42" s="11" t="n"/>
      <c r="R42" s="12" t="n"/>
      <c r="S42" s="14">
        <f>IF(OR(A42="",C42="",F42="",G42="",I42="",J42=""),"",IF(F42="股票期权",MAX(0,(J42-K42)*I42),IF(F42="限制性股票",IF(OR(L42="",M42="",M42&lt;=0,N42=""),"",MAX(0,((L42+J42)/2)*I42-N42*I42/M42)),MAX(0,O42))))</f>
        <v/>
      </c>
      <c r="T42" s="14">
        <f>IF(S42="","",SUMIFS($S$2:$S$501,$C$2:$C$501,C42,$H$2:$H$501,H42,$G$2:$G$501,"&lt;"&amp;G42)+SUMIFS($S$2:$S$501,$C$2:$C$501,C42,$H$2:$H$501,H42,$G$2:$G$501,G42,$A$2:$A$501,"&lt;"&amp;A42))</f>
        <v/>
      </c>
      <c r="U42" s="14">
        <f>IF(S42="","",T42+S42)</f>
        <v/>
      </c>
      <c r="V42" s="15">
        <f>IF(U42="","",VLOOKUP(U42,'税率及规则'!$A$2:$C$8,2,TRUE))</f>
        <v/>
      </c>
      <c r="W42" s="14">
        <f>IF(U42="","",VLOOKUP(U42,'税率及规则'!$A$2:$C$8,3,TRUE))</f>
        <v/>
      </c>
      <c r="X42" s="14">
        <f>IF(U42="","",MAX(0,U42*V42-W42))</f>
        <v/>
      </c>
      <c r="Y42" s="14">
        <f>IF(T42="","",MAX(0,T42*VLOOKUP(T42,'税率及规则'!$A$2:$C$8,2,TRUE)-VLOOKUP(T42,'税率及规则'!$A$2:$C$8,3,TRUE)))</f>
        <v/>
      </c>
      <c r="Z42" s="14">
        <f>IF(X42="","",MAX(0,X42-Y42))</f>
        <v/>
      </c>
      <c r="AA42" s="16">
        <f>IF(G42="","",G42)</f>
        <v/>
      </c>
      <c r="AB42" s="16">
        <f>IF(AA42="","",EDATE(AA42,36))</f>
        <v/>
      </c>
      <c r="AC42" s="6">
        <f>IF(A42="","",IF(COUNTIF($A$2:$A$501,A42)&gt;1,"异常：事件编号重复",IF(OR(C42="",D42="",E42="",F42="",G42="",I42="",J42=""),"异常：必填项缺失",IF(OR(I42&lt;=0,J42&lt;0),"异常：数量或价格无效",IF(AND(F42="限制性股票",OR(M42&lt;=0,N42&lt;0,I42&gt;M42)),"异常：个人获授或出资数据无效",IF(AND(F42="股票期权",K42&lt;&gt;IF(G42&lt;DATE(2025,1,10),14.56,IF(G42&lt;DATE(2025,4,29),14.32,IF(G42&lt;DATE(2025,9,26),14.18,14.04)))),"异常：行权价格区间不符",IF(Q42&lt;&gt;"已备案","提示：未确认备案","正常")))))))</f>
        <v/>
      </c>
      <c r="AD42" s="11" t="n"/>
    </row>
    <row r="43">
      <c r="A43" s="11" t="n"/>
      <c r="B43" s="6">
        <f>IF(A43="","",A43&amp;"-TAX")</f>
        <v/>
      </c>
      <c r="C43" s="11" t="n"/>
      <c r="D43" s="11" t="n"/>
      <c r="E43" s="11" t="n"/>
      <c r="F43" s="11" t="n"/>
      <c r="G43" s="12" t="n"/>
      <c r="H43" s="6">
        <f>IF(G43="","",YEAR(G43))</f>
        <v/>
      </c>
      <c r="I43" s="11" t="n"/>
      <c r="J43" s="13" t="n"/>
      <c r="K43" s="14">
        <f>IF(F43="股票期权",IF(G43="","",IF(G43&lt;DATE(2025,1,10),14.56,IF(G43&lt;DATE(2025,4,29),14.32,IF(G43&lt;DATE(2025,9,26),14.18,14.04)))),IF(F43="限制性股票",8.68,""))</f>
        <v/>
      </c>
      <c r="L43" s="14">
        <f>IF(F43="限制性股票",13.06,"")</f>
        <v/>
      </c>
      <c r="M43" s="11" t="n"/>
      <c r="N43" s="13" t="n"/>
      <c r="O43" s="13" t="n"/>
      <c r="P43" s="12" t="n"/>
      <c r="Q43" s="11" t="n"/>
      <c r="R43" s="12" t="n"/>
      <c r="S43" s="14">
        <f>IF(OR(A43="",C43="",F43="",G43="",I43="",J43=""),"",IF(F43="股票期权",MAX(0,(J43-K43)*I43),IF(F43="限制性股票",IF(OR(L43="",M43="",M43&lt;=0,N43=""),"",MAX(0,((L43+J43)/2)*I43-N43*I43/M43)),MAX(0,O43))))</f>
        <v/>
      </c>
      <c r="T43" s="14">
        <f>IF(S43="","",SUMIFS($S$2:$S$501,$C$2:$C$501,C43,$H$2:$H$501,H43,$G$2:$G$501,"&lt;"&amp;G43)+SUMIFS($S$2:$S$501,$C$2:$C$501,C43,$H$2:$H$501,H43,$G$2:$G$501,G43,$A$2:$A$501,"&lt;"&amp;A43))</f>
        <v/>
      </c>
      <c r="U43" s="14">
        <f>IF(S43="","",T43+S43)</f>
        <v/>
      </c>
      <c r="V43" s="15">
        <f>IF(U43="","",VLOOKUP(U43,'税率及规则'!$A$2:$C$8,2,TRUE))</f>
        <v/>
      </c>
      <c r="W43" s="14">
        <f>IF(U43="","",VLOOKUP(U43,'税率及规则'!$A$2:$C$8,3,TRUE))</f>
        <v/>
      </c>
      <c r="X43" s="14">
        <f>IF(U43="","",MAX(0,U43*V43-W43))</f>
        <v/>
      </c>
      <c r="Y43" s="14">
        <f>IF(T43="","",MAX(0,T43*VLOOKUP(T43,'税率及规则'!$A$2:$C$8,2,TRUE)-VLOOKUP(T43,'税率及规则'!$A$2:$C$8,3,TRUE)))</f>
        <v/>
      </c>
      <c r="Z43" s="14">
        <f>IF(X43="","",MAX(0,X43-Y43))</f>
        <v/>
      </c>
      <c r="AA43" s="16">
        <f>IF(G43="","",G43)</f>
        <v/>
      </c>
      <c r="AB43" s="16">
        <f>IF(AA43="","",EDATE(AA43,36))</f>
        <v/>
      </c>
      <c r="AC43" s="6">
        <f>IF(A43="","",IF(COUNTIF($A$2:$A$501,A43)&gt;1,"异常：事件编号重复",IF(OR(C43="",D43="",E43="",F43="",G43="",I43="",J43=""),"异常：必填项缺失",IF(OR(I43&lt;=0,J43&lt;0),"异常：数量或价格无效",IF(AND(F43="限制性股票",OR(M43&lt;=0,N43&lt;0,I43&gt;M43)),"异常：个人获授或出资数据无效",IF(AND(F43="股票期权",K43&lt;&gt;IF(G43&lt;DATE(2025,1,10),14.56,IF(G43&lt;DATE(2025,4,29),14.32,IF(G43&lt;DATE(2025,9,26),14.18,14.04)))),"异常：行权价格区间不符",IF(Q43&lt;&gt;"已备案","提示：未确认备案","正常")))))))</f>
        <v/>
      </c>
      <c r="AD43" s="11" t="n"/>
    </row>
    <row r="44">
      <c r="A44" s="11" t="n"/>
      <c r="B44" s="6">
        <f>IF(A44="","",A44&amp;"-TAX")</f>
        <v/>
      </c>
      <c r="C44" s="11" t="n"/>
      <c r="D44" s="11" t="n"/>
      <c r="E44" s="11" t="n"/>
      <c r="F44" s="11" t="n"/>
      <c r="G44" s="12" t="n"/>
      <c r="H44" s="6">
        <f>IF(G44="","",YEAR(G44))</f>
        <v/>
      </c>
      <c r="I44" s="11" t="n"/>
      <c r="J44" s="13" t="n"/>
      <c r="K44" s="14">
        <f>IF(F44="股票期权",IF(G44="","",IF(G44&lt;DATE(2025,1,10),14.56,IF(G44&lt;DATE(2025,4,29),14.32,IF(G44&lt;DATE(2025,9,26),14.18,14.04)))),IF(F44="限制性股票",8.68,""))</f>
        <v/>
      </c>
      <c r="L44" s="14">
        <f>IF(F44="限制性股票",13.06,"")</f>
        <v/>
      </c>
      <c r="M44" s="11" t="n"/>
      <c r="N44" s="13" t="n"/>
      <c r="O44" s="13" t="n"/>
      <c r="P44" s="12" t="n"/>
      <c r="Q44" s="11" t="n"/>
      <c r="R44" s="12" t="n"/>
      <c r="S44" s="14">
        <f>IF(OR(A44="",C44="",F44="",G44="",I44="",J44=""),"",IF(F44="股票期权",MAX(0,(J44-K44)*I44),IF(F44="限制性股票",IF(OR(L44="",M44="",M44&lt;=0,N44=""),"",MAX(0,((L44+J44)/2)*I44-N44*I44/M44)),MAX(0,O44))))</f>
        <v/>
      </c>
      <c r="T44" s="14">
        <f>IF(S44="","",SUMIFS($S$2:$S$501,$C$2:$C$501,C44,$H$2:$H$501,H44,$G$2:$G$501,"&lt;"&amp;G44)+SUMIFS($S$2:$S$501,$C$2:$C$501,C44,$H$2:$H$501,H44,$G$2:$G$501,G44,$A$2:$A$501,"&lt;"&amp;A44))</f>
        <v/>
      </c>
      <c r="U44" s="14">
        <f>IF(S44="","",T44+S44)</f>
        <v/>
      </c>
      <c r="V44" s="15">
        <f>IF(U44="","",VLOOKUP(U44,'税率及规则'!$A$2:$C$8,2,TRUE))</f>
        <v/>
      </c>
      <c r="W44" s="14">
        <f>IF(U44="","",VLOOKUP(U44,'税率及规则'!$A$2:$C$8,3,TRUE))</f>
        <v/>
      </c>
      <c r="X44" s="14">
        <f>IF(U44="","",MAX(0,U44*V44-W44))</f>
        <v/>
      </c>
      <c r="Y44" s="14">
        <f>IF(T44="","",MAX(0,T44*VLOOKUP(T44,'税率及规则'!$A$2:$C$8,2,TRUE)-VLOOKUP(T44,'税率及规则'!$A$2:$C$8,3,TRUE)))</f>
        <v/>
      </c>
      <c r="Z44" s="14">
        <f>IF(X44="","",MAX(0,X44-Y44))</f>
        <v/>
      </c>
      <c r="AA44" s="16">
        <f>IF(G44="","",G44)</f>
        <v/>
      </c>
      <c r="AB44" s="16">
        <f>IF(AA44="","",EDATE(AA44,36))</f>
        <v/>
      </c>
      <c r="AC44" s="6">
        <f>IF(A44="","",IF(COUNTIF($A$2:$A$501,A44)&gt;1,"异常：事件编号重复",IF(OR(C44="",D44="",E44="",F44="",G44="",I44="",J44=""),"异常：必填项缺失",IF(OR(I44&lt;=0,J44&lt;0),"异常：数量或价格无效",IF(AND(F44="限制性股票",OR(M44&lt;=0,N44&lt;0,I44&gt;M44)),"异常：个人获授或出资数据无效",IF(AND(F44="股票期权",K44&lt;&gt;IF(G44&lt;DATE(2025,1,10),14.56,IF(G44&lt;DATE(2025,4,29),14.32,IF(G44&lt;DATE(2025,9,26),14.18,14.04)))),"异常：行权价格区间不符",IF(Q44&lt;&gt;"已备案","提示：未确认备案","正常")))))))</f>
        <v/>
      </c>
      <c r="AD44" s="11" t="n"/>
    </row>
    <row r="45">
      <c r="A45" s="11" t="n"/>
      <c r="B45" s="6">
        <f>IF(A45="","",A45&amp;"-TAX")</f>
        <v/>
      </c>
      <c r="C45" s="11" t="n"/>
      <c r="D45" s="11" t="n"/>
      <c r="E45" s="11" t="n"/>
      <c r="F45" s="11" t="n"/>
      <c r="G45" s="12" t="n"/>
      <c r="H45" s="6">
        <f>IF(G45="","",YEAR(G45))</f>
        <v/>
      </c>
      <c r="I45" s="11" t="n"/>
      <c r="J45" s="13" t="n"/>
      <c r="K45" s="14">
        <f>IF(F45="股票期权",IF(G45="","",IF(G45&lt;DATE(2025,1,10),14.56,IF(G45&lt;DATE(2025,4,29),14.32,IF(G45&lt;DATE(2025,9,26),14.18,14.04)))),IF(F45="限制性股票",8.68,""))</f>
        <v/>
      </c>
      <c r="L45" s="14">
        <f>IF(F45="限制性股票",13.06,"")</f>
        <v/>
      </c>
      <c r="M45" s="11" t="n"/>
      <c r="N45" s="13" t="n"/>
      <c r="O45" s="13" t="n"/>
      <c r="P45" s="12" t="n"/>
      <c r="Q45" s="11" t="n"/>
      <c r="R45" s="12" t="n"/>
      <c r="S45" s="14">
        <f>IF(OR(A45="",C45="",F45="",G45="",I45="",J45=""),"",IF(F45="股票期权",MAX(0,(J45-K45)*I45),IF(F45="限制性股票",IF(OR(L45="",M45="",M45&lt;=0,N45=""),"",MAX(0,((L45+J45)/2)*I45-N45*I45/M45)),MAX(0,O45))))</f>
        <v/>
      </c>
      <c r="T45" s="14">
        <f>IF(S45="","",SUMIFS($S$2:$S$501,$C$2:$C$501,C45,$H$2:$H$501,H45,$G$2:$G$501,"&lt;"&amp;G45)+SUMIFS($S$2:$S$501,$C$2:$C$501,C45,$H$2:$H$501,H45,$G$2:$G$501,G45,$A$2:$A$501,"&lt;"&amp;A45))</f>
        <v/>
      </c>
      <c r="U45" s="14">
        <f>IF(S45="","",T45+S45)</f>
        <v/>
      </c>
      <c r="V45" s="15">
        <f>IF(U45="","",VLOOKUP(U45,'税率及规则'!$A$2:$C$8,2,TRUE))</f>
        <v/>
      </c>
      <c r="W45" s="14">
        <f>IF(U45="","",VLOOKUP(U45,'税率及规则'!$A$2:$C$8,3,TRUE))</f>
        <v/>
      </c>
      <c r="X45" s="14">
        <f>IF(U45="","",MAX(0,U45*V45-W45))</f>
        <v/>
      </c>
      <c r="Y45" s="14">
        <f>IF(T45="","",MAX(0,T45*VLOOKUP(T45,'税率及规则'!$A$2:$C$8,2,TRUE)-VLOOKUP(T45,'税率及规则'!$A$2:$C$8,3,TRUE)))</f>
        <v/>
      </c>
      <c r="Z45" s="14">
        <f>IF(X45="","",MAX(0,X45-Y45))</f>
        <v/>
      </c>
      <c r="AA45" s="16">
        <f>IF(G45="","",G45)</f>
        <v/>
      </c>
      <c r="AB45" s="16">
        <f>IF(AA45="","",EDATE(AA45,36))</f>
        <v/>
      </c>
      <c r="AC45" s="6">
        <f>IF(A45="","",IF(COUNTIF($A$2:$A$501,A45)&gt;1,"异常：事件编号重复",IF(OR(C45="",D45="",E45="",F45="",G45="",I45="",J45=""),"异常：必填项缺失",IF(OR(I45&lt;=0,J45&lt;0),"异常：数量或价格无效",IF(AND(F45="限制性股票",OR(M45&lt;=0,N45&lt;0,I45&gt;M45)),"异常：个人获授或出资数据无效",IF(AND(F45="股票期权",K45&lt;&gt;IF(G45&lt;DATE(2025,1,10),14.56,IF(G45&lt;DATE(2025,4,29),14.32,IF(G45&lt;DATE(2025,9,26),14.18,14.04)))),"异常：行权价格区间不符",IF(Q45&lt;&gt;"已备案","提示：未确认备案","正常")))))))</f>
        <v/>
      </c>
      <c r="AD45" s="11" t="n"/>
    </row>
    <row r="46">
      <c r="A46" s="11" t="n"/>
      <c r="B46" s="6">
        <f>IF(A46="","",A46&amp;"-TAX")</f>
        <v/>
      </c>
      <c r="C46" s="11" t="n"/>
      <c r="D46" s="11" t="n"/>
      <c r="E46" s="11" t="n"/>
      <c r="F46" s="11" t="n"/>
      <c r="G46" s="12" t="n"/>
      <c r="H46" s="6">
        <f>IF(G46="","",YEAR(G46))</f>
        <v/>
      </c>
      <c r="I46" s="11" t="n"/>
      <c r="J46" s="13" t="n"/>
      <c r="K46" s="14">
        <f>IF(F46="股票期权",IF(G46="","",IF(G46&lt;DATE(2025,1,10),14.56,IF(G46&lt;DATE(2025,4,29),14.32,IF(G46&lt;DATE(2025,9,26),14.18,14.04)))),IF(F46="限制性股票",8.68,""))</f>
        <v/>
      </c>
      <c r="L46" s="14">
        <f>IF(F46="限制性股票",13.06,"")</f>
        <v/>
      </c>
      <c r="M46" s="11" t="n"/>
      <c r="N46" s="13" t="n"/>
      <c r="O46" s="13" t="n"/>
      <c r="P46" s="12" t="n"/>
      <c r="Q46" s="11" t="n"/>
      <c r="R46" s="12" t="n"/>
      <c r="S46" s="14">
        <f>IF(OR(A46="",C46="",F46="",G46="",I46="",J46=""),"",IF(F46="股票期权",MAX(0,(J46-K46)*I46),IF(F46="限制性股票",IF(OR(L46="",M46="",M46&lt;=0,N46=""),"",MAX(0,((L46+J46)/2)*I46-N46*I46/M46)),MAX(0,O46))))</f>
        <v/>
      </c>
      <c r="T46" s="14">
        <f>IF(S46="","",SUMIFS($S$2:$S$501,$C$2:$C$501,C46,$H$2:$H$501,H46,$G$2:$G$501,"&lt;"&amp;G46)+SUMIFS($S$2:$S$501,$C$2:$C$501,C46,$H$2:$H$501,H46,$G$2:$G$501,G46,$A$2:$A$501,"&lt;"&amp;A46))</f>
        <v/>
      </c>
      <c r="U46" s="14">
        <f>IF(S46="","",T46+S46)</f>
        <v/>
      </c>
      <c r="V46" s="15">
        <f>IF(U46="","",VLOOKUP(U46,'税率及规则'!$A$2:$C$8,2,TRUE))</f>
        <v/>
      </c>
      <c r="W46" s="14">
        <f>IF(U46="","",VLOOKUP(U46,'税率及规则'!$A$2:$C$8,3,TRUE))</f>
        <v/>
      </c>
      <c r="X46" s="14">
        <f>IF(U46="","",MAX(0,U46*V46-W46))</f>
        <v/>
      </c>
      <c r="Y46" s="14">
        <f>IF(T46="","",MAX(0,T46*VLOOKUP(T46,'税率及规则'!$A$2:$C$8,2,TRUE)-VLOOKUP(T46,'税率及规则'!$A$2:$C$8,3,TRUE)))</f>
        <v/>
      </c>
      <c r="Z46" s="14">
        <f>IF(X46="","",MAX(0,X46-Y46))</f>
        <v/>
      </c>
      <c r="AA46" s="16">
        <f>IF(G46="","",G46)</f>
        <v/>
      </c>
      <c r="AB46" s="16">
        <f>IF(AA46="","",EDATE(AA46,36))</f>
        <v/>
      </c>
      <c r="AC46" s="6">
        <f>IF(A46="","",IF(COUNTIF($A$2:$A$501,A46)&gt;1,"异常：事件编号重复",IF(OR(C46="",D46="",E46="",F46="",G46="",I46="",J46=""),"异常：必填项缺失",IF(OR(I46&lt;=0,J46&lt;0),"异常：数量或价格无效",IF(AND(F46="限制性股票",OR(M46&lt;=0,N46&lt;0,I46&gt;M46)),"异常：个人获授或出资数据无效",IF(AND(F46="股票期权",K46&lt;&gt;IF(G46&lt;DATE(2025,1,10),14.56,IF(G46&lt;DATE(2025,4,29),14.32,IF(G46&lt;DATE(2025,9,26),14.18,14.04)))),"异常：行权价格区间不符",IF(Q46&lt;&gt;"已备案","提示：未确认备案","正常")))))))</f>
        <v/>
      </c>
      <c r="AD46" s="11" t="n"/>
    </row>
    <row r="47">
      <c r="A47" s="11" t="n"/>
      <c r="B47" s="6">
        <f>IF(A47="","",A47&amp;"-TAX")</f>
        <v/>
      </c>
      <c r="C47" s="11" t="n"/>
      <c r="D47" s="11" t="n"/>
      <c r="E47" s="11" t="n"/>
      <c r="F47" s="11" t="n"/>
      <c r="G47" s="12" t="n"/>
      <c r="H47" s="6">
        <f>IF(G47="","",YEAR(G47))</f>
        <v/>
      </c>
      <c r="I47" s="11" t="n"/>
      <c r="J47" s="13" t="n"/>
      <c r="K47" s="14">
        <f>IF(F47="股票期权",IF(G47="","",IF(G47&lt;DATE(2025,1,10),14.56,IF(G47&lt;DATE(2025,4,29),14.32,IF(G47&lt;DATE(2025,9,26),14.18,14.04)))),IF(F47="限制性股票",8.68,""))</f>
        <v/>
      </c>
      <c r="L47" s="14">
        <f>IF(F47="限制性股票",13.06,"")</f>
        <v/>
      </c>
      <c r="M47" s="11" t="n"/>
      <c r="N47" s="13" t="n"/>
      <c r="O47" s="13" t="n"/>
      <c r="P47" s="12" t="n"/>
      <c r="Q47" s="11" t="n"/>
      <c r="R47" s="12" t="n"/>
      <c r="S47" s="14">
        <f>IF(OR(A47="",C47="",F47="",G47="",I47="",J47=""),"",IF(F47="股票期权",MAX(0,(J47-K47)*I47),IF(F47="限制性股票",IF(OR(L47="",M47="",M47&lt;=0,N47=""),"",MAX(0,((L47+J47)/2)*I47-N47*I47/M47)),MAX(0,O47))))</f>
        <v/>
      </c>
      <c r="T47" s="14">
        <f>IF(S47="","",SUMIFS($S$2:$S$501,$C$2:$C$501,C47,$H$2:$H$501,H47,$G$2:$G$501,"&lt;"&amp;G47)+SUMIFS($S$2:$S$501,$C$2:$C$501,C47,$H$2:$H$501,H47,$G$2:$G$501,G47,$A$2:$A$501,"&lt;"&amp;A47))</f>
        <v/>
      </c>
      <c r="U47" s="14">
        <f>IF(S47="","",T47+S47)</f>
        <v/>
      </c>
      <c r="V47" s="15">
        <f>IF(U47="","",VLOOKUP(U47,'税率及规则'!$A$2:$C$8,2,TRUE))</f>
        <v/>
      </c>
      <c r="W47" s="14">
        <f>IF(U47="","",VLOOKUP(U47,'税率及规则'!$A$2:$C$8,3,TRUE))</f>
        <v/>
      </c>
      <c r="X47" s="14">
        <f>IF(U47="","",MAX(0,U47*V47-W47))</f>
        <v/>
      </c>
      <c r="Y47" s="14">
        <f>IF(T47="","",MAX(0,T47*VLOOKUP(T47,'税率及规则'!$A$2:$C$8,2,TRUE)-VLOOKUP(T47,'税率及规则'!$A$2:$C$8,3,TRUE)))</f>
        <v/>
      </c>
      <c r="Z47" s="14">
        <f>IF(X47="","",MAX(0,X47-Y47))</f>
        <v/>
      </c>
      <c r="AA47" s="16">
        <f>IF(G47="","",G47)</f>
        <v/>
      </c>
      <c r="AB47" s="16">
        <f>IF(AA47="","",EDATE(AA47,36))</f>
        <v/>
      </c>
      <c r="AC47" s="6">
        <f>IF(A47="","",IF(COUNTIF($A$2:$A$501,A47)&gt;1,"异常：事件编号重复",IF(OR(C47="",D47="",E47="",F47="",G47="",I47="",J47=""),"异常：必填项缺失",IF(OR(I47&lt;=0,J47&lt;0),"异常：数量或价格无效",IF(AND(F47="限制性股票",OR(M47&lt;=0,N47&lt;0,I47&gt;M47)),"异常：个人获授或出资数据无效",IF(AND(F47="股票期权",K47&lt;&gt;IF(G47&lt;DATE(2025,1,10),14.56,IF(G47&lt;DATE(2025,4,29),14.32,IF(G47&lt;DATE(2025,9,26),14.18,14.04)))),"异常：行权价格区间不符",IF(Q47&lt;&gt;"已备案","提示：未确认备案","正常")))))))</f>
        <v/>
      </c>
      <c r="AD47" s="11" t="n"/>
    </row>
    <row r="48">
      <c r="A48" s="11" t="n"/>
      <c r="B48" s="6">
        <f>IF(A48="","",A48&amp;"-TAX")</f>
        <v/>
      </c>
      <c r="C48" s="11" t="n"/>
      <c r="D48" s="11" t="n"/>
      <c r="E48" s="11" t="n"/>
      <c r="F48" s="11" t="n"/>
      <c r="G48" s="12" t="n"/>
      <c r="H48" s="6">
        <f>IF(G48="","",YEAR(G48))</f>
        <v/>
      </c>
      <c r="I48" s="11" t="n"/>
      <c r="J48" s="13" t="n"/>
      <c r="K48" s="14">
        <f>IF(F48="股票期权",IF(G48="","",IF(G48&lt;DATE(2025,1,10),14.56,IF(G48&lt;DATE(2025,4,29),14.32,IF(G48&lt;DATE(2025,9,26),14.18,14.04)))),IF(F48="限制性股票",8.68,""))</f>
        <v/>
      </c>
      <c r="L48" s="14">
        <f>IF(F48="限制性股票",13.06,"")</f>
        <v/>
      </c>
      <c r="M48" s="11" t="n"/>
      <c r="N48" s="13" t="n"/>
      <c r="O48" s="13" t="n"/>
      <c r="P48" s="12" t="n"/>
      <c r="Q48" s="11" t="n"/>
      <c r="R48" s="12" t="n"/>
      <c r="S48" s="14">
        <f>IF(OR(A48="",C48="",F48="",G48="",I48="",J48=""),"",IF(F48="股票期权",MAX(0,(J48-K48)*I48),IF(F48="限制性股票",IF(OR(L48="",M48="",M48&lt;=0,N48=""),"",MAX(0,((L48+J48)/2)*I48-N48*I48/M48)),MAX(0,O48))))</f>
        <v/>
      </c>
      <c r="T48" s="14">
        <f>IF(S48="","",SUMIFS($S$2:$S$501,$C$2:$C$501,C48,$H$2:$H$501,H48,$G$2:$G$501,"&lt;"&amp;G48)+SUMIFS($S$2:$S$501,$C$2:$C$501,C48,$H$2:$H$501,H48,$G$2:$G$501,G48,$A$2:$A$501,"&lt;"&amp;A48))</f>
        <v/>
      </c>
      <c r="U48" s="14">
        <f>IF(S48="","",T48+S48)</f>
        <v/>
      </c>
      <c r="V48" s="15">
        <f>IF(U48="","",VLOOKUP(U48,'税率及规则'!$A$2:$C$8,2,TRUE))</f>
        <v/>
      </c>
      <c r="W48" s="14">
        <f>IF(U48="","",VLOOKUP(U48,'税率及规则'!$A$2:$C$8,3,TRUE))</f>
        <v/>
      </c>
      <c r="X48" s="14">
        <f>IF(U48="","",MAX(0,U48*V48-W48))</f>
        <v/>
      </c>
      <c r="Y48" s="14">
        <f>IF(T48="","",MAX(0,T48*VLOOKUP(T48,'税率及规则'!$A$2:$C$8,2,TRUE)-VLOOKUP(T48,'税率及规则'!$A$2:$C$8,3,TRUE)))</f>
        <v/>
      </c>
      <c r="Z48" s="14">
        <f>IF(X48="","",MAX(0,X48-Y48))</f>
        <v/>
      </c>
      <c r="AA48" s="16">
        <f>IF(G48="","",G48)</f>
        <v/>
      </c>
      <c r="AB48" s="16">
        <f>IF(AA48="","",EDATE(AA48,36))</f>
        <v/>
      </c>
      <c r="AC48" s="6">
        <f>IF(A48="","",IF(COUNTIF($A$2:$A$501,A48)&gt;1,"异常：事件编号重复",IF(OR(C48="",D48="",E48="",F48="",G48="",I48="",J48=""),"异常：必填项缺失",IF(OR(I48&lt;=0,J48&lt;0),"异常：数量或价格无效",IF(AND(F48="限制性股票",OR(M48&lt;=0,N48&lt;0,I48&gt;M48)),"异常：个人获授或出资数据无效",IF(AND(F48="股票期权",K48&lt;&gt;IF(G48&lt;DATE(2025,1,10),14.56,IF(G48&lt;DATE(2025,4,29),14.32,IF(G48&lt;DATE(2025,9,26),14.18,14.04)))),"异常：行权价格区间不符",IF(Q48&lt;&gt;"已备案","提示：未确认备案","正常")))))))</f>
        <v/>
      </c>
      <c r="AD48" s="11" t="n"/>
    </row>
    <row r="49">
      <c r="A49" s="11" t="n"/>
      <c r="B49" s="6">
        <f>IF(A49="","",A49&amp;"-TAX")</f>
        <v/>
      </c>
      <c r="C49" s="11" t="n"/>
      <c r="D49" s="11" t="n"/>
      <c r="E49" s="11" t="n"/>
      <c r="F49" s="11" t="n"/>
      <c r="G49" s="12" t="n"/>
      <c r="H49" s="6">
        <f>IF(G49="","",YEAR(G49))</f>
        <v/>
      </c>
      <c r="I49" s="11" t="n"/>
      <c r="J49" s="13" t="n"/>
      <c r="K49" s="14">
        <f>IF(F49="股票期权",IF(G49="","",IF(G49&lt;DATE(2025,1,10),14.56,IF(G49&lt;DATE(2025,4,29),14.32,IF(G49&lt;DATE(2025,9,26),14.18,14.04)))),IF(F49="限制性股票",8.68,""))</f>
        <v/>
      </c>
      <c r="L49" s="14">
        <f>IF(F49="限制性股票",13.06,"")</f>
        <v/>
      </c>
      <c r="M49" s="11" t="n"/>
      <c r="N49" s="13" t="n"/>
      <c r="O49" s="13" t="n"/>
      <c r="P49" s="12" t="n"/>
      <c r="Q49" s="11" t="n"/>
      <c r="R49" s="12" t="n"/>
      <c r="S49" s="14">
        <f>IF(OR(A49="",C49="",F49="",G49="",I49="",J49=""),"",IF(F49="股票期权",MAX(0,(J49-K49)*I49),IF(F49="限制性股票",IF(OR(L49="",M49="",M49&lt;=0,N49=""),"",MAX(0,((L49+J49)/2)*I49-N49*I49/M49)),MAX(0,O49))))</f>
        <v/>
      </c>
      <c r="T49" s="14">
        <f>IF(S49="","",SUMIFS($S$2:$S$501,$C$2:$C$501,C49,$H$2:$H$501,H49,$G$2:$G$501,"&lt;"&amp;G49)+SUMIFS($S$2:$S$501,$C$2:$C$501,C49,$H$2:$H$501,H49,$G$2:$G$501,G49,$A$2:$A$501,"&lt;"&amp;A49))</f>
        <v/>
      </c>
      <c r="U49" s="14">
        <f>IF(S49="","",T49+S49)</f>
        <v/>
      </c>
      <c r="V49" s="15">
        <f>IF(U49="","",VLOOKUP(U49,'税率及规则'!$A$2:$C$8,2,TRUE))</f>
        <v/>
      </c>
      <c r="W49" s="14">
        <f>IF(U49="","",VLOOKUP(U49,'税率及规则'!$A$2:$C$8,3,TRUE))</f>
        <v/>
      </c>
      <c r="X49" s="14">
        <f>IF(U49="","",MAX(0,U49*V49-W49))</f>
        <v/>
      </c>
      <c r="Y49" s="14">
        <f>IF(T49="","",MAX(0,T49*VLOOKUP(T49,'税率及规则'!$A$2:$C$8,2,TRUE)-VLOOKUP(T49,'税率及规则'!$A$2:$C$8,3,TRUE)))</f>
        <v/>
      </c>
      <c r="Z49" s="14">
        <f>IF(X49="","",MAX(0,X49-Y49))</f>
        <v/>
      </c>
      <c r="AA49" s="16">
        <f>IF(G49="","",G49)</f>
        <v/>
      </c>
      <c r="AB49" s="16">
        <f>IF(AA49="","",EDATE(AA49,36))</f>
        <v/>
      </c>
      <c r="AC49" s="6">
        <f>IF(A49="","",IF(COUNTIF($A$2:$A$501,A49)&gt;1,"异常：事件编号重复",IF(OR(C49="",D49="",E49="",F49="",G49="",I49="",J49=""),"异常：必填项缺失",IF(OR(I49&lt;=0,J49&lt;0),"异常：数量或价格无效",IF(AND(F49="限制性股票",OR(M49&lt;=0,N49&lt;0,I49&gt;M49)),"异常：个人获授或出资数据无效",IF(AND(F49="股票期权",K49&lt;&gt;IF(G49&lt;DATE(2025,1,10),14.56,IF(G49&lt;DATE(2025,4,29),14.32,IF(G49&lt;DATE(2025,9,26),14.18,14.04)))),"异常：行权价格区间不符",IF(Q49&lt;&gt;"已备案","提示：未确认备案","正常")))))))</f>
        <v/>
      </c>
      <c r="AD49" s="11" t="n"/>
    </row>
    <row r="50">
      <c r="A50" s="11" t="n"/>
      <c r="B50" s="6">
        <f>IF(A50="","",A50&amp;"-TAX")</f>
        <v/>
      </c>
      <c r="C50" s="11" t="n"/>
      <c r="D50" s="11" t="n"/>
      <c r="E50" s="11" t="n"/>
      <c r="F50" s="11" t="n"/>
      <c r="G50" s="12" t="n"/>
      <c r="H50" s="6">
        <f>IF(G50="","",YEAR(G50))</f>
        <v/>
      </c>
      <c r="I50" s="11" t="n"/>
      <c r="J50" s="13" t="n"/>
      <c r="K50" s="14">
        <f>IF(F50="股票期权",IF(G50="","",IF(G50&lt;DATE(2025,1,10),14.56,IF(G50&lt;DATE(2025,4,29),14.32,IF(G50&lt;DATE(2025,9,26),14.18,14.04)))),IF(F50="限制性股票",8.68,""))</f>
        <v/>
      </c>
      <c r="L50" s="14">
        <f>IF(F50="限制性股票",13.06,"")</f>
        <v/>
      </c>
      <c r="M50" s="11" t="n"/>
      <c r="N50" s="13" t="n"/>
      <c r="O50" s="13" t="n"/>
      <c r="P50" s="12" t="n"/>
      <c r="Q50" s="11" t="n"/>
      <c r="R50" s="12" t="n"/>
      <c r="S50" s="14">
        <f>IF(OR(A50="",C50="",F50="",G50="",I50="",J50=""),"",IF(F50="股票期权",MAX(0,(J50-K50)*I50),IF(F50="限制性股票",IF(OR(L50="",M50="",M50&lt;=0,N50=""),"",MAX(0,((L50+J50)/2)*I50-N50*I50/M50)),MAX(0,O50))))</f>
        <v/>
      </c>
      <c r="T50" s="14">
        <f>IF(S50="","",SUMIFS($S$2:$S$501,$C$2:$C$501,C50,$H$2:$H$501,H50,$G$2:$G$501,"&lt;"&amp;G50)+SUMIFS($S$2:$S$501,$C$2:$C$501,C50,$H$2:$H$501,H50,$G$2:$G$501,G50,$A$2:$A$501,"&lt;"&amp;A50))</f>
        <v/>
      </c>
      <c r="U50" s="14">
        <f>IF(S50="","",T50+S50)</f>
        <v/>
      </c>
      <c r="V50" s="15">
        <f>IF(U50="","",VLOOKUP(U50,'税率及规则'!$A$2:$C$8,2,TRUE))</f>
        <v/>
      </c>
      <c r="W50" s="14">
        <f>IF(U50="","",VLOOKUP(U50,'税率及规则'!$A$2:$C$8,3,TRUE))</f>
        <v/>
      </c>
      <c r="X50" s="14">
        <f>IF(U50="","",MAX(0,U50*V50-W50))</f>
        <v/>
      </c>
      <c r="Y50" s="14">
        <f>IF(T50="","",MAX(0,T50*VLOOKUP(T50,'税率及规则'!$A$2:$C$8,2,TRUE)-VLOOKUP(T50,'税率及规则'!$A$2:$C$8,3,TRUE)))</f>
        <v/>
      </c>
      <c r="Z50" s="14">
        <f>IF(X50="","",MAX(0,X50-Y50))</f>
        <v/>
      </c>
      <c r="AA50" s="16">
        <f>IF(G50="","",G50)</f>
        <v/>
      </c>
      <c r="AB50" s="16">
        <f>IF(AA50="","",EDATE(AA50,36))</f>
        <v/>
      </c>
      <c r="AC50" s="6">
        <f>IF(A50="","",IF(COUNTIF($A$2:$A$501,A50)&gt;1,"异常：事件编号重复",IF(OR(C50="",D50="",E50="",F50="",G50="",I50="",J50=""),"异常：必填项缺失",IF(OR(I50&lt;=0,J50&lt;0),"异常：数量或价格无效",IF(AND(F50="限制性股票",OR(M50&lt;=0,N50&lt;0,I50&gt;M50)),"异常：个人获授或出资数据无效",IF(AND(F50="股票期权",K50&lt;&gt;IF(G50&lt;DATE(2025,1,10),14.56,IF(G50&lt;DATE(2025,4,29),14.32,IF(G50&lt;DATE(2025,9,26),14.18,14.04)))),"异常：行权价格区间不符",IF(Q50&lt;&gt;"已备案","提示：未确认备案","正常")))))))</f>
        <v/>
      </c>
      <c r="AD50" s="11" t="n"/>
    </row>
    <row r="51">
      <c r="A51" s="11" t="n"/>
      <c r="B51" s="6">
        <f>IF(A51="","",A51&amp;"-TAX")</f>
        <v/>
      </c>
      <c r="C51" s="11" t="n"/>
      <c r="D51" s="11" t="n"/>
      <c r="E51" s="11" t="n"/>
      <c r="F51" s="11" t="n"/>
      <c r="G51" s="12" t="n"/>
      <c r="H51" s="6">
        <f>IF(G51="","",YEAR(G51))</f>
        <v/>
      </c>
      <c r="I51" s="11" t="n"/>
      <c r="J51" s="13" t="n"/>
      <c r="K51" s="14">
        <f>IF(F51="股票期权",IF(G51="","",IF(G51&lt;DATE(2025,1,10),14.56,IF(G51&lt;DATE(2025,4,29),14.32,IF(G51&lt;DATE(2025,9,26),14.18,14.04)))),IF(F51="限制性股票",8.68,""))</f>
        <v/>
      </c>
      <c r="L51" s="14">
        <f>IF(F51="限制性股票",13.06,"")</f>
        <v/>
      </c>
      <c r="M51" s="11" t="n"/>
      <c r="N51" s="13" t="n"/>
      <c r="O51" s="13" t="n"/>
      <c r="P51" s="12" t="n"/>
      <c r="Q51" s="11" t="n"/>
      <c r="R51" s="12" t="n"/>
      <c r="S51" s="14">
        <f>IF(OR(A51="",C51="",F51="",G51="",I51="",J51=""),"",IF(F51="股票期权",MAX(0,(J51-K51)*I51),IF(F51="限制性股票",IF(OR(L51="",M51="",M51&lt;=0,N51=""),"",MAX(0,((L51+J51)/2)*I51-N51*I51/M51)),MAX(0,O51))))</f>
        <v/>
      </c>
      <c r="T51" s="14">
        <f>IF(S51="","",SUMIFS($S$2:$S$501,$C$2:$C$501,C51,$H$2:$H$501,H51,$G$2:$G$501,"&lt;"&amp;G51)+SUMIFS($S$2:$S$501,$C$2:$C$501,C51,$H$2:$H$501,H51,$G$2:$G$501,G51,$A$2:$A$501,"&lt;"&amp;A51))</f>
        <v/>
      </c>
      <c r="U51" s="14">
        <f>IF(S51="","",T51+S51)</f>
        <v/>
      </c>
      <c r="V51" s="15">
        <f>IF(U51="","",VLOOKUP(U51,'税率及规则'!$A$2:$C$8,2,TRUE))</f>
        <v/>
      </c>
      <c r="W51" s="14">
        <f>IF(U51="","",VLOOKUP(U51,'税率及规则'!$A$2:$C$8,3,TRUE))</f>
        <v/>
      </c>
      <c r="X51" s="14">
        <f>IF(U51="","",MAX(0,U51*V51-W51))</f>
        <v/>
      </c>
      <c r="Y51" s="14">
        <f>IF(T51="","",MAX(0,T51*VLOOKUP(T51,'税率及规则'!$A$2:$C$8,2,TRUE)-VLOOKUP(T51,'税率及规则'!$A$2:$C$8,3,TRUE)))</f>
        <v/>
      </c>
      <c r="Z51" s="14">
        <f>IF(X51="","",MAX(0,X51-Y51))</f>
        <v/>
      </c>
      <c r="AA51" s="16">
        <f>IF(G51="","",G51)</f>
        <v/>
      </c>
      <c r="AB51" s="16">
        <f>IF(AA51="","",EDATE(AA51,36))</f>
        <v/>
      </c>
      <c r="AC51" s="6">
        <f>IF(A51="","",IF(COUNTIF($A$2:$A$501,A51)&gt;1,"异常：事件编号重复",IF(OR(C51="",D51="",E51="",F51="",G51="",I51="",J51=""),"异常：必填项缺失",IF(OR(I51&lt;=0,J51&lt;0),"异常：数量或价格无效",IF(AND(F51="限制性股票",OR(M51&lt;=0,N51&lt;0,I51&gt;M51)),"异常：个人获授或出资数据无效",IF(AND(F51="股票期权",K51&lt;&gt;IF(G51&lt;DATE(2025,1,10),14.56,IF(G51&lt;DATE(2025,4,29),14.32,IF(G51&lt;DATE(2025,9,26),14.18,14.04)))),"异常：行权价格区间不符",IF(Q51&lt;&gt;"已备案","提示：未确认备案","正常")))))))</f>
        <v/>
      </c>
      <c r="AD51" s="11" t="n"/>
    </row>
    <row r="52">
      <c r="A52" s="11" t="n"/>
      <c r="B52" s="6">
        <f>IF(A52="","",A52&amp;"-TAX")</f>
        <v/>
      </c>
      <c r="C52" s="11" t="n"/>
      <c r="D52" s="11" t="n"/>
      <c r="E52" s="11" t="n"/>
      <c r="F52" s="11" t="n"/>
      <c r="G52" s="12" t="n"/>
      <c r="H52" s="6">
        <f>IF(G52="","",YEAR(G52))</f>
        <v/>
      </c>
      <c r="I52" s="11" t="n"/>
      <c r="J52" s="13" t="n"/>
      <c r="K52" s="14">
        <f>IF(F52="股票期权",IF(G52="","",IF(G52&lt;DATE(2025,1,10),14.56,IF(G52&lt;DATE(2025,4,29),14.32,IF(G52&lt;DATE(2025,9,26),14.18,14.04)))),IF(F52="限制性股票",8.68,""))</f>
        <v/>
      </c>
      <c r="L52" s="14">
        <f>IF(F52="限制性股票",13.06,"")</f>
        <v/>
      </c>
      <c r="M52" s="11" t="n"/>
      <c r="N52" s="13" t="n"/>
      <c r="O52" s="13" t="n"/>
      <c r="P52" s="12" t="n"/>
      <c r="Q52" s="11" t="n"/>
      <c r="R52" s="12" t="n"/>
      <c r="S52" s="14">
        <f>IF(OR(A52="",C52="",F52="",G52="",I52="",J52=""),"",IF(F52="股票期权",MAX(0,(J52-K52)*I52),IF(F52="限制性股票",IF(OR(L52="",M52="",M52&lt;=0,N52=""),"",MAX(0,((L52+J52)/2)*I52-N52*I52/M52)),MAX(0,O52))))</f>
        <v/>
      </c>
      <c r="T52" s="14">
        <f>IF(S52="","",SUMIFS($S$2:$S$501,$C$2:$C$501,C52,$H$2:$H$501,H52,$G$2:$G$501,"&lt;"&amp;G52)+SUMIFS($S$2:$S$501,$C$2:$C$501,C52,$H$2:$H$501,H52,$G$2:$G$501,G52,$A$2:$A$501,"&lt;"&amp;A52))</f>
        <v/>
      </c>
      <c r="U52" s="14">
        <f>IF(S52="","",T52+S52)</f>
        <v/>
      </c>
      <c r="V52" s="15">
        <f>IF(U52="","",VLOOKUP(U52,'税率及规则'!$A$2:$C$8,2,TRUE))</f>
        <v/>
      </c>
      <c r="W52" s="14">
        <f>IF(U52="","",VLOOKUP(U52,'税率及规则'!$A$2:$C$8,3,TRUE))</f>
        <v/>
      </c>
      <c r="X52" s="14">
        <f>IF(U52="","",MAX(0,U52*V52-W52))</f>
        <v/>
      </c>
      <c r="Y52" s="14">
        <f>IF(T52="","",MAX(0,T52*VLOOKUP(T52,'税率及规则'!$A$2:$C$8,2,TRUE)-VLOOKUP(T52,'税率及规则'!$A$2:$C$8,3,TRUE)))</f>
        <v/>
      </c>
      <c r="Z52" s="14">
        <f>IF(X52="","",MAX(0,X52-Y52))</f>
        <v/>
      </c>
      <c r="AA52" s="16">
        <f>IF(G52="","",G52)</f>
        <v/>
      </c>
      <c r="AB52" s="16">
        <f>IF(AA52="","",EDATE(AA52,36))</f>
        <v/>
      </c>
      <c r="AC52" s="6">
        <f>IF(A52="","",IF(COUNTIF($A$2:$A$501,A52)&gt;1,"异常：事件编号重复",IF(OR(C52="",D52="",E52="",F52="",G52="",I52="",J52=""),"异常：必填项缺失",IF(OR(I52&lt;=0,J52&lt;0),"异常：数量或价格无效",IF(AND(F52="限制性股票",OR(M52&lt;=0,N52&lt;0,I52&gt;M52)),"异常：个人获授或出资数据无效",IF(AND(F52="股票期权",K52&lt;&gt;IF(G52&lt;DATE(2025,1,10),14.56,IF(G52&lt;DATE(2025,4,29),14.32,IF(G52&lt;DATE(2025,9,26),14.18,14.04)))),"异常：行权价格区间不符",IF(Q52&lt;&gt;"已备案","提示：未确认备案","正常")))))))</f>
        <v/>
      </c>
      <c r="AD52" s="11" t="n"/>
    </row>
    <row r="53">
      <c r="A53" s="11" t="n"/>
      <c r="B53" s="6">
        <f>IF(A53="","",A53&amp;"-TAX")</f>
        <v/>
      </c>
      <c r="C53" s="11" t="n"/>
      <c r="D53" s="11" t="n"/>
      <c r="E53" s="11" t="n"/>
      <c r="F53" s="11" t="n"/>
      <c r="G53" s="12" t="n"/>
      <c r="H53" s="6">
        <f>IF(G53="","",YEAR(G53))</f>
        <v/>
      </c>
      <c r="I53" s="11" t="n"/>
      <c r="J53" s="13" t="n"/>
      <c r="K53" s="14">
        <f>IF(F53="股票期权",IF(G53="","",IF(G53&lt;DATE(2025,1,10),14.56,IF(G53&lt;DATE(2025,4,29),14.32,IF(G53&lt;DATE(2025,9,26),14.18,14.04)))),IF(F53="限制性股票",8.68,""))</f>
        <v/>
      </c>
      <c r="L53" s="14">
        <f>IF(F53="限制性股票",13.06,"")</f>
        <v/>
      </c>
      <c r="M53" s="11" t="n"/>
      <c r="N53" s="13" t="n"/>
      <c r="O53" s="13" t="n"/>
      <c r="P53" s="12" t="n"/>
      <c r="Q53" s="11" t="n"/>
      <c r="R53" s="12" t="n"/>
      <c r="S53" s="14">
        <f>IF(OR(A53="",C53="",F53="",G53="",I53="",J53=""),"",IF(F53="股票期权",MAX(0,(J53-K53)*I53),IF(F53="限制性股票",IF(OR(L53="",M53="",M53&lt;=0,N53=""),"",MAX(0,((L53+J53)/2)*I53-N53*I53/M53)),MAX(0,O53))))</f>
        <v/>
      </c>
      <c r="T53" s="14">
        <f>IF(S53="","",SUMIFS($S$2:$S$501,$C$2:$C$501,C53,$H$2:$H$501,H53,$G$2:$G$501,"&lt;"&amp;G53)+SUMIFS($S$2:$S$501,$C$2:$C$501,C53,$H$2:$H$501,H53,$G$2:$G$501,G53,$A$2:$A$501,"&lt;"&amp;A53))</f>
        <v/>
      </c>
      <c r="U53" s="14">
        <f>IF(S53="","",T53+S53)</f>
        <v/>
      </c>
      <c r="V53" s="15">
        <f>IF(U53="","",VLOOKUP(U53,'税率及规则'!$A$2:$C$8,2,TRUE))</f>
        <v/>
      </c>
      <c r="W53" s="14">
        <f>IF(U53="","",VLOOKUP(U53,'税率及规则'!$A$2:$C$8,3,TRUE))</f>
        <v/>
      </c>
      <c r="X53" s="14">
        <f>IF(U53="","",MAX(0,U53*V53-W53))</f>
        <v/>
      </c>
      <c r="Y53" s="14">
        <f>IF(T53="","",MAX(0,T53*VLOOKUP(T53,'税率及规则'!$A$2:$C$8,2,TRUE)-VLOOKUP(T53,'税率及规则'!$A$2:$C$8,3,TRUE)))</f>
        <v/>
      </c>
      <c r="Z53" s="14">
        <f>IF(X53="","",MAX(0,X53-Y53))</f>
        <v/>
      </c>
      <c r="AA53" s="16">
        <f>IF(G53="","",G53)</f>
        <v/>
      </c>
      <c r="AB53" s="16">
        <f>IF(AA53="","",EDATE(AA53,36))</f>
        <v/>
      </c>
      <c r="AC53" s="6">
        <f>IF(A53="","",IF(COUNTIF($A$2:$A$501,A53)&gt;1,"异常：事件编号重复",IF(OR(C53="",D53="",E53="",F53="",G53="",I53="",J53=""),"异常：必填项缺失",IF(OR(I53&lt;=0,J53&lt;0),"异常：数量或价格无效",IF(AND(F53="限制性股票",OR(M53&lt;=0,N53&lt;0,I53&gt;M53)),"异常：个人获授或出资数据无效",IF(AND(F53="股票期权",K53&lt;&gt;IF(G53&lt;DATE(2025,1,10),14.56,IF(G53&lt;DATE(2025,4,29),14.32,IF(G53&lt;DATE(2025,9,26),14.18,14.04)))),"异常：行权价格区间不符",IF(Q53&lt;&gt;"已备案","提示：未确认备案","正常")))))))</f>
        <v/>
      </c>
      <c r="AD53" s="11" t="n"/>
    </row>
    <row r="54">
      <c r="A54" s="11" t="n"/>
      <c r="B54" s="6">
        <f>IF(A54="","",A54&amp;"-TAX")</f>
        <v/>
      </c>
      <c r="C54" s="11" t="n"/>
      <c r="D54" s="11" t="n"/>
      <c r="E54" s="11" t="n"/>
      <c r="F54" s="11" t="n"/>
      <c r="G54" s="12" t="n"/>
      <c r="H54" s="6">
        <f>IF(G54="","",YEAR(G54))</f>
        <v/>
      </c>
      <c r="I54" s="11" t="n"/>
      <c r="J54" s="13" t="n"/>
      <c r="K54" s="14">
        <f>IF(F54="股票期权",IF(G54="","",IF(G54&lt;DATE(2025,1,10),14.56,IF(G54&lt;DATE(2025,4,29),14.32,IF(G54&lt;DATE(2025,9,26),14.18,14.04)))),IF(F54="限制性股票",8.68,""))</f>
        <v/>
      </c>
      <c r="L54" s="14">
        <f>IF(F54="限制性股票",13.06,"")</f>
        <v/>
      </c>
      <c r="M54" s="11" t="n"/>
      <c r="N54" s="13" t="n"/>
      <c r="O54" s="13" t="n"/>
      <c r="P54" s="12" t="n"/>
      <c r="Q54" s="11" t="n"/>
      <c r="R54" s="12" t="n"/>
      <c r="S54" s="14">
        <f>IF(OR(A54="",C54="",F54="",G54="",I54="",J54=""),"",IF(F54="股票期权",MAX(0,(J54-K54)*I54),IF(F54="限制性股票",IF(OR(L54="",M54="",M54&lt;=0,N54=""),"",MAX(0,((L54+J54)/2)*I54-N54*I54/M54)),MAX(0,O54))))</f>
        <v/>
      </c>
      <c r="T54" s="14">
        <f>IF(S54="","",SUMIFS($S$2:$S$501,$C$2:$C$501,C54,$H$2:$H$501,H54,$G$2:$G$501,"&lt;"&amp;G54)+SUMIFS($S$2:$S$501,$C$2:$C$501,C54,$H$2:$H$501,H54,$G$2:$G$501,G54,$A$2:$A$501,"&lt;"&amp;A54))</f>
        <v/>
      </c>
      <c r="U54" s="14">
        <f>IF(S54="","",T54+S54)</f>
        <v/>
      </c>
      <c r="V54" s="15">
        <f>IF(U54="","",VLOOKUP(U54,'税率及规则'!$A$2:$C$8,2,TRUE))</f>
        <v/>
      </c>
      <c r="W54" s="14">
        <f>IF(U54="","",VLOOKUP(U54,'税率及规则'!$A$2:$C$8,3,TRUE))</f>
        <v/>
      </c>
      <c r="X54" s="14">
        <f>IF(U54="","",MAX(0,U54*V54-W54))</f>
        <v/>
      </c>
      <c r="Y54" s="14">
        <f>IF(T54="","",MAX(0,T54*VLOOKUP(T54,'税率及规则'!$A$2:$C$8,2,TRUE)-VLOOKUP(T54,'税率及规则'!$A$2:$C$8,3,TRUE)))</f>
        <v/>
      </c>
      <c r="Z54" s="14">
        <f>IF(X54="","",MAX(0,X54-Y54))</f>
        <v/>
      </c>
      <c r="AA54" s="16">
        <f>IF(G54="","",G54)</f>
        <v/>
      </c>
      <c r="AB54" s="16">
        <f>IF(AA54="","",EDATE(AA54,36))</f>
        <v/>
      </c>
      <c r="AC54" s="6">
        <f>IF(A54="","",IF(COUNTIF($A$2:$A$501,A54)&gt;1,"异常：事件编号重复",IF(OR(C54="",D54="",E54="",F54="",G54="",I54="",J54=""),"异常：必填项缺失",IF(OR(I54&lt;=0,J54&lt;0),"异常：数量或价格无效",IF(AND(F54="限制性股票",OR(M54&lt;=0,N54&lt;0,I54&gt;M54)),"异常：个人获授或出资数据无效",IF(AND(F54="股票期权",K54&lt;&gt;IF(G54&lt;DATE(2025,1,10),14.56,IF(G54&lt;DATE(2025,4,29),14.32,IF(G54&lt;DATE(2025,9,26),14.18,14.04)))),"异常：行权价格区间不符",IF(Q54&lt;&gt;"已备案","提示：未确认备案","正常")))))))</f>
        <v/>
      </c>
      <c r="AD54" s="11" t="n"/>
    </row>
    <row r="55">
      <c r="A55" s="11" t="n"/>
      <c r="B55" s="6">
        <f>IF(A55="","",A55&amp;"-TAX")</f>
        <v/>
      </c>
      <c r="C55" s="11" t="n"/>
      <c r="D55" s="11" t="n"/>
      <c r="E55" s="11" t="n"/>
      <c r="F55" s="11" t="n"/>
      <c r="G55" s="12" t="n"/>
      <c r="H55" s="6">
        <f>IF(G55="","",YEAR(G55))</f>
        <v/>
      </c>
      <c r="I55" s="11" t="n"/>
      <c r="J55" s="13" t="n"/>
      <c r="K55" s="14">
        <f>IF(F55="股票期权",IF(G55="","",IF(G55&lt;DATE(2025,1,10),14.56,IF(G55&lt;DATE(2025,4,29),14.32,IF(G55&lt;DATE(2025,9,26),14.18,14.04)))),IF(F55="限制性股票",8.68,""))</f>
        <v/>
      </c>
      <c r="L55" s="14">
        <f>IF(F55="限制性股票",13.06,"")</f>
        <v/>
      </c>
      <c r="M55" s="11" t="n"/>
      <c r="N55" s="13" t="n"/>
      <c r="O55" s="13" t="n"/>
      <c r="P55" s="12" t="n"/>
      <c r="Q55" s="11" t="n"/>
      <c r="R55" s="12" t="n"/>
      <c r="S55" s="14">
        <f>IF(OR(A55="",C55="",F55="",G55="",I55="",J55=""),"",IF(F55="股票期权",MAX(0,(J55-K55)*I55),IF(F55="限制性股票",IF(OR(L55="",M55="",M55&lt;=0,N55=""),"",MAX(0,((L55+J55)/2)*I55-N55*I55/M55)),MAX(0,O55))))</f>
        <v/>
      </c>
      <c r="T55" s="14">
        <f>IF(S55="","",SUMIFS($S$2:$S$501,$C$2:$C$501,C55,$H$2:$H$501,H55,$G$2:$G$501,"&lt;"&amp;G55)+SUMIFS($S$2:$S$501,$C$2:$C$501,C55,$H$2:$H$501,H55,$G$2:$G$501,G55,$A$2:$A$501,"&lt;"&amp;A55))</f>
        <v/>
      </c>
      <c r="U55" s="14">
        <f>IF(S55="","",T55+S55)</f>
        <v/>
      </c>
      <c r="V55" s="15">
        <f>IF(U55="","",VLOOKUP(U55,'税率及规则'!$A$2:$C$8,2,TRUE))</f>
        <v/>
      </c>
      <c r="W55" s="14">
        <f>IF(U55="","",VLOOKUP(U55,'税率及规则'!$A$2:$C$8,3,TRUE))</f>
        <v/>
      </c>
      <c r="X55" s="14">
        <f>IF(U55="","",MAX(0,U55*V55-W55))</f>
        <v/>
      </c>
      <c r="Y55" s="14">
        <f>IF(T55="","",MAX(0,T55*VLOOKUP(T55,'税率及规则'!$A$2:$C$8,2,TRUE)-VLOOKUP(T55,'税率及规则'!$A$2:$C$8,3,TRUE)))</f>
        <v/>
      </c>
      <c r="Z55" s="14">
        <f>IF(X55="","",MAX(0,X55-Y55))</f>
        <v/>
      </c>
      <c r="AA55" s="16">
        <f>IF(G55="","",G55)</f>
        <v/>
      </c>
      <c r="AB55" s="16">
        <f>IF(AA55="","",EDATE(AA55,36))</f>
        <v/>
      </c>
      <c r="AC55" s="6">
        <f>IF(A55="","",IF(COUNTIF($A$2:$A$501,A55)&gt;1,"异常：事件编号重复",IF(OR(C55="",D55="",E55="",F55="",G55="",I55="",J55=""),"异常：必填项缺失",IF(OR(I55&lt;=0,J55&lt;0),"异常：数量或价格无效",IF(AND(F55="限制性股票",OR(M55&lt;=0,N55&lt;0,I55&gt;M55)),"异常：个人获授或出资数据无效",IF(AND(F55="股票期权",K55&lt;&gt;IF(G55&lt;DATE(2025,1,10),14.56,IF(G55&lt;DATE(2025,4,29),14.32,IF(G55&lt;DATE(2025,9,26),14.18,14.04)))),"异常：行权价格区间不符",IF(Q55&lt;&gt;"已备案","提示：未确认备案","正常")))))))</f>
        <v/>
      </c>
      <c r="AD55" s="11" t="n"/>
    </row>
    <row r="56">
      <c r="A56" s="11" t="n"/>
      <c r="B56" s="6">
        <f>IF(A56="","",A56&amp;"-TAX")</f>
        <v/>
      </c>
      <c r="C56" s="11" t="n"/>
      <c r="D56" s="11" t="n"/>
      <c r="E56" s="11" t="n"/>
      <c r="F56" s="11" t="n"/>
      <c r="G56" s="12" t="n"/>
      <c r="H56" s="6">
        <f>IF(G56="","",YEAR(G56))</f>
        <v/>
      </c>
      <c r="I56" s="11" t="n"/>
      <c r="J56" s="13" t="n"/>
      <c r="K56" s="14">
        <f>IF(F56="股票期权",IF(G56="","",IF(G56&lt;DATE(2025,1,10),14.56,IF(G56&lt;DATE(2025,4,29),14.32,IF(G56&lt;DATE(2025,9,26),14.18,14.04)))),IF(F56="限制性股票",8.68,""))</f>
        <v/>
      </c>
      <c r="L56" s="14">
        <f>IF(F56="限制性股票",13.06,"")</f>
        <v/>
      </c>
      <c r="M56" s="11" t="n"/>
      <c r="N56" s="13" t="n"/>
      <c r="O56" s="13" t="n"/>
      <c r="P56" s="12" t="n"/>
      <c r="Q56" s="11" t="n"/>
      <c r="R56" s="12" t="n"/>
      <c r="S56" s="14">
        <f>IF(OR(A56="",C56="",F56="",G56="",I56="",J56=""),"",IF(F56="股票期权",MAX(0,(J56-K56)*I56),IF(F56="限制性股票",IF(OR(L56="",M56="",M56&lt;=0,N56=""),"",MAX(0,((L56+J56)/2)*I56-N56*I56/M56)),MAX(0,O56))))</f>
        <v/>
      </c>
      <c r="T56" s="14">
        <f>IF(S56="","",SUMIFS($S$2:$S$501,$C$2:$C$501,C56,$H$2:$H$501,H56,$G$2:$G$501,"&lt;"&amp;G56)+SUMIFS($S$2:$S$501,$C$2:$C$501,C56,$H$2:$H$501,H56,$G$2:$G$501,G56,$A$2:$A$501,"&lt;"&amp;A56))</f>
        <v/>
      </c>
      <c r="U56" s="14">
        <f>IF(S56="","",T56+S56)</f>
        <v/>
      </c>
      <c r="V56" s="15">
        <f>IF(U56="","",VLOOKUP(U56,'税率及规则'!$A$2:$C$8,2,TRUE))</f>
        <v/>
      </c>
      <c r="W56" s="14">
        <f>IF(U56="","",VLOOKUP(U56,'税率及规则'!$A$2:$C$8,3,TRUE))</f>
        <v/>
      </c>
      <c r="X56" s="14">
        <f>IF(U56="","",MAX(0,U56*V56-W56))</f>
        <v/>
      </c>
      <c r="Y56" s="14">
        <f>IF(T56="","",MAX(0,T56*VLOOKUP(T56,'税率及规则'!$A$2:$C$8,2,TRUE)-VLOOKUP(T56,'税率及规则'!$A$2:$C$8,3,TRUE)))</f>
        <v/>
      </c>
      <c r="Z56" s="14">
        <f>IF(X56="","",MAX(0,X56-Y56))</f>
        <v/>
      </c>
      <c r="AA56" s="16">
        <f>IF(G56="","",G56)</f>
        <v/>
      </c>
      <c r="AB56" s="16">
        <f>IF(AA56="","",EDATE(AA56,36))</f>
        <v/>
      </c>
      <c r="AC56" s="6">
        <f>IF(A56="","",IF(COUNTIF($A$2:$A$501,A56)&gt;1,"异常：事件编号重复",IF(OR(C56="",D56="",E56="",F56="",G56="",I56="",J56=""),"异常：必填项缺失",IF(OR(I56&lt;=0,J56&lt;0),"异常：数量或价格无效",IF(AND(F56="限制性股票",OR(M56&lt;=0,N56&lt;0,I56&gt;M56)),"异常：个人获授或出资数据无效",IF(AND(F56="股票期权",K56&lt;&gt;IF(G56&lt;DATE(2025,1,10),14.56,IF(G56&lt;DATE(2025,4,29),14.32,IF(G56&lt;DATE(2025,9,26),14.18,14.04)))),"异常：行权价格区间不符",IF(Q56&lt;&gt;"已备案","提示：未确认备案","正常")))))))</f>
        <v/>
      </c>
      <c r="AD56" s="11" t="n"/>
    </row>
    <row r="57">
      <c r="A57" s="11" t="n"/>
      <c r="B57" s="6">
        <f>IF(A57="","",A57&amp;"-TAX")</f>
        <v/>
      </c>
      <c r="C57" s="11" t="n"/>
      <c r="D57" s="11" t="n"/>
      <c r="E57" s="11" t="n"/>
      <c r="F57" s="11" t="n"/>
      <c r="G57" s="12" t="n"/>
      <c r="H57" s="6">
        <f>IF(G57="","",YEAR(G57))</f>
        <v/>
      </c>
      <c r="I57" s="11" t="n"/>
      <c r="J57" s="13" t="n"/>
      <c r="K57" s="14">
        <f>IF(F57="股票期权",IF(G57="","",IF(G57&lt;DATE(2025,1,10),14.56,IF(G57&lt;DATE(2025,4,29),14.32,IF(G57&lt;DATE(2025,9,26),14.18,14.04)))),IF(F57="限制性股票",8.68,""))</f>
        <v/>
      </c>
      <c r="L57" s="14">
        <f>IF(F57="限制性股票",13.06,"")</f>
        <v/>
      </c>
      <c r="M57" s="11" t="n"/>
      <c r="N57" s="13" t="n"/>
      <c r="O57" s="13" t="n"/>
      <c r="P57" s="12" t="n"/>
      <c r="Q57" s="11" t="n"/>
      <c r="R57" s="12" t="n"/>
      <c r="S57" s="14">
        <f>IF(OR(A57="",C57="",F57="",G57="",I57="",J57=""),"",IF(F57="股票期权",MAX(0,(J57-K57)*I57),IF(F57="限制性股票",IF(OR(L57="",M57="",M57&lt;=0,N57=""),"",MAX(0,((L57+J57)/2)*I57-N57*I57/M57)),MAX(0,O57))))</f>
        <v/>
      </c>
      <c r="T57" s="14">
        <f>IF(S57="","",SUMIFS($S$2:$S$501,$C$2:$C$501,C57,$H$2:$H$501,H57,$G$2:$G$501,"&lt;"&amp;G57)+SUMIFS($S$2:$S$501,$C$2:$C$501,C57,$H$2:$H$501,H57,$G$2:$G$501,G57,$A$2:$A$501,"&lt;"&amp;A57))</f>
        <v/>
      </c>
      <c r="U57" s="14">
        <f>IF(S57="","",T57+S57)</f>
        <v/>
      </c>
      <c r="V57" s="15">
        <f>IF(U57="","",VLOOKUP(U57,'税率及规则'!$A$2:$C$8,2,TRUE))</f>
        <v/>
      </c>
      <c r="W57" s="14">
        <f>IF(U57="","",VLOOKUP(U57,'税率及规则'!$A$2:$C$8,3,TRUE))</f>
        <v/>
      </c>
      <c r="X57" s="14">
        <f>IF(U57="","",MAX(0,U57*V57-W57))</f>
        <v/>
      </c>
      <c r="Y57" s="14">
        <f>IF(T57="","",MAX(0,T57*VLOOKUP(T57,'税率及规则'!$A$2:$C$8,2,TRUE)-VLOOKUP(T57,'税率及规则'!$A$2:$C$8,3,TRUE)))</f>
        <v/>
      </c>
      <c r="Z57" s="14">
        <f>IF(X57="","",MAX(0,X57-Y57))</f>
        <v/>
      </c>
      <c r="AA57" s="16">
        <f>IF(G57="","",G57)</f>
        <v/>
      </c>
      <c r="AB57" s="16">
        <f>IF(AA57="","",EDATE(AA57,36))</f>
        <v/>
      </c>
      <c r="AC57" s="6">
        <f>IF(A57="","",IF(COUNTIF($A$2:$A$501,A57)&gt;1,"异常：事件编号重复",IF(OR(C57="",D57="",E57="",F57="",G57="",I57="",J57=""),"异常：必填项缺失",IF(OR(I57&lt;=0,J57&lt;0),"异常：数量或价格无效",IF(AND(F57="限制性股票",OR(M57&lt;=0,N57&lt;0,I57&gt;M57)),"异常：个人获授或出资数据无效",IF(AND(F57="股票期权",K57&lt;&gt;IF(G57&lt;DATE(2025,1,10),14.56,IF(G57&lt;DATE(2025,4,29),14.32,IF(G57&lt;DATE(2025,9,26),14.18,14.04)))),"异常：行权价格区间不符",IF(Q57&lt;&gt;"已备案","提示：未确认备案","正常")))))))</f>
        <v/>
      </c>
      <c r="AD57" s="11" t="n"/>
    </row>
    <row r="58">
      <c r="A58" s="11" t="n"/>
      <c r="B58" s="6">
        <f>IF(A58="","",A58&amp;"-TAX")</f>
        <v/>
      </c>
      <c r="C58" s="11" t="n"/>
      <c r="D58" s="11" t="n"/>
      <c r="E58" s="11" t="n"/>
      <c r="F58" s="11" t="n"/>
      <c r="G58" s="12" t="n"/>
      <c r="H58" s="6">
        <f>IF(G58="","",YEAR(G58))</f>
        <v/>
      </c>
      <c r="I58" s="11" t="n"/>
      <c r="J58" s="13" t="n"/>
      <c r="K58" s="14">
        <f>IF(F58="股票期权",IF(G58="","",IF(G58&lt;DATE(2025,1,10),14.56,IF(G58&lt;DATE(2025,4,29),14.32,IF(G58&lt;DATE(2025,9,26),14.18,14.04)))),IF(F58="限制性股票",8.68,""))</f>
        <v/>
      </c>
      <c r="L58" s="14">
        <f>IF(F58="限制性股票",13.06,"")</f>
        <v/>
      </c>
      <c r="M58" s="11" t="n"/>
      <c r="N58" s="13" t="n"/>
      <c r="O58" s="13" t="n"/>
      <c r="P58" s="12" t="n"/>
      <c r="Q58" s="11" t="n"/>
      <c r="R58" s="12" t="n"/>
      <c r="S58" s="14">
        <f>IF(OR(A58="",C58="",F58="",G58="",I58="",J58=""),"",IF(F58="股票期权",MAX(0,(J58-K58)*I58),IF(F58="限制性股票",IF(OR(L58="",M58="",M58&lt;=0,N58=""),"",MAX(0,((L58+J58)/2)*I58-N58*I58/M58)),MAX(0,O58))))</f>
        <v/>
      </c>
      <c r="T58" s="14">
        <f>IF(S58="","",SUMIFS($S$2:$S$501,$C$2:$C$501,C58,$H$2:$H$501,H58,$G$2:$G$501,"&lt;"&amp;G58)+SUMIFS($S$2:$S$501,$C$2:$C$501,C58,$H$2:$H$501,H58,$G$2:$G$501,G58,$A$2:$A$501,"&lt;"&amp;A58))</f>
        <v/>
      </c>
      <c r="U58" s="14">
        <f>IF(S58="","",T58+S58)</f>
        <v/>
      </c>
      <c r="V58" s="15">
        <f>IF(U58="","",VLOOKUP(U58,'税率及规则'!$A$2:$C$8,2,TRUE))</f>
        <v/>
      </c>
      <c r="W58" s="14">
        <f>IF(U58="","",VLOOKUP(U58,'税率及规则'!$A$2:$C$8,3,TRUE))</f>
        <v/>
      </c>
      <c r="X58" s="14">
        <f>IF(U58="","",MAX(0,U58*V58-W58))</f>
        <v/>
      </c>
      <c r="Y58" s="14">
        <f>IF(T58="","",MAX(0,T58*VLOOKUP(T58,'税率及规则'!$A$2:$C$8,2,TRUE)-VLOOKUP(T58,'税率及规则'!$A$2:$C$8,3,TRUE)))</f>
        <v/>
      </c>
      <c r="Z58" s="14">
        <f>IF(X58="","",MAX(0,X58-Y58))</f>
        <v/>
      </c>
      <c r="AA58" s="16">
        <f>IF(G58="","",G58)</f>
        <v/>
      </c>
      <c r="AB58" s="16">
        <f>IF(AA58="","",EDATE(AA58,36))</f>
        <v/>
      </c>
      <c r="AC58" s="6">
        <f>IF(A58="","",IF(COUNTIF($A$2:$A$501,A58)&gt;1,"异常：事件编号重复",IF(OR(C58="",D58="",E58="",F58="",G58="",I58="",J58=""),"异常：必填项缺失",IF(OR(I58&lt;=0,J58&lt;0),"异常：数量或价格无效",IF(AND(F58="限制性股票",OR(M58&lt;=0,N58&lt;0,I58&gt;M58)),"异常：个人获授或出资数据无效",IF(AND(F58="股票期权",K58&lt;&gt;IF(G58&lt;DATE(2025,1,10),14.56,IF(G58&lt;DATE(2025,4,29),14.32,IF(G58&lt;DATE(2025,9,26),14.18,14.04)))),"异常：行权价格区间不符",IF(Q58&lt;&gt;"已备案","提示：未确认备案","正常")))))))</f>
        <v/>
      </c>
      <c r="AD58" s="11" t="n"/>
    </row>
    <row r="59">
      <c r="A59" s="11" t="n"/>
      <c r="B59" s="6">
        <f>IF(A59="","",A59&amp;"-TAX")</f>
        <v/>
      </c>
      <c r="C59" s="11" t="n"/>
      <c r="D59" s="11" t="n"/>
      <c r="E59" s="11" t="n"/>
      <c r="F59" s="11" t="n"/>
      <c r="G59" s="12" t="n"/>
      <c r="H59" s="6">
        <f>IF(G59="","",YEAR(G59))</f>
        <v/>
      </c>
      <c r="I59" s="11" t="n"/>
      <c r="J59" s="13" t="n"/>
      <c r="K59" s="14">
        <f>IF(F59="股票期权",IF(G59="","",IF(G59&lt;DATE(2025,1,10),14.56,IF(G59&lt;DATE(2025,4,29),14.32,IF(G59&lt;DATE(2025,9,26),14.18,14.04)))),IF(F59="限制性股票",8.68,""))</f>
        <v/>
      </c>
      <c r="L59" s="14">
        <f>IF(F59="限制性股票",13.06,"")</f>
        <v/>
      </c>
      <c r="M59" s="11" t="n"/>
      <c r="N59" s="13" t="n"/>
      <c r="O59" s="13" t="n"/>
      <c r="P59" s="12" t="n"/>
      <c r="Q59" s="11" t="n"/>
      <c r="R59" s="12" t="n"/>
      <c r="S59" s="14">
        <f>IF(OR(A59="",C59="",F59="",G59="",I59="",J59=""),"",IF(F59="股票期权",MAX(0,(J59-K59)*I59),IF(F59="限制性股票",IF(OR(L59="",M59="",M59&lt;=0,N59=""),"",MAX(0,((L59+J59)/2)*I59-N59*I59/M59)),MAX(0,O59))))</f>
        <v/>
      </c>
      <c r="T59" s="14">
        <f>IF(S59="","",SUMIFS($S$2:$S$501,$C$2:$C$501,C59,$H$2:$H$501,H59,$G$2:$G$501,"&lt;"&amp;G59)+SUMIFS($S$2:$S$501,$C$2:$C$501,C59,$H$2:$H$501,H59,$G$2:$G$501,G59,$A$2:$A$501,"&lt;"&amp;A59))</f>
        <v/>
      </c>
      <c r="U59" s="14">
        <f>IF(S59="","",T59+S59)</f>
        <v/>
      </c>
      <c r="V59" s="15">
        <f>IF(U59="","",VLOOKUP(U59,'税率及规则'!$A$2:$C$8,2,TRUE))</f>
        <v/>
      </c>
      <c r="W59" s="14">
        <f>IF(U59="","",VLOOKUP(U59,'税率及规则'!$A$2:$C$8,3,TRUE))</f>
        <v/>
      </c>
      <c r="X59" s="14">
        <f>IF(U59="","",MAX(0,U59*V59-W59))</f>
        <v/>
      </c>
      <c r="Y59" s="14">
        <f>IF(T59="","",MAX(0,T59*VLOOKUP(T59,'税率及规则'!$A$2:$C$8,2,TRUE)-VLOOKUP(T59,'税率及规则'!$A$2:$C$8,3,TRUE)))</f>
        <v/>
      </c>
      <c r="Z59" s="14">
        <f>IF(X59="","",MAX(0,X59-Y59))</f>
        <v/>
      </c>
      <c r="AA59" s="16">
        <f>IF(G59="","",G59)</f>
        <v/>
      </c>
      <c r="AB59" s="16">
        <f>IF(AA59="","",EDATE(AA59,36))</f>
        <v/>
      </c>
      <c r="AC59" s="6">
        <f>IF(A59="","",IF(COUNTIF($A$2:$A$501,A59)&gt;1,"异常：事件编号重复",IF(OR(C59="",D59="",E59="",F59="",G59="",I59="",J59=""),"异常：必填项缺失",IF(OR(I59&lt;=0,J59&lt;0),"异常：数量或价格无效",IF(AND(F59="限制性股票",OR(M59&lt;=0,N59&lt;0,I59&gt;M59)),"异常：个人获授或出资数据无效",IF(AND(F59="股票期权",K59&lt;&gt;IF(G59&lt;DATE(2025,1,10),14.56,IF(G59&lt;DATE(2025,4,29),14.32,IF(G59&lt;DATE(2025,9,26),14.18,14.04)))),"异常：行权价格区间不符",IF(Q59&lt;&gt;"已备案","提示：未确认备案","正常")))))))</f>
        <v/>
      </c>
      <c r="AD59" s="11" t="n"/>
    </row>
    <row r="60">
      <c r="A60" s="11" t="n"/>
      <c r="B60" s="6">
        <f>IF(A60="","",A60&amp;"-TAX")</f>
        <v/>
      </c>
      <c r="C60" s="11" t="n"/>
      <c r="D60" s="11" t="n"/>
      <c r="E60" s="11" t="n"/>
      <c r="F60" s="11" t="n"/>
      <c r="G60" s="12" t="n"/>
      <c r="H60" s="6">
        <f>IF(G60="","",YEAR(G60))</f>
        <v/>
      </c>
      <c r="I60" s="11" t="n"/>
      <c r="J60" s="13" t="n"/>
      <c r="K60" s="14">
        <f>IF(F60="股票期权",IF(G60="","",IF(G60&lt;DATE(2025,1,10),14.56,IF(G60&lt;DATE(2025,4,29),14.32,IF(G60&lt;DATE(2025,9,26),14.18,14.04)))),IF(F60="限制性股票",8.68,""))</f>
        <v/>
      </c>
      <c r="L60" s="14">
        <f>IF(F60="限制性股票",13.06,"")</f>
        <v/>
      </c>
      <c r="M60" s="11" t="n"/>
      <c r="N60" s="13" t="n"/>
      <c r="O60" s="13" t="n"/>
      <c r="P60" s="12" t="n"/>
      <c r="Q60" s="11" t="n"/>
      <c r="R60" s="12" t="n"/>
      <c r="S60" s="14">
        <f>IF(OR(A60="",C60="",F60="",G60="",I60="",J60=""),"",IF(F60="股票期权",MAX(0,(J60-K60)*I60),IF(F60="限制性股票",IF(OR(L60="",M60="",M60&lt;=0,N60=""),"",MAX(0,((L60+J60)/2)*I60-N60*I60/M60)),MAX(0,O60))))</f>
        <v/>
      </c>
      <c r="T60" s="14">
        <f>IF(S60="","",SUMIFS($S$2:$S$501,$C$2:$C$501,C60,$H$2:$H$501,H60,$G$2:$G$501,"&lt;"&amp;G60)+SUMIFS($S$2:$S$501,$C$2:$C$501,C60,$H$2:$H$501,H60,$G$2:$G$501,G60,$A$2:$A$501,"&lt;"&amp;A60))</f>
        <v/>
      </c>
      <c r="U60" s="14">
        <f>IF(S60="","",T60+S60)</f>
        <v/>
      </c>
      <c r="V60" s="15">
        <f>IF(U60="","",VLOOKUP(U60,'税率及规则'!$A$2:$C$8,2,TRUE))</f>
        <v/>
      </c>
      <c r="W60" s="14">
        <f>IF(U60="","",VLOOKUP(U60,'税率及规则'!$A$2:$C$8,3,TRUE))</f>
        <v/>
      </c>
      <c r="X60" s="14">
        <f>IF(U60="","",MAX(0,U60*V60-W60))</f>
        <v/>
      </c>
      <c r="Y60" s="14">
        <f>IF(T60="","",MAX(0,T60*VLOOKUP(T60,'税率及规则'!$A$2:$C$8,2,TRUE)-VLOOKUP(T60,'税率及规则'!$A$2:$C$8,3,TRUE)))</f>
        <v/>
      </c>
      <c r="Z60" s="14">
        <f>IF(X60="","",MAX(0,X60-Y60))</f>
        <v/>
      </c>
      <c r="AA60" s="16">
        <f>IF(G60="","",G60)</f>
        <v/>
      </c>
      <c r="AB60" s="16">
        <f>IF(AA60="","",EDATE(AA60,36))</f>
        <v/>
      </c>
      <c r="AC60" s="6">
        <f>IF(A60="","",IF(COUNTIF($A$2:$A$501,A60)&gt;1,"异常：事件编号重复",IF(OR(C60="",D60="",E60="",F60="",G60="",I60="",J60=""),"异常：必填项缺失",IF(OR(I60&lt;=0,J60&lt;0),"异常：数量或价格无效",IF(AND(F60="限制性股票",OR(M60&lt;=0,N60&lt;0,I60&gt;M60)),"异常：个人获授或出资数据无效",IF(AND(F60="股票期权",K60&lt;&gt;IF(G60&lt;DATE(2025,1,10),14.56,IF(G60&lt;DATE(2025,4,29),14.32,IF(G60&lt;DATE(2025,9,26),14.18,14.04)))),"异常：行权价格区间不符",IF(Q60&lt;&gt;"已备案","提示：未确认备案","正常")))))))</f>
        <v/>
      </c>
      <c r="AD60" s="11" t="n"/>
    </row>
    <row r="61">
      <c r="A61" s="11" t="n"/>
      <c r="B61" s="6">
        <f>IF(A61="","",A61&amp;"-TAX")</f>
        <v/>
      </c>
      <c r="C61" s="11" t="n"/>
      <c r="D61" s="11" t="n"/>
      <c r="E61" s="11" t="n"/>
      <c r="F61" s="11" t="n"/>
      <c r="G61" s="12" t="n"/>
      <c r="H61" s="6">
        <f>IF(G61="","",YEAR(G61))</f>
        <v/>
      </c>
      <c r="I61" s="11" t="n"/>
      <c r="J61" s="13" t="n"/>
      <c r="K61" s="14">
        <f>IF(F61="股票期权",IF(G61="","",IF(G61&lt;DATE(2025,1,10),14.56,IF(G61&lt;DATE(2025,4,29),14.32,IF(G61&lt;DATE(2025,9,26),14.18,14.04)))),IF(F61="限制性股票",8.68,""))</f>
        <v/>
      </c>
      <c r="L61" s="14">
        <f>IF(F61="限制性股票",13.06,"")</f>
        <v/>
      </c>
      <c r="M61" s="11" t="n"/>
      <c r="N61" s="13" t="n"/>
      <c r="O61" s="13" t="n"/>
      <c r="P61" s="12" t="n"/>
      <c r="Q61" s="11" t="n"/>
      <c r="R61" s="12" t="n"/>
      <c r="S61" s="14">
        <f>IF(OR(A61="",C61="",F61="",G61="",I61="",J61=""),"",IF(F61="股票期权",MAX(0,(J61-K61)*I61),IF(F61="限制性股票",IF(OR(L61="",M61="",M61&lt;=0,N61=""),"",MAX(0,((L61+J61)/2)*I61-N61*I61/M61)),MAX(0,O61))))</f>
        <v/>
      </c>
      <c r="T61" s="14">
        <f>IF(S61="","",SUMIFS($S$2:$S$501,$C$2:$C$501,C61,$H$2:$H$501,H61,$G$2:$G$501,"&lt;"&amp;G61)+SUMIFS($S$2:$S$501,$C$2:$C$501,C61,$H$2:$H$501,H61,$G$2:$G$501,G61,$A$2:$A$501,"&lt;"&amp;A61))</f>
        <v/>
      </c>
      <c r="U61" s="14">
        <f>IF(S61="","",T61+S61)</f>
        <v/>
      </c>
      <c r="V61" s="15">
        <f>IF(U61="","",VLOOKUP(U61,'税率及规则'!$A$2:$C$8,2,TRUE))</f>
        <v/>
      </c>
      <c r="W61" s="14">
        <f>IF(U61="","",VLOOKUP(U61,'税率及规则'!$A$2:$C$8,3,TRUE))</f>
        <v/>
      </c>
      <c r="X61" s="14">
        <f>IF(U61="","",MAX(0,U61*V61-W61))</f>
        <v/>
      </c>
      <c r="Y61" s="14">
        <f>IF(T61="","",MAX(0,T61*VLOOKUP(T61,'税率及规则'!$A$2:$C$8,2,TRUE)-VLOOKUP(T61,'税率及规则'!$A$2:$C$8,3,TRUE)))</f>
        <v/>
      </c>
      <c r="Z61" s="14">
        <f>IF(X61="","",MAX(0,X61-Y61))</f>
        <v/>
      </c>
      <c r="AA61" s="16">
        <f>IF(G61="","",G61)</f>
        <v/>
      </c>
      <c r="AB61" s="16">
        <f>IF(AA61="","",EDATE(AA61,36))</f>
        <v/>
      </c>
      <c r="AC61" s="6">
        <f>IF(A61="","",IF(COUNTIF($A$2:$A$501,A61)&gt;1,"异常：事件编号重复",IF(OR(C61="",D61="",E61="",F61="",G61="",I61="",J61=""),"异常：必填项缺失",IF(OR(I61&lt;=0,J61&lt;0),"异常：数量或价格无效",IF(AND(F61="限制性股票",OR(M61&lt;=0,N61&lt;0,I61&gt;M61)),"异常：个人获授或出资数据无效",IF(AND(F61="股票期权",K61&lt;&gt;IF(G61&lt;DATE(2025,1,10),14.56,IF(G61&lt;DATE(2025,4,29),14.32,IF(G61&lt;DATE(2025,9,26),14.18,14.04)))),"异常：行权价格区间不符",IF(Q61&lt;&gt;"已备案","提示：未确认备案","正常")))))))</f>
        <v/>
      </c>
      <c r="AD61" s="11" t="n"/>
    </row>
    <row r="62">
      <c r="A62" s="11" t="n"/>
      <c r="B62" s="6">
        <f>IF(A62="","",A62&amp;"-TAX")</f>
        <v/>
      </c>
      <c r="C62" s="11" t="n"/>
      <c r="D62" s="11" t="n"/>
      <c r="E62" s="11" t="n"/>
      <c r="F62" s="11" t="n"/>
      <c r="G62" s="12" t="n"/>
      <c r="H62" s="6">
        <f>IF(G62="","",YEAR(G62))</f>
        <v/>
      </c>
      <c r="I62" s="11" t="n"/>
      <c r="J62" s="13" t="n"/>
      <c r="K62" s="14">
        <f>IF(F62="股票期权",IF(G62="","",IF(G62&lt;DATE(2025,1,10),14.56,IF(G62&lt;DATE(2025,4,29),14.32,IF(G62&lt;DATE(2025,9,26),14.18,14.04)))),IF(F62="限制性股票",8.68,""))</f>
        <v/>
      </c>
      <c r="L62" s="14">
        <f>IF(F62="限制性股票",13.06,"")</f>
        <v/>
      </c>
      <c r="M62" s="11" t="n"/>
      <c r="N62" s="13" t="n"/>
      <c r="O62" s="13" t="n"/>
      <c r="P62" s="12" t="n"/>
      <c r="Q62" s="11" t="n"/>
      <c r="R62" s="12" t="n"/>
      <c r="S62" s="14">
        <f>IF(OR(A62="",C62="",F62="",G62="",I62="",J62=""),"",IF(F62="股票期权",MAX(0,(J62-K62)*I62),IF(F62="限制性股票",IF(OR(L62="",M62="",M62&lt;=0,N62=""),"",MAX(0,((L62+J62)/2)*I62-N62*I62/M62)),MAX(0,O62))))</f>
        <v/>
      </c>
      <c r="T62" s="14">
        <f>IF(S62="","",SUMIFS($S$2:$S$501,$C$2:$C$501,C62,$H$2:$H$501,H62,$G$2:$G$501,"&lt;"&amp;G62)+SUMIFS($S$2:$S$501,$C$2:$C$501,C62,$H$2:$H$501,H62,$G$2:$G$501,G62,$A$2:$A$501,"&lt;"&amp;A62))</f>
        <v/>
      </c>
      <c r="U62" s="14">
        <f>IF(S62="","",T62+S62)</f>
        <v/>
      </c>
      <c r="V62" s="15">
        <f>IF(U62="","",VLOOKUP(U62,'税率及规则'!$A$2:$C$8,2,TRUE))</f>
        <v/>
      </c>
      <c r="W62" s="14">
        <f>IF(U62="","",VLOOKUP(U62,'税率及规则'!$A$2:$C$8,3,TRUE))</f>
        <v/>
      </c>
      <c r="X62" s="14">
        <f>IF(U62="","",MAX(0,U62*V62-W62))</f>
        <v/>
      </c>
      <c r="Y62" s="14">
        <f>IF(T62="","",MAX(0,T62*VLOOKUP(T62,'税率及规则'!$A$2:$C$8,2,TRUE)-VLOOKUP(T62,'税率及规则'!$A$2:$C$8,3,TRUE)))</f>
        <v/>
      </c>
      <c r="Z62" s="14">
        <f>IF(X62="","",MAX(0,X62-Y62))</f>
        <v/>
      </c>
      <c r="AA62" s="16">
        <f>IF(G62="","",G62)</f>
        <v/>
      </c>
      <c r="AB62" s="16">
        <f>IF(AA62="","",EDATE(AA62,36))</f>
        <v/>
      </c>
      <c r="AC62" s="6">
        <f>IF(A62="","",IF(COUNTIF($A$2:$A$501,A62)&gt;1,"异常：事件编号重复",IF(OR(C62="",D62="",E62="",F62="",G62="",I62="",J62=""),"异常：必填项缺失",IF(OR(I62&lt;=0,J62&lt;0),"异常：数量或价格无效",IF(AND(F62="限制性股票",OR(M62&lt;=0,N62&lt;0,I62&gt;M62)),"异常：个人获授或出资数据无效",IF(AND(F62="股票期权",K62&lt;&gt;IF(G62&lt;DATE(2025,1,10),14.56,IF(G62&lt;DATE(2025,4,29),14.32,IF(G62&lt;DATE(2025,9,26),14.18,14.04)))),"异常：行权价格区间不符",IF(Q62&lt;&gt;"已备案","提示：未确认备案","正常")))))))</f>
        <v/>
      </c>
      <c r="AD62" s="11" t="n"/>
    </row>
    <row r="63">
      <c r="A63" s="11" t="n"/>
      <c r="B63" s="6">
        <f>IF(A63="","",A63&amp;"-TAX")</f>
        <v/>
      </c>
      <c r="C63" s="11" t="n"/>
      <c r="D63" s="11" t="n"/>
      <c r="E63" s="11" t="n"/>
      <c r="F63" s="11" t="n"/>
      <c r="G63" s="12" t="n"/>
      <c r="H63" s="6">
        <f>IF(G63="","",YEAR(G63))</f>
        <v/>
      </c>
      <c r="I63" s="11" t="n"/>
      <c r="J63" s="13" t="n"/>
      <c r="K63" s="14">
        <f>IF(F63="股票期权",IF(G63="","",IF(G63&lt;DATE(2025,1,10),14.56,IF(G63&lt;DATE(2025,4,29),14.32,IF(G63&lt;DATE(2025,9,26),14.18,14.04)))),IF(F63="限制性股票",8.68,""))</f>
        <v/>
      </c>
      <c r="L63" s="14">
        <f>IF(F63="限制性股票",13.06,"")</f>
        <v/>
      </c>
      <c r="M63" s="11" t="n"/>
      <c r="N63" s="13" t="n"/>
      <c r="O63" s="13" t="n"/>
      <c r="P63" s="12" t="n"/>
      <c r="Q63" s="11" t="n"/>
      <c r="R63" s="12" t="n"/>
      <c r="S63" s="14">
        <f>IF(OR(A63="",C63="",F63="",G63="",I63="",J63=""),"",IF(F63="股票期权",MAX(0,(J63-K63)*I63),IF(F63="限制性股票",IF(OR(L63="",M63="",M63&lt;=0,N63=""),"",MAX(0,((L63+J63)/2)*I63-N63*I63/M63)),MAX(0,O63))))</f>
        <v/>
      </c>
      <c r="T63" s="14">
        <f>IF(S63="","",SUMIFS($S$2:$S$501,$C$2:$C$501,C63,$H$2:$H$501,H63,$G$2:$G$501,"&lt;"&amp;G63)+SUMIFS($S$2:$S$501,$C$2:$C$501,C63,$H$2:$H$501,H63,$G$2:$G$501,G63,$A$2:$A$501,"&lt;"&amp;A63))</f>
        <v/>
      </c>
      <c r="U63" s="14">
        <f>IF(S63="","",T63+S63)</f>
        <v/>
      </c>
      <c r="V63" s="15">
        <f>IF(U63="","",VLOOKUP(U63,'税率及规则'!$A$2:$C$8,2,TRUE))</f>
        <v/>
      </c>
      <c r="W63" s="14">
        <f>IF(U63="","",VLOOKUP(U63,'税率及规则'!$A$2:$C$8,3,TRUE))</f>
        <v/>
      </c>
      <c r="X63" s="14">
        <f>IF(U63="","",MAX(0,U63*V63-W63))</f>
        <v/>
      </c>
      <c r="Y63" s="14">
        <f>IF(T63="","",MAX(0,T63*VLOOKUP(T63,'税率及规则'!$A$2:$C$8,2,TRUE)-VLOOKUP(T63,'税率及规则'!$A$2:$C$8,3,TRUE)))</f>
        <v/>
      </c>
      <c r="Z63" s="14">
        <f>IF(X63="","",MAX(0,X63-Y63))</f>
        <v/>
      </c>
      <c r="AA63" s="16">
        <f>IF(G63="","",G63)</f>
        <v/>
      </c>
      <c r="AB63" s="16">
        <f>IF(AA63="","",EDATE(AA63,36))</f>
        <v/>
      </c>
      <c r="AC63" s="6">
        <f>IF(A63="","",IF(COUNTIF($A$2:$A$501,A63)&gt;1,"异常：事件编号重复",IF(OR(C63="",D63="",E63="",F63="",G63="",I63="",J63=""),"异常：必填项缺失",IF(OR(I63&lt;=0,J63&lt;0),"异常：数量或价格无效",IF(AND(F63="限制性股票",OR(M63&lt;=0,N63&lt;0,I63&gt;M63)),"异常：个人获授或出资数据无效",IF(AND(F63="股票期权",K63&lt;&gt;IF(G63&lt;DATE(2025,1,10),14.56,IF(G63&lt;DATE(2025,4,29),14.32,IF(G63&lt;DATE(2025,9,26),14.18,14.04)))),"异常：行权价格区间不符",IF(Q63&lt;&gt;"已备案","提示：未确认备案","正常")))))))</f>
        <v/>
      </c>
      <c r="AD63" s="11" t="n"/>
    </row>
    <row r="64">
      <c r="A64" s="11" t="n"/>
      <c r="B64" s="6">
        <f>IF(A64="","",A64&amp;"-TAX")</f>
        <v/>
      </c>
      <c r="C64" s="11" t="n"/>
      <c r="D64" s="11" t="n"/>
      <c r="E64" s="11" t="n"/>
      <c r="F64" s="11" t="n"/>
      <c r="G64" s="12" t="n"/>
      <c r="H64" s="6">
        <f>IF(G64="","",YEAR(G64))</f>
        <v/>
      </c>
      <c r="I64" s="11" t="n"/>
      <c r="J64" s="13" t="n"/>
      <c r="K64" s="14">
        <f>IF(F64="股票期权",IF(G64="","",IF(G64&lt;DATE(2025,1,10),14.56,IF(G64&lt;DATE(2025,4,29),14.32,IF(G64&lt;DATE(2025,9,26),14.18,14.04)))),IF(F64="限制性股票",8.68,""))</f>
        <v/>
      </c>
      <c r="L64" s="14">
        <f>IF(F64="限制性股票",13.06,"")</f>
        <v/>
      </c>
      <c r="M64" s="11" t="n"/>
      <c r="N64" s="13" t="n"/>
      <c r="O64" s="13" t="n"/>
      <c r="P64" s="12" t="n"/>
      <c r="Q64" s="11" t="n"/>
      <c r="R64" s="12" t="n"/>
      <c r="S64" s="14">
        <f>IF(OR(A64="",C64="",F64="",G64="",I64="",J64=""),"",IF(F64="股票期权",MAX(0,(J64-K64)*I64),IF(F64="限制性股票",IF(OR(L64="",M64="",M64&lt;=0,N64=""),"",MAX(0,((L64+J64)/2)*I64-N64*I64/M64)),MAX(0,O64))))</f>
        <v/>
      </c>
      <c r="T64" s="14">
        <f>IF(S64="","",SUMIFS($S$2:$S$501,$C$2:$C$501,C64,$H$2:$H$501,H64,$G$2:$G$501,"&lt;"&amp;G64)+SUMIFS($S$2:$S$501,$C$2:$C$501,C64,$H$2:$H$501,H64,$G$2:$G$501,G64,$A$2:$A$501,"&lt;"&amp;A64))</f>
        <v/>
      </c>
      <c r="U64" s="14">
        <f>IF(S64="","",T64+S64)</f>
        <v/>
      </c>
      <c r="V64" s="15">
        <f>IF(U64="","",VLOOKUP(U64,'税率及规则'!$A$2:$C$8,2,TRUE))</f>
        <v/>
      </c>
      <c r="W64" s="14">
        <f>IF(U64="","",VLOOKUP(U64,'税率及规则'!$A$2:$C$8,3,TRUE))</f>
        <v/>
      </c>
      <c r="X64" s="14">
        <f>IF(U64="","",MAX(0,U64*V64-W64))</f>
        <v/>
      </c>
      <c r="Y64" s="14">
        <f>IF(T64="","",MAX(0,T64*VLOOKUP(T64,'税率及规则'!$A$2:$C$8,2,TRUE)-VLOOKUP(T64,'税率及规则'!$A$2:$C$8,3,TRUE)))</f>
        <v/>
      </c>
      <c r="Z64" s="14">
        <f>IF(X64="","",MAX(0,X64-Y64))</f>
        <v/>
      </c>
      <c r="AA64" s="16">
        <f>IF(G64="","",G64)</f>
        <v/>
      </c>
      <c r="AB64" s="16">
        <f>IF(AA64="","",EDATE(AA64,36))</f>
        <v/>
      </c>
      <c r="AC64" s="6">
        <f>IF(A64="","",IF(COUNTIF($A$2:$A$501,A64)&gt;1,"异常：事件编号重复",IF(OR(C64="",D64="",E64="",F64="",G64="",I64="",J64=""),"异常：必填项缺失",IF(OR(I64&lt;=0,J64&lt;0),"异常：数量或价格无效",IF(AND(F64="限制性股票",OR(M64&lt;=0,N64&lt;0,I64&gt;M64)),"异常：个人获授或出资数据无效",IF(AND(F64="股票期权",K64&lt;&gt;IF(G64&lt;DATE(2025,1,10),14.56,IF(G64&lt;DATE(2025,4,29),14.32,IF(G64&lt;DATE(2025,9,26),14.18,14.04)))),"异常：行权价格区间不符",IF(Q64&lt;&gt;"已备案","提示：未确认备案","正常")))))))</f>
        <v/>
      </c>
      <c r="AD64" s="11" t="n"/>
    </row>
    <row r="65">
      <c r="A65" s="11" t="n"/>
      <c r="B65" s="6">
        <f>IF(A65="","",A65&amp;"-TAX")</f>
        <v/>
      </c>
      <c r="C65" s="11" t="n"/>
      <c r="D65" s="11" t="n"/>
      <c r="E65" s="11" t="n"/>
      <c r="F65" s="11" t="n"/>
      <c r="G65" s="12" t="n"/>
      <c r="H65" s="6">
        <f>IF(G65="","",YEAR(G65))</f>
        <v/>
      </c>
      <c r="I65" s="11" t="n"/>
      <c r="J65" s="13" t="n"/>
      <c r="K65" s="14">
        <f>IF(F65="股票期权",IF(G65="","",IF(G65&lt;DATE(2025,1,10),14.56,IF(G65&lt;DATE(2025,4,29),14.32,IF(G65&lt;DATE(2025,9,26),14.18,14.04)))),IF(F65="限制性股票",8.68,""))</f>
        <v/>
      </c>
      <c r="L65" s="14">
        <f>IF(F65="限制性股票",13.06,"")</f>
        <v/>
      </c>
      <c r="M65" s="11" t="n"/>
      <c r="N65" s="13" t="n"/>
      <c r="O65" s="13" t="n"/>
      <c r="P65" s="12" t="n"/>
      <c r="Q65" s="11" t="n"/>
      <c r="R65" s="12" t="n"/>
      <c r="S65" s="14">
        <f>IF(OR(A65="",C65="",F65="",G65="",I65="",J65=""),"",IF(F65="股票期权",MAX(0,(J65-K65)*I65),IF(F65="限制性股票",IF(OR(L65="",M65="",M65&lt;=0,N65=""),"",MAX(0,((L65+J65)/2)*I65-N65*I65/M65)),MAX(0,O65))))</f>
        <v/>
      </c>
      <c r="T65" s="14">
        <f>IF(S65="","",SUMIFS($S$2:$S$501,$C$2:$C$501,C65,$H$2:$H$501,H65,$G$2:$G$501,"&lt;"&amp;G65)+SUMIFS($S$2:$S$501,$C$2:$C$501,C65,$H$2:$H$501,H65,$G$2:$G$501,G65,$A$2:$A$501,"&lt;"&amp;A65))</f>
        <v/>
      </c>
      <c r="U65" s="14">
        <f>IF(S65="","",T65+S65)</f>
        <v/>
      </c>
      <c r="V65" s="15">
        <f>IF(U65="","",VLOOKUP(U65,'税率及规则'!$A$2:$C$8,2,TRUE))</f>
        <v/>
      </c>
      <c r="W65" s="14">
        <f>IF(U65="","",VLOOKUP(U65,'税率及规则'!$A$2:$C$8,3,TRUE))</f>
        <v/>
      </c>
      <c r="X65" s="14">
        <f>IF(U65="","",MAX(0,U65*V65-W65))</f>
        <v/>
      </c>
      <c r="Y65" s="14">
        <f>IF(T65="","",MAX(0,T65*VLOOKUP(T65,'税率及规则'!$A$2:$C$8,2,TRUE)-VLOOKUP(T65,'税率及规则'!$A$2:$C$8,3,TRUE)))</f>
        <v/>
      </c>
      <c r="Z65" s="14">
        <f>IF(X65="","",MAX(0,X65-Y65))</f>
        <v/>
      </c>
      <c r="AA65" s="16">
        <f>IF(G65="","",G65)</f>
        <v/>
      </c>
      <c r="AB65" s="16">
        <f>IF(AA65="","",EDATE(AA65,36))</f>
        <v/>
      </c>
      <c r="AC65" s="6">
        <f>IF(A65="","",IF(COUNTIF($A$2:$A$501,A65)&gt;1,"异常：事件编号重复",IF(OR(C65="",D65="",E65="",F65="",G65="",I65="",J65=""),"异常：必填项缺失",IF(OR(I65&lt;=0,J65&lt;0),"异常：数量或价格无效",IF(AND(F65="限制性股票",OR(M65&lt;=0,N65&lt;0,I65&gt;M65)),"异常：个人获授或出资数据无效",IF(AND(F65="股票期权",K65&lt;&gt;IF(G65&lt;DATE(2025,1,10),14.56,IF(G65&lt;DATE(2025,4,29),14.32,IF(G65&lt;DATE(2025,9,26),14.18,14.04)))),"异常：行权价格区间不符",IF(Q65&lt;&gt;"已备案","提示：未确认备案","正常")))))))</f>
        <v/>
      </c>
      <c r="AD65" s="11" t="n"/>
    </row>
    <row r="66">
      <c r="A66" s="11" t="n"/>
      <c r="B66" s="6">
        <f>IF(A66="","",A66&amp;"-TAX")</f>
        <v/>
      </c>
      <c r="C66" s="11" t="n"/>
      <c r="D66" s="11" t="n"/>
      <c r="E66" s="11" t="n"/>
      <c r="F66" s="11" t="n"/>
      <c r="G66" s="12" t="n"/>
      <c r="H66" s="6">
        <f>IF(G66="","",YEAR(G66))</f>
        <v/>
      </c>
      <c r="I66" s="11" t="n"/>
      <c r="J66" s="13" t="n"/>
      <c r="K66" s="14">
        <f>IF(F66="股票期权",IF(G66="","",IF(G66&lt;DATE(2025,1,10),14.56,IF(G66&lt;DATE(2025,4,29),14.32,IF(G66&lt;DATE(2025,9,26),14.18,14.04)))),IF(F66="限制性股票",8.68,""))</f>
        <v/>
      </c>
      <c r="L66" s="14">
        <f>IF(F66="限制性股票",13.06,"")</f>
        <v/>
      </c>
      <c r="M66" s="11" t="n"/>
      <c r="N66" s="13" t="n"/>
      <c r="O66" s="13" t="n"/>
      <c r="P66" s="12" t="n"/>
      <c r="Q66" s="11" t="n"/>
      <c r="R66" s="12" t="n"/>
      <c r="S66" s="14">
        <f>IF(OR(A66="",C66="",F66="",G66="",I66="",J66=""),"",IF(F66="股票期权",MAX(0,(J66-K66)*I66),IF(F66="限制性股票",IF(OR(L66="",M66="",M66&lt;=0,N66=""),"",MAX(0,((L66+J66)/2)*I66-N66*I66/M66)),MAX(0,O66))))</f>
        <v/>
      </c>
      <c r="T66" s="14">
        <f>IF(S66="","",SUMIFS($S$2:$S$501,$C$2:$C$501,C66,$H$2:$H$501,H66,$G$2:$G$501,"&lt;"&amp;G66)+SUMIFS($S$2:$S$501,$C$2:$C$501,C66,$H$2:$H$501,H66,$G$2:$G$501,G66,$A$2:$A$501,"&lt;"&amp;A66))</f>
        <v/>
      </c>
      <c r="U66" s="14">
        <f>IF(S66="","",T66+S66)</f>
        <v/>
      </c>
      <c r="V66" s="15">
        <f>IF(U66="","",VLOOKUP(U66,'税率及规则'!$A$2:$C$8,2,TRUE))</f>
        <v/>
      </c>
      <c r="W66" s="14">
        <f>IF(U66="","",VLOOKUP(U66,'税率及规则'!$A$2:$C$8,3,TRUE))</f>
        <v/>
      </c>
      <c r="X66" s="14">
        <f>IF(U66="","",MAX(0,U66*V66-W66))</f>
        <v/>
      </c>
      <c r="Y66" s="14">
        <f>IF(T66="","",MAX(0,T66*VLOOKUP(T66,'税率及规则'!$A$2:$C$8,2,TRUE)-VLOOKUP(T66,'税率及规则'!$A$2:$C$8,3,TRUE)))</f>
        <v/>
      </c>
      <c r="Z66" s="14">
        <f>IF(X66="","",MAX(0,X66-Y66))</f>
        <v/>
      </c>
      <c r="AA66" s="16">
        <f>IF(G66="","",G66)</f>
        <v/>
      </c>
      <c r="AB66" s="16">
        <f>IF(AA66="","",EDATE(AA66,36))</f>
        <v/>
      </c>
      <c r="AC66" s="6">
        <f>IF(A66="","",IF(COUNTIF($A$2:$A$501,A66)&gt;1,"异常：事件编号重复",IF(OR(C66="",D66="",E66="",F66="",G66="",I66="",J66=""),"异常：必填项缺失",IF(OR(I66&lt;=0,J66&lt;0),"异常：数量或价格无效",IF(AND(F66="限制性股票",OR(M66&lt;=0,N66&lt;0,I66&gt;M66)),"异常：个人获授或出资数据无效",IF(AND(F66="股票期权",K66&lt;&gt;IF(G66&lt;DATE(2025,1,10),14.56,IF(G66&lt;DATE(2025,4,29),14.32,IF(G66&lt;DATE(2025,9,26),14.18,14.04)))),"异常：行权价格区间不符",IF(Q66&lt;&gt;"已备案","提示：未确认备案","正常")))))))</f>
        <v/>
      </c>
      <c r="AD66" s="11" t="n"/>
    </row>
    <row r="67">
      <c r="A67" s="11" t="n"/>
      <c r="B67" s="6">
        <f>IF(A67="","",A67&amp;"-TAX")</f>
        <v/>
      </c>
      <c r="C67" s="11" t="n"/>
      <c r="D67" s="11" t="n"/>
      <c r="E67" s="11" t="n"/>
      <c r="F67" s="11" t="n"/>
      <c r="G67" s="12" t="n"/>
      <c r="H67" s="6">
        <f>IF(G67="","",YEAR(G67))</f>
        <v/>
      </c>
      <c r="I67" s="11" t="n"/>
      <c r="J67" s="13" t="n"/>
      <c r="K67" s="14">
        <f>IF(F67="股票期权",IF(G67="","",IF(G67&lt;DATE(2025,1,10),14.56,IF(G67&lt;DATE(2025,4,29),14.32,IF(G67&lt;DATE(2025,9,26),14.18,14.04)))),IF(F67="限制性股票",8.68,""))</f>
        <v/>
      </c>
      <c r="L67" s="14">
        <f>IF(F67="限制性股票",13.06,"")</f>
        <v/>
      </c>
      <c r="M67" s="11" t="n"/>
      <c r="N67" s="13" t="n"/>
      <c r="O67" s="13" t="n"/>
      <c r="P67" s="12" t="n"/>
      <c r="Q67" s="11" t="n"/>
      <c r="R67" s="12" t="n"/>
      <c r="S67" s="14">
        <f>IF(OR(A67="",C67="",F67="",G67="",I67="",J67=""),"",IF(F67="股票期权",MAX(0,(J67-K67)*I67),IF(F67="限制性股票",IF(OR(L67="",M67="",M67&lt;=0,N67=""),"",MAX(0,((L67+J67)/2)*I67-N67*I67/M67)),MAX(0,O67))))</f>
        <v/>
      </c>
      <c r="T67" s="14">
        <f>IF(S67="","",SUMIFS($S$2:$S$501,$C$2:$C$501,C67,$H$2:$H$501,H67,$G$2:$G$501,"&lt;"&amp;G67)+SUMIFS($S$2:$S$501,$C$2:$C$501,C67,$H$2:$H$501,H67,$G$2:$G$501,G67,$A$2:$A$501,"&lt;"&amp;A67))</f>
        <v/>
      </c>
      <c r="U67" s="14">
        <f>IF(S67="","",T67+S67)</f>
        <v/>
      </c>
      <c r="V67" s="15">
        <f>IF(U67="","",VLOOKUP(U67,'税率及规则'!$A$2:$C$8,2,TRUE))</f>
        <v/>
      </c>
      <c r="W67" s="14">
        <f>IF(U67="","",VLOOKUP(U67,'税率及规则'!$A$2:$C$8,3,TRUE))</f>
        <v/>
      </c>
      <c r="X67" s="14">
        <f>IF(U67="","",MAX(0,U67*V67-W67))</f>
        <v/>
      </c>
      <c r="Y67" s="14">
        <f>IF(T67="","",MAX(0,T67*VLOOKUP(T67,'税率及规则'!$A$2:$C$8,2,TRUE)-VLOOKUP(T67,'税率及规则'!$A$2:$C$8,3,TRUE)))</f>
        <v/>
      </c>
      <c r="Z67" s="14">
        <f>IF(X67="","",MAX(0,X67-Y67))</f>
        <v/>
      </c>
      <c r="AA67" s="16">
        <f>IF(G67="","",G67)</f>
        <v/>
      </c>
      <c r="AB67" s="16">
        <f>IF(AA67="","",EDATE(AA67,36))</f>
        <v/>
      </c>
      <c r="AC67" s="6">
        <f>IF(A67="","",IF(COUNTIF($A$2:$A$501,A67)&gt;1,"异常：事件编号重复",IF(OR(C67="",D67="",E67="",F67="",G67="",I67="",J67=""),"异常：必填项缺失",IF(OR(I67&lt;=0,J67&lt;0),"异常：数量或价格无效",IF(AND(F67="限制性股票",OR(M67&lt;=0,N67&lt;0,I67&gt;M67)),"异常：个人获授或出资数据无效",IF(AND(F67="股票期权",K67&lt;&gt;IF(G67&lt;DATE(2025,1,10),14.56,IF(G67&lt;DATE(2025,4,29),14.32,IF(G67&lt;DATE(2025,9,26),14.18,14.04)))),"异常：行权价格区间不符",IF(Q67&lt;&gt;"已备案","提示：未确认备案","正常")))))))</f>
        <v/>
      </c>
      <c r="AD67" s="11" t="n"/>
    </row>
    <row r="68">
      <c r="A68" s="11" t="n"/>
      <c r="B68" s="6">
        <f>IF(A68="","",A68&amp;"-TAX")</f>
        <v/>
      </c>
      <c r="C68" s="11" t="n"/>
      <c r="D68" s="11" t="n"/>
      <c r="E68" s="11" t="n"/>
      <c r="F68" s="11" t="n"/>
      <c r="G68" s="12" t="n"/>
      <c r="H68" s="6">
        <f>IF(G68="","",YEAR(G68))</f>
        <v/>
      </c>
      <c r="I68" s="11" t="n"/>
      <c r="J68" s="13" t="n"/>
      <c r="K68" s="14">
        <f>IF(F68="股票期权",IF(G68="","",IF(G68&lt;DATE(2025,1,10),14.56,IF(G68&lt;DATE(2025,4,29),14.32,IF(G68&lt;DATE(2025,9,26),14.18,14.04)))),IF(F68="限制性股票",8.68,""))</f>
        <v/>
      </c>
      <c r="L68" s="14">
        <f>IF(F68="限制性股票",13.06,"")</f>
        <v/>
      </c>
      <c r="M68" s="11" t="n"/>
      <c r="N68" s="13" t="n"/>
      <c r="O68" s="13" t="n"/>
      <c r="P68" s="12" t="n"/>
      <c r="Q68" s="11" t="n"/>
      <c r="R68" s="12" t="n"/>
      <c r="S68" s="14">
        <f>IF(OR(A68="",C68="",F68="",G68="",I68="",J68=""),"",IF(F68="股票期权",MAX(0,(J68-K68)*I68),IF(F68="限制性股票",IF(OR(L68="",M68="",M68&lt;=0,N68=""),"",MAX(0,((L68+J68)/2)*I68-N68*I68/M68)),MAX(0,O68))))</f>
        <v/>
      </c>
      <c r="T68" s="14">
        <f>IF(S68="","",SUMIFS($S$2:$S$501,$C$2:$C$501,C68,$H$2:$H$501,H68,$G$2:$G$501,"&lt;"&amp;G68)+SUMIFS($S$2:$S$501,$C$2:$C$501,C68,$H$2:$H$501,H68,$G$2:$G$501,G68,$A$2:$A$501,"&lt;"&amp;A68))</f>
        <v/>
      </c>
      <c r="U68" s="14">
        <f>IF(S68="","",T68+S68)</f>
        <v/>
      </c>
      <c r="V68" s="15">
        <f>IF(U68="","",VLOOKUP(U68,'税率及规则'!$A$2:$C$8,2,TRUE))</f>
        <v/>
      </c>
      <c r="W68" s="14">
        <f>IF(U68="","",VLOOKUP(U68,'税率及规则'!$A$2:$C$8,3,TRUE))</f>
        <v/>
      </c>
      <c r="X68" s="14">
        <f>IF(U68="","",MAX(0,U68*V68-W68))</f>
        <v/>
      </c>
      <c r="Y68" s="14">
        <f>IF(T68="","",MAX(0,T68*VLOOKUP(T68,'税率及规则'!$A$2:$C$8,2,TRUE)-VLOOKUP(T68,'税率及规则'!$A$2:$C$8,3,TRUE)))</f>
        <v/>
      </c>
      <c r="Z68" s="14">
        <f>IF(X68="","",MAX(0,X68-Y68))</f>
        <v/>
      </c>
      <c r="AA68" s="16">
        <f>IF(G68="","",G68)</f>
        <v/>
      </c>
      <c r="AB68" s="16">
        <f>IF(AA68="","",EDATE(AA68,36))</f>
        <v/>
      </c>
      <c r="AC68" s="6">
        <f>IF(A68="","",IF(COUNTIF($A$2:$A$501,A68)&gt;1,"异常：事件编号重复",IF(OR(C68="",D68="",E68="",F68="",G68="",I68="",J68=""),"异常：必填项缺失",IF(OR(I68&lt;=0,J68&lt;0),"异常：数量或价格无效",IF(AND(F68="限制性股票",OR(M68&lt;=0,N68&lt;0,I68&gt;M68)),"异常：个人获授或出资数据无效",IF(AND(F68="股票期权",K68&lt;&gt;IF(G68&lt;DATE(2025,1,10),14.56,IF(G68&lt;DATE(2025,4,29),14.32,IF(G68&lt;DATE(2025,9,26),14.18,14.04)))),"异常：行权价格区间不符",IF(Q68&lt;&gt;"已备案","提示：未确认备案","正常")))))))</f>
        <v/>
      </c>
      <c r="AD68" s="11" t="n"/>
    </row>
    <row r="69">
      <c r="A69" s="11" t="n"/>
      <c r="B69" s="6">
        <f>IF(A69="","",A69&amp;"-TAX")</f>
        <v/>
      </c>
      <c r="C69" s="11" t="n"/>
      <c r="D69" s="11" t="n"/>
      <c r="E69" s="11" t="n"/>
      <c r="F69" s="11" t="n"/>
      <c r="G69" s="12" t="n"/>
      <c r="H69" s="6">
        <f>IF(G69="","",YEAR(G69))</f>
        <v/>
      </c>
      <c r="I69" s="11" t="n"/>
      <c r="J69" s="13" t="n"/>
      <c r="K69" s="14">
        <f>IF(F69="股票期权",IF(G69="","",IF(G69&lt;DATE(2025,1,10),14.56,IF(G69&lt;DATE(2025,4,29),14.32,IF(G69&lt;DATE(2025,9,26),14.18,14.04)))),IF(F69="限制性股票",8.68,""))</f>
        <v/>
      </c>
      <c r="L69" s="14">
        <f>IF(F69="限制性股票",13.06,"")</f>
        <v/>
      </c>
      <c r="M69" s="11" t="n"/>
      <c r="N69" s="13" t="n"/>
      <c r="O69" s="13" t="n"/>
      <c r="P69" s="12" t="n"/>
      <c r="Q69" s="11" t="n"/>
      <c r="R69" s="12" t="n"/>
      <c r="S69" s="14">
        <f>IF(OR(A69="",C69="",F69="",G69="",I69="",J69=""),"",IF(F69="股票期权",MAX(0,(J69-K69)*I69),IF(F69="限制性股票",IF(OR(L69="",M69="",M69&lt;=0,N69=""),"",MAX(0,((L69+J69)/2)*I69-N69*I69/M69)),MAX(0,O69))))</f>
        <v/>
      </c>
      <c r="T69" s="14">
        <f>IF(S69="","",SUMIFS($S$2:$S$501,$C$2:$C$501,C69,$H$2:$H$501,H69,$G$2:$G$501,"&lt;"&amp;G69)+SUMIFS($S$2:$S$501,$C$2:$C$501,C69,$H$2:$H$501,H69,$G$2:$G$501,G69,$A$2:$A$501,"&lt;"&amp;A69))</f>
        <v/>
      </c>
      <c r="U69" s="14">
        <f>IF(S69="","",T69+S69)</f>
        <v/>
      </c>
      <c r="V69" s="15">
        <f>IF(U69="","",VLOOKUP(U69,'税率及规则'!$A$2:$C$8,2,TRUE))</f>
        <v/>
      </c>
      <c r="W69" s="14">
        <f>IF(U69="","",VLOOKUP(U69,'税率及规则'!$A$2:$C$8,3,TRUE))</f>
        <v/>
      </c>
      <c r="X69" s="14">
        <f>IF(U69="","",MAX(0,U69*V69-W69))</f>
        <v/>
      </c>
      <c r="Y69" s="14">
        <f>IF(T69="","",MAX(0,T69*VLOOKUP(T69,'税率及规则'!$A$2:$C$8,2,TRUE)-VLOOKUP(T69,'税率及规则'!$A$2:$C$8,3,TRUE)))</f>
        <v/>
      </c>
      <c r="Z69" s="14">
        <f>IF(X69="","",MAX(0,X69-Y69))</f>
        <v/>
      </c>
      <c r="AA69" s="16">
        <f>IF(G69="","",G69)</f>
        <v/>
      </c>
      <c r="AB69" s="16">
        <f>IF(AA69="","",EDATE(AA69,36))</f>
        <v/>
      </c>
      <c r="AC69" s="6">
        <f>IF(A69="","",IF(COUNTIF($A$2:$A$501,A69)&gt;1,"异常：事件编号重复",IF(OR(C69="",D69="",E69="",F69="",G69="",I69="",J69=""),"异常：必填项缺失",IF(OR(I69&lt;=0,J69&lt;0),"异常：数量或价格无效",IF(AND(F69="限制性股票",OR(M69&lt;=0,N69&lt;0,I69&gt;M69)),"异常：个人获授或出资数据无效",IF(AND(F69="股票期权",K69&lt;&gt;IF(G69&lt;DATE(2025,1,10),14.56,IF(G69&lt;DATE(2025,4,29),14.32,IF(G69&lt;DATE(2025,9,26),14.18,14.04)))),"异常：行权价格区间不符",IF(Q69&lt;&gt;"已备案","提示：未确认备案","正常")))))))</f>
        <v/>
      </c>
      <c r="AD69" s="11" t="n"/>
    </row>
    <row r="70">
      <c r="A70" s="11" t="n"/>
      <c r="B70" s="6">
        <f>IF(A70="","",A70&amp;"-TAX")</f>
        <v/>
      </c>
      <c r="C70" s="11" t="n"/>
      <c r="D70" s="11" t="n"/>
      <c r="E70" s="11" t="n"/>
      <c r="F70" s="11" t="n"/>
      <c r="G70" s="12" t="n"/>
      <c r="H70" s="6">
        <f>IF(G70="","",YEAR(G70))</f>
        <v/>
      </c>
      <c r="I70" s="11" t="n"/>
      <c r="J70" s="13" t="n"/>
      <c r="K70" s="14">
        <f>IF(F70="股票期权",IF(G70="","",IF(G70&lt;DATE(2025,1,10),14.56,IF(G70&lt;DATE(2025,4,29),14.32,IF(G70&lt;DATE(2025,9,26),14.18,14.04)))),IF(F70="限制性股票",8.68,""))</f>
        <v/>
      </c>
      <c r="L70" s="14">
        <f>IF(F70="限制性股票",13.06,"")</f>
        <v/>
      </c>
      <c r="M70" s="11" t="n"/>
      <c r="N70" s="13" t="n"/>
      <c r="O70" s="13" t="n"/>
      <c r="P70" s="12" t="n"/>
      <c r="Q70" s="11" t="n"/>
      <c r="R70" s="12" t="n"/>
      <c r="S70" s="14">
        <f>IF(OR(A70="",C70="",F70="",G70="",I70="",J70=""),"",IF(F70="股票期权",MAX(0,(J70-K70)*I70),IF(F70="限制性股票",IF(OR(L70="",M70="",M70&lt;=0,N70=""),"",MAX(0,((L70+J70)/2)*I70-N70*I70/M70)),MAX(0,O70))))</f>
        <v/>
      </c>
      <c r="T70" s="14">
        <f>IF(S70="","",SUMIFS($S$2:$S$501,$C$2:$C$501,C70,$H$2:$H$501,H70,$G$2:$G$501,"&lt;"&amp;G70)+SUMIFS($S$2:$S$501,$C$2:$C$501,C70,$H$2:$H$501,H70,$G$2:$G$501,G70,$A$2:$A$501,"&lt;"&amp;A70))</f>
        <v/>
      </c>
      <c r="U70" s="14">
        <f>IF(S70="","",T70+S70)</f>
        <v/>
      </c>
      <c r="V70" s="15">
        <f>IF(U70="","",VLOOKUP(U70,'税率及规则'!$A$2:$C$8,2,TRUE))</f>
        <v/>
      </c>
      <c r="W70" s="14">
        <f>IF(U70="","",VLOOKUP(U70,'税率及规则'!$A$2:$C$8,3,TRUE))</f>
        <v/>
      </c>
      <c r="X70" s="14">
        <f>IF(U70="","",MAX(0,U70*V70-W70))</f>
        <v/>
      </c>
      <c r="Y70" s="14">
        <f>IF(T70="","",MAX(0,T70*VLOOKUP(T70,'税率及规则'!$A$2:$C$8,2,TRUE)-VLOOKUP(T70,'税率及规则'!$A$2:$C$8,3,TRUE)))</f>
        <v/>
      </c>
      <c r="Z70" s="14">
        <f>IF(X70="","",MAX(0,X70-Y70))</f>
        <v/>
      </c>
      <c r="AA70" s="16">
        <f>IF(G70="","",G70)</f>
        <v/>
      </c>
      <c r="AB70" s="16">
        <f>IF(AA70="","",EDATE(AA70,36))</f>
        <v/>
      </c>
      <c r="AC70" s="6">
        <f>IF(A70="","",IF(COUNTIF($A$2:$A$501,A70)&gt;1,"异常：事件编号重复",IF(OR(C70="",D70="",E70="",F70="",G70="",I70="",J70=""),"异常：必填项缺失",IF(OR(I70&lt;=0,J70&lt;0),"异常：数量或价格无效",IF(AND(F70="限制性股票",OR(M70&lt;=0,N70&lt;0,I70&gt;M70)),"异常：个人获授或出资数据无效",IF(AND(F70="股票期权",K70&lt;&gt;IF(G70&lt;DATE(2025,1,10),14.56,IF(G70&lt;DATE(2025,4,29),14.32,IF(G70&lt;DATE(2025,9,26),14.18,14.04)))),"异常：行权价格区间不符",IF(Q70&lt;&gt;"已备案","提示：未确认备案","正常")))))))</f>
        <v/>
      </c>
      <c r="AD70" s="11" t="n"/>
    </row>
    <row r="71">
      <c r="A71" s="11" t="n"/>
      <c r="B71" s="6">
        <f>IF(A71="","",A71&amp;"-TAX")</f>
        <v/>
      </c>
      <c r="C71" s="11" t="n"/>
      <c r="D71" s="11" t="n"/>
      <c r="E71" s="11" t="n"/>
      <c r="F71" s="11" t="n"/>
      <c r="G71" s="12" t="n"/>
      <c r="H71" s="6">
        <f>IF(G71="","",YEAR(G71))</f>
        <v/>
      </c>
      <c r="I71" s="11" t="n"/>
      <c r="J71" s="13" t="n"/>
      <c r="K71" s="14">
        <f>IF(F71="股票期权",IF(G71="","",IF(G71&lt;DATE(2025,1,10),14.56,IF(G71&lt;DATE(2025,4,29),14.32,IF(G71&lt;DATE(2025,9,26),14.18,14.04)))),IF(F71="限制性股票",8.68,""))</f>
        <v/>
      </c>
      <c r="L71" s="14">
        <f>IF(F71="限制性股票",13.06,"")</f>
        <v/>
      </c>
      <c r="M71" s="11" t="n"/>
      <c r="N71" s="13" t="n"/>
      <c r="O71" s="13" t="n"/>
      <c r="P71" s="12" t="n"/>
      <c r="Q71" s="11" t="n"/>
      <c r="R71" s="12" t="n"/>
      <c r="S71" s="14">
        <f>IF(OR(A71="",C71="",F71="",G71="",I71="",J71=""),"",IF(F71="股票期权",MAX(0,(J71-K71)*I71),IF(F71="限制性股票",IF(OR(L71="",M71="",M71&lt;=0,N71=""),"",MAX(0,((L71+J71)/2)*I71-N71*I71/M71)),MAX(0,O71))))</f>
        <v/>
      </c>
      <c r="T71" s="14">
        <f>IF(S71="","",SUMIFS($S$2:$S$501,$C$2:$C$501,C71,$H$2:$H$501,H71,$G$2:$G$501,"&lt;"&amp;G71)+SUMIFS($S$2:$S$501,$C$2:$C$501,C71,$H$2:$H$501,H71,$G$2:$G$501,G71,$A$2:$A$501,"&lt;"&amp;A71))</f>
        <v/>
      </c>
      <c r="U71" s="14">
        <f>IF(S71="","",T71+S71)</f>
        <v/>
      </c>
      <c r="V71" s="15">
        <f>IF(U71="","",VLOOKUP(U71,'税率及规则'!$A$2:$C$8,2,TRUE))</f>
        <v/>
      </c>
      <c r="W71" s="14">
        <f>IF(U71="","",VLOOKUP(U71,'税率及规则'!$A$2:$C$8,3,TRUE))</f>
        <v/>
      </c>
      <c r="X71" s="14">
        <f>IF(U71="","",MAX(0,U71*V71-W71))</f>
        <v/>
      </c>
      <c r="Y71" s="14">
        <f>IF(T71="","",MAX(0,T71*VLOOKUP(T71,'税率及规则'!$A$2:$C$8,2,TRUE)-VLOOKUP(T71,'税率及规则'!$A$2:$C$8,3,TRUE)))</f>
        <v/>
      </c>
      <c r="Z71" s="14">
        <f>IF(X71="","",MAX(0,X71-Y71))</f>
        <v/>
      </c>
      <c r="AA71" s="16">
        <f>IF(G71="","",G71)</f>
        <v/>
      </c>
      <c r="AB71" s="16">
        <f>IF(AA71="","",EDATE(AA71,36))</f>
        <v/>
      </c>
      <c r="AC71" s="6">
        <f>IF(A71="","",IF(COUNTIF($A$2:$A$501,A71)&gt;1,"异常：事件编号重复",IF(OR(C71="",D71="",E71="",F71="",G71="",I71="",J71=""),"异常：必填项缺失",IF(OR(I71&lt;=0,J71&lt;0),"异常：数量或价格无效",IF(AND(F71="限制性股票",OR(M71&lt;=0,N71&lt;0,I71&gt;M71)),"异常：个人获授或出资数据无效",IF(AND(F71="股票期权",K71&lt;&gt;IF(G71&lt;DATE(2025,1,10),14.56,IF(G71&lt;DATE(2025,4,29),14.32,IF(G71&lt;DATE(2025,9,26),14.18,14.04)))),"异常：行权价格区间不符",IF(Q71&lt;&gt;"已备案","提示：未确认备案","正常")))))))</f>
        <v/>
      </c>
      <c r="AD71" s="11" t="n"/>
    </row>
    <row r="72">
      <c r="A72" s="11" t="n"/>
      <c r="B72" s="6">
        <f>IF(A72="","",A72&amp;"-TAX")</f>
        <v/>
      </c>
      <c r="C72" s="11" t="n"/>
      <c r="D72" s="11" t="n"/>
      <c r="E72" s="11" t="n"/>
      <c r="F72" s="11" t="n"/>
      <c r="G72" s="12" t="n"/>
      <c r="H72" s="6">
        <f>IF(G72="","",YEAR(G72))</f>
        <v/>
      </c>
      <c r="I72" s="11" t="n"/>
      <c r="J72" s="13" t="n"/>
      <c r="K72" s="14">
        <f>IF(F72="股票期权",IF(G72="","",IF(G72&lt;DATE(2025,1,10),14.56,IF(G72&lt;DATE(2025,4,29),14.32,IF(G72&lt;DATE(2025,9,26),14.18,14.04)))),IF(F72="限制性股票",8.68,""))</f>
        <v/>
      </c>
      <c r="L72" s="14">
        <f>IF(F72="限制性股票",13.06,"")</f>
        <v/>
      </c>
      <c r="M72" s="11" t="n"/>
      <c r="N72" s="13" t="n"/>
      <c r="O72" s="13" t="n"/>
      <c r="P72" s="12" t="n"/>
      <c r="Q72" s="11" t="n"/>
      <c r="R72" s="12" t="n"/>
      <c r="S72" s="14">
        <f>IF(OR(A72="",C72="",F72="",G72="",I72="",J72=""),"",IF(F72="股票期权",MAX(0,(J72-K72)*I72),IF(F72="限制性股票",IF(OR(L72="",M72="",M72&lt;=0,N72=""),"",MAX(0,((L72+J72)/2)*I72-N72*I72/M72)),MAX(0,O72))))</f>
        <v/>
      </c>
      <c r="T72" s="14">
        <f>IF(S72="","",SUMIFS($S$2:$S$501,$C$2:$C$501,C72,$H$2:$H$501,H72,$G$2:$G$501,"&lt;"&amp;G72)+SUMIFS($S$2:$S$501,$C$2:$C$501,C72,$H$2:$H$501,H72,$G$2:$G$501,G72,$A$2:$A$501,"&lt;"&amp;A72))</f>
        <v/>
      </c>
      <c r="U72" s="14">
        <f>IF(S72="","",T72+S72)</f>
        <v/>
      </c>
      <c r="V72" s="15">
        <f>IF(U72="","",VLOOKUP(U72,'税率及规则'!$A$2:$C$8,2,TRUE))</f>
        <v/>
      </c>
      <c r="W72" s="14">
        <f>IF(U72="","",VLOOKUP(U72,'税率及规则'!$A$2:$C$8,3,TRUE))</f>
        <v/>
      </c>
      <c r="X72" s="14">
        <f>IF(U72="","",MAX(0,U72*V72-W72))</f>
        <v/>
      </c>
      <c r="Y72" s="14">
        <f>IF(T72="","",MAX(0,T72*VLOOKUP(T72,'税率及规则'!$A$2:$C$8,2,TRUE)-VLOOKUP(T72,'税率及规则'!$A$2:$C$8,3,TRUE)))</f>
        <v/>
      </c>
      <c r="Z72" s="14">
        <f>IF(X72="","",MAX(0,X72-Y72))</f>
        <v/>
      </c>
      <c r="AA72" s="16">
        <f>IF(G72="","",G72)</f>
        <v/>
      </c>
      <c r="AB72" s="16">
        <f>IF(AA72="","",EDATE(AA72,36))</f>
        <v/>
      </c>
      <c r="AC72" s="6">
        <f>IF(A72="","",IF(COUNTIF($A$2:$A$501,A72)&gt;1,"异常：事件编号重复",IF(OR(C72="",D72="",E72="",F72="",G72="",I72="",J72=""),"异常：必填项缺失",IF(OR(I72&lt;=0,J72&lt;0),"异常：数量或价格无效",IF(AND(F72="限制性股票",OR(M72&lt;=0,N72&lt;0,I72&gt;M72)),"异常：个人获授或出资数据无效",IF(AND(F72="股票期权",K72&lt;&gt;IF(G72&lt;DATE(2025,1,10),14.56,IF(G72&lt;DATE(2025,4,29),14.32,IF(G72&lt;DATE(2025,9,26),14.18,14.04)))),"异常：行权价格区间不符",IF(Q72&lt;&gt;"已备案","提示：未确认备案","正常")))))))</f>
        <v/>
      </c>
      <c r="AD72" s="11" t="n"/>
    </row>
    <row r="73">
      <c r="A73" s="11" t="n"/>
      <c r="B73" s="6">
        <f>IF(A73="","",A73&amp;"-TAX")</f>
        <v/>
      </c>
      <c r="C73" s="11" t="n"/>
      <c r="D73" s="11" t="n"/>
      <c r="E73" s="11" t="n"/>
      <c r="F73" s="11" t="n"/>
      <c r="G73" s="12" t="n"/>
      <c r="H73" s="6">
        <f>IF(G73="","",YEAR(G73))</f>
        <v/>
      </c>
      <c r="I73" s="11" t="n"/>
      <c r="J73" s="13" t="n"/>
      <c r="K73" s="14">
        <f>IF(F73="股票期权",IF(G73="","",IF(G73&lt;DATE(2025,1,10),14.56,IF(G73&lt;DATE(2025,4,29),14.32,IF(G73&lt;DATE(2025,9,26),14.18,14.04)))),IF(F73="限制性股票",8.68,""))</f>
        <v/>
      </c>
      <c r="L73" s="14">
        <f>IF(F73="限制性股票",13.06,"")</f>
        <v/>
      </c>
      <c r="M73" s="11" t="n"/>
      <c r="N73" s="13" t="n"/>
      <c r="O73" s="13" t="n"/>
      <c r="P73" s="12" t="n"/>
      <c r="Q73" s="11" t="n"/>
      <c r="R73" s="12" t="n"/>
      <c r="S73" s="14">
        <f>IF(OR(A73="",C73="",F73="",G73="",I73="",J73=""),"",IF(F73="股票期权",MAX(0,(J73-K73)*I73),IF(F73="限制性股票",IF(OR(L73="",M73="",M73&lt;=0,N73=""),"",MAX(0,((L73+J73)/2)*I73-N73*I73/M73)),MAX(0,O73))))</f>
        <v/>
      </c>
      <c r="T73" s="14">
        <f>IF(S73="","",SUMIFS($S$2:$S$501,$C$2:$C$501,C73,$H$2:$H$501,H73,$G$2:$G$501,"&lt;"&amp;G73)+SUMIFS($S$2:$S$501,$C$2:$C$501,C73,$H$2:$H$501,H73,$G$2:$G$501,G73,$A$2:$A$501,"&lt;"&amp;A73))</f>
        <v/>
      </c>
      <c r="U73" s="14">
        <f>IF(S73="","",T73+S73)</f>
        <v/>
      </c>
      <c r="V73" s="15">
        <f>IF(U73="","",VLOOKUP(U73,'税率及规则'!$A$2:$C$8,2,TRUE))</f>
        <v/>
      </c>
      <c r="W73" s="14">
        <f>IF(U73="","",VLOOKUP(U73,'税率及规则'!$A$2:$C$8,3,TRUE))</f>
        <v/>
      </c>
      <c r="X73" s="14">
        <f>IF(U73="","",MAX(0,U73*V73-W73))</f>
        <v/>
      </c>
      <c r="Y73" s="14">
        <f>IF(T73="","",MAX(0,T73*VLOOKUP(T73,'税率及规则'!$A$2:$C$8,2,TRUE)-VLOOKUP(T73,'税率及规则'!$A$2:$C$8,3,TRUE)))</f>
        <v/>
      </c>
      <c r="Z73" s="14">
        <f>IF(X73="","",MAX(0,X73-Y73))</f>
        <v/>
      </c>
      <c r="AA73" s="16">
        <f>IF(G73="","",G73)</f>
        <v/>
      </c>
      <c r="AB73" s="16">
        <f>IF(AA73="","",EDATE(AA73,36))</f>
        <v/>
      </c>
      <c r="AC73" s="6">
        <f>IF(A73="","",IF(COUNTIF($A$2:$A$501,A73)&gt;1,"异常：事件编号重复",IF(OR(C73="",D73="",E73="",F73="",G73="",I73="",J73=""),"异常：必填项缺失",IF(OR(I73&lt;=0,J73&lt;0),"异常：数量或价格无效",IF(AND(F73="限制性股票",OR(M73&lt;=0,N73&lt;0,I73&gt;M73)),"异常：个人获授或出资数据无效",IF(AND(F73="股票期权",K73&lt;&gt;IF(G73&lt;DATE(2025,1,10),14.56,IF(G73&lt;DATE(2025,4,29),14.32,IF(G73&lt;DATE(2025,9,26),14.18,14.04)))),"异常：行权价格区间不符",IF(Q73&lt;&gt;"已备案","提示：未确认备案","正常")))))))</f>
        <v/>
      </c>
      <c r="AD73" s="11" t="n"/>
    </row>
    <row r="74">
      <c r="A74" s="11" t="n"/>
      <c r="B74" s="6">
        <f>IF(A74="","",A74&amp;"-TAX")</f>
        <v/>
      </c>
      <c r="C74" s="11" t="n"/>
      <c r="D74" s="11" t="n"/>
      <c r="E74" s="11" t="n"/>
      <c r="F74" s="11" t="n"/>
      <c r="G74" s="12" t="n"/>
      <c r="H74" s="6">
        <f>IF(G74="","",YEAR(G74))</f>
        <v/>
      </c>
      <c r="I74" s="11" t="n"/>
      <c r="J74" s="13" t="n"/>
      <c r="K74" s="14">
        <f>IF(F74="股票期权",IF(G74="","",IF(G74&lt;DATE(2025,1,10),14.56,IF(G74&lt;DATE(2025,4,29),14.32,IF(G74&lt;DATE(2025,9,26),14.18,14.04)))),IF(F74="限制性股票",8.68,""))</f>
        <v/>
      </c>
      <c r="L74" s="14">
        <f>IF(F74="限制性股票",13.06,"")</f>
        <v/>
      </c>
      <c r="M74" s="11" t="n"/>
      <c r="N74" s="13" t="n"/>
      <c r="O74" s="13" t="n"/>
      <c r="P74" s="12" t="n"/>
      <c r="Q74" s="11" t="n"/>
      <c r="R74" s="12" t="n"/>
      <c r="S74" s="14">
        <f>IF(OR(A74="",C74="",F74="",G74="",I74="",J74=""),"",IF(F74="股票期权",MAX(0,(J74-K74)*I74),IF(F74="限制性股票",IF(OR(L74="",M74="",M74&lt;=0,N74=""),"",MAX(0,((L74+J74)/2)*I74-N74*I74/M74)),MAX(0,O74))))</f>
        <v/>
      </c>
      <c r="T74" s="14">
        <f>IF(S74="","",SUMIFS($S$2:$S$501,$C$2:$C$501,C74,$H$2:$H$501,H74,$G$2:$G$501,"&lt;"&amp;G74)+SUMIFS($S$2:$S$501,$C$2:$C$501,C74,$H$2:$H$501,H74,$G$2:$G$501,G74,$A$2:$A$501,"&lt;"&amp;A74))</f>
        <v/>
      </c>
      <c r="U74" s="14">
        <f>IF(S74="","",T74+S74)</f>
        <v/>
      </c>
      <c r="V74" s="15">
        <f>IF(U74="","",VLOOKUP(U74,'税率及规则'!$A$2:$C$8,2,TRUE))</f>
        <v/>
      </c>
      <c r="W74" s="14">
        <f>IF(U74="","",VLOOKUP(U74,'税率及规则'!$A$2:$C$8,3,TRUE))</f>
        <v/>
      </c>
      <c r="X74" s="14">
        <f>IF(U74="","",MAX(0,U74*V74-W74))</f>
        <v/>
      </c>
      <c r="Y74" s="14">
        <f>IF(T74="","",MAX(0,T74*VLOOKUP(T74,'税率及规则'!$A$2:$C$8,2,TRUE)-VLOOKUP(T74,'税率及规则'!$A$2:$C$8,3,TRUE)))</f>
        <v/>
      </c>
      <c r="Z74" s="14">
        <f>IF(X74="","",MAX(0,X74-Y74))</f>
        <v/>
      </c>
      <c r="AA74" s="16">
        <f>IF(G74="","",G74)</f>
        <v/>
      </c>
      <c r="AB74" s="16">
        <f>IF(AA74="","",EDATE(AA74,36))</f>
        <v/>
      </c>
      <c r="AC74" s="6">
        <f>IF(A74="","",IF(COUNTIF($A$2:$A$501,A74)&gt;1,"异常：事件编号重复",IF(OR(C74="",D74="",E74="",F74="",G74="",I74="",J74=""),"异常：必填项缺失",IF(OR(I74&lt;=0,J74&lt;0),"异常：数量或价格无效",IF(AND(F74="限制性股票",OR(M74&lt;=0,N74&lt;0,I74&gt;M74)),"异常：个人获授或出资数据无效",IF(AND(F74="股票期权",K74&lt;&gt;IF(G74&lt;DATE(2025,1,10),14.56,IF(G74&lt;DATE(2025,4,29),14.32,IF(G74&lt;DATE(2025,9,26),14.18,14.04)))),"异常：行权价格区间不符",IF(Q74&lt;&gt;"已备案","提示：未确认备案","正常")))))))</f>
        <v/>
      </c>
      <c r="AD74" s="11" t="n"/>
    </row>
    <row r="75">
      <c r="A75" s="11" t="n"/>
      <c r="B75" s="6">
        <f>IF(A75="","",A75&amp;"-TAX")</f>
        <v/>
      </c>
      <c r="C75" s="11" t="n"/>
      <c r="D75" s="11" t="n"/>
      <c r="E75" s="11" t="n"/>
      <c r="F75" s="11" t="n"/>
      <c r="G75" s="12" t="n"/>
      <c r="H75" s="6">
        <f>IF(G75="","",YEAR(G75))</f>
        <v/>
      </c>
      <c r="I75" s="11" t="n"/>
      <c r="J75" s="13" t="n"/>
      <c r="K75" s="14">
        <f>IF(F75="股票期权",IF(G75="","",IF(G75&lt;DATE(2025,1,10),14.56,IF(G75&lt;DATE(2025,4,29),14.32,IF(G75&lt;DATE(2025,9,26),14.18,14.04)))),IF(F75="限制性股票",8.68,""))</f>
        <v/>
      </c>
      <c r="L75" s="14">
        <f>IF(F75="限制性股票",13.06,"")</f>
        <v/>
      </c>
      <c r="M75" s="11" t="n"/>
      <c r="N75" s="13" t="n"/>
      <c r="O75" s="13" t="n"/>
      <c r="P75" s="12" t="n"/>
      <c r="Q75" s="11" t="n"/>
      <c r="R75" s="12" t="n"/>
      <c r="S75" s="14">
        <f>IF(OR(A75="",C75="",F75="",G75="",I75="",J75=""),"",IF(F75="股票期权",MAX(0,(J75-K75)*I75),IF(F75="限制性股票",IF(OR(L75="",M75="",M75&lt;=0,N75=""),"",MAX(0,((L75+J75)/2)*I75-N75*I75/M75)),MAX(0,O75))))</f>
        <v/>
      </c>
      <c r="T75" s="14">
        <f>IF(S75="","",SUMIFS($S$2:$S$501,$C$2:$C$501,C75,$H$2:$H$501,H75,$G$2:$G$501,"&lt;"&amp;G75)+SUMIFS($S$2:$S$501,$C$2:$C$501,C75,$H$2:$H$501,H75,$G$2:$G$501,G75,$A$2:$A$501,"&lt;"&amp;A75))</f>
        <v/>
      </c>
      <c r="U75" s="14">
        <f>IF(S75="","",T75+S75)</f>
        <v/>
      </c>
      <c r="V75" s="15">
        <f>IF(U75="","",VLOOKUP(U75,'税率及规则'!$A$2:$C$8,2,TRUE))</f>
        <v/>
      </c>
      <c r="W75" s="14">
        <f>IF(U75="","",VLOOKUP(U75,'税率及规则'!$A$2:$C$8,3,TRUE))</f>
        <v/>
      </c>
      <c r="X75" s="14">
        <f>IF(U75="","",MAX(0,U75*V75-W75))</f>
        <v/>
      </c>
      <c r="Y75" s="14">
        <f>IF(T75="","",MAX(0,T75*VLOOKUP(T75,'税率及规则'!$A$2:$C$8,2,TRUE)-VLOOKUP(T75,'税率及规则'!$A$2:$C$8,3,TRUE)))</f>
        <v/>
      </c>
      <c r="Z75" s="14">
        <f>IF(X75="","",MAX(0,X75-Y75))</f>
        <v/>
      </c>
      <c r="AA75" s="16">
        <f>IF(G75="","",G75)</f>
        <v/>
      </c>
      <c r="AB75" s="16">
        <f>IF(AA75="","",EDATE(AA75,36))</f>
        <v/>
      </c>
      <c r="AC75" s="6">
        <f>IF(A75="","",IF(COUNTIF($A$2:$A$501,A75)&gt;1,"异常：事件编号重复",IF(OR(C75="",D75="",E75="",F75="",G75="",I75="",J75=""),"异常：必填项缺失",IF(OR(I75&lt;=0,J75&lt;0),"异常：数量或价格无效",IF(AND(F75="限制性股票",OR(M75&lt;=0,N75&lt;0,I75&gt;M75)),"异常：个人获授或出资数据无效",IF(AND(F75="股票期权",K75&lt;&gt;IF(G75&lt;DATE(2025,1,10),14.56,IF(G75&lt;DATE(2025,4,29),14.32,IF(G75&lt;DATE(2025,9,26),14.18,14.04)))),"异常：行权价格区间不符",IF(Q75&lt;&gt;"已备案","提示：未确认备案","正常")))))))</f>
        <v/>
      </c>
      <c r="AD75" s="11" t="n"/>
    </row>
    <row r="76">
      <c r="A76" s="11" t="n"/>
      <c r="B76" s="6">
        <f>IF(A76="","",A76&amp;"-TAX")</f>
        <v/>
      </c>
      <c r="C76" s="11" t="n"/>
      <c r="D76" s="11" t="n"/>
      <c r="E76" s="11" t="n"/>
      <c r="F76" s="11" t="n"/>
      <c r="G76" s="12" t="n"/>
      <c r="H76" s="6">
        <f>IF(G76="","",YEAR(G76))</f>
        <v/>
      </c>
      <c r="I76" s="11" t="n"/>
      <c r="J76" s="13" t="n"/>
      <c r="K76" s="14">
        <f>IF(F76="股票期权",IF(G76="","",IF(G76&lt;DATE(2025,1,10),14.56,IF(G76&lt;DATE(2025,4,29),14.32,IF(G76&lt;DATE(2025,9,26),14.18,14.04)))),IF(F76="限制性股票",8.68,""))</f>
        <v/>
      </c>
      <c r="L76" s="14">
        <f>IF(F76="限制性股票",13.06,"")</f>
        <v/>
      </c>
      <c r="M76" s="11" t="n"/>
      <c r="N76" s="13" t="n"/>
      <c r="O76" s="13" t="n"/>
      <c r="P76" s="12" t="n"/>
      <c r="Q76" s="11" t="n"/>
      <c r="R76" s="12" t="n"/>
      <c r="S76" s="14">
        <f>IF(OR(A76="",C76="",F76="",G76="",I76="",J76=""),"",IF(F76="股票期权",MAX(0,(J76-K76)*I76),IF(F76="限制性股票",IF(OR(L76="",M76="",M76&lt;=0,N76=""),"",MAX(0,((L76+J76)/2)*I76-N76*I76/M76)),MAX(0,O76))))</f>
        <v/>
      </c>
      <c r="T76" s="14">
        <f>IF(S76="","",SUMIFS($S$2:$S$501,$C$2:$C$501,C76,$H$2:$H$501,H76,$G$2:$G$501,"&lt;"&amp;G76)+SUMIFS($S$2:$S$501,$C$2:$C$501,C76,$H$2:$H$501,H76,$G$2:$G$501,G76,$A$2:$A$501,"&lt;"&amp;A76))</f>
        <v/>
      </c>
      <c r="U76" s="14">
        <f>IF(S76="","",T76+S76)</f>
        <v/>
      </c>
      <c r="V76" s="15">
        <f>IF(U76="","",VLOOKUP(U76,'税率及规则'!$A$2:$C$8,2,TRUE))</f>
        <v/>
      </c>
      <c r="W76" s="14">
        <f>IF(U76="","",VLOOKUP(U76,'税率及规则'!$A$2:$C$8,3,TRUE))</f>
        <v/>
      </c>
      <c r="X76" s="14">
        <f>IF(U76="","",MAX(0,U76*V76-W76))</f>
        <v/>
      </c>
      <c r="Y76" s="14">
        <f>IF(T76="","",MAX(0,T76*VLOOKUP(T76,'税率及规则'!$A$2:$C$8,2,TRUE)-VLOOKUP(T76,'税率及规则'!$A$2:$C$8,3,TRUE)))</f>
        <v/>
      </c>
      <c r="Z76" s="14">
        <f>IF(X76="","",MAX(0,X76-Y76))</f>
        <v/>
      </c>
      <c r="AA76" s="16">
        <f>IF(G76="","",G76)</f>
        <v/>
      </c>
      <c r="AB76" s="16">
        <f>IF(AA76="","",EDATE(AA76,36))</f>
        <v/>
      </c>
      <c r="AC76" s="6">
        <f>IF(A76="","",IF(COUNTIF($A$2:$A$501,A76)&gt;1,"异常：事件编号重复",IF(OR(C76="",D76="",E76="",F76="",G76="",I76="",J76=""),"异常：必填项缺失",IF(OR(I76&lt;=0,J76&lt;0),"异常：数量或价格无效",IF(AND(F76="限制性股票",OR(M76&lt;=0,N76&lt;0,I76&gt;M76)),"异常：个人获授或出资数据无效",IF(AND(F76="股票期权",K76&lt;&gt;IF(G76&lt;DATE(2025,1,10),14.56,IF(G76&lt;DATE(2025,4,29),14.32,IF(G76&lt;DATE(2025,9,26),14.18,14.04)))),"异常：行权价格区间不符",IF(Q76&lt;&gt;"已备案","提示：未确认备案","正常")))))))</f>
        <v/>
      </c>
      <c r="AD76" s="11" t="n"/>
    </row>
    <row r="77">
      <c r="A77" s="11" t="n"/>
      <c r="B77" s="6">
        <f>IF(A77="","",A77&amp;"-TAX")</f>
        <v/>
      </c>
      <c r="C77" s="11" t="n"/>
      <c r="D77" s="11" t="n"/>
      <c r="E77" s="11" t="n"/>
      <c r="F77" s="11" t="n"/>
      <c r="G77" s="12" t="n"/>
      <c r="H77" s="6">
        <f>IF(G77="","",YEAR(G77))</f>
        <v/>
      </c>
      <c r="I77" s="11" t="n"/>
      <c r="J77" s="13" t="n"/>
      <c r="K77" s="14">
        <f>IF(F77="股票期权",IF(G77="","",IF(G77&lt;DATE(2025,1,10),14.56,IF(G77&lt;DATE(2025,4,29),14.32,IF(G77&lt;DATE(2025,9,26),14.18,14.04)))),IF(F77="限制性股票",8.68,""))</f>
        <v/>
      </c>
      <c r="L77" s="14">
        <f>IF(F77="限制性股票",13.06,"")</f>
        <v/>
      </c>
      <c r="M77" s="11" t="n"/>
      <c r="N77" s="13" t="n"/>
      <c r="O77" s="13" t="n"/>
      <c r="P77" s="12" t="n"/>
      <c r="Q77" s="11" t="n"/>
      <c r="R77" s="12" t="n"/>
      <c r="S77" s="14">
        <f>IF(OR(A77="",C77="",F77="",G77="",I77="",J77=""),"",IF(F77="股票期权",MAX(0,(J77-K77)*I77),IF(F77="限制性股票",IF(OR(L77="",M77="",M77&lt;=0,N77=""),"",MAX(0,((L77+J77)/2)*I77-N77*I77/M77)),MAX(0,O77))))</f>
        <v/>
      </c>
      <c r="T77" s="14">
        <f>IF(S77="","",SUMIFS($S$2:$S$501,$C$2:$C$501,C77,$H$2:$H$501,H77,$G$2:$G$501,"&lt;"&amp;G77)+SUMIFS($S$2:$S$501,$C$2:$C$501,C77,$H$2:$H$501,H77,$G$2:$G$501,G77,$A$2:$A$501,"&lt;"&amp;A77))</f>
        <v/>
      </c>
      <c r="U77" s="14">
        <f>IF(S77="","",T77+S77)</f>
        <v/>
      </c>
      <c r="V77" s="15">
        <f>IF(U77="","",VLOOKUP(U77,'税率及规则'!$A$2:$C$8,2,TRUE))</f>
        <v/>
      </c>
      <c r="W77" s="14">
        <f>IF(U77="","",VLOOKUP(U77,'税率及规则'!$A$2:$C$8,3,TRUE))</f>
        <v/>
      </c>
      <c r="X77" s="14">
        <f>IF(U77="","",MAX(0,U77*V77-W77))</f>
        <v/>
      </c>
      <c r="Y77" s="14">
        <f>IF(T77="","",MAX(0,T77*VLOOKUP(T77,'税率及规则'!$A$2:$C$8,2,TRUE)-VLOOKUP(T77,'税率及规则'!$A$2:$C$8,3,TRUE)))</f>
        <v/>
      </c>
      <c r="Z77" s="14">
        <f>IF(X77="","",MAX(0,X77-Y77))</f>
        <v/>
      </c>
      <c r="AA77" s="16">
        <f>IF(G77="","",G77)</f>
        <v/>
      </c>
      <c r="AB77" s="16">
        <f>IF(AA77="","",EDATE(AA77,36))</f>
        <v/>
      </c>
      <c r="AC77" s="6">
        <f>IF(A77="","",IF(COUNTIF($A$2:$A$501,A77)&gt;1,"异常：事件编号重复",IF(OR(C77="",D77="",E77="",F77="",G77="",I77="",J77=""),"异常：必填项缺失",IF(OR(I77&lt;=0,J77&lt;0),"异常：数量或价格无效",IF(AND(F77="限制性股票",OR(M77&lt;=0,N77&lt;0,I77&gt;M77)),"异常：个人获授或出资数据无效",IF(AND(F77="股票期权",K77&lt;&gt;IF(G77&lt;DATE(2025,1,10),14.56,IF(G77&lt;DATE(2025,4,29),14.32,IF(G77&lt;DATE(2025,9,26),14.18,14.04)))),"异常：行权价格区间不符",IF(Q77&lt;&gt;"已备案","提示：未确认备案","正常")))))))</f>
        <v/>
      </c>
      <c r="AD77" s="11" t="n"/>
    </row>
    <row r="78">
      <c r="A78" s="11" t="n"/>
      <c r="B78" s="6">
        <f>IF(A78="","",A78&amp;"-TAX")</f>
        <v/>
      </c>
      <c r="C78" s="11" t="n"/>
      <c r="D78" s="11" t="n"/>
      <c r="E78" s="11" t="n"/>
      <c r="F78" s="11" t="n"/>
      <c r="G78" s="12" t="n"/>
      <c r="H78" s="6">
        <f>IF(G78="","",YEAR(G78))</f>
        <v/>
      </c>
      <c r="I78" s="11" t="n"/>
      <c r="J78" s="13" t="n"/>
      <c r="K78" s="14">
        <f>IF(F78="股票期权",IF(G78="","",IF(G78&lt;DATE(2025,1,10),14.56,IF(G78&lt;DATE(2025,4,29),14.32,IF(G78&lt;DATE(2025,9,26),14.18,14.04)))),IF(F78="限制性股票",8.68,""))</f>
        <v/>
      </c>
      <c r="L78" s="14">
        <f>IF(F78="限制性股票",13.06,"")</f>
        <v/>
      </c>
      <c r="M78" s="11" t="n"/>
      <c r="N78" s="13" t="n"/>
      <c r="O78" s="13" t="n"/>
      <c r="P78" s="12" t="n"/>
      <c r="Q78" s="11" t="n"/>
      <c r="R78" s="12" t="n"/>
      <c r="S78" s="14">
        <f>IF(OR(A78="",C78="",F78="",G78="",I78="",J78=""),"",IF(F78="股票期权",MAX(0,(J78-K78)*I78),IF(F78="限制性股票",IF(OR(L78="",M78="",M78&lt;=0,N78=""),"",MAX(0,((L78+J78)/2)*I78-N78*I78/M78)),MAX(0,O78))))</f>
        <v/>
      </c>
      <c r="T78" s="14">
        <f>IF(S78="","",SUMIFS($S$2:$S$501,$C$2:$C$501,C78,$H$2:$H$501,H78,$G$2:$G$501,"&lt;"&amp;G78)+SUMIFS($S$2:$S$501,$C$2:$C$501,C78,$H$2:$H$501,H78,$G$2:$G$501,G78,$A$2:$A$501,"&lt;"&amp;A78))</f>
        <v/>
      </c>
      <c r="U78" s="14">
        <f>IF(S78="","",T78+S78)</f>
        <v/>
      </c>
      <c r="V78" s="15">
        <f>IF(U78="","",VLOOKUP(U78,'税率及规则'!$A$2:$C$8,2,TRUE))</f>
        <v/>
      </c>
      <c r="W78" s="14">
        <f>IF(U78="","",VLOOKUP(U78,'税率及规则'!$A$2:$C$8,3,TRUE))</f>
        <v/>
      </c>
      <c r="X78" s="14">
        <f>IF(U78="","",MAX(0,U78*V78-W78))</f>
        <v/>
      </c>
      <c r="Y78" s="14">
        <f>IF(T78="","",MAX(0,T78*VLOOKUP(T78,'税率及规则'!$A$2:$C$8,2,TRUE)-VLOOKUP(T78,'税率及规则'!$A$2:$C$8,3,TRUE)))</f>
        <v/>
      </c>
      <c r="Z78" s="14">
        <f>IF(X78="","",MAX(0,X78-Y78))</f>
        <v/>
      </c>
      <c r="AA78" s="16">
        <f>IF(G78="","",G78)</f>
        <v/>
      </c>
      <c r="AB78" s="16">
        <f>IF(AA78="","",EDATE(AA78,36))</f>
        <v/>
      </c>
      <c r="AC78" s="6">
        <f>IF(A78="","",IF(COUNTIF($A$2:$A$501,A78)&gt;1,"异常：事件编号重复",IF(OR(C78="",D78="",E78="",F78="",G78="",I78="",J78=""),"异常：必填项缺失",IF(OR(I78&lt;=0,J78&lt;0),"异常：数量或价格无效",IF(AND(F78="限制性股票",OR(M78&lt;=0,N78&lt;0,I78&gt;M78)),"异常：个人获授或出资数据无效",IF(AND(F78="股票期权",K78&lt;&gt;IF(G78&lt;DATE(2025,1,10),14.56,IF(G78&lt;DATE(2025,4,29),14.32,IF(G78&lt;DATE(2025,9,26),14.18,14.04)))),"异常：行权价格区间不符",IF(Q78&lt;&gt;"已备案","提示：未确认备案","正常")))))))</f>
        <v/>
      </c>
      <c r="AD78" s="11" t="n"/>
    </row>
    <row r="79">
      <c r="A79" s="11" t="n"/>
      <c r="B79" s="6">
        <f>IF(A79="","",A79&amp;"-TAX")</f>
        <v/>
      </c>
      <c r="C79" s="11" t="n"/>
      <c r="D79" s="11" t="n"/>
      <c r="E79" s="11" t="n"/>
      <c r="F79" s="11" t="n"/>
      <c r="G79" s="12" t="n"/>
      <c r="H79" s="6">
        <f>IF(G79="","",YEAR(G79))</f>
        <v/>
      </c>
      <c r="I79" s="11" t="n"/>
      <c r="J79" s="13" t="n"/>
      <c r="K79" s="14">
        <f>IF(F79="股票期权",IF(G79="","",IF(G79&lt;DATE(2025,1,10),14.56,IF(G79&lt;DATE(2025,4,29),14.32,IF(G79&lt;DATE(2025,9,26),14.18,14.04)))),IF(F79="限制性股票",8.68,""))</f>
        <v/>
      </c>
      <c r="L79" s="14">
        <f>IF(F79="限制性股票",13.06,"")</f>
        <v/>
      </c>
      <c r="M79" s="11" t="n"/>
      <c r="N79" s="13" t="n"/>
      <c r="O79" s="13" t="n"/>
      <c r="P79" s="12" t="n"/>
      <c r="Q79" s="11" t="n"/>
      <c r="R79" s="12" t="n"/>
      <c r="S79" s="14">
        <f>IF(OR(A79="",C79="",F79="",G79="",I79="",J79=""),"",IF(F79="股票期权",MAX(0,(J79-K79)*I79),IF(F79="限制性股票",IF(OR(L79="",M79="",M79&lt;=0,N79=""),"",MAX(0,((L79+J79)/2)*I79-N79*I79/M79)),MAX(0,O79))))</f>
        <v/>
      </c>
      <c r="T79" s="14">
        <f>IF(S79="","",SUMIFS($S$2:$S$501,$C$2:$C$501,C79,$H$2:$H$501,H79,$G$2:$G$501,"&lt;"&amp;G79)+SUMIFS($S$2:$S$501,$C$2:$C$501,C79,$H$2:$H$501,H79,$G$2:$G$501,G79,$A$2:$A$501,"&lt;"&amp;A79))</f>
        <v/>
      </c>
      <c r="U79" s="14">
        <f>IF(S79="","",T79+S79)</f>
        <v/>
      </c>
      <c r="V79" s="15">
        <f>IF(U79="","",VLOOKUP(U79,'税率及规则'!$A$2:$C$8,2,TRUE))</f>
        <v/>
      </c>
      <c r="W79" s="14">
        <f>IF(U79="","",VLOOKUP(U79,'税率及规则'!$A$2:$C$8,3,TRUE))</f>
        <v/>
      </c>
      <c r="X79" s="14">
        <f>IF(U79="","",MAX(0,U79*V79-W79))</f>
        <v/>
      </c>
      <c r="Y79" s="14">
        <f>IF(T79="","",MAX(0,T79*VLOOKUP(T79,'税率及规则'!$A$2:$C$8,2,TRUE)-VLOOKUP(T79,'税率及规则'!$A$2:$C$8,3,TRUE)))</f>
        <v/>
      </c>
      <c r="Z79" s="14">
        <f>IF(X79="","",MAX(0,X79-Y79))</f>
        <v/>
      </c>
      <c r="AA79" s="16">
        <f>IF(G79="","",G79)</f>
        <v/>
      </c>
      <c r="AB79" s="16">
        <f>IF(AA79="","",EDATE(AA79,36))</f>
        <v/>
      </c>
      <c r="AC79" s="6">
        <f>IF(A79="","",IF(COUNTIF($A$2:$A$501,A79)&gt;1,"异常：事件编号重复",IF(OR(C79="",D79="",E79="",F79="",G79="",I79="",J79=""),"异常：必填项缺失",IF(OR(I79&lt;=0,J79&lt;0),"异常：数量或价格无效",IF(AND(F79="限制性股票",OR(M79&lt;=0,N79&lt;0,I79&gt;M79)),"异常：个人获授或出资数据无效",IF(AND(F79="股票期权",K79&lt;&gt;IF(G79&lt;DATE(2025,1,10),14.56,IF(G79&lt;DATE(2025,4,29),14.32,IF(G79&lt;DATE(2025,9,26),14.18,14.04)))),"异常：行权价格区间不符",IF(Q79&lt;&gt;"已备案","提示：未确认备案","正常")))))))</f>
        <v/>
      </c>
      <c r="AD79" s="11" t="n"/>
    </row>
    <row r="80">
      <c r="A80" s="11" t="n"/>
      <c r="B80" s="6">
        <f>IF(A80="","",A80&amp;"-TAX")</f>
        <v/>
      </c>
      <c r="C80" s="11" t="n"/>
      <c r="D80" s="11" t="n"/>
      <c r="E80" s="11" t="n"/>
      <c r="F80" s="11" t="n"/>
      <c r="G80" s="12" t="n"/>
      <c r="H80" s="6">
        <f>IF(G80="","",YEAR(G80))</f>
        <v/>
      </c>
      <c r="I80" s="11" t="n"/>
      <c r="J80" s="13" t="n"/>
      <c r="K80" s="14">
        <f>IF(F80="股票期权",IF(G80="","",IF(G80&lt;DATE(2025,1,10),14.56,IF(G80&lt;DATE(2025,4,29),14.32,IF(G80&lt;DATE(2025,9,26),14.18,14.04)))),IF(F80="限制性股票",8.68,""))</f>
        <v/>
      </c>
      <c r="L80" s="14">
        <f>IF(F80="限制性股票",13.06,"")</f>
        <v/>
      </c>
      <c r="M80" s="11" t="n"/>
      <c r="N80" s="13" t="n"/>
      <c r="O80" s="13" t="n"/>
      <c r="P80" s="12" t="n"/>
      <c r="Q80" s="11" t="n"/>
      <c r="R80" s="12" t="n"/>
      <c r="S80" s="14">
        <f>IF(OR(A80="",C80="",F80="",G80="",I80="",J80=""),"",IF(F80="股票期权",MAX(0,(J80-K80)*I80),IF(F80="限制性股票",IF(OR(L80="",M80="",M80&lt;=0,N80=""),"",MAX(0,((L80+J80)/2)*I80-N80*I80/M80)),MAX(0,O80))))</f>
        <v/>
      </c>
      <c r="T80" s="14">
        <f>IF(S80="","",SUMIFS($S$2:$S$501,$C$2:$C$501,C80,$H$2:$H$501,H80,$G$2:$G$501,"&lt;"&amp;G80)+SUMIFS($S$2:$S$501,$C$2:$C$501,C80,$H$2:$H$501,H80,$G$2:$G$501,G80,$A$2:$A$501,"&lt;"&amp;A80))</f>
        <v/>
      </c>
      <c r="U80" s="14">
        <f>IF(S80="","",T80+S80)</f>
        <v/>
      </c>
      <c r="V80" s="15">
        <f>IF(U80="","",VLOOKUP(U80,'税率及规则'!$A$2:$C$8,2,TRUE))</f>
        <v/>
      </c>
      <c r="W80" s="14">
        <f>IF(U80="","",VLOOKUP(U80,'税率及规则'!$A$2:$C$8,3,TRUE))</f>
        <v/>
      </c>
      <c r="X80" s="14">
        <f>IF(U80="","",MAX(0,U80*V80-W80))</f>
        <v/>
      </c>
      <c r="Y80" s="14">
        <f>IF(T80="","",MAX(0,T80*VLOOKUP(T80,'税率及规则'!$A$2:$C$8,2,TRUE)-VLOOKUP(T80,'税率及规则'!$A$2:$C$8,3,TRUE)))</f>
        <v/>
      </c>
      <c r="Z80" s="14">
        <f>IF(X80="","",MAX(0,X80-Y80))</f>
        <v/>
      </c>
      <c r="AA80" s="16">
        <f>IF(G80="","",G80)</f>
        <v/>
      </c>
      <c r="AB80" s="16">
        <f>IF(AA80="","",EDATE(AA80,36))</f>
        <v/>
      </c>
      <c r="AC80" s="6">
        <f>IF(A80="","",IF(COUNTIF($A$2:$A$501,A80)&gt;1,"异常：事件编号重复",IF(OR(C80="",D80="",E80="",F80="",G80="",I80="",J80=""),"异常：必填项缺失",IF(OR(I80&lt;=0,J80&lt;0),"异常：数量或价格无效",IF(AND(F80="限制性股票",OR(M80&lt;=0,N80&lt;0,I80&gt;M80)),"异常：个人获授或出资数据无效",IF(AND(F80="股票期权",K80&lt;&gt;IF(G80&lt;DATE(2025,1,10),14.56,IF(G80&lt;DATE(2025,4,29),14.32,IF(G80&lt;DATE(2025,9,26),14.18,14.04)))),"异常：行权价格区间不符",IF(Q80&lt;&gt;"已备案","提示：未确认备案","正常")))))))</f>
        <v/>
      </c>
      <c r="AD80" s="11" t="n"/>
    </row>
    <row r="81">
      <c r="A81" s="11" t="n"/>
      <c r="B81" s="6">
        <f>IF(A81="","",A81&amp;"-TAX")</f>
        <v/>
      </c>
      <c r="C81" s="11" t="n"/>
      <c r="D81" s="11" t="n"/>
      <c r="E81" s="11" t="n"/>
      <c r="F81" s="11" t="n"/>
      <c r="G81" s="12" t="n"/>
      <c r="H81" s="6">
        <f>IF(G81="","",YEAR(G81))</f>
        <v/>
      </c>
      <c r="I81" s="11" t="n"/>
      <c r="J81" s="13" t="n"/>
      <c r="K81" s="14">
        <f>IF(F81="股票期权",IF(G81="","",IF(G81&lt;DATE(2025,1,10),14.56,IF(G81&lt;DATE(2025,4,29),14.32,IF(G81&lt;DATE(2025,9,26),14.18,14.04)))),IF(F81="限制性股票",8.68,""))</f>
        <v/>
      </c>
      <c r="L81" s="14">
        <f>IF(F81="限制性股票",13.06,"")</f>
        <v/>
      </c>
      <c r="M81" s="11" t="n"/>
      <c r="N81" s="13" t="n"/>
      <c r="O81" s="13" t="n"/>
      <c r="P81" s="12" t="n"/>
      <c r="Q81" s="11" t="n"/>
      <c r="R81" s="12" t="n"/>
      <c r="S81" s="14">
        <f>IF(OR(A81="",C81="",F81="",G81="",I81="",J81=""),"",IF(F81="股票期权",MAX(0,(J81-K81)*I81),IF(F81="限制性股票",IF(OR(L81="",M81="",M81&lt;=0,N81=""),"",MAX(0,((L81+J81)/2)*I81-N81*I81/M81)),MAX(0,O81))))</f>
        <v/>
      </c>
      <c r="T81" s="14">
        <f>IF(S81="","",SUMIFS($S$2:$S$501,$C$2:$C$501,C81,$H$2:$H$501,H81,$G$2:$G$501,"&lt;"&amp;G81)+SUMIFS($S$2:$S$501,$C$2:$C$501,C81,$H$2:$H$501,H81,$G$2:$G$501,G81,$A$2:$A$501,"&lt;"&amp;A81))</f>
        <v/>
      </c>
      <c r="U81" s="14">
        <f>IF(S81="","",T81+S81)</f>
        <v/>
      </c>
      <c r="V81" s="15">
        <f>IF(U81="","",VLOOKUP(U81,'税率及规则'!$A$2:$C$8,2,TRUE))</f>
        <v/>
      </c>
      <c r="W81" s="14">
        <f>IF(U81="","",VLOOKUP(U81,'税率及规则'!$A$2:$C$8,3,TRUE))</f>
        <v/>
      </c>
      <c r="X81" s="14">
        <f>IF(U81="","",MAX(0,U81*V81-W81))</f>
        <v/>
      </c>
      <c r="Y81" s="14">
        <f>IF(T81="","",MAX(0,T81*VLOOKUP(T81,'税率及规则'!$A$2:$C$8,2,TRUE)-VLOOKUP(T81,'税率及规则'!$A$2:$C$8,3,TRUE)))</f>
        <v/>
      </c>
      <c r="Z81" s="14">
        <f>IF(X81="","",MAX(0,X81-Y81))</f>
        <v/>
      </c>
      <c r="AA81" s="16">
        <f>IF(G81="","",G81)</f>
        <v/>
      </c>
      <c r="AB81" s="16">
        <f>IF(AA81="","",EDATE(AA81,36))</f>
        <v/>
      </c>
      <c r="AC81" s="6">
        <f>IF(A81="","",IF(COUNTIF($A$2:$A$501,A81)&gt;1,"异常：事件编号重复",IF(OR(C81="",D81="",E81="",F81="",G81="",I81="",J81=""),"异常：必填项缺失",IF(OR(I81&lt;=0,J81&lt;0),"异常：数量或价格无效",IF(AND(F81="限制性股票",OR(M81&lt;=0,N81&lt;0,I81&gt;M81)),"异常：个人获授或出资数据无效",IF(AND(F81="股票期权",K81&lt;&gt;IF(G81&lt;DATE(2025,1,10),14.56,IF(G81&lt;DATE(2025,4,29),14.32,IF(G81&lt;DATE(2025,9,26),14.18,14.04)))),"异常：行权价格区间不符",IF(Q81&lt;&gt;"已备案","提示：未确认备案","正常")))))))</f>
        <v/>
      </c>
      <c r="AD81" s="11" t="n"/>
    </row>
    <row r="82">
      <c r="A82" s="11" t="n"/>
      <c r="B82" s="6">
        <f>IF(A82="","",A82&amp;"-TAX")</f>
        <v/>
      </c>
      <c r="C82" s="11" t="n"/>
      <c r="D82" s="11" t="n"/>
      <c r="E82" s="11" t="n"/>
      <c r="F82" s="11" t="n"/>
      <c r="G82" s="12" t="n"/>
      <c r="H82" s="6">
        <f>IF(G82="","",YEAR(G82))</f>
        <v/>
      </c>
      <c r="I82" s="11" t="n"/>
      <c r="J82" s="13" t="n"/>
      <c r="K82" s="14">
        <f>IF(F82="股票期权",IF(G82="","",IF(G82&lt;DATE(2025,1,10),14.56,IF(G82&lt;DATE(2025,4,29),14.32,IF(G82&lt;DATE(2025,9,26),14.18,14.04)))),IF(F82="限制性股票",8.68,""))</f>
        <v/>
      </c>
      <c r="L82" s="14">
        <f>IF(F82="限制性股票",13.06,"")</f>
        <v/>
      </c>
      <c r="M82" s="11" t="n"/>
      <c r="N82" s="13" t="n"/>
      <c r="O82" s="13" t="n"/>
      <c r="P82" s="12" t="n"/>
      <c r="Q82" s="11" t="n"/>
      <c r="R82" s="12" t="n"/>
      <c r="S82" s="14">
        <f>IF(OR(A82="",C82="",F82="",G82="",I82="",J82=""),"",IF(F82="股票期权",MAX(0,(J82-K82)*I82),IF(F82="限制性股票",IF(OR(L82="",M82="",M82&lt;=0,N82=""),"",MAX(0,((L82+J82)/2)*I82-N82*I82/M82)),MAX(0,O82))))</f>
        <v/>
      </c>
      <c r="T82" s="14">
        <f>IF(S82="","",SUMIFS($S$2:$S$501,$C$2:$C$501,C82,$H$2:$H$501,H82,$G$2:$G$501,"&lt;"&amp;G82)+SUMIFS($S$2:$S$501,$C$2:$C$501,C82,$H$2:$H$501,H82,$G$2:$G$501,G82,$A$2:$A$501,"&lt;"&amp;A82))</f>
        <v/>
      </c>
      <c r="U82" s="14">
        <f>IF(S82="","",T82+S82)</f>
        <v/>
      </c>
      <c r="V82" s="15">
        <f>IF(U82="","",VLOOKUP(U82,'税率及规则'!$A$2:$C$8,2,TRUE))</f>
        <v/>
      </c>
      <c r="W82" s="14">
        <f>IF(U82="","",VLOOKUP(U82,'税率及规则'!$A$2:$C$8,3,TRUE))</f>
        <v/>
      </c>
      <c r="X82" s="14">
        <f>IF(U82="","",MAX(0,U82*V82-W82))</f>
        <v/>
      </c>
      <c r="Y82" s="14">
        <f>IF(T82="","",MAX(0,T82*VLOOKUP(T82,'税率及规则'!$A$2:$C$8,2,TRUE)-VLOOKUP(T82,'税率及规则'!$A$2:$C$8,3,TRUE)))</f>
        <v/>
      </c>
      <c r="Z82" s="14">
        <f>IF(X82="","",MAX(0,X82-Y82))</f>
        <v/>
      </c>
      <c r="AA82" s="16">
        <f>IF(G82="","",G82)</f>
        <v/>
      </c>
      <c r="AB82" s="16">
        <f>IF(AA82="","",EDATE(AA82,36))</f>
        <v/>
      </c>
      <c r="AC82" s="6">
        <f>IF(A82="","",IF(COUNTIF($A$2:$A$501,A82)&gt;1,"异常：事件编号重复",IF(OR(C82="",D82="",E82="",F82="",G82="",I82="",J82=""),"异常：必填项缺失",IF(OR(I82&lt;=0,J82&lt;0),"异常：数量或价格无效",IF(AND(F82="限制性股票",OR(M82&lt;=0,N82&lt;0,I82&gt;M82)),"异常：个人获授或出资数据无效",IF(AND(F82="股票期权",K82&lt;&gt;IF(G82&lt;DATE(2025,1,10),14.56,IF(G82&lt;DATE(2025,4,29),14.32,IF(G82&lt;DATE(2025,9,26),14.18,14.04)))),"异常：行权价格区间不符",IF(Q82&lt;&gt;"已备案","提示：未确认备案","正常")))))))</f>
        <v/>
      </c>
      <c r="AD82" s="11" t="n"/>
    </row>
    <row r="83">
      <c r="A83" s="11" t="n"/>
      <c r="B83" s="6">
        <f>IF(A83="","",A83&amp;"-TAX")</f>
        <v/>
      </c>
      <c r="C83" s="11" t="n"/>
      <c r="D83" s="11" t="n"/>
      <c r="E83" s="11" t="n"/>
      <c r="F83" s="11" t="n"/>
      <c r="G83" s="12" t="n"/>
      <c r="H83" s="6">
        <f>IF(G83="","",YEAR(G83))</f>
        <v/>
      </c>
      <c r="I83" s="11" t="n"/>
      <c r="J83" s="13" t="n"/>
      <c r="K83" s="14">
        <f>IF(F83="股票期权",IF(G83="","",IF(G83&lt;DATE(2025,1,10),14.56,IF(G83&lt;DATE(2025,4,29),14.32,IF(G83&lt;DATE(2025,9,26),14.18,14.04)))),IF(F83="限制性股票",8.68,""))</f>
        <v/>
      </c>
      <c r="L83" s="14">
        <f>IF(F83="限制性股票",13.06,"")</f>
        <v/>
      </c>
      <c r="M83" s="11" t="n"/>
      <c r="N83" s="13" t="n"/>
      <c r="O83" s="13" t="n"/>
      <c r="P83" s="12" t="n"/>
      <c r="Q83" s="11" t="n"/>
      <c r="R83" s="12" t="n"/>
      <c r="S83" s="14">
        <f>IF(OR(A83="",C83="",F83="",G83="",I83="",J83=""),"",IF(F83="股票期权",MAX(0,(J83-K83)*I83),IF(F83="限制性股票",IF(OR(L83="",M83="",M83&lt;=0,N83=""),"",MAX(0,((L83+J83)/2)*I83-N83*I83/M83)),MAX(0,O83))))</f>
        <v/>
      </c>
      <c r="T83" s="14">
        <f>IF(S83="","",SUMIFS($S$2:$S$501,$C$2:$C$501,C83,$H$2:$H$501,H83,$G$2:$G$501,"&lt;"&amp;G83)+SUMIFS($S$2:$S$501,$C$2:$C$501,C83,$H$2:$H$501,H83,$G$2:$G$501,G83,$A$2:$A$501,"&lt;"&amp;A83))</f>
        <v/>
      </c>
      <c r="U83" s="14">
        <f>IF(S83="","",T83+S83)</f>
        <v/>
      </c>
      <c r="V83" s="15">
        <f>IF(U83="","",VLOOKUP(U83,'税率及规则'!$A$2:$C$8,2,TRUE))</f>
        <v/>
      </c>
      <c r="W83" s="14">
        <f>IF(U83="","",VLOOKUP(U83,'税率及规则'!$A$2:$C$8,3,TRUE))</f>
        <v/>
      </c>
      <c r="X83" s="14">
        <f>IF(U83="","",MAX(0,U83*V83-W83))</f>
        <v/>
      </c>
      <c r="Y83" s="14">
        <f>IF(T83="","",MAX(0,T83*VLOOKUP(T83,'税率及规则'!$A$2:$C$8,2,TRUE)-VLOOKUP(T83,'税率及规则'!$A$2:$C$8,3,TRUE)))</f>
        <v/>
      </c>
      <c r="Z83" s="14">
        <f>IF(X83="","",MAX(0,X83-Y83))</f>
        <v/>
      </c>
      <c r="AA83" s="16">
        <f>IF(G83="","",G83)</f>
        <v/>
      </c>
      <c r="AB83" s="16">
        <f>IF(AA83="","",EDATE(AA83,36))</f>
        <v/>
      </c>
      <c r="AC83" s="6">
        <f>IF(A83="","",IF(COUNTIF($A$2:$A$501,A83)&gt;1,"异常：事件编号重复",IF(OR(C83="",D83="",E83="",F83="",G83="",I83="",J83=""),"异常：必填项缺失",IF(OR(I83&lt;=0,J83&lt;0),"异常：数量或价格无效",IF(AND(F83="限制性股票",OR(M83&lt;=0,N83&lt;0,I83&gt;M83)),"异常：个人获授或出资数据无效",IF(AND(F83="股票期权",K83&lt;&gt;IF(G83&lt;DATE(2025,1,10),14.56,IF(G83&lt;DATE(2025,4,29),14.32,IF(G83&lt;DATE(2025,9,26),14.18,14.04)))),"异常：行权价格区间不符",IF(Q83&lt;&gt;"已备案","提示：未确认备案","正常")))))))</f>
        <v/>
      </c>
      <c r="AD83" s="11" t="n"/>
    </row>
    <row r="84">
      <c r="A84" s="11" t="n"/>
      <c r="B84" s="6">
        <f>IF(A84="","",A84&amp;"-TAX")</f>
        <v/>
      </c>
      <c r="C84" s="11" t="n"/>
      <c r="D84" s="11" t="n"/>
      <c r="E84" s="11" t="n"/>
      <c r="F84" s="11" t="n"/>
      <c r="G84" s="12" t="n"/>
      <c r="H84" s="6">
        <f>IF(G84="","",YEAR(G84))</f>
        <v/>
      </c>
      <c r="I84" s="11" t="n"/>
      <c r="J84" s="13" t="n"/>
      <c r="K84" s="14">
        <f>IF(F84="股票期权",IF(G84="","",IF(G84&lt;DATE(2025,1,10),14.56,IF(G84&lt;DATE(2025,4,29),14.32,IF(G84&lt;DATE(2025,9,26),14.18,14.04)))),IF(F84="限制性股票",8.68,""))</f>
        <v/>
      </c>
      <c r="L84" s="14">
        <f>IF(F84="限制性股票",13.06,"")</f>
        <v/>
      </c>
      <c r="M84" s="11" t="n"/>
      <c r="N84" s="13" t="n"/>
      <c r="O84" s="13" t="n"/>
      <c r="P84" s="12" t="n"/>
      <c r="Q84" s="11" t="n"/>
      <c r="R84" s="12" t="n"/>
      <c r="S84" s="14">
        <f>IF(OR(A84="",C84="",F84="",G84="",I84="",J84=""),"",IF(F84="股票期权",MAX(0,(J84-K84)*I84),IF(F84="限制性股票",IF(OR(L84="",M84="",M84&lt;=0,N84=""),"",MAX(0,((L84+J84)/2)*I84-N84*I84/M84)),MAX(0,O84))))</f>
        <v/>
      </c>
      <c r="T84" s="14">
        <f>IF(S84="","",SUMIFS($S$2:$S$501,$C$2:$C$501,C84,$H$2:$H$501,H84,$G$2:$G$501,"&lt;"&amp;G84)+SUMIFS($S$2:$S$501,$C$2:$C$501,C84,$H$2:$H$501,H84,$G$2:$G$501,G84,$A$2:$A$501,"&lt;"&amp;A84))</f>
        <v/>
      </c>
      <c r="U84" s="14">
        <f>IF(S84="","",T84+S84)</f>
        <v/>
      </c>
      <c r="V84" s="15">
        <f>IF(U84="","",VLOOKUP(U84,'税率及规则'!$A$2:$C$8,2,TRUE))</f>
        <v/>
      </c>
      <c r="W84" s="14">
        <f>IF(U84="","",VLOOKUP(U84,'税率及规则'!$A$2:$C$8,3,TRUE))</f>
        <v/>
      </c>
      <c r="X84" s="14">
        <f>IF(U84="","",MAX(0,U84*V84-W84))</f>
        <v/>
      </c>
      <c r="Y84" s="14">
        <f>IF(T84="","",MAX(0,T84*VLOOKUP(T84,'税率及规则'!$A$2:$C$8,2,TRUE)-VLOOKUP(T84,'税率及规则'!$A$2:$C$8,3,TRUE)))</f>
        <v/>
      </c>
      <c r="Z84" s="14">
        <f>IF(X84="","",MAX(0,X84-Y84))</f>
        <v/>
      </c>
      <c r="AA84" s="16">
        <f>IF(G84="","",G84)</f>
        <v/>
      </c>
      <c r="AB84" s="16">
        <f>IF(AA84="","",EDATE(AA84,36))</f>
        <v/>
      </c>
      <c r="AC84" s="6">
        <f>IF(A84="","",IF(COUNTIF($A$2:$A$501,A84)&gt;1,"异常：事件编号重复",IF(OR(C84="",D84="",E84="",F84="",G84="",I84="",J84=""),"异常：必填项缺失",IF(OR(I84&lt;=0,J84&lt;0),"异常：数量或价格无效",IF(AND(F84="限制性股票",OR(M84&lt;=0,N84&lt;0,I84&gt;M84)),"异常：个人获授或出资数据无效",IF(AND(F84="股票期权",K84&lt;&gt;IF(G84&lt;DATE(2025,1,10),14.56,IF(G84&lt;DATE(2025,4,29),14.32,IF(G84&lt;DATE(2025,9,26),14.18,14.04)))),"异常：行权价格区间不符",IF(Q84&lt;&gt;"已备案","提示：未确认备案","正常")))))))</f>
        <v/>
      </c>
      <c r="AD84" s="11" t="n"/>
    </row>
    <row r="85">
      <c r="A85" s="11" t="n"/>
      <c r="B85" s="6">
        <f>IF(A85="","",A85&amp;"-TAX")</f>
        <v/>
      </c>
      <c r="C85" s="11" t="n"/>
      <c r="D85" s="11" t="n"/>
      <c r="E85" s="11" t="n"/>
      <c r="F85" s="11" t="n"/>
      <c r="G85" s="12" t="n"/>
      <c r="H85" s="6">
        <f>IF(G85="","",YEAR(G85))</f>
        <v/>
      </c>
      <c r="I85" s="11" t="n"/>
      <c r="J85" s="13" t="n"/>
      <c r="K85" s="14">
        <f>IF(F85="股票期权",IF(G85="","",IF(G85&lt;DATE(2025,1,10),14.56,IF(G85&lt;DATE(2025,4,29),14.32,IF(G85&lt;DATE(2025,9,26),14.18,14.04)))),IF(F85="限制性股票",8.68,""))</f>
        <v/>
      </c>
      <c r="L85" s="14">
        <f>IF(F85="限制性股票",13.06,"")</f>
        <v/>
      </c>
      <c r="M85" s="11" t="n"/>
      <c r="N85" s="13" t="n"/>
      <c r="O85" s="13" t="n"/>
      <c r="P85" s="12" t="n"/>
      <c r="Q85" s="11" t="n"/>
      <c r="R85" s="12" t="n"/>
      <c r="S85" s="14">
        <f>IF(OR(A85="",C85="",F85="",G85="",I85="",J85=""),"",IF(F85="股票期权",MAX(0,(J85-K85)*I85),IF(F85="限制性股票",IF(OR(L85="",M85="",M85&lt;=0,N85=""),"",MAX(0,((L85+J85)/2)*I85-N85*I85/M85)),MAX(0,O85))))</f>
        <v/>
      </c>
      <c r="T85" s="14">
        <f>IF(S85="","",SUMIFS($S$2:$S$501,$C$2:$C$501,C85,$H$2:$H$501,H85,$G$2:$G$501,"&lt;"&amp;G85)+SUMIFS($S$2:$S$501,$C$2:$C$501,C85,$H$2:$H$501,H85,$G$2:$G$501,G85,$A$2:$A$501,"&lt;"&amp;A85))</f>
        <v/>
      </c>
      <c r="U85" s="14">
        <f>IF(S85="","",T85+S85)</f>
        <v/>
      </c>
      <c r="V85" s="15">
        <f>IF(U85="","",VLOOKUP(U85,'税率及规则'!$A$2:$C$8,2,TRUE))</f>
        <v/>
      </c>
      <c r="W85" s="14">
        <f>IF(U85="","",VLOOKUP(U85,'税率及规则'!$A$2:$C$8,3,TRUE))</f>
        <v/>
      </c>
      <c r="X85" s="14">
        <f>IF(U85="","",MAX(0,U85*V85-W85))</f>
        <v/>
      </c>
      <c r="Y85" s="14">
        <f>IF(T85="","",MAX(0,T85*VLOOKUP(T85,'税率及规则'!$A$2:$C$8,2,TRUE)-VLOOKUP(T85,'税率及规则'!$A$2:$C$8,3,TRUE)))</f>
        <v/>
      </c>
      <c r="Z85" s="14">
        <f>IF(X85="","",MAX(0,X85-Y85))</f>
        <v/>
      </c>
      <c r="AA85" s="16">
        <f>IF(G85="","",G85)</f>
        <v/>
      </c>
      <c r="AB85" s="16">
        <f>IF(AA85="","",EDATE(AA85,36))</f>
        <v/>
      </c>
      <c r="AC85" s="6">
        <f>IF(A85="","",IF(COUNTIF($A$2:$A$501,A85)&gt;1,"异常：事件编号重复",IF(OR(C85="",D85="",E85="",F85="",G85="",I85="",J85=""),"异常：必填项缺失",IF(OR(I85&lt;=0,J85&lt;0),"异常：数量或价格无效",IF(AND(F85="限制性股票",OR(M85&lt;=0,N85&lt;0,I85&gt;M85)),"异常：个人获授或出资数据无效",IF(AND(F85="股票期权",K85&lt;&gt;IF(G85&lt;DATE(2025,1,10),14.56,IF(G85&lt;DATE(2025,4,29),14.32,IF(G85&lt;DATE(2025,9,26),14.18,14.04)))),"异常：行权价格区间不符",IF(Q85&lt;&gt;"已备案","提示：未确认备案","正常")))))))</f>
        <v/>
      </c>
      <c r="AD85" s="11" t="n"/>
    </row>
    <row r="86">
      <c r="A86" s="11" t="n"/>
      <c r="B86" s="6">
        <f>IF(A86="","",A86&amp;"-TAX")</f>
        <v/>
      </c>
      <c r="C86" s="11" t="n"/>
      <c r="D86" s="11" t="n"/>
      <c r="E86" s="11" t="n"/>
      <c r="F86" s="11" t="n"/>
      <c r="G86" s="12" t="n"/>
      <c r="H86" s="6">
        <f>IF(G86="","",YEAR(G86))</f>
        <v/>
      </c>
      <c r="I86" s="11" t="n"/>
      <c r="J86" s="13" t="n"/>
      <c r="K86" s="14">
        <f>IF(F86="股票期权",IF(G86="","",IF(G86&lt;DATE(2025,1,10),14.56,IF(G86&lt;DATE(2025,4,29),14.32,IF(G86&lt;DATE(2025,9,26),14.18,14.04)))),IF(F86="限制性股票",8.68,""))</f>
        <v/>
      </c>
      <c r="L86" s="14">
        <f>IF(F86="限制性股票",13.06,"")</f>
        <v/>
      </c>
      <c r="M86" s="11" t="n"/>
      <c r="N86" s="13" t="n"/>
      <c r="O86" s="13" t="n"/>
      <c r="P86" s="12" t="n"/>
      <c r="Q86" s="11" t="n"/>
      <c r="R86" s="12" t="n"/>
      <c r="S86" s="14">
        <f>IF(OR(A86="",C86="",F86="",G86="",I86="",J86=""),"",IF(F86="股票期权",MAX(0,(J86-K86)*I86),IF(F86="限制性股票",IF(OR(L86="",M86="",M86&lt;=0,N86=""),"",MAX(0,((L86+J86)/2)*I86-N86*I86/M86)),MAX(0,O86))))</f>
        <v/>
      </c>
      <c r="T86" s="14">
        <f>IF(S86="","",SUMIFS($S$2:$S$501,$C$2:$C$501,C86,$H$2:$H$501,H86,$G$2:$G$501,"&lt;"&amp;G86)+SUMIFS($S$2:$S$501,$C$2:$C$501,C86,$H$2:$H$501,H86,$G$2:$G$501,G86,$A$2:$A$501,"&lt;"&amp;A86))</f>
        <v/>
      </c>
      <c r="U86" s="14">
        <f>IF(S86="","",T86+S86)</f>
        <v/>
      </c>
      <c r="V86" s="15">
        <f>IF(U86="","",VLOOKUP(U86,'税率及规则'!$A$2:$C$8,2,TRUE))</f>
        <v/>
      </c>
      <c r="W86" s="14">
        <f>IF(U86="","",VLOOKUP(U86,'税率及规则'!$A$2:$C$8,3,TRUE))</f>
        <v/>
      </c>
      <c r="X86" s="14">
        <f>IF(U86="","",MAX(0,U86*V86-W86))</f>
        <v/>
      </c>
      <c r="Y86" s="14">
        <f>IF(T86="","",MAX(0,T86*VLOOKUP(T86,'税率及规则'!$A$2:$C$8,2,TRUE)-VLOOKUP(T86,'税率及规则'!$A$2:$C$8,3,TRUE)))</f>
        <v/>
      </c>
      <c r="Z86" s="14">
        <f>IF(X86="","",MAX(0,X86-Y86))</f>
        <v/>
      </c>
      <c r="AA86" s="16">
        <f>IF(G86="","",G86)</f>
        <v/>
      </c>
      <c r="AB86" s="16">
        <f>IF(AA86="","",EDATE(AA86,36))</f>
        <v/>
      </c>
      <c r="AC86" s="6">
        <f>IF(A86="","",IF(COUNTIF($A$2:$A$501,A86)&gt;1,"异常：事件编号重复",IF(OR(C86="",D86="",E86="",F86="",G86="",I86="",J86=""),"异常：必填项缺失",IF(OR(I86&lt;=0,J86&lt;0),"异常：数量或价格无效",IF(AND(F86="限制性股票",OR(M86&lt;=0,N86&lt;0,I86&gt;M86)),"异常：个人获授或出资数据无效",IF(AND(F86="股票期权",K86&lt;&gt;IF(G86&lt;DATE(2025,1,10),14.56,IF(G86&lt;DATE(2025,4,29),14.32,IF(G86&lt;DATE(2025,9,26),14.18,14.04)))),"异常：行权价格区间不符",IF(Q86&lt;&gt;"已备案","提示：未确认备案","正常")))))))</f>
        <v/>
      </c>
      <c r="AD86" s="11" t="n"/>
    </row>
    <row r="87">
      <c r="A87" s="11" t="n"/>
      <c r="B87" s="6">
        <f>IF(A87="","",A87&amp;"-TAX")</f>
        <v/>
      </c>
      <c r="C87" s="11" t="n"/>
      <c r="D87" s="11" t="n"/>
      <c r="E87" s="11" t="n"/>
      <c r="F87" s="11" t="n"/>
      <c r="G87" s="12" t="n"/>
      <c r="H87" s="6">
        <f>IF(G87="","",YEAR(G87))</f>
        <v/>
      </c>
      <c r="I87" s="11" t="n"/>
      <c r="J87" s="13" t="n"/>
      <c r="K87" s="14">
        <f>IF(F87="股票期权",IF(G87="","",IF(G87&lt;DATE(2025,1,10),14.56,IF(G87&lt;DATE(2025,4,29),14.32,IF(G87&lt;DATE(2025,9,26),14.18,14.04)))),IF(F87="限制性股票",8.68,""))</f>
        <v/>
      </c>
      <c r="L87" s="14">
        <f>IF(F87="限制性股票",13.06,"")</f>
        <v/>
      </c>
      <c r="M87" s="11" t="n"/>
      <c r="N87" s="13" t="n"/>
      <c r="O87" s="13" t="n"/>
      <c r="P87" s="12" t="n"/>
      <c r="Q87" s="11" t="n"/>
      <c r="R87" s="12" t="n"/>
      <c r="S87" s="14">
        <f>IF(OR(A87="",C87="",F87="",G87="",I87="",J87=""),"",IF(F87="股票期权",MAX(0,(J87-K87)*I87),IF(F87="限制性股票",IF(OR(L87="",M87="",M87&lt;=0,N87=""),"",MAX(0,((L87+J87)/2)*I87-N87*I87/M87)),MAX(0,O87))))</f>
        <v/>
      </c>
      <c r="T87" s="14">
        <f>IF(S87="","",SUMIFS($S$2:$S$501,$C$2:$C$501,C87,$H$2:$H$501,H87,$G$2:$G$501,"&lt;"&amp;G87)+SUMIFS($S$2:$S$501,$C$2:$C$501,C87,$H$2:$H$501,H87,$G$2:$G$501,G87,$A$2:$A$501,"&lt;"&amp;A87))</f>
        <v/>
      </c>
      <c r="U87" s="14">
        <f>IF(S87="","",T87+S87)</f>
        <v/>
      </c>
      <c r="V87" s="15">
        <f>IF(U87="","",VLOOKUP(U87,'税率及规则'!$A$2:$C$8,2,TRUE))</f>
        <v/>
      </c>
      <c r="W87" s="14">
        <f>IF(U87="","",VLOOKUP(U87,'税率及规则'!$A$2:$C$8,3,TRUE))</f>
        <v/>
      </c>
      <c r="X87" s="14">
        <f>IF(U87="","",MAX(0,U87*V87-W87))</f>
        <v/>
      </c>
      <c r="Y87" s="14">
        <f>IF(T87="","",MAX(0,T87*VLOOKUP(T87,'税率及规则'!$A$2:$C$8,2,TRUE)-VLOOKUP(T87,'税率及规则'!$A$2:$C$8,3,TRUE)))</f>
        <v/>
      </c>
      <c r="Z87" s="14">
        <f>IF(X87="","",MAX(0,X87-Y87))</f>
        <v/>
      </c>
      <c r="AA87" s="16">
        <f>IF(G87="","",G87)</f>
        <v/>
      </c>
      <c r="AB87" s="16">
        <f>IF(AA87="","",EDATE(AA87,36))</f>
        <v/>
      </c>
      <c r="AC87" s="6">
        <f>IF(A87="","",IF(COUNTIF($A$2:$A$501,A87)&gt;1,"异常：事件编号重复",IF(OR(C87="",D87="",E87="",F87="",G87="",I87="",J87=""),"异常：必填项缺失",IF(OR(I87&lt;=0,J87&lt;0),"异常：数量或价格无效",IF(AND(F87="限制性股票",OR(M87&lt;=0,N87&lt;0,I87&gt;M87)),"异常：个人获授或出资数据无效",IF(AND(F87="股票期权",K87&lt;&gt;IF(G87&lt;DATE(2025,1,10),14.56,IF(G87&lt;DATE(2025,4,29),14.32,IF(G87&lt;DATE(2025,9,26),14.18,14.04)))),"异常：行权价格区间不符",IF(Q87&lt;&gt;"已备案","提示：未确认备案","正常")))))))</f>
        <v/>
      </c>
      <c r="AD87" s="11" t="n"/>
    </row>
    <row r="88">
      <c r="A88" s="11" t="n"/>
      <c r="B88" s="6">
        <f>IF(A88="","",A88&amp;"-TAX")</f>
        <v/>
      </c>
      <c r="C88" s="11" t="n"/>
      <c r="D88" s="11" t="n"/>
      <c r="E88" s="11" t="n"/>
      <c r="F88" s="11" t="n"/>
      <c r="G88" s="12" t="n"/>
      <c r="H88" s="6">
        <f>IF(G88="","",YEAR(G88))</f>
        <v/>
      </c>
      <c r="I88" s="11" t="n"/>
      <c r="J88" s="13" t="n"/>
      <c r="K88" s="14">
        <f>IF(F88="股票期权",IF(G88="","",IF(G88&lt;DATE(2025,1,10),14.56,IF(G88&lt;DATE(2025,4,29),14.32,IF(G88&lt;DATE(2025,9,26),14.18,14.04)))),IF(F88="限制性股票",8.68,""))</f>
        <v/>
      </c>
      <c r="L88" s="14">
        <f>IF(F88="限制性股票",13.06,"")</f>
        <v/>
      </c>
      <c r="M88" s="11" t="n"/>
      <c r="N88" s="13" t="n"/>
      <c r="O88" s="13" t="n"/>
      <c r="P88" s="12" t="n"/>
      <c r="Q88" s="11" t="n"/>
      <c r="R88" s="12" t="n"/>
      <c r="S88" s="14">
        <f>IF(OR(A88="",C88="",F88="",G88="",I88="",J88=""),"",IF(F88="股票期权",MAX(0,(J88-K88)*I88),IF(F88="限制性股票",IF(OR(L88="",M88="",M88&lt;=0,N88=""),"",MAX(0,((L88+J88)/2)*I88-N88*I88/M88)),MAX(0,O88))))</f>
        <v/>
      </c>
      <c r="T88" s="14">
        <f>IF(S88="","",SUMIFS($S$2:$S$501,$C$2:$C$501,C88,$H$2:$H$501,H88,$G$2:$G$501,"&lt;"&amp;G88)+SUMIFS($S$2:$S$501,$C$2:$C$501,C88,$H$2:$H$501,H88,$G$2:$G$501,G88,$A$2:$A$501,"&lt;"&amp;A88))</f>
        <v/>
      </c>
      <c r="U88" s="14">
        <f>IF(S88="","",T88+S88)</f>
        <v/>
      </c>
      <c r="V88" s="15">
        <f>IF(U88="","",VLOOKUP(U88,'税率及规则'!$A$2:$C$8,2,TRUE))</f>
        <v/>
      </c>
      <c r="W88" s="14">
        <f>IF(U88="","",VLOOKUP(U88,'税率及规则'!$A$2:$C$8,3,TRUE))</f>
        <v/>
      </c>
      <c r="X88" s="14">
        <f>IF(U88="","",MAX(0,U88*V88-W88))</f>
        <v/>
      </c>
      <c r="Y88" s="14">
        <f>IF(T88="","",MAX(0,T88*VLOOKUP(T88,'税率及规则'!$A$2:$C$8,2,TRUE)-VLOOKUP(T88,'税率及规则'!$A$2:$C$8,3,TRUE)))</f>
        <v/>
      </c>
      <c r="Z88" s="14">
        <f>IF(X88="","",MAX(0,X88-Y88))</f>
        <v/>
      </c>
      <c r="AA88" s="16">
        <f>IF(G88="","",G88)</f>
        <v/>
      </c>
      <c r="AB88" s="16">
        <f>IF(AA88="","",EDATE(AA88,36))</f>
        <v/>
      </c>
      <c r="AC88" s="6">
        <f>IF(A88="","",IF(COUNTIF($A$2:$A$501,A88)&gt;1,"异常：事件编号重复",IF(OR(C88="",D88="",E88="",F88="",G88="",I88="",J88=""),"异常：必填项缺失",IF(OR(I88&lt;=0,J88&lt;0),"异常：数量或价格无效",IF(AND(F88="限制性股票",OR(M88&lt;=0,N88&lt;0,I88&gt;M88)),"异常：个人获授或出资数据无效",IF(AND(F88="股票期权",K88&lt;&gt;IF(G88&lt;DATE(2025,1,10),14.56,IF(G88&lt;DATE(2025,4,29),14.32,IF(G88&lt;DATE(2025,9,26),14.18,14.04)))),"异常：行权价格区间不符",IF(Q88&lt;&gt;"已备案","提示：未确认备案","正常")))))))</f>
        <v/>
      </c>
      <c r="AD88" s="11" t="n"/>
    </row>
    <row r="89">
      <c r="A89" s="11" t="n"/>
      <c r="B89" s="6">
        <f>IF(A89="","",A89&amp;"-TAX")</f>
        <v/>
      </c>
      <c r="C89" s="11" t="n"/>
      <c r="D89" s="11" t="n"/>
      <c r="E89" s="11" t="n"/>
      <c r="F89" s="11" t="n"/>
      <c r="G89" s="12" t="n"/>
      <c r="H89" s="6">
        <f>IF(G89="","",YEAR(G89))</f>
        <v/>
      </c>
      <c r="I89" s="11" t="n"/>
      <c r="J89" s="13" t="n"/>
      <c r="K89" s="14">
        <f>IF(F89="股票期权",IF(G89="","",IF(G89&lt;DATE(2025,1,10),14.56,IF(G89&lt;DATE(2025,4,29),14.32,IF(G89&lt;DATE(2025,9,26),14.18,14.04)))),IF(F89="限制性股票",8.68,""))</f>
        <v/>
      </c>
      <c r="L89" s="14">
        <f>IF(F89="限制性股票",13.06,"")</f>
        <v/>
      </c>
      <c r="M89" s="11" t="n"/>
      <c r="N89" s="13" t="n"/>
      <c r="O89" s="13" t="n"/>
      <c r="P89" s="12" t="n"/>
      <c r="Q89" s="11" t="n"/>
      <c r="R89" s="12" t="n"/>
      <c r="S89" s="14">
        <f>IF(OR(A89="",C89="",F89="",G89="",I89="",J89=""),"",IF(F89="股票期权",MAX(0,(J89-K89)*I89),IF(F89="限制性股票",IF(OR(L89="",M89="",M89&lt;=0,N89=""),"",MAX(0,((L89+J89)/2)*I89-N89*I89/M89)),MAX(0,O89))))</f>
        <v/>
      </c>
      <c r="T89" s="14">
        <f>IF(S89="","",SUMIFS($S$2:$S$501,$C$2:$C$501,C89,$H$2:$H$501,H89,$G$2:$G$501,"&lt;"&amp;G89)+SUMIFS($S$2:$S$501,$C$2:$C$501,C89,$H$2:$H$501,H89,$G$2:$G$501,G89,$A$2:$A$501,"&lt;"&amp;A89))</f>
        <v/>
      </c>
      <c r="U89" s="14">
        <f>IF(S89="","",T89+S89)</f>
        <v/>
      </c>
      <c r="V89" s="15">
        <f>IF(U89="","",VLOOKUP(U89,'税率及规则'!$A$2:$C$8,2,TRUE))</f>
        <v/>
      </c>
      <c r="W89" s="14">
        <f>IF(U89="","",VLOOKUP(U89,'税率及规则'!$A$2:$C$8,3,TRUE))</f>
        <v/>
      </c>
      <c r="X89" s="14">
        <f>IF(U89="","",MAX(0,U89*V89-W89))</f>
        <v/>
      </c>
      <c r="Y89" s="14">
        <f>IF(T89="","",MAX(0,T89*VLOOKUP(T89,'税率及规则'!$A$2:$C$8,2,TRUE)-VLOOKUP(T89,'税率及规则'!$A$2:$C$8,3,TRUE)))</f>
        <v/>
      </c>
      <c r="Z89" s="14">
        <f>IF(X89="","",MAX(0,X89-Y89))</f>
        <v/>
      </c>
      <c r="AA89" s="16">
        <f>IF(G89="","",G89)</f>
        <v/>
      </c>
      <c r="AB89" s="16">
        <f>IF(AA89="","",EDATE(AA89,36))</f>
        <v/>
      </c>
      <c r="AC89" s="6">
        <f>IF(A89="","",IF(COUNTIF($A$2:$A$501,A89)&gt;1,"异常：事件编号重复",IF(OR(C89="",D89="",E89="",F89="",G89="",I89="",J89=""),"异常：必填项缺失",IF(OR(I89&lt;=0,J89&lt;0),"异常：数量或价格无效",IF(AND(F89="限制性股票",OR(M89&lt;=0,N89&lt;0,I89&gt;M89)),"异常：个人获授或出资数据无效",IF(AND(F89="股票期权",K89&lt;&gt;IF(G89&lt;DATE(2025,1,10),14.56,IF(G89&lt;DATE(2025,4,29),14.32,IF(G89&lt;DATE(2025,9,26),14.18,14.04)))),"异常：行权价格区间不符",IF(Q89&lt;&gt;"已备案","提示：未确认备案","正常")))))))</f>
        <v/>
      </c>
      <c r="AD89" s="11" t="n"/>
    </row>
    <row r="90">
      <c r="A90" s="11" t="n"/>
      <c r="B90" s="6">
        <f>IF(A90="","",A90&amp;"-TAX")</f>
        <v/>
      </c>
      <c r="C90" s="11" t="n"/>
      <c r="D90" s="11" t="n"/>
      <c r="E90" s="11" t="n"/>
      <c r="F90" s="11" t="n"/>
      <c r="G90" s="12" t="n"/>
      <c r="H90" s="6">
        <f>IF(G90="","",YEAR(G90))</f>
        <v/>
      </c>
      <c r="I90" s="11" t="n"/>
      <c r="J90" s="13" t="n"/>
      <c r="K90" s="14">
        <f>IF(F90="股票期权",IF(G90="","",IF(G90&lt;DATE(2025,1,10),14.56,IF(G90&lt;DATE(2025,4,29),14.32,IF(G90&lt;DATE(2025,9,26),14.18,14.04)))),IF(F90="限制性股票",8.68,""))</f>
        <v/>
      </c>
      <c r="L90" s="14">
        <f>IF(F90="限制性股票",13.06,"")</f>
        <v/>
      </c>
      <c r="M90" s="11" t="n"/>
      <c r="N90" s="13" t="n"/>
      <c r="O90" s="13" t="n"/>
      <c r="P90" s="12" t="n"/>
      <c r="Q90" s="11" t="n"/>
      <c r="R90" s="12" t="n"/>
      <c r="S90" s="14">
        <f>IF(OR(A90="",C90="",F90="",G90="",I90="",J90=""),"",IF(F90="股票期权",MAX(0,(J90-K90)*I90),IF(F90="限制性股票",IF(OR(L90="",M90="",M90&lt;=0,N90=""),"",MAX(0,((L90+J90)/2)*I90-N90*I90/M90)),MAX(0,O90))))</f>
        <v/>
      </c>
      <c r="T90" s="14">
        <f>IF(S90="","",SUMIFS($S$2:$S$501,$C$2:$C$501,C90,$H$2:$H$501,H90,$G$2:$G$501,"&lt;"&amp;G90)+SUMIFS($S$2:$S$501,$C$2:$C$501,C90,$H$2:$H$501,H90,$G$2:$G$501,G90,$A$2:$A$501,"&lt;"&amp;A90))</f>
        <v/>
      </c>
      <c r="U90" s="14">
        <f>IF(S90="","",T90+S90)</f>
        <v/>
      </c>
      <c r="V90" s="15">
        <f>IF(U90="","",VLOOKUP(U90,'税率及规则'!$A$2:$C$8,2,TRUE))</f>
        <v/>
      </c>
      <c r="W90" s="14">
        <f>IF(U90="","",VLOOKUP(U90,'税率及规则'!$A$2:$C$8,3,TRUE))</f>
        <v/>
      </c>
      <c r="X90" s="14">
        <f>IF(U90="","",MAX(0,U90*V90-W90))</f>
        <v/>
      </c>
      <c r="Y90" s="14">
        <f>IF(T90="","",MAX(0,T90*VLOOKUP(T90,'税率及规则'!$A$2:$C$8,2,TRUE)-VLOOKUP(T90,'税率及规则'!$A$2:$C$8,3,TRUE)))</f>
        <v/>
      </c>
      <c r="Z90" s="14">
        <f>IF(X90="","",MAX(0,X90-Y90))</f>
        <v/>
      </c>
      <c r="AA90" s="16">
        <f>IF(G90="","",G90)</f>
        <v/>
      </c>
      <c r="AB90" s="16">
        <f>IF(AA90="","",EDATE(AA90,36))</f>
        <v/>
      </c>
      <c r="AC90" s="6">
        <f>IF(A90="","",IF(COUNTIF($A$2:$A$501,A90)&gt;1,"异常：事件编号重复",IF(OR(C90="",D90="",E90="",F90="",G90="",I90="",J90=""),"异常：必填项缺失",IF(OR(I90&lt;=0,J90&lt;0),"异常：数量或价格无效",IF(AND(F90="限制性股票",OR(M90&lt;=0,N90&lt;0,I90&gt;M90)),"异常：个人获授或出资数据无效",IF(AND(F90="股票期权",K90&lt;&gt;IF(G90&lt;DATE(2025,1,10),14.56,IF(G90&lt;DATE(2025,4,29),14.32,IF(G90&lt;DATE(2025,9,26),14.18,14.04)))),"异常：行权价格区间不符",IF(Q90&lt;&gt;"已备案","提示：未确认备案","正常")))))))</f>
        <v/>
      </c>
      <c r="AD90" s="11" t="n"/>
    </row>
    <row r="91">
      <c r="A91" s="11" t="n"/>
      <c r="B91" s="6">
        <f>IF(A91="","",A91&amp;"-TAX")</f>
        <v/>
      </c>
      <c r="C91" s="11" t="n"/>
      <c r="D91" s="11" t="n"/>
      <c r="E91" s="11" t="n"/>
      <c r="F91" s="11" t="n"/>
      <c r="G91" s="12" t="n"/>
      <c r="H91" s="6">
        <f>IF(G91="","",YEAR(G91))</f>
        <v/>
      </c>
      <c r="I91" s="11" t="n"/>
      <c r="J91" s="13" t="n"/>
      <c r="K91" s="14">
        <f>IF(F91="股票期权",IF(G91="","",IF(G91&lt;DATE(2025,1,10),14.56,IF(G91&lt;DATE(2025,4,29),14.32,IF(G91&lt;DATE(2025,9,26),14.18,14.04)))),IF(F91="限制性股票",8.68,""))</f>
        <v/>
      </c>
      <c r="L91" s="14">
        <f>IF(F91="限制性股票",13.06,"")</f>
        <v/>
      </c>
      <c r="M91" s="11" t="n"/>
      <c r="N91" s="13" t="n"/>
      <c r="O91" s="13" t="n"/>
      <c r="P91" s="12" t="n"/>
      <c r="Q91" s="11" t="n"/>
      <c r="R91" s="12" t="n"/>
      <c r="S91" s="14">
        <f>IF(OR(A91="",C91="",F91="",G91="",I91="",J91=""),"",IF(F91="股票期权",MAX(0,(J91-K91)*I91),IF(F91="限制性股票",IF(OR(L91="",M91="",M91&lt;=0,N91=""),"",MAX(0,((L91+J91)/2)*I91-N91*I91/M91)),MAX(0,O91))))</f>
        <v/>
      </c>
      <c r="T91" s="14">
        <f>IF(S91="","",SUMIFS($S$2:$S$501,$C$2:$C$501,C91,$H$2:$H$501,H91,$G$2:$G$501,"&lt;"&amp;G91)+SUMIFS($S$2:$S$501,$C$2:$C$501,C91,$H$2:$H$501,H91,$G$2:$G$501,G91,$A$2:$A$501,"&lt;"&amp;A91))</f>
        <v/>
      </c>
      <c r="U91" s="14">
        <f>IF(S91="","",T91+S91)</f>
        <v/>
      </c>
      <c r="V91" s="15">
        <f>IF(U91="","",VLOOKUP(U91,'税率及规则'!$A$2:$C$8,2,TRUE))</f>
        <v/>
      </c>
      <c r="W91" s="14">
        <f>IF(U91="","",VLOOKUP(U91,'税率及规则'!$A$2:$C$8,3,TRUE))</f>
        <v/>
      </c>
      <c r="X91" s="14">
        <f>IF(U91="","",MAX(0,U91*V91-W91))</f>
        <v/>
      </c>
      <c r="Y91" s="14">
        <f>IF(T91="","",MAX(0,T91*VLOOKUP(T91,'税率及规则'!$A$2:$C$8,2,TRUE)-VLOOKUP(T91,'税率及规则'!$A$2:$C$8,3,TRUE)))</f>
        <v/>
      </c>
      <c r="Z91" s="14">
        <f>IF(X91="","",MAX(0,X91-Y91))</f>
        <v/>
      </c>
      <c r="AA91" s="16">
        <f>IF(G91="","",G91)</f>
        <v/>
      </c>
      <c r="AB91" s="16">
        <f>IF(AA91="","",EDATE(AA91,36))</f>
        <v/>
      </c>
      <c r="AC91" s="6">
        <f>IF(A91="","",IF(COUNTIF($A$2:$A$501,A91)&gt;1,"异常：事件编号重复",IF(OR(C91="",D91="",E91="",F91="",G91="",I91="",J91=""),"异常：必填项缺失",IF(OR(I91&lt;=0,J91&lt;0),"异常：数量或价格无效",IF(AND(F91="限制性股票",OR(M91&lt;=0,N91&lt;0,I91&gt;M91)),"异常：个人获授或出资数据无效",IF(AND(F91="股票期权",K91&lt;&gt;IF(G91&lt;DATE(2025,1,10),14.56,IF(G91&lt;DATE(2025,4,29),14.32,IF(G91&lt;DATE(2025,9,26),14.18,14.04)))),"异常：行权价格区间不符",IF(Q91&lt;&gt;"已备案","提示：未确认备案","正常")))))))</f>
        <v/>
      </c>
      <c r="AD91" s="11" t="n"/>
    </row>
    <row r="92">
      <c r="A92" s="11" t="n"/>
      <c r="B92" s="6">
        <f>IF(A92="","",A92&amp;"-TAX")</f>
        <v/>
      </c>
      <c r="C92" s="11" t="n"/>
      <c r="D92" s="11" t="n"/>
      <c r="E92" s="11" t="n"/>
      <c r="F92" s="11" t="n"/>
      <c r="G92" s="12" t="n"/>
      <c r="H92" s="6">
        <f>IF(G92="","",YEAR(G92))</f>
        <v/>
      </c>
      <c r="I92" s="11" t="n"/>
      <c r="J92" s="13" t="n"/>
      <c r="K92" s="14">
        <f>IF(F92="股票期权",IF(G92="","",IF(G92&lt;DATE(2025,1,10),14.56,IF(G92&lt;DATE(2025,4,29),14.32,IF(G92&lt;DATE(2025,9,26),14.18,14.04)))),IF(F92="限制性股票",8.68,""))</f>
        <v/>
      </c>
      <c r="L92" s="14">
        <f>IF(F92="限制性股票",13.06,"")</f>
        <v/>
      </c>
      <c r="M92" s="11" t="n"/>
      <c r="N92" s="13" t="n"/>
      <c r="O92" s="13" t="n"/>
      <c r="P92" s="12" t="n"/>
      <c r="Q92" s="11" t="n"/>
      <c r="R92" s="12" t="n"/>
      <c r="S92" s="14">
        <f>IF(OR(A92="",C92="",F92="",G92="",I92="",J92=""),"",IF(F92="股票期权",MAX(0,(J92-K92)*I92),IF(F92="限制性股票",IF(OR(L92="",M92="",M92&lt;=0,N92=""),"",MAX(0,((L92+J92)/2)*I92-N92*I92/M92)),MAX(0,O92))))</f>
        <v/>
      </c>
      <c r="T92" s="14">
        <f>IF(S92="","",SUMIFS($S$2:$S$501,$C$2:$C$501,C92,$H$2:$H$501,H92,$G$2:$G$501,"&lt;"&amp;G92)+SUMIFS($S$2:$S$501,$C$2:$C$501,C92,$H$2:$H$501,H92,$G$2:$G$501,G92,$A$2:$A$501,"&lt;"&amp;A92))</f>
        <v/>
      </c>
      <c r="U92" s="14">
        <f>IF(S92="","",T92+S92)</f>
        <v/>
      </c>
      <c r="V92" s="15">
        <f>IF(U92="","",VLOOKUP(U92,'税率及规则'!$A$2:$C$8,2,TRUE))</f>
        <v/>
      </c>
      <c r="W92" s="14">
        <f>IF(U92="","",VLOOKUP(U92,'税率及规则'!$A$2:$C$8,3,TRUE))</f>
        <v/>
      </c>
      <c r="X92" s="14">
        <f>IF(U92="","",MAX(0,U92*V92-W92))</f>
        <v/>
      </c>
      <c r="Y92" s="14">
        <f>IF(T92="","",MAX(0,T92*VLOOKUP(T92,'税率及规则'!$A$2:$C$8,2,TRUE)-VLOOKUP(T92,'税率及规则'!$A$2:$C$8,3,TRUE)))</f>
        <v/>
      </c>
      <c r="Z92" s="14">
        <f>IF(X92="","",MAX(0,X92-Y92))</f>
        <v/>
      </c>
      <c r="AA92" s="16">
        <f>IF(G92="","",G92)</f>
        <v/>
      </c>
      <c r="AB92" s="16">
        <f>IF(AA92="","",EDATE(AA92,36))</f>
        <v/>
      </c>
      <c r="AC92" s="6">
        <f>IF(A92="","",IF(COUNTIF($A$2:$A$501,A92)&gt;1,"异常：事件编号重复",IF(OR(C92="",D92="",E92="",F92="",G92="",I92="",J92=""),"异常：必填项缺失",IF(OR(I92&lt;=0,J92&lt;0),"异常：数量或价格无效",IF(AND(F92="限制性股票",OR(M92&lt;=0,N92&lt;0,I92&gt;M92)),"异常：个人获授或出资数据无效",IF(AND(F92="股票期权",K92&lt;&gt;IF(G92&lt;DATE(2025,1,10),14.56,IF(G92&lt;DATE(2025,4,29),14.32,IF(G92&lt;DATE(2025,9,26),14.18,14.04)))),"异常：行权价格区间不符",IF(Q92&lt;&gt;"已备案","提示：未确认备案","正常")))))))</f>
        <v/>
      </c>
      <c r="AD92" s="11" t="n"/>
    </row>
    <row r="93">
      <c r="A93" s="11" t="n"/>
      <c r="B93" s="6">
        <f>IF(A93="","",A93&amp;"-TAX")</f>
        <v/>
      </c>
      <c r="C93" s="11" t="n"/>
      <c r="D93" s="11" t="n"/>
      <c r="E93" s="11" t="n"/>
      <c r="F93" s="11" t="n"/>
      <c r="G93" s="12" t="n"/>
      <c r="H93" s="6">
        <f>IF(G93="","",YEAR(G93))</f>
        <v/>
      </c>
      <c r="I93" s="11" t="n"/>
      <c r="J93" s="13" t="n"/>
      <c r="K93" s="14">
        <f>IF(F93="股票期权",IF(G93="","",IF(G93&lt;DATE(2025,1,10),14.56,IF(G93&lt;DATE(2025,4,29),14.32,IF(G93&lt;DATE(2025,9,26),14.18,14.04)))),IF(F93="限制性股票",8.68,""))</f>
        <v/>
      </c>
      <c r="L93" s="14">
        <f>IF(F93="限制性股票",13.06,"")</f>
        <v/>
      </c>
      <c r="M93" s="11" t="n"/>
      <c r="N93" s="13" t="n"/>
      <c r="O93" s="13" t="n"/>
      <c r="P93" s="12" t="n"/>
      <c r="Q93" s="11" t="n"/>
      <c r="R93" s="12" t="n"/>
      <c r="S93" s="14">
        <f>IF(OR(A93="",C93="",F93="",G93="",I93="",J93=""),"",IF(F93="股票期权",MAX(0,(J93-K93)*I93),IF(F93="限制性股票",IF(OR(L93="",M93="",M93&lt;=0,N93=""),"",MAX(0,((L93+J93)/2)*I93-N93*I93/M93)),MAX(0,O93))))</f>
        <v/>
      </c>
      <c r="T93" s="14">
        <f>IF(S93="","",SUMIFS($S$2:$S$501,$C$2:$C$501,C93,$H$2:$H$501,H93,$G$2:$G$501,"&lt;"&amp;G93)+SUMIFS($S$2:$S$501,$C$2:$C$501,C93,$H$2:$H$501,H93,$G$2:$G$501,G93,$A$2:$A$501,"&lt;"&amp;A93))</f>
        <v/>
      </c>
      <c r="U93" s="14">
        <f>IF(S93="","",T93+S93)</f>
        <v/>
      </c>
      <c r="V93" s="15">
        <f>IF(U93="","",VLOOKUP(U93,'税率及规则'!$A$2:$C$8,2,TRUE))</f>
        <v/>
      </c>
      <c r="W93" s="14">
        <f>IF(U93="","",VLOOKUP(U93,'税率及规则'!$A$2:$C$8,3,TRUE))</f>
        <v/>
      </c>
      <c r="X93" s="14">
        <f>IF(U93="","",MAX(0,U93*V93-W93))</f>
        <v/>
      </c>
      <c r="Y93" s="14">
        <f>IF(T93="","",MAX(0,T93*VLOOKUP(T93,'税率及规则'!$A$2:$C$8,2,TRUE)-VLOOKUP(T93,'税率及规则'!$A$2:$C$8,3,TRUE)))</f>
        <v/>
      </c>
      <c r="Z93" s="14">
        <f>IF(X93="","",MAX(0,X93-Y93))</f>
        <v/>
      </c>
      <c r="AA93" s="16">
        <f>IF(G93="","",G93)</f>
        <v/>
      </c>
      <c r="AB93" s="16">
        <f>IF(AA93="","",EDATE(AA93,36))</f>
        <v/>
      </c>
      <c r="AC93" s="6">
        <f>IF(A93="","",IF(COUNTIF($A$2:$A$501,A93)&gt;1,"异常：事件编号重复",IF(OR(C93="",D93="",E93="",F93="",G93="",I93="",J93=""),"异常：必填项缺失",IF(OR(I93&lt;=0,J93&lt;0),"异常：数量或价格无效",IF(AND(F93="限制性股票",OR(M93&lt;=0,N93&lt;0,I93&gt;M93)),"异常：个人获授或出资数据无效",IF(AND(F93="股票期权",K93&lt;&gt;IF(G93&lt;DATE(2025,1,10),14.56,IF(G93&lt;DATE(2025,4,29),14.32,IF(G93&lt;DATE(2025,9,26),14.18,14.04)))),"异常：行权价格区间不符",IF(Q93&lt;&gt;"已备案","提示：未确认备案","正常")))))))</f>
        <v/>
      </c>
      <c r="AD93" s="11" t="n"/>
    </row>
    <row r="94">
      <c r="A94" s="11" t="n"/>
      <c r="B94" s="6">
        <f>IF(A94="","",A94&amp;"-TAX")</f>
        <v/>
      </c>
      <c r="C94" s="11" t="n"/>
      <c r="D94" s="11" t="n"/>
      <c r="E94" s="11" t="n"/>
      <c r="F94" s="11" t="n"/>
      <c r="G94" s="12" t="n"/>
      <c r="H94" s="6">
        <f>IF(G94="","",YEAR(G94))</f>
        <v/>
      </c>
      <c r="I94" s="11" t="n"/>
      <c r="J94" s="13" t="n"/>
      <c r="K94" s="14">
        <f>IF(F94="股票期权",IF(G94="","",IF(G94&lt;DATE(2025,1,10),14.56,IF(G94&lt;DATE(2025,4,29),14.32,IF(G94&lt;DATE(2025,9,26),14.18,14.04)))),IF(F94="限制性股票",8.68,""))</f>
        <v/>
      </c>
      <c r="L94" s="14">
        <f>IF(F94="限制性股票",13.06,"")</f>
        <v/>
      </c>
      <c r="M94" s="11" t="n"/>
      <c r="N94" s="13" t="n"/>
      <c r="O94" s="13" t="n"/>
      <c r="P94" s="12" t="n"/>
      <c r="Q94" s="11" t="n"/>
      <c r="R94" s="12" t="n"/>
      <c r="S94" s="14">
        <f>IF(OR(A94="",C94="",F94="",G94="",I94="",J94=""),"",IF(F94="股票期权",MAX(0,(J94-K94)*I94),IF(F94="限制性股票",IF(OR(L94="",M94="",M94&lt;=0,N94=""),"",MAX(0,((L94+J94)/2)*I94-N94*I94/M94)),MAX(0,O94))))</f>
        <v/>
      </c>
      <c r="T94" s="14">
        <f>IF(S94="","",SUMIFS($S$2:$S$501,$C$2:$C$501,C94,$H$2:$H$501,H94,$G$2:$G$501,"&lt;"&amp;G94)+SUMIFS($S$2:$S$501,$C$2:$C$501,C94,$H$2:$H$501,H94,$G$2:$G$501,G94,$A$2:$A$501,"&lt;"&amp;A94))</f>
        <v/>
      </c>
      <c r="U94" s="14">
        <f>IF(S94="","",T94+S94)</f>
        <v/>
      </c>
      <c r="V94" s="15">
        <f>IF(U94="","",VLOOKUP(U94,'税率及规则'!$A$2:$C$8,2,TRUE))</f>
        <v/>
      </c>
      <c r="W94" s="14">
        <f>IF(U94="","",VLOOKUP(U94,'税率及规则'!$A$2:$C$8,3,TRUE))</f>
        <v/>
      </c>
      <c r="X94" s="14">
        <f>IF(U94="","",MAX(0,U94*V94-W94))</f>
        <v/>
      </c>
      <c r="Y94" s="14">
        <f>IF(T94="","",MAX(0,T94*VLOOKUP(T94,'税率及规则'!$A$2:$C$8,2,TRUE)-VLOOKUP(T94,'税率及规则'!$A$2:$C$8,3,TRUE)))</f>
        <v/>
      </c>
      <c r="Z94" s="14">
        <f>IF(X94="","",MAX(0,X94-Y94))</f>
        <v/>
      </c>
      <c r="AA94" s="16">
        <f>IF(G94="","",G94)</f>
        <v/>
      </c>
      <c r="AB94" s="16">
        <f>IF(AA94="","",EDATE(AA94,36))</f>
        <v/>
      </c>
      <c r="AC94" s="6">
        <f>IF(A94="","",IF(COUNTIF($A$2:$A$501,A94)&gt;1,"异常：事件编号重复",IF(OR(C94="",D94="",E94="",F94="",G94="",I94="",J94=""),"异常：必填项缺失",IF(OR(I94&lt;=0,J94&lt;0),"异常：数量或价格无效",IF(AND(F94="限制性股票",OR(M94&lt;=0,N94&lt;0,I94&gt;M94)),"异常：个人获授或出资数据无效",IF(AND(F94="股票期权",K94&lt;&gt;IF(G94&lt;DATE(2025,1,10),14.56,IF(G94&lt;DATE(2025,4,29),14.32,IF(G94&lt;DATE(2025,9,26),14.18,14.04)))),"异常：行权价格区间不符",IF(Q94&lt;&gt;"已备案","提示：未确认备案","正常")))))))</f>
        <v/>
      </c>
      <c r="AD94" s="11" t="n"/>
    </row>
    <row r="95">
      <c r="A95" s="11" t="n"/>
      <c r="B95" s="6">
        <f>IF(A95="","",A95&amp;"-TAX")</f>
        <v/>
      </c>
      <c r="C95" s="11" t="n"/>
      <c r="D95" s="11" t="n"/>
      <c r="E95" s="11" t="n"/>
      <c r="F95" s="11" t="n"/>
      <c r="G95" s="12" t="n"/>
      <c r="H95" s="6">
        <f>IF(G95="","",YEAR(G95))</f>
        <v/>
      </c>
      <c r="I95" s="11" t="n"/>
      <c r="J95" s="13" t="n"/>
      <c r="K95" s="14">
        <f>IF(F95="股票期权",IF(G95="","",IF(G95&lt;DATE(2025,1,10),14.56,IF(G95&lt;DATE(2025,4,29),14.32,IF(G95&lt;DATE(2025,9,26),14.18,14.04)))),IF(F95="限制性股票",8.68,""))</f>
        <v/>
      </c>
      <c r="L95" s="14">
        <f>IF(F95="限制性股票",13.06,"")</f>
        <v/>
      </c>
      <c r="M95" s="11" t="n"/>
      <c r="N95" s="13" t="n"/>
      <c r="O95" s="13" t="n"/>
      <c r="P95" s="12" t="n"/>
      <c r="Q95" s="11" t="n"/>
      <c r="R95" s="12" t="n"/>
      <c r="S95" s="14">
        <f>IF(OR(A95="",C95="",F95="",G95="",I95="",J95=""),"",IF(F95="股票期权",MAX(0,(J95-K95)*I95),IF(F95="限制性股票",IF(OR(L95="",M95="",M95&lt;=0,N95=""),"",MAX(0,((L95+J95)/2)*I95-N95*I95/M95)),MAX(0,O95))))</f>
        <v/>
      </c>
      <c r="T95" s="14">
        <f>IF(S95="","",SUMIFS($S$2:$S$501,$C$2:$C$501,C95,$H$2:$H$501,H95,$G$2:$G$501,"&lt;"&amp;G95)+SUMIFS($S$2:$S$501,$C$2:$C$501,C95,$H$2:$H$501,H95,$G$2:$G$501,G95,$A$2:$A$501,"&lt;"&amp;A95))</f>
        <v/>
      </c>
      <c r="U95" s="14">
        <f>IF(S95="","",T95+S95)</f>
        <v/>
      </c>
      <c r="V95" s="15">
        <f>IF(U95="","",VLOOKUP(U95,'税率及规则'!$A$2:$C$8,2,TRUE))</f>
        <v/>
      </c>
      <c r="W95" s="14">
        <f>IF(U95="","",VLOOKUP(U95,'税率及规则'!$A$2:$C$8,3,TRUE))</f>
        <v/>
      </c>
      <c r="X95" s="14">
        <f>IF(U95="","",MAX(0,U95*V95-W95))</f>
        <v/>
      </c>
      <c r="Y95" s="14">
        <f>IF(T95="","",MAX(0,T95*VLOOKUP(T95,'税率及规则'!$A$2:$C$8,2,TRUE)-VLOOKUP(T95,'税率及规则'!$A$2:$C$8,3,TRUE)))</f>
        <v/>
      </c>
      <c r="Z95" s="14">
        <f>IF(X95="","",MAX(0,X95-Y95))</f>
        <v/>
      </c>
      <c r="AA95" s="16">
        <f>IF(G95="","",G95)</f>
        <v/>
      </c>
      <c r="AB95" s="16">
        <f>IF(AA95="","",EDATE(AA95,36))</f>
        <v/>
      </c>
      <c r="AC95" s="6">
        <f>IF(A95="","",IF(COUNTIF($A$2:$A$501,A95)&gt;1,"异常：事件编号重复",IF(OR(C95="",D95="",E95="",F95="",G95="",I95="",J95=""),"异常：必填项缺失",IF(OR(I95&lt;=0,J95&lt;0),"异常：数量或价格无效",IF(AND(F95="限制性股票",OR(M95&lt;=0,N95&lt;0,I95&gt;M95)),"异常：个人获授或出资数据无效",IF(AND(F95="股票期权",K95&lt;&gt;IF(G95&lt;DATE(2025,1,10),14.56,IF(G95&lt;DATE(2025,4,29),14.32,IF(G95&lt;DATE(2025,9,26),14.18,14.04)))),"异常：行权价格区间不符",IF(Q95&lt;&gt;"已备案","提示：未确认备案","正常")))))))</f>
        <v/>
      </c>
      <c r="AD95" s="11" t="n"/>
    </row>
    <row r="96">
      <c r="A96" s="11" t="n"/>
      <c r="B96" s="6">
        <f>IF(A96="","",A96&amp;"-TAX")</f>
        <v/>
      </c>
      <c r="C96" s="11" t="n"/>
      <c r="D96" s="11" t="n"/>
      <c r="E96" s="11" t="n"/>
      <c r="F96" s="11" t="n"/>
      <c r="G96" s="12" t="n"/>
      <c r="H96" s="6">
        <f>IF(G96="","",YEAR(G96))</f>
        <v/>
      </c>
      <c r="I96" s="11" t="n"/>
      <c r="J96" s="13" t="n"/>
      <c r="K96" s="14">
        <f>IF(F96="股票期权",IF(G96="","",IF(G96&lt;DATE(2025,1,10),14.56,IF(G96&lt;DATE(2025,4,29),14.32,IF(G96&lt;DATE(2025,9,26),14.18,14.04)))),IF(F96="限制性股票",8.68,""))</f>
        <v/>
      </c>
      <c r="L96" s="14">
        <f>IF(F96="限制性股票",13.06,"")</f>
        <v/>
      </c>
      <c r="M96" s="11" t="n"/>
      <c r="N96" s="13" t="n"/>
      <c r="O96" s="13" t="n"/>
      <c r="P96" s="12" t="n"/>
      <c r="Q96" s="11" t="n"/>
      <c r="R96" s="12" t="n"/>
      <c r="S96" s="14">
        <f>IF(OR(A96="",C96="",F96="",G96="",I96="",J96=""),"",IF(F96="股票期权",MAX(0,(J96-K96)*I96),IF(F96="限制性股票",IF(OR(L96="",M96="",M96&lt;=0,N96=""),"",MAX(0,((L96+J96)/2)*I96-N96*I96/M96)),MAX(0,O96))))</f>
        <v/>
      </c>
      <c r="T96" s="14">
        <f>IF(S96="","",SUMIFS($S$2:$S$501,$C$2:$C$501,C96,$H$2:$H$501,H96,$G$2:$G$501,"&lt;"&amp;G96)+SUMIFS($S$2:$S$501,$C$2:$C$501,C96,$H$2:$H$501,H96,$G$2:$G$501,G96,$A$2:$A$501,"&lt;"&amp;A96))</f>
        <v/>
      </c>
      <c r="U96" s="14">
        <f>IF(S96="","",T96+S96)</f>
        <v/>
      </c>
      <c r="V96" s="15">
        <f>IF(U96="","",VLOOKUP(U96,'税率及规则'!$A$2:$C$8,2,TRUE))</f>
        <v/>
      </c>
      <c r="W96" s="14">
        <f>IF(U96="","",VLOOKUP(U96,'税率及规则'!$A$2:$C$8,3,TRUE))</f>
        <v/>
      </c>
      <c r="X96" s="14">
        <f>IF(U96="","",MAX(0,U96*V96-W96))</f>
        <v/>
      </c>
      <c r="Y96" s="14">
        <f>IF(T96="","",MAX(0,T96*VLOOKUP(T96,'税率及规则'!$A$2:$C$8,2,TRUE)-VLOOKUP(T96,'税率及规则'!$A$2:$C$8,3,TRUE)))</f>
        <v/>
      </c>
      <c r="Z96" s="14">
        <f>IF(X96="","",MAX(0,X96-Y96))</f>
        <v/>
      </c>
      <c r="AA96" s="16">
        <f>IF(G96="","",G96)</f>
        <v/>
      </c>
      <c r="AB96" s="16">
        <f>IF(AA96="","",EDATE(AA96,36))</f>
        <v/>
      </c>
      <c r="AC96" s="6">
        <f>IF(A96="","",IF(COUNTIF($A$2:$A$501,A96)&gt;1,"异常：事件编号重复",IF(OR(C96="",D96="",E96="",F96="",G96="",I96="",J96=""),"异常：必填项缺失",IF(OR(I96&lt;=0,J96&lt;0),"异常：数量或价格无效",IF(AND(F96="限制性股票",OR(M96&lt;=0,N96&lt;0,I96&gt;M96)),"异常：个人获授或出资数据无效",IF(AND(F96="股票期权",K96&lt;&gt;IF(G96&lt;DATE(2025,1,10),14.56,IF(G96&lt;DATE(2025,4,29),14.32,IF(G96&lt;DATE(2025,9,26),14.18,14.04)))),"异常：行权价格区间不符",IF(Q96&lt;&gt;"已备案","提示：未确认备案","正常")))))))</f>
        <v/>
      </c>
      <c r="AD96" s="11" t="n"/>
    </row>
    <row r="97">
      <c r="A97" s="11" t="n"/>
      <c r="B97" s="6">
        <f>IF(A97="","",A97&amp;"-TAX")</f>
        <v/>
      </c>
      <c r="C97" s="11" t="n"/>
      <c r="D97" s="11" t="n"/>
      <c r="E97" s="11" t="n"/>
      <c r="F97" s="11" t="n"/>
      <c r="G97" s="12" t="n"/>
      <c r="H97" s="6">
        <f>IF(G97="","",YEAR(G97))</f>
        <v/>
      </c>
      <c r="I97" s="11" t="n"/>
      <c r="J97" s="13" t="n"/>
      <c r="K97" s="14">
        <f>IF(F97="股票期权",IF(G97="","",IF(G97&lt;DATE(2025,1,10),14.56,IF(G97&lt;DATE(2025,4,29),14.32,IF(G97&lt;DATE(2025,9,26),14.18,14.04)))),IF(F97="限制性股票",8.68,""))</f>
        <v/>
      </c>
      <c r="L97" s="14">
        <f>IF(F97="限制性股票",13.06,"")</f>
        <v/>
      </c>
      <c r="M97" s="11" t="n"/>
      <c r="N97" s="13" t="n"/>
      <c r="O97" s="13" t="n"/>
      <c r="P97" s="12" t="n"/>
      <c r="Q97" s="11" t="n"/>
      <c r="R97" s="12" t="n"/>
      <c r="S97" s="14">
        <f>IF(OR(A97="",C97="",F97="",G97="",I97="",J97=""),"",IF(F97="股票期权",MAX(0,(J97-K97)*I97),IF(F97="限制性股票",IF(OR(L97="",M97="",M97&lt;=0,N97=""),"",MAX(0,((L97+J97)/2)*I97-N97*I97/M97)),MAX(0,O97))))</f>
        <v/>
      </c>
      <c r="T97" s="14">
        <f>IF(S97="","",SUMIFS($S$2:$S$501,$C$2:$C$501,C97,$H$2:$H$501,H97,$G$2:$G$501,"&lt;"&amp;G97)+SUMIFS($S$2:$S$501,$C$2:$C$501,C97,$H$2:$H$501,H97,$G$2:$G$501,G97,$A$2:$A$501,"&lt;"&amp;A97))</f>
        <v/>
      </c>
      <c r="U97" s="14">
        <f>IF(S97="","",T97+S97)</f>
        <v/>
      </c>
      <c r="V97" s="15">
        <f>IF(U97="","",VLOOKUP(U97,'税率及规则'!$A$2:$C$8,2,TRUE))</f>
        <v/>
      </c>
      <c r="W97" s="14">
        <f>IF(U97="","",VLOOKUP(U97,'税率及规则'!$A$2:$C$8,3,TRUE))</f>
        <v/>
      </c>
      <c r="X97" s="14">
        <f>IF(U97="","",MAX(0,U97*V97-W97))</f>
        <v/>
      </c>
      <c r="Y97" s="14">
        <f>IF(T97="","",MAX(0,T97*VLOOKUP(T97,'税率及规则'!$A$2:$C$8,2,TRUE)-VLOOKUP(T97,'税率及规则'!$A$2:$C$8,3,TRUE)))</f>
        <v/>
      </c>
      <c r="Z97" s="14">
        <f>IF(X97="","",MAX(0,X97-Y97))</f>
        <v/>
      </c>
      <c r="AA97" s="16">
        <f>IF(G97="","",G97)</f>
        <v/>
      </c>
      <c r="AB97" s="16">
        <f>IF(AA97="","",EDATE(AA97,36))</f>
        <v/>
      </c>
      <c r="AC97" s="6">
        <f>IF(A97="","",IF(COUNTIF($A$2:$A$501,A97)&gt;1,"异常：事件编号重复",IF(OR(C97="",D97="",E97="",F97="",G97="",I97="",J97=""),"异常：必填项缺失",IF(OR(I97&lt;=0,J97&lt;0),"异常：数量或价格无效",IF(AND(F97="限制性股票",OR(M97&lt;=0,N97&lt;0,I97&gt;M97)),"异常：个人获授或出资数据无效",IF(AND(F97="股票期权",K97&lt;&gt;IF(G97&lt;DATE(2025,1,10),14.56,IF(G97&lt;DATE(2025,4,29),14.32,IF(G97&lt;DATE(2025,9,26),14.18,14.04)))),"异常：行权价格区间不符",IF(Q97&lt;&gt;"已备案","提示：未确认备案","正常")))))))</f>
        <v/>
      </c>
      <c r="AD97" s="11" t="n"/>
    </row>
    <row r="98">
      <c r="A98" s="11" t="n"/>
      <c r="B98" s="6">
        <f>IF(A98="","",A98&amp;"-TAX")</f>
        <v/>
      </c>
      <c r="C98" s="11" t="n"/>
      <c r="D98" s="11" t="n"/>
      <c r="E98" s="11" t="n"/>
      <c r="F98" s="11" t="n"/>
      <c r="G98" s="12" t="n"/>
      <c r="H98" s="6">
        <f>IF(G98="","",YEAR(G98))</f>
        <v/>
      </c>
      <c r="I98" s="11" t="n"/>
      <c r="J98" s="13" t="n"/>
      <c r="K98" s="14">
        <f>IF(F98="股票期权",IF(G98="","",IF(G98&lt;DATE(2025,1,10),14.56,IF(G98&lt;DATE(2025,4,29),14.32,IF(G98&lt;DATE(2025,9,26),14.18,14.04)))),IF(F98="限制性股票",8.68,""))</f>
        <v/>
      </c>
      <c r="L98" s="14">
        <f>IF(F98="限制性股票",13.06,"")</f>
        <v/>
      </c>
      <c r="M98" s="11" t="n"/>
      <c r="N98" s="13" t="n"/>
      <c r="O98" s="13" t="n"/>
      <c r="P98" s="12" t="n"/>
      <c r="Q98" s="11" t="n"/>
      <c r="R98" s="12" t="n"/>
      <c r="S98" s="14">
        <f>IF(OR(A98="",C98="",F98="",G98="",I98="",J98=""),"",IF(F98="股票期权",MAX(0,(J98-K98)*I98),IF(F98="限制性股票",IF(OR(L98="",M98="",M98&lt;=0,N98=""),"",MAX(0,((L98+J98)/2)*I98-N98*I98/M98)),MAX(0,O98))))</f>
        <v/>
      </c>
      <c r="T98" s="14">
        <f>IF(S98="","",SUMIFS($S$2:$S$501,$C$2:$C$501,C98,$H$2:$H$501,H98,$G$2:$G$501,"&lt;"&amp;G98)+SUMIFS($S$2:$S$501,$C$2:$C$501,C98,$H$2:$H$501,H98,$G$2:$G$501,G98,$A$2:$A$501,"&lt;"&amp;A98))</f>
        <v/>
      </c>
      <c r="U98" s="14">
        <f>IF(S98="","",T98+S98)</f>
        <v/>
      </c>
      <c r="V98" s="15">
        <f>IF(U98="","",VLOOKUP(U98,'税率及规则'!$A$2:$C$8,2,TRUE))</f>
        <v/>
      </c>
      <c r="W98" s="14">
        <f>IF(U98="","",VLOOKUP(U98,'税率及规则'!$A$2:$C$8,3,TRUE))</f>
        <v/>
      </c>
      <c r="X98" s="14">
        <f>IF(U98="","",MAX(0,U98*V98-W98))</f>
        <v/>
      </c>
      <c r="Y98" s="14">
        <f>IF(T98="","",MAX(0,T98*VLOOKUP(T98,'税率及规则'!$A$2:$C$8,2,TRUE)-VLOOKUP(T98,'税率及规则'!$A$2:$C$8,3,TRUE)))</f>
        <v/>
      </c>
      <c r="Z98" s="14">
        <f>IF(X98="","",MAX(0,X98-Y98))</f>
        <v/>
      </c>
      <c r="AA98" s="16">
        <f>IF(G98="","",G98)</f>
        <v/>
      </c>
      <c r="AB98" s="16">
        <f>IF(AA98="","",EDATE(AA98,36))</f>
        <v/>
      </c>
      <c r="AC98" s="6">
        <f>IF(A98="","",IF(COUNTIF($A$2:$A$501,A98)&gt;1,"异常：事件编号重复",IF(OR(C98="",D98="",E98="",F98="",G98="",I98="",J98=""),"异常：必填项缺失",IF(OR(I98&lt;=0,J98&lt;0),"异常：数量或价格无效",IF(AND(F98="限制性股票",OR(M98&lt;=0,N98&lt;0,I98&gt;M98)),"异常：个人获授或出资数据无效",IF(AND(F98="股票期权",K98&lt;&gt;IF(G98&lt;DATE(2025,1,10),14.56,IF(G98&lt;DATE(2025,4,29),14.32,IF(G98&lt;DATE(2025,9,26),14.18,14.04)))),"异常：行权价格区间不符",IF(Q98&lt;&gt;"已备案","提示：未确认备案","正常")))))))</f>
        <v/>
      </c>
      <c r="AD98" s="11" t="n"/>
    </row>
    <row r="99">
      <c r="A99" s="11" t="n"/>
      <c r="B99" s="6">
        <f>IF(A99="","",A99&amp;"-TAX")</f>
        <v/>
      </c>
      <c r="C99" s="11" t="n"/>
      <c r="D99" s="11" t="n"/>
      <c r="E99" s="11" t="n"/>
      <c r="F99" s="11" t="n"/>
      <c r="G99" s="12" t="n"/>
      <c r="H99" s="6">
        <f>IF(G99="","",YEAR(G99))</f>
        <v/>
      </c>
      <c r="I99" s="11" t="n"/>
      <c r="J99" s="13" t="n"/>
      <c r="K99" s="14">
        <f>IF(F99="股票期权",IF(G99="","",IF(G99&lt;DATE(2025,1,10),14.56,IF(G99&lt;DATE(2025,4,29),14.32,IF(G99&lt;DATE(2025,9,26),14.18,14.04)))),IF(F99="限制性股票",8.68,""))</f>
        <v/>
      </c>
      <c r="L99" s="14">
        <f>IF(F99="限制性股票",13.06,"")</f>
        <v/>
      </c>
      <c r="M99" s="11" t="n"/>
      <c r="N99" s="13" t="n"/>
      <c r="O99" s="13" t="n"/>
      <c r="P99" s="12" t="n"/>
      <c r="Q99" s="11" t="n"/>
      <c r="R99" s="12" t="n"/>
      <c r="S99" s="14">
        <f>IF(OR(A99="",C99="",F99="",G99="",I99="",J99=""),"",IF(F99="股票期权",MAX(0,(J99-K99)*I99),IF(F99="限制性股票",IF(OR(L99="",M99="",M99&lt;=0,N99=""),"",MAX(0,((L99+J99)/2)*I99-N99*I99/M99)),MAX(0,O99))))</f>
        <v/>
      </c>
      <c r="T99" s="14">
        <f>IF(S99="","",SUMIFS($S$2:$S$501,$C$2:$C$501,C99,$H$2:$H$501,H99,$G$2:$G$501,"&lt;"&amp;G99)+SUMIFS($S$2:$S$501,$C$2:$C$501,C99,$H$2:$H$501,H99,$G$2:$G$501,G99,$A$2:$A$501,"&lt;"&amp;A99))</f>
        <v/>
      </c>
      <c r="U99" s="14">
        <f>IF(S99="","",T99+S99)</f>
        <v/>
      </c>
      <c r="V99" s="15">
        <f>IF(U99="","",VLOOKUP(U99,'税率及规则'!$A$2:$C$8,2,TRUE))</f>
        <v/>
      </c>
      <c r="W99" s="14">
        <f>IF(U99="","",VLOOKUP(U99,'税率及规则'!$A$2:$C$8,3,TRUE))</f>
        <v/>
      </c>
      <c r="X99" s="14">
        <f>IF(U99="","",MAX(0,U99*V99-W99))</f>
        <v/>
      </c>
      <c r="Y99" s="14">
        <f>IF(T99="","",MAX(0,T99*VLOOKUP(T99,'税率及规则'!$A$2:$C$8,2,TRUE)-VLOOKUP(T99,'税率及规则'!$A$2:$C$8,3,TRUE)))</f>
        <v/>
      </c>
      <c r="Z99" s="14">
        <f>IF(X99="","",MAX(0,X99-Y99))</f>
        <v/>
      </c>
      <c r="AA99" s="16">
        <f>IF(G99="","",G99)</f>
        <v/>
      </c>
      <c r="AB99" s="16">
        <f>IF(AA99="","",EDATE(AA99,36))</f>
        <v/>
      </c>
      <c r="AC99" s="6">
        <f>IF(A99="","",IF(COUNTIF($A$2:$A$501,A99)&gt;1,"异常：事件编号重复",IF(OR(C99="",D99="",E99="",F99="",G99="",I99="",J99=""),"异常：必填项缺失",IF(OR(I99&lt;=0,J99&lt;0),"异常：数量或价格无效",IF(AND(F99="限制性股票",OR(M99&lt;=0,N99&lt;0,I99&gt;M99)),"异常：个人获授或出资数据无效",IF(AND(F99="股票期权",K99&lt;&gt;IF(G99&lt;DATE(2025,1,10),14.56,IF(G99&lt;DATE(2025,4,29),14.32,IF(G99&lt;DATE(2025,9,26),14.18,14.04)))),"异常：行权价格区间不符",IF(Q99&lt;&gt;"已备案","提示：未确认备案","正常")))))))</f>
        <v/>
      </c>
      <c r="AD99" s="11" t="n"/>
    </row>
    <row r="100">
      <c r="A100" s="11" t="n"/>
      <c r="B100" s="6">
        <f>IF(A100="","",A100&amp;"-TAX")</f>
        <v/>
      </c>
      <c r="C100" s="11" t="n"/>
      <c r="D100" s="11" t="n"/>
      <c r="E100" s="11" t="n"/>
      <c r="F100" s="11" t="n"/>
      <c r="G100" s="12" t="n"/>
      <c r="H100" s="6">
        <f>IF(G100="","",YEAR(G100))</f>
        <v/>
      </c>
      <c r="I100" s="11" t="n"/>
      <c r="J100" s="13" t="n"/>
      <c r="K100" s="14">
        <f>IF(F100="股票期权",IF(G100="","",IF(G100&lt;DATE(2025,1,10),14.56,IF(G100&lt;DATE(2025,4,29),14.32,IF(G100&lt;DATE(2025,9,26),14.18,14.04)))),IF(F100="限制性股票",8.68,""))</f>
        <v/>
      </c>
      <c r="L100" s="14">
        <f>IF(F100="限制性股票",13.06,"")</f>
        <v/>
      </c>
      <c r="M100" s="11" t="n"/>
      <c r="N100" s="13" t="n"/>
      <c r="O100" s="13" t="n"/>
      <c r="P100" s="12" t="n"/>
      <c r="Q100" s="11" t="n"/>
      <c r="R100" s="12" t="n"/>
      <c r="S100" s="14">
        <f>IF(OR(A100="",C100="",F100="",G100="",I100="",J100=""),"",IF(F100="股票期权",MAX(0,(J100-K100)*I100),IF(F100="限制性股票",IF(OR(L100="",M100="",M100&lt;=0,N100=""),"",MAX(0,((L100+J100)/2)*I100-N100*I100/M100)),MAX(0,O100))))</f>
        <v/>
      </c>
      <c r="T100" s="14">
        <f>IF(S100="","",SUMIFS($S$2:$S$501,$C$2:$C$501,C100,$H$2:$H$501,H100,$G$2:$G$501,"&lt;"&amp;G100)+SUMIFS($S$2:$S$501,$C$2:$C$501,C100,$H$2:$H$501,H100,$G$2:$G$501,G100,$A$2:$A$501,"&lt;"&amp;A100))</f>
        <v/>
      </c>
      <c r="U100" s="14">
        <f>IF(S100="","",T100+S100)</f>
        <v/>
      </c>
      <c r="V100" s="15">
        <f>IF(U100="","",VLOOKUP(U100,'税率及规则'!$A$2:$C$8,2,TRUE))</f>
        <v/>
      </c>
      <c r="W100" s="14">
        <f>IF(U100="","",VLOOKUP(U100,'税率及规则'!$A$2:$C$8,3,TRUE))</f>
        <v/>
      </c>
      <c r="X100" s="14">
        <f>IF(U100="","",MAX(0,U100*V100-W100))</f>
        <v/>
      </c>
      <c r="Y100" s="14">
        <f>IF(T100="","",MAX(0,T100*VLOOKUP(T100,'税率及规则'!$A$2:$C$8,2,TRUE)-VLOOKUP(T100,'税率及规则'!$A$2:$C$8,3,TRUE)))</f>
        <v/>
      </c>
      <c r="Z100" s="14">
        <f>IF(X100="","",MAX(0,X100-Y100))</f>
        <v/>
      </c>
      <c r="AA100" s="16">
        <f>IF(G100="","",G100)</f>
        <v/>
      </c>
      <c r="AB100" s="16">
        <f>IF(AA100="","",EDATE(AA100,36))</f>
        <v/>
      </c>
      <c r="AC100" s="6">
        <f>IF(A100="","",IF(COUNTIF($A$2:$A$501,A100)&gt;1,"异常：事件编号重复",IF(OR(C100="",D100="",E100="",F100="",G100="",I100="",J100=""),"异常：必填项缺失",IF(OR(I100&lt;=0,J100&lt;0),"异常：数量或价格无效",IF(AND(F100="限制性股票",OR(M100&lt;=0,N100&lt;0,I100&gt;M100)),"异常：个人获授或出资数据无效",IF(AND(F100="股票期权",K100&lt;&gt;IF(G100&lt;DATE(2025,1,10),14.56,IF(G100&lt;DATE(2025,4,29),14.32,IF(G100&lt;DATE(2025,9,26),14.18,14.04)))),"异常：行权价格区间不符",IF(Q100&lt;&gt;"已备案","提示：未确认备案","正常")))))))</f>
        <v/>
      </c>
      <c r="AD100" s="11" t="n"/>
    </row>
    <row r="101">
      <c r="A101" s="11" t="n"/>
      <c r="B101" s="6">
        <f>IF(A101="","",A101&amp;"-TAX")</f>
        <v/>
      </c>
      <c r="C101" s="11" t="n"/>
      <c r="D101" s="11" t="n"/>
      <c r="E101" s="11" t="n"/>
      <c r="F101" s="11" t="n"/>
      <c r="G101" s="12" t="n"/>
      <c r="H101" s="6">
        <f>IF(G101="","",YEAR(G101))</f>
        <v/>
      </c>
      <c r="I101" s="11" t="n"/>
      <c r="J101" s="13" t="n"/>
      <c r="K101" s="14">
        <f>IF(F101="股票期权",IF(G101="","",IF(G101&lt;DATE(2025,1,10),14.56,IF(G101&lt;DATE(2025,4,29),14.32,IF(G101&lt;DATE(2025,9,26),14.18,14.04)))),IF(F101="限制性股票",8.68,""))</f>
        <v/>
      </c>
      <c r="L101" s="14">
        <f>IF(F101="限制性股票",13.06,"")</f>
        <v/>
      </c>
      <c r="M101" s="11" t="n"/>
      <c r="N101" s="13" t="n"/>
      <c r="O101" s="13" t="n"/>
      <c r="P101" s="12" t="n"/>
      <c r="Q101" s="11" t="n"/>
      <c r="R101" s="12" t="n"/>
      <c r="S101" s="14">
        <f>IF(OR(A101="",C101="",F101="",G101="",I101="",J101=""),"",IF(F101="股票期权",MAX(0,(J101-K101)*I101),IF(F101="限制性股票",IF(OR(L101="",M101="",M101&lt;=0,N101=""),"",MAX(0,((L101+J101)/2)*I101-N101*I101/M101)),MAX(0,O101))))</f>
        <v/>
      </c>
      <c r="T101" s="14">
        <f>IF(S101="","",SUMIFS($S$2:$S$501,$C$2:$C$501,C101,$H$2:$H$501,H101,$G$2:$G$501,"&lt;"&amp;G101)+SUMIFS($S$2:$S$501,$C$2:$C$501,C101,$H$2:$H$501,H101,$G$2:$G$501,G101,$A$2:$A$501,"&lt;"&amp;A101))</f>
        <v/>
      </c>
      <c r="U101" s="14">
        <f>IF(S101="","",T101+S101)</f>
        <v/>
      </c>
      <c r="V101" s="15">
        <f>IF(U101="","",VLOOKUP(U101,'税率及规则'!$A$2:$C$8,2,TRUE))</f>
        <v/>
      </c>
      <c r="W101" s="14">
        <f>IF(U101="","",VLOOKUP(U101,'税率及规则'!$A$2:$C$8,3,TRUE))</f>
        <v/>
      </c>
      <c r="X101" s="14">
        <f>IF(U101="","",MAX(0,U101*V101-W101))</f>
        <v/>
      </c>
      <c r="Y101" s="14">
        <f>IF(T101="","",MAX(0,T101*VLOOKUP(T101,'税率及规则'!$A$2:$C$8,2,TRUE)-VLOOKUP(T101,'税率及规则'!$A$2:$C$8,3,TRUE)))</f>
        <v/>
      </c>
      <c r="Z101" s="14">
        <f>IF(X101="","",MAX(0,X101-Y101))</f>
        <v/>
      </c>
      <c r="AA101" s="16">
        <f>IF(G101="","",G101)</f>
        <v/>
      </c>
      <c r="AB101" s="16">
        <f>IF(AA101="","",EDATE(AA101,36))</f>
        <v/>
      </c>
      <c r="AC101" s="6">
        <f>IF(A101="","",IF(COUNTIF($A$2:$A$501,A101)&gt;1,"异常：事件编号重复",IF(OR(C101="",D101="",E101="",F101="",G101="",I101="",J101=""),"异常：必填项缺失",IF(OR(I101&lt;=0,J101&lt;0),"异常：数量或价格无效",IF(AND(F101="限制性股票",OR(M101&lt;=0,N101&lt;0,I101&gt;M101)),"异常：个人获授或出资数据无效",IF(AND(F101="股票期权",K101&lt;&gt;IF(G101&lt;DATE(2025,1,10),14.56,IF(G101&lt;DATE(2025,4,29),14.32,IF(G101&lt;DATE(2025,9,26),14.18,14.04)))),"异常：行权价格区间不符",IF(Q101&lt;&gt;"已备案","提示：未确认备案","正常")))))))</f>
        <v/>
      </c>
      <c r="AD101" s="11" t="n"/>
    </row>
    <row r="102">
      <c r="A102" s="11" t="n"/>
      <c r="B102" s="6">
        <f>IF(A102="","",A102&amp;"-TAX")</f>
        <v/>
      </c>
      <c r="C102" s="11" t="n"/>
      <c r="D102" s="11" t="n"/>
      <c r="E102" s="11" t="n"/>
      <c r="F102" s="11" t="n"/>
      <c r="G102" s="12" t="n"/>
      <c r="H102" s="6">
        <f>IF(G102="","",YEAR(G102))</f>
        <v/>
      </c>
      <c r="I102" s="11" t="n"/>
      <c r="J102" s="13" t="n"/>
      <c r="K102" s="14">
        <f>IF(F102="股票期权",IF(G102="","",IF(G102&lt;DATE(2025,1,10),14.56,IF(G102&lt;DATE(2025,4,29),14.32,IF(G102&lt;DATE(2025,9,26),14.18,14.04)))),IF(F102="限制性股票",8.68,""))</f>
        <v/>
      </c>
      <c r="L102" s="14">
        <f>IF(F102="限制性股票",13.06,"")</f>
        <v/>
      </c>
      <c r="M102" s="11" t="n"/>
      <c r="N102" s="13" t="n"/>
      <c r="O102" s="13" t="n"/>
      <c r="P102" s="12" t="n"/>
      <c r="Q102" s="11" t="n"/>
      <c r="R102" s="12" t="n"/>
      <c r="S102" s="14">
        <f>IF(OR(A102="",C102="",F102="",G102="",I102="",J102=""),"",IF(F102="股票期权",MAX(0,(J102-K102)*I102),IF(F102="限制性股票",IF(OR(L102="",M102="",M102&lt;=0,N102=""),"",MAX(0,((L102+J102)/2)*I102-N102*I102/M102)),MAX(0,O102))))</f>
        <v/>
      </c>
      <c r="T102" s="14">
        <f>IF(S102="","",SUMIFS($S$2:$S$501,$C$2:$C$501,C102,$H$2:$H$501,H102,$G$2:$G$501,"&lt;"&amp;G102)+SUMIFS($S$2:$S$501,$C$2:$C$501,C102,$H$2:$H$501,H102,$G$2:$G$501,G102,$A$2:$A$501,"&lt;"&amp;A102))</f>
        <v/>
      </c>
      <c r="U102" s="14">
        <f>IF(S102="","",T102+S102)</f>
        <v/>
      </c>
      <c r="V102" s="15">
        <f>IF(U102="","",VLOOKUP(U102,'税率及规则'!$A$2:$C$8,2,TRUE))</f>
        <v/>
      </c>
      <c r="W102" s="14">
        <f>IF(U102="","",VLOOKUP(U102,'税率及规则'!$A$2:$C$8,3,TRUE))</f>
        <v/>
      </c>
      <c r="X102" s="14">
        <f>IF(U102="","",MAX(0,U102*V102-W102))</f>
        <v/>
      </c>
      <c r="Y102" s="14">
        <f>IF(T102="","",MAX(0,T102*VLOOKUP(T102,'税率及规则'!$A$2:$C$8,2,TRUE)-VLOOKUP(T102,'税率及规则'!$A$2:$C$8,3,TRUE)))</f>
        <v/>
      </c>
      <c r="Z102" s="14">
        <f>IF(X102="","",MAX(0,X102-Y102))</f>
        <v/>
      </c>
      <c r="AA102" s="16">
        <f>IF(G102="","",G102)</f>
        <v/>
      </c>
      <c r="AB102" s="16">
        <f>IF(AA102="","",EDATE(AA102,36))</f>
        <v/>
      </c>
      <c r="AC102" s="6">
        <f>IF(A102="","",IF(COUNTIF($A$2:$A$501,A102)&gt;1,"异常：事件编号重复",IF(OR(C102="",D102="",E102="",F102="",G102="",I102="",J102=""),"异常：必填项缺失",IF(OR(I102&lt;=0,J102&lt;0),"异常：数量或价格无效",IF(AND(F102="限制性股票",OR(M102&lt;=0,N102&lt;0,I102&gt;M102)),"异常：个人获授或出资数据无效",IF(AND(F102="股票期权",K102&lt;&gt;IF(G102&lt;DATE(2025,1,10),14.56,IF(G102&lt;DATE(2025,4,29),14.32,IF(G102&lt;DATE(2025,9,26),14.18,14.04)))),"异常：行权价格区间不符",IF(Q102&lt;&gt;"已备案","提示：未确认备案","正常")))))))</f>
        <v/>
      </c>
      <c r="AD102" s="11" t="n"/>
    </row>
    <row r="103">
      <c r="A103" s="11" t="n"/>
      <c r="B103" s="6">
        <f>IF(A103="","",A103&amp;"-TAX")</f>
        <v/>
      </c>
      <c r="C103" s="11" t="n"/>
      <c r="D103" s="11" t="n"/>
      <c r="E103" s="11" t="n"/>
      <c r="F103" s="11" t="n"/>
      <c r="G103" s="12" t="n"/>
      <c r="H103" s="6">
        <f>IF(G103="","",YEAR(G103))</f>
        <v/>
      </c>
      <c r="I103" s="11" t="n"/>
      <c r="J103" s="13" t="n"/>
      <c r="K103" s="14">
        <f>IF(F103="股票期权",IF(G103="","",IF(G103&lt;DATE(2025,1,10),14.56,IF(G103&lt;DATE(2025,4,29),14.32,IF(G103&lt;DATE(2025,9,26),14.18,14.04)))),IF(F103="限制性股票",8.68,""))</f>
        <v/>
      </c>
      <c r="L103" s="14">
        <f>IF(F103="限制性股票",13.06,"")</f>
        <v/>
      </c>
      <c r="M103" s="11" t="n"/>
      <c r="N103" s="13" t="n"/>
      <c r="O103" s="13" t="n"/>
      <c r="P103" s="12" t="n"/>
      <c r="Q103" s="11" t="n"/>
      <c r="R103" s="12" t="n"/>
      <c r="S103" s="14">
        <f>IF(OR(A103="",C103="",F103="",G103="",I103="",J103=""),"",IF(F103="股票期权",MAX(0,(J103-K103)*I103),IF(F103="限制性股票",IF(OR(L103="",M103="",M103&lt;=0,N103=""),"",MAX(0,((L103+J103)/2)*I103-N103*I103/M103)),MAX(0,O103))))</f>
        <v/>
      </c>
      <c r="T103" s="14">
        <f>IF(S103="","",SUMIFS($S$2:$S$501,$C$2:$C$501,C103,$H$2:$H$501,H103,$G$2:$G$501,"&lt;"&amp;G103)+SUMIFS($S$2:$S$501,$C$2:$C$501,C103,$H$2:$H$501,H103,$G$2:$G$501,G103,$A$2:$A$501,"&lt;"&amp;A103))</f>
        <v/>
      </c>
      <c r="U103" s="14">
        <f>IF(S103="","",T103+S103)</f>
        <v/>
      </c>
      <c r="V103" s="15">
        <f>IF(U103="","",VLOOKUP(U103,'税率及规则'!$A$2:$C$8,2,TRUE))</f>
        <v/>
      </c>
      <c r="W103" s="14">
        <f>IF(U103="","",VLOOKUP(U103,'税率及规则'!$A$2:$C$8,3,TRUE))</f>
        <v/>
      </c>
      <c r="X103" s="14">
        <f>IF(U103="","",MAX(0,U103*V103-W103))</f>
        <v/>
      </c>
      <c r="Y103" s="14">
        <f>IF(T103="","",MAX(0,T103*VLOOKUP(T103,'税率及规则'!$A$2:$C$8,2,TRUE)-VLOOKUP(T103,'税率及规则'!$A$2:$C$8,3,TRUE)))</f>
        <v/>
      </c>
      <c r="Z103" s="14">
        <f>IF(X103="","",MAX(0,X103-Y103))</f>
        <v/>
      </c>
      <c r="AA103" s="16">
        <f>IF(G103="","",G103)</f>
        <v/>
      </c>
      <c r="AB103" s="16">
        <f>IF(AA103="","",EDATE(AA103,36))</f>
        <v/>
      </c>
      <c r="AC103" s="6">
        <f>IF(A103="","",IF(COUNTIF($A$2:$A$501,A103)&gt;1,"异常：事件编号重复",IF(OR(C103="",D103="",E103="",F103="",G103="",I103="",J103=""),"异常：必填项缺失",IF(OR(I103&lt;=0,J103&lt;0),"异常：数量或价格无效",IF(AND(F103="限制性股票",OR(M103&lt;=0,N103&lt;0,I103&gt;M103)),"异常：个人获授或出资数据无效",IF(AND(F103="股票期权",K103&lt;&gt;IF(G103&lt;DATE(2025,1,10),14.56,IF(G103&lt;DATE(2025,4,29),14.32,IF(G103&lt;DATE(2025,9,26),14.18,14.04)))),"异常：行权价格区间不符",IF(Q103&lt;&gt;"已备案","提示：未确认备案","正常")))))))</f>
        <v/>
      </c>
      <c r="AD103" s="11" t="n"/>
    </row>
    <row r="104">
      <c r="A104" s="11" t="n"/>
      <c r="B104" s="6">
        <f>IF(A104="","",A104&amp;"-TAX")</f>
        <v/>
      </c>
      <c r="C104" s="11" t="n"/>
      <c r="D104" s="11" t="n"/>
      <c r="E104" s="11" t="n"/>
      <c r="F104" s="11" t="n"/>
      <c r="G104" s="12" t="n"/>
      <c r="H104" s="6">
        <f>IF(G104="","",YEAR(G104))</f>
        <v/>
      </c>
      <c r="I104" s="11" t="n"/>
      <c r="J104" s="13" t="n"/>
      <c r="K104" s="14">
        <f>IF(F104="股票期权",IF(G104="","",IF(G104&lt;DATE(2025,1,10),14.56,IF(G104&lt;DATE(2025,4,29),14.32,IF(G104&lt;DATE(2025,9,26),14.18,14.04)))),IF(F104="限制性股票",8.68,""))</f>
        <v/>
      </c>
      <c r="L104" s="14">
        <f>IF(F104="限制性股票",13.06,"")</f>
        <v/>
      </c>
      <c r="M104" s="11" t="n"/>
      <c r="N104" s="13" t="n"/>
      <c r="O104" s="13" t="n"/>
      <c r="P104" s="12" t="n"/>
      <c r="Q104" s="11" t="n"/>
      <c r="R104" s="12" t="n"/>
      <c r="S104" s="14">
        <f>IF(OR(A104="",C104="",F104="",G104="",I104="",J104=""),"",IF(F104="股票期权",MAX(0,(J104-K104)*I104),IF(F104="限制性股票",IF(OR(L104="",M104="",M104&lt;=0,N104=""),"",MAX(0,((L104+J104)/2)*I104-N104*I104/M104)),MAX(0,O104))))</f>
        <v/>
      </c>
      <c r="T104" s="14">
        <f>IF(S104="","",SUMIFS($S$2:$S$501,$C$2:$C$501,C104,$H$2:$H$501,H104,$G$2:$G$501,"&lt;"&amp;G104)+SUMIFS($S$2:$S$501,$C$2:$C$501,C104,$H$2:$H$501,H104,$G$2:$G$501,G104,$A$2:$A$501,"&lt;"&amp;A104))</f>
        <v/>
      </c>
      <c r="U104" s="14">
        <f>IF(S104="","",T104+S104)</f>
        <v/>
      </c>
      <c r="V104" s="15">
        <f>IF(U104="","",VLOOKUP(U104,'税率及规则'!$A$2:$C$8,2,TRUE))</f>
        <v/>
      </c>
      <c r="W104" s="14">
        <f>IF(U104="","",VLOOKUP(U104,'税率及规则'!$A$2:$C$8,3,TRUE))</f>
        <v/>
      </c>
      <c r="X104" s="14">
        <f>IF(U104="","",MAX(0,U104*V104-W104))</f>
        <v/>
      </c>
      <c r="Y104" s="14">
        <f>IF(T104="","",MAX(0,T104*VLOOKUP(T104,'税率及规则'!$A$2:$C$8,2,TRUE)-VLOOKUP(T104,'税率及规则'!$A$2:$C$8,3,TRUE)))</f>
        <v/>
      </c>
      <c r="Z104" s="14">
        <f>IF(X104="","",MAX(0,X104-Y104))</f>
        <v/>
      </c>
      <c r="AA104" s="16">
        <f>IF(G104="","",G104)</f>
        <v/>
      </c>
      <c r="AB104" s="16">
        <f>IF(AA104="","",EDATE(AA104,36))</f>
        <v/>
      </c>
      <c r="AC104" s="6">
        <f>IF(A104="","",IF(COUNTIF($A$2:$A$501,A104)&gt;1,"异常：事件编号重复",IF(OR(C104="",D104="",E104="",F104="",G104="",I104="",J104=""),"异常：必填项缺失",IF(OR(I104&lt;=0,J104&lt;0),"异常：数量或价格无效",IF(AND(F104="限制性股票",OR(M104&lt;=0,N104&lt;0,I104&gt;M104)),"异常：个人获授或出资数据无效",IF(AND(F104="股票期权",K104&lt;&gt;IF(G104&lt;DATE(2025,1,10),14.56,IF(G104&lt;DATE(2025,4,29),14.32,IF(G104&lt;DATE(2025,9,26),14.18,14.04)))),"异常：行权价格区间不符",IF(Q104&lt;&gt;"已备案","提示：未确认备案","正常")))))))</f>
        <v/>
      </c>
      <c r="AD104" s="11" t="n"/>
    </row>
    <row r="105">
      <c r="A105" s="11" t="n"/>
      <c r="B105" s="6">
        <f>IF(A105="","",A105&amp;"-TAX")</f>
        <v/>
      </c>
      <c r="C105" s="11" t="n"/>
      <c r="D105" s="11" t="n"/>
      <c r="E105" s="11" t="n"/>
      <c r="F105" s="11" t="n"/>
      <c r="G105" s="12" t="n"/>
      <c r="H105" s="6">
        <f>IF(G105="","",YEAR(G105))</f>
        <v/>
      </c>
      <c r="I105" s="11" t="n"/>
      <c r="J105" s="13" t="n"/>
      <c r="K105" s="14">
        <f>IF(F105="股票期权",IF(G105="","",IF(G105&lt;DATE(2025,1,10),14.56,IF(G105&lt;DATE(2025,4,29),14.32,IF(G105&lt;DATE(2025,9,26),14.18,14.04)))),IF(F105="限制性股票",8.68,""))</f>
        <v/>
      </c>
      <c r="L105" s="14">
        <f>IF(F105="限制性股票",13.06,"")</f>
        <v/>
      </c>
      <c r="M105" s="11" t="n"/>
      <c r="N105" s="13" t="n"/>
      <c r="O105" s="13" t="n"/>
      <c r="P105" s="12" t="n"/>
      <c r="Q105" s="11" t="n"/>
      <c r="R105" s="12" t="n"/>
      <c r="S105" s="14">
        <f>IF(OR(A105="",C105="",F105="",G105="",I105="",J105=""),"",IF(F105="股票期权",MAX(0,(J105-K105)*I105),IF(F105="限制性股票",IF(OR(L105="",M105="",M105&lt;=0,N105=""),"",MAX(0,((L105+J105)/2)*I105-N105*I105/M105)),MAX(0,O105))))</f>
        <v/>
      </c>
      <c r="T105" s="14">
        <f>IF(S105="","",SUMIFS($S$2:$S$501,$C$2:$C$501,C105,$H$2:$H$501,H105,$G$2:$G$501,"&lt;"&amp;G105)+SUMIFS($S$2:$S$501,$C$2:$C$501,C105,$H$2:$H$501,H105,$G$2:$G$501,G105,$A$2:$A$501,"&lt;"&amp;A105))</f>
        <v/>
      </c>
      <c r="U105" s="14">
        <f>IF(S105="","",T105+S105)</f>
        <v/>
      </c>
      <c r="V105" s="15">
        <f>IF(U105="","",VLOOKUP(U105,'税率及规则'!$A$2:$C$8,2,TRUE))</f>
        <v/>
      </c>
      <c r="W105" s="14">
        <f>IF(U105="","",VLOOKUP(U105,'税率及规则'!$A$2:$C$8,3,TRUE))</f>
        <v/>
      </c>
      <c r="X105" s="14">
        <f>IF(U105="","",MAX(0,U105*V105-W105))</f>
        <v/>
      </c>
      <c r="Y105" s="14">
        <f>IF(T105="","",MAX(0,T105*VLOOKUP(T105,'税率及规则'!$A$2:$C$8,2,TRUE)-VLOOKUP(T105,'税率及规则'!$A$2:$C$8,3,TRUE)))</f>
        <v/>
      </c>
      <c r="Z105" s="14">
        <f>IF(X105="","",MAX(0,X105-Y105))</f>
        <v/>
      </c>
      <c r="AA105" s="16">
        <f>IF(G105="","",G105)</f>
        <v/>
      </c>
      <c r="AB105" s="16">
        <f>IF(AA105="","",EDATE(AA105,36))</f>
        <v/>
      </c>
      <c r="AC105" s="6">
        <f>IF(A105="","",IF(COUNTIF($A$2:$A$501,A105)&gt;1,"异常：事件编号重复",IF(OR(C105="",D105="",E105="",F105="",G105="",I105="",J105=""),"异常：必填项缺失",IF(OR(I105&lt;=0,J105&lt;0),"异常：数量或价格无效",IF(AND(F105="限制性股票",OR(M105&lt;=0,N105&lt;0,I105&gt;M105)),"异常：个人获授或出资数据无效",IF(AND(F105="股票期权",K105&lt;&gt;IF(G105&lt;DATE(2025,1,10),14.56,IF(G105&lt;DATE(2025,4,29),14.32,IF(G105&lt;DATE(2025,9,26),14.18,14.04)))),"异常：行权价格区间不符",IF(Q105&lt;&gt;"已备案","提示：未确认备案","正常")))))))</f>
        <v/>
      </c>
      <c r="AD105" s="11" t="n"/>
    </row>
    <row r="106">
      <c r="A106" s="11" t="n"/>
      <c r="B106" s="6">
        <f>IF(A106="","",A106&amp;"-TAX")</f>
        <v/>
      </c>
      <c r="C106" s="11" t="n"/>
      <c r="D106" s="11" t="n"/>
      <c r="E106" s="11" t="n"/>
      <c r="F106" s="11" t="n"/>
      <c r="G106" s="12" t="n"/>
      <c r="H106" s="6">
        <f>IF(G106="","",YEAR(G106))</f>
        <v/>
      </c>
      <c r="I106" s="11" t="n"/>
      <c r="J106" s="13" t="n"/>
      <c r="K106" s="14">
        <f>IF(F106="股票期权",IF(G106="","",IF(G106&lt;DATE(2025,1,10),14.56,IF(G106&lt;DATE(2025,4,29),14.32,IF(G106&lt;DATE(2025,9,26),14.18,14.04)))),IF(F106="限制性股票",8.68,""))</f>
        <v/>
      </c>
      <c r="L106" s="14">
        <f>IF(F106="限制性股票",13.06,"")</f>
        <v/>
      </c>
      <c r="M106" s="11" t="n"/>
      <c r="N106" s="13" t="n"/>
      <c r="O106" s="13" t="n"/>
      <c r="P106" s="12" t="n"/>
      <c r="Q106" s="11" t="n"/>
      <c r="R106" s="12" t="n"/>
      <c r="S106" s="14">
        <f>IF(OR(A106="",C106="",F106="",G106="",I106="",J106=""),"",IF(F106="股票期权",MAX(0,(J106-K106)*I106),IF(F106="限制性股票",IF(OR(L106="",M106="",M106&lt;=0,N106=""),"",MAX(0,((L106+J106)/2)*I106-N106*I106/M106)),MAX(0,O106))))</f>
        <v/>
      </c>
      <c r="T106" s="14">
        <f>IF(S106="","",SUMIFS($S$2:$S$501,$C$2:$C$501,C106,$H$2:$H$501,H106,$G$2:$G$501,"&lt;"&amp;G106)+SUMIFS($S$2:$S$501,$C$2:$C$501,C106,$H$2:$H$501,H106,$G$2:$G$501,G106,$A$2:$A$501,"&lt;"&amp;A106))</f>
        <v/>
      </c>
      <c r="U106" s="14">
        <f>IF(S106="","",T106+S106)</f>
        <v/>
      </c>
      <c r="V106" s="15">
        <f>IF(U106="","",VLOOKUP(U106,'税率及规则'!$A$2:$C$8,2,TRUE))</f>
        <v/>
      </c>
      <c r="W106" s="14">
        <f>IF(U106="","",VLOOKUP(U106,'税率及规则'!$A$2:$C$8,3,TRUE))</f>
        <v/>
      </c>
      <c r="X106" s="14">
        <f>IF(U106="","",MAX(0,U106*V106-W106))</f>
        <v/>
      </c>
      <c r="Y106" s="14">
        <f>IF(T106="","",MAX(0,T106*VLOOKUP(T106,'税率及规则'!$A$2:$C$8,2,TRUE)-VLOOKUP(T106,'税率及规则'!$A$2:$C$8,3,TRUE)))</f>
        <v/>
      </c>
      <c r="Z106" s="14">
        <f>IF(X106="","",MAX(0,X106-Y106))</f>
        <v/>
      </c>
      <c r="AA106" s="16">
        <f>IF(G106="","",G106)</f>
        <v/>
      </c>
      <c r="AB106" s="16">
        <f>IF(AA106="","",EDATE(AA106,36))</f>
        <v/>
      </c>
      <c r="AC106" s="6">
        <f>IF(A106="","",IF(COUNTIF($A$2:$A$501,A106)&gt;1,"异常：事件编号重复",IF(OR(C106="",D106="",E106="",F106="",G106="",I106="",J106=""),"异常：必填项缺失",IF(OR(I106&lt;=0,J106&lt;0),"异常：数量或价格无效",IF(AND(F106="限制性股票",OR(M106&lt;=0,N106&lt;0,I106&gt;M106)),"异常：个人获授或出资数据无效",IF(AND(F106="股票期权",K106&lt;&gt;IF(G106&lt;DATE(2025,1,10),14.56,IF(G106&lt;DATE(2025,4,29),14.32,IF(G106&lt;DATE(2025,9,26),14.18,14.04)))),"异常：行权价格区间不符",IF(Q106&lt;&gt;"已备案","提示：未确认备案","正常")))))))</f>
        <v/>
      </c>
      <c r="AD106" s="11" t="n"/>
    </row>
    <row r="107">
      <c r="A107" s="11" t="n"/>
      <c r="B107" s="6">
        <f>IF(A107="","",A107&amp;"-TAX")</f>
        <v/>
      </c>
      <c r="C107" s="11" t="n"/>
      <c r="D107" s="11" t="n"/>
      <c r="E107" s="11" t="n"/>
      <c r="F107" s="11" t="n"/>
      <c r="G107" s="12" t="n"/>
      <c r="H107" s="6">
        <f>IF(G107="","",YEAR(G107))</f>
        <v/>
      </c>
      <c r="I107" s="11" t="n"/>
      <c r="J107" s="13" t="n"/>
      <c r="K107" s="14">
        <f>IF(F107="股票期权",IF(G107="","",IF(G107&lt;DATE(2025,1,10),14.56,IF(G107&lt;DATE(2025,4,29),14.32,IF(G107&lt;DATE(2025,9,26),14.18,14.04)))),IF(F107="限制性股票",8.68,""))</f>
        <v/>
      </c>
      <c r="L107" s="14">
        <f>IF(F107="限制性股票",13.06,"")</f>
        <v/>
      </c>
      <c r="M107" s="11" t="n"/>
      <c r="N107" s="13" t="n"/>
      <c r="O107" s="13" t="n"/>
      <c r="P107" s="12" t="n"/>
      <c r="Q107" s="11" t="n"/>
      <c r="R107" s="12" t="n"/>
      <c r="S107" s="14">
        <f>IF(OR(A107="",C107="",F107="",G107="",I107="",J107=""),"",IF(F107="股票期权",MAX(0,(J107-K107)*I107),IF(F107="限制性股票",IF(OR(L107="",M107="",M107&lt;=0,N107=""),"",MAX(0,((L107+J107)/2)*I107-N107*I107/M107)),MAX(0,O107))))</f>
        <v/>
      </c>
      <c r="T107" s="14">
        <f>IF(S107="","",SUMIFS($S$2:$S$501,$C$2:$C$501,C107,$H$2:$H$501,H107,$G$2:$G$501,"&lt;"&amp;G107)+SUMIFS($S$2:$S$501,$C$2:$C$501,C107,$H$2:$H$501,H107,$G$2:$G$501,G107,$A$2:$A$501,"&lt;"&amp;A107))</f>
        <v/>
      </c>
      <c r="U107" s="14">
        <f>IF(S107="","",T107+S107)</f>
        <v/>
      </c>
      <c r="V107" s="15">
        <f>IF(U107="","",VLOOKUP(U107,'税率及规则'!$A$2:$C$8,2,TRUE))</f>
        <v/>
      </c>
      <c r="W107" s="14">
        <f>IF(U107="","",VLOOKUP(U107,'税率及规则'!$A$2:$C$8,3,TRUE))</f>
        <v/>
      </c>
      <c r="X107" s="14">
        <f>IF(U107="","",MAX(0,U107*V107-W107))</f>
        <v/>
      </c>
      <c r="Y107" s="14">
        <f>IF(T107="","",MAX(0,T107*VLOOKUP(T107,'税率及规则'!$A$2:$C$8,2,TRUE)-VLOOKUP(T107,'税率及规则'!$A$2:$C$8,3,TRUE)))</f>
        <v/>
      </c>
      <c r="Z107" s="14">
        <f>IF(X107="","",MAX(0,X107-Y107))</f>
        <v/>
      </c>
      <c r="AA107" s="16">
        <f>IF(G107="","",G107)</f>
        <v/>
      </c>
      <c r="AB107" s="16">
        <f>IF(AA107="","",EDATE(AA107,36))</f>
        <v/>
      </c>
      <c r="AC107" s="6">
        <f>IF(A107="","",IF(COUNTIF($A$2:$A$501,A107)&gt;1,"异常：事件编号重复",IF(OR(C107="",D107="",E107="",F107="",G107="",I107="",J107=""),"异常：必填项缺失",IF(OR(I107&lt;=0,J107&lt;0),"异常：数量或价格无效",IF(AND(F107="限制性股票",OR(M107&lt;=0,N107&lt;0,I107&gt;M107)),"异常：个人获授或出资数据无效",IF(AND(F107="股票期权",K107&lt;&gt;IF(G107&lt;DATE(2025,1,10),14.56,IF(G107&lt;DATE(2025,4,29),14.32,IF(G107&lt;DATE(2025,9,26),14.18,14.04)))),"异常：行权价格区间不符",IF(Q107&lt;&gt;"已备案","提示：未确认备案","正常")))))))</f>
        <v/>
      </c>
      <c r="AD107" s="11" t="n"/>
    </row>
    <row r="108">
      <c r="A108" s="11" t="n"/>
      <c r="B108" s="6">
        <f>IF(A108="","",A108&amp;"-TAX")</f>
        <v/>
      </c>
      <c r="C108" s="11" t="n"/>
      <c r="D108" s="11" t="n"/>
      <c r="E108" s="11" t="n"/>
      <c r="F108" s="11" t="n"/>
      <c r="G108" s="12" t="n"/>
      <c r="H108" s="6">
        <f>IF(G108="","",YEAR(G108))</f>
        <v/>
      </c>
      <c r="I108" s="11" t="n"/>
      <c r="J108" s="13" t="n"/>
      <c r="K108" s="14">
        <f>IF(F108="股票期权",IF(G108="","",IF(G108&lt;DATE(2025,1,10),14.56,IF(G108&lt;DATE(2025,4,29),14.32,IF(G108&lt;DATE(2025,9,26),14.18,14.04)))),IF(F108="限制性股票",8.68,""))</f>
        <v/>
      </c>
      <c r="L108" s="14">
        <f>IF(F108="限制性股票",13.06,"")</f>
        <v/>
      </c>
      <c r="M108" s="11" t="n"/>
      <c r="N108" s="13" t="n"/>
      <c r="O108" s="13" t="n"/>
      <c r="P108" s="12" t="n"/>
      <c r="Q108" s="11" t="n"/>
      <c r="R108" s="12" t="n"/>
      <c r="S108" s="14">
        <f>IF(OR(A108="",C108="",F108="",G108="",I108="",J108=""),"",IF(F108="股票期权",MAX(0,(J108-K108)*I108),IF(F108="限制性股票",IF(OR(L108="",M108="",M108&lt;=0,N108=""),"",MAX(0,((L108+J108)/2)*I108-N108*I108/M108)),MAX(0,O108))))</f>
        <v/>
      </c>
      <c r="T108" s="14">
        <f>IF(S108="","",SUMIFS($S$2:$S$501,$C$2:$C$501,C108,$H$2:$H$501,H108,$G$2:$G$501,"&lt;"&amp;G108)+SUMIFS($S$2:$S$501,$C$2:$C$501,C108,$H$2:$H$501,H108,$G$2:$G$501,G108,$A$2:$A$501,"&lt;"&amp;A108))</f>
        <v/>
      </c>
      <c r="U108" s="14">
        <f>IF(S108="","",T108+S108)</f>
        <v/>
      </c>
      <c r="V108" s="15">
        <f>IF(U108="","",VLOOKUP(U108,'税率及规则'!$A$2:$C$8,2,TRUE))</f>
        <v/>
      </c>
      <c r="W108" s="14">
        <f>IF(U108="","",VLOOKUP(U108,'税率及规则'!$A$2:$C$8,3,TRUE))</f>
        <v/>
      </c>
      <c r="X108" s="14">
        <f>IF(U108="","",MAX(0,U108*V108-W108))</f>
        <v/>
      </c>
      <c r="Y108" s="14">
        <f>IF(T108="","",MAX(0,T108*VLOOKUP(T108,'税率及规则'!$A$2:$C$8,2,TRUE)-VLOOKUP(T108,'税率及规则'!$A$2:$C$8,3,TRUE)))</f>
        <v/>
      </c>
      <c r="Z108" s="14">
        <f>IF(X108="","",MAX(0,X108-Y108))</f>
        <v/>
      </c>
      <c r="AA108" s="16">
        <f>IF(G108="","",G108)</f>
        <v/>
      </c>
      <c r="AB108" s="16">
        <f>IF(AA108="","",EDATE(AA108,36))</f>
        <v/>
      </c>
      <c r="AC108" s="6">
        <f>IF(A108="","",IF(COUNTIF($A$2:$A$501,A108)&gt;1,"异常：事件编号重复",IF(OR(C108="",D108="",E108="",F108="",G108="",I108="",J108=""),"异常：必填项缺失",IF(OR(I108&lt;=0,J108&lt;0),"异常：数量或价格无效",IF(AND(F108="限制性股票",OR(M108&lt;=0,N108&lt;0,I108&gt;M108)),"异常：个人获授或出资数据无效",IF(AND(F108="股票期权",K108&lt;&gt;IF(G108&lt;DATE(2025,1,10),14.56,IF(G108&lt;DATE(2025,4,29),14.32,IF(G108&lt;DATE(2025,9,26),14.18,14.04)))),"异常：行权价格区间不符",IF(Q108&lt;&gt;"已备案","提示：未确认备案","正常")))))))</f>
        <v/>
      </c>
      <c r="AD108" s="11" t="n"/>
    </row>
    <row r="109">
      <c r="A109" s="11" t="n"/>
      <c r="B109" s="6">
        <f>IF(A109="","",A109&amp;"-TAX")</f>
        <v/>
      </c>
      <c r="C109" s="11" t="n"/>
      <c r="D109" s="11" t="n"/>
      <c r="E109" s="11" t="n"/>
      <c r="F109" s="11" t="n"/>
      <c r="G109" s="12" t="n"/>
      <c r="H109" s="6">
        <f>IF(G109="","",YEAR(G109))</f>
        <v/>
      </c>
      <c r="I109" s="11" t="n"/>
      <c r="J109" s="13" t="n"/>
      <c r="K109" s="14">
        <f>IF(F109="股票期权",IF(G109="","",IF(G109&lt;DATE(2025,1,10),14.56,IF(G109&lt;DATE(2025,4,29),14.32,IF(G109&lt;DATE(2025,9,26),14.18,14.04)))),IF(F109="限制性股票",8.68,""))</f>
        <v/>
      </c>
      <c r="L109" s="14">
        <f>IF(F109="限制性股票",13.06,"")</f>
        <v/>
      </c>
      <c r="M109" s="11" t="n"/>
      <c r="N109" s="13" t="n"/>
      <c r="O109" s="13" t="n"/>
      <c r="P109" s="12" t="n"/>
      <c r="Q109" s="11" t="n"/>
      <c r="R109" s="12" t="n"/>
      <c r="S109" s="14">
        <f>IF(OR(A109="",C109="",F109="",G109="",I109="",J109=""),"",IF(F109="股票期权",MAX(0,(J109-K109)*I109),IF(F109="限制性股票",IF(OR(L109="",M109="",M109&lt;=0,N109=""),"",MAX(0,((L109+J109)/2)*I109-N109*I109/M109)),MAX(0,O109))))</f>
        <v/>
      </c>
      <c r="T109" s="14">
        <f>IF(S109="","",SUMIFS($S$2:$S$501,$C$2:$C$501,C109,$H$2:$H$501,H109,$G$2:$G$501,"&lt;"&amp;G109)+SUMIFS($S$2:$S$501,$C$2:$C$501,C109,$H$2:$H$501,H109,$G$2:$G$501,G109,$A$2:$A$501,"&lt;"&amp;A109))</f>
        <v/>
      </c>
      <c r="U109" s="14">
        <f>IF(S109="","",T109+S109)</f>
        <v/>
      </c>
      <c r="V109" s="15">
        <f>IF(U109="","",VLOOKUP(U109,'税率及规则'!$A$2:$C$8,2,TRUE))</f>
        <v/>
      </c>
      <c r="W109" s="14">
        <f>IF(U109="","",VLOOKUP(U109,'税率及规则'!$A$2:$C$8,3,TRUE))</f>
        <v/>
      </c>
      <c r="X109" s="14">
        <f>IF(U109="","",MAX(0,U109*V109-W109))</f>
        <v/>
      </c>
      <c r="Y109" s="14">
        <f>IF(T109="","",MAX(0,T109*VLOOKUP(T109,'税率及规则'!$A$2:$C$8,2,TRUE)-VLOOKUP(T109,'税率及规则'!$A$2:$C$8,3,TRUE)))</f>
        <v/>
      </c>
      <c r="Z109" s="14">
        <f>IF(X109="","",MAX(0,X109-Y109))</f>
        <v/>
      </c>
      <c r="AA109" s="16">
        <f>IF(G109="","",G109)</f>
        <v/>
      </c>
      <c r="AB109" s="16">
        <f>IF(AA109="","",EDATE(AA109,36))</f>
        <v/>
      </c>
      <c r="AC109" s="6">
        <f>IF(A109="","",IF(COUNTIF($A$2:$A$501,A109)&gt;1,"异常：事件编号重复",IF(OR(C109="",D109="",E109="",F109="",G109="",I109="",J109=""),"异常：必填项缺失",IF(OR(I109&lt;=0,J109&lt;0),"异常：数量或价格无效",IF(AND(F109="限制性股票",OR(M109&lt;=0,N109&lt;0,I109&gt;M109)),"异常：个人获授或出资数据无效",IF(AND(F109="股票期权",K109&lt;&gt;IF(G109&lt;DATE(2025,1,10),14.56,IF(G109&lt;DATE(2025,4,29),14.32,IF(G109&lt;DATE(2025,9,26),14.18,14.04)))),"异常：行权价格区间不符",IF(Q109&lt;&gt;"已备案","提示：未确认备案","正常")))))))</f>
        <v/>
      </c>
      <c r="AD109" s="11" t="n"/>
    </row>
    <row r="110">
      <c r="A110" s="11" t="n"/>
      <c r="B110" s="6">
        <f>IF(A110="","",A110&amp;"-TAX")</f>
        <v/>
      </c>
      <c r="C110" s="11" t="n"/>
      <c r="D110" s="11" t="n"/>
      <c r="E110" s="11" t="n"/>
      <c r="F110" s="11" t="n"/>
      <c r="G110" s="12" t="n"/>
      <c r="H110" s="6">
        <f>IF(G110="","",YEAR(G110))</f>
        <v/>
      </c>
      <c r="I110" s="11" t="n"/>
      <c r="J110" s="13" t="n"/>
      <c r="K110" s="14">
        <f>IF(F110="股票期权",IF(G110="","",IF(G110&lt;DATE(2025,1,10),14.56,IF(G110&lt;DATE(2025,4,29),14.32,IF(G110&lt;DATE(2025,9,26),14.18,14.04)))),IF(F110="限制性股票",8.68,""))</f>
        <v/>
      </c>
      <c r="L110" s="14">
        <f>IF(F110="限制性股票",13.06,"")</f>
        <v/>
      </c>
      <c r="M110" s="11" t="n"/>
      <c r="N110" s="13" t="n"/>
      <c r="O110" s="13" t="n"/>
      <c r="P110" s="12" t="n"/>
      <c r="Q110" s="11" t="n"/>
      <c r="R110" s="12" t="n"/>
      <c r="S110" s="14">
        <f>IF(OR(A110="",C110="",F110="",G110="",I110="",J110=""),"",IF(F110="股票期权",MAX(0,(J110-K110)*I110),IF(F110="限制性股票",IF(OR(L110="",M110="",M110&lt;=0,N110=""),"",MAX(0,((L110+J110)/2)*I110-N110*I110/M110)),MAX(0,O110))))</f>
        <v/>
      </c>
      <c r="T110" s="14">
        <f>IF(S110="","",SUMIFS($S$2:$S$501,$C$2:$C$501,C110,$H$2:$H$501,H110,$G$2:$G$501,"&lt;"&amp;G110)+SUMIFS($S$2:$S$501,$C$2:$C$501,C110,$H$2:$H$501,H110,$G$2:$G$501,G110,$A$2:$A$501,"&lt;"&amp;A110))</f>
        <v/>
      </c>
      <c r="U110" s="14">
        <f>IF(S110="","",T110+S110)</f>
        <v/>
      </c>
      <c r="V110" s="15">
        <f>IF(U110="","",VLOOKUP(U110,'税率及规则'!$A$2:$C$8,2,TRUE))</f>
        <v/>
      </c>
      <c r="W110" s="14">
        <f>IF(U110="","",VLOOKUP(U110,'税率及规则'!$A$2:$C$8,3,TRUE))</f>
        <v/>
      </c>
      <c r="X110" s="14">
        <f>IF(U110="","",MAX(0,U110*V110-W110))</f>
        <v/>
      </c>
      <c r="Y110" s="14">
        <f>IF(T110="","",MAX(0,T110*VLOOKUP(T110,'税率及规则'!$A$2:$C$8,2,TRUE)-VLOOKUP(T110,'税率及规则'!$A$2:$C$8,3,TRUE)))</f>
        <v/>
      </c>
      <c r="Z110" s="14">
        <f>IF(X110="","",MAX(0,X110-Y110))</f>
        <v/>
      </c>
      <c r="AA110" s="16">
        <f>IF(G110="","",G110)</f>
        <v/>
      </c>
      <c r="AB110" s="16">
        <f>IF(AA110="","",EDATE(AA110,36))</f>
        <v/>
      </c>
      <c r="AC110" s="6">
        <f>IF(A110="","",IF(COUNTIF($A$2:$A$501,A110)&gt;1,"异常：事件编号重复",IF(OR(C110="",D110="",E110="",F110="",G110="",I110="",J110=""),"异常：必填项缺失",IF(OR(I110&lt;=0,J110&lt;0),"异常：数量或价格无效",IF(AND(F110="限制性股票",OR(M110&lt;=0,N110&lt;0,I110&gt;M110)),"异常：个人获授或出资数据无效",IF(AND(F110="股票期权",K110&lt;&gt;IF(G110&lt;DATE(2025,1,10),14.56,IF(G110&lt;DATE(2025,4,29),14.32,IF(G110&lt;DATE(2025,9,26),14.18,14.04)))),"异常：行权价格区间不符",IF(Q110&lt;&gt;"已备案","提示：未确认备案","正常")))))))</f>
        <v/>
      </c>
      <c r="AD110" s="11" t="n"/>
    </row>
    <row r="111">
      <c r="A111" s="11" t="n"/>
      <c r="B111" s="6">
        <f>IF(A111="","",A111&amp;"-TAX")</f>
        <v/>
      </c>
      <c r="C111" s="11" t="n"/>
      <c r="D111" s="11" t="n"/>
      <c r="E111" s="11" t="n"/>
      <c r="F111" s="11" t="n"/>
      <c r="G111" s="12" t="n"/>
      <c r="H111" s="6">
        <f>IF(G111="","",YEAR(G111))</f>
        <v/>
      </c>
      <c r="I111" s="11" t="n"/>
      <c r="J111" s="13" t="n"/>
      <c r="K111" s="14">
        <f>IF(F111="股票期权",IF(G111="","",IF(G111&lt;DATE(2025,1,10),14.56,IF(G111&lt;DATE(2025,4,29),14.32,IF(G111&lt;DATE(2025,9,26),14.18,14.04)))),IF(F111="限制性股票",8.68,""))</f>
        <v/>
      </c>
      <c r="L111" s="14">
        <f>IF(F111="限制性股票",13.06,"")</f>
        <v/>
      </c>
      <c r="M111" s="11" t="n"/>
      <c r="N111" s="13" t="n"/>
      <c r="O111" s="13" t="n"/>
      <c r="P111" s="12" t="n"/>
      <c r="Q111" s="11" t="n"/>
      <c r="R111" s="12" t="n"/>
      <c r="S111" s="14">
        <f>IF(OR(A111="",C111="",F111="",G111="",I111="",J111=""),"",IF(F111="股票期权",MAX(0,(J111-K111)*I111),IF(F111="限制性股票",IF(OR(L111="",M111="",M111&lt;=0,N111=""),"",MAX(0,((L111+J111)/2)*I111-N111*I111/M111)),MAX(0,O111))))</f>
        <v/>
      </c>
      <c r="T111" s="14">
        <f>IF(S111="","",SUMIFS($S$2:$S$501,$C$2:$C$501,C111,$H$2:$H$501,H111,$G$2:$G$501,"&lt;"&amp;G111)+SUMIFS($S$2:$S$501,$C$2:$C$501,C111,$H$2:$H$501,H111,$G$2:$G$501,G111,$A$2:$A$501,"&lt;"&amp;A111))</f>
        <v/>
      </c>
      <c r="U111" s="14">
        <f>IF(S111="","",T111+S111)</f>
        <v/>
      </c>
      <c r="V111" s="15">
        <f>IF(U111="","",VLOOKUP(U111,'税率及规则'!$A$2:$C$8,2,TRUE))</f>
        <v/>
      </c>
      <c r="W111" s="14">
        <f>IF(U111="","",VLOOKUP(U111,'税率及规则'!$A$2:$C$8,3,TRUE))</f>
        <v/>
      </c>
      <c r="X111" s="14">
        <f>IF(U111="","",MAX(0,U111*V111-W111))</f>
        <v/>
      </c>
      <c r="Y111" s="14">
        <f>IF(T111="","",MAX(0,T111*VLOOKUP(T111,'税率及规则'!$A$2:$C$8,2,TRUE)-VLOOKUP(T111,'税率及规则'!$A$2:$C$8,3,TRUE)))</f>
        <v/>
      </c>
      <c r="Z111" s="14">
        <f>IF(X111="","",MAX(0,X111-Y111))</f>
        <v/>
      </c>
      <c r="AA111" s="16">
        <f>IF(G111="","",G111)</f>
        <v/>
      </c>
      <c r="AB111" s="16">
        <f>IF(AA111="","",EDATE(AA111,36))</f>
        <v/>
      </c>
      <c r="AC111" s="6">
        <f>IF(A111="","",IF(COUNTIF($A$2:$A$501,A111)&gt;1,"异常：事件编号重复",IF(OR(C111="",D111="",E111="",F111="",G111="",I111="",J111=""),"异常：必填项缺失",IF(OR(I111&lt;=0,J111&lt;0),"异常：数量或价格无效",IF(AND(F111="限制性股票",OR(M111&lt;=0,N111&lt;0,I111&gt;M111)),"异常：个人获授或出资数据无效",IF(AND(F111="股票期权",K111&lt;&gt;IF(G111&lt;DATE(2025,1,10),14.56,IF(G111&lt;DATE(2025,4,29),14.32,IF(G111&lt;DATE(2025,9,26),14.18,14.04)))),"异常：行权价格区间不符",IF(Q111&lt;&gt;"已备案","提示：未确认备案","正常")))))))</f>
        <v/>
      </c>
      <c r="AD111" s="11" t="n"/>
    </row>
    <row r="112">
      <c r="A112" s="11" t="n"/>
      <c r="B112" s="6">
        <f>IF(A112="","",A112&amp;"-TAX")</f>
        <v/>
      </c>
      <c r="C112" s="11" t="n"/>
      <c r="D112" s="11" t="n"/>
      <c r="E112" s="11" t="n"/>
      <c r="F112" s="11" t="n"/>
      <c r="G112" s="12" t="n"/>
      <c r="H112" s="6">
        <f>IF(G112="","",YEAR(G112))</f>
        <v/>
      </c>
      <c r="I112" s="11" t="n"/>
      <c r="J112" s="13" t="n"/>
      <c r="K112" s="14">
        <f>IF(F112="股票期权",IF(G112="","",IF(G112&lt;DATE(2025,1,10),14.56,IF(G112&lt;DATE(2025,4,29),14.32,IF(G112&lt;DATE(2025,9,26),14.18,14.04)))),IF(F112="限制性股票",8.68,""))</f>
        <v/>
      </c>
      <c r="L112" s="14">
        <f>IF(F112="限制性股票",13.06,"")</f>
        <v/>
      </c>
      <c r="M112" s="11" t="n"/>
      <c r="N112" s="13" t="n"/>
      <c r="O112" s="13" t="n"/>
      <c r="P112" s="12" t="n"/>
      <c r="Q112" s="11" t="n"/>
      <c r="R112" s="12" t="n"/>
      <c r="S112" s="14">
        <f>IF(OR(A112="",C112="",F112="",G112="",I112="",J112=""),"",IF(F112="股票期权",MAX(0,(J112-K112)*I112),IF(F112="限制性股票",IF(OR(L112="",M112="",M112&lt;=0,N112=""),"",MAX(0,((L112+J112)/2)*I112-N112*I112/M112)),MAX(0,O112))))</f>
        <v/>
      </c>
      <c r="T112" s="14">
        <f>IF(S112="","",SUMIFS($S$2:$S$501,$C$2:$C$501,C112,$H$2:$H$501,H112,$G$2:$G$501,"&lt;"&amp;G112)+SUMIFS($S$2:$S$501,$C$2:$C$501,C112,$H$2:$H$501,H112,$G$2:$G$501,G112,$A$2:$A$501,"&lt;"&amp;A112))</f>
        <v/>
      </c>
      <c r="U112" s="14">
        <f>IF(S112="","",T112+S112)</f>
        <v/>
      </c>
      <c r="V112" s="15">
        <f>IF(U112="","",VLOOKUP(U112,'税率及规则'!$A$2:$C$8,2,TRUE))</f>
        <v/>
      </c>
      <c r="W112" s="14">
        <f>IF(U112="","",VLOOKUP(U112,'税率及规则'!$A$2:$C$8,3,TRUE))</f>
        <v/>
      </c>
      <c r="X112" s="14">
        <f>IF(U112="","",MAX(0,U112*V112-W112))</f>
        <v/>
      </c>
      <c r="Y112" s="14">
        <f>IF(T112="","",MAX(0,T112*VLOOKUP(T112,'税率及规则'!$A$2:$C$8,2,TRUE)-VLOOKUP(T112,'税率及规则'!$A$2:$C$8,3,TRUE)))</f>
        <v/>
      </c>
      <c r="Z112" s="14">
        <f>IF(X112="","",MAX(0,X112-Y112))</f>
        <v/>
      </c>
      <c r="AA112" s="16">
        <f>IF(G112="","",G112)</f>
        <v/>
      </c>
      <c r="AB112" s="16">
        <f>IF(AA112="","",EDATE(AA112,36))</f>
        <v/>
      </c>
      <c r="AC112" s="6">
        <f>IF(A112="","",IF(COUNTIF($A$2:$A$501,A112)&gt;1,"异常：事件编号重复",IF(OR(C112="",D112="",E112="",F112="",G112="",I112="",J112=""),"异常：必填项缺失",IF(OR(I112&lt;=0,J112&lt;0),"异常：数量或价格无效",IF(AND(F112="限制性股票",OR(M112&lt;=0,N112&lt;0,I112&gt;M112)),"异常：个人获授或出资数据无效",IF(AND(F112="股票期权",K112&lt;&gt;IF(G112&lt;DATE(2025,1,10),14.56,IF(G112&lt;DATE(2025,4,29),14.32,IF(G112&lt;DATE(2025,9,26),14.18,14.04)))),"异常：行权价格区间不符",IF(Q112&lt;&gt;"已备案","提示：未确认备案","正常")))))))</f>
        <v/>
      </c>
      <c r="AD112" s="11" t="n"/>
    </row>
    <row r="113">
      <c r="A113" s="11" t="n"/>
      <c r="B113" s="6">
        <f>IF(A113="","",A113&amp;"-TAX")</f>
        <v/>
      </c>
      <c r="C113" s="11" t="n"/>
      <c r="D113" s="11" t="n"/>
      <c r="E113" s="11" t="n"/>
      <c r="F113" s="11" t="n"/>
      <c r="G113" s="12" t="n"/>
      <c r="H113" s="6">
        <f>IF(G113="","",YEAR(G113))</f>
        <v/>
      </c>
      <c r="I113" s="11" t="n"/>
      <c r="J113" s="13" t="n"/>
      <c r="K113" s="14">
        <f>IF(F113="股票期权",IF(G113="","",IF(G113&lt;DATE(2025,1,10),14.56,IF(G113&lt;DATE(2025,4,29),14.32,IF(G113&lt;DATE(2025,9,26),14.18,14.04)))),IF(F113="限制性股票",8.68,""))</f>
        <v/>
      </c>
      <c r="L113" s="14">
        <f>IF(F113="限制性股票",13.06,"")</f>
        <v/>
      </c>
      <c r="M113" s="11" t="n"/>
      <c r="N113" s="13" t="n"/>
      <c r="O113" s="13" t="n"/>
      <c r="P113" s="12" t="n"/>
      <c r="Q113" s="11" t="n"/>
      <c r="R113" s="12" t="n"/>
      <c r="S113" s="14">
        <f>IF(OR(A113="",C113="",F113="",G113="",I113="",J113=""),"",IF(F113="股票期权",MAX(0,(J113-K113)*I113),IF(F113="限制性股票",IF(OR(L113="",M113="",M113&lt;=0,N113=""),"",MAX(0,((L113+J113)/2)*I113-N113*I113/M113)),MAX(0,O113))))</f>
        <v/>
      </c>
      <c r="T113" s="14">
        <f>IF(S113="","",SUMIFS($S$2:$S$501,$C$2:$C$501,C113,$H$2:$H$501,H113,$G$2:$G$501,"&lt;"&amp;G113)+SUMIFS($S$2:$S$501,$C$2:$C$501,C113,$H$2:$H$501,H113,$G$2:$G$501,G113,$A$2:$A$501,"&lt;"&amp;A113))</f>
        <v/>
      </c>
      <c r="U113" s="14">
        <f>IF(S113="","",T113+S113)</f>
        <v/>
      </c>
      <c r="V113" s="15">
        <f>IF(U113="","",VLOOKUP(U113,'税率及规则'!$A$2:$C$8,2,TRUE))</f>
        <v/>
      </c>
      <c r="W113" s="14">
        <f>IF(U113="","",VLOOKUP(U113,'税率及规则'!$A$2:$C$8,3,TRUE))</f>
        <v/>
      </c>
      <c r="X113" s="14">
        <f>IF(U113="","",MAX(0,U113*V113-W113))</f>
        <v/>
      </c>
      <c r="Y113" s="14">
        <f>IF(T113="","",MAX(0,T113*VLOOKUP(T113,'税率及规则'!$A$2:$C$8,2,TRUE)-VLOOKUP(T113,'税率及规则'!$A$2:$C$8,3,TRUE)))</f>
        <v/>
      </c>
      <c r="Z113" s="14">
        <f>IF(X113="","",MAX(0,X113-Y113))</f>
        <v/>
      </c>
      <c r="AA113" s="16">
        <f>IF(G113="","",G113)</f>
        <v/>
      </c>
      <c r="AB113" s="16">
        <f>IF(AA113="","",EDATE(AA113,36))</f>
        <v/>
      </c>
      <c r="AC113" s="6">
        <f>IF(A113="","",IF(COUNTIF($A$2:$A$501,A113)&gt;1,"异常：事件编号重复",IF(OR(C113="",D113="",E113="",F113="",G113="",I113="",J113=""),"异常：必填项缺失",IF(OR(I113&lt;=0,J113&lt;0),"异常：数量或价格无效",IF(AND(F113="限制性股票",OR(M113&lt;=0,N113&lt;0,I113&gt;M113)),"异常：个人获授或出资数据无效",IF(AND(F113="股票期权",K113&lt;&gt;IF(G113&lt;DATE(2025,1,10),14.56,IF(G113&lt;DATE(2025,4,29),14.32,IF(G113&lt;DATE(2025,9,26),14.18,14.04)))),"异常：行权价格区间不符",IF(Q113&lt;&gt;"已备案","提示：未确认备案","正常")))))))</f>
        <v/>
      </c>
      <c r="AD113" s="11" t="n"/>
    </row>
    <row r="114">
      <c r="A114" s="11" t="n"/>
      <c r="B114" s="6">
        <f>IF(A114="","",A114&amp;"-TAX")</f>
        <v/>
      </c>
      <c r="C114" s="11" t="n"/>
      <c r="D114" s="11" t="n"/>
      <c r="E114" s="11" t="n"/>
      <c r="F114" s="11" t="n"/>
      <c r="G114" s="12" t="n"/>
      <c r="H114" s="6">
        <f>IF(G114="","",YEAR(G114))</f>
        <v/>
      </c>
      <c r="I114" s="11" t="n"/>
      <c r="J114" s="13" t="n"/>
      <c r="K114" s="14">
        <f>IF(F114="股票期权",IF(G114="","",IF(G114&lt;DATE(2025,1,10),14.56,IF(G114&lt;DATE(2025,4,29),14.32,IF(G114&lt;DATE(2025,9,26),14.18,14.04)))),IF(F114="限制性股票",8.68,""))</f>
        <v/>
      </c>
      <c r="L114" s="14">
        <f>IF(F114="限制性股票",13.06,"")</f>
        <v/>
      </c>
      <c r="M114" s="11" t="n"/>
      <c r="N114" s="13" t="n"/>
      <c r="O114" s="13" t="n"/>
      <c r="P114" s="12" t="n"/>
      <c r="Q114" s="11" t="n"/>
      <c r="R114" s="12" t="n"/>
      <c r="S114" s="14">
        <f>IF(OR(A114="",C114="",F114="",G114="",I114="",J114=""),"",IF(F114="股票期权",MAX(0,(J114-K114)*I114),IF(F114="限制性股票",IF(OR(L114="",M114="",M114&lt;=0,N114=""),"",MAX(0,((L114+J114)/2)*I114-N114*I114/M114)),MAX(0,O114))))</f>
        <v/>
      </c>
      <c r="T114" s="14">
        <f>IF(S114="","",SUMIFS($S$2:$S$501,$C$2:$C$501,C114,$H$2:$H$501,H114,$G$2:$G$501,"&lt;"&amp;G114)+SUMIFS($S$2:$S$501,$C$2:$C$501,C114,$H$2:$H$501,H114,$G$2:$G$501,G114,$A$2:$A$501,"&lt;"&amp;A114))</f>
        <v/>
      </c>
      <c r="U114" s="14">
        <f>IF(S114="","",T114+S114)</f>
        <v/>
      </c>
      <c r="V114" s="15">
        <f>IF(U114="","",VLOOKUP(U114,'税率及规则'!$A$2:$C$8,2,TRUE))</f>
        <v/>
      </c>
      <c r="W114" s="14">
        <f>IF(U114="","",VLOOKUP(U114,'税率及规则'!$A$2:$C$8,3,TRUE))</f>
        <v/>
      </c>
      <c r="X114" s="14">
        <f>IF(U114="","",MAX(0,U114*V114-W114))</f>
        <v/>
      </c>
      <c r="Y114" s="14">
        <f>IF(T114="","",MAX(0,T114*VLOOKUP(T114,'税率及规则'!$A$2:$C$8,2,TRUE)-VLOOKUP(T114,'税率及规则'!$A$2:$C$8,3,TRUE)))</f>
        <v/>
      </c>
      <c r="Z114" s="14">
        <f>IF(X114="","",MAX(0,X114-Y114))</f>
        <v/>
      </c>
      <c r="AA114" s="16">
        <f>IF(G114="","",G114)</f>
        <v/>
      </c>
      <c r="AB114" s="16">
        <f>IF(AA114="","",EDATE(AA114,36))</f>
        <v/>
      </c>
      <c r="AC114" s="6">
        <f>IF(A114="","",IF(COUNTIF($A$2:$A$501,A114)&gt;1,"异常：事件编号重复",IF(OR(C114="",D114="",E114="",F114="",G114="",I114="",J114=""),"异常：必填项缺失",IF(OR(I114&lt;=0,J114&lt;0),"异常：数量或价格无效",IF(AND(F114="限制性股票",OR(M114&lt;=0,N114&lt;0,I114&gt;M114)),"异常：个人获授或出资数据无效",IF(AND(F114="股票期权",K114&lt;&gt;IF(G114&lt;DATE(2025,1,10),14.56,IF(G114&lt;DATE(2025,4,29),14.32,IF(G114&lt;DATE(2025,9,26),14.18,14.04)))),"异常：行权价格区间不符",IF(Q114&lt;&gt;"已备案","提示：未确认备案","正常")))))))</f>
        <v/>
      </c>
      <c r="AD114" s="11" t="n"/>
    </row>
    <row r="115">
      <c r="A115" s="11" t="n"/>
      <c r="B115" s="6">
        <f>IF(A115="","",A115&amp;"-TAX")</f>
        <v/>
      </c>
      <c r="C115" s="11" t="n"/>
      <c r="D115" s="11" t="n"/>
      <c r="E115" s="11" t="n"/>
      <c r="F115" s="11" t="n"/>
      <c r="G115" s="12" t="n"/>
      <c r="H115" s="6">
        <f>IF(G115="","",YEAR(G115))</f>
        <v/>
      </c>
      <c r="I115" s="11" t="n"/>
      <c r="J115" s="13" t="n"/>
      <c r="K115" s="14">
        <f>IF(F115="股票期权",IF(G115="","",IF(G115&lt;DATE(2025,1,10),14.56,IF(G115&lt;DATE(2025,4,29),14.32,IF(G115&lt;DATE(2025,9,26),14.18,14.04)))),IF(F115="限制性股票",8.68,""))</f>
        <v/>
      </c>
      <c r="L115" s="14">
        <f>IF(F115="限制性股票",13.06,"")</f>
        <v/>
      </c>
      <c r="M115" s="11" t="n"/>
      <c r="N115" s="13" t="n"/>
      <c r="O115" s="13" t="n"/>
      <c r="P115" s="12" t="n"/>
      <c r="Q115" s="11" t="n"/>
      <c r="R115" s="12" t="n"/>
      <c r="S115" s="14">
        <f>IF(OR(A115="",C115="",F115="",G115="",I115="",J115=""),"",IF(F115="股票期权",MAX(0,(J115-K115)*I115),IF(F115="限制性股票",IF(OR(L115="",M115="",M115&lt;=0,N115=""),"",MAX(0,((L115+J115)/2)*I115-N115*I115/M115)),MAX(0,O115))))</f>
        <v/>
      </c>
      <c r="T115" s="14">
        <f>IF(S115="","",SUMIFS($S$2:$S$501,$C$2:$C$501,C115,$H$2:$H$501,H115,$G$2:$G$501,"&lt;"&amp;G115)+SUMIFS($S$2:$S$501,$C$2:$C$501,C115,$H$2:$H$501,H115,$G$2:$G$501,G115,$A$2:$A$501,"&lt;"&amp;A115))</f>
        <v/>
      </c>
      <c r="U115" s="14">
        <f>IF(S115="","",T115+S115)</f>
        <v/>
      </c>
      <c r="V115" s="15">
        <f>IF(U115="","",VLOOKUP(U115,'税率及规则'!$A$2:$C$8,2,TRUE))</f>
        <v/>
      </c>
      <c r="W115" s="14">
        <f>IF(U115="","",VLOOKUP(U115,'税率及规则'!$A$2:$C$8,3,TRUE))</f>
        <v/>
      </c>
      <c r="X115" s="14">
        <f>IF(U115="","",MAX(0,U115*V115-W115))</f>
        <v/>
      </c>
      <c r="Y115" s="14">
        <f>IF(T115="","",MAX(0,T115*VLOOKUP(T115,'税率及规则'!$A$2:$C$8,2,TRUE)-VLOOKUP(T115,'税率及规则'!$A$2:$C$8,3,TRUE)))</f>
        <v/>
      </c>
      <c r="Z115" s="14">
        <f>IF(X115="","",MAX(0,X115-Y115))</f>
        <v/>
      </c>
      <c r="AA115" s="16">
        <f>IF(G115="","",G115)</f>
        <v/>
      </c>
      <c r="AB115" s="16">
        <f>IF(AA115="","",EDATE(AA115,36))</f>
        <v/>
      </c>
      <c r="AC115" s="6">
        <f>IF(A115="","",IF(COUNTIF($A$2:$A$501,A115)&gt;1,"异常：事件编号重复",IF(OR(C115="",D115="",E115="",F115="",G115="",I115="",J115=""),"异常：必填项缺失",IF(OR(I115&lt;=0,J115&lt;0),"异常：数量或价格无效",IF(AND(F115="限制性股票",OR(M115&lt;=0,N115&lt;0,I115&gt;M115)),"异常：个人获授或出资数据无效",IF(AND(F115="股票期权",K115&lt;&gt;IF(G115&lt;DATE(2025,1,10),14.56,IF(G115&lt;DATE(2025,4,29),14.32,IF(G115&lt;DATE(2025,9,26),14.18,14.04)))),"异常：行权价格区间不符",IF(Q115&lt;&gt;"已备案","提示：未确认备案","正常")))))))</f>
        <v/>
      </c>
      <c r="AD115" s="11" t="n"/>
    </row>
    <row r="116">
      <c r="A116" s="11" t="n"/>
      <c r="B116" s="6">
        <f>IF(A116="","",A116&amp;"-TAX")</f>
        <v/>
      </c>
      <c r="C116" s="11" t="n"/>
      <c r="D116" s="11" t="n"/>
      <c r="E116" s="11" t="n"/>
      <c r="F116" s="11" t="n"/>
      <c r="G116" s="12" t="n"/>
      <c r="H116" s="6">
        <f>IF(G116="","",YEAR(G116))</f>
        <v/>
      </c>
      <c r="I116" s="11" t="n"/>
      <c r="J116" s="13" t="n"/>
      <c r="K116" s="14">
        <f>IF(F116="股票期权",IF(G116="","",IF(G116&lt;DATE(2025,1,10),14.56,IF(G116&lt;DATE(2025,4,29),14.32,IF(G116&lt;DATE(2025,9,26),14.18,14.04)))),IF(F116="限制性股票",8.68,""))</f>
        <v/>
      </c>
      <c r="L116" s="14">
        <f>IF(F116="限制性股票",13.06,"")</f>
        <v/>
      </c>
      <c r="M116" s="11" t="n"/>
      <c r="N116" s="13" t="n"/>
      <c r="O116" s="13" t="n"/>
      <c r="P116" s="12" t="n"/>
      <c r="Q116" s="11" t="n"/>
      <c r="R116" s="12" t="n"/>
      <c r="S116" s="14">
        <f>IF(OR(A116="",C116="",F116="",G116="",I116="",J116=""),"",IF(F116="股票期权",MAX(0,(J116-K116)*I116),IF(F116="限制性股票",IF(OR(L116="",M116="",M116&lt;=0,N116=""),"",MAX(0,((L116+J116)/2)*I116-N116*I116/M116)),MAX(0,O116))))</f>
        <v/>
      </c>
      <c r="T116" s="14">
        <f>IF(S116="","",SUMIFS($S$2:$S$501,$C$2:$C$501,C116,$H$2:$H$501,H116,$G$2:$G$501,"&lt;"&amp;G116)+SUMIFS($S$2:$S$501,$C$2:$C$501,C116,$H$2:$H$501,H116,$G$2:$G$501,G116,$A$2:$A$501,"&lt;"&amp;A116))</f>
        <v/>
      </c>
      <c r="U116" s="14">
        <f>IF(S116="","",T116+S116)</f>
        <v/>
      </c>
      <c r="V116" s="15">
        <f>IF(U116="","",VLOOKUP(U116,'税率及规则'!$A$2:$C$8,2,TRUE))</f>
        <v/>
      </c>
      <c r="W116" s="14">
        <f>IF(U116="","",VLOOKUP(U116,'税率及规则'!$A$2:$C$8,3,TRUE))</f>
        <v/>
      </c>
      <c r="X116" s="14">
        <f>IF(U116="","",MAX(0,U116*V116-W116))</f>
        <v/>
      </c>
      <c r="Y116" s="14">
        <f>IF(T116="","",MAX(0,T116*VLOOKUP(T116,'税率及规则'!$A$2:$C$8,2,TRUE)-VLOOKUP(T116,'税率及规则'!$A$2:$C$8,3,TRUE)))</f>
        <v/>
      </c>
      <c r="Z116" s="14">
        <f>IF(X116="","",MAX(0,X116-Y116))</f>
        <v/>
      </c>
      <c r="AA116" s="16">
        <f>IF(G116="","",G116)</f>
        <v/>
      </c>
      <c r="AB116" s="16">
        <f>IF(AA116="","",EDATE(AA116,36))</f>
        <v/>
      </c>
      <c r="AC116" s="6">
        <f>IF(A116="","",IF(COUNTIF($A$2:$A$501,A116)&gt;1,"异常：事件编号重复",IF(OR(C116="",D116="",E116="",F116="",G116="",I116="",J116=""),"异常：必填项缺失",IF(OR(I116&lt;=0,J116&lt;0),"异常：数量或价格无效",IF(AND(F116="限制性股票",OR(M116&lt;=0,N116&lt;0,I116&gt;M116)),"异常：个人获授或出资数据无效",IF(AND(F116="股票期权",K116&lt;&gt;IF(G116&lt;DATE(2025,1,10),14.56,IF(G116&lt;DATE(2025,4,29),14.32,IF(G116&lt;DATE(2025,9,26),14.18,14.04)))),"异常：行权价格区间不符",IF(Q116&lt;&gt;"已备案","提示：未确认备案","正常")))))))</f>
        <v/>
      </c>
      <c r="AD116" s="11" t="n"/>
    </row>
    <row r="117">
      <c r="A117" s="11" t="n"/>
      <c r="B117" s="6">
        <f>IF(A117="","",A117&amp;"-TAX")</f>
        <v/>
      </c>
      <c r="C117" s="11" t="n"/>
      <c r="D117" s="11" t="n"/>
      <c r="E117" s="11" t="n"/>
      <c r="F117" s="11" t="n"/>
      <c r="G117" s="12" t="n"/>
      <c r="H117" s="6">
        <f>IF(G117="","",YEAR(G117))</f>
        <v/>
      </c>
      <c r="I117" s="11" t="n"/>
      <c r="J117" s="13" t="n"/>
      <c r="K117" s="14">
        <f>IF(F117="股票期权",IF(G117="","",IF(G117&lt;DATE(2025,1,10),14.56,IF(G117&lt;DATE(2025,4,29),14.32,IF(G117&lt;DATE(2025,9,26),14.18,14.04)))),IF(F117="限制性股票",8.68,""))</f>
        <v/>
      </c>
      <c r="L117" s="14">
        <f>IF(F117="限制性股票",13.06,"")</f>
        <v/>
      </c>
      <c r="M117" s="11" t="n"/>
      <c r="N117" s="13" t="n"/>
      <c r="O117" s="13" t="n"/>
      <c r="P117" s="12" t="n"/>
      <c r="Q117" s="11" t="n"/>
      <c r="R117" s="12" t="n"/>
      <c r="S117" s="14">
        <f>IF(OR(A117="",C117="",F117="",G117="",I117="",J117=""),"",IF(F117="股票期权",MAX(0,(J117-K117)*I117),IF(F117="限制性股票",IF(OR(L117="",M117="",M117&lt;=0,N117=""),"",MAX(0,((L117+J117)/2)*I117-N117*I117/M117)),MAX(0,O117))))</f>
        <v/>
      </c>
      <c r="T117" s="14">
        <f>IF(S117="","",SUMIFS($S$2:$S$501,$C$2:$C$501,C117,$H$2:$H$501,H117,$G$2:$G$501,"&lt;"&amp;G117)+SUMIFS($S$2:$S$501,$C$2:$C$501,C117,$H$2:$H$501,H117,$G$2:$G$501,G117,$A$2:$A$501,"&lt;"&amp;A117))</f>
        <v/>
      </c>
      <c r="U117" s="14">
        <f>IF(S117="","",T117+S117)</f>
        <v/>
      </c>
      <c r="V117" s="15">
        <f>IF(U117="","",VLOOKUP(U117,'税率及规则'!$A$2:$C$8,2,TRUE))</f>
        <v/>
      </c>
      <c r="W117" s="14">
        <f>IF(U117="","",VLOOKUP(U117,'税率及规则'!$A$2:$C$8,3,TRUE))</f>
        <v/>
      </c>
      <c r="X117" s="14">
        <f>IF(U117="","",MAX(0,U117*V117-W117))</f>
        <v/>
      </c>
      <c r="Y117" s="14">
        <f>IF(T117="","",MAX(0,T117*VLOOKUP(T117,'税率及规则'!$A$2:$C$8,2,TRUE)-VLOOKUP(T117,'税率及规则'!$A$2:$C$8,3,TRUE)))</f>
        <v/>
      </c>
      <c r="Z117" s="14">
        <f>IF(X117="","",MAX(0,X117-Y117))</f>
        <v/>
      </c>
      <c r="AA117" s="16">
        <f>IF(G117="","",G117)</f>
        <v/>
      </c>
      <c r="AB117" s="16">
        <f>IF(AA117="","",EDATE(AA117,36))</f>
        <v/>
      </c>
      <c r="AC117" s="6">
        <f>IF(A117="","",IF(COUNTIF($A$2:$A$501,A117)&gt;1,"异常：事件编号重复",IF(OR(C117="",D117="",E117="",F117="",G117="",I117="",J117=""),"异常：必填项缺失",IF(OR(I117&lt;=0,J117&lt;0),"异常：数量或价格无效",IF(AND(F117="限制性股票",OR(M117&lt;=0,N117&lt;0,I117&gt;M117)),"异常：个人获授或出资数据无效",IF(AND(F117="股票期权",K117&lt;&gt;IF(G117&lt;DATE(2025,1,10),14.56,IF(G117&lt;DATE(2025,4,29),14.32,IF(G117&lt;DATE(2025,9,26),14.18,14.04)))),"异常：行权价格区间不符",IF(Q117&lt;&gt;"已备案","提示：未确认备案","正常")))))))</f>
        <v/>
      </c>
      <c r="AD117" s="11" t="n"/>
    </row>
    <row r="118">
      <c r="A118" s="11" t="n"/>
      <c r="B118" s="6">
        <f>IF(A118="","",A118&amp;"-TAX")</f>
        <v/>
      </c>
      <c r="C118" s="11" t="n"/>
      <c r="D118" s="11" t="n"/>
      <c r="E118" s="11" t="n"/>
      <c r="F118" s="11" t="n"/>
      <c r="G118" s="12" t="n"/>
      <c r="H118" s="6">
        <f>IF(G118="","",YEAR(G118))</f>
        <v/>
      </c>
      <c r="I118" s="11" t="n"/>
      <c r="J118" s="13" t="n"/>
      <c r="K118" s="14">
        <f>IF(F118="股票期权",IF(G118="","",IF(G118&lt;DATE(2025,1,10),14.56,IF(G118&lt;DATE(2025,4,29),14.32,IF(G118&lt;DATE(2025,9,26),14.18,14.04)))),IF(F118="限制性股票",8.68,""))</f>
        <v/>
      </c>
      <c r="L118" s="14">
        <f>IF(F118="限制性股票",13.06,"")</f>
        <v/>
      </c>
      <c r="M118" s="11" t="n"/>
      <c r="N118" s="13" t="n"/>
      <c r="O118" s="13" t="n"/>
      <c r="P118" s="12" t="n"/>
      <c r="Q118" s="11" t="n"/>
      <c r="R118" s="12" t="n"/>
      <c r="S118" s="14">
        <f>IF(OR(A118="",C118="",F118="",G118="",I118="",J118=""),"",IF(F118="股票期权",MAX(0,(J118-K118)*I118),IF(F118="限制性股票",IF(OR(L118="",M118="",M118&lt;=0,N118=""),"",MAX(0,((L118+J118)/2)*I118-N118*I118/M118)),MAX(0,O118))))</f>
        <v/>
      </c>
      <c r="T118" s="14">
        <f>IF(S118="","",SUMIFS($S$2:$S$501,$C$2:$C$501,C118,$H$2:$H$501,H118,$G$2:$G$501,"&lt;"&amp;G118)+SUMIFS($S$2:$S$501,$C$2:$C$501,C118,$H$2:$H$501,H118,$G$2:$G$501,G118,$A$2:$A$501,"&lt;"&amp;A118))</f>
        <v/>
      </c>
      <c r="U118" s="14">
        <f>IF(S118="","",T118+S118)</f>
        <v/>
      </c>
      <c r="V118" s="15">
        <f>IF(U118="","",VLOOKUP(U118,'税率及规则'!$A$2:$C$8,2,TRUE))</f>
        <v/>
      </c>
      <c r="W118" s="14">
        <f>IF(U118="","",VLOOKUP(U118,'税率及规则'!$A$2:$C$8,3,TRUE))</f>
        <v/>
      </c>
      <c r="X118" s="14">
        <f>IF(U118="","",MAX(0,U118*V118-W118))</f>
        <v/>
      </c>
      <c r="Y118" s="14">
        <f>IF(T118="","",MAX(0,T118*VLOOKUP(T118,'税率及规则'!$A$2:$C$8,2,TRUE)-VLOOKUP(T118,'税率及规则'!$A$2:$C$8,3,TRUE)))</f>
        <v/>
      </c>
      <c r="Z118" s="14">
        <f>IF(X118="","",MAX(0,X118-Y118))</f>
        <v/>
      </c>
      <c r="AA118" s="16">
        <f>IF(G118="","",G118)</f>
        <v/>
      </c>
      <c r="AB118" s="16">
        <f>IF(AA118="","",EDATE(AA118,36))</f>
        <v/>
      </c>
      <c r="AC118" s="6">
        <f>IF(A118="","",IF(COUNTIF($A$2:$A$501,A118)&gt;1,"异常：事件编号重复",IF(OR(C118="",D118="",E118="",F118="",G118="",I118="",J118=""),"异常：必填项缺失",IF(OR(I118&lt;=0,J118&lt;0),"异常：数量或价格无效",IF(AND(F118="限制性股票",OR(M118&lt;=0,N118&lt;0,I118&gt;M118)),"异常：个人获授或出资数据无效",IF(AND(F118="股票期权",K118&lt;&gt;IF(G118&lt;DATE(2025,1,10),14.56,IF(G118&lt;DATE(2025,4,29),14.32,IF(G118&lt;DATE(2025,9,26),14.18,14.04)))),"异常：行权价格区间不符",IF(Q118&lt;&gt;"已备案","提示：未确认备案","正常")))))))</f>
        <v/>
      </c>
      <c r="AD118" s="11" t="n"/>
    </row>
    <row r="119">
      <c r="A119" s="11" t="n"/>
      <c r="B119" s="6">
        <f>IF(A119="","",A119&amp;"-TAX")</f>
        <v/>
      </c>
      <c r="C119" s="11" t="n"/>
      <c r="D119" s="11" t="n"/>
      <c r="E119" s="11" t="n"/>
      <c r="F119" s="11" t="n"/>
      <c r="G119" s="12" t="n"/>
      <c r="H119" s="6">
        <f>IF(G119="","",YEAR(G119))</f>
        <v/>
      </c>
      <c r="I119" s="11" t="n"/>
      <c r="J119" s="13" t="n"/>
      <c r="K119" s="14">
        <f>IF(F119="股票期权",IF(G119="","",IF(G119&lt;DATE(2025,1,10),14.56,IF(G119&lt;DATE(2025,4,29),14.32,IF(G119&lt;DATE(2025,9,26),14.18,14.04)))),IF(F119="限制性股票",8.68,""))</f>
        <v/>
      </c>
      <c r="L119" s="14">
        <f>IF(F119="限制性股票",13.06,"")</f>
        <v/>
      </c>
      <c r="M119" s="11" t="n"/>
      <c r="N119" s="13" t="n"/>
      <c r="O119" s="13" t="n"/>
      <c r="P119" s="12" t="n"/>
      <c r="Q119" s="11" t="n"/>
      <c r="R119" s="12" t="n"/>
      <c r="S119" s="14">
        <f>IF(OR(A119="",C119="",F119="",G119="",I119="",J119=""),"",IF(F119="股票期权",MAX(0,(J119-K119)*I119),IF(F119="限制性股票",IF(OR(L119="",M119="",M119&lt;=0,N119=""),"",MAX(0,((L119+J119)/2)*I119-N119*I119/M119)),MAX(0,O119))))</f>
        <v/>
      </c>
      <c r="T119" s="14">
        <f>IF(S119="","",SUMIFS($S$2:$S$501,$C$2:$C$501,C119,$H$2:$H$501,H119,$G$2:$G$501,"&lt;"&amp;G119)+SUMIFS($S$2:$S$501,$C$2:$C$501,C119,$H$2:$H$501,H119,$G$2:$G$501,G119,$A$2:$A$501,"&lt;"&amp;A119))</f>
        <v/>
      </c>
      <c r="U119" s="14">
        <f>IF(S119="","",T119+S119)</f>
        <v/>
      </c>
      <c r="V119" s="15">
        <f>IF(U119="","",VLOOKUP(U119,'税率及规则'!$A$2:$C$8,2,TRUE))</f>
        <v/>
      </c>
      <c r="W119" s="14">
        <f>IF(U119="","",VLOOKUP(U119,'税率及规则'!$A$2:$C$8,3,TRUE))</f>
        <v/>
      </c>
      <c r="X119" s="14">
        <f>IF(U119="","",MAX(0,U119*V119-W119))</f>
        <v/>
      </c>
      <c r="Y119" s="14">
        <f>IF(T119="","",MAX(0,T119*VLOOKUP(T119,'税率及规则'!$A$2:$C$8,2,TRUE)-VLOOKUP(T119,'税率及规则'!$A$2:$C$8,3,TRUE)))</f>
        <v/>
      </c>
      <c r="Z119" s="14">
        <f>IF(X119="","",MAX(0,X119-Y119))</f>
        <v/>
      </c>
      <c r="AA119" s="16">
        <f>IF(G119="","",G119)</f>
        <v/>
      </c>
      <c r="AB119" s="16">
        <f>IF(AA119="","",EDATE(AA119,36))</f>
        <v/>
      </c>
      <c r="AC119" s="6">
        <f>IF(A119="","",IF(COUNTIF($A$2:$A$501,A119)&gt;1,"异常：事件编号重复",IF(OR(C119="",D119="",E119="",F119="",G119="",I119="",J119=""),"异常：必填项缺失",IF(OR(I119&lt;=0,J119&lt;0),"异常：数量或价格无效",IF(AND(F119="限制性股票",OR(M119&lt;=0,N119&lt;0,I119&gt;M119)),"异常：个人获授或出资数据无效",IF(AND(F119="股票期权",K119&lt;&gt;IF(G119&lt;DATE(2025,1,10),14.56,IF(G119&lt;DATE(2025,4,29),14.32,IF(G119&lt;DATE(2025,9,26),14.18,14.04)))),"异常：行权价格区间不符",IF(Q119&lt;&gt;"已备案","提示：未确认备案","正常")))))))</f>
        <v/>
      </c>
      <c r="AD119" s="11" t="n"/>
    </row>
    <row r="120">
      <c r="A120" s="11" t="n"/>
      <c r="B120" s="6">
        <f>IF(A120="","",A120&amp;"-TAX")</f>
        <v/>
      </c>
      <c r="C120" s="11" t="n"/>
      <c r="D120" s="11" t="n"/>
      <c r="E120" s="11" t="n"/>
      <c r="F120" s="11" t="n"/>
      <c r="G120" s="12" t="n"/>
      <c r="H120" s="6">
        <f>IF(G120="","",YEAR(G120))</f>
        <v/>
      </c>
      <c r="I120" s="11" t="n"/>
      <c r="J120" s="13" t="n"/>
      <c r="K120" s="14">
        <f>IF(F120="股票期权",IF(G120="","",IF(G120&lt;DATE(2025,1,10),14.56,IF(G120&lt;DATE(2025,4,29),14.32,IF(G120&lt;DATE(2025,9,26),14.18,14.04)))),IF(F120="限制性股票",8.68,""))</f>
        <v/>
      </c>
      <c r="L120" s="14">
        <f>IF(F120="限制性股票",13.06,"")</f>
        <v/>
      </c>
      <c r="M120" s="11" t="n"/>
      <c r="N120" s="13" t="n"/>
      <c r="O120" s="13" t="n"/>
      <c r="P120" s="12" t="n"/>
      <c r="Q120" s="11" t="n"/>
      <c r="R120" s="12" t="n"/>
      <c r="S120" s="14">
        <f>IF(OR(A120="",C120="",F120="",G120="",I120="",J120=""),"",IF(F120="股票期权",MAX(0,(J120-K120)*I120),IF(F120="限制性股票",IF(OR(L120="",M120="",M120&lt;=0,N120=""),"",MAX(0,((L120+J120)/2)*I120-N120*I120/M120)),MAX(0,O120))))</f>
        <v/>
      </c>
      <c r="T120" s="14">
        <f>IF(S120="","",SUMIFS($S$2:$S$501,$C$2:$C$501,C120,$H$2:$H$501,H120,$G$2:$G$501,"&lt;"&amp;G120)+SUMIFS($S$2:$S$501,$C$2:$C$501,C120,$H$2:$H$501,H120,$G$2:$G$501,G120,$A$2:$A$501,"&lt;"&amp;A120))</f>
        <v/>
      </c>
      <c r="U120" s="14">
        <f>IF(S120="","",T120+S120)</f>
        <v/>
      </c>
      <c r="V120" s="15">
        <f>IF(U120="","",VLOOKUP(U120,'税率及规则'!$A$2:$C$8,2,TRUE))</f>
        <v/>
      </c>
      <c r="W120" s="14">
        <f>IF(U120="","",VLOOKUP(U120,'税率及规则'!$A$2:$C$8,3,TRUE))</f>
        <v/>
      </c>
      <c r="X120" s="14">
        <f>IF(U120="","",MAX(0,U120*V120-W120))</f>
        <v/>
      </c>
      <c r="Y120" s="14">
        <f>IF(T120="","",MAX(0,T120*VLOOKUP(T120,'税率及规则'!$A$2:$C$8,2,TRUE)-VLOOKUP(T120,'税率及规则'!$A$2:$C$8,3,TRUE)))</f>
        <v/>
      </c>
      <c r="Z120" s="14">
        <f>IF(X120="","",MAX(0,X120-Y120))</f>
        <v/>
      </c>
      <c r="AA120" s="16">
        <f>IF(G120="","",G120)</f>
        <v/>
      </c>
      <c r="AB120" s="16">
        <f>IF(AA120="","",EDATE(AA120,36))</f>
        <v/>
      </c>
      <c r="AC120" s="6">
        <f>IF(A120="","",IF(COUNTIF($A$2:$A$501,A120)&gt;1,"异常：事件编号重复",IF(OR(C120="",D120="",E120="",F120="",G120="",I120="",J120=""),"异常：必填项缺失",IF(OR(I120&lt;=0,J120&lt;0),"异常：数量或价格无效",IF(AND(F120="限制性股票",OR(M120&lt;=0,N120&lt;0,I120&gt;M120)),"异常：个人获授或出资数据无效",IF(AND(F120="股票期权",K120&lt;&gt;IF(G120&lt;DATE(2025,1,10),14.56,IF(G120&lt;DATE(2025,4,29),14.32,IF(G120&lt;DATE(2025,9,26),14.18,14.04)))),"异常：行权价格区间不符",IF(Q120&lt;&gt;"已备案","提示：未确认备案","正常")))))))</f>
        <v/>
      </c>
      <c r="AD120" s="11" t="n"/>
    </row>
    <row r="121">
      <c r="A121" s="11" t="n"/>
      <c r="B121" s="6">
        <f>IF(A121="","",A121&amp;"-TAX")</f>
        <v/>
      </c>
      <c r="C121" s="11" t="n"/>
      <c r="D121" s="11" t="n"/>
      <c r="E121" s="11" t="n"/>
      <c r="F121" s="11" t="n"/>
      <c r="G121" s="12" t="n"/>
      <c r="H121" s="6">
        <f>IF(G121="","",YEAR(G121))</f>
        <v/>
      </c>
      <c r="I121" s="11" t="n"/>
      <c r="J121" s="13" t="n"/>
      <c r="K121" s="14">
        <f>IF(F121="股票期权",IF(G121="","",IF(G121&lt;DATE(2025,1,10),14.56,IF(G121&lt;DATE(2025,4,29),14.32,IF(G121&lt;DATE(2025,9,26),14.18,14.04)))),IF(F121="限制性股票",8.68,""))</f>
        <v/>
      </c>
      <c r="L121" s="14">
        <f>IF(F121="限制性股票",13.06,"")</f>
        <v/>
      </c>
      <c r="M121" s="11" t="n"/>
      <c r="N121" s="13" t="n"/>
      <c r="O121" s="13" t="n"/>
      <c r="P121" s="12" t="n"/>
      <c r="Q121" s="11" t="n"/>
      <c r="R121" s="12" t="n"/>
      <c r="S121" s="14">
        <f>IF(OR(A121="",C121="",F121="",G121="",I121="",J121=""),"",IF(F121="股票期权",MAX(0,(J121-K121)*I121),IF(F121="限制性股票",IF(OR(L121="",M121="",M121&lt;=0,N121=""),"",MAX(0,((L121+J121)/2)*I121-N121*I121/M121)),MAX(0,O121))))</f>
        <v/>
      </c>
      <c r="T121" s="14">
        <f>IF(S121="","",SUMIFS($S$2:$S$501,$C$2:$C$501,C121,$H$2:$H$501,H121,$G$2:$G$501,"&lt;"&amp;G121)+SUMIFS($S$2:$S$501,$C$2:$C$501,C121,$H$2:$H$501,H121,$G$2:$G$501,G121,$A$2:$A$501,"&lt;"&amp;A121))</f>
        <v/>
      </c>
      <c r="U121" s="14">
        <f>IF(S121="","",T121+S121)</f>
        <v/>
      </c>
      <c r="V121" s="15">
        <f>IF(U121="","",VLOOKUP(U121,'税率及规则'!$A$2:$C$8,2,TRUE))</f>
        <v/>
      </c>
      <c r="W121" s="14">
        <f>IF(U121="","",VLOOKUP(U121,'税率及规则'!$A$2:$C$8,3,TRUE))</f>
        <v/>
      </c>
      <c r="X121" s="14">
        <f>IF(U121="","",MAX(0,U121*V121-W121))</f>
        <v/>
      </c>
      <c r="Y121" s="14">
        <f>IF(T121="","",MAX(0,T121*VLOOKUP(T121,'税率及规则'!$A$2:$C$8,2,TRUE)-VLOOKUP(T121,'税率及规则'!$A$2:$C$8,3,TRUE)))</f>
        <v/>
      </c>
      <c r="Z121" s="14">
        <f>IF(X121="","",MAX(0,X121-Y121))</f>
        <v/>
      </c>
      <c r="AA121" s="16">
        <f>IF(G121="","",G121)</f>
        <v/>
      </c>
      <c r="AB121" s="16">
        <f>IF(AA121="","",EDATE(AA121,36))</f>
        <v/>
      </c>
      <c r="AC121" s="6">
        <f>IF(A121="","",IF(COUNTIF($A$2:$A$501,A121)&gt;1,"异常：事件编号重复",IF(OR(C121="",D121="",E121="",F121="",G121="",I121="",J121=""),"异常：必填项缺失",IF(OR(I121&lt;=0,J121&lt;0),"异常：数量或价格无效",IF(AND(F121="限制性股票",OR(M121&lt;=0,N121&lt;0,I121&gt;M121)),"异常：个人获授或出资数据无效",IF(AND(F121="股票期权",K121&lt;&gt;IF(G121&lt;DATE(2025,1,10),14.56,IF(G121&lt;DATE(2025,4,29),14.32,IF(G121&lt;DATE(2025,9,26),14.18,14.04)))),"异常：行权价格区间不符",IF(Q121&lt;&gt;"已备案","提示：未确认备案","正常")))))))</f>
        <v/>
      </c>
      <c r="AD121" s="11" t="n"/>
    </row>
    <row r="122">
      <c r="A122" s="11" t="n"/>
      <c r="B122" s="6">
        <f>IF(A122="","",A122&amp;"-TAX")</f>
        <v/>
      </c>
      <c r="C122" s="11" t="n"/>
      <c r="D122" s="11" t="n"/>
      <c r="E122" s="11" t="n"/>
      <c r="F122" s="11" t="n"/>
      <c r="G122" s="12" t="n"/>
      <c r="H122" s="6">
        <f>IF(G122="","",YEAR(G122))</f>
        <v/>
      </c>
      <c r="I122" s="11" t="n"/>
      <c r="J122" s="13" t="n"/>
      <c r="K122" s="14">
        <f>IF(F122="股票期权",IF(G122="","",IF(G122&lt;DATE(2025,1,10),14.56,IF(G122&lt;DATE(2025,4,29),14.32,IF(G122&lt;DATE(2025,9,26),14.18,14.04)))),IF(F122="限制性股票",8.68,""))</f>
        <v/>
      </c>
      <c r="L122" s="14">
        <f>IF(F122="限制性股票",13.06,"")</f>
        <v/>
      </c>
      <c r="M122" s="11" t="n"/>
      <c r="N122" s="13" t="n"/>
      <c r="O122" s="13" t="n"/>
      <c r="P122" s="12" t="n"/>
      <c r="Q122" s="11" t="n"/>
      <c r="R122" s="12" t="n"/>
      <c r="S122" s="14">
        <f>IF(OR(A122="",C122="",F122="",G122="",I122="",J122=""),"",IF(F122="股票期权",MAX(0,(J122-K122)*I122),IF(F122="限制性股票",IF(OR(L122="",M122="",M122&lt;=0,N122=""),"",MAX(0,((L122+J122)/2)*I122-N122*I122/M122)),MAX(0,O122))))</f>
        <v/>
      </c>
      <c r="T122" s="14">
        <f>IF(S122="","",SUMIFS($S$2:$S$501,$C$2:$C$501,C122,$H$2:$H$501,H122,$G$2:$G$501,"&lt;"&amp;G122)+SUMIFS($S$2:$S$501,$C$2:$C$501,C122,$H$2:$H$501,H122,$G$2:$G$501,G122,$A$2:$A$501,"&lt;"&amp;A122))</f>
        <v/>
      </c>
      <c r="U122" s="14">
        <f>IF(S122="","",T122+S122)</f>
        <v/>
      </c>
      <c r="V122" s="15">
        <f>IF(U122="","",VLOOKUP(U122,'税率及规则'!$A$2:$C$8,2,TRUE))</f>
        <v/>
      </c>
      <c r="W122" s="14">
        <f>IF(U122="","",VLOOKUP(U122,'税率及规则'!$A$2:$C$8,3,TRUE))</f>
        <v/>
      </c>
      <c r="X122" s="14">
        <f>IF(U122="","",MAX(0,U122*V122-W122))</f>
        <v/>
      </c>
      <c r="Y122" s="14">
        <f>IF(T122="","",MAX(0,T122*VLOOKUP(T122,'税率及规则'!$A$2:$C$8,2,TRUE)-VLOOKUP(T122,'税率及规则'!$A$2:$C$8,3,TRUE)))</f>
        <v/>
      </c>
      <c r="Z122" s="14">
        <f>IF(X122="","",MAX(0,X122-Y122))</f>
        <v/>
      </c>
      <c r="AA122" s="16">
        <f>IF(G122="","",G122)</f>
        <v/>
      </c>
      <c r="AB122" s="16">
        <f>IF(AA122="","",EDATE(AA122,36))</f>
        <v/>
      </c>
      <c r="AC122" s="6">
        <f>IF(A122="","",IF(COUNTIF($A$2:$A$501,A122)&gt;1,"异常：事件编号重复",IF(OR(C122="",D122="",E122="",F122="",G122="",I122="",J122=""),"异常：必填项缺失",IF(OR(I122&lt;=0,J122&lt;0),"异常：数量或价格无效",IF(AND(F122="限制性股票",OR(M122&lt;=0,N122&lt;0,I122&gt;M122)),"异常：个人获授或出资数据无效",IF(AND(F122="股票期权",K122&lt;&gt;IF(G122&lt;DATE(2025,1,10),14.56,IF(G122&lt;DATE(2025,4,29),14.32,IF(G122&lt;DATE(2025,9,26),14.18,14.04)))),"异常：行权价格区间不符",IF(Q122&lt;&gt;"已备案","提示：未确认备案","正常")))))))</f>
        <v/>
      </c>
      <c r="AD122" s="11" t="n"/>
    </row>
    <row r="123">
      <c r="A123" s="11" t="n"/>
      <c r="B123" s="6">
        <f>IF(A123="","",A123&amp;"-TAX")</f>
        <v/>
      </c>
      <c r="C123" s="11" t="n"/>
      <c r="D123" s="11" t="n"/>
      <c r="E123" s="11" t="n"/>
      <c r="F123" s="11" t="n"/>
      <c r="G123" s="12" t="n"/>
      <c r="H123" s="6">
        <f>IF(G123="","",YEAR(G123))</f>
        <v/>
      </c>
      <c r="I123" s="11" t="n"/>
      <c r="J123" s="13" t="n"/>
      <c r="K123" s="14">
        <f>IF(F123="股票期权",IF(G123="","",IF(G123&lt;DATE(2025,1,10),14.56,IF(G123&lt;DATE(2025,4,29),14.32,IF(G123&lt;DATE(2025,9,26),14.18,14.04)))),IF(F123="限制性股票",8.68,""))</f>
        <v/>
      </c>
      <c r="L123" s="14">
        <f>IF(F123="限制性股票",13.06,"")</f>
        <v/>
      </c>
      <c r="M123" s="11" t="n"/>
      <c r="N123" s="13" t="n"/>
      <c r="O123" s="13" t="n"/>
      <c r="P123" s="12" t="n"/>
      <c r="Q123" s="11" t="n"/>
      <c r="R123" s="12" t="n"/>
      <c r="S123" s="14">
        <f>IF(OR(A123="",C123="",F123="",G123="",I123="",J123=""),"",IF(F123="股票期权",MAX(0,(J123-K123)*I123),IF(F123="限制性股票",IF(OR(L123="",M123="",M123&lt;=0,N123=""),"",MAX(0,((L123+J123)/2)*I123-N123*I123/M123)),MAX(0,O123))))</f>
        <v/>
      </c>
      <c r="T123" s="14">
        <f>IF(S123="","",SUMIFS($S$2:$S$501,$C$2:$C$501,C123,$H$2:$H$501,H123,$G$2:$G$501,"&lt;"&amp;G123)+SUMIFS($S$2:$S$501,$C$2:$C$501,C123,$H$2:$H$501,H123,$G$2:$G$501,G123,$A$2:$A$501,"&lt;"&amp;A123))</f>
        <v/>
      </c>
      <c r="U123" s="14">
        <f>IF(S123="","",T123+S123)</f>
        <v/>
      </c>
      <c r="V123" s="15">
        <f>IF(U123="","",VLOOKUP(U123,'税率及规则'!$A$2:$C$8,2,TRUE))</f>
        <v/>
      </c>
      <c r="W123" s="14">
        <f>IF(U123="","",VLOOKUP(U123,'税率及规则'!$A$2:$C$8,3,TRUE))</f>
        <v/>
      </c>
      <c r="X123" s="14">
        <f>IF(U123="","",MAX(0,U123*V123-W123))</f>
        <v/>
      </c>
      <c r="Y123" s="14">
        <f>IF(T123="","",MAX(0,T123*VLOOKUP(T123,'税率及规则'!$A$2:$C$8,2,TRUE)-VLOOKUP(T123,'税率及规则'!$A$2:$C$8,3,TRUE)))</f>
        <v/>
      </c>
      <c r="Z123" s="14">
        <f>IF(X123="","",MAX(0,X123-Y123))</f>
        <v/>
      </c>
      <c r="AA123" s="16">
        <f>IF(G123="","",G123)</f>
        <v/>
      </c>
      <c r="AB123" s="16">
        <f>IF(AA123="","",EDATE(AA123,36))</f>
        <v/>
      </c>
      <c r="AC123" s="6">
        <f>IF(A123="","",IF(COUNTIF($A$2:$A$501,A123)&gt;1,"异常：事件编号重复",IF(OR(C123="",D123="",E123="",F123="",G123="",I123="",J123=""),"异常：必填项缺失",IF(OR(I123&lt;=0,J123&lt;0),"异常：数量或价格无效",IF(AND(F123="限制性股票",OR(M123&lt;=0,N123&lt;0,I123&gt;M123)),"异常：个人获授或出资数据无效",IF(AND(F123="股票期权",K123&lt;&gt;IF(G123&lt;DATE(2025,1,10),14.56,IF(G123&lt;DATE(2025,4,29),14.32,IF(G123&lt;DATE(2025,9,26),14.18,14.04)))),"异常：行权价格区间不符",IF(Q123&lt;&gt;"已备案","提示：未确认备案","正常")))))))</f>
        <v/>
      </c>
      <c r="AD123" s="11" t="n"/>
    </row>
    <row r="124">
      <c r="A124" s="11" t="n"/>
      <c r="B124" s="6">
        <f>IF(A124="","",A124&amp;"-TAX")</f>
        <v/>
      </c>
      <c r="C124" s="11" t="n"/>
      <c r="D124" s="11" t="n"/>
      <c r="E124" s="11" t="n"/>
      <c r="F124" s="11" t="n"/>
      <c r="G124" s="12" t="n"/>
      <c r="H124" s="6">
        <f>IF(G124="","",YEAR(G124))</f>
        <v/>
      </c>
      <c r="I124" s="11" t="n"/>
      <c r="J124" s="13" t="n"/>
      <c r="K124" s="14">
        <f>IF(F124="股票期权",IF(G124="","",IF(G124&lt;DATE(2025,1,10),14.56,IF(G124&lt;DATE(2025,4,29),14.32,IF(G124&lt;DATE(2025,9,26),14.18,14.04)))),IF(F124="限制性股票",8.68,""))</f>
        <v/>
      </c>
      <c r="L124" s="14">
        <f>IF(F124="限制性股票",13.06,"")</f>
        <v/>
      </c>
      <c r="M124" s="11" t="n"/>
      <c r="N124" s="13" t="n"/>
      <c r="O124" s="13" t="n"/>
      <c r="P124" s="12" t="n"/>
      <c r="Q124" s="11" t="n"/>
      <c r="R124" s="12" t="n"/>
      <c r="S124" s="14">
        <f>IF(OR(A124="",C124="",F124="",G124="",I124="",J124=""),"",IF(F124="股票期权",MAX(0,(J124-K124)*I124),IF(F124="限制性股票",IF(OR(L124="",M124="",M124&lt;=0,N124=""),"",MAX(0,((L124+J124)/2)*I124-N124*I124/M124)),MAX(0,O124))))</f>
        <v/>
      </c>
      <c r="T124" s="14">
        <f>IF(S124="","",SUMIFS($S$2:$S$501,$C$2:$C$501,C124,$H$2:$H$501,H124,$G$2:$G$501,"&lt;"&amp;G124)+SUMIFS($S$2:$S$501,$C$2:$C$501,C124,$H$2:$H$501,H124,$G$2:$G$501,G124,$A$2:$A$501,"&lt;"&amp;A124))</f>
        <v/>
      </c>
      <c r="U124" s="14">
        <f>IF(S124="","",T124+S124)</f>
        <v/>
      </c>
      <c r="V124" s="15">
        <f>IF(U124="","",VLOOKUP(U124,'税率及规则'!$A$2:$C$8,2,TRUE))</f>
        <v/>
      </c>
      <c r="W124" s="14">
        <f>IF(U124="","",VLOOKUP(U124,'税率及规则'!$A$2:$C$8,3,TRUE))</f>
        <v/>
      </c>
      <c r="X124" s="14">
        <f>IF(U124="","",MAX(0,U124*V124-W124))</f>
        <v/>
      </c>
      <c r="Y124" s="14">
        <f>IF(T124="","",MAX(0,T124*VLOOKUP(T124,'税率及规则'!$A$2:$C$8,2,TRUE)-VLOOKUP(T124,'税率及规则'!$A$2:$C$8,3,TRUE)))</f>
        <v/>
      </c>
      <c r="Z124" s="14">
        <f>IF(X124="","",MAX(0,X124-Y124))</f>
        <v/>
      </c>
      <c r="AA124" s="16">
        <f>IF(G124="","",G124)</f>
        <v/>
      </c>
      <c r="AB124" s="16">
        <f>IF(AA124="","",EDATE(AA124,36))</f>
        <v/>
      </c>
      <c r="AC124" s="6">
        <f>IF(A124="","",IF(COUNTIF($A$2:$A$501,A124)&gt;1,"异常：事件编号重复",IF(OR(C124="",D124="",E124="",F124="",G124="",I124="",J124=""),"异常：必填项缺失",IF(OR(I124&lt;=0,J124&lt;0),"异常：数量或价格无效",IF(AND(F124="限制性股票",OR(M124&lt;=0,N124&lt;0,I124&gt;M124)),"异常：个人获授或出资数据无效",IF(AND(F124="股票期权",K124&lt;&gt;IF(G124&lt;DATE(2025,1,10),14.56,IF(G124&lt;DATE(2025,4,29),14.32,IF(G124&lt;DATE(2025,9,26),14.18,14.04)))),"异常：行权价格区间不符",IF(Q124&lt;&gt;"已备案","提示：未确认备案","正常")))))))</f>
        <v/>
      </c>
      <c r="AD124" s="11" t="n"/>
    </row>
    <row r="125">
      <c r="A125" s="11" t="n"/>
      <c r="B125" s="6">
        <f>IF(A125="","",A125&amp;"-TAX")</f>
        <v/>
      </c>
      <c r="C125" s="11" t="n"/>
      <c r="D125" s="11" t="n"/>
      <c r="E125" s="11" t="n"/>
      <c r="F125" s="11" t="n"/>
      <c r="G125" s="12" t="n"/>
      <c r="H125" s="6">
        <f>IF(G125="","",YEAR(G125))</f>
        <v/>
      </c>
      <c r="I125" s="11" t="n"/>
      <c r="J125" s="13" t="n"/>
      <c r="K125" s="14">
        <f>IF(F125="股票期权",IF(G125="","",IF(G125&lt;DATE(2025,1,10),14.56,IF(G125&lt;DATE(2025,4,29),14.32,IF(G125&lt;DATE(2025,9,26),14.18,14.04)))),IF(F125="限制性股票",8.68,""))</f>
        <v/>
      </c>
      <c r="L125" s="14">
        <f>IF(F125="限制性股票",13.06,"")</f>
        <v/>
      </c>
      <c r="M125" s="11" t="n"/>
      <c r="N125" s="13" t="n"/>
      <c r="O125" s="13" t="n"/>
      <c r="P125" s="12" t="n"/>
      <c r="Q125" s="11" t="n"/>
      <c r="R125" s="12" t="n"/>
      <c r="S125" s="14">
        <f>IF(OR(A125="",C125="",F125="",G125="",I125="",J125=""),"",IF(F125="股票期权",MAX(0,(J125-K125)*I125),IF(F125="限制性股票",IF(OR(L125="",M125="",M125&lt;=0,N125=""),"",MAX(0,((L125+J125)/2)*I125-N125*I125/M125)),MAX(0,O125))))</f>
        <v/>
      </c>
      <c r="T125" s="14">
        <f>IF(S125="","",SUMIFS($S$2:$S$501,$C$2:$C$501,C125,$H$2:$H$501,H125,$G$2:$G$501,"&lt;"&amp;G125)+SUMIFS($S$2:$S$501,$C$2:$C$501,C125,$H$2:$H$501,H125,$G$2:$G$501,G125,$A$2:$A$501,"&lt;"&amp;A125))</f>
        <v/>
      </c>
      <c r="U125" s="14">
        <f>IF(S125="","",T125+S125)</f>
        <v/>
      </c>
      <c r="V125" s="15">
        <f>IF(U125="","",VLOOKUP(U125,'税率及规则'!$A$2:$C$8,2,TRUE))</f>
        <v/>
      </c>
      <c r="W125" s="14">
        <f>IF(U125="","",VLOOKUP(U125,'税率及规则'!$A$2:$C$8,3,TRUE))</f>
        <v/>
      </c>
      <c r="X125" s="14">
        <f>IF(U125="","",MAX(0,U125*V125-W125))</f>
        <v/>
      </c>
      <c r="Y125" s="14">
        <f>IF(T125="","",MAX(0,T125*VLOOKUP(T125,'税率及规则'!$A$2:$C$8,2,TRUE)-VLOOKUP(T125,'税率及规则'!$A$2:$C$8,3,TRUE)))</f>
        <v/>
      </c>
      <c r="Z125" s="14">
        <f>IF(X125="","",MAX(0,X125-Y125))</f>
        <v/>
      </c>
      <c r="AA125" s="16">
        <f>IF(G125="","",G125)</f>
        <v/>
      </c>
      <c r="AB125" s="16">
        <f>IF(AA125="","",EDATE(AA125,36))</f>
        <v/>
      </c>
      <c r="AC125" s="6">
        <f>IF(A125="","",IF(COUNTIF($A$2:$A$501,A125)&gt;1,"异常：事件编号重复",IF(OR(C125="",D125="",E125="",F125="",G125="",I125="",J125=""),"异常：必填项缺失",IF(OR(I125&lt;=0,J125&lt;0),"异常：数量或价格无效",IF(AND(F125="限制性股票",OR(M125&lt;=0,N125&lt;0,I125&gt;M125)),"异常：个人获授或出资数据无效",IF(AND(F125="股票期权",K125&lt;&gt;IF(G125&lt;DATE(2025,1,10),14.56,IF(G125&lt;DATE(2025,4,29),14.32,IF(G125&lt;DATE(2025,9,26),14.18,14.04)))),"异常：行权价格区间不符",IF(Q125&lt;&gt;"已备案","提示：未确认备案","正常")))))))</f>
        <v/>
      </c>
      <c r="AD125" s="11" t="n"/>
    </row>
    <row r="126">
      <c r="A126" s="11" t="n"/>
      <c r="B126" s="6">
        <f>IF(A126="","",A126&amp;"-TAX")</f>
        <v/>
      </c>
      <c r="C126" s="11" t="n"/>
      <c r="D126" s="11" t="n"/>
      <c r="E126" s="11" t="n"/>
      <c r="F126" s="11" t="n"/>
      <c r="G126" s="12" t="n"/>
      <c r="H126" s="6">
        <f>IF(G126="","",YEAR(G126))</f>
        <v/>
      </c>
      <c r="I126" s="11" t="n"/>
      <c r="J126" s="13" t="n"/>
      <c r="K126" s="14">
        <f>IF(F126="股票期权",IF(G126="","",IF(G126&lt;DATE(2025,1,10),14.56,IF(G126&lt;DATE(2025,4,29),14.32,IF(G126&lt;DATE(2025,9,26),14.18,14.04)))),IF(F126="限制性股票",8.68,""))</f>
        <v/>
      </c>
      <c r="L126" s="14">
        <f>IF(F126="限制性股票",13.06,"")</f>
        <v/>
      </c>
      <c r="M126" s="11" t="n"/>
      <c r="N126" s="13" t="n"/>
      <c r="O126" s="13" t="n"/>
      <c r="P126" s="12" t="n"/>
      <c r="Q126" s="11" t="n"/>
      <c r="R126" s="12" t="n"/>
      <c r="S126" s="14">
        <f>IF(OR(A126="",C126="",F126="",G126="",I126="",J126=""),"",IF(F126="股票期权",MAX(0,(J126-K126)*I126),IF(F126="限制性股票",IF(OR(L126="",M126="",M126&lt;=0,N126=""),"",MAX(0,((L126+J126)/2)*I126-N126*I126/M126)),MAX(0,O126))))</f>
        <v/>
      </c>
      <c r="T126" s="14">
        <f>IF(S126="","",SUMIFS($S$2:$S$501,$C$2:$C$501,C126,$H$2:$H$501,H126,$G$2:$G$501,"&lt;"&amp;G126)+SUMIFS($S$2:$S$501,$C$2:$C$501,C126,$H$2:$H$501,H126,$G$2:$G$501,G126,$A$2:$A$501,"&lt;"&amp;A126))</f>
        <v/>
      </c>
      <c r="U126" s="14">
        <f>IF(S126="","",T126+S126)</f>
        <v/>
      </c>
      <c r="V126" s="15">
        <f>IF(U126="","",VLOOKUP(U126,'税率及规则'!$A$2:$C$8,2,TRUE))</f>
        <v/>
      </c>
      <c r="W126" s="14">
        <f>IF(U126="","",VLOOKUP(U126,'税率及规则'!$A$2:$C$8,3,TRUE))</f>
        <v/>
      </c>
      <c r="X126" s="14">
        <f>IF(U126="","",MAX(0,U126*V126-W126))</f>
        <v/>
      </c>
      <c r="Y126" s="14">
        <f>IF(T126="","",MAX(0,T126*VLOOKUP(T126,'税率及规则'!$A$2:$C$8,2,TRUE)-VLOOKUP(T126,'税率及规则'!$A$2:$C$8,3,TRUE)))</f>
        <v/>
      </c>
      <c r="Z126" s="14">
        <f>IF(X126="","",MAX(0,X126-Y126))</f>
        <v/>
      </c>
      <c r="AA126" s="16">
        <f>IF(G126="","",G126)</f>
        <v/>
      </c>
      <c r="AB126" s="16">
        <f>IF(AA126="","",EDATE(AA126,36))</f>
        <v/>
      </c>
      <c r="AC126" s="6">
        <f>IF(A126="","",IF(COUNTIF($A$2:$A$501,A126)&gt;1,"异常：事件编号重复",IF(OR(C126="",D126="",E126="",F126="",G126="",I126="",J126=""),"异常：必填项缺失",IF(OR(I126&lt;=0,J126&lt;0),"异常：数量或价格无效",IF(AND(F126="限制性股票",OR(M126&lt;=0,N126&lt;0,I126&gt;M126)),"异常：个人获授或出资数据无效",IF(AND(F126="股票期权",K126&lt;&gt;IF(G126&lt;DATE(2025,1,10),14.56,IF(G126&lt;DATE(2025,4,29),14.32,IF(G126&lt;DATE(2025,9,26),14.18,14.04)))),"异常：行权价格区间不符",IF(Q126&lt;&gt;"已备案","提示：未确认备案","正常")))))))</f>
        <v/>
      </c>
      <c r="AD126" s="11" t="n"/>
    </row>
    <row r="127">
      <c r="A127" s="11" t="n"/>
      <c r="B127" s="6">
        <f>IF(A127="","",A127&amp;"-TAX")</f>
        <v/>
      </c>
      <c r="C127" s="11" t="n"/>
      <c r="D127" s="11" t="n"/>
      <c r="E127" s="11" t="n"/>
      <c r="F127" s="11" t="n"/>
      <c r="G127" s="12" t="n"/>
      <c r="H127" s="6">
        <f>IF(G127="","",YEAR(G127))</f>
        <v/>
      </c>
      <c r="I127" s="11" t="n"/>
      <c r="J127" s="13" t="n"/>
      <c r="K127" s="14">
        <f>IF(F127="股票期权",IF(G127="","",IF(G127&lt;DATE(2025,1,10),14.56,IF(G127&lt;DATE(2025,4,29),14.32,IF(G127&lt;DATE(2025,9,26),14.18,14.04)))),IF(F127="限制性股票",8.68,""))</f>
        <v/>
      </c>
      <c r="L127" s="14">
        <f>IF(F127="限制性股票",13.06,"")</f>
        <v/>
      </c>
      <c r="M127" s="11" t="n"/>
      <c r="N127" s="13" t="n"/>
      <c r="O127" s="13" t="n"/>
      <c r="P127" s="12" t="n"/>
      <c r="Q127" s="11" t="n"/>
      <c r="R127" s="12" t="n"/>
      <c r="S127" s="14">
        <f>IF(OR(A127="",C127="",F127="",G127="",I127="",J127=""),"",IF(F127="股票期权",MAX(0,(J127-K127)*I127),IF(F127="限制性股票",IF(OR(L127="",M127="",M127&lt;=0,N127=""),"",MAX(0,((L127+J127)/2)*I127-N127*I127/M127)),MAX(0,O127))))</f>
        <v/>
      </c>
      <c r="T127" s="14">
        <f>IF(S127="","",SUMIFS($S$2:$S$501,$C$2:$C$501,C127,$H$2:$H$501,H127,$G$2:$G$501,"&lt;"&amp;G127)+SUMIFS($S$2:$S$501,$C$2:$C$501,C127,$H$2:$H$501,H127,$G$2:$G$501,G127,$A$2:$A$501,"&lt;"&amp;A127))</f>
        <v/>
      </c>
      <c r="U127" s="14">
        <f>IF(S127="","",T127+S127)</f>
        <v/>
      </c>
      <c r="V127" s="15">
        <f>IF(U127="","",VLOOKUP(U127,'税率及规则'!$A$2:$C$8,2,TRUE))</f>
        <v/>
      </c>
      <c r="W127" s="14">
        <f>IF(U127="","",VLOOKUP(U127,'税率及规则'!$A$2:$C$8,3,TRUE))</f>
        <v/>
      </c>
      <c r="X127" s="14">
        <f>IF(U127="","",MAX(0,U127*V127-W127))</f>
        <v/>
      </c>
      <c r="Y127" s="14">
        <f>IF(T127="","",MAX(0,T127*VLOOKUP(T127,'税率及规则'!$A$2:$C$8,2,TRUE)-VLOOKUP(T127,'税率及规则'!$A$2:$C$8,3,TRUE)))</f>
        <v/>
      </c>
      <c r="Z127" s="14">
        <f>IF(X127="","",MAX(0,X127-Y127))</f>
        <v/>
      </c>
      <c r="AA127" s="16">
        <f>IF(G127="","",G127)</f>
        <v/>
      </c>
      <c r="AB127" s="16">
        <f>IF(AA127="","",EDATE(AA127,36))</f>
        <v/>
      </c>
      <c r="AC127" s="6">
        <f>IF(A127="","",IF(COUNTIF($A$2:$A$501,A127)&gt;1,"异常：事件编号重复",IF(OR(C127="",D127="",E127="",F127="",G127="",I127="",J127=""),"异常：必填项缺失",IF(OR(I127&lt;=0,J127&lt;0),"异常：数量或价格无效",IF(AND(F127="限制性股票",OR(M127&lt;=0,N127&lt;0,I127&gt;M127)),"异常：个人获授或出资数据无效",IF(AND(F127="股票期权",K127&lt;&gt;IF(G127&lt;DATE(2025,1,10),14.56,IF(G127&lt;DATE(2025,4,29),14.32,IF(G127&lt;DATE(2025,9,26),14.18,14.04)))),"异常：行权价格区间不符",IF(Q127&lt;&gt;"已备案","提示：未确认备案","正常")))))))</f>
        <v/>
      </c>
      <c r="AD127" s="11" t="n"/>
    </row>
    <row r="128">
      <c r="A128" s="11" t="n"/>
      <c r="B128" s="6">
        <f>IF(A128="","",A128&amp;"-TAX")</f>
        <v/>
      </c>
      <c r="C128" s="11" t="n"/>
      <c r="D128" s="11" t="n"/>
      <c r="E128" s="11" t="n"/>
      <c r="F128" s="11" t="n"/>
      <c r="G128" s="12" t="n"/>
      <c r="H128" s="6">
        <f>IF(G128="","",YEAR(G128))</f>
        <v/>
      </c>
      <c r="I128" s="11" t="n"/>
      <c r="J128" s="13" t="n"/>
      <c r="K128" s="14">
        <f>IF(F128="股票期权",IF(G128="","",IF(G128&lt;DATE(2025,1,10),14.56,IF(G128&lt;DATE(2025,4,29),14.32,IF(G128&lt;DATE(2025,9,26),14.18,14.04)))),IF(F128="限制性股票",8.68,""))</f>
        <v/>
      </c>
      <c r="L128" s="14">
        <f>IF(F128="限制性股票",13.06,"")</f>
        <v/>
      </c>
      <c r="M128" s="11" t="n"/>
      <c r="N128" s="13" t="n"/>
      <c r="O128" s="13" t="n"/>
      <c r="P128" s="12" t="n"/>
      <c r="Q128" s="11" t="n"/>
      <c r="R128" s="12" t="n"/>
      <c r="S128" s="14">
        <f>IF(OR(A128="",C128="",F128="",G128="",I128="",J128=""),"",IF(F128="股票期权",MAX(0,(J128-K128)*I128),IF(F128="限制性股票",IF(OR(L128="",M128="",M128&lt;=0,N128=""),"",MAX(0,((L128+J128)/2)*I128-N128*I128/M128)),MAX(0,O128))))</f>
        <v/>
      </c>
      <c r="T128" s="14">
        <f>IF(S128="","",SUMIFS($S$2:$S$501,$C$2:$C$501,C128,$H$2:$H$501,H128,$G$2:$G$501,"&lt;"&amp;G128)+SUMIFS($S$2:$S$501,$C$2:$C$501,C128,$H$2:$H$501,H128,$G$2:$G$501,G128,$A$2:$A$501,"&lt;"&amp;A128))</f>
        <v/>
      </c>
      <c r="U128" s="14">
        <f>IF(S128="","",T128+S128)</f>
        <v/>
      </c>
      <c r="V128" s="15">
        <f>IF(U128="","",VLOOKUP(U128,'税率及规则'!$A$2:$C$8,2,TRUE))</f>
        <v/>
      </c>
      <c r="W128" s="14">
        <f>IF(U128="","",VLOOKUP(U128,'税率及规则'!$A$2:$C$8,3,TRUE))</f>
        <v/>
      </c>
      <c r="X128" s="14">
        <f>IF(U128="","",MAX(0,U128*V128-W128))</f>
        <v/>
      </c>
      <c r="Y128" s="14">
        <f>IF(T128="","",MAX(0,T128*VLOOKUP(T128,'税率及规则'!$A$2:$C$8,2,TRUE)-VLOOKUP(T128,'税率及规则'!$A$2:$C$8,3,TRUE)))</f>
        <v/>
      </c>
      <c r="Z128" s="14">
        <f>IF(X128="","",MAX(0,X128-Y128))</f>
        <v/>
      </c>
      <c r="AA128" s="16">
        <f>IF(G128="","",G128)</f>
        <v/>
      </c>
      <c r="AB128" s="16">
        <f>IF(AA128="","",EDATE(AA128,36))</f>
        <v/>
      </c>
      <c r="AC128" s="6">
        <f>IF(A128="","",IF(COUNTIF($A$2:$A$501,A128)&gt;1,"异常：事件编号重复",IF(OR(C128="",D128="",E128="",F128="",G128="",I128="",J128=""),"异常：必填项缺失",IF(OR(I128&lt;=0,J128&lt;0),"异常：数量或价格无效",IF(AND(F128="限制性股票",OR(M128&lt;=0,N128&lt;0,I128&gt;M128)),"异常：个人获授或出资数据无效",IF(AND(F128="股票期权",K128&lt;&gt;IF(G128&lt;DATE(2025,1,10),14.56,IF(G128&lt;DATE(2025,4,29),14.32,IF(G128&lt;DATE(2025,9,26),14.18,14.04)))),"异常：行权价格区间不符",IF(Q128&lt;&gt;"已备案","提示：未确认备案","正常")))))))</f>
        <v/>
      </c>
      <c r="AD128" s="11" t="n"/>
    </row>
    <row r="129">
      <c r="A129" s="11" t="n"/>
      <c r="B129" s="6">
        <f>IF(A129="","",A129&amp;"-TAX")</f>
        <v/>
      </c>
      <c r="C129" s="11" t="n"/>
      <c r="D129" s="11" t="n"/>
      <c r="E129" s="11" t="n"/>
      <c r="F129" s="11" t="n"/>
      <c r="G129" s="12" t="n"/>
      <c r="H129" s="6">
        <f>IF(G129="","",YEAR(G129))</f>
        <v/>
      </c>
      <c r="I129" s="11" t="n"/>
      <c r="J129" s="13" t="n"/>
      <c r="K129" s="14">
        <f>IF(F129="股票期权",IF(G129="","",IF(G129&lt;DATE(2025,1,10),14.56,IF(G129&lt;DATE(2025,4,29),14.32,IF(G129&lt;DATE(2025,9,26),14.18,14.04)))),IF(F129="限制性股票",8.68,""))</f>
        <v/>
      </c>
      <c r="L129" s="14">
        <f>IF(F129="限制性股票",13.06,"")</f>
        <v/>
      </c>
      <c r="M129" s="11" t="n"/>
      <c r="N129" s="13" t="n"/>
      <c r="O129" s="13" t="n"/>
      <c r="P129" s="12" t="n"/>
      <c r="Q129" s="11" t="n"/>
      <c r="R129" s="12" t="n"/>
      <c r="S129" s="14">
        <f>IF(OR(A129="",C129="",F129="",G129="",I129="",J129=""),"",IF(F129="股票期权",MAX(0,(J129-K129)*I129),IF(F129="限制性股票",IF(OR(L129="",M129="",M129&lt;=0,N129=""),"",MAX(0,((L129+J129)/2)*I129-N129*I129/M129)),MAX(0,O129))))</f>
        <v/>
      </c>
      <c r="T129" s="14">
        <f>IF(S129="","",SUMIFS($S$2:$S$501,$C$2:$C$501,C129,$H$2:$H$501,H129,$G$2:$G$501,"&lt;"&amp;G129)+SUMIFS($S$2:$S$501,$C$2:$C$501,C129,$H$2:$H$501,H129,$G$2:$G$501,G129,$A$2:$A$501,"&lt;"&amp;A129))</f>
        <v/>
      </c>
      <c r="U129" s="14">
        <f>IF(S129="","",T129+S129)</f>
        <v/>
      </c>
      <c r="V129" s="15">
        <f>IF(U129="","",VLOOKUP(U129,'税率及规则'!$A$2:$C$8,2,TRUE))</f>
        <v/>
      </c>
      <c r="W129" s="14">
        <f>IF(U129="","",VLOOKUP(U129,'税率及规则'!$A$2:$C$8,3,TRUE))</f>
        <v/>
      </c>
      <c r="X129" s="14">
        <f>IF(U129="","",MAX(0,U129*V129-W129))</f>
        <v/>
      </c>
      <c r="Y129" s="14">
        <f>IF(T129="","",MAX(0,T129*VLOOKUP(T129,'税率及规则'!$A$2:$C$8,2,TRUE)-VLOOKUP(T129,'税率及规则'!$A$2:$C$8,3,TRUE)))</f>
        <v/>
      </c>
      <c r="Z129" s="14">
        <f>IF(X129="","",MAX(0,X129-Y129))</f>
        <v/>
      </c>
      <c r="AA129" s="16">
        <f>IF(G129="","",G129)</f>
        <v/>
      </c>
      <c r="AB129" s="16">
        <f>IF(AA129="","",EDATE(AA129,36))</f>
        <v/>
      </c>
      <c r="AC129" s="6">
        <f>IF(A129="","",IF(COUNTIF($A$2:$A$501,A129)&gt;1,"异常：事件编号重复",IF(OR(C129="",D129="",E129="",F129="",G129="",I129="",J129=""),"异常：必填项缺失",IF(OR(I129&lt;=0,J129&lt;0),"异常：数量或价格无效",IF(AND(F129="限制性股票",OR(M129&lt;=0,N129&lt;0,I129&gt;M129)),"异常：个人获授或出资数据无效",IF(AND(F129="股票期权",K129&lt;&gt;IF(G129&lt;DATE(2025,1,10),14.56,IF(G129&lt;DATE(2025,4,29),14.32,IF(G129&lt;DATE(2025,9,26),14.18,14.04)))),"异常：行权价格区间不符",IF(Q129&lt;&gt;"已备案","提示：未确认备案","正常")))))))</f>
        <v/>
      </c>
      <c r="AD129" s="11" t="n"/>
    </row>
    <row r="130">
      <c r="A130" s="11" t="n"/>
      <c r="B130" s="6">
        <f>IF(A130="","",A130&amp;"-TAX")</f>
        <v/>
      </c>
      <c r="C130" s="11" t="n"/>
      <c r="D130" s="11" t="n"/>
      <c r="E130" s="11" t="n"/>
      <c r="F130" s="11" t="n"/>
      <c r="G130" s="12" t="n"/>
      <c r="H130" s="6">
        <f>IF(G130="","",YEAR(G130))</f>
        <v/>
      </c>
      <c r="I130" s="11" t="n"/>
      <c r="J130" s="13" t="n"/>
      <c r="K130" s="14">
        <f>IF(F130="股票期权",IF(G130="","",IF(G130&lt;DATE(2025,1,10),14.56,IF(G130&lt;DATE(2025,4,29),14.32,IF(G130&lt;DATE(2025,9,26),14.18,14.04)))),IF(F130="限制性股票",8.68,""))</f>
        <v/>
      </c>
      <c r="L130" s="14">
        <f>IF(F130="限制性股票",13.06,"")</f>
        <v/>
      </c>
      <c r="M130" s="11" t="n"/>
      <c r="N130" s="13" t="n"/>
      <c r="O130" s="13" t="n"/>
      <c r="P130" s="12" t="n"/>
      <c r="Q130" s="11" t="n"/>
      <c r="R130" s="12" t="n"/>
      <c r="S130" s="14">
        <f>IF(OR(A130="",C130="",F130="",G130="",I130="",J130=""),"",IF(F130="股票期权",MAX(0,(J130-K130)*I130),IF(F130="限制性股票",IF(OR(L130="",M130="",M130&lt;=0,N130=""),"",MAX(0,((L130+J130)/2)*I130-N130*I130/M130)),MAX(0,O130))))</f>
        <v/>
      </c>
      <c r="T130" s="14">
        <f>IF(S130="","",SUMIFS($S$2:$S$501,$C$2:$C$501,C130,$H$2:$H$501,H130,$G$2:$G$501,"&lt;"&amp;G130)+SUMIFS($S$2:$S$501,$C$2:$C$501,C130,$H$2:$H$501,H130,$G$2:$G$501,G130,$A$2:$A$501,"&lt;"&amp;A130))</f>
        <v/>
      </c>
      <c r="U130" s="14">
        <f>IF(S130="","",T130+S130)</f>
        <v/>
      </c>
      <c r="V130" s="15">
        <f>IF(U130="","",VLOOKUP(U130,'税率及规则'!$A$2:$C$8,2,TRUE))</f>
        <v/>
      </c>
      <c r="W130" s="14">
        <f>IF(U130="","",VLOOKUP(U130,'税率及规则'!$A$2:$C$8,3,TRUE))</f>
        <v/>
      </c>
      <c r="X130" s="14">
        <f>IF(U130="","",MAX(0,U130*V130-W130))</f>
        <v/>
      </c>
      <c r="Y130" s="14">
        <f>IF(T130="","",MAX(0,T130*VLOOKUP(T130,'税率及规则'!$A$2:$C$8,2,TRUE)-VLOOKUP(T130,'税率及规则'!$A$2:$C$8,3,TRUE)))</f>
        <v/>
      </c>
      <c r="Z130" s="14">
        <f>IF(X130="","",MAX(0,X130-Y130))</f>
        <v/>
      </c>
      <c r="AA130" s="16">
        <f>IF(G130="","",G130)</f>
        <v/>
      </c>
      <c r="AB130" s="16">
        <f>IF(AA130="","",EDATE(AA130,36))</f>
        <v/>
      </c>
      <c r="AC130" s="6">
        <f>IF(A130="","",IF(COUNTIF($A$2:$A$501,A130)&gt;1,"异常：事件编号重复",IF(OR(C130="",D130="",E130="",F130="",G130="",I130="",J130=""),"异常：必填项缺失",IF(OR(I130&lt;=0,J130&lt;0),"异常：数量或价格无效",IF(AND(F130="限制性股票",OR(M130&lt;=0,N130&lt;0,I130&gt;M130)),"异常：个人获授或出资数据无效",IF(AND(F130="股票期权",K130&lt;&gt;IF(G130&lt;DATE(2025,1,10),14.56,IF(G130&lt;DATE(2025,4,29),14.32,IF(G130&lt;DATE(2025,9,26),14.18,14.04)))),"异常：行权价格区间不符",IF(Q130&lt;&gt;"已备案","提示：未确认备案","正常")))))))</f>
        <v/>
      </c>
      <c r="AD130" s="11" t="n"/>
    </row>
    <row r="131">
      <c r="A131" s="11" t="n"/>
      <c r="B131" s="6">
        <f>IF(A131="","",A131&amp;"-TAX")</f>
        <v/>
      </c>
      <c r="C131" s="11" t="n"/>
      <c r="D131" s="11" t="n"/>
      <c r="E131" s="11" t="n"/>
      <c r="F131" s="11" t="n"/>
      <c r="G131" s="12" t="n"/>
      <c r="H131" s="6">
        <f>IF(G131="","",YEAR(G131))</f>
        <v/>
      </c>
      <c r="I131" s="11" t="n"/>
      <c r="J131" s="13" t="n"/>
      <c r="K131" s="14">
        <f>IF(F131="股票期权",IF(G131="","",IF(G131&lt;DATE(2025,1,10),14.56,IF(G131&lt;DATE(2025,4,29),14.32,IF(G131&lt;DATE(2025,9,26),14.18,14.04)))),IF(F131="限制性股票",8.68,""))</f>
        <v/>
      </c>
      <c r="L131" s="14">
        <f>IF(F131="限制性股票",13.06,"")</f>
        <v/>
      </c>
      <c r="M131" s="11" t="n"/>
      <c r="N131" s="13" t="n"/>
      <c r="O131" s="13" t="n"/>
      <c r="P131" s="12" t="n"/>
      <c r="Q131" s="11" t="n"/>
      <c r="R131" s="12" t="n"/>
      <c r="S131" s="14">
        <f>IF(OR(A131="",C131="",F131="",G131="",I131="",J131=""),"",IF(F131="股票期权",MAX(0,(J131-K131)*I131),IF(F131="限制性股票",IF(OR(L131="",M131="",M131&lt;=0,N131=""),"",MAX(0,((L131+J131)/2)*I131-N131*I131/M131)),MAX(0,O131))))</f>
        <v/>
      </c>
      <c r="T131" s="14">
        <f>IF(S131="","",SUMIFS($S$2:$S$501,$C$2:$C$501,C131,$H$2:$H$501,H131,$G$2:$G$501,"&lt;"&amp;G131)+SUMIFS($S$2:$S$501,$C$2:$C$501,C131,$H$2:$H$501,H131,$G$2:$G$501,G131,$A$2:$A$501,"&lt;"&amp;A131))</f>
        <v/>
      </c>
      <c r="U131" s="14">
        <f>IF(S131="","",T131+S131)</f>
        <v/>
      </c>
      <c r="V131" s="15">
        <f>IF(U131="","",VLOOKUP(U131,'税率及规则'!$A$2:$C$8,2,TRUE))</f>
        <v/>
      </c>
      <c r="W131" s="14">
        <f>IF(U131="","",VLOOKUP(U131,'税率及规则'!$A$2:$C$8,3,TRUE))</f>
        <v/>
      </c>
      <c r="X131" s="14">
        <f>IF(U131="","",MAX(0,U131*V131-W131))</f>
        <v/>
      </c>
      <c r="Y131" s="14">
        <f>IF(T131="","",MAX(0,T131*VLOOKUP(T131,'税率及规则'!$A$2:$C$8,2,TRUE)-VLOOKUP(T131,'税率及规则'!$A$2:$C$8,3,TRUE)))</f>
        <v/>
      </c>
      <c r="Z131" s="14">
        <f>IF(X131="","",MAX(0,X131-Y131))</f>
        <v/>
      </c>
      <c r="AA131" s="16">
        <f>IF(G131="","",G131)</f>
        <v/>
      </c>
      <c r="AB131" s="16">
        <f>IF(AA131="","",EDATE(AA131,36))</f>
        <v/>
      </c>
      <c r="AC131" s="6">
        <f>IF(A131="","",IF(COUNTIF($A$2:$A$501,A131)&gt;1,"异常：事件编号重复",IF(OR(C131="",D131="",E131="",F131="",G131="",I131="",J131=""),"异常：必填项缺失",IF(OR(I131&lt;=0,J131&lt;0),"异常：数量或价格无效",IF(AND(F131="限制性股票",OR(M131&lt;=0,N131&lt;0,I131&gt;M131)),"异常：个人获授或出资数据无效",IF(AND(F131="股票期权",K131&lt;&gt;IF(G131&lt;DATE(2025,1,10),14.56,IF(G131&lt;DATE(2025,4,29),14.32,IF(G131&lt;DATE(2025,9,26),14.18,14.04)))),"异常：行权价格区间不符",IF(Q131&lt;&gt;"已备案","提示：未确认备案","正常")))))))</f>
        <v/>
      </c>
      <c r="AD131" s="11" t="n"/>
    </row>
    <row r="132">
      <c r="A132" s="11" t="n"/>
      <c r="B132" s="6">
        <f>IF(A132="","",A132&amp;"-TAX")</f>
        <v/>
      </c>
      <c r="C132" s="11" t="n"/>
      <c r="D132" s="11" t="n"/>
      <c r="E132" s="11" t="n"/>
      <c r="F132" s="11" t="n"/>
      <c r="G132" s="12" t="n"/>
      <c r="H132" s="6">
        <f>IF(G132="","",YEAR(G132))</f>
        <v/>
      </c>
      <c r="I132" s="11" t="n"/>
      <c r="J132" s="13" t="n"/>
      <c r="K132" s="14">
        <f>IF(F132="股票期权",IF(G132="","",IF(G132&lt;DATE(2025,1,10),14.56,IF(G132&lt;DATE(2025,4,29),14.32,IF(G132&lt;DATE(2025,9,26),14.18,14.04)))),IF(F132="限制性股票",8.68,""))</f>
        <v/>
      </c>
      <c r="L132" s="14">
        <f>IF(F132="限制性股票",13.06,"")</f>
        <v/>
      </c>
      <c r="M132" s="11" t="n"/>
      <c r="N132" s="13" t="n"/>
      <c r="O132" s="13" t="n"/>
      <c r="P132" s="12" t="n"/>
      <c r="Q132" s="11" t="n"/>
      <c r="R132" s="12" t="n"/>
      <c r="S132" s="14">
        <f>IF(OR(A132="",C132="",F132="",G132="",I132="",J132=""),"",IF(F132="股票期权",MAX(0,(J132-K132)*I132),IF(F132="限制性股票",IF(OR(L132="",M132="",M132&lt;=0,N132=""),"",MAX(0,((L132+J132)/2)*I132-N132*I132/M132)),MAX(0,O132))))</f>
        <v/>
      </c>
      <c r="T132" s="14">
        <f>IF(S132="","",SUMIFS($S$2:$S$501,$C$2:$C$501,C132,$H$2:$H$501,H132,$G$2:$G$501,"&lt;"&amp;G132)+SUMIFS($S$2:$S$501,$C$2:$C$501,C132,$H$2:$H$501,H132,$G$2:$G$501,G132,$A$2:$A$501,"&lt;"&amp;A132))</f>
        <v/>
      </c>
      <c r="U132" s="14">
        <f>IF(S132="","",T132+S132)</f>
        <v/>
      </c>
      <c r="V132" s="15">
        <f>IF(U132="","",VLOOKUP(U132,'税率及规则'!$A$2:$C$8,2,TRUE))</f>
        <v/>
      </c>
      <c r="W132" s="14">
        <f>IF(U132="","",VLOOKUP(U132,'税率及规则'!$A$2:$C$8,3,TRUE))</f>
        <v/>
      </c>
      <c r="X132" s="14">
        <f>IF(U132="","",MAX(0,U132*V132-W132))</f>
        <v/>
      </c>
      <c r="Y132" s="14">
        <f>IF(T132="","",MAX(0,T132*VLOOKUP(T132,'税率及规则'!$A$2:$C$8,2,TRUE)-VLOOKUP(T132,'税率及规则'!$A$2:$C$8,3,TRUE)))</f>
        <v/>
      </c>
      <c r="Z132" s="14">
        <f>IF(X132="","",MAX(0,X132-Y132))</f>
        <v/>
      </c>
      <c r="AA132" s="16">
        <f>IF(G132="","",G132)</f>
        <v/>
      </c>
      <c r="AB132" s="16">
        <f>IF(AA132="","",EDATE(AA132,36))</f>
        <v/>
      </c>
      <c r="AC132" s="6">
        <f>IF(A132="","",IF(COUNTIF($A$2:$A$501,A132)&gt;1,"异常：事件编号重复",IF(OR(C132="",D132="",E132="",F132="",G132="",I132="",J132=""),"异常：必填项缺失",IF(OR(I132&lt;=0,J132&lt;0),"异常：数量或价格无效",IF(AND(F132="限制性股票",OR(M132&lt;=0,N132&lt;0,I132&gt;M132)),"异常：个人获授或出资数据无效",IF(AND(F132="股票期权",K132&lt;&gt;IF(G132&lt;DATE(2025,1,10),14.56,IF(G132&lt;DATE(2025,4,29),14.32,IF(G132&lt;DATE(2025,9,26),14.18,14.04)))),"异常：行权价格区间不符",IF(Q132&lt;&gt;"已备案","提示：未确认备案","正常")))))))</f>
        <v/>
      </c>
      <c r="AD132" s="11" t="n"/>
    </row>
    <row r="133">
      <c r="A133" s="11" t="n"/>
      <c r="B133" s="6">
        <f>IF(A133="","",A133&amp;"-TAX")</f>
        <v/>
      </c>
      <c r="C133" s="11" t="n"/>
      <c r="D133" s="11" t="n"/>
      <c r="E133" s="11" t="n"/>
      <c r="F133" s="11" t="n"/>
      <c r="G133" s="12" t="n"/>
      <c r="H133" s="6">
        <f>IF(G133="","",YEAR(G133))</f>
        <v/>
      </c>
      <c r="I133" s="11" t="n"/>
      <c r="J133" s="13" t="n"/>
      <c r="K133" s="14">
        <f>IF(F133="股票期权",IF(G133="","",IF(G133&lt;DATE(2025,1,10),14.56,IF(G133&lt;DATE(2025,4,29),14.32,IF(G133&lt;DATE(2025,9,26),14.18,14.04)))),IF(F133="限制性股票",8.68,""))</f>
        <v/>
      </c>
      <c r="L133" s="14">
        <f>IF(F133="限制性股票",13.06,"")</f>
        <v/>
      </c>
      <c r="M133" s="11" t="n"/>
      <c r="N133" s="13" t="n"/>
      <c r="O133" s="13" t="n"/>
      <c r="P133" s="12" t="n"/>
      <c r="Q133" s="11" t="n"/>
      <c r="R133" s="12" t="n"/>
      <c r="S133" s="14">
        <f>IF(OR(A133="",C133="",F133="",G133="",I133="",J133=""),"",IF(F133="股票期权",MAX(0,(J133-K133)*I133),IF(F133="限制性股票",IF(OR(L133="",M133="",M133&lt;=0,N133=""),"",MAX(0,((L133+J133)/2)*I133-N133*I133/M133)),MAX(0,O133))))</f>
        <v/>
      </c>
      <c r="T133" s="14">
        <f>IF(S133="","",SUMIFS($S$2:$S$501,$C$2:$C$501,C133,$H$2:$H$501,H133,$G$2:$G$501,"&lt;"&amp;G133)+SUMIFS($S$2:$S$501,$C$2:$C$501,C133,$H$2:$H$501,H133,$G$2:$G$501,G133,$A$2:$A$501,"&lt;"&amp;A133))</f>
        <v/>
      </c>
      <c r="U133" s="14">
        <f>IF(S133="","",T133+S133)</f>
        <v/>
      </c>
      <c r="V133" s="15">
        <f>IF(U133="","",VLOOKUP(U133,'税率及规则'!$A$2:$C$8,2,TRUE))</f>
        <v/>
      </c>
      <c r="W133" s="14">
        <f>IF(U133="","",VLOOKUP(U133,'税率及规则'!$A$2:$C$8,3,TRUE))</f>
        <v/>
      </c>
      <c r="X133" s="14">
        <f>IF(U133="","",MAX(0,U133*V133-W133))</f>
        <v/>
      </c>
      <c r="Y133" s="14">
        <f>IF(T133="","",MAX(0,T133*VLOOKUP(T133,'税率及规则'!$A$2:$C$8,2,TRUE)-VLOOKUP(T133,'税率及规则'!$A$2:$C$8,3,TRUE)))</f>
        <v/>
      </c>
      <c r="Z133" s="14">
        <f>IF(X133="","",MAX(0,X133-Y133))</f>
        <v/>
      </c>
      <c r="AA133" s="16">
        <f>IF(G133="","",G133)</f>
        <v/>
      </c>
      <c r="AB133" s="16">
        <f>IF(AA133="","",EDATE(AA133,36))</f>
        <v/>
      </c>
      <c r="AC133" s="6">
        <f>IF(A133="","",IF(COUNTIF($A$2:$A$501,A133)&gt;1,"异常：事件编号重复",IF(OR(C133="",D133="",E133="",F133="",G133="",I133="",J133=""),"异常：必填项缺失",IF(OR(I133&lt;=0,J133&lt;0),"异常：数量或价格无效",IF(AND(F133="限制性股票",OR(M133&lt;=0,N133&lt;0,I133&gt;M133)),"异常：个人获授或出资数据无效",IF(AND(F133="股票期权",K133&lt;&gt;IF(G133&lt;DATE(2025,1,10),14.56,IF(G133&lt;DATE(2025,4,29),14.32,IF(G133&lt;DATE(2025,9,26),14.18,14.04)))),"异常：行权价格区间不符",IF(Q133&lt;&gt;"已备案","提示：未确认备案","正常")))))))</f>
        <v/>
      </c>
      <c r="AD133" s="11" t="n"/>
    </row>
    <row r="134">
      <c r="A134" s="11" t="n"/>
      <c r="B134" s="6">
        <f>IF(A134="","",A134&amp;"-TAX")</f>
        <v/>
      </c>
      <c r="C134" s="11" t="n"/>
      <c r="D134" s="11" t="n"/>
      <c r="E134" s="11" t="n"/>
      <c r="F134" s="11" t="n"/>
      <c r="G134" s="12" t="n"/>
      <c r="H134" s="6">
        <f>IF(G134="","",YEAR(G134))</f>
        <v/>
      </c>
      <c r="I134" s="11" t="n"/>
      <c r="J134" s="13" t="n"/>
      <c r="K134" s="14">
        <f>IF(F134="股票期权",IF(G134="","",IF(G134&lt;DATE(2025,1,10),14.56,IF(G134&lt;DATE(2025,4,29),14.32,IF(G134&lt;DATE(2025,9,26),14.18,14.04)))),IF(F134="限制性股票",8.68,""))</f>
        <v/>
      </c>
      <c r="L134" s="14">
        <f>IF(F134="限制性股票",13.06,"")</f>
        <v/>
      </c>
      <c r="M134" s="11" t="n"/>
      <c r="N134" s="13" t="n"/>
      <c r="O134" s="13" t="n"/>
      <c r="P134" s="12" t="n"/>
      <c r="Q134" s="11" t="n"/>
      <c r="R134" s="12" t="n"/>
      <c r="S134" s="14">
        <f>IF(OR(A134="",C134="",F134="",G134="",I134="",J134=""),"",IF(F134="股票期权",MAX(0,(J134-K134)*I134),IF(F134="限制性股票",IF(OR(L134="",M134="",M134&lt;=0,N134=""),"",MAX(0,((L134+J134)/2)*I134-N134*I134/M134)),MAX(0,O134))))</f>
        <v/>
      </c>
      <c r="T134" s="14">
        <f>IF(S134="","",SUMIFS($S$2:$S$501,$C$2:$C$501,C134,$H$2:$H$501,H134,$G$2:$G$501,"&lt;"&amp;G134)+SUMIFS($S$2:$S$501,$C$2:$C$501,C134,$H$2:$H$501,H134,$G$2:$G$501,G134,$A$2:$A$501,"&lt;"&amp;A134))</f>
        <v/>
      </c>
      <c r="U134" s="14">
        <f>IF(S134="","",T134+S134)</f>
        <v/>
      </c>
      <c r="V134" s="15">
        <f>IF(U134="","",VLOOKUP(U134,'税率及规则'!$A$2:$C$8,2,TRUE))</f>
        <v/>
      </c>
      <c r="W134" s="14">
        <f>IF(U134="","",VLOOKUP(U134,'税率及规则'!$A$2:$C$8,3,TRUE))</f>
        <v/>
      </c>
      <c r="X134" s="14">
        <f>IF(U134="","",MAX(0,U134*V134-W134))</f>
        <v/>
      </c>
      <c r="Y134" s="14">
        <f>IF(T134="","",MAX(0,T134*VLOOKUP(T134,'税率及规则'!$A$2:$C$8,2,TRUE)-VLOOKUP(T134,'税率及规则'!$A$2:$C$8,3,TRUE)))</f>
        <v/>
      </c>
      <c r="Z134" s="14">
        <f>IF(X134="","",MAX(0,X134-Y134))</f>
        <v/>
      </c>
      <c r="AA134" s="16">
        <f>IF(G134="","",G134)</f>
        <v/>
      </c>
      <c r="AB134" s="16">
        <f>IF(AA134="","",EDATE(AA134,36))</f>
        <v/>
      </c>
      <c r="AC134" s="6">
        <f>IF(A134="","",IF(COUNTIF($A$2:$A$501,A134)&gt;1,"异常：事件编号重复",IF(OR(C134="",D134="",E134="",F134="",G134="",I134="",J134=""),"异常：必填项缺失",IF(OR(I134&lt;=0,J134&lt;0),"异常：数量或价格无效",IF(AND(F134="限制性股票",OR(M134&lt;=0,N134&lt;0,I134&gt;M134)),"异常：个人获授或出资数据无效",IF(AND(F134="股票期权",K134&lt;&gt;IF(G134&lt;DATE(2025,1,10),14.56,IF(G134&lt;DATE(2025,4,29),14.32,IF(G134&lt;DATE(2025,9,26),14.18,14.04)))),"异常：行权价格区间不符",IF(Q134&lt;&gt;"已备案","提示：未确认备案","正常")))))))</f>
        <v/>
      </c>
      <c r="AD134" s="11" t="n"/>
    </row>
    <row r="135">
      <c r="A135" s="11" t="n"/>
      <c r="B135" s="6">
        <f>IF(A135="","",A135&amp;"-TAX")</f>
        <v/>
      </c>
      <c r="C135" s="11" t="n"/>
      <c r="D135" s="11" t="n"/>
      <c r="E135" s="11" t="n"/>
      <c r="F135" s="11" t="n"/>
      <c r="G135" s="12" t="n"/>
      <c r="H135" s="6">
        <f>IF(G135="","",YEAR(G135))</f>
        <v/>
      </c>
      <c r="I135" s="11" t="n"/>
      <c r="J135" s="13" t="n"/>
      <c r="K135" s="14">
        <f>IF(F135="股票期权",IF(G135="","",IF(G135&lt;DATE(2025,1,10),14.56,IF(G135&lt;DATE(2025,4,29),14.32,IF(G135&lt;DATE(2025,9,26),14.18,14.04)))),IF(F135="限制性股票",8.68,""))</f>
        <v/>
      </c>
      <c r="L135" s="14">
        <f>IF(F135="限制性股票",13.06,"")</f>
        <v/>
      </c>
      <c r="M135" s="11" t="n"/>
      <c r="N135" s="13" t="n"/>
      <c r="O135" s="13" t="n"/>
      <c r="P135" s="12" t="n"/>
      <c r="Q135" s="11" t="n"/>
      <c r="R135" s="12" t="n"/>
      <c r="S135" s="14">
        <f>IF(OR(A135="",C135="",F135="",G135="",I135="",J135=""),"",IF(F135="股票期权",MAX(0,(J135-K135)*I135),IF(F135="限制性股票",IF(OR(L135="",M135="",M135&lt;=0,N135=""),"",MAX(0,((L135+J135)/2)*I135-N135*I135/M135)),MAX(0,O135))))</f>
        <v/>
      </c>
      <c r="T135" s="14">
        <f>IF(S135="","",SUMIFS($S$2:$S$501,$C$2:$C$501,C135,$H$2:$H$501,H135,$G$2:$G$501,"&lt;"&amp;G135)+SUMIFS($S$2:$S$501,$C$2:$C$501,C135,$H$2:$H$501,H135,$G$2:$G$501,G135,$A$2:$A$501,"&lt;"&amp;A135))</f>
        <v/>
      </c>
      <c r="U135" s="14">
        <f>IF(S135="","",T135+S135)</f>
        <v/>
      </c>
      <c r="V135" s="15">
        <f>IF(U135="","",VLOOKUP(U135,'税率及规则'!$A$2:$C$8,2,TRUE))</f>
        <v/>
      </c>
      <c r="W135" s="14">
        <f>IF(U135="","",VLOOKUP(U135,'税率及规则'!$A$2:$C$8,3,TRUE))</f>
        <v/>
      </c>
      <c r="X135" s="14">
        <f>IF(U135="","",MAX(0,U135*V135-W135))</f>
        <v/>
      </c>
      <c r="Y135" s="14">
        <f>IF(T135="","",MAX(0,T135*VLOOKUP(T135,'税率及规则'!$A$2:$C$8,2,TRUE)-VLOOKUP(T135,'税率及规则'!$A$2:$C$8,3,TRUE)))</f>
        <v/>
      </c>
      <c r="Z135" s="14">
        <f>IF(X135="","",MAX(0,X135-Y135))</f>
        <v/>
      </c>
      <c r="AA135" s="16">
        <f>IF(G135="","",G135)</f>
        <v/>
      </c>
      <c r="AB135" s="16">
        <f>IF(AA135="","",EDATE(AA135,36))</f>
        <v/>
      </c>
      <c r="AC135" s="6">
        <f>IF(A135="","",IF(COUNTIF($A$2:$A$501,A135)&gt;1,"异常：事件编号重复",IF(OR(C135="",D135="",E135="",F135="",G135="",I135="",J135=""),"异常：必填项缺失",IF(OR(I135&lt;=0,J135&lt;0),"异常：数量或价格无效",IF(AND(F135="限制性股票",OR(M135&lt;=0,N135&lt;0,I135&gt;M135)),"异常：个人获授或出资数据无效",IF(AND(F135="股票期权",K135&lt;&gt;IF(G135&lt;DATE(2025,1,10),14.56,IF(G135&lt;DATE(2025,4,29),14.32,IF(G135&lt;DATE(2025,9,26),14.18,14.04)))),"异常：行权价格区间不符",IF(Q135&lt;&gt;"已备案","提示：未确认备案","正常")))))))</f>
        <v/>
      </c>
      <c r="AD135" s="11" t="n"/>
    </row>
    <row r="136">
      <c r="A136" s="11" t="n"/>
      <c r="B136" s="6">
        <f>IF(A136="","",A136&amp;"-TAX")</f>
        <v/>
      </c>
      <c r="C136" s="11" t="n"/>
      <c r="D136" s="11" t="n"/>
      <c r="E136" s="11" t="n"/>
      <c r="F136" s="11" t="n"/>
      <c r="G136" s="12" t="n"/>
      <c r="H136" s="6">
        <f>IF(G136="","",YEAR(G136))</f>
        <v/>
      </c>
      <c r="I136" s="11" t="n"/>
      <c r="J136" s="13" t="n"/>
      <c r="K136" s="14">
        <f>IF(F136="股票期权",IF(G136="","",IF(G136&lt;DATE(2025,1,10),14.56,IF(G136&lt;DATE(2025,4,29),14.32,IF(G136&lt;DATE(2025,9,26),14.18,14.04)))),IF(F136="限制性股票",8.68,""))</f>
        <v/>
      </c>
      <c r="L136" s="14">
        <f>IF(F136="限制性股票",13.06,"")</f>
        <v/>
      </c>
      <c r="M136" s="11" t="n"/>
      <c r="N136" s="13" t="n"/>
      <c r="O136" s="13" t="n"/>
      <c r="P136" s="12" t="n"/>
      <c r="Q136" s="11" t="n"/>
      <c r="R136" s="12" t="n"/>
      <c r="S136" s="14">
        <f>IF(OR(A136="",C136="",F136="",G136="",I136="",J136=""),"",IF(F136="股票期权",MAX(0,(J136-K136)*I136),IF(F136="限制性股票",IF(OR(L136="",M136="",M136&lt;=0,N136=""),"",MAX(0,((L136+J136)/2)*I136-N136*I136/M136)),MAX(0,O136))))</f>
        <v/>
      </c>
      <c r="T136" s="14">
        <f>IF(S136="","",SUMIFS($S$2:$S$501,$C$2:$C$501,C136,$H$2:$H$501,H136,$G$2:$G$501,"&lt;"&amp;G136)+SUMIFS($S$2:$S$501,$C$2:$C$501,C136,$H$2:$H$501,H136,$G$2:$G$501,G136,$A$2:$A$501,"&lt;"&amp;A136))</f>
        <v/>
      </c>
      <c r="U136" s="14">
        <f>IF(S136="","",T136+S136)</f>
        <v/>
      </c>
      <c r="V136" s="15">
        <f>IF(U136="","",VLOOKUP(U136,'税率及规则'!$A$2:$C$8,2,TRUE))</f>
        <v/>
      </c>
      <c r="W136" s="14">
        <f>IF(U136="","",VLOOKUP(U136,'税率及规则'!$A$2:$C$8,3,TRUE))</f>
        <v/>
      </c>
      <c r="X136" s="14">
        <f>IF(U136="","",MAX(0,U136*V136-W136))</f>
        <v/>
      </c>
      <c r="Y136" s="14">
        <f>IF(T136="","",MAX(0,T136*VLOOKUP(T136,'税率及规则'!$A$2:$C$8,2,TRUE)-VLOOKUP(T136,'税率及规则'!$A$2:$C$8,3,TRUE)))</f>
        <v/>
      </c>
      <c r="Z136" s="14">
        <f>IF(X136="","",MAX(0,X136-Y136))</f>
        <v/>
      </c>
      <c r="AA136" s="16">
        <f>IF(G136="","",G136)</f>
        <v/>
      </c>
      <c r="AB136" s="16">
        <f>IF(AA136="","",EDATE(AA136,36))</f>
        <v/>
      </c>
      <c r="AC136" s="6">
        <f>IF(A136="","",IF(COUNTIF($A$2:$A$501,A136)&gt;1,"异常：事件编号重复",IF(OR(C136="",D136="",E136="",F136="",G136="",I136="",J136=""),"异常：必填项缺失",IF(OR(I136&lt;=0,J136&lt;0),"异常：数量或价格无效",IF(AND(F136="限制性股票",OR(M136&lt;=0,N136&lt;0,I136&gt;M136)),"异常：个人获授或出资数据无效",IF(AND(F136="股票期权",K136&lt;&gt;IF(G136&lt;DATE(2025,1,10),14.56,IF(G136&lt;DATE(2025,4,29),14.32,IF(G136&lt;DATE(2025,9,26),14.18,14.04)))),"异常：行权价格区间不符",IF(Q136&lt;&gt;"已备案","提示：未确认备案","正常")))))))</f>
        <v/>
      </c>
      <c r="AD136" s="11" t="n"/>
    </row>
    <row r="137">
      <c r="A137" s="11" t="n"/>
      <c r="B137" s="6">
        <f>IF(A137="","",A137&amp;"-TAX")</f>
        <v/>
      </c>
      <c r="C137" s="11" t="n"/>
      <c r="D137" s="11" t="n"/>
      <c r="E137" s="11" t="n"/>
      <c r="F137" s="11" t="n"/>
      <c r="G137" s="12" t="n"/>
      <c r="H137" s="6">
        <f>IF(G137="","",YEAR(G137))</f>
        <v/>
      </c>
      <c r="I137" s="11" t="n"/>
      <c r="J137" s="13" t="n"/>
      <c r="K137" s="14">
        <f>IF(F137="股票期权",IF(G137="","",IF(G137&lt;DATE(2025,1,10),14.56,IF(G137&lt;DATE(2025,4,29),14.32,IF(G137&lt;DATE(2025,9,26),14.18,14.04)))),IF(F137="限制性股票",8.68,""))</f>
        <v/>
      </c>
      <c r="L137" s="14">
        <f>IF(F137="限制性股票",13.06,"")</f>
        <v/>
      </c>
      <c r="M137" s="11" t="n"/>
      <c r="N137" s="13" t="n"/>
      <c r="O137" s="13" t="n"/>
      <c r="P137" s="12" t="n"/>
      <c r="Q137" s="11" t="n"/>
      <c r="R137" s="12" t="n"/>
      <c r="S137" s="14">
        <f>IF(OR(A137="",C137="",F137="",G137="",I137="",J137=""),"",IF(F137="股票期权",MAX(0,(J137-K137)*I137),IF(F137="限制性股票",IF(OR(L137="",M137="",M137&lt;=0,N137=""),"",MAX(0,((L137+J137)/2)*I137-N137*I137/M137)),MAX(0,O137))))</f>
        <v/>
      </c>
      <c r="T137" s="14">
        <f>IF(S137="","",SUMIFS($S$2:$S$501,$C$2:$C$501,C137,$H$2:$H$501,H137,$G$2:$G$501,"&lt;"&amp;G137)+SUMIFS($S$2:$S$501,$C$2:$C$501,C137,$H$2:$H$501,H137,$G$2:$G$501,G137,$A$2:$A$501,"&lt;"&amp;A137))</f>
        <v/>
      </c>
      <c r="U137" s="14">
        <f>IF(S137="","",T137+S137)</f>
        <v/>
      </c>
      <c r="V137" s="15">
        <f>IF(U137="","",VLOOKUP(U137,'税率及规则'!$A$2:$C$8,2,TRUE))</f>
        <v/>
      </c>
      <c r="W137" s="14">
        <f>IF(U137="","",VLOOKUP(U137,'税率及规则'!$A$2:$C$8,3,TRUE))</f>
        <v/>
      </c>
      <c r="X137" s="14">
        <f>IF(U137="","",MAX(0,U137*V137-W137))</f>
        <v/>
      </c>
      <c r="Y137" s="14">
        <f>IF(T137="","",MAX(0,T137*VLOOKUP(T137,'税率及规则'!$A$2:$C$8,2,TRUE)-VLOOKUP(T137,'税率及规则'!$A$2:$C$8,3,TRUE)))</f>
        <v/>
      </c>
      <c r="Z137" s="14">
        <f>IF(X137="","",MAX(0,X137-Y137))</f>
        <v/>
      </c>
      <c r="AA137" s="16">
        <f>IF(G137="","",G137)</f>
        <v/>
      </c>
      <c r="AB137" s="16">
        <f>IF(AA137="","",EDATE(AA137,36))</f>
        <v/>
      </c>
      <c r="AC137" s="6">
        <f>IF(A137="","",IF(COUNTIF($A$2:$A$501,A137)&gt;1,"异常：事件编号重复",IF(OR(C137="",D137="",E137="",F137="",G137="",I137="",J137=""),"异常：必填项缺失",IF(OR(I137&lt;=0,J137&lt;0),"异常：数量或价格无效",IF(AND(F137="限制性股票",OR(M137&lt;=0,N137&lt;0,I137&gt;M137)),"异常：个人获授或出资数据无效",IF(AND(F137="股票期权",K137&lt;&gt;IF(G137&lt;DATE(2025,1,10),14.56,IF(G137&lt;DATE(2025,4,29),14.32,IF(G137&lt;DATE(2025,9,26),14.18,14.04)))),"异常：行权价格区间不符",IF(Q137&lt;&gt;"已备案","提示：未确认备案","正常")))))))</f>
        <v/>
      </c>
      <c r="AD137" s="11" t="n"/>
    </row>
    <row r="138">
      <c r="A138" s="11" t="n"/>
      <c r="B138" s="6">
        <f>IF(A138="","",A138&amp;"-TAX")</f>
        <v/>
      </c>
      <c r="C138" s="11" t="n"/>
      <c r="D138" s="11" t="n"/>
      <c r="E138" s="11" t="n"/>
      <c r="F138" s="11" t="n"/>
      <c r="G138" s="12" t="n"/>
      <c r="H138" s="6">
        <f>IF(G138="","",YEAR(G138))</f>
        <v/>
      </c>
      <c r="I138" s="11" t="n"/>
      <c r="J138" s="13" t="n"/>
      <c r="K138" s="14">
        <f>IF(F138="股票期权",IF(G138="","",IF(G138&lt;DATE(2025,1,10),14.56,IF(G138&lt;DATE(2025,4,29),14.32,IF(G138&lt;DATE(2025,9,26),14.18,14.04)))),IF(F138="限制性股票",8.68,""))</f>
        <v/>
      </c>
      <c r="L138" s="14">
        <f>IF(F138="限制性股票",13.06,"")</f>
        <v/>
      </c>
      <c r="M138" s="11" t="n"/>
      <c r="N138" s="13" t="n"/>
      <c r="O138" s="13" t="n"/>
      <c r="P138" s="12" t="n"/>
      <c r="Q138" s="11" t="n"/>
      <c r="R138" s="12" t="n"/>
      <c r="S138" s="14">
        <f>IF(OR(A138="",C138="",F138="",G138="",I138="",J138=""),"",IF(F138="股票期权",MAX(0,(J138-K138)*I138),IF(F138="限制性股票",IF(OR(L138="",M138="",M138&lt;=0,N138=""),"",MAX(0,((L138+J138)/2)*I138-N138*I138/M138)),MAX(0,O138))))</f>
        <v/>
      </c>
      <c r="T138" s="14">
        <f>IF(S138="","",SUMIFS($S$2:$S$501,$C$2:$C$501,C138,$H$2:$H$501,H138,$G$2:$G$501,"&lt;"&amp;G138)+SUMIFS($S$2:$S$501,$C$2:$C$501,C138,$H$2:$H$501,H138,$G$2:$G$501,G138,$A$2:$A$501,"&lt;"&amp;A138))</f>
        <v/>
      </c>
      <c r="U138" s="14">
        <f>IF(S138="","",T138+S138)</f>
        <v/>
      </c>
      <c r="V138" s="15">
        <f>IF(U138="","",VLOOKUP(U138,'税率及规则'!$A$2:$C$8,2,TRUE))</f>
        <v/>
      </c>
      <c r="W138" s="14">
        <f>IF(U138="","",VLOOKUP(U138,'税率及规则'!$A$2:$C$8,3,TRUE))</f>
        <v/>
      </c>
      <c r="X138" s="14">
        <f>IF(U138="","",MAX(0,U138*V138-W138))</f>
        <v/>
      </c>
      <c r="Y138" s="14">
        <f>IF(T138="","",MAX(0,T138*VLOOKUP(T138,'税率及规则'!$A$2:$C$8,2,TRUE)-VLOOKUP(T138,'税率及规则'!$A$2:$C$8,3,TRUE)))</f>
        <v/>
      </c>
      <c r="Z138" s="14">
        <f>IF(X138="","",MAX(0,X138-Y138))</f>
        <v/>
      </c>
      <c r="AA138" s="16">
        <f>IF(G138="","",G138)</f>
        <v/>
      </c>
      <c r="AB138" s="16">
        <f>IF(AA138="","",EDATE(AA138,36))</f>
        <v/>
      </c>
      <c r="AC138" s="6">
        <f>IF(A138="","",IF(COUNTIF($A$2:$A$501,A138)&gt;1,"异常：事件编号重复",IF(OR(C138="",D138="",E138="",F138="",G138="",I138="",J138=""),"异常：必填项缺失",IF(OR(I138&lt;=0,J138&lt;0),"异常：数量或价格无效",IF(AND(F138="限制性股票",OR(M138&lt;=0,N138&lt;0,I138&gt;M138)),"异常：个人获授或出资数据无效",IF(AND(F138="股票期权",K138&lt;&gt;IF(G138&lt;DATE(2025,1,10),14.56,IF(G138&lt;DATE(2025,4,29),14.32,IF(G138&lt;DATE(2025,9,26),14.18,14.04)))),"异常：行权价格区间不符",IF(Q138&lt;&gt;"已备案","提示：未确认备案","正常")))))))</f>
        <v/>
      </c>
      <c r="AD138" s="11" t="n"/>
    </row>
    <row r="139">
      <c r="A139" s="11" t="n"/>
      <c r="B139" s="6">
        <f>IF(A139="","",A139&amp;"-TAX")</f>
        <v/>
      </c>
      <c r="C139" s="11" t="n"/>
      <c r="D139" s="11" t="n"/>
      <c r="E139" s="11" t="n"/>
      <c r="F139" s="11" t="n"/>
      <c r="G139" s="12" t="n"/>
      <c r="H139" s="6">
        <f>IF(G139="","",YEAR(G139))</f>
        <v/>
      </c>
      <c r="I139" s="11" t="n"/>
      <c r="J139" s="13" t="n"/>
      <c r="K139" s="14">
        <f>IF(F139="股票期权",IF(G139="","",IF(G139&lt;DATE(2025,1,10),14.56,IF(G139&lt;DATE(2025,4,29),14.32,IF(G139&lt;DATE(2025,9,26),14.18,14.04)))),IF(F139="限制性股票",8.68,""))</f>
        <v/>
      </c>
      <c r="L139" s="14">
        <f>IF(F139="限制性股票",13.06,"")</f>
        <v/>
      </c>
      <c r="M139" s="11" t="n"/>
      <c r="N139" s="13" t="n"/>
      <c r="O139" s="13" t="n"/>
      <c r="P139" s="12" t="n"/>
      <c r="Q139" s="11" t="n"/>
      <c r="R139" s="12" t="n"/>
      <c r="S139" s="14">
        <f>IF(OR(A139="",C139="",F139="",G139="",I139="",J139=""),"",IF(F139="股票期权",MAX(0,(J139-K139)*I139),IF(F139="限制性股票",IF(OR(L139="",M139="",M139&lt;=0,N139=""),"",MAX(0,((L139+J139)/2)*I139-N139*I139/M139)),MAX(0,O139))))</f>
        <v/>
      </c>
      <c r="T139" s="14">
        <f>IF(S139="","",SUMIFS($S$2:$S$501,$C$2:$C$501,C139,$H$2:$H$501,H139,$G$2:$G$501,"&lt;"&amp;G139)+SUMIFS($S$2:$S$501,$C$2:$C$501,C139,$H$2:$H$501,H139,$G$2:$G$501,G139,$A$2:$A$501,"&lt;"&amp;A139))</f>
        <v/>
      </c>
      <c r="U139" s="14">
        <f>IF(S139="","",T139+S139)</f>
        <v/>
      </c>
      <c r="V139" s="15">
        <f>IF(U139="","",VLOOKUP(U139,'税率及规则'!$A$2:$C$8,2,TRUE))</f>
        <v/>
      </c>
      <c r="W139" s="14">
        <f>IF(U139="","",VLOOKUP(U139,'税率及规则'!$A$2:$C$8,3,TRUE))</f>
        <v/>
      </c>
      <c r="X139" s="14">
        <f>IF(U139="","",MAX(0,U139*V139-W139))</f>
        <v/>
      </c>
      <c r="Y139" s="14">
        <f>IF(T139="","",MAX(0,T139*VLOOKUP(T139,'税率及规则'!$A$2:$C$8,2,TRUE)-VLOOKUP(T139,'税率及规则'!$A$2:$C$8,3,TRUE)))</f>
        <v/>
      </c>
      <c r="Z139" s="14">
        <f>IF(X139="","",MAX(0,X139-Y139))</f>
        <v/>
      </c>
      <c r="AA139" s="16">
        <f>IF(G139="","",G139)</f>
        <v/>
      </c>
      <c r="AB139" s="16">
        <f>IF(AA139="","",EDATE(AA139,36))</f>
        <v/>
      </c>
      <c r="AC139" s="6">
        <f>IF(A139="","",IF(COUNTIF($A$2:$A$501,A139)&gt;1,"异常：事件编号重复",IF(OR(C139="",D139="",E139="",F139="",G139="",I139="",J139=""),"异常：必填项缺失",IF(OR(I139&lt;=0,J139&lt;0),"异常：数量或价格无效",IF(AND(F139="限制性股票",OR(M139&lt;=0,N139&lt;0,I139&gt;M139)),"异常：个人获授或出资数据无效",IF(AND(F139="股票期权",K139&lt;&gt;IF(G139&lt;DATE(2025,1,10),14.56,IF(G139&lt;DATE(2025,4,29),14.32,IF(G139&lt;DATE(2025,9,26),14.18,14.04)))),"异常：行权价格区间不符",IF(Q139&lt;&gt;"已备案","提示：未确认备案","正常")))))))</f>
        <v/>
      </c>
      <c r="AD139" s="11" t="n"/>
    </row>
    <row r="140">
      <c r="A140" s="11" t="n"/>
      <c r="B140" s="6">
        <f>IF(A140="","",A140&amp;"-TAX")</f>
        <v/>
      </c>
      <c r="C140" s="11" t="n"/>
      <c r="D140" s="11" t="n"/>
      <c r="E140" s="11" t="n"/>
      <c r="F140" s="11" t="n"/>
      <c r="G140" s="12" t="n"/>
      <c r="H140" s="6">
        <f>IF(G140="","",YEAR(G140))</f>
        <v/>
      </c>
      <c r="I140" s="11" t="n"/>
      <c r="J140" s="13" t="n"/>
      <c r="K140" s="14">
        <f>IF(F140="股票期权",IF(G140="","",IF(G140&lt;DATE(2025,1,10),14.56,IF(G140&lt;DATE(2025,4,29),14.32,IF(G140&lt;DATE(2025,9,26),14.18,14.04)))),IF(F140="限制性股票",8.68,""))</f>
        <v/>
      </c>
      <c r="L140" s="14">
        <f>IF(F140="限制性股票",13.06,"")</f>
        <v/>
      </c>
      <c r="M140" s="11" t="n"/>
      <c r="N140" s="13" t="n"/>
      <c r="O140" s="13" t="n"/>
      <c r="P140" s="12" t="n"/>
      <c r="Q140" s="11" t="n"/>
      <c r="R140" s="12" t="n"/>
      <c r="S140" s="14">
        <f>IF(OR(A140="",C140="",F140="",G140="",I140="",J140=""),"",IF(F140="股票期权",MAX(0,(J140-K140)*I140),IF(F140="限制性股票",IF(OR(L140="",M140="",M140&lt;=0,N140=""),"",MAX(0,((L140+J140)/2)*I140-N140*I140/M140)),MAX(0,O140))))</f>
        <v/>
      </c>
      <c r="T140" s="14">
        <f>IF(S140="","",SUMIFS($S$2:$S$501,$C$2:$C$501,C140,$H$2:$H$501,H140,$G$2:$G$501,"&lt;"&amp;G140)+SUMIFS($S$2:$S$501,$C$2:$C$501,C140,$H$2:$H$501,H140,$G$2:$G$501,G140,$A$2:$A$501,"&lt;"&amp;A140))</f>
        <v/>
      </c>
      <c r="U140" s="14">
        <f>IF(S140="","",T140+S140)</f>
        <v/>
      </c>
      <c r="V140" s="15">
        <f>IF(U140="","",VLOOKUP(U140,'税率及规则'!$A$2:$C$8,2,TRUE))</f>
        <v/>
      </c>
      <c r="W140" s="14">
        <f>IF(U140="","",VLOOKUP(U140,'税率及规则'!$A$2:$C$8,3,TRUE))</f>
        <v/>
      </c>
      <c r="X140" s="14">
        <f>IF(U140="","",MAX(0,U140*V140-W140))</f>
        <v/>
      </c>
      <c r="Y140" s="14">
        <f>IF(T140="","",MAX(0,T140*VLOOKUP(T140,'税率及规则'!$A$2:$C$8,2,TRUE)-VLOOKUP(T140,'税率及规则'!$A$2:$C$8,3,TRUE)))</f>
        <v/>
      </c>
      <c r="Z140" s="14">
        <f>IF(X140="","",MAX(0,X140-Y140))</f>
        <v/>
      </c>
      <c r="AA140" s="16">
        <f>IF(G140="","",G140)</f>
        <v/>
      </c>
      <c r="AB140" s="16">
        <f>IF(AA140="","",EDATE(AA140,36))</f>
        <v/>
      </c>
      <c r="AC140" s="6">
        <f>IF(A140="","",IF(COUNTIF($A$2:$A$501,A140)&gt;1,"异常：事件编号重复",IF(OR(C140="",D140="",E140="",F140="",G140="",I140="",J140=""),"异常：必填项缺失",IF(OR(I140&lt;=0,J140&lt;0),"异常：数量或价格无效",IF(AND(F140="限制性股票",OR(M140&lt;=0,N140&lt;0,I140&gt;M140)),"异常：个人获授或出资数据无效",IF(AND(F140="股票期权",K140&lt;&gt;IF(G140&lt;DATE(2025,1,10),14.56,IF(G140&lt;DATE(2025,4,29),14.32,IF(G140&lt;DATE(2025,9,26),14.18,14.04)))),"异常：行权价格区间不符",IF(Q140&lt;&gt;"已备案","提示：未确认备案","正常")))))))</f>
        <v/>
      </c>
      <c r="AD140" s="11" t="n"/>
    </row>
    <row r="141">
      <c r="A141" s="11" t="n"/>
      <c r="B141" s="6">
        <f>IF(A141="","",A141&amp;"-TAX")</f>
        <v/>
      </c>
      <c r="C141" s="11" t="n"/>
      <c r="D141" s="11" t="n"/>
      <c r="E141" s="11" t="n"/>
      <c r="F141" s="11" t="n"/>
      <c r="G141" s="12" t="n"/>
      <c r="H141" s="6">
        <f>IF(G141="","",YEAR(G141))</f>
        <v/>
      </c>
      <c r="I141" s="11" t="n"/>
      <c r="J141" s="13" t="n"/>
      <c r="K141" s="14">
        <f>IF(F141="股票期权",IF(G141="","",IF(G141&lt;DATE(2025,1,10),14.56,IF(G141&lt;DATE(2025,4,29),14.32,IF(G141&lt;DATE(2025,9,26),14.18,14.04)))),IF(F141="限制性股票",8.68,""))</f>
        <v/>
      </c>
      <c r="L141" s="14">
        <f>IF(F141="限制性股票",13.06,"")</f>
        <v/>
      </c>
      <c r="M141" s="11" t="n"/>
      <c r="N141" s="13" t="n"/>
      <c r="O141" s="13" t="n"/>
      <c r="P141" s="12" t="n"/>
      <c r="Q141" s="11" t="n"/>
      <c r="R141" s="12" t="n"/>
      <c r="S141" s="14">
        <f>IF(OR(A141="",C141="",F141="",G141="",I141="",J141=""),"",IF(F141="股票期权",MAX(0,(J141-K141)*I141),IF(F141="限制性股票",IF(OR(L141="",M141="",M141&lt;=0,N141=""),"",MAX(0,((L141+J141)/2)*I141-N141*I141/M141)),MAX(0,O141))))</f>
        <v/>
      </c>
      <c r="T141" s="14">
        <f>IF(S141="","",SUMIFS($S$2:$S$501,$C$2:$C$501,C141,$H$2:$H$501,H141,$G$2:$G$501,"&lt;"&amp;G141)+SUMIFS($S$2:$S$501,$C$2:$C$501,C141,$H$2:$H$501,H141,$G$2:$G$501,G141,$A$2:$A$501,"&lt;"&amp;A141))</f>
        <v/>
      </c>
      <c r="U141" s="14">
        <f>IF(S141="","",T141+S141)</f>
        <v/>
      </c>
      <c r="V141" s="15">
        <f>IF(U141="","",VLOOKUP(U141,'税率及规则'!$A$2:$C$8,2,TRUE))</f>
        <v/>
      </c>
      <c r="W141" s="14">
        <f>IF(U141="","",VLOOKUP(U141,'税率及规则'!$A$2:$C$8,3,TRUE))</f>
        <v/>
      </c>
      <c r="X141" s="14">
        <f>IF(U141="","",MAX(0,U141*V141-W141))</f>
        <v/>
      </c>
      <c r="Y141" s="14">
        <f>IF(T141="","",MAX(0,T141*VLOOKUP(T141,'税率及规则'!$A$2:$C$8,2,TRUE)-VLOOKUP(T141,'税率及规则'!$A$2:$C$8,3,TRUE)))</f>
        <v/>
      </c>
      <c r="Z141" s="14">
        <f>IF(X141="","",MAX(0,X141-Y141))</f>
        <v/>
      </c>
      <c r="AA141" s="16">
        <f>IF(G141="","",G141)</f>
        <v/>
      </c>
      <c r="AB141" s="16">
        <f>IF(AA141="","",EDATE(AA141,36))</f>
        <v/>
      </c>
      <c r="AC141" s="6">
        <f>IF(A141="","",IF(COUNTIF($A$2:$A$501,A141)&gt;1,"异常：事件编号重复",IF(OR(C141="",D141="",E141="",F141="",G141="",I141="",J141=""),"异常：必填项缺失",IF(OR(I141&lt;=0,J141&lt;0),"异常：数量或价格无效",IF(AND(F141="限制性股票",OR(M141&lt;=0,N141&lt;0,I141&gt;M141)),"异常：个人获授或出资数据无效",IF(AND(F141="股票期权",K141&lt;&gt;IF(G141&lt;DATE(2025,1,10),14.56,IF(G141&lt;DATE(2025,4,29),14.32,IF(G141&lt;DATE(2025,9,26),14.18,14.04)))),"异常：行权价格区间不符",IF(Q141&lt;&gt;"已备案","提示：未确认备案","正常")))))))</f>
        <v/>
      </c>
      <c r="AD141" s="11" t="n"/>
    </row>
    <row r="142">
      <c r="A142" s="11" t="n"/>
      <c r="B142" s="6">
        <f>IF(A142="","",A142&amp;"-TAX")</f>
        <v/>
      </c>
      <c r="C142" s="11" t="n"/>
      <c r="D142" s="11" t="n"/>
      <c r="E142" s="11" t="n"/>
      <c r="F142" s="11" t="n"/>
      <c r="G142" s="12" t="n"/>
      <c r="H142" s="6">
        <f>IF(G142="","",YEAR(G142))</f>
        <v/>
      </c>
      <c r="I142" s="11" t="n"/>
      <c r="J142" s="13" t="n"/>
      <c r="K142" s="14">
        <f>IF(F142="股票期权",IF(G142="","",IF(G142&lt;DATE(2025,1,10),14.56,IF(G142&lt;DATE(2025,4,29),14.32,IF(G142&lt;DATE(2025,9,26),14.18,14.04)))),IF(F142="限制性股票",8.68,""))</f>
        <v/>
      </c>
      <c r="L142" s="14">
        <f>IF(F142="限制性股票",13.06,"")</f>
        <v/>
      </c>
      <c r="M142" s="11" t="n"/>
      <c r="N142" s="13" t="n"/>
      <c r="O142" s="13" t="n"/>
      <c r="P142" s="12" t="n"/>
      <c r="Q142" s="11" t="n"/>
      <c r="R142" s="12" t="n"/>
      <c r="S142" s="14">
        <f>IF(OR(A142="",C142="",F142="",G142="",I142="",J142=""),"",IF(F142="股票期权",MAX(0,(J142-K142)*I142),IF(F142="限制性股票",IF(OR(L142="",M142="",M142&lt;=0,N142=""),"",MAX(0,((L142+J142)/2)*I142-N142*I142/M142)),MAX(0,O142))))</f>
        <v/>
      </c>
      <c r="T142" s="14">
        <f>IF(S142="","",SUMIFS($S$2:$S$501,$C$2:$C$501,C142,$H$2:$H$501,H142,$G$2:$G$501,"&lt;"&amp;G142)+SUMIFS($S$2:$S$501,$C$2:$C$501,C142,$H$2:$H$501,H142,$G$2:$G$501,G142,$A$2:$A$501,"&lt;"&amp;A142))</f>
        <v/>
      </c>
      <c r="U142" s="14">
        <f>IF(S142="","",T142+S142)</f>
        <v/>
      </c>
      <c r="V142" s="15">
        <f>IF(U142="","",VLOOKUP(U142,'税率及规则'!$A$2:$C$8,2,TRUE))</f>
        <v/>
      </c>
      <c r="W142" s="14">
        <f>IF(U142="","",VLOOKUP(U142,'税率及规则'!$A$2:$C$8,3,TRUE))</f>
        <v/>
      </c>
      <c r="X142" s="14">
        <f>IF(U142="","",MAX(0,U142*V142-W142))</f>
        <v/>
      </c>
      <c r="Y142" s="14">
        <f>IF(T142="","",MAX(0,T142*VLOOKUP(T142,'税率及规则'!$A$2:$C$8,2,TRUE)-VLOOKUP(T142,'税率及规则'!$A$2:$C$8,3,TRUE)))</f>
        <v/>
      </c>
      <c r="Z142" s="14">
        <f>IF(X142="","",MAX(0,X142-Y142))</f>
        <v/>
      </c>
      <c r="AA142" s="16">
        <f>IF(G142="","",G142)</f>
        <v/>
      </c>
      <c r="AB142" s="16">
        <f>IF(AA142="","",EDATE(AA142,36))</f>
        <v/>
      </c>
      <c r="AC142" s="6">
        <f>IF(A142="","",IF(COUNTIF($A$2:$A$501,A142)&gt;1,"异常：事件编号重复",IF(OR(C142="",D142="",E142="",F142="",G142="",I142="",J142=""),"异常：必填项缺失",IF(OR(I142&lt;=0,J142&lt;0),"异常：数量或价格无效",IF(AND(F142="限制性股票",OR(M142&lt;=0,N142&lt;0,I142&gt;M142)),"异常：个人获授或出资数据无效",IF(AND(F142="股票期权",K142&lt;&gt;IF(G142&lt;DATE(2025,1,10),14.56,IF(G142&lt;DATE(2025,4,29),14.32,IF(G142&lt;DATE(2025,9,26),14.18,14.04)))),"异常：行权价格区间不符",IF(Q142&lt;&gt;"已备案","提示：未确认备案","正常")))))))</f>
        <v/>
      </c>
      <c r="AD142" s="11" t="n"/>
    </row>
    <row r="143">
      <c r="A143" s="11" t="n"/>
      <c r="B143" s="6">
        <f>IF(A143="","",A143&amp;"-TAX")</f>
        <v/>
      </c>
      <c r="C143" s="11" t="n"/>
      <c r="D143" s="11" t="n"/>
      <c r="E143" s="11" t="n"/>
      <c r="F143" s="11" t="n"/>
      <c r="G143" s="12" t="n"/>
      <c r="H143" s="6">
        <f>IF(G143="","",YEAR(G143))</f>
        <v/>
      </c>
      <c r="I143" s="11" t="n"/>
      <c r="J143" s="13" t="n"/>
      <c r="K143" s="14">
        <f>IF(F143="股票期权",IF(G143="","",IF(G143&lt;DATE(2025,1,10),14.56,IF(G143&lt;DATE(2025,4,29),14.32,IF(G143&lt;DATE(2025,9,26),14.18,14.04)))),IF(F143="限制性股票",8.68,""))</f>
        <v/>
      </c>
      <c r="L143" s="14">
        <f>IF(F143="限制性股票",13.06,"")</f>
        <v/>
      </c>
      <c r="M143" s="11" t="n"/>
      <c r="N143" s="13" t="n"/>
      <c r="O143" s="13" t="n"/>
      <c r="P143" s="12" t="n"/>
      <c r="Q143" s="11" t="n"/>
      <c r="R143" s="12" t="n"/>
      <c r="S143" s="14">
        <f>IF(OR(A143="",C143="",F143="",G143="",I143="",J143=""),"",IF(F143="股票期权",MAX(0,(J143-K143)*I143),IF(F143="限制性股票",IF(OR(L143="",M143="",M143&lt;=0,N143=""),"",MAX(0,((L143+J143)/2)*I143-N143*I143/M143)),MAX(0,O143))))</f>
        <v/>
      </c>
      <c r="T143" s="14">
        <f>IF(S143="","",SUMIFS($S$2:$S$501,$C$2:$C$501,C143,$H$2:$H$501,H143,$G$2:$G$501,"&lt;"&amp;G143)+SUMIFS($S$2:$S$501,$C$2:$C$501,C143,$H$2:$H$501,H143,$G$2:$G$501,G143,$A$2:$A$501,"&lt;"&amp;A143))</f>
        <v/>
      </c>
      <c r="U143" s="14">
        <f>IF(S143="","",T143+S143)</f>
        <v/>
      </c>
      <c r="V143" s="15">
        <f>IF(U143="","",VLOOKUP(U143,'税率及规则'!$A$2:$C$8,2,TRUE))</f>
        <v/>
      </c>
      <c r="W143" s="14">
        <f>IF(U143="","",VLOOKUP(U143,'税率及规则'!$A$2:$C$8,3,TRUE))</f>
        <v/>
      </c>
      <c r="X143" s="14">
        <f>IF(U143="","",MAX(0,U143*V143-W143))</f>
        <v/>
      </c>
      <c r="Y143" s="14">
        <f>IF(T143="","",MAX(0,T143*VLOOKUP(T143,'税率及规则'!$A$2:$C$8,2,TRUE)-VLOOKUP(T143,'税率及规则'!$A$2:$C$8,3,TRUE)))</f>
        <v/>
      </c>
      <c r="Z143" s="14">
        <f>IF(X143="","",MAX(0,X143-Y143))</f>
        <v/>
      </c>
      <c r="AA143" s="16">
        <f>IF(G143="","",G143)</f>
        <v/>
      </c>
      <c r="AB143" s="16">
        <f>IF(AA143="","",EDATE(AA143,36))</f>
        <v/>
      </c>
      <c r="AC143" s="6">
        <f>IF(A143="","",IF(COUNTIF($A$2:$A$501,A143)&gt;1,"异常：事件编号重复",IF(OR(C143="",D143="",E143="",F143="",G143="",I143="",J143=""),"异常：必填项缺失",IF(OR(I143&lt;=0,J143&lt;0),"异常：数量或价格无效",IF(AND(F143="限制性股票",OR(M143&lt;=0,N143&lt;0,I143&gt;M143)),"异常：个人获授或出资数据无效",IF(AND(F143="股票期权",K143&lt;&gt;IF(G143&lt;DATE(2025,1,10),14.56,IF(G143&lt;DATE(2025,4,29),14.32,IF(G143&lt;DATE(2025,9,26),14.18,14.04)))),"异常：行权价格区间不符",IF(Q143&lt;&gt;"已备案","提示：未确认备案","正常")))))))</f>
        <v/>
      </c>
      <c r="AD143" s="11" t="n"/>
    </row>
    <row r="144">
      <c r="A144" s="11" t="n"/>
      <c r="B144" s="6">
        <f>IF(A144="","",A144&amp;"-TAX")</f>
        <v/>
      </c>
      <c r="C144" s="11" t="n"/>
      <c r="D144" s="11" t="n"/>
      <c r="E144" s="11" t="n"/>
      <c r="F144" s="11" t="n"/>
      <c r="G144" s="12" t="n"/>
      <c r="H144" s="6">
        <f>IF(G144="","",YEAR(G144))</f>
        <v/>
      </c>
      <c r="I144" s="11" t="n"/>
      <c r="J144" s="13" t="n"/>
      <c r="K144" s="14">
        <f>IF(F144="股票期权",IF(G144="","",IF(G144&lt;DATE(2025,1,10),14.56,IF(G144&lt;DATE(2025,4,29),14.32,IF(G144&lt;DATE(2025,9,26),14.18,14.04)))),IF(F144="限制性股票",8.68,""))</f>
        <v/>
      </c>
      <c r="L144" s="14">
        <f>IF(F144="限制性股票",13.06,"")</f>
        <v/>
      </c>
      <c r="M144" s="11" t="n"/>
      <c r="N144" s="13" t="n"/>
      <c r="O144" s="13" t="n"/>
      <c r="P144" s="12" t="n"/>
      <c r="Q144" s="11" t="n"/>
      <c r="R144" s="12" t="n"/>
      <c r="S144" s="14">
        <f>IF(OR(A144="",C144="",F144="",G144="",I144="",J144=""),"",IF(F144="股票期权",MAX(0,(J144-K144)*I144),IF(F144="限制性股票",IF(OR(L144="",M144="",M144&lt;=0,N144=""),"",MAX(0,((L144+J144)/2)*I144-N144*I144/M144)),MAX(0,O144))))</f>
        <v/>
      </c>
      <c r="T144" s="14">
        <f>IF(S144="","",SUMIFS($S$2:$S$501,$C$2:$C$501,C144,$H$2:$H$501,H144,$G$2:$G$501,"&lt;"&amp;G144)+SUMIFS($S$2:$S$501,$C$2:$C$501,C144,$H$2:$H$501,H144,$G$2:$G$501,G144,$A$2:$A$501,"&lt;"&amp;A144))</f>
        <v/>
      </c>
      <c r="U144" s="14">
        <f>IF(S144="","",T144+S144)</f>
        <v/>
      </c>
      <c r="V144" s="15">
        <f>IF(U144="","",VLOOKUP(U144,'税率及规则'!$A$2:$C$8,2,TRUE))</f>
        <v/>
      </c>
      <c r="W144" s="14">
        <f>IF(U144="","",VLOOKUP(U144,'税率及规则'!$A$2:$C$8,3,TRUE))</f>
        <v/>
      </c>
      <c r="X144" s="14">
        <f>IF(U144="","",MAX(0,U144*V144-W144))</f>
        <v/>
      </c>
      <c r="Y144" s="14">
        <f>IF(T144="","",MAX(0,T144*VLOOKUP(T144,'税率及规则'!$A$2:$C$8,2,TRUE)-VLOOKUP(T144,'税率及规则'!$A$2:$C$8,3,TRUE)))</f>
        <v/>
      </c>
      <c r="Z144" s="14">
        <f>IF(X144="","",MAX(0,X144-Y144))</f>
        <v/>
      </c>
      <c r="AA144" s="16">
        <f>IF(G144="","",G144)</f>
        <v/>
      </c>
      <c r="AB144" s="16">
        <f>IF(AA144="","",EDATE(AA144,36))</f>
        <v/>
      </c>
      <c r="AC144" s="6">
        <f>IF(A144="","",IF(COUNTIF($A$2:$A$501,A144)&gt;1,"异常：事件编号重复",IF(OR(C144="",D144="",E144="",F144="",G144="",I144="",J144=""),"异常：必填项缺失",IF(OR(I144&lt;=0,J144&lt;0),"异常：数量或价格无效",IF(AND(F144="限制性股票",OR(M144&lt;=0,N144&lt;0,I144&gt;M144)),"异常：个人获授或出资数据无效",IF(AND(F144="股票期权",K144&lt;&gt;IF(G144&lt;DATE(2025,1,10),14.56,IF(G144&lt;DATE(2025,4,29),14.32,IF(G144&lt;DATE(2025,9,26),14.18,14.04)))),"异常：行权价格区间不符",IF(Q144&lt;&gt;"已备案","提示：未确认备案","正常")))))))</f>
        <v/>
      </c>
      <c r="AD144" s="11" t="n"/>
    </row>
    <row r="145">
      <c r="A145" s="11" t="n"/>
      <c r="B145" s="6">
        <f>IF(A145="","",A145&amp;"-TAX")</f>
        <v/>
      </c>
      <c r="C145" s="11" t="n"/>
      <c r="D145" s="11" t="n"/>
      <c r="E145" s="11" t="n"/>
      <c r="F145" s="11" t="n"/>
      <c r="G145" s="12" t="n"/>
      <c r="H145" s="6">
        <f>IF(G145="","",YEAR(G145))</f>
        <v/>
      </c>
      <c r="I145" s="11" t="n"/>
      <c r="J145" s="13" t="n"/>
      <c r="K145" s="14">
        <f>IF(F145="股票期权",IF(G145="","",IF(G145&lt;DATE(2025,1,10),14.56,IF(G145&lt;DATE(2025,4,29),14.32,IF(G145&lt;DATE(2025,9,26),14.18,14.04)))),IF(F145="限制性股票",8.68,""))</f>
        <v/>
      </c>
      <c r="L145" s="14">
        <f>IF(F145="限制性股票",13.06,"")</f>
        <v/>
      </c>
      <c r="M145" s="11" t="n"/>
      <c r="N145" s="13" t="n"/>
      <c r="O145" s="13" t="n"/>
      <c r="P145" s="12" t="n"/>
      <c r="Q145" s="11" t="n"/>
      <c r="R145" s="12" t="n"/>
      <c r="S145" s="14">
        <f>IF(OR(A145="",C145="",F145="",G145="",I145="",J145=""),"",IF(F145="股票期权",MAX(0,(J145-K145)*I145),IF(F145="限制性股票",IF(OR(L145="",M145="",M145&lt;=0,N145=""),"",MAX(0,((L145+J145)/2)*I145-N145*I145/M145)),MAX(0,O145))))</f>
        <v/>
      </c>
      <c r="T145" s="14">
        <f>IF(S145="","",SUMIFS($S$2:$S$501,$C$2:$C$501,C145,$H$2:$H$501,H145,$G$2:$G$501,"&lt;"&amp;G145)+SUMIFS($S$2:$S$501,$C$2:$C$501,C145,$H$2:$H$501,H145,$G$2:$G$501,G145,$A$2:$A$501,"&lt;"&amp;A145))</f>
        <v/>
      </c>
      <c r="U145" s="14">
        <f>IF(S145="","",T145+S145)</f>
        <v/>
      </c>
      <c r="V145" s="15">
        <f>IF(U145="","",VLOOKUP(U145,'税率及规则'!$A$2:$C$8,2,TRUE))</f>
        <v/>
      </c>
      <c r="W145" s="14">
        <f>IF(U145="","",VLOOKUP(U145,'税率及规则'!$A$2:$C$8,3,TRUE))</f>
        <v/>
      </c>
      <c r="X145" s="14">
        <f>IF(U145="","",MAX(0,U145*V145-W145))</f>
        <v/>
      </c>
      <c r="Y145" s="14">
        <f>IF(T145="","",MAX(0,T145*VLOOKUP(T145,'税率及规则'!$A$2:$C$8,2,TRUE)-VLOOKUP(T145,'税率及规则'!$A$2:$C$8,3,TRUE)))</f>
        <v/>
      </c>
      <c r="Z145" s="14">
        <f>IF(X145="","",MAX(0,X145-Y145))</f>
        <v/>
      </c>
      <c r="AA145" s="16">
        <f>IF(G145="","",G145)</f>
        <v/>
      </c>
      <c r="AB145" s="16">
        <f>IF(AA145="","",EDATE(AA145,36))</f>
        <v/>
      </c>
      <c r="AC145" s="6">
        <f>IF(A145="","",IF(COUNTIF($A$2:$A$501,A145)&gt;1,"异常：事件编号重复",IF(OR(C145="",D145="",E145="",F145="",G145="",I145="",J145=""),"异常：必填项缺失",IF(OR(I145&lt;=0,J145&lt;0),"异常：数量或价格无效",IF(AND(F145="限制性股票",OR(M145&lt;=0,N145&lt;0,I145&gt;M145)),"异常：个人获授或出资数据无效",IF(AND(F145="股票期权",K145&lt;&gt;IF(G145&lt;DATE(2025,1,10),14.56,IF(G145&lt;DATE(2025,4,29),14.32,IF(G145&lt;DATE(2025,9,26),14.18,14.04)))),"异常：行权价格区间不符",IF(Q145&lt;&gt;"已备案","提示：未确认备案","正常")))))))</f>
        <v/>
      </c>
      <c r="AD145" s="11" t="n"/>
    </row>
    <row r="146">
      <c r="A146" s="11" t="n"/>
      <c r="B146" s="6">
        <f>IF(A146="","",A146&amp;"-TAX")</f>
        <v/>
      </c>
      <c r="C146" s="11" t="n"/>
      <c r="D146" s="11" t="n"/>
      <c r="E146" s="11" t="n"/>
      <c r="F146" s="11" t="n"/>
      <c r="G146" s="12" t="n"/>
      <c r="H146" s="6">
        <f>IF(G146="","",YEAR(G146))</f>
        <v/>
      </c>
      <c r="I146" s="11" t="n"/>
      <c r="J146" s="13" t="n"/>
      <c r="K146" s="14">
        <f>IF(F146="股票期权",IF(G146="","",IF(G146&lt;DATE(2025,1,10),14.56,IF(G146&lt;DATE(2025,4,29),14.32,IF(G146&lt;DATE(2025,9,26),14.18,14.04)))),IF(F146="限制性股票",8.68,""))</f>
        <v/>
      </c>
      <c r="L146" s="14">
        <f>IF(F146="限制性股票",13.06,"")</f>
        <v/>
      </c>
      <c r="M146" s="11" t="n"/>
      <c r="N146" s="13" t="n"/>
      <c r="O146" s="13" t="n"/>
      <c r="P146" s="12" t="n"/>
      <c r="Q146" s="11" t="n"/>
      <c r="R146" s="12" t="n"/>
      <c r="S146" s="14">
        <f>IF(OR(A146="",C146="",F146="",G146="",I146="",J146=""),"",IF(F146="股票期权",MAX(0,(J146-K146)*I146),IF(F146="限制性股票",IF(OR(L146="",M146="",M146&lt;=0,N146=""),"",MAX(0,((L146+J146)/2)*I146-N146*I146/M146)),MAX(0,O146))))</f>
        <v/>
      </c>
      <c r="T146" s="14">
        <f>IF(S146="","",SUMIFS($S$2:$S$501,$C$2:$C$501,C146,$H$2:$H$501,H146,$G$2:$G$501,"&lt;"&amp;G146)+SUMIFS($S$2:$S$501,$C$2:$C$501,C146,$H$2:$H$501,H146,$G$2:$G$501,G146,$A$2:$A$501,"&lt;"&amp;A146))</f>
        <v/>
      </c>
      <c r="U146" s="14">
        <f>IF(S146="","",T146+S146)</f>
        <v/>
      </c>
      <c r="V146" s="15">
        <f>IF(U146="","",VLOOKUP(U146,'税率及规则'!$A$2:$C$8,2,TRUE))</f>
        <v/>
      </c>
      <c r="W146" s="14">
        <f>IF(U146="","",VLOOKUP(U146,'税率及规则'!$A$2:$C$8,3,TRUE))</f>
        <v/>
      </c>
      <c r="X146" s="14">
        <f>IF(U146="","",MAX(0,U146*V146-W146))</f>
        <v/>
      </c>
      <c r="Y146" s="14">
        <f>IF(T146="","",MAX(0,T146*VLOOKUP(T146,'税率及规则'!$A$2:$C$8,2,TRUE)-VLOOKUP(T146,'税率及规则'!$A$2:$C$8,3,TRUE)))</f>
        <v/>
      </c>
      <c r="Z146" s="14">
        <f>IF(X146="","",MAX(0,X146-Y146))</f>
        <v/>
      </c>
      <c r="AA146" s="16">
        <f>IF(G146="","",G146)</f>
        <v/>
      </c>
      <c r="AB146" s="16">
        <f>IF(AA146="","",EDATE(AA146,36))</f>
        <v/>
      </c>
      <c r="AC146" s="6">
        <f>IF(A146="","",IF(COUNTIF($A$2:$A$501,A146)&gt;1,"异常：事件编号重复",IF(OR(C146="",D146="",E146="",F146="",G146="",I146="",J146=""),"异常：必填项缺失",IF(OR(I146&lt;=0,J146&lt;0),"异常：数量或价格无效",IF(AND(F146="限制性股票",OR(M146&lt;=0,N146&lt;0,I146&gt;M146)),"异常：个人获授或出资数据无效",IF(AND(F146="股票期权",K146&lt;&gt;IF(G146&lt;DATE(2025,1,10),14.56,IF(G146&lt;DATE(2025,4,29),14.32,IF(G146&lt;DATE(2025,9,26),14.18,14.04)))),"异常：行权价格区间不符",IF(Q146&lt;&gt;"已备案","提示：未确认备案","正常")))))))</f>
        <v/>
      </c>
      <c r="AD146" s="11" t="n"/>
    </row>
    <row r="147">
      <c r="A147" s="11" t="n"/>
      <c r="B147" s="6">
        <f>IF(A147="","",A147&amp;"-TAX")</f>
        <v/>
      </c>
      <c r="C147" s="11" t="n"/>
      <c r="D147" s="11" t="n"/>
      <c r="E147" s="11" t="n"/>
      <c r="F147" s="11" t="n"/>
      <c r="G147" s="12" t="n"/>
      <c r="H147" s="6">
        <f>IF(G147="","",YEAR(G147))</f>
        <v/>
      </c>
      <c r="I147" s="11" t="n"/>
      <c r="J147" s="13" t="n"/>
      <c r="K147" s="14">
        <f>IF(F147="股票期权",IF(G147="","",IF(G147&lt;DATE(2025,1,10),14.56,IF(G147&lt;DATE(2025,4,29),14.32,IF(G147&lt;DATE(2025,9,26),14.18,14.04)))),IF(F147="限制性股票",8.68,""))</f>
        <v/>
      </c>
      <c r="L147" s="14">
        <f>IF(F147="限制性股票",13.06,"")</f>
        <v/>
      </c>
      <c r="M147" s="11" t="n"/>
      <c r="N147" s="13" t="n"/>
      <c r="O147" s="13" t="n"/>
      <c r="P147" s="12" t="n"/>
      <c r="Q147" s="11" t="n"/>
      <c r="R147" s="12" t="n"/>
      <c r="S147" s="14">
        <f>IF(OR(A147="",C147="",F147="",G147="",I147="",J147=""),"",IF(F147="股票期权",MAX(0,(J147-K147)*I147),IF(F147="限制性股票",IF(OR(L147="",M147="",M147&lt;=0,N147=""),"",MAX(0,((L147+J147)/2)*I147-N147*I147/M147)),MAX(0,O147))))</f>
        <v/>
      </c>
      <c r="T147" s="14">
        <f>IF(S147="","",SUMIFS($S$2:$S$501,$C$2:$C$501,C147,$H$2:$H$501,H147,$G$2:$G$501,"&lt;"&amp;G147)+SUMIFS($S$2:$S$501,$C$2:$C$501,C147,$H$2:$H$501,H147,$G$2:$G$501,G147,$A$2:$A$501,"&lt;"&amp;A147))</f>
        <v/>
      </c>
      <c r="U147" s="14">
        <f>IF(S147="","",T147+S147)</f>
        <v/>
      </c>
      <c r="V147" s="15">
        <f>IF(U147="","",VLOOKUP(U147,'税率及规则'!$A$2:$C$8,2,TRUE))</f>
        <v/>
      </c>
      <c r="W147" s="14">
        <f>IF(U147="","",VLOOKUP(U147,'税率及规则'!$A$2:$C$8,3,TRUE))</f>
        <v/>
      </c>
      <c r="X147" s="14">
        <f>IF(U147="","",MAX(0,U147*V147-W147))</f>
        <v/>
      </c>
      <c r="Y147" s="14">
        <f>IF(T147="","",MAX(0,T147*VLOOKUP(T147,'税率及规则'!$A$2:$C$8,2,TRUE)-VLOOKUP(T147,'税率及规则'!$A$2:$C$8,3,TRUE)))</f>
        <v/>
      </c>
      <c r="Z147" s="14">
        <f>IF(X147="","",MAX(0,X147-Y147))</f>
        <v/>
      </c>
      <c r="AA147" s="16">
        <f>IF(G147="","",G147)</f>
        <v/>
      </c>
      <c r="AB147" s="16">
        <f>IF(AA147="","",EDATE(AA147,36))</f>
        <v/>
      </c>
      <c r="AC147" s="6">
        <f>IF(A147="","",IF(COUNTIF($A$2:$A$501,A147)&gt;1,"异常：事件编号重复",IF(OR(C147="",D147="",E147="",F147="",G147="",I147="",J147=""),"异常：必填项缺失",IF(OR(I147&lt;=0,J147&lt;0),"异常：数量或价格无效",IF(AND(F147="限制性股票",OR(M147&lt;=0,N147&lt;0,I147&gt;M147)),"异常：个人获授或出资数据无效",IF(AND(F147="股票期权",K147&lt;&gt;IF(G147&lt;DATE(2025,1,10),14.56,IF(G147&lt;DATE(2025,4,29),14.32,IF(G147&lt;DATE(2025,9,26),14.18,14.04)))),"异常：行权价格区间不符",IF(Q147&lt;&gt;"已备案","提示：未确认备案","正常")))))))</f>
        <v/>
      </c>
      <c r="AD147" s="11" t="n"/>
    </row>
    <row r="148">
      <c r="A148" s="11" t="n"/>
      <c r="B148" s="6">
        <f>IF(A148="","",A148&amp;"-TAX")</f>
        <v/>
      </c>
      <c r="C148" s="11" t="n"/>
      <c r="D148" s="11" t="n"/>
      <c r="E148" s="11" t="n"/>
      <c r="F148" s="11" t="n"/>
      <c r="G148" s="12" t="n"/>
      <c r="H148" s="6">
        <f>IF(G148="","",YEAR(G148))</f>
        <v/>
      </c>
      <c r="I148" s="11" t="n"/>
      <c r="J148" s="13" t="n"/>
      <c r="K148" s="14">
        <f>IF(F148="股票期权",IF(G148="","",IF(G148&lt;DATE(2025,1,10),14.56,IF(G148&lt;DATE(2025,4,29),14.32,IF(G148&lt;DATE(2025,9,26),14.18,14.04)))),IF(F148="限制性股票",8.68,""))</f>
        <v/>
      </c>
      <c r="L148" s="14">
        <f>IF(F148="限制性股票",13.06,"")</f>
        <v/>
      </c>
      <c r="M148" s="11" t="n"/>
      <c r="N148" s="13" t="n"/>
      <c r="O148" s="13" t="n"/>
      <c r="P148" s="12" t="n"/>
      <c r="Q148" s="11" t="n"/>
      <c r="R148" s="12" t="n"/>
      <c r="S148" s="14">
        <f>IF(OR(A148="",C148="",F148="",G148="",I148="",J148=""),"",IF(F148="股票期权",MAX(0,(J148-K148)*I148),IF(F148="限制性股票",IF(OR(L148="",M148="",M148&lt;=0,N148=""),"",MAX(0,((L148+J148)/2)*I148-N148*I148/M148)),MAX(0,O148))))</f>
        <v/>
      </c>
      <c r="T148" s="14">
        <f>IF(S148="","",SUMIFS($S$2:$S$501,$C$2:$C$501,C148,$H$2:$H$501,H148,$G$2:$G$501,"&lt;"&amp;G148)+SUMIFS($S$2:$S$501,$C$2:$C$501,C148,$H$2:$H$501,H148,$G$2:$G$501,G148,$A$2:$A$501,"&lt;"&amp;A148))</f>
        <v/>
      </c>
      <c r="U148" s="14">
        <f>IF(S148="","",T148+S148)</f>
        <v/>
      </c>
      <c r="V148" s="15">
        <f>IF(U148="","",VLOOKUP(U148,'税率及规则'!$A$2:$C$8,2,TRUE))</f>
        <v/>
      </c>
      <c r="W148" s="14">
        <f>IF(U148="","",VLOOKUP(U148,'税率及规则'!$A$2:$C$8,3,TRUE))</f>
        <v/>
      </c>
      <c r="X148" s="14">
        <f>IF(U148="","",MAX(0,U148*V148-W148))</f>
        <v/>
      </c>
      <c r="Y148" s="14">
        <f>IF(T148="","",MAX(0,T148*VLOOKUP(T148,'税率及规则'!$A$2:$C$8,2,TRUE)-VLOOKUP(T148,'税率及规则'!$A$2:$C$8,3,TRUE)))</f>
        <v/>
      </c>
      <c r="Z148" s="14">
        <f>IF(X148="","",MAX(0,X148-Y148))</f>
        <v/>
      </c>
      <c r="AA148" s="16">
        <f>IF(G148="","",G148)</f>
        <v/>
      </c>
      <c r="AB148" s="16">
        <f>IF(AA148="","",EDATE(AA148,36))</f>
        <v/>
      </c>
      <c r="AC148" s="6">
        <f>IF(A148="","",IF(COUNTIF($A$2:$A$501,A148)&gt;1,"异常：事件编号重复",IF(OR(C148="",D148="",E148="",F148="",G148="",I148="",J148=""),"异常：必填项缺失",IF(OR(I148&lt;=0,J148&lt;0),"异常：数量或价格无效",IF(AND(F148="限制性股票",OR(M148&lt;=0,N148&lt;0,I148&gt;M148)),"异常：个人获授或出资数据无效",IF(AND(F148="股票期权",K148&lt;&gt;IF(G148&lt;DATE(2025,1,10),14.56,IF(G148&lt;DATE(2025,4,29),14.32,IF(G148&lt;DATE(2025,9,26),14.18,14.04)))),"异常：行权价格区间不符",IF(Q148&lt;&gt;"已备案","提示：未确认备案","正常")))))))</f>
        <v/>
      </c>
      <c r="AD148" s="11" t="n"/>
    </row>
    <row r="149">
      <c r="A149" s="11" t="n"/>
      <c r="B149" s="6">
        <f>IF(A149="","",A149&amp;"-TAX")</f>
        <v/>
      </c>
      <c r="C149" s="11" t="n"/>
      <c r="D149" s="11" t="n"/>
      <c r="E149" s="11" t="n"/>
      <c r="F149" s="11" t="n"/>
      <c r="G149" s="12" t="n"/>
      <c r="H149" s="6">
        <f>IF(G149="","",YEAR(G149))</f>
        <v/>
      </c>
      <c r="I149" s="11" t="n"/>
      <c r="J149" s="13" t="n"/>
      <c r="K149" s="14">
        <f>IF(F149="股票期权",IF(G149="","",IF(G149&lt;DATE(2025,1,10),14.56,IF(G149&lt;DATE(2025,4,29),14.32,IF(G149&lt;DATE(2025,9,26),14.18,14.04)))),IF(F149="限制性股票",8.68,""))</f>
        <v/>
      </c>
      <c r="L149" s="14">
        <f>IF(F149="限制性股票",13.06,"")</f>
        <v/>
      </c>
      <c r="M149" s="11" t="n"/>
      <c r="N149" s="13" t="n"/>
      <c r="O149" s="13" t="n"/>
      <c r="P149" s="12" t="n"/>
      <c r="Q149" s="11" t="n"/>
      <c r="R149" s="12" t="n"/>
      <c r="S149" s="14">
        <f>IF(OR(A149="",C149="",F149="",G149="",I149="",J149=""),"",IF(F149="股票期权",MAX(0,(J149-K149)*I149),IF(F149="限制性股票",IF(OR(L149="",M149="",M149&lt;=0,N149=""),"",MAX(0,((L149+J149)/2)*I149-N149*I149/M149)),MAX(0,O149))))</f>
        <v/>
      </c>
      <c r="T149" s="14">
        <f>IF(S149="","",SUMIFS($S$2:$S$501,$C$2:$C$501,C149,$H$2:$H$501,H149,$G$2:$G$501,"&lt;"&amp;G149)+SUMIFS($S$2:$S$501,$C$2:$C$501,C149,$H$2:$H$501,H149,$G$2:$G$501,G149,$A$2:$A$501,"&lt;"&amp;A149))</f>
        <v/>
      </c>
      <c r="U149" s="14">
        <f>IF(S149="","",T149+S149)</f>
        <v/>
      </c>
      <c r="V149" s="15">
        <f>IF(U149="","",VLOOKUP(U149,'税率及规则'!$A$2:$C$8,2,TRUE))</f>
        <v/>
      </c>
      <c r="W149" s="14">
        <f>IF(U149="","",VLOOKUP(U149,'税率及规则'!$A$2:$C$8,3,TRUE))</f>
        <v/>
      </c>
      <c r="X149" s="14">
        <f>IF(U149="","",MAX(0,U149*V149-W149))</f>
        <v/>
      </c>
      <c r="Y149" s="14">
        <f>IF(T149="","",MAX(0,T149*VLOOKUP(T149,'税率及规则'!$A$2:$C$8,2,TRUE)-VLOOKUP(T149,'税率及规则'!$A$2:$C$8,3,TRUE)))</f>
        <v/>
      </c>
      <c r="Z149" s="14">
        <f>IF(X149="","",MAX(0,X149-Y149))</f>
        <v/>
      </c>
      <c r="AA149" s="16">
        <f>IF(G149="","",G149)</f>
        <v/>
      </c>
      <c r="AB149" s="16">
        <f>IF(AA149="","",EDATE(AA149,36))</f>
        <v/>
      </c>
      <c r="AC149" s="6">
        <f>IF(A149="","",IF(COUNTIF($A$2:$A$501,A149)&gt;1,"异常：事件编号重复",IF(OR(C149="",D149="",E149="",F149="",G149="",I149="",J149=""),"异常：必填项缺失",IF(OR(I149&lt;=0,J149&lt;0),"异常：数量或价格无效",IF(AND(F149="限制性股票",OR(M149&lt;=0,N149&lt;0,I149&gt;M149)),"异常：个人获授或出资数据无效",IF(AND(F149="股票期权",K149&lt;&gt;IF(G149&lt;DATE(2025,1,10),14.56,IF(G149&lt;DATE(2025,4,29),14.32,IF(G149&lt;DATE(2025,9,26),14.18,14.04)))),"异常：行权价格区间不符",IF(Q149&lt;&gt;"已备案","提示：未确认备案","正常")))))))</f>
        <v/>
      </c>
      <c r="AD149" s="11" t="n"/>
    </row>
    <row r="150">
      <c r="A150" s="11" t="n"/>
      <c r="B150" s="6">
        <f>IF(A150="","",A150&amp;"-TAX")</f>
        <v/>
      </c>
      <c r="C150" s="11" t="n"/>
      <c r="D150" s="11" t="n"/>
      <c r="E150" s="11" t="n"/>
      <c r="F150" s="11" t="n"/>
      <c r="G150" s="12" t="n"/>
      <c r="H150" s="6">
        <f>IF(G150="","",YEAR(G150))</f>
        <v/>
      </c>
      <c r="I150" s="11" t="n"/>
      <c r="J150" s="13" t="n"/>
      <c r="K150" s="14">
        <f>IF(F150="股票期权",IF(G150="","",IF(G150&lt;DATE(2025,1,10),14.56,IF(G150&lt;DATE(2025,4,29),14.32,IF(G150&lt;DATE(2025,9,26),14.18,14.04)))),IF(F150="限制性股票",8.68,""))</f>
        <v/>
      </c>
      <c r="L150" s="14">
        <f>IF(F150="限制性股票",13.06,"")</f>
        <v/>
      </c>
      <c r="M150" s="11" t="n"/>
      <c r="N150" s="13" t="n"/>
      <c r="O150" s="13" t="n"/>
      <c r="P150" s="12" t="n"/>
      <c r="Q150" s="11" t="n"/>
      <c r="R150" s="12" t="n"/>
      <c r="S150" s="14">
        <f>IF(OR(A150="",C150="",F150="",G150="",I150="",J150=""),"",IF(F150="股票期权",MAX(0,(J150-K150)*I150),IF(F150="限制性股票",IF(OR(L150="",M150="",M150&lt;=0,N150=""),"",MAX(0,((L150+J150)/2)*I150-N150*I150/M150)),MAX(0,O150))))</f>
        <v/>
      </c>
      <c r="T150" s="14">
        <f>IF(S150="","",SUMIFS($S$2:$S$501,$C$2:$C$501,C150,$H$2:$H$501,H150,$G$2:$G$501,"&lt;"&amp;G150)+SUMIFS($S$2:$S$501,$C$2:$C$501,C150,$H$2:$H$501,H150,$G$2:$G$501,G150,$A$2:$A$501,"&lt;"&amp;A150))</f>
        <v/>
      </c>
      <c r="U150" s="14">
        <f>IF(S150="","",T150+S150)</f>
        <v/>
      </c>
      <c r="V150" s="15">
        <f>IF(U150="","",VLOOKUP(U150,'税率及规则'!$A$2:$C$8,2,TRUE))</f>
        <v/>
      </c>
      <c r="W150" s="14">
        <f>IF(U150="","",VLOOKUP(U150,'税率及规则'!$A$2:$C$8,3,TRUE))</f>
        <v/>
      </c>
      <c r="X150" s="14">
        <f>IF(U150="","",MAX(0,U150*V150-W150))</f>
        <v/>
      </c>
      <c r="Y150" s="14">
        <f>IF(T150="","",MAX(0,T150*VLOOKUP(T150,'税率及规则'!$A$2:$C$8,2,TRUE)-VLOOKUP(T150,'税率及规则'!$A$2:$C$8,3,TRUE)))</f>
        <v/>
      </c>
      <c r="Z150" s="14">
        <f>IF(X150="","",MAX(0,X150-Y150))</f>
        <v/>
      </c>
      <c r="AA150" s="16">
        <f>IF(G150="","",G150)</f>
        <v/>
      </c>
      <c r="AB150" s="16">
        <f>IF(AA150="","",EDATE(AA150,36))</f>
        <v/>
      </c>
      <c r="AC150" s="6">
        <f>IF(A150="","",IF(COUNTIF($A$2:$A$501,A150)&gt;1,"异常：事件编号重复",IF(OR(C150="",D150="",E150="",F150="",G150="",I150="",J150=""),"异常：必填项缺失",IF(OR(I150&lt;=0,J150&lt;0),"异常：数量或价格无效",IF(AND(F150="限制性股票",OR(M150&lt;=0,N150&lt;0,I150&gt;M150)),"异常：个人获授或出资数据无效",IF(AND(F150="股票期权",K150&lt;&gt;IF(G150&lt;DATE(2025,1,10),14.56,IF(G150&lt;DATE(2025,4,29),14.32,IF(G150&lt;DATE(2025,9,26),14.18,14.04)))),"异常：行权价格区间不符",IF(Q150&lt;&gt;"已备案","提示：未确认备案","正常")))))))</f>
        <v/>
      </c>
      <c r="AD150" s="11" t="n"/>
    </row>
    <row r="151">
      <c r="A151" s="11" t="n"/>
      <c r="B151" s="6">
        <f>IF(A151="","",A151&amp;"-TAX")</f>
        <v/>
      </c>
      <c r="C151" s="11" t="n"/>
      <c r="D151" s="11" t="n"/>
      <c r="E151" s="11" t="n"/>
      <c r="F151" s="11" t="n"/>
      <c r="G151" s="12" t="n"/>
      <c r="H151" s="6">
        <f>IF(G151="","",YEAR(G151))</f>
        <v/>
      </c>
      <c r="I151" s="11" t="n"/>
      <c r="J151" s="13" t="n"/>
      <c r="K151" s="14">
        <f>IF(F151="股票期权",IF(G151="","",IF(G151&lt;DATE(2025,1,10),14.56,IF(G151&lt;DATE(2025,4,29),14.32,IF(G151&lt;DATE(2025,9,26),14.18,14.04)))),IF(F151="限制性股票",8.68,""))</f>
        <v/>
      </c>
      <c r="L151" s="14">
        <f>IF(F151="限制性股票",13.06,"")</f>
        <v/>
      </c>
      <c r="M151" s="11" t="n"/>
      <c r="N151" s="13" t="n"/>
      <c r="O151" s="13" t="n"/>
      <c r="P151" s="12" t="n"/>
      <c r="Q151" s="11" t="n"/>
      <c r="R151" s="12" t="n"/>
      <c r="S151" s="14">
        <f>IF(OR(A151="",C151="",F151="",G151="",I151="",J151=""),"",IF(F151="股票期权",MAX(0,(J151-K151)*I151),IF(F151="限制性股票",IF(OR(L151="",M151="",M151&lt;=0,N151=""),"",MAX(0,((L151+J151)/2)*I151-N151*I151/M151)),MAX(0,O151))))</f>
        <v/>
      </c>
      <c r="T151" s="14">
        <f>IF(S151="","",SUMIFS($S$2:$S$501,$C$2:$C$501,C151,$H$2:$H$501,H151,$G$2:$G$501,"&lt;"&amp;G151)+SUMIFS($S$2:$S$501,$C$2:$C$501,C151,$H$2:$H$501,H151,$G$2:$G$501,G151,$A$2:$A$501,"&lt;"&amp;A151))</f>
        <v/>
      </c>
      <c r="U151" s="14">
        <f>IF(S151="","",T151+S151)</f>
        <v/>
      </c>
      <c r="V151" s="15">
        <f>IF(U151="","",VLOOKUP(U151,'税率及规则'!$A$2:$C$8,2,TRUE))</f>
        <v/>
      </c>
      <c r="W151" s="14">
        <f>IF(U151="","",VLOOKUP(U151,'税率及规则'!$A$2:$C$8,3,TRUE))</f>
        <v/>
      </c>
      <c r="X151" s="14">
        <f>IF(U151="","",MAX(0,U151*V151-W151))</f>
        <v/>
      </c>
      <c r="Y151" s="14">
        <f>IF(T151="","",MAX(0,T151*VLOOKUP(T151,'税率及规则'!$A$2:$C$8,2,TRUE)-VLOOKUP(T151,'税率及规则'!$A$2:$C$8,3,TRUE)))</f>
        <v/>
      </c>
      <c r="Z151" s="14">
        <f>IF(X151="","",MAX(0,X151-Y151))</f>
        <v/>
      </c>
      <c r="AA151" s="16">
        <f>IF(G151="","",G151)</f>
        <v/>
      </c>
      <c r="AB151" s="16">
        <f>IF(AA151="","",EDATE(AA151,36))</f>
        <v/>
      </c>
      <c r="AC151" s="6">
        <f>IF(A151="","",IF(COUNTIF($A$2:$A$501,A151)&gt;1,"异常：事件编号重复",IF(OR(C151="",D151="",E151="",F151="",G151="",I151="",J151=""),"异常：必填项缺失",IF(OR(I151&lt;=0,J151&lt;0),"异常：数量或价格无效",IF(AND(F151="限制性股票",OR(M151&lt;=0,N151&lt;0,I151&gt;M151)),"异常：个人获授或出资数据无效",IF(AND(F151="股票期权",K151&lt;&gt;IF(G151&lt;DATE(2025,1,10),14.56,IF(G151&lt;DATE(2025,4,29),14.32,IF(G151&lt;DATE(2025,9,26),14.18,14.04)))),"异常：行权价格区间不符",IF(Q151&lt;&gt;"已备案","提示：未确认备案","正常")))))))</f>
        <v/>
      </c>
      <c r="AD151" s="11" t="n"/>
    </row>
    <row r="152">
      <c r="A152" s="11" t="n"/>
      <c r="B152" s="6">
        <f>IF(A152="","",A152&amp;"-TAX")</f>
        <v/>
      </c>
      <c r="C152" s="11" t="n"/>
      <c r="D152" s="11" t="n"/>
      <c r="E152" s="11" t="n"/>
      <c r="F152" s="11" t="n"/>
      <c r="G152" s="12" t="n"/>
      <c r="H152" s="6">
        <f>IF(G152="","",YEAR(G152))</f>
        <v/>
      </c>
      <c r="I152" s="11" t="n"/>
      <c r="J152" s="13" t="n"/>
      <c r="K152" s="14">
        <f>IF(F152="股票期权",IF(G152="","",IF(G152&lt;DATE(2025,1,10),14.56,IF(G152&lt;DATE(2025,4,29),14.32,IF(G152&lt;DATE(2025,9,26),14.18,14.04)))),IF(F152="限制性股票",8.68,""))</f>
        <v/>
      </c>
      <c r="L152" s="14">
        <f>IF(F152="限制性股票",13.06,"")</f>
        <v/>
      </c>
      <c r="M152" s="11" t="n"/>
      <c r="N152" s="13" t="n"/>
      <c r="O152" s="13" t="n"/>
      <c r="P152" s="12" t="n"/>
      <c r="Q152" s="11" t="n"/>
      <c r="R152" s="12" t="n"/>
      <c r="S152" s="14">
        <f>IF(OR(A152="",C152="",F152="",G152="",I152="",J152=""),"",IF(F152="股票期权",MAX(0,(J152-K152)*I152),IF(F152="限制性股票",IF(OR(L152="",M152="",M152&lt;=0,N152=""),"",MAX(0,((L152+J152)/2)*I152-N152*I152/M152)),MAX(0,O152))))</f>
        <v/>
      </c>
      <c r="T152" s="14">
        <f>IF(S152="","",SUMIFS($S$2:$S$501,$C$2:$C$501,C152,$H$2:$H$501,H152,$G$2:$G$501,"&lt;"&amp;G152)+SUMIFS($S$2:$S$501,$C$2:$C$501,C152,$H$2:$H$501,H152,$G$2:$G$501,G152,$A$2:$A$501,"&lt;"&amp;A152))</f>
        <v/>
      </c>
      <c r="U152" s="14">
        <f>IF(S152="","",T152+S152)</f>
        <v/>
      </c>
      <c r="V152" s="15">
        <f>IF(U152="","",VLOOKUP(U152,'税率及规则'!$A$2:$C$8,2,TRUE))</f>
        <v/>
      </c>
      <c r="W152" s="14">
        <f>IF(U152="","",VLOOKUP(U152,'税率及规则'!$A$2:$C$8,3,TRUE))</f>
        <v/>
      </c>
      <c r="X152" s="14">
        <f>IF(U152="","",MAX(0,U152*V152-W152))</f>
        <v/>
      </c>
      <c r="Y152" s="14">
        <f>IF(T152="","",MAX(0,T152*VLOOKUP(T152,'税率及规则'!$A$2:$C$8,2,TRUE)-VLOOKUP(T152,'税率及规则'!$A$2:$C$8,3,TRUE)))</f>
        <v/>
      </c>
      <c r="Z152" s="14">
        <f>IF(X152="","",MAX(0,X152-Y152))</f>
        <v/>
      </c>
      <c r="AA152" s="16">
        <f>IF(G152="","",G152)</f>
        <v/>
      </c>
      <c r="AB152" s="16">
        <f>IF(AA152="","",EDATE(AA152,36))</f>
        <v/>
      </c>
      <c r="AC152" s="6">
        <f>IF(A152="","",IF(COUNTIF($A$2:$A$501,A152)&gt;1,"异常：事件编号重复",IF(OR(C152="",D152="",E152="",F152="",G152="",I152="",J152=""),"异常：必填项缺失",IF(OR(I152&lt;=0,J152&lt;0),"异常：数量或价格无效",IF(AND(F152="限制性股票",OR(M152&lt;=0,N152&lt;0,I152&gt;M152)),"异常：个人获授或出资数据无效",IF(AND(F152="股票期权",K152&lt;&gt;IF(G152&lt;DATE(2025,1,10),14.56,IF(G152&lt;DATE(2025,4,29),14.32,IF(G152&lt;DATE(2025,9,26),14.18,14.04)))),"异常：行权价格区间不符",IF(Q152&lt;&gt;"已备案","提示：未确认备案","正常")))))))</f>
        <v/>
      </c>
      <c r="AD152" s="11" t="n"/>
    </row>
    <row r="153">
      <c r="A153" s="11" t="n"/>
      <c r="B153" s="6">
        <f>IF(A153="","",A153&amp;"-TAX")</f>
        <v/>
      </c>
      <c r="C153" s="11" t="n"/>
      <c r="D153" s="11" t="n"/>
      <c r="E153" s="11" t="n"/>
      <c r="F153" s="11" t="n"/>
      <c r="G153" s="12" t="n"/>
      <c r="H153" s="6">
        <f>IF(G153="","",YEAR(G153))</f>
        <v/>
      </c>
      <c r="I153" s="11" t="n"/>
      <c r="J153" s="13" t="n"/>
      <c r="K153" s="14">
        <f>IF(F153="股票期权",IF(G153="","",IF(G153&lt;DATE(2025,1,10),14.56,IF(G153&lt;DATE(2025,4,29),14.32,IF(G153&lt;DATE(2025,9,26),14.18,14.04)))),IF(F153="限制性股票",8.68,""))</f>
        <v/>
      </c>
      <c r="L153" s="14">
        <f>IF(F153="限制性股票",13.06,"")</f>
        <v/>
      </c>
      <c r="M153" s="11" t="n"/>
      <c r="N153" s="13" t="n"/>
      <c r="O153" s="13" t="n"/>
      <c r="P153" s="12" t="n"/>
      <c r="Q153" s="11" t="n"/>
      <c r="R153" s="12" t="n"/>
      <c r="S153" s="14">
        <f>IF(OR(A153="",C153="",F153="",G153="",I153="",J153=""),"",IF(F153="股票期权",MAX(0,(J153-K153)*I153),IF(F153="限制性股票",IF(OR(L153="",M153="",M153&lt;=0,N153=""),"",MAX(0,((L153+J153)/2)*I153-N153*I153/M153)),MAX(0,O153))))</f>
        <v/>
      </c>
      <c r="T153" s="14">
        <f>IF(S153="","",SUMIFS($S$2:$S$501,$C$2:$C$501,C153,$H$2:$H$501,H153,$G$2:$G$501,"&lt;"&amp;G153)+SUMIFS($S$2:$S$501,$C$2:$C$501,C153,$H$2:$H$501,H153,$G$2:$G$501,G153,$A$2:$A$501,"&lt;"&amp;A153))</f>
        <v/>
      </c>
      <c r="U153" s="14">
        <f>IF(S153="","",T153+S153)</f>
        <v/>
      </c>
      <c r="V153" s="15">
        <f>IF(U153="","",VLOOKUP(U153,'税率及规则'!$A$2:$C$8,2,TRUE))</f>
        <v/>
      </c>
      <c r="W153" s="14">
        <f>IF(U153="","",VLOOKUP(U153,'税率及规则'!$A$2:$C$8,3,TRUE))</f>
        <v/>
      </c>
      <c r="X153" s="14">
        <f>IF(U153="","",MAX(0,U153*V153-W153))</f>
        <v/>
      </c>
      <c r="Y153" s="14">
        <f>IF(T153="","",MAX(0,T153*VLOOKUP(T153,'税率及规则'!$A$2:$C$8,2,TRUE)-VLOOKUP(T153,'税率及规则'!$A$2:$C$8,3,TRUE)))</f>
        <v/>
      </c>
      <c r="Z153" s="14">
        <f>IF(X153="","",MAX(0,X153-Y153))</f>
        <v/>
      </c>
      <c r="AA153" s="16">
        <f>IF(G153="","",G153)</f>
        <v/>
      </c>
      <c r="AB153" s="16">
        <f>IF(AA153="","",EDATE(AA153,36))</f>
        <v/>
      </c>
      <c r="AC153" s="6">
        <f>IF(A153="","",IF(COUNTIF($A$2:$A$501,A153)&gt;1,"异常：事件编号重复",IF(OR(C153="",D153="",E153="",F153="",G153="",I153="",J153=""),"异常：必填项缺失",IF(OR(I153&lt;=0,J153&lt;0),"异常：数量或价格无效",IF(AND(F153="限制性股票",OR(M153&lt;=0,N153&lt;0,I153&gt;M153)),"异常：个人获授或出资数据无效",IF(AND(F153="股票期权",K153&lt;&gt;IF(G153&lt;DATE(2025,1,10),14.56,IF(G153&lt;DATE(2025,4,29),14.32,IF(G153&lt;DATE(2025,9,26),14.18,14.04)))),"异常：行权价格区间不符",IF(Q153&lt;&gt;"已备案","提示：未确认备案","正常")))))))</f>
        <v/>
      </c>
      <c r="AD153" s="11" t="n"/>
    </row>
    <row r="154">
      <c r="A154" s="11" t="n"/>
      <c r="B154" s="6">
        <f>IF(A154="","",A154&amp;"-TAX")</f>
        <v/>
      </c>
      <c r="C154" s="11" t="n"/>
      <c r="D154" s="11" t="n"/>
      <c r="E154" s="11" t="n"/>
      <c r="F154" s="11" t="n"/>
      <c r="G154" s="12" t="n"/>
      <c r="H154" s="6">
        <f>IF(G154="","",YEAR(G154))</f>
        <v/>
      </c>
      <c r="I154" s="11" t="n"/>
      <c r="J154" s="13" t="n"/>
      <c r="K154" s="14">
        <f>IF(F154="股票期权",IF(G154="","",IF(G154&lt;DATE(2025,1,10),14.56,IF(G154&lt;DATE(2025,4,29),14.32,IF(G154&lt;DATE(2025,9,26),14.18,14.04)))),IF(F154="限制性股票",8.68,""))</f>
        <v/>
      </c>
      <c r="L154" s="14">
        <f>IF(F154="限制性股票",13.06,"")</f>
        <v/>
      </c>
      <c r="M154" s="11" t="n"/>
      <c r="N154" s="13" t="n"/>
      <c r="O154" s="13" t="n"/>
      <c r="P154" s="12" t="n"/>
      <c r="Q154" s="11" t="n"/>
      <c r="R154" s="12" t="n"/>
      <c r="S154" s="14">
        <f>IF(OR(A154="",C154="",F154="",G154="",I154="",J154=""),"",IF(F154="股票期权",MAX(0,(J154-K154)*I154),IF(F154="限制性股票",IF(OR(L154="",M154="",M154&lt;=0,N154=""),"",MAX(0,((L154+J154)/2)*I154-N154*I154/M154)),MAX(0,O154))))</f>
        <v/>
      </c>
      <c r="T154" s="14">
        <f>IF(S154="","",SUMIFS($S$2:$S$501,$C$2:$C$501,C154,$H$2:$H$501,H154,$G$2:$G$501,"&lt;"&amp;G154)+SUMIFS($S$2:$S$501,$C$2:$C$501,C154,$H$2:$H$501,H154,$G$2:$G$501,G154,$A$2:$A$501,"&lt;"&amp;A154))</f>
        <v/>
      </c>
      <c r="U154" s="14">
        <f>IF(S154="","",T154+S154)</f>
        <v/>
      </c>
      <c r="V154" s="15">
        <f>IF(U154="","",VLOOKUP(U154,'税率及规则'!$A$2:$C$8,2,TRUE))</f>
        <v/>
      </c>
      <c r="W154" s="14">
        <f>IF(U154="","",VLOOKUP(U154,'税率及规则'!$A$2:$C$8,3,TRUE))</f>
        <v/>
      </c>
      <c r="X154" s="14">
        <f>IF(U154="","",MAX(0,U154*V154-W154))</f>
        <v/>
      </c>
      <c r="Y154" s="14">
        <f>IF(T154="","",MAX(0,T154*VLOOKUP(T154,'税率及规则'!$A$2:$C$8,2,TRUE)-VLOOKUP(T154,'税率及规则'!$A$2:$C$8,3,TRUE)))</f>
        <v/>
      </c>
      <c r="Z154" s="14">
        <f>IF(X154="","",MAX(0,X154-Y154))</f>
        <v/>
      </c>
      <c r="AA154" s="16">
        <f>IF(G154="","",G154)</f>
        <v/>
      </c>
      <c r="AB154" s="16">
        <f>IF(AA154="","",EDATE(AA154,36))</f>
        <v/>
      </c>
      <c r="AC154" s="6">
        <f>IF(A154="","",IF(COUNTIF($A$2:$A$501,A154)&gt;1,"异常：事件编号重复",IF(OR(C154="",D154="",E154="",F154="",G154="",I154="",J154=""),"异常：必填项缺失",IF(OR(I154&lt;=0,J154&lt;0),"异常：数量或价格无效",IF(AND(F154="限制性股票",OR(M154&lt;=0,N154&lt;0,I154&gt;M154)),"异常：个人获授或出资数据无效",IF(AND(F154="股票期权",K154&lt;&gt;IF(G154&lt;DATE(2025,1,10),14.56,IF(G154&lt;DATE(2025,4,29),14.32,IF(G154&lt;DATE(2025,9,26),14.18,14.04)))),"异常：行权价格区间不符",IF(Q154&lt;&gt;"已备案","提示：未确认备案","正常")))))))</f>
        <v/>
      </c>
      <c r="AD154" s="11" t="n"/>
    </row>
    <row r="155">
      <c r="A155" s="11" t="n"/>
      <c r="B155" s="6">
        <f>IF(A155="","",A155&amp;"-TAX")</f>
        <v/>
      </c>
      <c r="C155" s="11" t="n"/>
      <c r="D155" s="11" t="n"/>
      <c r="E155" s="11" t="n"/>
      <c r="F155" s="11" t="n"/>
      <c r="G155" s="12" t="n"/>
      <c r="H155" s="6">
        <f>IF(G155="","",YEAR(G155))</f>
        <v/>
      </c>
      <c r="I155" s="11" t="n"/>
      <c r="J155" s="13" t="n"/>
      <c r="K155" s="14">
        <f>IF(F155="股票期权",IF(G155="","",IF(G155&lt;DATE(2025,1,10),14.56,IF(G155&lt;DATE(2025,4,29),14.32,IF(G155&lt;DATE(2025,9,26),14.18,14.04)))),IF(F155="限制性股票",8.68,""))</f>
        <v/>
      </c>
      <c r="L155" s="14">
        <f>IF(F155="限制性股票",13.06,"")</f>
        <v/>
      </c>
      <c r="M155" s="11" t="n"/>
      <c r="N155" s="13" t="n"/>
      <c r="O155" s="13" t="n"/>
      <c r="P155" s="12" t="n"/>
      <c r="Q155" s="11" t="n"/>
      <c r="R155" s="12" t="n"/>
      <c r="S155" s="14">
        <f>IF(OR(A155="",C155="",F155="",G155="",I155="",J155=""),"",IF(F155="股票期权",MAX(0,(J155-K155)*I155),IF(F155="限制性股票",IF(OR(L155="",M155="",M155&lt;=0,N155=""),"",MAX(0,((L155+J155)/2)*I155-N155*I155/M155)),MAX(0,O155))))</f>
        <v/>
      </c>
      <c r="T155" s="14">
        <f>IF(S155="","",SUMIFS($S$2:$S$501,$C$2:$C$501,C155,$H$2:$H$501,H155,$G$2:$G$501,"&lt;"&amp;G155)+SUMIFS($S$2:$S$501,$C$2:$C$501,C155,$H$2:$H$501,H155,$G$2:$G$501,G155,$A$2:$A$501,"&lt;"&amp;A155))</f>
        <v/>
      </c>
      <c r="U155" s="14">
        <f>IF(S155="","",T155+S155)</f>
        <v/>
      </c>
      <c r="V155" s="15">
        <f>IF(U155="","",VLOOKUP(U155,'税率及规则'!$A$2:$C$8,2,TRUE))</f>
        <v/>
      </c>
      <c r="W155" s="14">
        <f>IF(U155="","",VLOOKUP(U155,'税率及规则'!$A$2:$C$8,3,TRUE))</f>
        <v/>
      </c>
      <c r="X155" s="14">
        <f>IF(U155="","",MAX(0,U155*V155-W155))</f>
        <v/>
      </c>
      <c r="Y155" s="14">
        <f>IF(T155="","",MAX(0,T155*VLOOKUP(T155,'税率及规则'!$A$2:$C$8,2,TRUE)-VLOOKUP(T155,'税率及规则'!$A$2:$C$8,3,TRUE)))</f>
        <v/>
      </c>
      <c r="Z155" s="14">
        <f>IF(X155="","",MAX(0,X155-Y155))</f>
        <v/>
      </c>
      <c r="AA155" s="16">
        <f>IF(G155="","",G155)</f>
        <v/>
      </c>
      <c r="AB155" s="16">
        <f>IF(AA155="","",EDATE(AA155,36))</f>
        <v/>
      </c>
      <c r="AC155" s="6">
        <f>IF(A155="","",IF(COUNTIF($A$2:$A$501,A155)&gt;1,"异常：事件编号重复",IF(OR(C155="",D155="",E155="",F155="",G155="",I155="",J155=""),"异常：必填项缺失",IF(OR(I155&lt;=0,J155&lt;0),"异常：数量或价格无效",IF(AND(F155="限制性股票",OR(M155&lt;=0,N155&lt;0,I155&gt;M155)),"异常：个人获授或出资数据无效",IF(AND(F155="股票期权",K155&lt;&gt;IF(G155&lt;DATE(2025,1,10),14.56,IF(G155&lt;DATE(2025,4,29),14.32,IF(G155&lt;DATE(2025,9,26),14.18,14.04)))),"异常：行权价格区间不符",IF(Q155&lt;&gt;"已备案","提示：未确认备案","正常")))))))</f>
        <v/>
      </c>
      <c r="AD155" s="11" t="n"/>
    </row>
    <row r="156">
      <c r="A156" s="11" t="n"/>
      <c r="B156" s="6">
        <f>IF(A156="","",A156&amp;"-TAX")</f>
        <v/>
      </c>
      <c r="C156" s="11" t="n"/>
      <c r="D156" s="11" t="n"/>
      <c r="E156" s="11" t="n"/>
      <c r="F156" s="11" t="n"/>
      <c r="G156" s="12" t="n"/>
      <c r="H156" s="6">
        <f>IF(G156="","",YEAR(G156))</f>
        <v/>
      </c>
      <c r="I156" s="11" t="n"/>
      <c r="J156" s="13" t="n"/>
      <c r="K156" s="14">
        <f>IF(F156="股票期权",IF(G156="","",IF(G156&lt;DATE(2025,1,10),14.56,IF(G156&lt;DATE(2025,4,29),14.32,IF(G156&lt;DATE(2025,9,26),14.18,14.04)))),IF(F156="限制性股票",8.68,""))</f>
        <v/>
      </c>
      <c r="L156" s="14">
        <f>IF(F156="限制性股票",13.06,"")</f>
        <v/>
      </c>
      <c r="M156" s="11" t="n"/>
      <c r="N156" s="13" t="n"/>
      <c r="O156" s="13" t="n"/>
      <c r="P156" s="12" t="n"/>
      <c r="Q156" s="11" t="n"/>
      <c r="R156" s="12" t="n"/>
      <c r="S156" s="14">
        <f>IF(OR(A156="",C156="",F156="",G156="",I156="",J156=""),"",IF(F156="股票期权",MAX(0,(J156-K156)*I156),IF(F156="限制性股票",IF(OR(L156="",M156="",M156&lt;=0,N156=""),"",MAX(0,((L156+J156)/2)*I156-N156*I156/M156)),MAX(0,O156))))</f>
        <v/>
      </c>
      <c r="T156" s="14">
        <f>IF(S156="","",SUMIFS($S$2:$S$501,$C$2:$C$501,C156,$H$2:$H$501,H156,$G$2:$G$501,"&lt;"&amp;G156)+SUMIFS($S$2:$S$501,$C$2:$C$501,C156,$H$2:$H$501,H156,$G$2:$G$501,G156,$A$2:$A$501,"&lt;"&amp;A156))</f>
        <v/>
      </c>
      <c r="U156" s="14">
        <f>IF(S156="","",T156+S156)</f>
        <v/>
      </c>
      <c r="V156" s="15">
        <f>IF(U156="","",VLOOKUP(U156,'税率及规则'!$A$2:$C$8,2,TRUE))</f>
        <v/>
      </c>
      <c r="W156" s="14">
        <f>IF(U156="","",VLOOKUP(U156,'税率及规则'!$A$2:$C$8,3,TRUE))</f>
        <v/>
      </c>
      <c r="X156" s="14">
        <f>IF(U156="","",MAX(0,U156*V156-W156))</f>
        <v/>
      </c>
      <c r="Y156" s="14">
        <f>IF(T156="","",MAX(0,T156*VLOOKUP(T156,'税率及规则'!$A$2:$C$8,2,TRUE)-VLOOKUP(T156,'税率及规则'!$A$2:$C$8,3,TRUE)))</f>
        <v/>
      </c>
      <c r="Z156" s="14">
        <f>IF(X156="","",MAX(0,X156-Y156))</f>
        <v/>
      </c>
      <c r="AA156" s="16">
        <f>IF(G156="","",G156)</f>
        <v/>
      </c>
      <c r="AB156" s="16">
        <f>IF(AA156="","",EDATE(AA156,36))</f>
        <v/>
      </c>
      <c r="AC156" s="6">
        <f>IF(A156="","",IF(COUNTIF($A$2:$A$501,A156)&gt;1,"异常：事件编号重复",IF(OR(C156="",D156="",E156="",F156="",G156="",I156="",J156=""),"异常：必填项缺失",IF(OR(I156&lt;=0,J156&lt;0),"异常：数量或价格无效",IF(AND(F156="限制性股票",OR(M156&lt;=0,N156&lt;0,I156&gt;M156)),"异常：个人获授或出资数据无效",IF(AND(F156="股票期权",K156&lt;&gt;IF(G156&lt;DATE(2025,1,10),14.56,IF(G156&lt;DATE(2025,4,29),14.32,IF(G156&lt;DATE(2025,9,26),14.18,14.04)))),"异常：行权价格区间不符",IF(Q156&lt;&gt;"已备案","提示：未确认备案","正常")))))))</f>
        <v/>
      </c>
      <c r="AD156" s="11" t="n"/>
    </row>
    <row r="157">
      <c r="A157" s="11" t="n"/>
      <c r="B157" s="6">
        <f>IF(A157="","",A157&amp;"-TAX")</f>
        <v/>
      </c>
      <c r="C157" s="11" t="n"/>
      <c r="D157" s="11" t="n"/>
      <c r="E157" s="11" t="n"/>
      <c r="F157" s="11" t="n"/>
      <c r="G157" s="12" t="n"/>
      <c r="H157" s="6">
        <f>IF(G157="","",YEAR(G157))</f>
        <v/>
      </c>
      <c r="I157" s="11" t="n"/>
      <c r="J157" s="13" t="n"/>
      <c r="K157" s="14">
        <f>IF(F157="股票期权",IF(G157="","",IF(G157&lt;DATE(2025,1,10),14.56,IF(G157&lt;DATE(2025,4,29),14.32,IF(G157&lt;DATE(2025,9,26),14.18,14.04)))),IF(F157="限制性股票",8.68,""))</f>
        <v/>
      </c>
      <c r="L157" s="14">
        <f>IF(F157="限制性股票",13.06,"")</f>
        <v/>
      </c>
      <c r="M157" s="11" t="n"/>
      <c r="N157" s="13" t="n"/>
      <c r="O157" s="13" t="n"/>
      <c r="P157" s="12" t="n"/>
      <c r="Q157" s="11" t="n"/>
      <c r="R157" s="12" t="n"/>
      <c r="S157" s="14">
        <f>IF(OR(A157="",C157="",F157="",G157="",I157="",J157=""),"",IF(F157="股票期权",MAX(0,(J157-K157)*I157),IF(F157="限制性股票",IF(OR(L157="",M157="",M157&lt;=0,N157=""),"",MAX(0,((L157+J157)/2)*I157-N157*I157/M157)),MAX(0,O157))))</f>
        <v/>
      </c>
      <c r="T157" s="14">
        <f>IF(S157="","",SUMIFS($S$2:$S$501,$C$2:$C$501,C157,$H$2:$H$501,H157,$G$2:$G$501,"&lt;"&amp;G157)+SUMIFS($S$2:$S$501,$C$2:$C$501,C157,$H$2:$H$501,H157,$G$2:$G$501,G157,$A$2:$A$501,"&lt;"&amp;A157))</f>
        <v/>
      </c>
      <c r="U157" s="14">
        <f>IF(S157="","",T157+S157)</f>
        <v/>
      </c>
      <c r="V157" s="15">
        <f>IF(U157="","",VLOOKUP(U157,'税率及规则'!$A$2:$C$8,2,TRUE))</f>
        <v/>
      </c>
      <c r="W157" s="14">
        <f>IF(U157="","",VLOOKUP(U157,'税率及规则'!$A$2:$C$8,3,TRUE))</f>
        <v/>
      </c>
      <c r="X157" s="14">
        <f>IF(U157="","",MAX(0,U157*V157-W157))</f>
        <v/>
      </c>
      <c r="Y157" s="14">
        <f>IF(T157="","",MAX(0,T157*VLOOKUP(T157,'税率及规则'!$A$2:$C$8,2,TRUE)-VLOOKUP(T157,'税率及规则'!$A$2:$C$8,3,TRUE)))</f>
        <v/>
      </c>
      <c r="Z157" s="14">
        <f>IF(X157="","",MAX(0,X157-Y157))</f>
        <v/>
      </c>
      <c r="AA157" s="16">
        <f>IF(G157="","",G157)</f>
        <v/>
      </c>
      <c r="AB157" s="16">
        <f>IF(AA157="","",EDATE(AA157,36))</f>
        <v/>
      </c>
      <c r="AC157" s="6">
        <f>IF(A157="","",IF(COUNTIF($A$2:$A$501,A157)&gt;1,"异常：事件编号重复",IF(OR(C157="",D157="",E157="",F157="",G157="",I157="",J157=""),"异常：必填项缺失",IF(OR(I157&lt;=0,J157&lt;0),"异常：数量或价格无效",IF(AND(F157="限制性股票",OR(M157&lt;=0,N157&lt;0,I157&gt;M157)),"异常：个人获授或出资数据无效",IF(AND(F157="股票期权",K157&lt;&gt;IF(G157&lt;DATE(2025,1,10),14.56,IF(G157&lt;DATE(2025,4,29),14.32,IF(G157&lt;DATE(2025,9,26),14.18,14.04)))),"异常：行权价格区间不符",IF(Q157&lt;&gt;"已备案","提示：未确认备案","正常")))))))</f>
        <v/>
      </c>
      <c r="AD157" s="11" t="n"/>
    </row>
    <row r="158">
      <c r="A158" s="11" t="n"/>
      <c r="B158" s="6">
        <f>IF(A158="","",A158&amp;"-TAX")</f>
        <v/>
      </c>
      <c r="C158" s="11" t="n"/>
      <c r="D158" s="11" t="n"/>
      <c r="E158" s="11" t="n"/>
      <c r="F158" s="11" t="n"/>
      <c r="G158" s="12" t="n"/>
      <c r="H158" s="6">
        <f>IF(G158="","",YEAR(G158))</f>
        <v/>
      </c>
      <c r="I158" s="11" t="n"/>
      <c r="J158" s="13" t="n"/>
      <c r="K158" s="14">
        <f>IF(F158="股票期权",IF(G158="","",IF(G158&lt;DATE(2025,1,10),14.56,IF(G158&lt;DATE(2025,4,29),14.32,IF(G158&lt;DATE(2025,9,26),14.18,14.04)))),IF(F158="限制性股票",8.68,""))</f>
        <v/>
      </c>
      <c r="L158" s="14">
        <f>IF(F158="限制性股票",13.06,"")</f>
        <v/>
      </c>
      <c r="M158" s="11" t="n"/>
      <c r="N158" s="13" t="n"/>
      <c r="O158" s="13" t="n"/>
      <c r="P158" s="12" t="n"/>
      <c r="Q158" s="11" t="n"/>
      <c r="R158" s="12" t="n"/>
      <c r="S158" s="14">
        <f>IF(OR(A158="",C158="",F158="",G158="",I158="",J158=""),"",IF(F158="股票期权",MAX(0,(J158-K158)*I158),IF(F158="限制性股票",IF(OR(L158="",M158="",M158&lt;=0,N158=""),"",MAX(0,((L158+J158)/2)*I158-N158*I158/M158)),MAX(0,O158))))</f>
        <v/>
      </c>
      <c r="T158" s="14">
        <f>IF(S158="","",SUMIFS($S$2:$S$501,$C$2:$C$501,C158,$H$2:$H$501,H158,$G$2:$G$501,"&lt;"&amp;G158)+SUMIFS($S$2:$S$501,$C$2:$C$501,C158,$H$2:$H$501,H158,$G$2:$G$501,G158,$A$2:$A$501,"&lt;"&amp;A158))</f>
        <v/>
      </c>
      <c r="U158" s="14">
        <f>IF(S158="","",T158+S158)</f>
        <v/>
      </c>
      <c r="V158" s="15">
        <f>IF(U158="","",VLOOKUP(U158,'税率及规则'!$A$2:$C$8,2,TRUE))</f>
        <v/>
      </c>
      <c r="W158" s="14">
        <f>IF(U158="","",VLOOKUP(U158,'税率及规则'!$A$2:$C$8,3,TRUE))</f>
        <v/>
      </c>
      <c r="X158" s="14">
        <f>IF(U158="","",MAX(0,U158*V158-W158))</f>
        <v/>
      </c>
      <c r="Y158" s="14">
        <f>IF(T158="","",MAX(0,T158*VLOOKUP(T158,'税率及规则'!$A$2:$C$8,2,TRUE)-VLOOKUP(T158,'税率及规则'!$A$2:$C$8,3,TRUE)))</f>
        <v/>
      </c>
      <c r="Z158" s="14">
        <f>IF(X158="","",MAX(0,X158-Y158))</f>
        <v/>
      </c>
      <c r="AA158" s="16">
        <f>IF(G158="","",G158)</f>
        <v/>
      </c>
      <c r="AB158" s="16">
        <f>IF(AA158="","",EDATE(AA158,36))</f>
        <v/>
      </c>
      <c r="AC158" s="6">
        <f>IF(A158="","",IF(COUNTIF($A$2:$A$501,A158)&gt;1,"异常：事件编号重复",IF(OR(C158="",D158="",E158="",F158="",G158="",I158="",J158=""),"异常：必填项缺失",IF(OR(I158&lt;=0,J158&lt;0),"异常：数量或价格无效",IF(AND(F158="限制性股票",OR(M158&lt;=0,N158&lt;0,I158&gt;M158)),"异常：个人获授或出资数据无效",IF(AND(F158="股票期权",K158&lt;&gt;IF(G158&lt;DATE(2025,1,10),14.56,IF(G158&lt;DATE(2025,4,29),14.32,IF(G158&lt;DATE(2025,9,26),14.18,14.04)))),"异常：行权价格区间不符",IF(Q158&lt;&gt;"已备案","提示：未确认备案","正常")))))))</f>
        <v/>
      </c>
      <c r="AD158" s="11" t="n"/>
    </row>
    <row r="159">
      <c r="A159" s="11" t="n"/>
      <c r="B159" s="6">
        <f>IF(A159="","",A159&amp;"-TAX")</f>
        <v/>
      </c>
      <c r="C159" s="11" t="n"/>
      <c r="D159" s="11" t="n"/>
      <c r="E159" s="11" t="n"/>
      <c r="F159" s="11" t="n"/>
      <c r="G159" s="12" t="n"/>
      <c r="H159" s="6">
        <f>IF(G159="","",YEAR(G159))</f>
        <v/>
      </c>
      <c r="I159" s="11" t="n"/>
      <c r="J159" s="13" t="n"/>
      <c r="K159" s="14">
        <f>IF(F159="股票期权",IF(G159="","",IF(G159&lt;DATE(2025,1,10),14.56,IF(G159&lt;DATE(2025,4,29),14.32,IF(G159&lt;DATE(2025,9,26),14.18,14.04)))),IF(F159="限制性股票",8.68,""))</f>
        <v/>
      </c>
      <c r="L159" s="14">
        <f>IF(F159="限制性股票",13.06,"")</f>
        <v/>
      </c>
      <c r="M159" s="11" t="n"/>
      <c r="N159" s="13" t="n"/>
      <c r="O159" s="13" t="n"/>
      <c r="P159" s="12" t="n"/>
      <c r="Q159" s="11" t="n"/>
      <c r="R159" s="12" t="n"/>
      <c r="S159" s="14">
        <f>IF(OR(A159="",C159="",F159="",G159="",I159="",J159=""),"",IF(F159="股票期权",MAX(0,(J159-K159)*I159),IF(F159="限制性股票",IF(OR(L159="",M159="",M159&lt;=0,N159=""),"",MAX(0,((L159+J159)/2)*I159-N159*I159/M159)),MAX(0,O159))))</f>
        <v/>
      </c>
      <c r="T159" s="14">
        <f>IF(S159="","",SUMIFS($S$2:$S$501,$C$2:$C$501,C159,$H$2:$H$501,H159,$G$2:$G$501,"&lt;"&amp;G159)+SUMIFS($S$2:$S$501,$C$2:$C$501,C159,$H$2:$H$501,H159,$G$2:$G$501,G159,$A$2:$A$501,"&lt;"&amp;A159))</f>
        <v/>
      </c>
      <c r="U159" s="14">
        <f>IF(S159="","",T159+S159)</f>
        <v/>
      </c>
      <c r="V159" s="15">
        <f>IF(U159="","",VLOOKUP(U159,'税率及规则'!$A$2:$C$8,2,TRUE))</f>
        <v/>
      </c>
      <c r="W159" s="14">
        <f>IF(U159="","",VLOOKUP(U159,'税率及规则'!$A$2:$C$8,3,TRUE))</f>
        <v/>
      </c>
      <c r="X159" s="14">
        <f>IF(U159="","",MAX(0,U159*V159-W159))</f>
        <v/>
      </c>
      <c r="Y159" s="14">
        <f>IF(T159="","",MAX(0,T159*VLOOKUP(T159,'税率及规则'!$A$2:$C$8,2,TRUE)-VLOOKUP(T159,'税率及规则'!$A$2:$C$8,3,TRUE)))</f>
        <v/>
      </c>
      <c r="Z159" s="14">
        <f>IF(X159="","",MAX(0,X159-Y159))</f>
        <v/>
      </c>
      <c r="AA159" s="16">
        <f>IF(G159="","",G159)</f>
        <v/>
      </c>
      <c r="AB159" s="16">
        <f>IF(AA159="","",EDATE(AA159,36))</f>
        <v/>
      </c>
      <c r="AC159" s="6">
        <f>IF(A159="","",IF(COUNTIF($A$2:$A$501,A159)&gt;1,"异常：事件编号重复",IF(OR(C159="",D159="",E159="",F159="",G159="",I159="",J159=""),"异常：必填项缺失",IF(OR(I159&lt;=0,J159&lt;0),"异常：数量或价格无效",IF(AND(F159="限制性股票",OR(M159&lt;=0,N159&lt;0,I159&gt;M159)),"异常：个人获授或出资数据无效",IF(AND(F159="股票期权",K159&lt;&gt;IF(G159&lt;DATE(2025,1,10),14.56,IF(G159&lt;DATE(2025,4,29),14.32,IF(G159&lt;DATE(2025,9,26),14.18,14.04)))),"异常：行权价格区间不符",IF(Q159&lt;&gt;"已备案","提示：未确认备案","正常")))))))</f>
        <v/>
      </c>
      <c r="AD159" s="11" t="n"/>
    </row>
    <row r="160">
      <c r="A160" s="11" t="n"/>
      <c r="B160" s="6">
        <f>IF(A160="","",A160&amp;"-TAX")</f>
        <v/>
      </c>
      <c r="C160" s="11" t="n"/>
      <c r="D160" s="11" t="n"/>
      <c r="E160" s="11" t="n"/>
      <c r="F160" s="11" t="n"/>
      <c r="G160" s="12" t="n"/>
      <c r="H160" s="6">
        <f>IF(G160="","",YEAR(G160))</f>
        <v/>
      </c>
      <c r="I160" s="11" t="n"/>
      <c r="J160" s="13" t="n"/>
      <c r="K160" s="14">
        <f>IF(F160="股票期权",IF(G160="","",IF(G160&lt;DATE(2025,1,10),14.56,IF(G160&lt;DATE(2025,4,29),14.32,IF(G160&lt;DATE(2025,9,26),14.18,14.04)))),IF(F160="限制性股票",8.68,""))</f>
        <v/>
      </c>
      <c r="L160" s="14">
        <f>IF(F160="限制性股票",13.06,"")</f>
        <v/>
      </c>
      <c r="M160" s="11" t="n"/>
      <c r="N160" s="13" t="n"/>
      <c r="O160" s="13" t="n"/>
      <c r="P160" s="12" t="n"/>
      <c r="Q160" s="11" t="n"/>
      <c r="R160" s="12" t="n"/>
      <c r="S160" s="14">
        <f>IF(OR(A160="",C160="",F160="",G160="",I160="",J160=""),"",IF(F160="股票期权",MAX(0,(J160-K160)*I160),IF(F160="限制性股票",IF(OR(L160="",M160="",M160&lt;=0,N160=""),"",MAX(0,((L160+J160)/2)*I160-N160*I160/M160)),MAX(0,O160))))</f>
        <v/>
      </c>
      <c r="T160" s="14">
        <f>IF(S160="","",SUMIFS($S$2:$S$501,$C$2:$C$501,C160,$H$2:$H$501,H160,$G$2:$G$501,"&lt;"&amp;G160)+SUMIFS($S$2:$S$501,$C$2:$C$501,C160,$H$2:$H$501,H160,$G$2:$G$501,G160,$A$2:$A$501,"&lt;"&amp;A160))</f>
        <v/>
      </c>
      <c r="U160" s="14">
        <f>IF(S160="","",T160+S160)</f>
        <v/>
      </c>
      <c r="V160" s="15">
        <f>IF(U160="","",VLOOKUP(U160,'税率及规则'!$A$2:$C$8,2,TRUE))</f>
        <v/>
      </c>
      <c r="W160" s="14">
        <f>IF(U160="","",VLOOKUP(U160,'税率及规则'!$A$2:$C$8,3,TRUE))</f>
        <v/>
      </c>
      <c r="X160" s="14">
        <f>IF(U160="","",MAX(0,U160*V160-W160))</f>
        <v/>
      </c>
      <c r="Y160" s="14">
        <f>IF(T160="","",MAX(0,T160*VLOOKUP(T160,'税率及规则'!$A$2:$C$8,2,TRUE)-VLOOKUP(T160,'税率及规则'!$A$2:$C$8,3,TRUE)))</f>
        <v/>
      </c>
      <c r="Z160" s="14">
        <f>IF(X160="","",MAX(0,X160-Y160))</f>
        <v/>
      </c>
      <c r="AA160" s="16">
        <f>IF(G160="","",G160)</f>
        <v/>
      </c>
      <c r="AB160" s="16">
        <f>IF(AA160="","",EDATE(AA160,36))</f>
        <v/>
      </c>
      <c r="AC160" s="6">
        <f>IF(A160="","",IF(COUNTIF($A$2:$A$501,A160)&gt;1,"异常：事件编号重复",IF(OR(C160="",D160="",E160="",F160="",G160="",I160="",J160=""),"异常：必填项缺失",IF(OR(I160&lt;=0,J160&lt;0),"异常：数量或价格无效",IF(AND(F160="限制性股票",OR(M160&lt;=0,N160&lt;0,I160&gt;M160)),"异常：个人获授或出资数据无效",IF(AND(F160="股票期权",K160&lt;&gt;IF(G160&lt;DATE(2025,1,10),14.56,IF(G160&lt;DATE(2025,4,29),14.32,IF(G160&lt;DATE(2025,9,26),14.18,14.04)))),"异常：行权价格区间不符",IF(Q160&lt;&gt;"已备案","提示：未确认备案","正常")))))))</f>
        <v/>
      </c>
      <c r="AD160" s="11" t="n"/>
    </row>
    <row r="161">
      <c r="A161" s="11" t="n"/>
      <c r="B161" s="6">
        <f>IF(A161="","",A161&amp;"-TAX")</f>
        <v/>
      </c>
      <c r="C161" s="11" t="n"/>
      <c r="D161" s="11" t="n"/>
      <c r="E161" s="11" t="n"/>
      <c r="F161" s="11" t="n"/>
      <c r="G161" s="12" t="n"/>
      <c r="H161" s="6">
        <f>IF(G161="","",YEAR(G161))</f>
        <v/>
      </c>
      <c r="I161" s="11" t="n"/>
      <c r="J161" s="13" t="n"/>
      <c r="K161" s="14">
        <f>IF(F161="股票期权",IF(G161="","",IF(G161&lt;DATE(2025,1,10),14.56,IF(G161&lt;DATE(2025,4,29),14.32,IF(G161&lt;DATE(2025,9,26),14.18,14.04)))),IF(F161="限制性股票",8.68,""))</f>
        <v/>
      </c>
      <c r="L161" s="14">
        <f>IF(F161="限制性股票",13.06,"")</f>
        <v/>
      </c>
      <c r="M161" s="11" t="n"/>
      <c r="N161" s="13" t="n"/>
      <c r="O161" s="13" t="n"/>
      <c r="P161" s="12" t="n"/>
      <c r="Q161" s="11" t="n"/>
      <c r="R161" s="12" t="n"/>
      <c r="S161" s="14">
        <f>IF(OR(A161="",C161="",F161="",G161="",I161="",J161=""),"",IF(F161="股票期权",MAX(0,(J161-K161)*I161),IF(F161="限制性股票",IF(OR(L161="",M161="",M161&lt;=0,N161=""),"",MAX(0,((L161+J161)/2)*I161-N161*I161/M161)),MAX(0,O161))))</f>
        <v/>
      </c>
      <c r="T161" s="14">
        <f>IF(S161="","",SUMIFS($S$2:$S$501,$C$2:$C$501,C161,$H$2:$H$501,H161,$G$2:$G$501,"&lt;"&amp;G161)+SUMIFS($S$2:$S$501,$C$2:$C$501,C161,$H$2:$H$501,H161,$G$2:$G$501,G161,$A$2:$A$501,"&lt;"&amp;A161))</f>
        <v/>
      </c>
      <c r="U161" s="14">
        <f>IF(S161="","",T161+S161)</f>
        <v/>
      </c>
      <c r="V161" s="15">
        <f>IF(U161="","",VLOOKUP(U161,'税率及规则'!$A$2:$C$8,2,TRUE))</f>
        <v/>
      </c>
      <c r="W161" s="14">
        <f>IF(U161="","",VLOOKUP(U161,'税率及规则'!$A$2:$C$8,3,TRUE))</f>
        <v/>
      </c>
      <c r="X161" s="14">
        <f>IF(U161="","",MAX(0,U161*V161-W161))</f>
        <v/>
      </c>
      <c r="Y161" s="14">
        <f>IF(T161="","",MAX(0,T161*VLOOKUP(T161,'税率及规则'!$A$2:$C$8,2,TRUE)-VLOOKUP(T161,'税率及规则'!$A$2:$C$8,3,TRUE)))</f>
        <v/>
      </c>
      <c r="Z161" s="14">
        <f>IF(X161="","",MAX(0,X161-Y161))</f>
        <v/>
      </c>
      <c r="AA161" s="16">
        <f>IF(G161="","",G161)</f>
        <v/>
      </c>
      <c r="AB161" s="16">
        <f>IF(AA161="","",EDATE(AA161,36))</f>
        <v/>
      </c>
      <c r="AC161" s="6">
        <f>IF(A161="","",IF(COUNTIF($A$2:$A$501,A161)&gt;1,"异常：事件编号重复",IF(OR(C161="",D161="",E161="",F161="",G161="",I161="",J161=""),"异常：必填项缺失",IF(OR(I161&lt;=0,J161&lt;0),"异常：数量或价格无效",IF(AND(F161="限制性股票",OR(M161&lt;=0,N161&lt;0,I161&gt;M161)),"异常：个人获授或出资数据无效",IF(AND(F161="股票期权",K161&lt;&gt;IF(G161&lt;DATE(2025,1,10),14.56,IF(G161&lt;DATE(2025,4,29),14.32,IF(G161&lt;DATE(2025,9,26),14.18,14.04)))),"异常：行权价格区间不符",IF(Q161&lt;&gt;"已备案","提示：未确认备案","正常")))))))</f>
        <v/>
      </c>
      <c r="AD161" s="11" t="n"/>
    </row>
    <row r="162">
      <c r="A162" s="11" t="n"/>
      <c r="B162" s="6">
        <f>IF(A162="","",A162&amp;"-TAX")</f>
        <v/>
      </c>
      <c r="C162" s="11" t="n"/>
      <c r="D162" s="11" t="n"/>
      <c r="E162" s="11" t="n"/>
      <c r="F162" s="11" t="n"/>
      <c r="G162" s="12" t="n"/>
      <c r="H162" s="6">
        <f>IF(G162="","",YEAR(G162))</f>
        <v/>
      </c>
      <c r="I162" s="11" t="n"/>
      <c r="J162" s="13" t="n"/>
      <c r="K162" s="14">
        <f>IF(F162="股票期权",IF(G162="","",IF(G162&lt;DATE(2025,1,10),14.56,IF(G162&lt;DATE(2025,4,29),14.32,IF(G162&lt;DATE(2025,9,26),14.18,14.04)))),IF(F162="限制性股票",8.68,""))</f>
        <v/>
      </c>
      <c r="L162" s="14">
        <f>IF(F162="限制性股票",13.06,"")</f>
        <v/>
      </c>
      <c r="M162" s="11" t="n"/>
      <c r="N162" s="13" t="n"/>
      <c r="O162" s="13" t="n"/>
      <c r="P162" s="12" t="n"/>
      <c r="Q162" s="11" t="n"/>
      <c r="R162" s="12" t="n"/>
      <c r="S162" s="14">
        <f>IF(OR(A162="",C162="",F162="",G162="",I162="",J162=""),"",IF(F162="股票期权",MAX(0,(J162-K162)*I162),IF(F162="限制性股票",IF(OR(L162="",M162="",M162&lt;=0,N162=""),"",MAX(0,((L162+J162)/2)*I162-N162*I162/M162)),MAX(0,O162))))</f>
        <v/>
      </c>
      <c r="T162" s="14">
        <f>IF(S162="","",SUMIFS($S$2:$S$501,$C$2:$C$501,C162,$H$2:$H$501,H162,$G$2:$G$501,"&lt;"&amp;G162)+SUMIFS($S$2:$S$501,$C$2:$C$501,C162,$H$2:$H$501,H162,$G$2:$G$501,G162,$A$2:$A$501,"&lt;"&amp;A162))</f>
        <v/>
      </c>
      <c r="U162" s="14">
        <f>IF(S162="","",T162+S162)</f>
        <v/>
      </c>
      <c r="V162" s="15">
        <f>IF(U162="","",VLOOKUP(U162,'税率及规则'!$A$2:$C$8,2,TRUE))</f>
        <v/>
      </c>
      <c r="W162" s="14">
        <f>IF(U162="","",VLOOKUP(U162,'税率及规则'!$A$2:$C$8,3,TRUE))</f>
        <v/>
      </c>
      <c r="X162" s="14">
        <f>IF(U162="","",MAX(0,U162*V162-W162))</f>
        <v/>
      </c>
      <c r="Y162" s="14">
        <f>IF(T162="","",MAX(0,T162*VLOOKUP(T162,'税率及规则'!$A$2:$C$8,2,TRUE)-VLOOKUP(T162,'税率及规则'!$A$2:$C$8,3,TRUE)))</f>
        <v/>
      </c>
      <c r="Z162" s="14">
        <f>IF(X162="","",MAX(0,X162-Y162))</f>
        <v/>
      </c>
      <c r="AA162" s="16">
        <f>IF(G162="","",G162)</f>
        <v/>
      </c>
      <c r="AB162" s="16">
        <f>IF(AA162="","",EDATE(AA162,36))</f>
        <v/>
      </c>
      <c r="AC162" s="6">
        <f>IF(A162="","",IF(COUNTIF($A$2:$A$501,A162)&gt;1,"异常：事件编号重复",IF(OR(C162="",D162="",E162="",F162="",G162="",I162="",J162=""),"异常：必填项缺失",IF(OR(I162&lt;=0,J162&lt;0),"异常：数量或价格无效",IF(AND(F162="限制性股票",OR(M162&lt;=0,N162&lt;0,I162&gt;M162)),"异常：个人获授或出资数据无效",IF(AND(F162="股票期权",K162&lt;&gt;IF(G162&lt;DATE(2025,1,10),14.56,IF(G162&lt;DATE(2025,4,29),14.32,IF(G162&lt;DATE(2025,9,26),14.18,14.04)))),"异常：行权价格区间不符",IF(Q162&lt;&gt;"已备案","提示：未确认备案","正常")))))))</f>
        <v/>
      </c>
      <c r="AD162" s="11" t="n"/>
    </row>
    <row r="163">
      <c r="A163" s="11" t="n"/>
      <c r="B163" s="6">
        <f>IF(A163="","",A163&amp;"-TAX")</f>
        <v/>
      </c>
      <c r="C163" s="11" t="n"/>
      <c r="D163" s="11" t="n"/>
      <c r="E163" s="11" t="n"/>
      <c r="F163" s="11" t="n"/>
      <c r="G163" s="12" t="n"/>
      <c r="H163" s="6">
        <f>IF(G163="","",YEAR(G163))</f>
        <v/>
      </c>
      <c r="I163" s="11" t="n"/>
      <c r="J163" s="13" t="n"/>
      <c r="K163" s="14">
        <f>IF(F163="股票期权",IF(G163="","",IF(G163&lt;DATE(2025,1,10),14.56,IF(G163&lt;DATE(2025,4,29),14.32,IF(G163&lt;DATE(2025,9,26),14.18,14.04)))),IF(F163="限制性股票",8.68,""))</f>
        <v/>
      </c>
      <c r="L163" s="14">
        <f>IF(F163="限制性股票",13.06,"")</f>
        <v/>
      </c>
      <c r="M163" s="11" t="n"/>
      <c r="N163" s="13" t="n"/>
      <c r="O163" s="13" t="n"/>
      <c r="P163" s="12" t="n"/>
      <c r="Q163" s="11" t="n"/>
      <c r="R163" s="12" t="n"/>
      <c r="S163" s="14">
        <f>IF(OR(A163="",C163="",F163="",G163="",I163="",J163=""),"",IF(F163="股票期权",MAX(0,(J163-K163)*I163),IF(F163="限制性股票",IF(OR(L163="",M163="",M163&lt;=0,N163=""),"",MAX(0,((L163+J163)/2)*I163-N163*I163/M163)),MAX(0,O163))))</f>
        <v/>
      </c>
      <c r="T163" s="14">
        <f>IF(S163="","",SUMIFS($S$2:$S$501,$C$2:$C$501,C163,$H$2:$H$501,H163,$G$2:$G$501,"&lt;"&amp;G163)+SUMIFS($S$2:$S$501,$C$2:$C$501,C163,$H$2:$H$501,H163,$G$2:$G$501,G163,$A$2:$A$501,"&lt;"&amp;A163))</f>
        <v/>
      </c>
      <c r="U163" s="14">
        <f>IF(S163="","",T163+S163)</f>
        <v/>
      </c>
      <c r="V163" s="15">
        <f>IF(U163="","",VLOOKUP(U163,'税率及规则'!$A$2:$C$8,2,TRUE))</f>
        <v/>
      </c>
      <c r="W163" s="14">
        <f>IF(U163="","",VLOOKUP(U163,'税率及规则'!$A$2:$C$8,3,TRUE))</f>
        <v/>
      </c>
      <c r="X163" s="14">
        <f>IF(U163="","",MAX(0,U163*V163-W163))</f>
        <v/>
      </c>
      <c r="Y163" s="14">
        <f>IF(T163="","",MAX(0,T163*VLOOKUP(T163,'税率及规则'!$A$2:$C$8,2,TRUE)-VLOOKUP(T163,'税率及规则'!$A$2:$C$8,3,TRUE)))</f>
        <v/>
      </c>
      <c r="Z163" s="14">
        <f>IF(X163="","",MAX(0,X163-Y163))</f>
        <v/>
      </c>
      <c r="AA163" s="16">
        <f>IF(G163="","",G163)</f>
        <v/>
      </c>
      <c r="AB163" s="16">
        <f>IF(AA163="","",EDATE(AA163,36))</f>
        <v/>
      </c>
      <c r="AC163" s="6">
        <f>IF(A163="","",IF(COUNTIF($A$2:$A$501,A163)&gt;1,"异常：事件编号重复",IF(OR(C163="",D163="",E163="",F163="",G163="",I163="",J163=""),"异常：必填项缺失",IF(OR(I163&lt;=0,J163&lt;0),"异常：数量或价格无效",IF(AND(F163="限制性股票",OR(M163&lt;=0,N163&lt;0,I163&gt;M163)),"异常：个人获授或出资数据无效",IF(AND(F163="股票期权",K163&lt;&gt;IF(G163&lt;DATE(2025,1,10),14.56,IF(G163&lt;DATE(2025,4,29),14.32,IF(G163&lt;DATE(2025,9,26),14.18,14.04)))),"异常：行权价格区间不符",IF(Q163&lt;&gt;"已备案","提示：未确认备案","正常")))))))</f>
        <v/>
      </c>
      <c r="AD163" s="11" t="n"/>
    </row>
    <row r="164">
      <c r="A164" s="11" t="n"/>
      <c r="B164" s="6">
        <f>IF(A164="","",A164&amp;"-TAX")</f>
        <v/>
      </c>
      <c r="C164" s="11" t="n"/>
      <c r="D164" s="11" t="n"/>
      <c r="E164" s="11" t="n"/>
      <c r="F164" s="11" t="n"/>
      <c r="G164" s="12" t="n"/>
      <c r="H164" s="6">
        <f>IF(G164="","",YEAR(G164))</f>
        <v/>
      </c>
      <c r="I164" s="11" t="n"/>
      <c r="J164" s="13" t="n"/>
      <c r="K164" s="14">
        <f>IF(F164="股票期权",IF(G164="","",IF(G164&lt;DATE(2025,1,10),14.56,IF(G164&lt;DATE(2025,4,29),14.32,IF(G164&lt;DATE(2025,9,26),14.18,14.04)))),IF(F164="限制性股票",8.68,""))</f>
        <v/>
      </c>
      <c r="L164" s="14">
        <f>IF(F164="限制性股票",13.06,"")</f>
        <v/>
      </c>
      <c r="M164" s="11" t="n"/>
      <c r="N164" s="13" t="n"/>
      <c r="O164" s="13" t="n"/>
      <c r="P164" s="12" t="n"/>
      <c r="Q164" s="11" t="n"/>
      <c r="R164" s="12" t="n"/>
      <c r="S164" s="14">
        <f>IF(OR(A164="",C164="",F164="",G164="",I164="",J164=""),"",IF(F164="股票期权",MAX(0,(J164-K164)*I164),IF(F164="限制性股票",IF(OR(L164="",M164="",M164&lt;=0,N164=""),"",MAX(0,((L164+J164)/2)*I164-N164*I164/M164)),MAX(0,O164))))</f>
        <v/>
      </c>
      <c r="T164" s="14">
        <f>IF(S164="","",SUMIFS($S$2:$S$501,$C$2:$C$501,C164,$H$2:$H$501,H164,$G$2:$G$501,"&lt;"&amp;G164)+SUMIFS($S$2:$S$501,$C$2:$C$501,C164,$H$2:$H$501,H164,$G$2:$G$501,G164,$A$2:$A$501,"&lt;"&amp;A164))</f>
        <v/>
      </c>
      <c r="U164" s="14">
        <f>IF(S164="","",T164+S164)</f>
        <v/>
      </c>
      <c r="V164" s="15">
        <f>IF(U164="","",VLOOKUP(U164,'税率及规则'!$A$2:$C$8,2,TRUE))</f>
        <v/>
      </c>
      <c r="W164" s="14">
        <f>IF(U164="","",VLOOKUP(U164,'税率及规则'!$A$2:$C$8,3,TRUE))</f>
        <v/>
      </c>
      <c r="X164" s="14">
        <f>IF(U164="","",MAX(0,U164*V164-W164))</f>
        <v/>
      </c>
      <c r="Y164" s="14">
        <f>IF(T164="","",MAX(0,T164*VLOOKUP(T164,'税率及规则'!$A$2:$C$8,2,TRUE)-VLOOKUP(T164,'税率及规则'!$A$2:$C$8,3,TRUE)))</f>
        <v/>
      </c>
      <c r="Z164" s="14">
        <f>IF(X164="","",MAX(0,X164-Y164))</f>
        <v/>
      </c>
      <c r="AA164" s="16">
        <f>IF(G164="","",G164)</f>
        <v/>
      </c>
      <c r="AB164" s="16">
        <f>IF(AA164="","",EDATE(AA164,36))</f>
        <v/>
      </c>
      <c r="AC164" s="6">
        <f>IF(A164="","",IF(COUNTIF($A$2:$A$501,A164)&gt;1,"异常：事件编号重复",IF(OR(C164="",D164="",E164="",F164="",G164="",I164="",J164=""),"异常：必填项缺失",IF(OR(I164&lt;=0,J164&lt;0),"异常：数量或价格无效",IF(AND(F164="限制性股票",OR(M164&lt;=0,N164&lt;0,I164&gt;M164)),"异常：个人获授或出资数据无效",IF(AND(F164="股票期权",K164&lt;&gt;IF(G164&lt;DATE(2025,1,10),14.56,IF(G164&lt;DATE(2025,4,29),14.32,IF(G164&lt;DATE(2025,9,26),14.18,14.04)))),"异常：行权价格区间不符",IF(Q164&lt;&gt;"已备案","提示：未确认备案","正常")))))))</f>
        <v/>
      </c>
      <c r="AD164" s="11" t="n"/>
    </row>
    <row r="165">
      <c r="A165" s="11" t="n"/>
      <c r="B165" s="6">
        <f>IF(A165="","",A165&amp;"-TAX")</f>
        <v/>
      </c>
      <c r="C165" s="11" t="n"/>
      <c r="D165" s="11" t="n"/>
      <c r="E165" s="11" t="n"/>
      <c r="F165" s="11" t="n"/>
      <c r="G165" s="12" t="n"/>
      <c r="H165" s="6">
        <f>IF(G165="","",YEAR(G165))</f>
        <v/>
      </c>
      <c r="I165" s="11" t="n"/>
      <c r="J165" s="13" t="n"/>
      <c r="K165" s="14">
        <f>IF(F165="股票期权",IF(G165="","",IF(G165&lt;DATE(2025,1,10),14.56,IF(G165&lt;DATE(2025,4,29),14.32,IF(G165&lt;DATE(2025,9,26),14.18,14.04)))),IF(F165="限制性股票",8.68,""))</f>
        <v/>
      </c>
      <c r="L165" s="14">
        <f>IF(F165="限制性股票",13.06,"")</f>
        <v/>
      </c>
      <c r="M165" s="11" t="n"/>
      <c r="N165" s="13" t="n"/>
      <c r="O165" s="13" t="n"/>
      <c r="P165" s="12" t="n"/>
      <c r="Q165" s="11" t="n"/>
      <c r="R165" s="12" t="n"/>
      <c r="S165" s="14">
        <f>IF(OR(A165="",C165="",F165="",G165="",I165="",J165=""),"",IF(F165="股票期权",MAX(0,(J165-K165)*I165),IF(F165="限制性股票",IF(OR(L165="",M165="",M165&lt;=0,N165=""),"",MAX(0,((L165+J165)/2)*I165-N165*I165/M165)),MAX(0,O165))))</f>
        <v/>
      </c>
      <c r="T165" s="14">
        <f>IF(S165="","",SUMIFS($S$2:$S$501,$C$2:$C$501,C165,$H$2:$H$501,H165,$G$2:$G$501,"&lt;"&amp;G165)+SUMIFS($S$2:$S$501,$C$2:$C$501,C165,$H$2:$H$501,H165,$G$2:$G$501,G165,$A$2:$A$501,"&lt;"&amp;A165))</f>
        <v/>
      </c>
      <c r="U165" s="14">
        <f>IF(S165="","",T165+S165)</f>
        <v/>
      </c>
      <c r="V165" s="15">
        <f>IF(U165="","",VLOOKUP(U165,'税率及规则'!$A$2:$C$8,2,TRUE))</f>
        <v/>
      </c>
      <c r="W165" s="14">
        <f>IF(U165="","",VLOOKUP(U165,'税率及规则'!$A$2:$C$8,3,TRUE))</f>
        <v/>
      </c>
      <c r="X165" s="14">
        <f>IF(U165="","",MAX(0,U165*V165-W165))</f>
        <v/>
      </c>
      <c r="Y165" s="14">
        <f>IF(T165="","",MAX(0,T165*VLOOKUP(T165,'税率及规则'!$A$2:$C$8,2,TRUE)-VLOOKUP(T165,'税率及规则'!$A$2:$C$8,3,TRUE)))</f>
        <v/>
      </c>
      <c r="Z165" s="14">
        <f>IF(X165="","",MAX(0,X165-Y165))</f>
        <v/>
      </c>
      <c r="AA165" s="16">
        <f>IF(G165="","",G165)</f>
        <v/>
      </c>
      <c r="AB165" s="16">
        <f>IF(AA165="","",EDATE(AA165,36))</f>
        <v/>
      </c>
      <c r="AC165" s="6">
        <f>IF(A165="","",IF(COUNTIF($A$2:$A$501,A165)&gt;1,"异常：事件编号重复",IF(OR(C165="",D165="",E165="",F165="",G165="",I165="",J165=""),"异常：必填项缺失",IF(OR(I165&lt;=0,J165&lt;0),"异常：数量或价格无效",IF(AND(F165="限制性股票",OR(M165&lt;=0,N165&lt;0,I165&gt;M165)),"异常：个人获授或出资数据无效",IF(AND(F165="股票期权",K165&lt;&gt;IF(G165&lt;DATE(2025,1,10),14.56,IF(G165&lt;DATE(2025,4,29),14.32,IF(G165&lt;DATE(2025,9,26),14.18,14.04)))),"异常：行权价格区间不符",IF(Q165&lt;&gt;"已备案","提示：未确认备案","正常")))))))</f>
        <v/>
      </c>
      <c r="AD165" s="11" t="n"/>
    </row>
    <row r="166">
      <c r="A166" s="11" t="n"/>
      <c r="B166" s="6">
        <f>IF(A166="","",A166&amp;"-TAX")</f>
        <v/>
      </c>
      <c r="C166" s="11" t="n"/>
      <c r="D166" s="11" t="n"/>
      <c r="E166" s="11" t="n"/>
      <c r="F166" s="11" t="n"/>
      <c r="G166" s="12" t="n"/>
      <c r="H166" s="6">
        <f>IF(G166="","",YEAR(G166))</f>
        <v/>
      </c>
      <c r="I166" s="11" t="n"/>
      <c r="J166" s="13" t="n"/>
      <c r="K166" s="14">
        <f>IF(F166="股票期权",IF(G166="","",IF(G166&lt;DATE(2025,1,10),14.56,IF(G166&lt;DATE(2025,4,29),14.32,IF(G166&lt;DATE(2025,9,26),14.18,14.04)))),IF(F166="限制性股票",8.68,""))</f>
        <v/>
      </c>
      <c r="L166" s="14">
        <f>IF(F166="限制性股票",13.06,"")</f>
        <v/>
      </c>
      <c r="M166" s="11" t="n"/>
      <c r="N166" s="13" t="n"/>
      <c r="O166" s="13" t="n"/>
      <c r="P166" s="12" t="n"/>
      <c r="Q166" s="11" t="n"/>
      <c r="R166" s="12" t="n"/>
      <c r="S166" s="14">
        <f>IF(OR(A166="",C166="",F166="",G166="",I166="",J166=""),"",IF(F166="股票期权",MAX(0,(J166-K166)*I166),IF(F166="限制性股票",IF(OR(L166="",M166="",M166&lt;=0,N166=""),"",MAX(0,((L166+J166)/2)*I166-N166*I166/M166)),MAX(0,O166))))</f>
        <v/>
      </c>
      <c r="T166" s="14">
        <f>IF(S166="","",SUMIFS($S$2:$S$501,$C$2:$C$501,C166,$H$2:$H$501,H166,$G$2:$G$501,"&lt;"&amp;G166)+SUMIFS($S$2:$S$501,$C$2:$C$501,C166,$H$2:$H$501,H166,$G$2:$G$501,G166,$A$2:$A$501,"&lt;"&amp;A166))</f>
        <v/>
      </c>
      <c r="U166" s="14">
        <f>IF(S166="","",T166+S166)</f>
        <v/>
      </c>
      <c r="V166" s="15">
        <f>IF(U166="","",VLOOKUP(U166,'税率及规则'!$A$2:$C$8,2,TRUE))</f>
        <v/>
      </c>
      <c r="W166" s="14">
        <f>IF(U166="","",VLOOKUP(U166,'税率及规则'!$A$2:$C$8,3,TRUE))</f>
        <v/>
      </c>
      <c r="X166" s="14">
        <f>IF(U166="","",MAX(0,U166*V166-W166))</f>
        <v/>
      </c>
      <c r="Y166" s="14">
        <f>IF(T166="","",MAX(0,T166*VLOOKUP(T166,'税率及规则'!$A$2:$C$8,2,TRUE)-VLOOKUP(T166,'税率及规则'!$A$2:$C$8,3,TRUE)))</f>
        <v/>
      </c>
      <c r="Z166" s="14">
        <f>IF(X166="","",MAX(0,X166-Y166))</f>
        <v/>
      </c>
      <c r="AA166" s="16">
        <f>IF(G166="","",G166)</f>
        <v/>
      </c>
      <c r="AB166" s="16">
        <f>IF(AA166="","",EDATE(AA166,36))</f>
        <v/>
      </c>
      <c r="AC166" s="6">
        <f>IF(A166="","",IF(COUNTIF($A$2:$A$501,A166)&gt;1,"异常：事件编号重复",IF(OR(C166="",D166="",E166="",F166="",G166="",I166="",J166=""),"异常：必填项缺失",IF(OR(I166&lt;=0,J166&lt;0),"异常：数量或价格无效",IF(AND(F166="限制性股票",OR(M166&lt;=0,N166&lt;0,I166&gt;M166)),"异常：个人获授或出资数据无效",IF(AND(F166="股票期权",K166&lt;&gt;IF(G166&lt;DATE(2025,1,10),14.56,IF(G166&lt;DATE(2025,4,29),14.32,IF(G166&lt;DATE(2025,9,26),14.18,14.04)))),"异常：行权价格区间不符",IF(Q166&lt;&gt;"已备案","提示：未确认备案","正常")))))))</f>
        <v/>
      </c>
      <c r="AD166" s="11" t="n"/>
    </row>
    <row r="167">
      <c r="A167" s="11" t="n"/>
      <c r="B167" s="6">
        <f>IF(A167="","",A167&amp;"-TAX")</f>
        <v/>
      </c>
      <c r="C167" s="11" t="n"/>
      <c r="D167" s="11" t="n"/>
      <c r="E167" s="11" t="n"/>
      <c r="F167" s="11" t="n"/>
      <c r="G167" s="12" t="n"/>
      <c r="H167" s="6">
        <f>IF(G167="","",YEAR(G167))</f>
        <v/>
      </c>
      <c r="I167" s="11" t="n"/>
      <c r="J167" s="13" t="n"/>
      <c r="K167" s="14">
        <f>IF(F167="股票期权",IF(G167="","",IF(G167&lt;DATE(2025,1,10),14.56,IF(G167&lt;DATE(2025,4,29),14.32,IF(G167&lt;DATE(2025,9,26),14.18,14.04)))),IF(F167="限制性股票",8.68,""))</f>
        <v/>
      </c>
      <c r="L167" s="14">
        <f>IF(F167="限制性股票",13.06,"")</f>
        <v/>
      </c>
      <c r="M167" s="11" t="n"/>
      <c r="N167" s="13" t="n"/>
      <c r="O167" s="13" t="n"/>
      <c r="P167" s="12" t="n"/>
      <c r="Q167" s="11" t="n"/>
      <c r="R167" s="12" t="n"/>
      <c r="S167" s="14">
        <f>IF(OR(A167="",C167="",F167="",G167="",I167="",J167=""),"",IF(F167="股票期权",MAX(0,(J167-K167)*I167),IF(F167="限制性股票",IF(OR(L167="",M167="",M167&lt;=0,N167=""),"",MAX(0,((L167+J167)/2)*I167-N167*I167/M167)),MAX(0,O167))))</f>
        <v/>
      </c>
      <c r="T167" s="14">
        <f>IF(S167="","",SUMIFS($S$2:$S$501,$C$2:$C$501,C167,$H$2:$H$501,H167,$G$2:$G$501,"&lt;"&amp;G167)+SUMIFS($S$2:$S$501,$C$2:$C$501,C167,$H$2:$H$501,H167,$G$2:$G$501,G167,$A$2:$A$501,"&lt;"&amp;A167))</f>
        <v/>
      </c>
      <c r="U167" s="14">
        <f>IF(S167="","",T167+S167)</f>
        <v/>
      </c>
      <c r="V167" s="15">
        <f>IF(U167="","",VLOOKUP(U167,'税率及规则'!$A$2:$C$8,2,TRUE))</f>
        <v/>
      </c>
      <c r="W167" s="14">
        <f>IF(U167="","",VLOOKUP(U167,'税率及规则'!$A$2:$C$8,3,TRUE))</f>
        <v/>
      </c>
      <c r="X167" s="14">
        <f>IF(U167="","",MAX(0,U167*V167-W167))</f>
        <v/>
      </c>
      <c r="Y167" s="14">
        <f>IF(T167="","",MAX(0,T167*VLOOKUP(T167,'税率及规则'!$A$2:$C$8,2,TRUE)-VLOOKUP(T167,'税率及规则'!$A$2:$C$8,3,TRUE)))</f>
        <v/>
      </c>
      <c r="Z167" s="14">
        <f>IF(X167="","",MAX(0,X167-Y167))</f>
        <v/>
      </c>
      <c r="AA167" s="16">
        <f>IF(G167="","",G167)</f>
        <v/>
      </c>
      <c r="AB167" s="16">
        <f>IF(AA167="","",EDATE(AA167,36))</f>
        <v/>
      </c>
      <c r="AC167" s="6">
        <f>IF(A167="","",IF(COUNTIF($A$2:$A$501,A167)&gt;1,"异常：事件编号重复",IF(OR(C167="",D167="",E167="",F167="",G167="",I167="",J167=""),"异常：必填项缺失",IF(OR(I167&lt;=0,J167&lt;0),"异常：数量或价格无效",IF(AND(F167="限制性股票",OR(M167&lt;=0,N167&lt;0,I167&gt;M167)),"异常：个人获授或出资数据无效",IF(AND(F167="股票期权",K167&lt;&gt;IF(G167&lt;DATE(2025,1,10),14.56,IF(G167&lt;DATE(2025,4,29),14.32,IF(G167&lt;DATE(2025,9,26),14.18,14.04)))),"异常：行权价格区间不符",IF(Q167&lt;&gt;"已备案","提示：未确认备案","正常")))))))</f>
        <v/>
      </c>
      <c r="AD167" s="11" t="n"/>
    </row>
    <row r="168">
      <c r="A168" s="11" t="n"/>
      <c r="B168" s="6">
        <f>IF(A168="","",A168&amp;"-TAX")</f>
        <v/>
      </c>
      <c r="C168" s="11" t="n"/>
      <c r="D168" s="11" t="n"/>
      <c r="E168" s="11" t="n"/>
      <c r="F168" s="11" t="n"/>
      <c r="G168" s="12" t="n"/>
      <c r="H168" s="6">
        <f>IF(G168="","",YEAR(G168))</f>
        <v/>
      </c>
      <c r="I168" s="11" t="n"/>
      <c r="J168" s="13" t="n"/>
      <c r="K168" s="14">
        <f>IF(F168="股票期权",IF(G168="","",IF(G168&lt;DATE(2025,1,10),14.56,IF(G168&lt;DATE(2025,4,29),14.32,IF(G168&lt;DATE(2025,9,26),14.18,14.04)))),IF(F168="限制性股票",8.68,""))</f>
        <v/>
      </c>
      <c r="L168" s="14">
        <f>IF(F168="限制性股票",13.06,"")</f>
        <v/>
      </c>
      <c r="M168" s="11" t="n"/>
      <c r="N168" s="13" t="n"/>
      <c r="O168" s="13" t="n"/>
      <c r="P168" s="12" t="n"/>
      <c r="Q168" s="11" t="n"/>
      <c r="R168" s="12" t="n"/>
      <c r="S168" s="14">
        <f>IF(OR(A168="",C168="",F168="",G168="",I168="",J168=""),"",IF(F168="股票期权",MAX(0,(J168-K168)*I168),IF(F168="限制性股票",IF(OR(L168="",M168="",M168&lt;=0,N168=""),"",MAX(0,((L168+J168)/2)*I168-N168*I168/M168)),MAX(0,O168))))</f>
        <v/>
      </c>
      <c r="T168" s="14">
        <f>IF(S168="","",SUMIFS($S$2:$S$501,$C$2:$C$501,C168,$H$2:$H$501,H168,$G$2:$G$501,"&lt;"&amp;G168)+SUMIFS($S$2:$S$501,$C$2:$C$501,C168,$H$2:$H$501,H168,$G$2:$G$501,G168,$A$2:$A$501,"&lt;"&amp;A168))</f>
        <v/>
      </c>
      <c r="U168" s="14">
        <f>IF(S168="","",T168+S168)</f>
        <v/>
      </c>
      <c r="V168" s="15">
        <f>IF(U168="","",VLOOKUP(U168,'税率及规则'!$A$2:$C$8,2,TRUE))</f>
        <v/>
      </c>
      <c r="W168" s="14">
        <f>IF(U168="","",VLOOKUP(U168,'税率及规则'!$A$2:$C$8,3,TRUE))</f>
        <v/>
      </c>
      <c r="X168" s="14">
        <f>IF(U168="","",MAX(0,U168*V168-W168))</f>
        <v/>
      </c>
      <c r="Y168" s="14">
        <f>IF(T168="","",MAX(0,T168*VLOOKUP(T168,'税率及规则'!$A$2:$C$8,2,TRUE)-VLOOKUP(T168,'税率及规则'!$A$2:$C$8,3,TRUE)))</f>
        <v/>
      </c>
      <c r="Z168" s="14">
        <f>IF(X168="","",MAX(0,X168-Y168))</f>
        <v/>
      </c>
      <c r="AA168" s="16">
        <f>IF(G168="","",G168)</f>
        <v/>
      </c>
      <c r="AB168" s="16">
        <f>IF(AA168="","",EDATE(AA168,36))</f>
        <v/>
      </c>
      <c r="AC168" s="6">
        <f>IF(A168="","",IF(COUNTIF($A$2:$A$501,A168)&gt;1,"异常：事件编号重复",IF(OR(C168="",D168="",E168="",F168="",G168="",I168="",J168=""),"异常：必填项缺失",IF(OR(I168&lt;=0,J168&lt;0),"异常：数量或价格无效",IF(AND(F168="限制性股票",OR(M168&lt;=0,N168&lt;0,I168&gt;M168)),"异常：个人获授或出资数据无效",IF(AND(F168="股票期权",K168&lt;&gt;IF(G168&lt;DATE(2025,1,10),14.56,IF(G168&lt;DATE(2025,4,29),14.32,IF(G168&lt;DATE(2025,9,26),14.18,14.04)))),"异常：行权价格区间不符",IF(Q168&lt;&gt;"已备案","提示：未确认备案","正常")))))))</f>
        <v/>
      </c>
      <c r="AD168" s="11" t="n"/>
    </row>
    <row r="169">
      <c r="A169" s="11" t="n"/>
      <c r="B169" s="6">
        <f>IF(A169="","",A169&amp;"-TAX")</f>
        <v/>
      </c>
      <c r="C169" s="11" t="n"/>
      <c r="D169" s="11" t="n"/>
      <c r="E169" s="11" t="n"/>
      <c r="F169" s="11" t="n"/>
      <c r="G169" s="12" t="n"/>
      <c r="H169" s="6">
        <f>IF(G169="","",YEAR(G169))</f>
        <v/>
      </c>
      <c r="I169" s="11" t="n"/>
      <c r="J169" s="13" t="n"/>
      <c r="K169" s="14">
        <f>IF(F169="股票期权",IF(G169="","",IF(G169&lt;DATE(2025,1,10),14.56,IF(G169&lt;DATE(2025,4,29),14.32,IF(G169&lt;DATE(2025,9,26),14.18,14.04)))),IF(F169="限制性股票",8.68,""))</f>
        <v/>
      </c>
      <c r="L169" s="14">
        <f>IF(F169="限制性股票",13.06,"")</f>
        <v/>
      </c>
      <c r="M169" s="11" t="n"/>
      <c r="N169" s="13" t="n"/>
      <c r="O169" s="13" t="n"/>
      <c r="P169" s="12" t="n"/>
      <c r="Q169" s="11" t="n"/>
      <c r="R169" s="12" t="n"/>
      <c r="S169" s="14">
        <f>IF(OR(A169="",C169="",F169="",G169="",I169="",J169=""),"",IF(F169="股票期权",MAX(0,(J169-K169)*I169),IF(F169="限制性股票",IF(OR(L169="",M169="",M169&lt;=0,N169=""),"",MAX(0,((L169+J169)/2)*I169-N169*I169/M169)),MAX(0,O169))))</f>
        <v/>
      </c>
      <c r="T169" s="14">
        <f>IF(S169="","",SUMIFS($S$2:$S$501,$C$2:$C$501,C169,$H$2:$H$501,H169,$G$2:$G$501,"&lt;"&amp;G169)+SUMIFS($S$2:$S$501,$C$2:$C$501,C169,$H$2:$H$501,H169,$G$2:$G$501,G169,$A$2:$A$501,"&lt;"&amp;A169))</f>
        <v/>
      </c>
      <c r="U169" s="14">
        <f>IF(S169="","",T169+S169)</f>
        <v/>
      </c>
      <c r="V169" s="15">
        <f>IF(U169="","",VLOOKUP(U169,'税率及规则'!$A$2:$C$8,2,TRUE))</f>
        <v/>
      </c>
      <c r="W169" s="14">
        <f>IF(U169="","",VLOOKUP(U169,'税率及规则'!$A$2:$C$8,3,TRUE))</f>
        <v/>
      </c>
      <c r="X169" s="14">
        <f>IF(U169="","",MAX(0,U169*V169-W169))</f>
        <v/>
      </c>
      <c r="Y169" s="14">
        <f>IF(T169="","",MAX(0,T169*VLOOKUP(T169,'税率及规则'!$A$2:$C$8,2,TRUE)-VLOOKUP(T169,'税率及规则'!$A$2:$C$8,3,TRUE)))</f>
        <v/>
      </c>
      <c r="Z169" s="14">
        <f>IF(X169="","",MAX(0,X169-Y169))</f>
        <v/>
      </c>
      <c r="AA169" s="16">
        <f>IF(G169="","",G169)</f>
        <v/>
      </c>
      <c r="AB169" s="16">
        <f>IF(AA169="","",EDATE(AA169,36))</f>
        <v/>
      </c>
      <c r="AC169" s="6">
        <f>IF(A169="","",IF(COUNTIF($A$2:$A$501,A169)&gt;1,"异常：事件编号重复",IF(OR(C169="",D169="",E169="",F169="",G169="",I169="",J169=""),"异常：必填项缺失",IF(OR(I169&lt;=0,J169&lt;0),"异常：数量或价格无效",IF(AND(F169="限制性股票",OR(M169&lt;=0,N169&lt;0,I169&gt;M169)),"异常：个人获授或出资数据无效",IF(AND(F169="股票期权",K169&lt;&gt;IF(G169&lt;DATE(2025,1,10),14.56,IF(G169&lt;DATE(2025,4,29),14.32,IF(G169&lt;DATE(2025,9,26),14.18,14.04)))),"异常：行权价格区间不符",IF(Q169&lt;&gt;"已备案","提示：未确认备案","正常")))))))</f>
        <v/>
      </c>
      <c r="AD169" s="11" t="n"/>
    </row>
    <row r="170">
      <c r="A170" s="11" t="n"/>
      <c r="B170" s="6">
        <f>IF(A170="","",A170&amp;"-TAX")</f>
        <v/>
      </c>
      <c r="C170" s="11" t="n"/>
      <c r="D170" s="11" t="n"/>
      <c r="E170" s="11" t="n"/>
      <c r="F170" s="11" t="n"/>
      <c r="G170" s="12" t="n"/>
      <c r="H170" s="6">
        <f>IF(G170="","",YEAR(G170))</f>
        <v/>
      </c>
      <c r="I170" s="11" t="n"/>
      <c r="J170" s="13" t="n"/>
      <c r="K170" s="14">
        <f>IF(F170="股票期权",IF(G170="","",IF(G170&lt;DATE(2025,1,10),14.56,IF(G170&lt;DATE(2025,4,29),14.32,IF(G170&lt;DATE(2025,9,26),14.18,14.04)))),IF(F170="限制性股票",8.68,""))</f>
        <v/>
      </c>
      <c r="L170" s="14">
        <f>IF(F170="限制性股票",13.06,"")</f>
        <v/>
      </c>
      <c r="M170" s="11" t="n"/>
      <c r="N170" s="13" t="n"/>
      <c r="O170" s="13" t="n"/>
      <c r="P170" s="12" t="n"/>
      <c r="Q170" s="11" t="n"/>
      <c r="R170" s="12" t="n"/>
      <c r="S170" s="14">
        <f>IF(OR(A170="",C170="",F170="",G170="",I170="",J170=""),"",IF(F170="股票期权",MAX(0,(J170-K170)*I170),IF(F170="限制性股票",IF(OR(L170="",M170="",M170&lt;=0,N170=""),"",MAX(0,((L170+J170)/2)*I170-N170*I170/M170)),MAX(0,O170))))</f>
        <v/>
      </c>
      <c r="T170" s="14">
        <f>IF(S170="","",SUMIFS($S$2:$S$501,$C$2:$C$501,C170,$H$2:$H$501,H170,$G$2:$G$501,"&lt;"&amp;G170)+SUMIFS($S$2:$S$501,$C$2:$C$501,C170,$H$2:$H$501,H170,$G$2:$G$501,G170,$A$2:$A$501,"&lt;"&amp;A170))</f>
        <v/>
      </c>
      <c r="U170" s="14">
        <f>IF(S170="","",T170+S170)</f>
        <v/>
      </c>
      <c r="V170" s="15">
        <f>IF(U170="","",VLOOKUP(U170,'税率及规则'!$A$2:$C$8,2,TRUE))</f>
        <v/>
      </c>
      <c r="W170" s="14">
        <f>IF(U170="","",VLOOKUP(U170,'税率及规则'!$A$2:$C$8,3,TRUE))</f>
        <v/>
      </c>
      <c r="X170" s="14">
        <f>IF(U170="","",MAX(0,U170*V170-W170))</f>
        <v/>
      </c>
      <c r="Y170" s="14">
        <f>IF(T170="","",MAX(0,T170*VLOOKUP(T170,'税率及规则'!$A$2:$C$8,2,TRUE)-VLOOKUP(T170,'税率及规则'!$A$2:$C$8,3,TRUE)))</f>
        <v/>
      </c>
      <c r="Z170" s="14">
        <f>IF(X170="","",MAX(0,X170-Y170))</f>
        <v/>
      </c>
      <c r="AA170" s="16">
        <f>IF(G170="","",G170)</f>
        <v/>
      </c>
      <c r="AB170" s="16">
        <f>IF(AA170="","",EDATE(AA170,36))</f>
        <v/>
      </c>
      <c r="AC170" s="6">
        <f>IF(A170="","",IF(COUNTIF($A$2:$A$501,A170)&gt;1,"异常：事件编号重复",IF(OR(C170="",D170="",E170="",F170="",G170="",I170="",J170=""),"异常：必填项缺失",IF(OR(I170&lt;=0,J170&lt;0),"异常：数量或价格无效",IF(AND(F170="限制性股票",OR(M170&lt;=0,N170&lt;0,I170&gt;M170)),"异常：个人获授或出资数据无效",IF(AND(F170="股票期权",K170&lt;&gt;IF(G170&lt;DATE(2025,1,10),14.56,IF(G170&lt;DATE(2025,4,29),14.32,IF(G170&lt;DATE(2025,9,26),14.18,14.04)))),"异常：行权价格区间不符",IF(Q170&lt;&gt;"已备案","提示：未确认备案","正常")))))))</f>
        <v/>
      </c>
      <c r="AD170" s="11" t="n"/>
    </row>
    <row r="171">
      <c r="A171" s="11" t="n"/>
      <c r="B171" s="6">
        <f>IF(A171="","",A171&amp;"-TAX")</f>
        <v/>
      </c>
      <c r="C171" s="11" t="n"/>
      <c r="D171" s="11" t="n"/>
      <c r="E171" s="11" t="n"/>
      <c r="F171" s="11" t="n"/>
      <c r="G171" s="12" t="n"/>
      <c r="H171" s="6">
        <f>IF(G171="","",YEAR(G171))</f>
        <v/>
      </c>
      <c r="I171" s="11" t="n"/>
      <c r="J171" s="13" t="n"/>
      <c r="K171" s="14">
        <f>IF(F171="股票期权",IF(G171="","",IF(G171&lt;DATE(2025,1,10),14.56,IF(G171&lt;DATE(2025,4,29),14.32,IF(G171&lt;DATE(2025,9,26),14.18,14.04)))),IF(F171="限制性股票",8.68,""))</f>
        <v/>
      </c>
      <c r="L171" s="14">
        <f>IF(F171="限制性股票",13.06,"")</f>
        <v/>
      </c>
      <c r="M171" s="11" t="n"/>
      <c r="N171" s="13" t="n"/>
      <c r="O171" s="13" t="n"/>
      <c r="P171" s="12" t="n"/>
      <c r="Q171" s="11" t="n"/>
      <c r="R171" s="12" t="n"/>
      <c r="S171" s="14">
        <f>IF(OR(A171="",C171="",F171="",G171="",I171="",J171=""),"",IF(F171="股票期权",MAX(0,(J171-K171)*I171),IF(F171="限制性股票",IF(OR(L171="",M171="",M171&lt;=0,N171=""),"",MAX(0,((L171+J171)/2)*I171-N171*I171/M171)),MAX(0,O171))))</f>
        <v/>
      </c>
      <c r="T171" s="14">
        <f>IF(S171="","",SUMIFS($S$2:$S$501,$C$2:$C$501,C171,$H$2:$H$501,H171,$G$2:$G$501,"&lt;"&amp;G171)+SUMIFS($S$2:$S$501,$C$2:$C$501,C171,$H$2:$H$501,H171,$G$2:$G$501,G171,$A$2:$A$501,"&lt;"&amp;A171))</f>
        <v/>
      </c>
      <c r="U171" s="14">
        <f>IF(S171="","",T171+S171)</f>
        <v/>
      </c>
      <c r="V171" s="15">
        <f>IF(U171="","",VLOOKUP(U171,'税率及规则'!$A$2:$C$8,2,TRUE))</f>
        <v/>
      </c>
      <c r="W171" s="14">
        <f>IF(U171="","",VLOOKUP(U171,'税率及规则'!$A$2:$C$8,3,TRUE))</f>
        <v/>
      </c>
      <c r="X171" s="14">
        <f>IF(U171="","",MAX(0,U171*V171-W171))</f>
        <v/>
      </c>
      <c r="Y171" s="14">
        <f>IF(T171="","",MAX(0,T171*VLOOKUP(T171,'税率及规则'!$A$2:$C$8,2,TRUE)-VLOOKUP(T171,'税率及规则'!$A$2:$C$8,3,TRUE)))</f>
        <v/>
      </c>
      <c r="Z171" s="14">
        <f>IF(X171="","",MAX(0,X171-Y171))</f>
        <v/>
      </c>
      <c r="AA171" s="16">
        <f>IF(G171="","",G171)</f>
        <v/>
      </c>
      <c r="AB171" s="16">
        <f>IF(AA171="","",EDATE(AA171,36))</f>
        <v/>
      </c>
      <c r="AC171" s="6">
        <f>IF(A171="","",IF(COUNTIF($A$2:$A$501,A171)&gt;1,"异常：事件编号重复",IF(OR(C171="",D171="",E171="",F171="",G171="",I171="",J171=""),"异常：必填项缺失",IF(OR(I171&lt;=0,J171&lt;0),"异常：数量或价格无效",IF(AND(F171="限制性股票",OR(M171&lt;=0,N171&lt;0,I171&gt;M171)),"异常：个人获授或出资数据无效",IF(AND(F171="股票期权",K171&lt;&gt;IF(G171&lt;DATE(2025,1,10),14.56,IF(G171&lt;DATE(2025,4,29),14.32,IF(G171&lt;DATE(2025,9,26),14.18,14.04)))),"异常：行权价格区间不符",IF(Q171&lt;&gt;"已备案","提示：未确认备案","正常")))))))</f>
        <v/>
      </c>
      <c r="AD171" s="11" t="n"/>
    </row>
    <row r="172">
      <c r="A172" s="11" t="n"/>
      <c r="B172" s="6">
        <f>IF(A172="","",A172&amp;"-TAX")</f>
        <v/>
      </c>
      <c r="C172" s="11" t="n"/>
      <c r="D172" s="11" t="n"/>
      <c r="E172" s="11" t="n"/>
      <c r="F172" s="11" t="n"/>
      <c r="G172" s="12" t="n"/>
      <c r="H172" s="6">
        <f>IF(G172="","",YEAR(G172))</f>
        <v/>
      </c>
      <c r="I172" s="11" t="n"/>
      <c r="J172" s="13" t="n"/>
      <c r="K172" s="14">
        <f>IF(F172="股票期权",IF(G172="","",IF(G172&lt;DATE(2025,1,10),14.56,IF(G172&lt;DATE(2025,4,29),14.32,IF(G172&lt;DATE(2025,9,26),14.18,14.04)))),IF(F172="限制性股票",8.68,""))</f>
        <v/>
      </c>
      <c r="L172" s="14">
        <f>IF(F172="限制性股票",13.06,"")</f>
        <v/>
      </c>
      <c r="M172" s="11" t="n"/>
      <c r="N172" s="13" t="n"/>
      <c r="O172" s="13" t="n"/>
      <c r="P172" s="12" t="n"/>
      <c r="Q172" s="11" t="n"/>
      <c r="R172" s="12" t="n"/>
      <c r="S172" s="14">
        <f>IF(OR(A172="",C172="",F172="",G172="",I172="",J172=""),"",IF(F172="股票期权",MAX(0,(J172-K172)*I172),IF(F172="限制性股票",IF(OR(L172="",M172="",M172&lt;=0,N172=""),"",MAX(0,((L172+J172)/2)*I172-N172*I172/M172)),MAX(0,O172))))</f>
        <v/>
      </c>
      <c r="T172" s="14">
        <f>IF(S172="","",SUMIFS($S$2:$S$501,$C$2:$C$501,C172,$H$2:$H$501,H172,$G$2:$G$501,"&lt;"&amp;G172)+SUMIFS($S$2:$S$501,$C$2:$C$501,C172,$H$2:$H$501,H172,$G$2:$G$501,G172,$A$2:$A$501,"&lt;"&amp;A172))</f>
        <v/>
      </c>
      <c r="U172" s="14">
        <f>IF(S172="","",T172+S172)</f>
        <v/>
      </c>
      <c r="V172" s="15">
        <f>IF(U172="","",VLOOKUP(U172,'税率及规则'!$A$2:$C$8,2,TRUE))</f>
        <v/>
      </c>
      <c r="W172" s="14">
        <f>IF(U172="","",VLOOKUP(U172,'税率及规则'!$A$2:$C$8,3,TRUE))</f>
        <v/>
      </c>
      <c r="X172" s="14">
        <f>IF(U172="","",MAX(0,U172*V172-W172))</f>
        <v/>
      </c>
      <c r="Y172" s="14">
        <f>IF(T172="","",MAX(0,T172*VLOOKUP(T172,'税率及规则'!$A$2:$C$8,2,TRUE)-VLOOKUP(T172,'税率及规则'!$A$2:$C$8,3,TRUE)))</f>
        <v/>
      </c>
      <c r="Z172" s="14">
        <f>IF(X172="","",MAX(0,X172-Y172))</f>
        <v/>
      </c>
      <c r="AA172" s="16">
        <f>IF(G172="","",G172)</f>
        <v/>
      </c>
      <c r="AB172" s="16">
        <f>IF(AA172="","",EDATE(AA172,36))</f>
        <v/>
      </c>
      <c r="AC172" s="6">
        <f>IF(A172="","",IF(COUNTIF($A$2:$A$501,A172)&gt;1,"异常：事件编号重复",IF(OR(C172="",D172="",E172="",F172="",G172="",I172="",J172=""),"异常：必填项缺失",IF(OR(I172&lt;=0,J172&lt;0),"异常：数量或价格无效",IF(AND(F172="限制性股票",OR(M172&lt;=0,N172&lt;0,I172&gt;M172)),"异常：个人获授或出资数据无效",IF(AND(F172="股票期权",K172&lt;&gt;IF(G172&lt;DATE(2025,1,10),14.56,IF(G172&lt;DATE(2025,4,29),14.32,IF(G172&lt;DATE(2025,9,26),14.18,14.04)))),"异常：行权价格区间不符",IF(Q172&lt;&gt;"已备案","提示：未确认备案","正常")))))))</f>
        <v/>
      </c>
      <c r="AD172" s="11" t="n"/>
    </row>
    <row r="173">
      <c r="A173" s="11" t="n"/>
      <c r="B173" s="6">
        <f>IF(A173="","",A173&amp;"-TAX")</f>
        <v/>
      </c>
      <c r="C173" s="11" t="n"/>
      <c r="D173" s="11" t="n"/>
      <c r="E173" s="11" t="n"/>
      <c r="F173" s="11" t="n"/>
      <c r="G173" s="12" t="n"/>
      <c r="H173" s="6">
        <f>IF(G173="","",YEAR(G173))</f>
        <v/>
      </c>
      <c r="I173" s="11" t="n"/>
      <c r="J173" s="13" t="n"/>
      <c r="K173" s="14">
        <f>IF(F173="股票期权",IF(G173="","",IF(G173&lt;DATE(2025,1,10),14.56,IF(G173&lt;DATE(2025,4,29),14.32,IF(G173&lt;DATE(2025,9,26),14.18,14.04)))),IF(F173="限制性股票",8.68,""))</f>
        <v/>
      </c>
      <c r="L173" s="14">
        <f>IF(F173="限制性股票",13.06,"")</f>
        <v/>
      </c>
      <c r="M173" s="11" t="n"/>
      <c r="N173" s="13" t="n"/>
      <c r="O173" s="13" t="n"/>
      <c r="P173" s="12" t="n"/>
      <c r="Q173" s="11" t="n"/>
      <c r="R173" s="12" t="n"/>
      <c r="S173" s="14">
        <f>IF(OR(A173="",C173="",F173="",G173="",I173="",J173=""),"",IF(F173="股票期权",MAX(0,(J173-K173)*I173),IF(F173="限制性股票",IF(OR(L173="",M173="",M173&lt;=0,N173=""),"",MAX(0,((L173+J173)/2)*I173-N173*I173/M173)),MAX(0,O173))))</f>
        <v/>
      </c>
      <c r="T173" s="14">
        <f>IF(S173="","",SUMIFS($S$2:$S$501,$C$2:$C$501,C173,$H$2:$H$501,H173,$G$2:$G$501,"&lt;"&amp;G173)+SUMIFS($S$2:$S$501,$C$2:$C$501,C173,$H$2:$H$501,H173,$G$2:$G$501,G173,$A$2:$A$501,"&lt;"&amp;A173))</f>
        <v/>
      </c>
      <c r="U173" s="14">
        <f>IF(S173="","",T173+S173)</f>
        <v/>
      </c>
      <c r="V173" s="15">
        <f>IF(U173="","",VLOOKUP(U173,'税率及规则'!$A$2:$C$8,2,TRUE))</f>
        <v/>
      </c>
      <c r="W173" s="14">
        <f>IF(U173="","",VLOOKUP(U173,'税率及规则'!$A$2:$C$8,3,TRUE))</f>
        <v/>
      </c>
      <c r="X173" s="14">
        <f>IF(U173="","",MAX(0,U173*V173-W173))</f>
        <v/>
      </c>
      <c r="Y173" s="14">
        <f>IF(T173="","",MAX(0,T173*VLOOKUP(T173,'税率及规则'!$A$2:$C$8,2,TRUE)-VLOOKUP(T173,'税率及规则'!$A$2:$C$8,3,TRUE)))</f>
        <v/>
      </c>
      <c r="Z173" s="14">
        <f>IF(X173="","",MAX(0,X173-Y173))</f>
        <v/>
      </c>
      <c r="AA173" s="16">
        <f>IF(G173="","",G173)</f>
        <v/>
      </c>
      <c r="AB173" s="16">
        <f>IF(AA173="","",EDATE(AA173,36))</f>
        <v/>
      </c>
      <c r="AC173" s="6">
        <f>IF(A173="","",IF(COUNTIF($A$2:$A$501,A173)&gt;1,"异常：事件编号重复",IF(OR(C173="",D173="",E173="",F173="",G173="",I173="",J173=""),"异常：必填项缺失",IF(OR(I173&lt;=0,J173&lt;0),"异常：数量或价格无效",IF(AND(F173="限制性股票",OR(M173&lt;=0,N173&lt;0,I173&gt;M173)),"异常：个人获授或出资数据无效",IF(AND(F173="股票期权",K173&lt;&gt;IF(G173&lt;DATE(2025,1,10),14.56,IF(G173&lt;DATE(2025,4,29),14.32,IF(G173&lt;DATE(2025,9,26),14.18,14.04)))),"异常：行权价格区间不符",IF(Q173&lt;&gt;"已备案","提示：未确认备案","正常")))))))</f>
        <v/>
      </c>
      <c r="AD173" s="11" t="n"/>
    </row>
    <row r="174">
      <c r="A174" s="11" t="n"/>
      <c r="B174" s="6">
        <f>IF(A174="","",A174&amp;"-TAX")</f>
        <v/>
      </c>
      <c r="C174" s="11" t="n"/>
      <c r="D174" s="11" t="n"/>
      <c r="E174" s="11" t="n"/>
      <c r="F174" s="11" t="n"/>
      <c r="G174" s="12" t="n"/>
      <c r="H174" s="6">
        <f>IF(G174="","",YEAR(G174))</f>
        <v/>
      </c>
      <c r="I174" s="11" t="n"/>
      <c r="J174" s="13" t="n"/>
      <c r="K174" s="14">
        <f>IF(F174="股票期权",IF(G174="","",IF(G174&lt;DATE(2025,1,10),14.56,IF(G174&lt;DATE(2025,4,29),14.32,IF(G174&lt;DATE(2025,9,26),14.18,14.04)))),IF(F174="限制性股票",8.68,""))</f>
        <v/>
      </c>
      <c r="L174" s="14">
        <f>IF(F174="限制性股票",13.06,"")</f>
        <v/>
      </c>
      <c r="M174" s="11" t="n"/>
      <c r="N174" s="13" t="n"/>
      <c r="O174" s="13" t="n"/>
      <c r="P174" s="12" t="n"/>
      <c r="Q174" s="11" t="n"/>
      <c r="R174" s="12" t="n"/>
      <c r="S174" s="14">
        <f>IF(OR(A174="",C174="",F174="",G174="",I174="",J174=""),"",IF(F174="股票期权",MAX(0,(J174-K174)*I174),IF(F174="限制性股票",IF(OR(L174="",M174="",M174&lt;=0,N174=""),"",MAX(0,((L174+J174)/2)*I174-N174*I174/M174)),MAX(0,O174))))</f>
        <v/>
      </c>
      <c r="T174" s="14">
        <f>IF(S174="","",SUMIFS($S$2:$S$501,$C$2:$C$501,C174,$H$2:$H$501,H174,$G$2:$G$501,"&lt;"&amp;G174)+SUMIFS($S$2:$S$501,$C$2:$C$501,C174,$H$2:$H$501,H174,$G$2:$G$501,G174,$A$2:$A$501,"&lt;"&amp;A174))</f>
        <v/>
      </c>
      <c r="U174" s="14">
        <f>IF(S174="","",T174+S174)</f>
        <v/>
      </c>
      <c r="V174" s="15">
        <f>IF(U174="","",VLOOKUP(U174,'税率及规则'!$A$2:$C$8,2,TRUE))</f>
        <v/>
      </c>
      <c r="W174" s="14">
        <f>IF(U174="","",VLOOKUP(U174,'税率及规则'!$A$2:$C$8,3,TRUE))</f>
        <v/>
      </c>
      <c r="X174" s="14">
        <f>IF(U174="","",MAX(0,U174*V174-W174))</f>
        <v/>
      </c>
      <c r="Y174" s="14">
        <f>IF(T174="","",MAX(0,T174*VLOOKUP(T174,'税率及规则'!$A$2:$C$8,2,TRUE)-VLOOKUP(T174,'税率及规则'!$A$2:$C$8,3,TRUE)))</f>
        <v/>
      </c>
      <c r="Z174" s="14">
        <f>IF(X174="","",MAX(0,X174-Y174))</f>
        <v/>
      </c>
      <c r="AA174" s="16">
        <f>IF(G174="","",G174)</f>
        <v/>
      </c>
      <c r="AB174" s="16">
        <f>IF(AA174="","",EDATE(AA174,36))</f>
        <v/>
      </c>
      <c r="AC174" s="6">
        <f>IF(A174="","",IF(COUNTIF($A$2:$A$501,A174)&gt;1,"异常：事件编号重复",IF(OR(C174="",D174="",E174="",F174="",G174="",I174="",J174=""),"异常：必填项缺失",IF(OR(I174&lt;=0,J174&lt;0),"异常：数量或价格无效",IF(AND(F174="限制性股票",OR(M174&lt;=0,N174&lt;0,I174&gt;M174)),"异常：个人获授或出资数据无效",IF(AND(F174="股票期权",K174&lt;&gt;IF(G174&lt;DATE(2025,1,10),14.56,IF(G174&lt;DATE(2025,4,29),14.32,IF(G174&lt;DATE(2025,9,26),14.18,14.04)))),"异常：行权价格区间不符",IF(Q174&lt;&gt;"已备案","提示：未确认备案","正常")))))))</f>
        <v/>
      </c>
      <c r="AD174" s="11" t="n"/>
    </row>
    <row r="175">
      <c r="A175" s="11" t="n"/>
      <c r="B175" s="6">
        <f>IF(A175="","",A175&amp;"-TAX")</f>
        <v/>
      </c>
      <c r="C175" s="11" t="n"/>
      <c r="D175" s="11" t="n"/>
      <c r="E175" s="11" t="n"/>
      <c r="F175" s="11" t="n"/>
      <c r="G175" s="12" t="n"/>
      <c r="H175" s="6">
        <f>IF(G175="","",YEAR(G175))</f>
        <v/>
      </c>
      <c r="I175" s="11" t="n"/>
      <c r="J175" s="13" t="n"/>
      <c r="K175" s="14">
        <f>IF(F175="股票期权",IF(G175="","",IF(G175&lt;DATE(2025,1,10),14.56,IF(G175&lt;DATE(2025,4,29),14.32,IF(G175&lt;DATE(2025,9,26),14.18,14.04)))),IF(F175="限制性股票",8.68,""))</f>
        <v/>
      </c>
      <c r="L175" s="14">
        <f>IF(F175="限制性股票",13.06,"")</f>
        <v/>
      </c>
      <c r="M175" s="11" t="n"/>
      <c r="N175" s="13" t="n"/>
      <c r="O175" s="13" t="n"/>
      <c r="P175" s="12" t="n"/>
      <c r="Q175" s="11" t="n"/>
      <c r="R175" s="12" t="n"/>
      <c r="S175" s="14">
        <f>IF(OR(A175="",C175="",F175="",G175="",I175="",J175=""),"",IF(F175="股票期权",MAX(0,(J175-K175)*I175),IF(F175="限制性股票",IF(OR(L175="",M175="",M175&lt;=0,N175=""),"",MAX(0,((L175+J175)/2)*I175-N175*I175/M175)),MAX(0,O175))))</f>
        <v/>
      </c>
      <c r="T175" s="14">
        <f>IF(S175="","",SUMIFS($S$2:$S$501,$C$2:$C$501,C175,$H$2:$H$501,H175,$G$2:$G$501,"&lt;"&amp;G175)+SUMIFS($S$2:$S$501,$C$2:$C$501,C175,$H$2:$H$501,H175,$G$2:$G$501,G175,$A$2:$A$501,"&lt;"&amp;A175))</f>
        <v/>
      </c>
      <c r="U175" s="14">
        <f>IF(S175="","",T175+S175)</f>
        <v/>
      </c>
      <c r="V175" s="15">
        <f>IF(U175="","",VLOOKUP(U175,'税率及规则'!$A$2:$C$8,2,TRUE))</f>
        <v/>
      </c>
      <c r="W175" s="14">
        <f>IF(U175="","",VLOOKUP(U175,'税率及规则'!$A$2:$C$8,3,TRUE))</f>
        <v/>
      </c>
      <c r="X175" s="14">
        <f>IF(U175="","",MAX(0,U175*V175-W175))</f>
        <v/>
      </c>
      <c r="Y175" s="14">
        <f>IF(T175="","",MAX(0,T175*VLOOKUP(T175,'税率及规则'!$A$2:$C$8,2,TRUE)-VLOOKUP(T175,'税率及规则'!$A$2:$C$8,3,TRUE)))</f>
        <v/>
      </c>
      <c r="Z175" s="14">
        <f>IF(X175="","",MAX(0,X175-Y175))</f>
        <v/>
      </c>
      <c r="AA175" s="16">
        <f>IF(G175="","",G175)</f>
        <v/>
      </c>
      <c r="AB175" s="16">
        <f>IF(AA175="","",EDATE(AA175,36))</f>
        <v/>
      </c>
      <c r="AC175" s="6">
        <f>IF(A175="","",IF(COUNTIF($A$2:$A$501,A175)&gt;1,"异常：事件编号重复",IF(OR(C175="",D175="",E175="",F175="",G175="",I175="",J175=""),"异常：必填项缺失",IF(OR(I175&lt;=0,J175&lt;0),"异常：数量或价格无效",IF(AND(F175="限制性股票",OR(M175&lt;=0,N175&lt;0,I175&gt;M175)),"异常：个人获授或出资数据无效",IF(AND(F175="股票期权",K175&lt;&gt;IF(G175&lt;DATE(2025,1,10),14.56,IF(G175&lt;DATE(2025,4,29),14.32,IF(G175&lt;DATE(2025,9,26),14.18,14.04)))),"异常：行权价格区间不符",IF(Q175&lt;&gt;"已备案","提示：未确认备案","正常")))))))</f>
        <v/>
      </c>
      <c r="AD175" s="11" t="n"/>
    </row>
    <row r="176">
      <c r="A176" s="11" t="n"/>
      <c r="B176" s="6">
        <f>IF(A176="","",A176&amp;"-TAX")</f>
        <v/>
      </c>
      <c r="C176" s="11" t="n"/>
      <c r="D176" s="11" t="n"/>
      <c r="E176" s="11" t="n"/>
      <c r="F176" s="11" t="n"/>
      <c r="G176" s="12" t="n"/>
      <c r="H176" s="6">
        <f>IF(G176="","",YEAR(G176))</f>
        <v/>
      </c>
      <c r="I176" s="11" t="n"/>
      <c r="J176" s="13" t="n"/>
      <c r="K176" s="14">
        <f>IF(F176="股票期权",IF(G176="","",IF(G176&lt;DATE(2025,1,10),14.56,IF(G176&lt;DATE(2025,4,29),14.32,IF(G176&lt;DATE(2025,9,26),14.18,14.04)))),IF(F176="限制性股票",8.68,""))</f>
        <v/>
      </c>
      <c r="L176" s="14">
        <f>IF(F176="限制性股票",13.06,"")</f>
        <v/>
      </c>
      <c r="M176" s="11" t="n"/>
      <c r="N176" s="13" t="n"/>
      <c r="O176" s="13" t="n"/>
      <c r="P176" s="12" t="n"/>
      <c r="Q176" s="11" t="n"/>
      <c r="R176" s="12" t="n"/>
      <c r="S176" s="14">
        <f>IF(OR(A176="",C176="",F176="",G176="",I176="",J176=""),"",IF(F176="股票期权",MAX(0,(J176-K176)*I176),IF(F176="限制性股票",IF(OR(L176="",M176="",M176&lt;=0,N176=""),"",MAX(0,((L176+J176)/2)*I176-N176*I176/M176)),MAX(0,O176))))</f>
        <v/>
      </c>
      <c r="T176" s="14">
        <f>IF(S176="","",SUMIFS($S$2:$S$501,$C$2:$C$501,C176,$H$2:$H$501,H176,$G$2:$G$501,"&lt;"&amp;G176)+SUMIFS($S$2:$S$501,$C$2:$C$501,C176,$H$2:$H$501,H176,$G$2:$G$501,G176,$A$2:$A$501,"&lt;"&amp;A176))</f>
        <v/>
      </c>
      <c r="U176" s="14">
        <f>IF(S176="","",T176+S176)</f>
        <v/>
      </c>
      <c r="V176" s="15">
        <f>IF(U176="","",VLOOKUP(U176,'税率及规则'!$A$2:$C$8,2,TRUE))</f>
        <v/>
      </c>
      <c r="W176" s="14">
        <f>IF(U176="","",VLOOKUP(U176,'税率及规则'!$A$2:$C$8,3,TRUE))</f>
        <v/>
      </c>
      <c r="X176" s="14">
        <f>IF(U176="","",MAX(0,U176*V176-W176))</f>
        <v/>
      </c>
      <c r="Y176" s="14">
        <f>IF(T176="","",MAX(0,T176*VLOOKUP(T176,'税率及规则'!$A$2:$C$8,2,TRUE)-VLOOKUP(T176,'税率及规则'!$A$2:$C$8,3,TRUE)))</f>
        <v/>
      </c>
      <c r="Z176" s="14">
        <f>IF(X176="","",MAX(0,X176-Y176))</f>
        <v/>
      </c>
      <c r="AA176" s="16">
        <f>IF(G176="","",G176)</f>
        <v/>
      </c>
      <c r="AB176" s="16">
        <f>IF(AA176="","",EDATE(AA176,36))</f>
        <v/>
      </c>
      <c r="AC176" s="6">
        <f>IF(A176="","",IF(COUNTIF($A$2:$A$501,A176)&gt;1,"异常：事件编号重复",IF(OR(C176="",D176="",E176="",F176="",G176="",I176="",J176=""),"异常：必填项缺失",IF(OR(I176&lt;=0,J176&lt;0),"异常：数量或价格无效",IF(AND(F176="限制性股票",OR(M176&lt;=0,N176&lt;0,I176&gt;M176)),"异常：个人获授或出资数据无效",IF(AND(F176="股票期权",K176&lt;&gt;IF(G176&lt;DATE(2025,1,10),14.56,IF(G176&lt;DATE(2025,4,29),14.32,IF(G176&lt;DATE(2025,9,26),14.18,14.04)))),"异常：行权价格区间不符",IF(Q176&lt;&gt;"已备案","提示：未确认备案","正常")))))))</f>
        <v/>
      </c>
      <c r="AD176" s="11" t="n"/>
    </row>
    <row r="177">
      <c r="A177" s="11" t="n"/>
      <c r="B177" s="6">
        <f>IF(A177="","",A177&amp;"-TAX")</f>
        <v/>
      </c>
      <c r="C177" s="11" t="n"/>
      <c r="D177" s="11" t="n"/>
      <c r="E177" s="11" t="n"/>
      <c r="F177" s="11" t="n"/>
      <c r="G177" s="12" t="n"/>
      <c r="H177" s="6">
        <f>IF(G177="","",YEAR(G177))</f>
        <v/>
      </c>
      <c r="I177" s="11" t="n"/>
      <c r="J177" s="13" t="n"/>
      <c r="K177" s="14">
        <f>IF(F177="股票期权",IF(G177="","",IF(G177&lt;DATE(2025,1,10),14.56,IF(G177&lt;DATE(2025,4,29),14.32,IF(G177&lt;DATE(2025,9,26),14.18,14.04)))),IF(F177="限制性股票",8.68,""))</f>
        <v/>
      </c>
      <c r="L177" s="14">
        <f>IF(F177="限制性股票",13.06,"")</f>
        <v/>
      </c>
      <c r="M177" s="11" t="n"/>
      <c r="N177" s="13" t="n"/>
      <c r="O177" s="13" t="n"/>
      <c r="P177" s="12" t="n"/>
      <c r="Q177" s="11" t="n"/>
      <c r="R177" s="12" t="n"/>
      <c r="S177" s="14">
        <f>IF(OR(A177="",C177="",F177="",G177="",I177="",J177=""),"",IF(F177="股票期权",MAX(0,(J177-K177)*I177),IF(F177="限制性股票",IF(OR(L177="",M177="",M177&lt;=0,N177=""),"",MAX(0,((L177+J177)/2)*I177-N177*I177/M177)),MAX(0,O177))))</f>
        <v/>
      </c>
      <c r="T177" s="14">
        <f>IF(S177="","",SUMIFS($S$2:$S$501,$C$2:$C$501,C177,$H$2:$H$501,H177,$G$2:$G$501,"&lt;"&amp;G177)+SUMIFS($S$2:$S$501,$C$2:$C$501,C177,$H$2:$H$501,H177,$G$2:$G$501,G177,$A$2:$A$501,"&lt;"&amp;A177))</f>
        <v/>
      </c>
      <c r="U177" s="14">
        <f>IF(S177="","",T177+S177)</f>
        <v/>
      </c>
      <c r="V177" s="15">
        <f>IF(U177="","",VLOOKUP(U177,'税率及规则'!$A$2:$C$8,2,TRUE))</f>
        <v/>
      </c>
      <c r="W177" s="14">
        <f>IF(U177="","",VLOOKUP(U177,'税率及规则'!$A$2:$C$8,3,TRUE))</f>
        <v/>
      </c>
      <c r="X177" s="14">
        <f>IF(U177="","",MAX(0,U177*V177-W177))</f>
        <v/>
      </c>
      <c r="Y177" s="14">
        <f>IF(T177="","",MAX(0,T177*VLOOKUP(T177,'税率及规则'!$A$2:$C$8,2,TRUE)-VLOOKUP(T177,'税率及规则'!$A$2:$C$8,3,TRUE)))</f>
        <v/>
      </c>
      <c r="Z177" s="14">
        <f>IF(X177="","",MAX(0,X177-Y177))</f>
        <v/>
      </c>
      <c r="AA177" s="16">
        <f>IF(G177="","",G177)</f>
        <v/>
      </c>
      <c r="AB177" s="16">
        <f>IF(AA177="","",EDATE(AA177,36))</f>
        <v/>
      </c>
      <c r="AC177" s="6">
        <f>IF(A177="","",IF(COUNTIF($A$2:$A$501,A177)&gt;1,"异常：事件编号重复",IF(OR(C177="",D177="",E177="",F177="",G177="",I177="",J177=""),"异常：必填项缺失",IF(OR(I177&lt;=0,J177&lt;0),"异常：数量或价格无效",IF(AND(F177="限制性股票",OR(M177&lt;=0,N177&lt;0,I177&gt;M177)),"异常：个人获授或出资数据无效",IF(AND(F177="股票期权",K177&lt;&gt;IF(G177&lt;DATE(2025,1,10),14.56,IF(G177&lt;DATE(2025,4,29),14.32,IF(G177&lt;DATE(2025,9,26),14.18,14.04)))),"异常：行权价格区间不符",IF(Q177&lt;&gt;"已备案","提示：未确认备案","正常")))))))</f>
        <v/>
      </c>
      <c r="AD177" s="11" t="n"/>
    </row>
    <row r="178">
      <c r="A178" s="11" t="n"/>
      <c r="B178" s="6">
        <f>IF(A178="","",A178&amp;"-TAX")</f>
        <v/>
      </c>
      <c r="C178" s="11" t="n"/>
      <c r="D178" s="11" t="n"/>
      <c r="E178" s="11" t="n"/>
      <c r="F178" s="11" t="n"/>
      <c r="G178" s="12" t="n"/>
      <c r="H178" s="6">
        <f>IF(G178="","",YEAR(G178))</f>
        <v/>
      </c>
      <c r="I178" s="11" t="n"/>
      <c r="J178" s="13" t="n"/>
      <c r="K178" s="14">
        <f>IF(F178="股票期权",IF(G178="","",IF(G178&lt;DATE(2025,1,10),14.56,IF(G178&lt;DATE(2025,4,29),14.32,IF(G178&lt;DATE(2025,9,26),14.18,14.04)))),IF(F178="限制性股票",8.68,""))</f>
        <v/>
      </c>
      <c r="L178" s="14">
        <f>IF(F178="限制性股票",13.06,"")</f>
        <v/>
      </c>
      <c r="M178" s="11" t="n"/>
      <c r="N178" s="13" t="n"/>
      <c r="O178" s="13" t="n"/>
      <c r="P178" s="12" t="n"/>
      <c r="Q178" s="11" t="n"/>
      <c r="R178" s="12" t="n"/>
      <c r="S178" s="14">
        <f>IF(OR(A178="",C178="",F178="",G178="",I178="",J178=""),"",IF(F178="股票期权",MAX(0,(J178-K178)*I178),IF(F178="限制性股票",IF(OR(L178="",M178="",M178&lt;=0,N178=""),"",MAX(0,((L178+J178)/2)*I178-N178*I178/M178)),MAX(0,O178))))</f>
        <v/>
      </c>
      <c r="T178" s="14">
        <f>IF(S178="","",SUMIFS($S$2:$S$501,$C$2:$C$501,C178,$H$2:$H$501,H178,$G$2:$G$501,"&lt;"&amp;G178)+SUMIFS($S$2:$S$501,$C$2:$C$501,C178,$H$2:$H$501,H178,$G$2:$G$501,G178,$A$2:$A$501,"&lt;"&amp;A178))</f>
        <v/>
      </c>
      <c r="U178" s="14">
        <f>IF(S178="","",T178+S178)</f>
        <v/>
      </c>
      <c r="V178" s="15">
        <f>IF(U178="","",VLOOKUP(U178,'税率及规则'!$A$2:$C$8,2,TRUE))</f>
        <v/>
      </c>
      <c r="W178" s="14">
        <f>IF(U178="","",VLOOKUP(U178,'税率及规则'!$A$2:$C$8,3,TRUE))</f>
        <v/>
      </c>
      <c r="X178" s="14">
        <f>IF(U178="","",MAX(0,U178*V178-W178))</f>
        <v/>
      </c>
      <c r="Y178" s="14">
        <f>IF(T178="","",MAX(0,T178*VLOOKUP(T178,'税率及规则'!$A$2:$C$8,2,TRUE)-VLOOKUP(T178,'税率及规则'!$A$2:$C$8,3,TRUE)))</f>
        <v/>
      </c>
      <c r="Z178" s="14">
        <f>IF(X178="","",MAX(0,X178-Y178))</f>
        <v/>
      </c>
      <c r="AA178" s="16">
        <f>IF(G178="","",G178)</f>
        <v/>
      </c>
      <c r="AB178" s="16">
        <f>IF(AA178="","",EDATE(AA178,36))</f>
        <v/>
      </c>
      <c r="AC178" s="6">
        <f>IF(A178="","",IF(COUNTIF($A$2:$A$501,A178)&gt;1,"异常：事件编号重复",IF(OR(C178="",D178="",E178="",F178="",G178="",I178="",J178=""),"异常：必填项缺失",IF(OR(I178&lt;=0,J178&lt;0),"异常：数量或价格无效",IF(AND(F178="限制性股票",OR(M178&lt;=0,N178&lt;0,I178&gt;M178)),"异常：个人获授或出资数据无效",IF(AND(F178="股票期权",K178&lt;&gt;IF(G178&lt;DATE(2025,1,10),14.56,IF(G178&lt;DATE(2025,4,29),14.32,IF(G178&lt;DATE(2025,9,26),14.18,14.04)))),"异常：行权价格区间不符",IF(Q178&lt;&gt;"已备案","提示：未确认备案","正常")))))))</f>
        <v/>
      </c>
      <c r="AD178" s="11" t="n"/>
    </row>
    <row r="179">
      <c r="A179" s="11" t="n"/>
      <c r="B179" s="6">
        <f>IF(A179="","",A179&amp;"-TAX")</f>
        <v/>
      </c>
      <c r="C179" s="11" t="n"/>
      <c r="D179" s="11" t="n"/>
      <c r="E179" s="11" t="n"/>
      <c r="F179" s="11" t="n"/>
      <c r="G179" s="12" t="n"/>
      <c r="H179" s="6">
        <f>IF(G179="","",YEAR(G179))</f>
        <v/>
      </c>
      <c r="I179" s="11" t="n"/>
      <c r="J179" s="13" t="n"/>
      <c r="K179" s="14">
        <f>IF(F179="股票期权",IF(G179="","",IF(G179&lt;DATE(2025,1,10),14.56,IF(G179&lt;DATE(2025,4,29),14.32,IF(G179&lt;DATE(2025,9,26),14.18,14.04)))),IF(F179="限制性股票",8.68,""))</f>
        <v/>
      </c>
      <c r="L179" s="14">
        <f>IF(F179="限制性股票",13.06,"")</f>
        <v/>
      </c>
      <c r="M179" s="11" t="n"/>
      <c r="N179" s="13" t="n"/>
      <c r="O179" s="13" t="n"/>
      <c r="P179" s="12" t="n"/>
      <c r="Q179" s="11" t="n"/>
      <c r="R179" s="12" t="n"/>
      <c r="S179" s="14">
        <f>IF(OR(A179="",C179="",F179="",G179="",I179="",J179=""),"",IF(F179="股票期权",MAX(0,(J179-K179)*I179),IF(F179="限制性股票",IF(OR(L179="",M179="",M179&lt;=0,N179=""),"",MAX(0,((L179+J179)/2)*I179-N179*I179/M179)),MAX(0,O179))))</f>
        <v/>
      </c>
      <c r="T179" s="14">
        <f>IF(S179="","",SUMIFS($S$2:$S$501,$C$2:$C$501,C179,$H$2:$H$501,H179,$G$2:$G$501,"&lt;"&amp;G179)+SUMIFS($S$2:$S$501,$C$2:$C$501,C179,$H$2:$H$501,H179,$G$2:$G$501,G179,$A$2:$A$501,"&lt;"&amp;A179))</f>
        <v/>
      </c>
      <c r="U179" s="14">
        <f>IF(S179="","",T179+S179)</f>
        <v/>
      </c>
      <c r="V179" s="15">
        <f>IF(U179="","",VLOOKUP(U179,'税率及规则'!$A$2:$C$8,2,TRUE))</f>
        <v/>
      </c>
      <c r="W179" s="14">
        <f>IF(U179="","",VLOOKUP(U179,'税率及规则'!$A$2:$C$8,3,TRUE))</f>
        <v/>
      </c>
      <c r="X179" s="14">
        <f>IF(U179="","",MAX(0,U179*V179-W179))</f>
        <v/>
      </c>
      <c r="Y179" s="14">
        <f>IF(T179="","",MAX(0,T179*VLOOKUP(T179,'税率及规则'!$A$2:$C$8,2,TRUE)-VLOOKUP(T179,'税率及规则'!$A$2:$C$8,3,TRUE)))</f>
        <v/>
      </c>
      <c r="Z179" s="14">
        <f>IF(X179="","",MAX(0,X179-Y179))</f>
        <v/>
      </c>
      <c r="AA179" s="16">
        <f>IF(G179="","",G179)</f>
        <v/>
      </c>
      <c r="AB179" s="16">
        <f>IF(AA179="","",EDATE(AA179,36))</f>
        <v/>
      </c>
      <c r="AC179" s="6">
        <f>IF(A179="","",IF(COUNTIF($A$2:$A$501,A179)&gt;1,"异常：事件编号重复",IF(OR(C179="",D179="",E179="",F179="",G179="",I179="",J179=""),"异常：必填项缺失",IF(OR(I179&lt;=0,J179&lt;0),"异常：数量或价格无效",IF(AND(F179="限制性股票",OR(M179&lt;=0,N179&lt;0,I179&gt;M179)),"异常：个人获授或出资数据无效",IF(AND(F179="股票期权",K179&lt;&gt;IF(G179&lt;DATE(2025,1,10),14.56,IF(G179&lt;DATE(2025,4,29),14.32,IF(G179&lt;DATE(2025,9,26),14.18,14.04)))),"异常：行权价格区间不符",IF(Q179&lt;&gt;"已备案","提示：未确认备案","正常")))))))</f>
        <v/>
      </c>
      <c r="AD179" s="11" t="n"/>
    </row>
    <row r="180">
      <c r="A180" s="11" t="n"/>
      <c r="B180" s="6">
        <f>IF(A180="","",A180&amp;"-TAX")</f>
        <v/>
      </c>
      <c r="C180" s="11" t="n"/>
      <c r="D180" s="11" t="n"/>
      <c r="E180" s="11" t="n"/>
      <c r="F180" s="11" t="n"/>
      <c r="G180" s="12" t="n"/>
      <c r="H180" s="6">
        <f>IF(G180="","",YEAR(G180))</f>
        <v/>
      </c>
      <c r="I180" s="11" t="n"/>
      <c r="J180" s="13" t="n"/>
      <c r="K180" s="14">
        <f>IF(F180="股票期权",IF(G180="","",IF(G180&lt;DATE(2025,1,10),14.56,IF(G180&lt;DATE(2025,4,29),14.32,IF(G180&lt;DATE(2025,9,26),14.18,14.04)))),IF(F180="限制性股票",8.68,""))</f>
        <v/>
      </c>
      <c r="L180" s="14">
        <f>IF(F180="限制性股票",13.06,"")</f>
        <v/>
      </c>
      <c r="M180" s="11" t="n"/>
      <c r="N180" s="13" t="n"/>
      <c r="O180" s="13" t="n"/>
      <c r="P180" s="12" t="n"/>
      <c r="Q180" s="11" t="n"/>
      <c r="R180" s="12" t="n"/>
      <c r="S180" s="14">
        <f>IF(OR(A180="",C180="",F180="",G180="",I180="",J180=""),"",IF(F180="股票期权",MAX(0,(J180-K180)*I180),IF(F180="限制性股票",IF(OR(L180="",M180="",M180&lt;=0,N180=""),"",MAX(0,((L180+J180)/2)*I180-N180*I180/M180)),MAX(0,O180))))</f>
        <v/>
      </c>
      <c r="T180" s="14">
        <f>IF(S180="","",SUMIFS($S$2:$S$501,$C$2:$C$501,C180,$H$2:$H$501,H180,$G$2:$G$501,"&lt;"&amp;G180)+SUMIFS($S$2:$S$501,$C$2:$C$501,C180,$H$2:$H$501,H180,$G$2:$G$501,G180,$A$2:$A$501,"&lt;"&amp;A180))</f>
        <v/>
      </c>
      <c r="U180" s="14">
        <f>IF(S180="","",T180+S180)</f>
        <v/>
      </c>
      <c r="V180" s="15">
        <f>IF(U180="","",VLOOKUP(U180,'税率及规则'!$A$2:$C$8,2,TRUE))</f>
        <v/>
      </c>
      <c r="W180" s="14">
        <f>IF(U180="","",VLOOKUP(U180,'税率及规则'!$A$2:$C$8,3,TRUE))</f>
        <v/>
      </c>
      <c r="X180" s="14">
        <f>IF(U180="","",MAX(0,U180*V180-W180))</f>
        <v/>
      </c>
      <c r="Y180" s="14">
        <f>IF(T180="","",MAX(0,T180*VLOOKUP(T180,'税率及规则'!$A$2:$C$8,2,TRUE)-VLOOKUP(T180,'税率及规则'!$A$2:$C$8,3,TRUE)))</f>
        <v/>
      </c>
      <c r="Z180" s="14">
        <f>IF(X180="","",MAX(0,X180-Y180))</f>
        <v/>
      </c>
      <c r="AA180" s="16">
        <f>IF(G180="","",G180)</f>
        <v/>
      </c>
      <c r="AB180" s="16">
        <f>IF(AA180="","",EDATE(AA180,36))</f>
        <v/>
      </c>
      <c r="AC180" s="6">
        <f>IF(A180="","",IF(COUNTIF($A$2:$A$501,A180)&gt;1,"异常：事件编号重复",IF(OR(C180="",D180="",E180="",F180="",G180="",I180="",J180=""),"异常：必填项缺失",IF(OR(I180&lt;=0,J180&lt;0),"异常：数量或价格无效",IF(AND(F180="限制性股票",OR(M180&lt;=0,N180&lt;0,I180&gt;M180)),"异常：个人获授或出资数据无效",IF(AND(F180="股票期权",K180&lt;&gt;IF(G180&lt;DATE(2025,1,10),14.56,IF(G180&lt;DATE(2025,4,29),14.32,IF(G180&lt;DATE(2025,9,26),14.18,14.04)))),"异常：行权价格区间不符",IF(Q180&lt;&gt;"已备案","提示：未确认备案","正常")))))))</f>
        <v/>
      </c>
      <c r="AD180" s="11" t="n"/>
    </row>
    <row r="181">
      <c r="A181" s="11" t="n"/>
      <c r="B181" s="6">
        <f>IF(A181="","",A181&amp;"-TAX")</f>
        <v/>
      </c>
      <c r="C181" s="11" t="n"/>
      <c r="D181" s="11" t="n"/>
      <c r="E181" s="11" t="n"/>
      <c r="F181" s="11" t="n"/>
      <c r="G181" s="12" t="n"/>
      <c r="H181" s="6">
        <f>IF(G181="","",YEAR(G181))</f>
        <v/>
      </c>
      <c r="I181" s="11" t="n"/>
      <c r="J181" s="13" t="n"/>
      <c r="K181" s="14">
        <f>IF(F181="股票期权",IF(G181="","",IF(G181&lt;DATE(2025,1,10),14.56,IF(G181&lt;DATE(2025,4,29),14.32,IF(G181&lt;DATE(2025,9,26),14.18,14.04)))),IF(F181="限制性股票",8.68,""))</f>
        <v/>
      </c>
      <c r="L181" s="14">
        <f>IF(F181="限制性股票",13.06,"")</f>
        <v/>
      </c>
      <c r="M181" s="11" t="n"/>
      <c r="N181" s="13" t="n"/>
      <c r="O181" s="13" t="n"/>
      <c r="P181" s="12" t="n"/>
      <c r="Q181" s="11" t="n"/>
      <c r="R181" s="12" t="n"/>
      <c r="S181" s="14">
        <f>IF(OR(A181="",C181="",F181="",G181="",I181="",J181=""),"",IF(F181="股票期权",MAX(0,(J181-K181)*I181),IF(F181="限制性股票",IF(OR(L181="",M181="",M181&lt;=0,N181=""),"",MAX(0,((L181+J181)/2)*I181-N181*I181/M181)),MAX(0,O181))))</f>
        <v/>
      </c>
      <c r="T181" s="14">
        <f>IF(S181="","",SUMIFS($S$2:$S$501,$C$2:$C$501,C181,$H$2:$H$501,H181,$G$2:$G$501,"&lt;"&amp;G181)+SUMIFS($S$2:$S$501,$C$2:$C$501,C181,$H$2:$H$501,H181,$G$2:$G$501,G181,$A$2:$A$501,"&lt;"&amp;A181))</f>
        <v/>
      </c>
      <c r="U181" s="14">
        <f>IF(S181="","",T181+S181)</f>
        <v/>
      </c>
      <c r="V181" s="15">
        <f>IF(U181="","",VLOOKUP(U181,'税率及规则'!$A$2:$C$8,2,TRUE))</f>
        <v/>
      </c>
      <c r="W181" s="14">
        <f>IF(U181="","",VLOOKUP(U181,'税率及规则'!$A$2:$C$8,3,TRUE))</f>
        <v/>
      </c>
      <c r="X181" s="14">
        <f>IF(U181="","",MAX(0,U181*V181-W181))</f>
        <v/>
      </c>
      <c r="Y181" s="14">
        <f>IF(T181="","",MAX(0,T181*VLOOKUP(T181,'税率及规则'!$A$2:$C$8,2,TRUE)-VLOOKUP(T181,'税率及规则'!$A$2:$C$8,3,TRUE)))</f>
        <v/>
      </c>
      <c r="Z181" s="14">
        <f>IF(X181="","",MAX(0,X181-Y181))</f>
        <v/>
      </c>
      <c r="AA181" s="16">
        <f>IF(G181="","",G181)</f>
        <v/>
      </c>
      <c r="AB181" s="16">
        <f>IF(AA181="","",EDATE(AA181,36))</f>
        <v/>
      </c>
      <c r="AC181" s="6">
        <f>IF(A181="","",IF(COUNTIF($A$2:$A$501,A181)&gt;1,"异常：事件编号重复",IF(OR(C181="",D181="",E181="",F181="",G181="",I181="",J181=""),"异常：必填项缺失",IF(OR(I181&lt;=0,J181&lt;0),"异常：数量或价格无效",IF(AND(F181="限制性股票",OR(M181&lt;=0,N181&lt;0,I181&gt;M181)),"异常：个人获授或出资数据无效",IF(AND(F181="股票期权",K181&lt;&gt;IF(G181&lt;DATE(2025,1,10),14.56,IF(G181&lt;DATE(2025,4,29),14.32,IF(G181&lt;DATE(2025,9,26),14.18,14.04)))),"异常：行权价格区间不符",IF(Q181&lt;&gt;"已备案","提示：未确认备案","正常")))))))</f>
        <v/>
      </c>
      <c r="AD181" s="11" t="n"/>
    </row>
    <row r="182">
      <c r="A182" s="11" t="n"/>
      <c r="B182" s="6">
        <f>IF(A182="","",A182&amp;"-TAX")</f>
        <v/>
      </c>
      <c r="C182" s="11" t="n"/>
      <c r="D182" s="11" t="n"/>
      <c r="E182" s="11" t="n"/>
      <c r="F182" s="11" t="n"/>
      <c r="G182" s="12" t="n"/>
      <c r="H182" s="6">
        <f>IF(G182="","",YEAR(G182))</f>
        <v/>
      </c>
      <c r="I182" s="11" t="n"/>
      <c r="J182" s="13" t="n"/>
      <c r="K182" s="14">
        <f>IF(F182="股票期权",IF(G182="","",IF(G182&lt;DATE(2025,1,10),14.56,IF(G182&lt;DATE(2025,4,29),14.32,IF(G182&lt;DATE(2025,9,26),14.18,14.04)))),IF(F182="限制性股票",8.68,""))</f>
        <v/>
      </c>
      <c r="L182" s="14">
        <f>IF(F182="限制性股票",13.06,"")</f>
        <v/>
      </c>
      <c r="M182" s="11" t="n"/>
      <c r="N182" s="13" t="n"/>
      <c r="O182" s="13" t="n"/>
      <c r="P182" s="12" t="n"/>
      <c r="Q182" s="11" t="n"/>
      <c r="R182" s="12" t="n"/>
      <c r="S182" s="14">
        <f>IF(OR(A182="",C182="",F182="",G182="",I182="",J182=""),"",IF(F182="股票期权",MAX(0,(J182-K182)*I182),IF(F182="限制性股票",IF(OR(L182="",M182="",M182&lt;=0,N182=""),"",MAX(0,((L182+J182)/2)*I182-N182*I182/M182)),MAX(0,O182))))</f>
        <v/>
      </c>
      <c r="T182" s="14">
        <f>IF(S182="","",SUMIFS($S$2:$S$501,$C$2:$C$501,C182,$H$2:$H$501,H182,$G$2:$G$501,"&lt;"&amp;G182)+SUMIFS($S$2:$S$501,$C$2:$C$501,C182,$H$2:$H$501,H182,$G$2:$G$501,G182,$A$2:$A$501,"&lt;"&amp;A182))</f>
        <v/>
      </c>
      <c r="U182" s="14">
        <f>IF(S182="","",T182+S182)</f>
        <v/>
      </c>
      <c r="V182" s="15">
        <f>IF(U182="","",VLOOKUP(U182,'税率及规则'!$A$2:$C$8,2,TRUE))</f>
        <v/>
      </c>
      <c r="W182" s="14">
        <f>IF(U182="","",VLOOKUP(U182,'税率及规则'!$A$2:$C$8,3,TRUE))</f>
        <v/>
      </c>
      <c r="X182" s="14">
        <f>IF(U182="","",MAX(0,U182*V182-W182))</f>
        <v/>
      </c>
      <c r="Y182" s="14">
        <f>IF(T182="","",MAX(0,T182*VLOOKUP(T182,'税率及规则'!$A$2:$C$8,2,TRUE)-VLOOKUP(T182,'税率及规则'!$A$2:$C$8,3,TRUE)))</f>
        <v/>
      </c>
      <c r="Z182" s="14">
        <f>IF(X182="","",MAX(0,X182-Y182))</f>
        <v/>
      </c>
      <c r="AA182" s="16">
        <f>IF(G182="","",G182)</f>
        <v/>
      </c>
      <c r="AB182" s="16">
        <f>IF(AA182="","",EDATE(AA182,36))</f>
        <v/>
      </c>
      <c r="AC182" s="6">
        <f>IF(A182="","",IF(COUNTIF($A$2:$A$501,A182)&gt;1,"异常：事件编号重复",IF(OR(C182="",D182="",E182="",F182="",G182="",I182="",J182=""),"异常：必填项缺失",IF(OR(I182&lt;=0,J182&lt;0),"异常：数量或价格无效",IF(AND(F182="限制性股票",OR(M182&lt;=0,N182&lt;0,I182&gt;M182)),"异常：个人获授或出资数据无效",IF(AND(F182="股票期权",K182&lt;&gt;IF(G182&lt;DATE(2025,1,10),14.56,IF(G182&lt;DATE(2025,4,29),14.32,IF(G182&lt;DATE(2025,9,26),14.18,14.04)))),"异常：行权价格区间不符",IF(Q182&lt;&gt;"已备案","提示：未确认备案","正常")))))))</f>
        <v/>
      </c>
      <c r="AD182" s="11" t="n"/>
    </row>
    <row r="183">
      <c r="A183" s="11" t="n"/>
      <c r="B183" s="6">
        <f>IF(A183="","",A183&amp;"-TAX")</f>
        <v/>
      </c>
      <c r="C183" s="11" t="n"/>
      <c r="D183" s="11" t="n"/>
      <c r="E183" s="11" t="n"/>
      <c r="F183" s="11" t="n"/>
      <c r="G183" s="12" t="n"/>
      <c r="H183" s="6">
        <f>IF(G183="","",YEAR(G183))</f>
        <v/>
      </c>
      <c r="I183" s="11" t="n"/>
      <c r="J183" s="13" t="n"/>
      <c r="K183" s="14">
        <f>IF(F183="股票期权",IF(G183="","",IF(G183&lt;DATE(2025,1,10),14.56,IF(G183&lt;DATE(2025,4,29),14.32,IF(G183&lt;DATE(2025,9,26),14.18,14.04)))),IF(F183="限制性股票",8.68,""))</f>
        <v/>
      </c>
      <c r="L183" s="14">
        <f>IF(F183="限制性股票",13.06,"")</f>
        <v/>
      </c>
      <c r="M183" s="11" t="n"/>
      <c r="N183" s="13" t="n"/>
      <c r="O183" s="13" t="n"/>
      <c r="P183" s="12" t="n"/>
      <c r="Q183" s="11" t="n"/>
      <c r="R183" s="12" t="n"/>
      <c r="S183" s="14">
        <f>IF(OR(A183="",C183="",F183="",G183="",I183="",J183=""),"",IF(F183="股票期权",MAX(0,(J183-K183)*I183),IF(F183="限制性股票",IF(OR(L183="",M183="",M183&lt;=0,N183=""),"",MAX(0,((L183+J183)/2)*I183-N183*I183/M183)),MAX(0,O183))))</f>
        <v/>
      </c>
      <c r="T183" s="14">
        <f>IF(S183="","",SUMIFS($S$2:$S$501,$C$2:$C$501,C183,$H$2:$H$501,H183,$G$2:$G$501,"&lt;"&amp;G183)+SUMIFS($S$2:$S$501,$C$2:$C$501,C183,$H$2:$H$501,H183,$G$2:$G$501,G183,$A$2:$A$501,"&lt;"&amp;A183))</f>
        <v/>
      </c>
      <c r="U183" s="14">
        <f>IF(S183="","",T183+S183)</f>
        <v/>
      </c>
      <c r="V183" s="15">
        <f>IF(U183="","",VLOOKUP(U183,'税率及规则'!$A$2:$C$8,2,TRUE))</f>
        <v/>
      </c>
      <c r="W183" s="14">
        <f>IF(U183="","",VLOOKUP(U183,'税率及规则'!$A$2:$C$8,3,TRUE))</f>
        <v/>
      </c>
      <c r="X183" s="14">
        <f>IF(U183="","",MAX(0,U183*V183-W183))</f>
        <v/>
      </c>
      <c r="Y183" s="14">
        <f>IF(T183="","",MAX(0,T183*VLOOKUP(T183,'税率及规则'!$A$2:$C$8,2,TRUE)-VLOOKUP(T183,'税率及规则'!$A$2:$C$8,3,TRUE)))</f>
        <v/>
      </c>
      <c r="Z183" s="14">
        <f>IF(X183="","",MAX(0,X183-Y183))</f>
        <v/>
      </c>
      <c r="AA183" s="16">
        <f>IF(G183="","",G183)</f>
        <v/>
      </c>
      <c r="AB183" s="16">
        <f>IF(AA183="","",EDATE(AA183,36))</f>
        <v/>
      </c>
      <c r="AC183" s="6">
        <f>IF(A183="","",IF(COUNTIF($A$2:$A$501,A183)&gt;1,"异常：事件编号重复",IF(OR(C183="",D183="",E183="",F183="",G183="",I183="",J183=""),"异常：必填项缺失",IF(OR(I183&lt;=0,J183&lt;0),"异常：数量或价格无效",IF(AND(F183="限制性股票",OR(M183&lt;=0,N183&lt;0,I183&gt;M183)),"异常：个人获授或出资数据无效",IF(AND(F183="股票期权",K183&lt;&gt;IF(G183&lt;DATE(2025,1,10),14.56,IF(G183&lt;DATE(2025,4,29),14.32,IF(G183&lt;DATE(2025,9,26),14.18,14.04)))),"异常：行权价格区间不符",IF(Q183&lt;&gt;"已备案","提示：未确认备案","正常")))))))</f>
        <v/>
      </c>
      <c r="AD183" s="11" t="n"/>
    </row>
    <row r="184">
      <c r="A184" s="11" t="n"/>
      <c r="B184" s="6">
        <f>IF(A184="","",A184&amp;"-TAX")</f>
        <v/>
      </c>
      <c r="C184" s="11" t="n"/>
      <c r="D184" s="11" t="n"/>
      <c r="E184" s="11" t="n"/>
      <c r="F184" s="11" t="n"/>
      <c r="G184" s="12" t="n"/>
      <c r="H184" s="6">
        <f>IF(G184="","",YEAR(G184))</f>
        <v/>
      </c>
      <c r="I184" s="11" t="n"/>
      <c r="J184" s="13" t="n"/>
      <c r="K184" s="14">
        <f>IF(F184="股票期权",IF(G184="","",IF(G184&lt;DATE(2025,1,10),14.56,IF(G184&lt;DATE(2025,4,29),14.32,IF(G184&lt;DATE(2025,9,26),14.18,14.04)))),IF(F184="限制性股票",8.68,""))</f>
        <v/>
      </c>
      <c r="L184" s="14">
        <f>IF(F184="限制性股票",13.06,"")</f>
        <v/>
      </c>
      <c r="M184" s="11" t="n"/>
      <c r="N184" s="13" t="n"/>
      <c r="O184" s="13" t="n"/>
      <c r="P184" s="12" t="n"/>
      <c r="Q184" s="11" t="n"/>
      <c r="R184" s="12" t="n"/>
      <c r="S184" s="14">
        <f>IF(OR(A184="",C184="",F184="",G184="",I184="",J184=""),"",IF(F184="股票期权",MAX(0,(J184-K184)*I184),IF(F184="限制性股票",IF(OR(L184="",M184="",M184&lt;=0,N184=""),"",MAX(0,((L184+J184)/2)*I184-N184*I184/M184)),MAX(0,O184))))</f>
        <v/>
      </c>
      <c r="T184" s="14">
        <f>IF(S184="","",SUMIFS($S$2:$S$501,$C$2:$C$501,C184,$H$2:$H$501,H184,$G$2:$G$501,"&lt;"&amp;G184)+SUMIFS($S$2:$S$501,$C$2:$C$501,C184,$H$2:$H$501,H184,$G$2:$G$501,G184,$A$2:$A$501,"&lt;"&amp;A184))</f>
        <v/>
      </c>
      <c r="U184" s="14">
        <f>IF(S184="","",T184+S184)</f>
        <v/>
      </c>
      <c r="V184" s="15">
        <f>IF(U184="","",VLOOKUP(U184,'税率及规则'!$A$2:$C$8,2,TRUE))</f>
        <v/>
      </c>
      <c r="W184" s="14">
        <f>IF(U184="","",VLOOKUP(U184,'税率及规则'!$A$2:$C$8,3,TRUE))</f>
        <v/>
      </c>
      <c r="X184" s="14">
        <f>IF(U184="","",MAX(0,U184*V184-W184))</f>
        <v/>
      </c>
      <c r="Y184" s="14">
        <f>IF(T184="","",MAX(0,T184*VLOOKUP(T184,'税率及规则'!$A$2:$C$8,2,TRUE)-VLOOKUP(T184,'税率及规则'!$A$2:$C$8,3,TRUE)))</f>
        <v/>
      </c>
      <c r="Z184" s="14">
        <f>IF(X184="","",MAX(0,X184-Y184))</f>
        <v/>
      </c>
      <c r="AA184" s="16">
        <f>IF(G184="","",G184)</f>
        <v/>
      </c>
      <c r="AB184" s="16">
        <f>IF(AA184="","",EDATE(AA184,36))</f>
        <v/>
      </c>
      <c r="AC184" s="6">
        <f>IF(A184="","",IF(COUNTIF($A$2:$A$501,A184)&gt;1,"异常：事件编号重复",IF(OR(C184="",D184="",E184="",F184="",G184="",I184="",J184=""),"异常：必填项缺失",IF(OR(I184&lt;=0,J184&lt;0),"异常：数量或价格无效",IF(AND(F184="限制性股票",OR(M184&lt;=0,N184&lt;0,I184&gt;M184)),"异常：个人获授或出资数据无效",IF(AND(F184="股票期权",K184&lt;&gt;IF(G184&lt;DATE(2025,1,10),14.56,IF(G184&lt;DATE(2025,4,29),14.32,IF(G184&lt;DATE(2025,9,26),14.18,14.04)))),"异常：行权价格区间不符",IF(Q184&lt;&gt;"已备案","提示：未确认备案","正常")))))))</f>
        <v/>
      </c>
      <c r="AD184" s="11" t="n"/>
    </row>
    <row r="185">
      <c r="A185" s="11" t="n"/>
      <c r="B185" s="6">
        <f>IF(A185="","",A185&amp;"-TAX")</f>
        <v/>
      </c>
      <c r="C185" s="11" t="n"/>
      <c r="D185" s="11" t="n"/>
      <c r="E185" s="11" t="n"/>
      <c r="F185" s="11" t="n"/>
      <c r="G185" s="12" t="n"/>
      <c r="H185" s="6">
        <f>IF(G185="","",YEAR(G185))</f>
        <v/>
      </c>
      <c r="I185" s="11" t="n"/>
      <c r="J185" s="13" t="n"/>
      <c r="K185" s="14">
        <f>IF(F185="股票期权",IF(G185="","",IF(G185&lt;DATE(2025,1,10),14.56,IF(G185&lt;DATE(2025,4,29),14.32,IF(G185&lt;DATE(2025,9,26),14.18,14.04)))),IF(F185="限制性股票",8.68,""))</f>
        <v/>
      </c>
      <c r="L185" s="14">
        <f>IF(F185="限制性股票",13.06,"")</f>
        <v/>
      </c>
      <c r="M185" s="11" t="n"/>
      <c r="N185" s="13" t="n"/>
      <c r="O185" s="13" t="n"/>
      <c r="P185" s="12" t="n"/>
      <c r="Q185" s="11" t="n"/>
      <c r="R185" s="12" t="n"/>
      <c r="S185" s="14">
        <f>IF(OR(A185="",C185="",F185="",G185="",I185="",J185=""),"",IF(F185="股票期权",MAX(0,(J185-K185)*I185),IF(F185="限制性股票",IF(OR(L185="",M185="",M185&lt;=0,N185=""),"",MAX(0,((L185+J185)/2)*I185-N185*I185/M185)),MAX(0,O185))))</f>
        <v/>
      </c>
      <c r="T185" s="14">
        <f>IF(S185="","",SUMIFS($S$2:$S$501,$C$2:$C$501,C185,$H$2:$H$501,H185,$G$2:$G$501,"&lt;"&amp;G185)+SUMIFS($S$2:$S$501,$C$2:$C$501,C185,$H$2:$H$501,H185,$G$2:$G$501,G185,$A$2:$A$501,"&lt;"&amp;A185))</f>
        <v/>
      </c>
      <c r="U185" s="14">
        <f>IF(S185="","",T185+S185)</f>
        <v/>
      </c>
      <c r="V185" s="15">
        <f>IF(U185="","",VLOOKUP(U185,'税率及规则'!$A$2:$C$8,2,TRUE))</f>
        <v/>
      </c>
      <c r="W185" s="14">
        <f>IF(U185="","",VLOOKUP(U185,'税率及规则'!$A$2:$C$8,3,TRUE))</f>
        <v/>
      </c>
      <c r="X185" s="14">
        <f>IF(U185="","",MAX(0,U185*V185-W185))</f>
        <v/>
      </c>
      <c r="Y185" s="14">
        <f>IF(T185="","",MAX(0,T185*VLOOKUP(T185,'税率及规则'!$A$2:$C$8,2,TRUE)-VLOOKUP(T185,'税率及规则'!$A$2:$C$8,3,TRUE)))</f>
        <v/>
      </c>
      <c r="Z185" s="14">
        <f>IF(X185="","",MAX(0,X185-Y185))</f>
        <v/>
      </c>
      <c r="AA185" s="16">
        <f>IF(G185="","",G185)</f>
        <v/>
      </c>
      <c r="AB185" s="16">
        <f>IF(AA185="","",EDATE(AA185,36))</f>
        <v/>
      </c>
      <c r="AC185" s="6">
        <f>IF(A185="","",IF(COUNTIF($A$2:$A$501,A185)&gt;1,"异常：事件编号重复",IF(OR(C185="",D185="",E185="",F185="",G185="",I185="",J185=""),"异常：必填项缺失",IF(OR(I185&lt;=0,J185&lt;0),"异常：数量或价格无效",IF(AND(F185="限制性股票",OR(M185&lt;=0,N185&lt;0,I185&gt;M185)),"异常：个人获授或出资数据无效",IF(AND(F185="股票期权",K185&lt;&gt;IF(G185&lt;DATE(2025,1,10),14.56,IF(G185&lt;DATE(2025,4,29),14.32,IF(G185&lt;DATE(2025,9,26),14.18,14.04)))),"异常：行权价格区间不符",IF(Q185&lt;&gt;"已备案","提示：未确认备案","正常")))))))</f>
        <v/>
      </c>
      <c r="AD185" s="11" t="n"/>
    </row>
    <row r="186">
      <c r="A186" s="11" t="n"/>
      <c r="B186" s="6">
        <f>IF(A186="","",A186&amp;"-TAX")</f>
        <v/>
      </c>
      <c r="C186" s="11" t="n"/>
      <c r="D186" s="11" t="n"/>
      <c r="E186" s="11" t="n"/>
      <c r="F186" s="11" t="n"/>
      <c r="G186" s="12" t="n"/>
      <c r="H186" s="6">
        <f>IF(G186="","",YEAR(G186))</f>
        <v/>
      </c>
      <c r="I186" s="11" t="n"/>
      <c r="J186" s="13" t="n"/>
      <c r="K186" s="14">
        <f>IF(F186="股票期权",IF(G186="","",IF(G186&lt;DATE(2025,1,10),14.56,IF(G186&lt;DATE(2025,4,29),14.32,IF(G186&lt;DATE(2025,9,26),14.18,14.04)))),IF(F186="限制性股票",8.68,""))</f>
        <v/>
      </c>
      <c r="L186" s="14">
        <f>IF(F186="限制性股票",13.06,"")</f>
        <v/>
      </c>
      <c r="M186" s="11" t="n"/>
      <c r="N186" s="13" t="n"/>
      <c r="O186" s="13" t="n"/>
      <c r="P186" s="12" t="n"/>
      <c r="Q186" s="11" t="n"/>
      <c r="R186" s="12" t="n"/>
      <c r="S186" s="14">
        <f>IF(OR(A186="",C186="",F186="",G186="",I186="",J186=""),"",IF(F186="股票期权",MAX(0,(J186-K186)*I186),IF(F186="限制性股票",IF(OR(L186="",M186="",M186&lt;=0,N186=""),"",MAX(0,((L186+J186)/2)*I186-N186*I186/M186)),MAX(0,O186))))</f>
        <v/>
      </c>
      <c r="T186" s="14">
        <f>IF(S186="","",SUMIFS($S$2:$S$501,$C$2:$C$501,C186,$H$2:$H$501,H186,$G$2:$G$501,"&lt;"&amp;G186)+SUMIFS($S$2:$S$501,$C$2:$C$501,C186,$H$2:$H$501,H186,$G$2:$G$501,G186,$A$2:$A$501,"&lt;"&amp;A186))</f>
        <v/>
      </c>
      <c r="U186" s="14">
        <f>IF(S186="","",T186+S186)</f>
        <v/>
      </c>
      <c r="V186" s="15">
        <f>IF(U186="","",VLOOKUP(U186,'税率及规则'!$A$2:$C$8,2,TRUE))</f>
        <v/>
      </c>
      <c r="W186" s="14">
        <f>IF(U186="","",VLOOKUP(U186,'税率及规则'!$A$2:$C$8,3,TRUE))</f>
        <v/>
      </c>
      <c r="X186" s="14">
        <f>IF(U186="","",MAX(0,U186*V186-W186))</f>
        <v/>
      </c>
      <c r="Y186" s="14">
        <f>IF(T186="","",MAX(0,T186*VLOOKUP(T186,'税率及规则'!$A$2:$C$8,2,TRUE)-VLOOKUP(T186,'税率及规则'!$A$2:$C$8,3,TRUE)))</f>
        <v/>
      </c>
      <c r="Z186" s="14">
        <f>IF(X186="","",MAX(0,X186-Y186))</f>
        <v/>
      </c>
      <c r="AA186" s="16">
        <f>IF(G186="","",G186)</f>
        <v/>
      </c>
      <c r="AB186" s="16">
        <f>IF(AA186="","",EDATE(AA186,36))</f>
        <v/>
      </c>
      <c r="AC186" s="6">
        <f>IF(A186="","",IF(COUNTIF($A$2:$A$501,A186)&gt;1,"异常：事件编号重复",IF(OR(C186="",D186="",E186="",F186="",G186="",I186="",J186=""),"异常：必填项缺失",IF(OR(I186&lt;=0,J186&lt;0),"异常：数量或价格无效",IF(AND(F186="限制性股票",OR(M186&lt;=0,N186&lt;0,I186&gt;M186)),"异常：个人获授或出资数据无效",IF(AND(F186="股票期权",K186&lt;&gt;IF(G186&lt;DATE(2025,1,10),14.56,IF(G186&lt;DATE(2025,4,29),14.32,IF(G186&lt;DATE(2025,9,26),14.18,14.04)))),"异常：行权价格区间不符",IF(Q186&lt;&gt;"已备案","提示：未确认备案","正常")))))))</f>
        <v/>
      </c>
      <c r="AD186" s="11" t="n"/>
    </row>
    <row r="187">
      <c r="A187" s="11" t="n"/>
      <c r="B187" s="6">
        <f>IF(A187="","",A187&amp;"-TAX")</f>
        <v/>
      </c>
      <c r="C187" s="11" t="n"/>
      <c r="D187" s="11" t="n"/>
      <c r="E187" s="11" t="n"/>
      <c r="F187" s="11" t="n"/>
      <c r="G187" s="12" t="n"/>
      <c r="H187" s="6">
        <f>IF(G187="","",YEAR(G187))</f>
        <v/>
      </c>
      <c r="I187" s="11" t="n"/>
      <c r="J187" s="13" t="n"/>
      <c r="K187" s="14">
        <f>IF(F187="股票期权",IF(G187="","",IF(G187&lt;DATE(2025,1,10),14.56,IF(G187&lt;DATE(2025,4,29),14.32,IF(G187&lt;DATE(2025,9,26),14.18,14.04)))),IF(F187="限制性股票",8.68,""))</f>
        <v/>
      </c>
      <c r="L187" s="14">
        <f>IF(F187="限制性股票",13.06,"")</f>
        <v/>
      </c>
      <c r="M187" s="11" t="n"/>
      <c r="N187" s="13" t="n"/>
      <c r="O187" s="13" t="n"/>
      <c r="P187" s="12" t="n"/>
      <c r="Q187" s="11" t="n"/>
      <c r="R187" s="12" t="n"/>
      <c r="S187" s="14">
        <f>IF(OR(A187="",C187="",F187="",G187="",I187="",J187=""),"",IF(F187="股票期权",MAX(0,(J187-K187)*I187),IF(F187="限制性股票",IF(OR(L187="",M187="",M187&lt;=0,N187=""),"",MAX(0,((L187+J187)/2)*I187-N187*I187/M187)),MAX(0,O187))))</f>
        <v/>
      </c>
      <c r="T187" s="14">
        <f>IF(S187="","",SUMIFS($S$2:$S$501,$C$2:$C$501,C187,$H$2:$H$501,H187,$G$2:$G$501,"&lt;"&amp;G187)+SUMIFS($S$2:$S$501,$C$2:$C$501,C187,$H$2:$H$501,H187,$G$2:$G$501,G187,$A$2:$A$501,"&lt;"&amp;A187))</f>
        <v/>
      </c>
      <c r="U187" s="14">
        <f>IF(S187="","",T187+S187)</f>
        <v/>
      </c>
      <c r="V187" s="15">
        <f>IF(U187="","",VLOOKUP(U187,'税率及规则'!$A$2:$C$8,2,TRUE))</f>
        <v/>
      </c>
      <c r="W187" s="14">
        <f>IF(U187="","",VLOOKUP(U187,'税率及规则'!$A$2:$C$8,3,TRUE))</f>
        <v/>
      </c>
      <c r="X187" s="14">
        <f>IF(U187="","",MAX(0,U187*V187-W187))</f>
        <v/>
      </c>
      <c r="Y187" s="14">
        <f>IF(T187="","",MAX(0,T187*VLOOKUP(T187,'税率及规则'!$A$2:$C$8,2,TRUE)-VLOOKUP(T187,'税率及规则'!$A$2:$C$8,3,TRUE)))</f>
        <v/>
      </c>
      <c r="Z187" s="14">
        <f>IF(X187="","",MAX(0,X187-Y187))</f>
        <v/>
      </c>
      <c r="AA187" s="16">
        <f>IF(G187="","",G187)</f>
        <v/>
      </c>
      <c r="AB187" s="16">
        <f>IF(AA187="","",EDATE(AA187,36))</f>
        <v/>
      </c>
      <c r="AC187" s="6">
        <f>IF(A187="","",IF(COUNTIF($A$2:$A$501,A187)&gt;1,"异常：事件编号重复",IF(OR(C187="",D187="",E187="",F187="",G187="",I187="",J187=""),"异常：必填项缺失",IF(OR(I187&lt;=0,J187&lt;0),"异常：数量或价格无效",IF(AND(F187="限制性股票",OR(M187&lt;=0,N187&lt;0,I187&gt;M187)),"异常：个人获授或出资数据无效",IF(AND(F187="股票期权",K187&lt;&gt;IF(G187&lt;DATE(2025,1,10),14.56,IF(G187&lt;DATE(2025,4,29),14.32,IF(G187&lt;DATE(2025,9,26),14.18,14.04)))),"异常：行权价格区间不符",IF(Q187&lt;&gt;"已备案","提示：未确认备案","正常")))))))</f>
        <v/>
      </c>
      <c r="AD187" s="11" t="n"/>
    </row>
    <row r="188">
      <c r="A188" s="11" t="n"/>
      <c r="B188" s="6">
        <f>IF(A188="","",A188&amp;"-TAX")</f>
        <v/>
      </c>
      <c r="C188" s="11" t="n"/>
      <c r="D188" s="11" t="n"/>
      <c r="E188" s="11" t="n"/>
      <c r="F188" s="11" t="n"/>
      <c r="G188" s="12" t="n"/>
      <c r="H188" s="6">
        <f>IF(G188="","",YEAR(G188))</f>
        <v/>
      </c>
      <c r="I188" s="11" t="n"/>
      <c r="J188" s="13" t="n"/>
      <c r="K188" s="14">
        <f>IF(F188="股票期权",IF(G188="","",IF(G188&lt;DATE(2025,1,10),14.56,IF(G188&lt;DATE(2025,4,29),14.32,IF(G188&lt;DATE(2025,9,26),14.18,14.04)))),IF(F188="限制性股票",8.68,""))</f>
        <v/>
      </c>
      <c r="L188" s="14">
        <f>IF(F188="限制性股票",13.06,"")</f>
        <v/>
      </c>
      <c r="M188" s="11" t="n"/>
      <c r="N188" s="13" t="n"/>
      <c r="O188" s="13" t="n"/>
      <c r="P188" s="12" t="n"/>
      <c r="Q188" s="11" t="n"/>
      <c r="R188" s="12" t="n"/>
      <c r="S188" s="14">
        <f>IF(OR(A188="",C188="",F188="",G188="",I188="",J188=""),"",IF(F188="股票期权",MAX(0,(J188-K188)*I188),IF(F188="限制性股票",IF(OR(L188="",M188="",M188&lt;=0,N188=""),"",MAX(0,((L188+J188)/2)*I188-N188*I188/M188)),MAX(0,O188))))</f>
        <v/>
      </c>
      <c r="T188" s="14">
        <f>IF(S188="","",SUMIFS($S$2:$S$501,$C$2:$C$501,C188,$H$2:$H$501,H188,$G$2:$G$501,"&lt;"&amp;G188)+SUMIFS($S$2:$S$501,$C$2:$C$501,C188,$H$2:$H$501,H188,$G$2:$G$501,G188,$A$2:$A$501,"&lt;"&amp;A188))</f>
        <v/>
      </c>
      <c r="U188" s="14">
        <f>IF(S188="","",T188+S188)</f>
        <v/>
      </c>
      <c r="V188" s="15">
        <f>IF(U188="","",VLOOKUP(U188,'税率及规则'!$A$2:$C$8,2,TRUE))</f>
        <v/>
      </c>
      <c r="W188" s="14">
        <f>IF(U188="","",VLOOKUP(U188,'税率及规则'!$A$2:$C$8,3,TRUE))</f>
        <v/>
      </c>
      <c r="X188" s="14">
        <f>IF(U188="","",MAX(0,U188*V188-W188))</f>
        <v/>
      </c>
      <c r="Y188" s="14">
        <f>IF(T188="","",MAX(0,T188*VLOOKUP(T188,'税率及规则'!$A$2:$C$8,2,TRUE)-VLOOKUP(T188,'税率及规则'!$A$2:$C$8,3,TRUE)))</f>
        <v/>
      </c>
      <c r="Z188" s="14">
        <f>IF(X188="","",MAX(0,X188-Y188))</f>
        <v/>
      </c>
      <c r="AA188" s="16">
        <f>IF(G188="","",G188)</f>
        <v/>
      </c>
      <c r="AB188" s="16">
        <f>IF(AA188="","",EDATE(AA188,36))</f>
        <v/>
      </c>
      <c r="AC188" s="6">
        <f>IF(A188="","",IF(COUNTIF($A$2:$A$501,A188)&gt;1,"异常：事件编号重复",IF(OR(C188="",D188="",E188="",F188="",G188="",I188="",J188=""),"异常：必填项缺失",IF(OR(I188&lt;=0,J188&lt;0),"异常：数量或价格无效",IF(AND(F188="限制性股票",OR(M188&lt;=0,N188&lt;0,I188&gt;M188)),"异常：个人获授或出资数据无效",IF(AND(F188="股票期权",K188&lt;&gt;IF(G188&lt;DATE(2025,1,10),14.56,IF(G188&lt;DATE(2025,4,29),14.32,IF(G188&lt;DATE(2025,9,26),14.18,14.04)))),"异常：行权价格区间不符",IF(Q188&lt;&gt;"已备案","提示：未确认备案","正常")))))))</f>
        <v/>
      </c>
      <c r="AD188" s="11" t="n"/>
    </row>
    <row r="189">
      <c r="A189" s="11" t="n"/>
      <c r="B189" s="6">
        <f>IF(A189="","",A189&amp;"-TAX")</f>
        <v/>
      </c>
      <c r="C189" s="11" t="n"/>
      <c r="D189" s="11" t="n"/>
      <c r="E189" s="11" t="n"/>
      <c r="F189" s="11" t="n"/>
      <c r="G189" s="12" t="n"/>
      <c r="H189" s="6">
        <f>IF(G189="","",YEAR(G189))</f>
        <v/>
      </c>
      <c r="I189" s="11" t="n"/>
      <c r="J189" s="13" t="n"/>
      <c r="K189" s="14">
        <f>IF(F189="股票期权",IF(G189="","",IF(G189&lt;DATE(2025,1,10),14.56,IF(G189&lt;DATE(2025,4,29),14.32,IF(G189&lt;DATE(2025,9,26),14.18,14.04)))),IF(F189="限制性股票",8.68,""))</f>
        <v/>
      </c>
      <c r="L189" s="14">
        <f>IF(F189="限制性股票",13.06,"")</f>
        <v/>
      </c>
      <c r="M189" s="11" t="n"/>
      <c r="N189" s="13" t="n"/>
      <c r="O189" s="13" t="n"/>
      <c r="P189" s="12" t="n"/>
      <c r="Q189" s="11" t="n"/>
      <c r="R189" s="12" t="n"/>
      <c r="S189" s="14">
        <f>IF(OR(A189="",C189="",F189="",G189="",I189="",J189=""),"",IF(F189="股票期权",MAX(0,(J189-K189)*I189),IF(F189="限制性股票",IF(OR(L189="",M189="",M189&lt;=0,N189=""),"",MAX(0,((L189+J189)/2)*I189-N189*I189/M189)),MAX(0,O189))))</f>
        <v/>
      </c>
      <c r="T189" s="14">
        <f>IF(S189="","",SUMIFS($S$2:$S$501,$C$2:$C$501,C189,$H$2:$H$501,H189,$G$2:$G$501,"&lt;"&amp;G189)+SUMIFS($S$2:$S$501,$C$2:$C$501,C189,$H$2:$H$501,H189,$G$2:$G$501,G189,$A$2:$A$501,"&lt;"&amp;A189))</f>
        <v/>
      </c>
      <c r="U189" s="14">
        <f>IF(S189="","",T189+S189)</f>
        <v/>
      </c>
      <c r="V189" s="15">
        <f>IF(U189="","",VLOOKUP(U189,'税率及规则'!$A$2:$C$8,2,TRUE))</f>
        <v/>
      </c>
      <c r="W189" s="14">
        <f>IF(U189="","",VLOOKUP(U189,'税率及规则'!$A$2:$C$8,3,TRUE))</f>
        <v/>
      </c>
      <c r="X189" s="14">
        <f>IF(U189="","",MAX(0,U189*V189-W189))</f>
        <v/>
      </c>
      <c r="Y189" s="14">
        <f>IF(T189="","",MAX(0,T189*VLOOKUP(T189,'税率及规则'!$A$2:$C$8,2,TRUE)-VLOOKUP(T189,'税率及规则'!$A$2:$C$8,3,TRUE)))</f>
        <v/>
      </c>
      <c r="Z189" s="14">
        <f>IF(X189="","",MAX(0,X189-Y189))</f>
        <v/>
      </c>
      <c r="AA189" s="16">
        <f>IF(G189="","",G189)</f>
        <v/>
      </c>
      <c r="AB189" s="16">
        <f>IF(AA189="","",EDATE(AA189,36))</f>
        <v/>
      </c>
      <c r="AC189" s="6">
        <f>IF(A189="","",IF(COUNTIF($A$2:$A$501,A189)&gt;1,"异常：事件编号重复",IF(OR(C189="",D189="",E189="",F189="",G189="",I189="",J189=""),"异常：必填项缺失",IF(OR(I189&lt;=0,J189&lt;0),"异常：数量或价格无效",IF(AND(F189="限制性股票",OR(M189&lt;=0,N189&lt;0,I189&gt;M189)),"异常：个人获授或出资数据无效",IF(AND(F189="股票期权",K189&lt;&gt;IF(G189&lt;DATE(2025,1,10),14.56,IF(G189&lt;DATE(2025,4,29),14.32,IF(G189&lt;DATE(2025,9,26),14.18,14.04)))),"异常：行权价格区间不符",IF(Q189&lt;&gt;"已备案","提示：未确认备案","正常")))))))</f>
        <v/>
      </c>
      <c r="AD189" s="11" t="n"/>
    </row>
    <row r="190">
      <c r="A190" s="11" t="n"/>
      <c r="B190" s="6">
        <f>IF(A190="","",A190&amp;"-TAX")</f>
        <v/>
      </c>
      <c r="C190" s="11" t="n"/>
      <c r="D190" s="11" t="n"/>
      <c r="E190" s="11" t="n"/>
      <c r="F190" s="11" t="n"/>
      <c r="G190" s="12" t="n"/>
      <c r="H190" s="6">
        <f>IF(G190="","",YEAR(G190))</f>
        <v/>
      </c>
      <c r="I190" s="11" t="n"/>
      <c r="J190" s="13" t="n"/>
      <c r="K190" s="14">
        <f>IF(F190="股票期权",IF(G190="","",IF(G190&lt;DATE(2025,1,10),14.56,IF(G190&lt;DATE(2025,4,29),14.32,IF(G190&lt;DATE(2025,9,26),14.18,14.04)))),IF(F190="限制性股票",8.68,""))</f>
        <v/>
      </c>
      <c r="L190" s="14">
        <f>IF(F190="限制性股票",13.06,"")</f>
        <v/>
      </c>
      <c r="M190" s="11" t="n"/>
      <c r="N190" s="13" t="n"/>
      <c r="O190" s="13" t="n"/>
      <c r="P190" s="12" t="n"/>
      <c r="Q190" s="11" t="n"/>
      <c r="R190" s="12" t="n"/>
      <c r="S190" s="14">
        <f>IF(OR(A190="",C190="",F190="",G190="",I190="",J190=""),"",IF(F190="股票期权",MAX(0,(J190-K190)*I190),IF(F190="限制性股票",IF(OR(L190="",M190="",M190&lt;=0,N190=""),"",MAX(0,((L190+J190)/2)*I190-N190*I190/M190)),MAX(0,O190))))</f>
        <v/>
      </c>
      <c r="T190" s="14">
        <f>IF(S190="","",SUMIFS($S$2:$S$501,$C$2:$C$501,C190,$H$2:$H$501,H190,$G$2:$G$501,"&lt;"&amp;G190)+SUMIFS($S$2:$S$501,$C$2:$C$501,C190,$H$2:$H$501,H190,$G$2:$G$501,G190,$A$2:$A$501,"&lt;"&amp;A190))</f>
        <v/>
      </c>
      <c r="U190" s="14">
        <f>IF(S190="","",T190+S190)</f>
        <v/>
      </c>
      <c r="V190" s="15">
        <f>IF(U190="","",VLOOKUP(U190,'税率及规则'!$A$2:$C$8,2,TRUE))</f>
        <v/>
      </c>
      <c r="W190" s="14">
        <f>IF(U190="","",VLOOKUP(U190,'税率及规则'!$A$2:$C$8,3,TRUE))</f>
        <v/>
      </c>
      <c r="X190" s="14">
        <f>IF(U190="","",MAX(0,U190*V190-W190))</f>
        <v/>
      </c>
      <c r="Y190" s="14">
        <f>IF(T190="","",MAX(0,T190*VLOOKUP(T190,'税率及规则'!$A$2:$C$8,2,TRUE)-VLOOKUP(T190,'税率及规则'!$A$2:$C$8,3,TRUE)))</f>
        <v/>
      </c>
      <c r="Z190" s="14">
        <f>IF(X190="","",MAX(0,X190-Y190))</f>
        <v/>
      </c>
      <c r="AA190" s="16">
        <f>IF(G190="","",G190)</f>
        <v/>
      </c>
      <c r="AB190" s="16">
        <f>IF(AA190="","",EDATE(AA190,36))</f>
        <v/>
      </c>
      <c r="AC190" s="6">
        <f>IF(A190="","",IF(COUNTIF($A$2:$A$501,A190)&gt;1,"异常：事件编号重复",IF(OR(C190="",D190="",E190="",F190="",G190="",I190="",J190=""),"异常：必填项缺失",IF(OR(I190&lt;=0,J190&lt;0),"异常：数量或价格无效",IF(AND(F190="限制性股票",OR(M190&lt;=0,N190&lt;0,I190&gt;M190)),"异常：个人获授或出资数据无效",IF(AND(F190="股票期权",K190&lt;&gt;IF(G190&lt;DATE(2025,1,10),14.56,IF(G190&lt;DATE(2025,4,29),14.32,IF(G190&lt;DATE(2025,9,26),14.18,14.04)))),"异常：行权价格区间不符",IF(Q190&lt;&gt;"已备案","提示：未确认备案","正常")))))))</f>
        <v/>
      </c>
      <c r="AD190" s="11" t="n"/>
    </row>
    <row r="191">
      <c r="A191" s="11" t="n"/>
      <c r="B191" s="6">
        <f>IF(A191="","",A191&amp;"-TAX")</f>
        <v/>
      </c>
      <c r="C191" s="11" t="n"/>
      <c r="D191" s="11" t="n"/>
      <c r="E191" s="11" t="n"/>
      <c r="F191" s="11" t="n"/>
      <c r="G191" s="12" t="n"/>
      <c r="H191" s="6">
        <f>IF(G191="","",YEAR(G191))</f>
        <v/>
      </c>
      <c r="I191" s="11" t="n"/>
      <c r="J191" s="13" t="n"/>
      <c r="K191" s="14">
        <f>IF(F191="股票期权",IF(G191="","",IF(G191&lt;DATE(2025,1,10),14.56,IF(G191&lt;DATE(2025,4,29),14.32,IF(G191&lt;DATE(2025,9,26),14.18,14.04)))),IF(F191="限制性股票",8.68,""))</f>
        <v/>
      </c>
      <c r="L191" s="14">
        <f>IF(F191="限制性股票",13.06,"")</f>
        <v/>
      </c>
      <c r="M191" s="11" t="n"/>
      <c r="N191" s="13" t="n"/>
      <c r="O191" s="13" t="n"/>
      <c r="P191" s="12" t="n"/>
      <c r="Q191" s="11" t="n"/>
      <c r="R191" s="12" t="n"/>
      <c r="S191" s="14">
        <f>IF(OR(A191="",C191="",F191="",G191="",I191="",J191=""),"",IF(F191="股票期权",MAX(0,(J191-K191)*I191),IF(F191="限制性股票",IF(OR(L191="",M191="",M191&lt;=0,N191=""),"",MAX(0,((L191+J191)/2)*I191-N191*I191/M191)),MAX(0,O191))))</f>
        <v/>
      </c>
      <c r="T191" s="14">
        <f>IF(S191="","",SUMIFS($S$2:$S$501,$C$2:$C$501,C191,$H$2:$H$501,H191,$G$2:$G$501,"&lt;"&amp;G191)+SUMIFS($S$2:$S$501,$C$2:$C$501,C191,$H$2:$H$501,H191,$G$2:$G$501,G191,$A$2:$A$501,"&lt;"&amp;A191))</f>
        <v/>
      </c>
      <c r="U191" s="14">
        <f>IF(S191="","",T191+S191)</f>
        <v/>
      </c>
      <c r="V191" s="15">
        <f>IF(U191="","",VLOOKUP(U191,'税率及规则'!$A$2:$C$8,2,TRUE))</f>
        <v/>
      </c>
      <c r="W191" s="14">
        <f>IF(U191="","",VLOOKUP(U191,'税率及规则'!$A$2:$C$8,3,TRUE))</f>
        <v/>
      </c>
      <c r="X191" s="14">
        <f>IF(U191="","",MAX(0,U191*V191-W191))</f>
        <v/>
      </c>
      <c r="Y191" s="14">
        <f>IF(T191="","",MAX(0,T191*VLOOKUP(T191,'税率及规则'!$A$2:$C$8,2,TRUE)-VLOOKUP(T191,'税率及规则'!$A$2:$C$8,3,TRUE)))</f>
        <v/>
      </c>
      <c r="Z191" s="14">
        <f>IF(X191="","",MAX(0,X191-Y191))</f>
        <v/>
      </c>
      <c r="AA191" s="16">
        <f>IF(G191="","",G191)</f>
        <v/>
      </c>
      <c r="AB191" s="16">
        <f>IF(AA191="","",EDATE(AA191,36))</f>
        <v/>
      </c>
      <c r="AC191" s="6">
        <f>IF(A191="","",IF(COUNTIF($A$2:$A$501,A191)&gt;1,"异常：事件编号重复",IF(OR(C191="",D191="",E191="",F191="",G191="",I191="",J191=""),"异常：必填项缺失",IF(OR(I191&lt;=0,J191&lt;0),"异常：数量或价格无效",IF(AND(F191="限制性股票",OR(M191&lt;=0,N191&lt;0,I191&gt;M191)),"异常：个人获授或出资数据无效",IF(AND(F191="股票期权",K191&lt;&gt;IF(G191&lt;DATE(2025,1,10),14.56,IF(G191&lt;DATE(2025,4,29),14.32,IF(G191&lt;DATE(2025,9,26),14.18,14.04)))),"异常：行权价格区间不符",IF(Q191&lt;&gt;"已备案","提示：未确认备案","正常")))))))</f>
        <v/>
      </c>
      <c r="AD191" s="11" t="n"/>
    </row>
    <row r="192">
      <c r="A192" s="11" t="n"/>
      <c r="B192" s="6">
        <f>IF(A192="","",A192&amp;"-TAX")</f>
        <v/>
      </c>
      <c r="C192" s="11" t="n"/>
      <c r="D192" s="11" t="n"/>
      <c r="E192" s="11" t="n"/>
      <c r="F192" s="11" t="n"/>
      <c r="G192" s="12" t="n"/>
      <c r="H192" s="6">
        <f>IF(G192="","",YEAR(G192))</f>
        <v/>
      </c>
      <c r="I192" s="11" t="n"/>
      <c r="J192" s="13" t="n"/>
      <c r="K192" s="14">
        <f>IF(F192="股票期权",IF(G192="","",IF(G192&lt;DATE(2025,1,10),14.56,IF(G192&lt;DATE(2025,4,29),14.32,IF(G192&lt;DATE(2025,9,26),14.18,14.04)))),IF(F192="限制性股票",8.68,""))</f>
        <v/>
      </c>
      <c r="L192" s="14">
        <f>IF(F192="限制性股票",13.06,"")</f>
        <v/>
      </c>
      <c r="M192" s="11" t="n"/>
      <c r="N192" s="13" t="n"/>
      <c r="O192" s="13" t="n"/>
      <c r="P192" s="12" t="n"/>
      <c r="Q192" s="11" t="n"/>
      <c r="R192" s="12" t="n"/>
      <c r="S192" s="14">
        <f>IF(OR(A192="",C192="",F192="",G192="",I192="",J192=""),"",IF(F192="股票期权",MAX(0,(J192-K192)*I192),IF(F192="限制性股票",IF(OR(L192="",M192="",M192&lt;=0,N192=""),"",MAX(0,((L192+J192)/2)*I192-N192*I192/M192)),MAX(0,O192))))</f>
        <v/>
      </c>
      <c r="T192" s="14">
        <f>IF(S192="","",SUMIFS($S$2:$S$501,$C$2:$C$501,C192,$H$2:$H$501,H192,$G$2:$G$501,"&lt;"&amp;G192)+SUMIFS($S$2:$S$501,$C$2:$C$501,C192,$H$2:$H$501,H192,$G$2:$G$501,G192,$A$2:$A$501,"&lt;"&amp;A192))</f>
        <v/>
      </c>
      <c r="U192" s="14">
        <f>IF(S192="","",T192+S192)</f>
        <v/>
      </c>
      <c r="V192" s="15">
        <f>IF(U192="","",VLOOKUP(U192,'税率及规则'!$A$2:$C$8,2,TRUE))</f>
        <v/>
      </c>
      <c r="W192" s="14">
        <f>IF(U192="","",VLOOKUP(U192,'税率及规则'!$A$2:$C$8,3,TRUE))</f>
        <v/>
      </c>
      <c r="X192" s="14">
        <f>IF(U192="","",MAX(0,U192*V192-W192))</f>
        <v/>
      </c>
      <c r="Y192" s="14">
        <f>IF(T192="","",MAX(0,T192*VLOOKUP(T192,'税率及规则'!$A$2:$C$8,2,TRUE)-VLOOKUP(T192,'税率及规则'!$A$2:$C$8,3,TRUE)))</f>
        <v/>
      </c>
      <c r="Z192" s="14">
        <f>IF(X192="","",MAX(0,X192-Y192))</f>
        <v/>
      </c>
      <c r="AA192" s="16">
        <f>IF(G192="","",G192)</f>
        <v/>
      </c>
      <c r="AB192" s="16">
        <f>IF(AA192="","",EDATE(AA192,36))</f>
        <v/>
      </c>
      <c r="AC192" s="6">
        <f>IF(A192="","",IF(COUNTIF($A$2:$A$501,A192)&gt;1,"异常：事件编号重复",IF(OR(C192="",D192="",E192="",F192="",G192="",I192="",J192=""),"异常：必填项缺失",IF(OR(I192&lt;=0,J192&lt;0),"异常：数量或价格无效",IF(AND(F192="限制性股票",OR(M192&lt;=0,N192&lt;0,I192&gt;M192)),"异常：个人获授或出资数据无效",IF(AND(F192="股票期权",K192&lt;&gt;IF(G192&lt;DATE(2025,1,10),14.56,IF(G192&lt;DATE(2025,4,29),14.32,IF(G192&lt;DATE(2025,9,26),14.18,14.04)))),"异常：行权价格区间不符",IF(Q192&lt;&gt;"已备案","提示：未确认备案","正常")))))))</f>
        <v/>
      </c>
      <c r="AD192" s="11" t="n"/>
    </row>
    <row r="193">
      <c r="A193" s="11" t="n"/>
      <c r="B193" s="6">
        <f>IF(A193="","",A193&amp;"-TAX")</f>
        <v/>
      </c>
      <c r="C193" s="11" t="n"/>
      <c r="D193" s="11" t="n"/>
      <c r="E193" s="11" t="n"/>
      <c r="F193" s="11" t="n"/>
      <c r="G193" s="12" t="n"/>
      <c r="H193" s="6">
        <f>IF(G193="","",YEAR(G193))</f>
        <v/>
      </c>
      <c r="I193" s="11" t="n"/>
      <c r="J193" s="13" t="n"/>
      <c r="K193" s="14">
        <f>IF(F193="股票期权",IF(G193="","",IF(G193&lt;DATE(2025,1,10),14.56,IF(G193&lt;DATE(2025,4,29),14.32,IF(G193&lt;DATE(2025,9,26),14.18,14.04)))),IF(F193="限制性股票",8.68,""))</f>
        <v/>
      </c>
      <c r="L193" s="14">
        <f>IF(F193="限制性股票",13.06,"")</f>
        <v/>
      </c>
      <c r="M193" s="11" t="n"/>
      <c r="N193" s="13" t="n"/>
      <c r="O193" s="13" t="n"/>
      <c r="P193" s="12" t="n"/>
      <c r="Q193" s="11" t="n"/>
      <c r="R193" s="12" t="n"/>
      <c r="S193" s="14">
        <f>IF(OR(A193="",C193="",F193="",G193="",I193="",J193=""),"",IF(F193="股票期权",MAX(0,(J193-K193)*I193),IF(F193="限制性股票",IF(OR(L193="",M193="",M193&lt;=0,N193=""),"",MAX(0,((L193+J193)/2)*I193-N193*I193/M193)),MAX(0,O193))))</f>
        <v/>
      </c>
      <c r="T193" s="14">
        <f>IF(S193="","",SUMIFS($S$2:$S$501,$C$2:$C$501,C193,$H$2:$H$501,H193,$G$2:$G$501,"&lt;"&amp;G193)+SUMIFS($S$2:$S$501,$C$2:$C$501,C193,$H$2:$H$501,H193,$G$2:$G$501,G193,$A$2:$A$501,"&lt;"&amp;A193))</f>
        <v/>
      </c>
      <c r="U193" s="14">
        <f>IF(S193="","",T193+S193)</f>
        <v/>
      </c>
      <c r="V193" s="15">
        <f>IF(U193="","",VLOOKUP(U193,'税率及规则'!$A$2:$C$8,2,TRUE))</f>
        <v/>
      </c>
      <c r="W193" s="14">
        <f>IF(U193="","",VLOOKUP(U193,'税率及规则'!$A$2:$C$8,3,TRUE))</f>
        <v/>
      </c>
      <c r="X193" s="14">
        <f>IF(U193="","",MAX(0,U193*V193-W193))</f>
        <v/>
      </c>
      <c r="Y193" s="14">
        <f>IF(T193="","",MAX(0,T193*VLOOKUP(T193,'税率及规则'!$A$2:$C$8,2,TRUE)-VLOOKUP(T193,'税率及规则'!$A$2:$C$8,3,TRUE)))</f>
        <v/>
      </c>
      <c r="Z193" s="14">
        <f>IF(X193="","",MAX(0,X193-Y193))</f>
        <v/>
      </c>
      <c r="AA193" s="16">
        <f>IF(G193="","",G193)</f>
        <v/>
      </c>
      <c r="AB193" s="16">
        <f>IF(AA193="","",EDATE(AA193,36))</f>
        <v/>
      </c>
      <c r="AC193" s="6">
        <f>IF(A193="","",IF(COUNTIF($A$2:$A$501,A193)&gt;1,"异常：事件编号重复",IF(OR(C193="",D193="",E193="",F193="",G193="",I193="",J193=""),"异常：必填项缺失",IF(OR(I193&lt;=0,J193&lt;0),"异常：数量或价格无效",IF(AND(F193="限制性股票",OR(M193&lt;=0,N193&lt;0,I193&gt;M193)),"异常：个人获授或出资数据无效",IF(AND(F193="股票期权",K193&lt;&gt;IF(G193&lt;DATE(2025,1,10),14.56,IF(G193&lt;DATE(2025,4,29),14.32,IF(G193&lt;DATE(2025,9,26),14.18,14.04)))),"异常：行权价格区间不符",IF(Q193&lt;&gt;"已备案","提示：未确认备案","正常")))))))</f>
        <v/>
      </c>
      <c r="AD193" s="11" t="n"/>
    </row>
    <row r="194">
      <c r="A194" s="11" t="n"/>
      <c r="B194" s="6">
        <f>IF(A194="","",A194&amp;"-TAX")</f>
        <v/>
      </c>
      <c r="C194" s="11" t="n"/>
      <c r="D194" s="11" t="n"/>
      <c r="E194" s="11" t="n"/>
      <c r="F194" s="11" t="n"/>
      <c r="G194" s="12" t="n"/>
      <c r="H194" s="6">
        <f>IF(G194="","",YEAR(G194))</f>
        <v/>
      </c>
      <c r="I194" s="11" t="n"/>
      <c r="J194" s="13" t="n"/>
      <c r="K194" s="14">
        <f>IF(F194="股票期权",IF(G194="","",IF(G194&lt;DATE(2025,1,10),14.56,IF(G194&lt;DATE(2025,4,29),14.32,IF(G194&lt;DATE(2025,9,26),14.18,14.04)))),IF(F194="限制性股票",8.68,""))</f>
        <v/>
      </c>
      <c r="L194" s="14">
        <f>IF(F194="限制性股票",13.06,"")</f>
        <v/>
      </c>
      <c r="M194" s="11" t="n"/>
      <c r="N194" s="13" t="n"/>
      <c r="O194" s="13" t="n"/>
      <c r="P194" s="12" t="n"/>
      <c r="Q194" s="11" t="n"/>
      <c r="R194" s="12" t="n"/>
      <c r="S194" s="14">
        <f>IF(OR(A194="",C194="",F194="",G194="",I194="",J194=""),"",IF(F194="股票期权",MAX(0,(J194-K194)*I194),IF(F194="限制性股票",IF(OR(L194="",M194="",M194&lt;=0,N194=""),"",MAX(0,((L194+J194)/2)*I194-N194*I194/M194)),MAX(0,O194))))</f>
        <v/>
      </c>
      <c r="T194" s="14">
        <f>IF(S194="","",SUMIFS($S$2:$S$501,$C$2:$C$501,C194,$H$2:$H$501,H194,$G$2:$G$501,"&lt;"&amp;G194)+SUMIFS($S$2:$S$501,$C$2:$C$501,C194,$H$2:$H$501,H194,$G$2:$G$501,G194,$A$2:$A$501,"&lt;"&amp;A194))</f>
        <v/>
      </c>
      <c r="U194" s="14">
        <f>IF(S194="","",T194+S194)</f>
        <v/>
      </c>
      <c r="V194" s="15">
        <f>IF(U194="","",VLOOKUP(U194,'税率及规则'!$A$2:$C$8,2,TRUE))</f>
        <v/>
      </c>
      <c r="W194" s="14">
        <f>IF(U194="","",VLOOKUP(U194,'税率及规则'!$A$2:$C$8,3,TRUE))</f>
        <v/>
      </c>
      <c r="X194" s="14">
        <f>IF(U194="","",MAX(0,U194*V194-W194))</f>
        <v/>
      </c>
      <c r="Y194" s="14">
        <f>IF(T194="","",MAX(0,T194*VLOOKUP(T194,'税率及规则'!$A$2:$C$8,2,TRUE)-VLOOKUP(T194,'税率及规则'!$A$2:$C$8,3,TRUE)))</f>
        <v/>
      </c>
      <c r="Z194" s="14">
        <f>IF(X194="","",MAX(0,X194-Y194))</f>
        <v/>
      </c>
      <c r="AA194" s="16">
        <f>IF(G194="","",G194)</f>
        <v/>
      </c>
      <c r="AB194" s="16">
        <f>IF(AA194="","",EDATE(AA194,36))</f>
        <v/>
      </c>
      <c r="AC194" s="6">
        <f>IF(A194="","",IF(COUNTIF($A$2:$A$501,A194)&gt;1,"异常：事件编号重复",IF(OR(C194="",D194="",E194="",F194="",G194="",I194="",J194=""),"异常：必填项缺失",IF(OR(I194&lt;=0,J194&lt;0),"异常：数量或价格无效",IF(AND(F194="限制性股票",OR(M194&lt;=0,N194&lt;0,I194&gt;M194)),"异常：个人获授或出资数据无效",IF(AND(F194="股票期权",K194&lt;&gt;IF(G194&lt;DATE(2025,1,10),14.56,IF(G194&lt;DATE(2025,4,29),14.32,IF(G194&lt;DATE(2025,9,26),14.18,14.04)))),"异常：行权价格区间不符",IF(Q194&lt;&gt;"已备案","提示：未确认备案","正常")))))))</f>
        <v/>
      </c>
      <c r="AD194" s="11" t="n"/>
    </row>
    <row r="195">
      <c r="A195" s="11" t="n"/>
      <c r="B195" s="6">
        <f>IF(A195="","",A195&amp;"-TAX")</f>
        <v/>
      </c>
      <c r="C195" s="11" t="n"/>
      <c r="D195" s="11" t="n"/>
      <c r="E195" s="11" t="n"/>
      <c r="F195" s="11" t="n"/>
      <c r="G195" s="12" t="n"/>
      <c r="H195" s="6">
        <f>IF(G195="","",YEAR(G195))</f>
        <v/>
      </c>
      <c r="I195" s="11" t="n"/>
      <c r="J195" s="13" t="n"/>
      <c r="K195" s="14">
        <f>IF(F195="股票期权",IF(G195="","",IF(G195&lt;DATE(2025,1,10),14.56,IF(G195&lt;DATE(2025,4,29),14.32,IF(G195&lt;DATE(2025,9,26),14.18,14.04)))),IF(F195="限制性股票",8.68,""))</f>
        <v/>
      </c>
      <c r="L195" s="14">
        <f>IF(F195="限制性股票",13.06,"")</f>
        <v/>
      </c>
      <c r="M195" s="11" t="n"/>
      <c r="N195" s="13" t="n"/>
      <c r="O195" s="13" t="n"/>
      <c r="P195" s="12" t="n"/>
      <c r="Q195" s="11" t="n"/>
      <c r="R195" s="12" t="n"/>
      <c r="S195" s="14">
        <f>IF(OR(A195="",C195="",F195="",G195="",I195="",J195=""),"",IF(F195="股票期权",MAX(0,(J195-K195)*I195),IF(F195="限制性股票",IF(OR(L195="",M195="",M195&lt;=0,N195=""),"",MAX(0,((L195+J195)/2)*I195-N195*I195/M195)),MAX(0,O195))))</f>
        <v/>
      </c>
      <c r="T195" s="14">
        <f>IF(S195="","",SUMIFS($S$2:$S$501,$C$2:$C$501,C195,$H$2:$H$501,H195,$G$2:$G$501,"&lt;"&amp;G195)+SUMIFS($S$2:$S$501,$C$2:$C$501,C195,$H$2:$H$501,H195,$G$2:$G$501,G195,$A$2:$A$501,"&lt;"&amp;A195))</f>
        <v/>
      </c>
      <c r="U195" s="14">
        <f>IF(S195="","",T195+S195)</f>
        <v/>
      </c>
      <c r="V195" s="15">
        <f>IF(U195="","",VLOOKUP(U195,'税率及规则'!$A$2:$C$8,2,TRUE))</f>
        <v/>
      </c>
      <c r="W195" s="14">
        <f>IF(U195="","",VLOOKUP(U195,'税率及规则'!$A$2:$C$8,3,TRUE))</f>
        <v/>
      </c>
      <c r="X195" s="14">
        <f>IF(U195="","",MAX(0,U195*V195-W195))</f>
        <v/>
      </c>
      <c r="Y195" s="14">
        <f>IF(T195="","",MAX(0,T195*VLOOKUP(T195,'税率及规则'!$A$2:$C$8,2,TRUE)-VLOOKUP(T195,'税率及规则'!$A$2:$C$8,3,TRUE)))</f>
        <v/>
      </c>
      <c r="Z195" s="14">
        <f>IF(X195="","",MAX(0,X195-Y195))</f>
        <v/>
      </c>
      <c r="AA195" s="16">
        <f>IF(G195="","",G195)</f>
        <v/>
      </c>
      <c r="AB195" s="16">
        <f>IF(AA195="","",EDATE(AA195,36))</f>
        <v/>
      </c>
      <c r="AC195" s="6">
        <f>IF(A195="","",IF(COUNTIF($A$2:$A$501,A195)&gt;1,"异常：事件编号重复",IF(OR(C195="",D195="",E195="",F195="",G195="",I195="",J195=""),"异常：必填项缺失",IF(OR(I195&lt;=0,J195&lt;0),"异常：数量或价格无效",IF(AND(F195="限制性股票",OR(M195&lt;=0,N195&lt;0,I195&gt;M195)),"异常：个人获授或出资数据无效",IF(AND(F195="股票期权",K195&lt;&gt;IF(G195&lt;DATE(2025,1,10),14.56,IF(G195&lt;DATE(2025,4,29),14.32,IF(G195&lt;DATE(2025,9,26),14.18,14.04)))),"异常：行权价格区间不符",IF(Q195&lt;&gt;"已备案","提示：未确认备案","正常")))))))</f>
        <v/>
      </c>
      <c r="AD195" s="11" t="n"/>
    </row>
    <row r="196">
      <c r="A196" s="11" t="n"/>
      <c r="B196" s="6">
        <f>IF(A196="","",A196&amp;"-TAX")</f>
        <v/>
      </c>
      <c r="C196" s="11" t="n"/>
      <c r="D196" s="11" t="n"/>
      <c r="E196" s="11" t="n"/>
      <c r="F196" s="11" t="n"/>
      <c r="G196" s="12" t="n"/>
      <c r="H196" s="6">
        <f>IF(G196="","",YEAR(G196))</f>
        <v/>
      </c>
      <c r="I196" s="11" t="n"/>
      <c r="J196" s="13" t="n"/>
      <c r="K196" s="14">
        <f>IF(F196="股票期权",IF(G196="","",IF(G196&lt;DATE(2025,1,10),14.56,IF(G196&lt;DATE(2025,4,29),14.32,IF(G196&lt;DATE(2025,9,26),14.18,14.04)))),IF(F196="限制性股票",8.68,""))</f>
        <v/>
      </c>
      <c r="L196" s="14">
        <f>IF(F196="限制性股票",13.06,"")</f>
        <v/>
      </c>
      <c r="M196" s="11" t="n"/>
      <c r="N196" s="13" t="n"/>
      <c r="O196" s="13" t="n"/>
      <c r="P196" s="12" t="n"/>
      <c r="Q196" s="11" t="n"/>
      <c r="R196" s="12" t="n"/>
      <c r="S196" s="14">
        <f>IF(OR(A196="",C196="",F196="",G196="",I196="",J196=""),"",IF(F196="股票期权",MAX(0,(J196-K196)*I196),IF(F196="限制性股票",IF(OR(L196="",M196="",M196&lt;=0,N196=""),"",MAX(0,((L196+J196)/2)*I196-N196*I196/M196)),MAX(0,O196))))</f>
        <v/>
      </c>
      <c r="T196" s="14">
        <f>IF(S196="","",SUMIFS($S$2:$S$501,$C$2:$C$501,C196,$H$2:$H$501,H196,$G$2:$G$501,"&lt;"&amp;G196)+SUMIFS($S$2:$S$501,$C$2:$C$501,C196,$H$2:$H$501,H196,$G$2:$G$501,G196,$A$2:$A$501,"&lt;"&amp;A196))</f>
        <v/>
      </c>
      <c r="U196" s="14">
        <f>IF(S196="","",T196+S196)</f>
        <v/>
      </c>
      <c r="V196" s="15">
        <f>IF(U196="","",VLOOKUP(U196,'税率及规则'!$A$2:$C$8,2,TRUE))</f>
        <v/>
      </c>
      <c r="W196" s="14">
        <f>IF(U196="","",VLOOKUP(U196,'税率及规则'!$A$2:$C$8,3,TRUE))</f>
        <v/>
      </c>
      <c r="X196" s="14">
        <f>IF(U196="","",MAX(0,U196*V196-W196))</f>
        <v/>
      </c>
      <c r="Y196" s="14">
        <f>IF(T196="","",MAX(0,T196*VLOOKUP(T196,'税率及规则'!$A$2:$C$8,2,TRUE)-VLOOKUP(T196,'税率及规则'!$A$2:$C$8,3,TRUE)))</f>
        <v/>
      </c>
      <c r="Z196" s="14">
        <f>IF(X196="","",MAX(0,X196-Y196))</f>
        <v/>
      </c>
      <c r="AA196" s="16">
        <f>IF(G196="","",G196)</f>
        <v/>
      </c>
      <c r="AB196" s="16">
        <f>IF(AA196="","",EDATE(AA196,36))</f>
        <v/>
      </c>
      <c r="AC196" s="6">
        <f>IF(A196="","",IF(COUNTIF($A$2:$A$501,A196)&gt;1,"异常：事件编号重复",IF(OR(C196="",D196="",E196="",F196="",G196="",I196="",J196=""),"异常：必填项缺失",IF(OR(I196&lt;=0,J196&lt;0),"异常：数量或价格无效",IF(AND(F196="限制性股票",OR(M196&lt;=0,N196&lt;0,I196&gt;M196)),"异常：个人获授或出资数据无效",IF(AND(F196="股票期权",K196&lt;&gt;IF(G196&lt;DATE(2025,1,10),14.56,IF(G196&lt;DATE(2025,4,29),14.32,IF(G196&lt;DATE(2025,9,26),14.18,14.04)))),"异常：行权价格区间不符",IF(Q196&lt;&gt;"已备案","提示：未确认备案","正常")))))))</f>
        <v/>
      </c>
      <c r="AD196" s="11" t="n"/>
    </row>
    <row r="197">
      <c r="A197" s="11" t="n"/>
      <c r="B197" s="6">
        <f>IF(A197="","",A197&amp;"-TAX")</f>
        <v/>
      </c>
      <c r="C197" s="11" t="n"/>
      <c r="D197" s="11" t="n"/>
      <c r="E197" s="11" t="n"/>
      <c r="F197" s="11" t="n"/>
      <c r="G197" s="12" t="n"/>
      <c r="H197" s="6">
        <f>IF(G197="","",YEAR(G197))</f>
        <v/>
      </c>
      <c r="I197" s="11" t="n"/>
      <c r="J197" s="13" t="n"/>
      <c r="K197" s="14">
        <f>IF(F197="股票期权",IF(G197="","",IF(G197&lt;DATE(2025,1,10),14.56,IF(G197&lt;DATE(2025,4,29),14.32,IF(G197&lt;DATE(2025,9,26),14.18,14.04)))),IF(F197="限制性股票",8.68,""))</f>
        <v/>
      </c>
      <c r="L197" s="14">
        <f>IF(F197="限制性股票",13.06,"")</f>
        <v/>
      </c>
      <c r="M197" s="11" t="n"/>
      <c r="N197" s="13" t="n"/>
      <c r="O197" s="13" t="n"/>
      <c r="P197" s="12" t="n"/>
      <c r="Q197" s="11" t="n"/>
      <c r="R197" s="12" t="n"/>
      <c r="S197" s="14">
        <f>IF(OR(A197="",C197="",F197="",G197="",I197="",J197=""),"",IF(F197="股票期权",MAX(0,(J197-K197)*I197),IF(F197="限制性股票",IF(OR(L197="",M197="",M197&lt;=0,N197=""),"",MAX(0,((L197+J197)/2)*I197-N197*I197/M197)),MAX(0,O197))))</f>
        <v/>
      </c>
      <c r="T197" s="14">
        <f>IF(S197="","",SUMIFS($S$2:$S$501,$C$2:$C$501,C197,$H$2:$H$501,H197,$G$2:$G$501,"&lt;"&amp;G197)+SUMIFS($S$2:$S$501,$C$2:$C$501,C197,$H$2:$H$501,H197,$G$2:$G$501,G197,$A$2:$A$501,"&lt;"&amp;A197))</f>
        <v/>
      </c>
      <c r="U197" s="14">
        <f>IF(S197="","",T197+S197)</f>
        <v/>
      </c>
      <c r="V197" s="15">
        <f>IF(U197="","",VLOOKUP(U197,'税率及规则'!$A$2:$C$8,2,TRUE))</f>
        <v/>
      </c>
      <c r="W197" s="14">
        <f>IF(U197="","",VLOOKUP(U197,'税率及规则'!$A$2:$C$8,3,TRUE))</f>
        <v/>
      </c>
      <c r="X197" s="14">
        <f>IF(U197="","",MAX(0,U197*V197-W197))</f>
        <v/>
      </c>
      <c r="Y197" s="14">
        <f>IF(T197="","",MAX(0,T197*VLOOKUP(T197,'税率及规则'!$A$2:$C$8,2,TRUE)-VLOOKUP(T197,'税率及规则'!$A$2:$C$8,3,TRUE)))</f>
        <v/>
      </c>
      <c r="Z197" s="14">
        <f>IF(X197="","",MAX(0,X197-Y197))</f>
        <v/>
      </c>
      <c r="AA197" s="16">
        <f>IF(G197="","",G197)</f>
        <v/>
      </c>
      <c r="AB197" s="16">
        <f>IF(AA197="","",EDATE(AA197,36))</f>
        <v/>
      </c>
      <c r="AC197" s="6">
        <f>IF(A197="","",IF(COUNTIF($A$2:$A$501,A197)&gt;1,"异常：事件编号重复",IF(OR(C197="",D197="",E197="",F197="",G197="",I197="",J197=""),"异常：必填项缺失",IF(OR(I197&lt;=0,J197&lt;0),"异常：数量或价格无效",IF(AND(F197="限制性股票",OR(M197&lt;=0,N197&lt;0,I197&gt;M197)),"异常：个人获授或出资数据无效",IF(AND(F197="股票期权",K197&lt;&gt;IF(G197&lt;DATE(2025,1,10),14.56,IF(G197&lt;DATE(2025,4,29),14.32,IF(G197&lt;DATE(2025,9,26),14.18,14.04)))),"异常：行权价格区间不符",IF(Q197&lt;&gt;"已备案","提示：未确认备案","正常")))))))</f>
        <v/>
      </c>
      <c r="AD197" s="11" t="n"/>
    </row>
    <row r="198">
      <c r="A198" s="11" t="n"/>
      <c r="B198" s="6">
        <f>IF(A198="","",A198&amp;"-TAX")</f>
        <v/>
      </c>
      <c r="C198" s="11" t="n"/>
      <c r="D198" s="11" t="n"/>
      <c r="E198" s="11" t="n"/>
      <c r="F198" s="11" t="n"/>
      <c r="G198" s="12" t="n"/>
      <c r="H198" s="6">
        <f>IF(G198="","",YEAR(G198))</f>
        <v/>
      </c>
      <c r="I198" s="11" t="n"/>
      <c r="J198" s="13" t="n"/>
      <c r="K198" s="14">
        <f>IF(F198="股票期权",IF(G198="","",IF(G198&lt;DATE(2025,1,10),14.56,IF(G198&lt;DATE(2025,4,29),14.32,IF(G198&lt;DATE(2025,9,26),14.18,14.04)))),IF(F198="限制性股票",8.68,""))</f>
        <v/>
      </c>
      <c r="L198" s="14">
        <f>IF(F198="限制性股票",13.06,"")</f>
        <v/>
      </c>
      <c r="M198" s="11" t="n"/>
      <c r="N198" s="13" t="n"/>
      <c r="O198" s="13" t="n"/>
      <c r="P198" s="12" t="n"/>
      <c r="Q198" s="11" t="n"/>
      <c r="R198" s="12" t="n"/>
      <c r="S198" s="14">
        <f>IF(OR(A198="",C198="",F198="",G198="",I198="",J198=""),"",IF(F198="股票期权",MAX(0,(J198-K198)*I198),IF(F198="限制性股票",IF(OR(L198="",M198="",M198&lt;=0,N198=""),"",MAX(0,((L198+J198)/2)*I198-N198*I198/M198)),MAX(0,O198))))</f>
        <v/>
      </c>
      <c r="T198" s="14">
        <f>IF(S198="","",SUMIFS($S$2:$S$501,$C$2:$C$501,C198,$H$2:$H$501,H198,$G$2:$G$501,"&lt;"&amp;G198)+SUMIFS($S$2:$S$501,$C$2:$C$501,C198,$H$2:$H$501,H198,$G$2:$G$501,G198,$A$2:$A$501,"&lt;"&amp;A198))</f>
        <v/>
      </c>
      <c r="U198" s="14">
        <f>IF(S198="","",T198+S198)</f>
        <v/>
      </c>
      <c r="V198" s="15">
        <f>IF(U198="","",VLOOKUP(U198,'税率及规则'!$A$2:$C$8,2,TRUE))</f>
        <v/>
      </c>
      <c r="W198" s="14">
        <f>IF(U198="","",VLOOKUP(U198,'税率及规则'!$A$2:$C$8,3,TRUE))</f>
        <v/>
      </c>
      <c r="X198" s="14">
        <f>IF(U198="","",MAX(0,U198*V198-W198))</f>
        <v/>
      </c>
      <c r="Y198" s="14">
        <f>IF(T198="","",MAX(0,T198*VLOOKUP(T198,'税率及规则'!$A$2:$C$8,2,TRUE)-VLOOKUP(T198,'税率及规则'!$A$2:$C$8,3,TRUE)))</f>
        <v/>
      </c>
      <c r="Z198" s="14">
        <f>IF(X198="","",MAX(0,X198-Y198))</f>
        <v/>
      </c>
      <c r="AA198" s="16">
        <f>IF(G198="","",G198)</f>
        <v/>
      </c>
      <c r="AB198" s="16">
        <f>IF(AA198="","",EDATE(AA198,36))</f>
        <v/>
      </c>
      <c r="AC198" s="6">
        <f>IF(A198="","",IF(COUNTIF($A$2:$A$501,A198)&gt;1,"异常：事件编号重复",IF(OR(C198="",D198="",E198="",F198="",G198="",I198="",J198=""),"异常：必填项缺失",IF(OR(I198&lt;=0,J198&lt;0),"异常：数量或价格无效",IF(AND(F198="限制性股票",OR(M198&lt;=0,N198&lt;0,I198&gt;M198)),"异常：个人获授或出资数据无效",IF(AND(F198="股票期权",K198&lt;&gt;IF(G198&lt;DATE(2025,1,10),14.56,IF(G198&lt;DATE(2025,4,29),14.32,IF(G198&lt;DATE(2025,9,26),14.18,14.04)))),"异常：行权价格区间不符",IF(Q198&lt;&gt;"已备案","提示：未确认备案","正常")))))))</f>
        <v/>
      </c>
      <c r="AD198" s="11" t="n"/>
    </row>
    <row r="199">
      <c r="A199" s="11" t="n"/>
      <c r="B199" s="6">
        <f>IF(A199="","",A199&amp;"-TAX")</f>
        <v/>
      </c>
      <c r="C199" s="11" t="n"/>
      <c r="D199" s="11" t="n"/>
      <c r="E199" s="11" t="n"/>
      <c r="F199" s="11" t="n"/>
      <c r="G199" s="12" t="n"/>
      <c r="H199" s="6">
        <f>IF(G199="","",YEAR(G199))</f>
        <v/>
      </c>
      <c r="I199" s="11" t="n"/>
      <c r="J199" s="13" t="n"/>
      <c r="K199" s="14">
        <f>IF(F199="股票期权",IF(G199="","",IF(G199&lt;DATE(2025,1,10),14.56,IF(G199&lt;DATE(2025,4,29),14.32,IF(G199&lt;DATE(2025,9,26),14.18,14.04)))),IF(F199="限制性股票",8.68,""))</f>
        <v/>
      </c>
      <c r="L199" s="14">
        <f>IF(F199="限制性股票",13.06,"")</f>
        <v/>
      </c>
      <c r="M199" s="11" t="n"/>
      <c r="N199" s="13" t="n"/>
      <c r="O199" s="13" t="n"/>
      <c r="P199" s="12" t="n"/>
      <c r="Q199" s="11" t="n"/>
      <c r="R199" s="12" t="n"/>
      <c r="S199" s="14">
        <f>IF(OR(A199="",C199="",F199="",G199="",I199="",J199=""),"",IF(F199="股票期权",MAX(0,(J199-K199)*I199),IF(F199="限制性股票",IF(OR(L199="",M199="",M199&lt;=0,N199=""),"",MAX(0,((L199+J199)/2)*I199-N199*I199/M199)),MAX(0,O199))))</f>
        <v/>
      </c>
      <c r="T199" s="14">
        <f>IF(S199="","",SUMIFS($S$2:$S$501,$C$2:$C$501,C199,$H$2:$H$501,H199,$G$2:$G$501,"&lt;"&amp;G199)+SUMIFS($S$2:$S$501,$C$2:$C$501,C199,$H$2:$H$501,H199,$G$2:$G$501,G199,$A$2:$A$501,"&lt;"&amp;A199))</f>
        <v/>
      </c>
      <c r="U199" s="14">
        <f>IF(S199="","",T199+S199)</f>
        <v/>
      </c>
      <c r="V199" s="15">
        <f>IF(U199="","",VLOOKUP(U199,'税率及规则'!$A$2:$C$8,2,TRUE))</f>
        <v/>
      </c>
      <c r="W199" s="14">
        <f>IF(U199="","",VLOOKUP(U199,'税率及规则'!$A$2:$C$8,3,TRUE))</f>
        <v/>
      </c>
      <c r="X199" s="14">
        <f>IF(U199="","",MAX(0,U199*V199-W199))</f>
        <v/>
      </c>
      <c r="Y199" s="14">
        <f>IF(T199="","",MAX(0,T199*VLOOKUP(T199,'税率及规则'!$A$2:$C$8,2,TRUE)-VLOOKUP(T199,'税率及规则'!$A$2:$C$8,3,TRUE)))</f>
        <v/>
      </c>
      <c r="Z199" s="14">
        <f>IF(X199="","",MAX(0,X199-Y199))</f>
        <v/>
      </c>
      <c r="AA199" s="16">
        <f>IF(G199="","",G199)</f>
        <v/>
      </c>
      <c r="AB199" s="16">
        <f>IF(AA199="","",EDATE(AA199,36))</f>
        <v/>
      </c>
      <c r="AC199" s="6">
        <f>IF(A199="","",IF(COUNTIF($A$2:$A$501,A199)&gt;1,"异常：事件编号重复",IF(OR(C199="",D199="",E199="",F199="",G199="",I199="",J199=""),"异常：必填项缺失",IF(OR(I199&lt;=0,J199&lt;0),"异常：数量或价格无效",IF(AND(F199="限制性股票",OR(M199&lt;=0,N199&lt;0,I199&gt;M199)),"异常：个人获授或出资数据无效",IF(AND(F199="股票期权",K199&lt;&gt;IF(G199&lt;DATE(2025,1,10),14.56,IF(G199&lt;DATE(2025,4,29),14.32,IF(G199&lt;DATE(2025,9,26),14.18,14.04)))),"异常：行权价格区间不符",IF(Q199&lt;&gt;"已备案","提示：未确认备案","正常")))))))</f>
        <v/>
      </c>
      <c r="AD199" s="11" t="n"/>
    </row>
    <row r="200">
      <c r="A200" s="11" t="n"/>
      <c r="B200" s="6">
        <f>IF(A200="","",A200&amp;"-TAX")</f>
        <v/>
      </c>
      <c r="C200" s="11" t="n"/>
      <c r="D200" s="11" t="n"/>
      <c r="E200" s="11" t="n"/>
      <c r="F200" s="11" t="n"/>
      <c r="G200" s="12" t="n"/>
      <c r="H200" s="6">
        <f>IF(G200="","",YEAR(G200))</f>
        <v/>
      </c>
      <c r="I200" s="11" t="n"/>
      <c r="J200" s="13" t="n"/>
      <c r="K200" s="14">
        <f>IF(F200="股票期权",IF(G200="","",IF(G200&lt;DATE(2025,1,10),14.56,IF(G200&lt;DATE(2025,4,29),14.32,IF(G200&lt;DATE(2025,9,26),14.18,14.04)))),IF(F200="限制性股票",8.68,""))</f>
        <v/>
      </c>
      <c r="L200" s="14">
        <f>IF(F200="限制性股票",13.06,"")</f>
        <v/>
      </c>
      <c r="M200" s="11" t="n"/>
      <c r="N200" s="13" t="n"/>
      <c r="O200" s="13" t="n"/>
      <c r="P200" s="12" t="n"/>
      <c r="Q200" s="11" t="n"/>
      <c r="R200" s="12" t="n"/>
      <c r="S200" s="14">
        <f>IF(OR(A200="",C200="",F200="",G200="",I200="",J200=""),"",IF(F200="股票期权",MAX(0,(J200-K200)*I200),IF(F200="限制性股票",IF(OR(L200="",M200="",M200&lt;=0,N200=""),"",MAX(0,((L200+J200)/2)*I200-N200*I200/M200)),MAX(0,O200))))</f>
        <v/>
      </c>
      <c r="T200" s="14">
        <f>IF(S200="","",SUMIFS($S$2:$S$501,$C$2:$C$501,C200,$H$2:$H$501,H200,$G$2:$G$501,"&lt;"&amp;G200)+SUMIFS($S$2:$S$501,$C$2:$C$501,C200,$H$2:$H$501,H200,$G$2:$G$501,G200,$A$2:$A$501,"&lt;"&amp;A200))</f>
        <v/>
      </c>
      <c r="U200" s="14">
        <f>IF(S200="","",T200+S200)</f>
        <v/>
      </c>
      <c r="V200" s="15">
        <f>IF(U200="","",VLOOKUP(U200,'税率及规则'!$A$2:$C$8,2,TRUE))</f>
        <v/>
      </c>
      <c r="W200" s="14">
        <f>IF(U200="","",VLOOKUP(U200,'税率及规则'!$A$2:$C$8,3,TRUE))</f>
        <v/>
      </c>
      <c r="X200" s="14">
        <f>IF(U200="","",MAX(0,U200*V200-W200))</f>
        <v/>
      </c>
      <c r="Y200" s="14">
        <f>IF(T200="","",MAX(0,T200*VLOOKUP(T200,'税率及规则'!$A$2:$C$8,2,TRUE)-VLOOKUP(T200,'税率及规则'!$A$2:$C$8,3,TRUE)))</f>
        <v/>
      </c>
      <c r="Z200" s="14">
        <f>IF(X200="","",MAX(0,X200-Y200))</f>
        <v/>
      </c>
      <c r="AA200" s="16">
        <f>IF(G200="","",G200)</f>
        <v/>
      </c>
      <c r="AB200" s="16">
        <f>IF(AA200="","",EDATE(AA200,36))</f>
        <v/>
      </c>
      <c r="AC200" s="6">
        <f>IF(A200="","",IF(COUNTIF($A$2:$A$501,A200)&gt;1,"异常：事件编号重复",IF(OR(C200="",D200="",E200="",F200="",G200="",I200="",J200=""),"异常：必填项缺失",IF(OR(I200&lt;=0,J200&lt;0),"异常：数量或价格无效",IF(AND(F200="限制性股票",OR(M200&lt;=0,N200&lt;0,I200&gt;M200)),"异常：个人获授或出资数据无效",IF(AND(F200="股票期权",K200&lt;&gt;IF(G200&lt;DATE(2025,1,10),14.56,IF(G200&lt;DATE(2025,4,29),14.32,IF(G200&lt;DATE(2025,9,26),14.18,14.04)))),"异常：行权价格区间不符",IF(Q200&lt;&gt;"已备案","提示：未确认备案","正常")))))))</f>
        <v/>
      </c>
      <c r="AD200" s="11" t="n"/>
    </row>
    <row r="201">
      <c r="A201" s="11" t="n"/>
      <c r="B201" s="6">
        <f>IF(A201="","",A201&amp;"-TAX")</f>
        <v/>
      </c>
      <c r="C201" s="11" t="n"/>
      <c r="D201" s="11" t="n"/>
      <c r="E201" s="11" t="n"/>
      <c r="F201" s="11" t="n"/>
      <c r="G201" s="12" t="n"/>
      <c r="H201" s="6">
        <f>IF(G201="","",YEAR(G201))</f>
        <v/>
      </c>
      <c r="I201" s="11" t="n"/>
      <c r="J201" s="13" t="n"/>
      <c r="K201" s="14">
        <f>IF(F201="股票期权",IF(G201="","",IF(G201&lt;DATE(2025,1,10),14.56,IF(G201&lt;DATE(2025,4,29),14.32,IF(G201&lt;DATE(2025,9,26),14.18,14.04)))),IF(F201="限制性股票",8.68,""))</f>
        <v/>
      </c>
      <c r="L201" s="14">
        <f>IF(F201="限制性股票",13.06,"")</f>
        <v/>
      </c>
      <c r="M201" s="11" t="n"/>
      <c r="N201" s="13" t="n"/>
      <c r="O201" s="13" t="n"/>
      <c r="P201" s="12" t="n"/>
      <c r="Q201" s="11" t="n"/>
      <c r="R201" s="12" t="n"/>
      <c r="S201" s="14">
        <f>IF(OR(A201="",C201="",F201="",G201="",I201="",J201=""),"",IF(F201="股票期权",MAX(0,(J201-K201)*I201),IF(F201="限制性股票",IF(OR(L201="",M201="",M201&lt;=0,N201=""),"",MAX(0,((L201+J201)/2)*I201-N201*I201/M201)),MAX(0,O201))))</f>
        <v/>
      </c>
      <c r="T201" s="14">
        <f>IF(S201="","",SUMIFS($S$2:$S$501,$C$2:$C$501,C201,$H$2:$H$501,H201,$G$2:$G$501,"&lt;"&amp;G201)+SUMIFS($S$2:$S$501,$C$2:$C$501,C201,$H$2:$H$501,H201,$G$2:$G$501,G201,$A$2:$A$501,"&lt;"&amp;A201))</f>
        <v/>
      </c>
      <c r="U201" s="14">
        <f>IF(S201="","",T201+S201)</f>
        <v/>
      </c>
      <c r="V201" s="15">
        <f>IF(U201="","",VLOOKUP(U201,'税率及规则'!$A$2:$C$8,2,TRUE))</f>
        <v/>
      </c>
      <c r="W201" s="14">
        <f>IF(U201="","",VLOOKUP(U201,'税率及规则'!$A$2:$C$8,3,TRUE))</f>
        <v/>
      </c>
      <c r="X201" s="14">
        <f>IF(U201="","",MAX(0,U201*V201-W201))</f>
        <v/>
      </c>
      <c r="Y201" s="14">
        <f>IF(T201="","",MAX(0,T201*VLOOKUP(T201,'税率及规则'!$A$2:$C$8,2,TRUE)-VLOOKUP(T201,'税率及规则'!$A$2:$C$8,3,TRUE)))</f>
        <v/>
      </c>
      <c r="Z201" s="14">
        <f>IF(X201="","",MAX(0,X201-Y201))</f>
        <v/>
      </c>
      <c r="AA201" s="16">
        <f>IF(G201="","",G201)</f>
        <v/>
      </c>
      <c r="AB201" s="16">
        <f>IF(AA201="","",EDATE(AA201,36))</f>
        <v/>
      </c>
      <c r="AC201" s="6">
        <f>IF(A201="","",IF(COUNTIF($A$2:$A$501,A201)&gt;1,"异常：事件编号重复",IF(OR(C201="",D201="",E201="",F201="",G201="",I201="",J201=""),"异常：必填项缺失",IF(OR(I201&lt;=0,J201&lt;0),"异常：数量或价格无效",IF(AND(F201="限制性股票",OR(M201&lt;=0,N201&lt;0,I201&gt;M201)),"异常：个人获授或出资数据无效",IF(AND(F201="股票期权",K201&lt;&gt;IF(G201&lt;DATE(2025,1,10),14.56,IF(G201&lt;DATE(2025,4,29),14.32,IF(G201&lt;DATE(2025,9,26),14.18,14.04)))),"异常：行权价格区间不符",IF(Q201&lt;&gt;"已备案","提示：未确认备案","正常")))))))</f>
        <v/>
      </c>
      <c r="AD201" s="11" t="n"/>
    </row>
    <row r="202">
      <c r="A202" s="11" t="n"/>
      <c r="B202" s="6">
        <f>IF(A202="","",A202&amp;"-TAX")</f>
        <v/>
      </c>
      <c r="C202" s="11" t="n"/>
      <c r="D202" s="11" t="n"/>
      <c r="E202" s="11" t="n"/>
      <c r="F202" s="11" t="n"/>
      <c r="G202" s="12" t="n"/>
      <c r="H202" s="6">
        <f>IF(G202="","",YEAR(G202))</f>
        <v/>
      </c>
      <c r="I202" s="11" t="n"/>
      <c r="J202" s="13" t="n"/>
      <c r="K202" s="14">
        <f>IF(F202="股票期权",IF(G202="","",IF(G202&lt;DATE(2025,1,10),14.56,IF(G202&lt;DATE(2025,4,29),14.32,IF(G202&lt;DATE(2025,9,26),14.18,14.04)))),IF(F202="限制性股票",8.68,""))</f>
        <v/>
      </c>
      <c r="L202" s="14">
        <f>IF(F202="限制性股票",13.06,"")</f>
        <v/>
      </c>
      <c r="M202" s="11" t="n"/>
      <c r="N202" s="13" t="n"/>
      <c r="O202" s="13" t="n"/>
      <c r="P202" s="12" t="n"/>
      <c r="Q202" s="11" t="n"/>
      <c r="R202" s="12" t="n"/>
      <c r="S202" s="14">
        <f>IF(OR(A202="",C202="",F202="",G202="",I202="",J202=""),"",IF(F202="股票期权",MAX(0,(J202-K202)*I202),IF(F202="限制性股票",IF(OR(L202="",M202="",M202&lt;=0,N202=""),"",MAX(0,((L202+J202)/2)*I202-N202*I202/M202)),MAX(0,O202))))</f>
        <v/>
      </c>
      <c r="T202" s="14">
        <f>IF(S202="","",SUMIFS($S$2:$S$501,$C$2:$C$501,C202,$H$2:$H$501,H202,$G$2:$G$501,"&lt;"&amp;G202)+SUMIFS($S$2:$S$501,$C$2:$C$501,C202,$H$2:$H$501,H202,$G$2:$G$501,G202,$A$2:$A$501,"&lt;"&amp;A202))</f>
        <v/>
      </c>
      <c r="U202" s="14">
        <f>IF(S202="","",T202+S202)</f>
        <v/>
      </c>
      <c r="V202" s="15">
        <f>IF(U202="","",VLOOKUP(U202,'税率及规则'!$A$2:$C$8,2,TRUE))</f>
        <v/>
      </c>
      <c r="W202" s="14">
        <f>IF(U202="","",VLOOKUP(U202,'税率及规则'!$A$2:$C$8,3,TRUE))</f>
        <v/>
      </c>
      <c r="X202" s="14">
        <f>IF(U202="","",MAX(0,U202*V202-W202))</f>
        <v/>
      </c>
      <c r="Y202" s="14">
        <f>IF(T202="","",MAX(0,T202*VLOOKUP(T202,'税率及规则'!$A$2:$C$8,2,TRUE)-VLOOKUP(T202,'税率及规则'!$A$2:$C$8,3,TRUE)))</f>
        <v/>
      </c>
      <c r="Z202" s="14">
        <f>IF(X202="","",MAX(0,X202-Y202))</f>
        <v/>
      </c>
      <c r="AA202" s="16">
        <f>IF(G202="","",G202)</f>
        <v/>
      </c>
      <c r="AB202" s="16">
        <f>IF(AA202="","",EDATE(AA202,36))</f>
        <v/>
      </c>
      <c r="AC202" s="6">
        <f>IF(A202="","",IF(COUNTIF($A$2:$A$501,A202)&gt;1,"异常：事件编号重复",IF(OR(C202="",D202="",E202="",F202="",G202="",I202="",J202=""),"异常：必填项缺失",IF(OR(I202&lt;=0,J202&lt;0),"异常：数量或价格无效",IF(AND(F202="限制性股票",OR(M202&lt;=0,N202&lt;0,I202&gt;M202)),"异常：个人获授或出资数据无效",IF(AND(F202="股票期权",K202&lt;&gt;IF(G202&lt;DATE(2025,1,10),14.56,IF(G202&lt;DATE(2025,4,29),14.32,IF(G202&lt;DATE(2025,9,26),14.18,14.04)))),"异常：行权价格区间不符",IF(Q202&lt;&gt;"已备案","提示：未确认备案","正常")))))))</f>
        <v/>
      </c>
      <c r="AD202" s="11" t="n"/>
    </row>
    <row r="203">
      <c r="A203" s="11" t="n"/>
      <c r="B203" s="6">
        <f>IF(A203="","",A203&amp;"-TAX")</f>
        <v/>
      </c>
      <c r="C203" s="11" t="n"/>
      <c r="D203" s="11" t="n"/>
      <c r="E203" s="11" t="n"/>
      <c r="F203" s="11" t="n"/>
      <c r="G203" s="12" t="n"/>
      <c r="H203" s="6">
        <f>IF(G203="","",YEAR(G203))</f>
        <v/>
      </c>
      <c r="I203" s="11" t="n"/>
      <c r="J203" s="13" t="n"/>
      <c r="K203" s="14">
        <f>IF(F203="股票期权",IF(G203="","",IF(G203&lt;DATE(2025,1,10),14.56,IF(G203&lt;DATE(2025,4,29),14.32,IF(G203&lt;DATE(2025,9,26),14.18,14.04)))),IF(F203="限制性股票",8.68,""))</f>
        <v/>
      </c>
      <c r="L203" s="14">
        <f>IF(F203="限制性股票",13.06,"")</f>
        <v/>
      </c>
      <c r="M203" s="11" t="n"/>
      <c r="N203" s="13" t="n"/>
      <c r="O203" s="13" t="n"/>
      <c r="P203" s="12" t="n"/>
      <c r="Q203" s="11" t="n"/>
      <c r="R203" s="12" t="n"/>
      <c r="S203" s="14">
        <f>IF(OR(A203="",C203="",F203="",G203="",I203="",J203=""),"",IF(F203="股票期权",MAX(0,(J203-K203)*I203),IF(F203="限制性股票",IF(OR(L203="",M203="",M203&lt;=0,N203=""),"",MAX(0,((L203+J203)/2)*I203-N203*I203/M203)),MAX(0,O203))))</f>
        <v/>
      </c>
      <c r="T203" s="14">
        <f>IF(S203="","",SUMIFS($S$2:$S$501,$C$2:$C$501,C203,$H$2:$H$501,H203,$G$2:$G$501,"&lt;"&amp;G203)+SUMIFS($S$2:$S$501,$C$2:$C$501,C203,$H$2:$H$501,H203,$G$2:$G$501,G203,$A$2:$A$501,"&lt;"&amp;A203))</f>
        <v/>
      </c>
      <c r="U203" s="14">
        <f>IF(S203="","",T203+S203)</f>
        <v/>
      </c>
      <c r="V203" s="15">
        <f>IF(U203="","",VLOOKUP(U203,'税率及规则'!$A$2:$C$8,2,TRUE))</f>
        <v/>
      </c>
      <c r="W203" s="14">
        <f>IF(U203="","",VLOOKUP(U203,'税率及规则'!$A$2:$C$8,3,TRUE))</f>
        <v/>
      </c>
      <c r="X203" s="14">
        <f>IF(U203="","",MAX(0,U203*V203-W203))</f>
        <v/>
      </c>
      <c r="Y203" s="14">
        <f>IF(T203="","",MAX(0,T203*VLOOKUP(T203,'税率及规则'!$A$2:$C$8,2,TRUE)-VLOOKUP(T203,'税率及规则'!$A$2:$C$8,3,TRUE)))</f>
        <v/>
      </c>
      <c r="Z203" s="14">
        <f>IF(X203="","",MAX(0,X203-Y203))</f>
        <v/>
      </c>
      <c r="AA203" s="16">
        <f>IF(G203="","",G203)</f>
        <v/>
      </c>
      <c r="AB203" s="16">
        <f>IF(AA203="","",EDATE(AA203,36))</f>
        <v/>
      </c>
      <c r="AC203" s="6">
        <f>IF(A203="","",IF(COUNTIF($A$2:$A$501,A203)&gt;1,"异常：事件编号重复",IF(OR(C203="",D203="",E203="",F203="",G203="",I203="",J203=""),"异常：必填项缺失",IF(OR(I203&lt;=0,J203&lt;0),"异常：数量或价格无效",IF(AND(F203="限制性股票",OR(M203&lt;=0,N203&lt;0,I203&gt;M203)),"异常：个人获授或出资数据无效",IF(AND(F203="股票期权",K203&lt;&gt;IF(G203&lt;DATE(2025,1,10),14.56,IF(G203&lt;DATE(2025,4,29),14.32,IF(G203&lt;DATE(2025,9,26),14.18,14.04)))),"异常：行权价格区间不符",IF(Q203&lt;&gt;"已备案","提示：未确认备案","正常")))))))</f>
        <v/>
      </c>
      <c r="AD203" s="11" t="n"/>
    </row>
    <row r="204">
      <c r="A204" s="11" t="n"/>
      <c r="B204" s="6">
        <f>IF(A204="","",A204&amp;"-TAX")</f>
        <v/>
      </c>
      <c r="C204" s="11" t="n"/>
      <c r="D204" s="11" t="n"/>
      <c r="E204" s="11" t="n"/>
      <c r="F204" s="11" t="n"/>
      <c r="G204" s="12" t="n"/>
      <c r="H204" s="6">
        <f>IF(G204="","",YEAR(G204))</f>
        <v/>
      </c>
      <c r="I204" s="11" t="n"/>
      <c r="J204" s="13" t="n"/>
      <c r="K204" s="14">
        <f>IF(F204="股票期权",IF(G204="","",IF(G204&lt;DATE(2025,1,10),14.56,IF(G204&lt;DATE(2025,4,29),14.32,IF(G204&lt;DATE(2025,9,26),14.18,14.04)))),IF(F204="限制性股票",8.68,""))</f>
        <v/>
      </c>
      <c r="L204" s="14">
        <f>IF(F204="限制性股票",13.06,"")</f>
        <v/>
      </c>
      <c r="M204" s="11" t="n"/>
      <c r="N204" s="13" t="n"/>
      <c r="O204" s="13" t="n"/>
      <c r="P204" s="12" t="n"/>
      <c r="Q204" s="11" t="n"/>
      <c r="R204" s="12" t="n"/>
      <c r="S204" s="14">
        <f>IF(OR(A204="",C204="",F204="",G204="",I204="",J204=""),"",IF(F204="股票期权",MAX(0,(J204-K204)*I204),IF(F204="限制性股票",IF(OR(L204="",M204="",M204&lt;=0,N204=""),"",MAX(0,((L204+J204)/2)*I204-N204*I204/M204)),MAX(0,O204))))</f>
        <v/>
      </c>
      <c r="T204" s="14">
        <f>IF(S204="","",SUMIFS($S$2:$S$501,$C$2:$C$501,C204,$H$2:$H$501,H204,$G$2:$G$501,"&lt;"&amp;G204)+SUMIFS($S$2:$S$501,$C$2:$C$501,C204,$H$2:$H$501,H204,$G$2:$G$501,G204,$A$2:$A$501,"&lt;"&amp;A204))</f>
        <v/>
      </c>
      <c r="U204" s="14">
        <f>IF(S204="","",T204+S204)</f>
        <v/>
      </c>
      <c r="V204" s="15">
        <f>IF(U204="","",VLOOKUP(U204,'税率及规则'!$A$2:$C$8,2,TRUE))</f>
        <v/>
      </c>
      <c r="W204" s="14">
        <f>IF(U204="","",VLOOKUP(U204,'税率及规则'!$A$2:$C$8,3,TRUE))</f>
        <v/>
      </c>
      <c r="X204" s="14">
        <f>IF(U204="","",MAX(0,U204*V204-W204))</f>
        <v/>
      </c>
      <c r="Y204" s="14">
        <f>IF(T204="","",MAX(0,T204*VLOOKUP(T204,'税率及规则'!$A$2:$C$8,2,TRUE)-VLOOKUP(T204,'税率及规则'!$A$2:$C$8,3,TRUE)))</f>
        <v/>
      </c>
      <c r="Z204" s="14">
        <f>IF(X204="","",MAX(0,X204-Y204))</f>
        <v/>
      </c>
      <c r="AA204" s="16">
        <f>IF(G204="","",G204)</f>
        <v/>
      </c>
      <c r="AB204" s="16">
        <f>IF(AA204="","",EDATE(AA204,36))</f>
        <v/>
      </c>
      <c r="AC204" s="6">
        <f>IF(A204="","",IF(COUNTIF($A$2:$A$501,A204)&gt;1,"异常：事件编号重复",IF(OR(C204="",D204="",E204="",F204="",G204="",I204="",J204=""),"异常：必填项缺失",IF(OR(I204&lt;=0,J204&lt;0),"异常：数量或价格无效",IF(AND(F204="限制性股票",OR(M204&lt;=0,N204&lt;0,I204&gt;M204)),"异常：个人获授或出资数据无效",IF(AND(F204="股票期权",K204&lt;&gt;IF(G204&lt;DATE(2025,1,10),14.56,IF(G204&lt;DATE(2025,4,29),14.32,IF(G204&lt;DATE(2025,9,26),14.18,14.04)))),"异常：行权价格区间不符",IF(Q204&lt;&gt;"已备案","提示：未确认备案","正常")))))))</f>
        <v/>
      </c>
      <c r="AD204" s="11" t="n"/>
    </row>
    <row r="205">
      <c r="A205" s="11" t="n"/>
      <c r="B205" s="6">
        <f>IF(A205="","",A205&amp;"-TAX")</f>
        <v/>
      </c>
      <c r="C205" s="11" t="n"/>
      <c r="D205" s="11" t="n"/>
      <c r="E205" s="11" t="n"/>
      <c r="F205" s="11" t="n"/>
      <c r="G205" s="12" t="n"/>
      <c r="H205" s="6">
        <f>IF(G205="","",YEAR(G205))</f>
        <v/>
      </c>
      <c r="I205" s="11" t="n"/>
      <c r="J205" s="13" t="n"/>
      <c r="K205" s="14">
        <f>IF(F205="股票期权",IF(G205="","",IF(G205&lt;DATE(2025,1,10),14.56,IF(G205&lt;DATE(2025,4,29),14.32,IF(G205&lt;DATE(2025,9,26),14.18,14.04)))),IF(F205="限制性股票",8.68,""))</f>
        <v/>
      </c>
      <c r="L205" s="14">
        <f>IF(F205="限制性股票",13.06,"")</f>
        <v/>
      </c>
      <c r="M205" s="11" t="n"/>
      <c r="N205" s="13" t="n"/>
      <c r="O205" s="13" t="n"/>
      <c r="P205" s="12" t="n"/>
      <c r="Q205" s="11" t="n"/>
      <c r="R205" s="12" t="n"/>
      <c r="S205" s="14">
        <f>IF(OR(A205="",C205="",F205="",G205="",I205="",J205=""),"",IF(F205="股票期权",MAX(0,(J205-K205)*I205),IF(F205="限制性股票",IF(OR(L205="",M205="",M205&lt;=0,N205=""),"",MAX(0,((L205+J205)/2)*I205-N205*I205/M205)),MAX(0,O205))))</f>
        <v/>
      </c>
      <c r="T205" s="14">
        <f>IF(S205="","",SUMIFS($S$2:$S$501,$C$2:$C$501,C205,$H$2:$H$501,H205,$G$2:$G$501,"&lt;"&amp;G205)+SUMIFS($S$2:$S$501,$C$2:$C$501,C205,$H$2:$H$501,H205,$G$2:$G$501,G205,$A$2:$A$501,"&lt;"&amp;A205))</f>
        <v/>
      </c>
      <c r="U205" s="14">
        <f>IF(S205="","",T205+S205)</f>
        <v/>
      </c>
      <c r="V205" s="15">
        <f>IF(U205="","",VLOOKUP(U205,'税率及规则'!$A$2:$C$8,2,TRUE))</f>
        <v/>
      </c>
      <c r="W205" s="14">
        <f>IF(U205="","",VLOOKUP(U205,'税率及规则'!$A$2:$C$8,3,TRUE))</f>
        <v/>
      </c>
      <c r="X205" s="14">
        <f>IF(U205="","",MAX(0,U205*V205-W205))</f>
        <v/>
      </c>
      <c r="Y205" s="14">
        <f>IF(T205="","",MAX(0,T205*VLOOKUP(T205,'税率及规则'!$A$2:$C$8,2,TRUE)-VLOOKUP(T205,'税率及规则'!$A$2:$C$8,3,TRUE)))</f>
        <v/>
      </c>
      <c r="Z205" s="14">
        <f>IF(X205="","",MAX(0,X205-Y205))</f>
        <v/>
      </c>
      <c r="AA205" s="16">
        <f>IF(G205="","",G205)</f>
        <v/>
      </c>
      <c r="AB205" s="16">
        <f>IF(AA205="","",EDATE(AA205,36))</f>
        <v/>
      </c>
      <c r="AC205" s="6">
        <f>IF(A205="","",IF(COUNTIF($A$2:$A$501,A205)&gt;1,"异常：事件编号重复",IF(OR(C205="",D205="",E205="",F205="",G205="",I205="",J205=""),"异常：必填项缺失",IF(OR(I205&lt;=0,J205&lt;0),"异常：数量或价格无效",IF(AND(F205="限制性股票",OR(M205&lt;=0,N205&lt;0,I205&gt;M205)),"异常：个人获授或出资数据无效",IF(AND(F205="股票期权",K205&lt;&gt;IF(G205&lt;DATE(2025,1,10),14.56,IF(G205&lt;DATE(2025,4,29),14.32,IF(G205&lt;DATE(2025,9,26),14.18,14.04)))),"异常：行权价格区间不符",IF(Q205&lt;&gt;"已备案","提示：未确认备案","正常")))))))</f>
        <v/>
      </c>
      <c r="AD205" s="11" t="n"/>
    </row>
    <row r="206">
      <c r="A206" s="11" t="n"/>
      <c r="B206" s="6">
        <f>IF(A206="","",A206&amp;"-TAX")</f>
        <v/>
      </c>
      <c r="C206" s="11" t="n"/>
      <c r="D206" s="11" t="n"/>
      <c r="E206" s="11" t="n"/>
      <c r="F206" s="11" t="n"/>
      <c r="G206" s="12" t="n"/>
      <c r="H206" s="6">
        <f>IF(G206="","",YEAR(G206))</f>
        <v/>
      </c>
      <c r="I206" s="11" t="n"/>
      <c r="J206" s="13" t="n"/>
      <c r="K206" s="14">
        <f>IF(F206="股票期权",IF(G206="","",IF(G206&lt;DATE(2025,1,10),14.56,IF(G206&lt;DATE(2025,4,29),14.32,IF(G206&lt;DATE(2025,9,26),14.18,14.04)))),IF(F206="限制性股票",8.68,""))</f>
        <v/>
      </c>
      <c r="L206" s="14">
        <f>IF(F206="限制性股票",13.06,"")</f>
        <v/>
      </c>
      <c r="M206" s="11" t="n"/>
      <c r="N206" s="13" t="n"/>
      <c r="O206" s="13" t="n"/>
      <c r="P206" s="12" t="n"/>
      <c r="Q206" s="11" t="n"/>
      <c r="R206" s="12" t="n"/>
      <c r="S206" s="14">
        <f>IF(OR(A206="",C206="",F206="",G206="",I206="",J206=""),"",IF(F206="股票期权",MAX(0,(J206-K206)*I206),IF(F206="限制性股票",IF(OR(L206="",M206="",M206&lt;=0,N206=""),"",MAX(0,((L206+J206)/2)*I206-N206*I206/M206)),MAX(0,O206))))</f>
        <v/>
      </c>
      <c r="T206" s="14">
        <f>IF(S206="","",SUMIFS($S$2:$S$501,$C$2:$C$501,C206,$H$2:$H$501,H206,$G$2:$G$501,"&lt;"&amp;G206)+SUMIFS($S$2:$S$501,$C$2:$C$501,C206,$H$2:$H$501,H206,$G$2:$G$501,G206,$A$2:$A$501,"&lt;"&amp;A206))</f>
        <v/>
      </c>
      <c r="U206" s="14">
        <f>IF(S206="","",T206+S206)</f>
        <v/>
      </c>
      <c r="V206" s="15">
        <f>IF(U206="","",VLOOKUP(U206,'税率及规则'!$A$2:$C$8,2,TRUE))</f>
        <v/>
      </c>
      <c r="W206" s="14">
        <f>IF(U206="","",VLOOKUP(U206,'税率及规则'!$A$2:$C$8,3,TRUE))</f>
        <v/>
      </c>
      <c r="X206" s="14">
        <f>IF(U206="","",MAX(0,U206*V206-W206))</f>
        <v/>
      </c>
      <c r="Y206" s="14">
        <f>IF(T206="","",MAX(0,T206*VLOOKUP(T206,'税率及规则'!$A$2:$C$8,2,TRUE)-VLOOKUP(T206,'税率及规则'!$A$2:$C$8,3,TRUE)))</f>
        <v/>
      </c>
      <c r="Z206" s="14">
        <f>IF(X206="","",MAX(0,X206-Y206))</f>
        <v/>
      </c>
      <c r="AA206" s="16">
        <f>IF(G206="","",G206)</f>
        <v/>
      </c>
      <c r="AB206" s="16">
        <f>IF(AA206="","",EDATE(AA206,36))</f>
        <v/>
      </c>
      <c r="AC206" s="6">
        <f>IF(A206="","",IF(COUNTIF($A$2:$A$501,A206)&gt;1,"异常：事件编号重复",IF(OR(C206="",D206="",E206="",F206="",G206="",I206="",J206=""),"异常：必填项缺失",IF(OR(I206&lt;=0,J206&lt;0),"异常：数量或价格无效",IF(AND(F206="限制性股票",OR(M206&lt;=0,N206&lt;0,I206&gt;M206)),"异常：个人获授或出资数据无效",IF(AND(F206="股票期权",K206&lt;&gt;IF(G206&lt;DATE(2025,1,10),14.56,IF(G206&lt;DATE(2025,4,29),14.32,IF(G206&lt;DATE(2025,9,26),14.18,14.04)))),"异常：行权价格区间不符",IF(Q206&lt;&gt;"已备案","提示：未确认备案","正常")))))))</f>
        <v/>
      </c>
      <c r="AD206" s="11" t="n"/>
    </row>
    <row r="207">
      <c r="A207" s="11" t="n"/>
      <c r="B207" s="6">
        <f>IF(A207="","",A207&amp;"-TAX")</f>
        <v/>
      </c>
      <c r="C207" s="11" t="n"/>
      <c r="D207" s="11" t="n"/>
      <c r="E207" s="11" t="n"/>
      <c r="F207" s="11" t="n"/>
      <c r="G207" s="12" t="n"/>
      <c r="H207" s="6">
        <f>IF(G207="","",YEAR(G207))</f>
        <v/>
      </c>
      <c r="I207" s="11" t="n"/>
      <c r="J207" s="13" t="n"/>
      <c r="K207" s="14">
        <f>IF(F207="股票期权",IF(G207="","",IF(G207&lt;DATE(2025,1,10),14.56,IF(G207&lt;DATE(2025,4,29),14.32,IF(G207&lt;DATE(2025,9,26),14.18,14.04)))),IF(F207="限制性股票",8.68,""))</f>
        <v/>
      </c>
      <c r="L207" s="14">
        <f>IF(F207="限制性股票",13.06,"")</f>
        <v/>
      </c>
      <c r="M207" s="11" t="n"/>
      <c r="N207" s="13" t="n"/>
      <c r="O207" s="13" t="n"/>
      <c r="P207" s="12" t="n"/>
      <c r="Q207" s="11" t="n"/>
      <c r="R207" s="12" t="n"/>
      <c r="S207" s="14">
        <f>IF(OR(A207="",C207="",F207="",G207="",I207="",J207=""),"",IF(F207="股票期权",MAX(0,(J207-K207)*I207),IF(F207="限制性股票",IF(OR(L207="",M207="",M207&lt;=0,N207=""),"",MAX(0,((L207+J207)/2)*I207-N207*I207/M207)),MAX(0,O207))))</f>
        <v/>
      </c>
      <c r="T207" s="14">
        <f>IF(S207="","",SUMIFS($S$2:$S$501,$C$2:$C$501,C207,$H$2:$H$501,H207,$G$2:$G$501,"&lt;"&amp;G207)+SUMIFS($S$2:$S$501,$C$2:$C$501,C207,$H$2:$H$501,H207,$G$2:$G$501,G207,$A$2:$A$501,"&lt;"&amp;A207))</f>
        <v/>
      </c>
      <c r="U207" s="14">
        <f>IF(S207="","",T207+S207)</f>
        <v/>
      </c>
      <c r="V207" s="15">
        <f>IF(U207="","",VLOOKUP(U207,'税率及规则'!$A$2:$C$8,2,TRUE))</f>
        <v/>
      </c>
      <c r="W207" s="14">
        <f>IF(U207="","",VLOOKUP(U207,'税率及规则'!$A$2:$C$8,3,TRUE))</f>
        <v/>
      </c>
      <c r="X207" s="14">
        <f>IF(U207="","",MAX(0,U207*V207-W207))</f>
        <v/>
      </c>
      <c r="Y207" s="14">
        <f>IF(T207="","",MAX(0,T207*VLOOKUP(T207,'税率及规则'!$A$2:$C$8,2,TRUE)-VLOOKUP(T207,'税率及规则'!$A$2:$C$8,3,TRUE)))</f>
        <v/>
      </c>
      <c r="Z207" s="14">
        <f>IF(X207="","",MAX(0,X207-Y207))</f>
        <v/>
      </c>
      <c r="AA207" s="16">
        <f>IF(G207="","",G207)</f>
        <v/>
      </c>
      <c r="AB207" s="16">
        <f>IF(AA207="","",EDATE(AA207,36))</f>
        <v/>
      </c>
      <c r="AC207" s="6">
        <f>IF(A207="","",IF(COUNTIF($A$2:$A$501,A207)&gt;1,"异常：事件编号重复",IF(OR(C207="",D207="",E207="",F207="",G207="",I207="",J207=""),"异常：必填项缺失",IF(OR(I207&lt;=0,J207&lt;0),"异常：数量或价格无效",IF(AND(F207="限制性股票",OR(M207&lt;=0,N207&lt;0,I207&gt;M207)),"异常：个人获授或出资数据无效",IF(AND(F207="股票期权",K207&lt;&gt;IF(G207&lt;DATE(2025,1,10),14.56,IF(G207&lt;DATE(2025,4,29),14.32,IF(G207&lt;DATE(2025,9,26),14.18,14.04)))),"异常：行权价格区间不符",IF(Q207&lt;&gt;"已备案","提示：未确认备案","正常")))))))</f>
        <v/>
      </c>
      <c r="AD207" s="11" t="n"/>
    </row>
    <row r="208">
      <c r="A208" s="11" t="n"/>
      <c r="B208" s="6">
        <f>IF(A208="","",A208&amp;"-TAX")</f>
        <v/>
      </c>
      <c r="C208" s="11" t="n"/>
      <c r="D208" s="11" t="n"/>
      <c r="E208" s="11" t="n"/>
      <c r="F208" s="11" t="n"/>
      <c r="G208" s="12" t="n"/>
      <c r="H208" s="6">
        <f>IF(G208="","",YEAR(G208))</f>
        <v/>
      </c>
      <c r="I208" s="11" t="n"/>
      <c r="J208" s="13" t="n"/>
      <c r="K208" s="14">
        <f>IF(F208="股票期权",IF(G208="","",IF(G208&lt;DATE(2025,1,10),14.56,IF(G208&lt;DATE(2025,4,29),14.32,IF(G208&lt;DATE(2025,9,26),14.18,14.04)))),IF(F208="限制性股票",8.68,""))</f>
        <v/>
      </c>
      <c r="L208" s="14">
        <f>IF(F208="限制性股票",13.06,"")</f>
        <v/>
      </c>
      <c r="M208" s="11" t="n"/>
      <c r="N208" s="13" t="n"/>
      <c r="O208" s="13" t="n"/>
      <c r="P208" s="12" t="n"/>
      <c r="Q208" s="11" t="n"/>
      <c r="R208" s="12" t="n"/>
      <c r="S208" s="14">
        <f>IF(OR(A208="",C208="",F208="",G208="",I208="",J208=""),"",IF(F208="股票期权",MAX(0,(J208-K208)*I208),IF(F208="限制性股票",IF(OR(L208="",M208="",M208&lt;=0,N208=""),"",MAX(0,((L208+J208)/2)*I208-N208*I208/M208)),MAX(0,O208))))</f>
        <v/>
      </c>
      <c r="T208" s="14">
        <f>IF(S208="","",SUMIFS($S$2:$S$501,$C$2:$C$501,C208,$H$2:$H$501,H208,$G$2:$G$501,"&lt;"&amp;G208)+SUMIFS($S$2:$S$501,$C$2:$C$501,C208,$H$2:$H$501,H208,$G$2:$G$501,G208,$A$2:$A$501,"&lt;"&amp;A208))</f>
        <v/>
      </c>
      <c r="U208" s="14">
        <f>IF(S208="","",T208+S208)</f>
        <v/>
      </c>
      <c r="V208" s="15">
        <f>IF(U208="","",VLOOKUP(U208,'税率及规则'!$A$2:$C$8,2,TRUE))</f>
        <v/>
      </c>
      <c r="W208" s="14">
        <f>IF(U208="","",VLOOKUP(U208,'税率及规则'!$A$2:$C$8,3,TRUE))</f>
        <v/>
      </c>
      <c r="X208" s="14">
        <f>IF(U208="","",MAX(0,U208*V208-W208))</f>
        <v/>
      </c>
      <c r="Y208" s="14">
        <f>IF(T208="","",MAX(0,T208*VLOOKUP(T208,'税率及规则'!$A$2:$C$8,2,TRUE)-VLOOKUP(T208,'税率及规则'!$A$2:$C$8,3,TRUE)))</f>
        <v/>
      </c>
      <c r="Z208" s="14">
        <f>IF(X208="","",MAX(0,X208-Y208))</f>
        <v/>
      </c>
      <c r="AA208" s="16">
        <f>IF(G208="","",G208)</f>
        <v/>
      </c>
      <c r="AB208" s="16">
        <f>IF(AA208="","",EDATE(AA208,36))</f>
        <v/>
      </c>
      <c r="AC208" s="6">
        <f>IF(A208="","",IF(COUNTIF($A$2:$A$501,A208)&gt;1,"异常：事件编号重复",IF(OR(C208="",D208="",E208="",F208="",G208="",I208="",J208=""),"异常：必填项缺失",IF(OR(I208&lt;=0,J208&lt;0),"异常：数量或价格无效",IF(AND(F208="限制性股票",OR(M208&lt;=0,N208&lt;0,I208&gt;M208)),"异常：个人获授或出资数据无效",IF(AND(F208="股票期权",K208&lt;&gt;IF(G208&lt;DATE(2025,1,10),14.56,IF(G208&lt;DATE(2025,4,29),14.32,IF(G208&lt;DATE(2025,9,26),14.18,14.04)))),"异常：行权价格区间不符",IF(Q208&lt;&gt;"已备案","提示：未确认备案","正常")))))))</f>
        <v/>
      </c>
      <c r="AD208" s="11" t="n"/>
    </row>
    <row r="209">
      <c r="A209" s="11" t="n"/>
      <c r="B209" s="6">
        <f>IF(A209="","",A209&amp;"-TAX")</f>
        <v/>
      </c>
      <c r="C209" s="11" t="n"/>
      <c r="D209" s="11" t="n"/>
      <c r="E209" s="11" t="n"/>
      <c r="F209" s="11" t="n"/>
      <c r="G209" s="12" t="n"/>
      <c r="H209" s="6">
        <f>IF(G209="","",YEAR(G209))</f>
        <v/>
      </c>
      <c r="I209" s="11" t="n"/>
      <c r="J209" s="13" t="n"/>
      <c r="K209" s="14">
        <f>IF(F209="股票期权",IF(G209="","",IF(G209&lt;DATE(2025,1,10),14.56,IF(G209&lt;DATE(2025,4,29),14.32,IF(G209&lt;DATE(2025,9,26),14.18,14.04)))),IF(F209="限制性股票",8.68,""))</f>
        <v/>
      </c>
      <c r="L209" s="14">
        <f>IF(F209="限制性股票",13.06,"")</f>
        <v/>
      </c>
      <c r="M209" s="11" t="n"/>
      <c r="N209" s="13" t="n"/>
      <c r="O209" s="13" t="n"/>
      <c r="P209" s="12" t="n"/>
      <c r="Q209" s="11" t="n"/>
      <c r="R209" s="12" t="n"/>
      <c r="S209" s="14">
        <f>IF(OR(A209="",C209="",F209="",G209="",I209="",J209=""),"",IF(F209="股票期权",MAX(0,(J209-K209)*I209),IF(F209="限制性股票",IF(OR(L209="",M209="",M209&lt;=0,N209=""),"",MAX(0,((L209+J209)/2)*I209-N209*I209/M209)),MAX(0,O209))))</f>
        <v/>
      </c>
      <c r="T209" s="14">
        <f>IF(S209="","",SUMIFS($S$2:$S$501,$C$2:$C$501,C209,$H$2:$H$501,H209,$G$2:$G$501,"&lt;"&amp;G209)+SUMIFS($S$2:$S$501,$C$2:$C$501,C209,$H$2:$H$501,H209,$G$2:$G$501,G209,$A$2:$A$501,"&lt;"&amp;A209))</f>
        <v/>
      </c>
      <c r="U209" s="14">
        <f>IF(S209="","",T209+S209)</f>
        <v/>
      </c>
      <c r="V209" s="15">
        <f>IF(U209="","",VLOOKUP(U209,'税率及规则'!$A$2:$C$8,2,TRUE))</f>
        <v/>
      </c>
      <c r="W209" s="14">
        <f>IF(U209="","",VLOOKUP(U209,'税率及规则'!$A$2:$C$8,3,TRUE))</f>
        <v/>
      </c>
      <c r="X209" s="14">
        <f>IF(U209="","",MAX(0,U209*V209-W209))</f>
        <v/>
      </c>
      <c r="Y209" s="14">
        <f>IF(T209="","",MAX(0,T209*VLOOKUP(T209,'税率及规则'!$A$2:$C$8,2,TRUE)-VLOOKUP(T209,'税率及规则'!$A$2:$C$8,3,TRUE)))</f>
        <v/>
      </c>
      <c r="Z209" s="14">
        <f>IF(X209="","",MAX(0,X209-Y209))</f>
        <v/>
      </c>
      <c r="AA209" s="16">
        <f>IF(G209="","",G209)</f>
        <v/>
      </c>
      <c r="AB209" s="16">
        <f>IF(AA209="","",EDATE(AA209,36))</f>
        <v/>
      </c>
      <c r="AC209" s="6">
        <f>IF(A209="","",IF(COUNTIF($A$2:$A$501,A209)&gt;1,"异常：事件编号重复",IF(OR(C209="",D209="",E209="",F209="",G209="",I209="",J209=""),"异常：必填项缺失",IF(OR(I209&lt;=0,J209&lt;0),"异常：数量或价格无效",IF(AND(F209="限制性股票",OR(M209&lt;=0,N209&lt;0,I209&gt;M209)),"异常：个人获授或出资数据无效",IF(AND(F209="股票期权",K209&lt;&gt;IF(G209&lt;DATE(2025,1,10),14.56,IF(G209&lt;DATE(2025,4,29),14.32,IF(G209&lt;DATE(2025,9,26),14.18,14.04)))),"异常：行权价格区间不符",IF(Q209&lt;&gt;"已备案","提示：未确认备案","正常")))))))</f>
        <v/>
      </c>
      <c r="AD209" s="11" t="n"/>
    </row>
    <row r="210">
      <c r="A210" s="11" t="n"/>
      <c r="B210" s="6">
        <f>IF(A210="","",A210&amp;"-TAX")</f>
        <v/>
      </c>
      <c r="C210" s="11" t="n"/>
      <c r="D210" s="11" t="n"/>
      <c r="E210" s="11" t="n"/>
      <c r="F210" s="11" t="n"/>
      <c r="G210" s="12" t="n"/>
      <c r="H210" s="6">
        <f>IF(G210="","",YEAR(G210))</f>
        <v/>
      </c>
      <c r="I210" s="11" t="n"/>
      <c r="J210" s="13" t="n"/>
      <c r="K210" s="14">
        <f>IF(F210="股票期权",IF(G210="","",IF(G210&lt;DATE(2025,1,10),14.56,IF(G210&lt;DATE(2025,4,29),14.32,IF(G210&lt;DATE(2025,9,26),14.18,14.04)))),IF(F210="限制性股票",8.68,""))</f>
        <v/>
      </c>
      <c r="L210" s="14">
        <f>IF(F210="限制性股票",13.06,"")</f>
        <v/>
      </c>
      <c r="M210" s="11" t="n"/>
      <c r="N210" s="13" t="n"/>
      <c r="O210" s="13" t="n"/>
      <c r="P210" s="12" t="n"/>
      <c r="Q210" s="11" t="n"/>
      <c r="R210" s="12" t="n"/>
      <c r="S210" s="14">
        <f>IF(OR(A210="",C210="",F210="",G210="",I210="",J210=""),"",IF(F210="股票期权",MAX(0,(J210-K210)*I210),IF(F210="限制性股票",IF(OR(L210="",M210="",M210&lt;=0,N210=""),"",MAX(0,((L210+J210)/2)*I210-N210*I210/M210)),MAX(0,O210))))</f>
        <v/>
      </c>
      <c r="T210" s="14">
        <f>IF(S210="","",SUMIFS($S$2:$S$501,$C$2:$C$501,C210,$H$2:$H$501,H210,$G$2:$G$501,"&lt;"&amp;G210)+SUMIFS($S$2:$S$501,$C$2:$C$501,C210,$H$2:$H$501,H210,$G$2:$G$501,G210,$A$2:$A$501,"&lt;"&amp;A210))</f>
        <v/>
      </c>
      <c r="U210" s="14">
        <f>IF(S210="","",T210+S210)</f>
        <v/>
      </c>
      <c r="V210" s="15">
        <f>IF(U210="","",VLOOKUP(U210,'税率及规则'!$A$2:$C$8,2,TRUE))</f>
        <v/>
      </c>
      <c r="W210" s="14">
        <f>IF(U210="","",VLOOKUP(U210,'税率及规则'!$A$2:$C$8,3,TRUE))</f>
        <v/>
      </c>
      <c r="X210" s="14">
        <f>IF(U210="","",MAX(0,U210*V210-W210))</f>
        <v/>
      </c>
      <c r="Y210" s="14">
        <f>IF(T210="","",MAX(0,T210*VLOOKUP(T210,'税率及规则'!$A$2:$C$8,2,TRUE)-VLOOKUP(T210,'税率及规则'!$A$2:$C$8,3,TRUE)))</f>
        <v/>
      </c>
      <c r="Z210" s="14">
        <f>IF(X210="","",MAX(0,X210-Y210))</f>
        <v/>
      </c>
      <c r="AA210" s="16">
        <f>IF(G210="","",G210)</f>
        <v/>
      </c>
      <c r="AB210" s="16">
        <f>IF(AA210="","",EDATE(AA210,36))</f>
        <v/>
      </c>
      <c r="AC210" s="6">
        <f>IF(A210="","",IF(COUNTIF($A$2:$A$501,A210)&gt;1,"异常：事件编号重复",IF(OR(C210="",D210="",E210="",F210="",G210="",I210="",J210=""),"异常：必填项缺失",IF(OR(I210&lt;=0,J210&lt;0),"异常：数量或价格无效",IF(AND(F210="限制性股票",OR(M210&lt;=0,N210&lt;0,I210&gt;M210)),"异常：个人获授或出资数据无效",IF(AND(F210="股票期权",K210&lt;&gt;IF(G210&lt;DATE(2025,1,10),14.56,IF(G210&lt;DATE(2025,4,29),14.32,IF(G210&lt;DATE(2025,9,26),14.18,14.04)))),"异常：行权价格区间不符",IF(Q210&lt;&gt;"已备案","提示：未确认备案","正常")))))))</f>
        <v/>
      </c>
      <c r="AD210" s="11" t="n"/>
    </row>
    <row r="211">
      <c r="A211" s="11" t="n"/>
      <c r="B211" s="6">
        <f>IF(A211="","",A211&amp;"-TAX")</f>
        <v/>
      </c>
      <c r="C211" s="11" t="n"/>
      <c r="D211" s="11" t="n"/>
      <c r="E211" s="11" t="n"/>
      <c r="F211" s="11" t="n"/>
      <c r="G211" s="12" t="n"/>
      <c r="H211" s="6">
        <f>IF(G211="","",YEAR(G211))</f>
        <v/>
      </c>
      <c r="I211" s="11" t="n"/>
      <c r="J211" s="13" t="n"/>
      <c r="K211" s="14">
        <f>IF(F211="股票期权",IF(G211="","",IF(G211&lt;DATE(2025,1,10),14.56,IF(G211&lt;DATE(2025,4,29),14.32,IF(G211&lt;DATE(2025,9,26),14.18,14.04)))),IF(F211="限制性股票",8.68,""))</f>
        <v/>
      </c>
      <c r="L211" s="14">
        <f>IF(F211="限制性股票",13.06,"")</f>
        <v/>
      </c>
      <c r="M211" s="11" t="n"/>
      <c r="N211" s="13" t="n"/>
      <c r="O211" s="13" t="n"/>
      <c r="P211" s="12" t="n"/>
      <c r="Q211" s="11" t="n"/>
      <c r="R211" s="12" t="n"/>
      <c r="S211" s="14">
        <f>IF(OR(A211="",C211="",F211="",G211="",I211="",J211=""),"",IF(F211="股票期权",MAX(0,(J211-K211)*I211),IF(F211="限制性股票",IF(OR(L211="",M211="",M211&lt;=0,N211=""),"",MAX(0,((L211+J211)/2)*I211-N211*I211/M211)),MAX(0,O211))))</f>
        <v/>
      </c>
      <c r="T211" s="14">
        <f>IF(S211="","",SUMIFS($S$2:$S$501,$C$2:$C$501,C211,$H$2:$H$501,H211,$G$2:$G$501,"&lt;"&amp;G211)+SUMIFS($S$2:$S$501,$C$2:$C$501,C211,$H$2:$H$501,H211,$G$2:$G$501,G211,$A$2:$A$501,"&lt;"&amp;A211))</f>
        <v/>
      </c>
      <c r="U211" s="14">
        <f>IF(S211="","",T211+S211)</f>
        <v/>
      </c>
      <c r="V211" s="15">
        <f>IF(U211="","",VLOOKUP(U211,'税率及规则'!$A$2:$C$8,2,TRUE))</f>
        <v/>
      </c>
      <c r="W211" s="14">
        <f>IF(U211="","",VLOOKUP(U211,'税率及规则'!$A$2:$C$8,3,TRUE))</f>
        <v/>
      </c>
      <c r="X211" s="14">
        <f>IF(U211="","",MAX(0,U211*V211-W211))</f>
        <v/>
      </c>
      <c r="Y211" s="14">
        <f>IF(T211="","",MAX(0,T211*VLOOKUP(T211,'税率及规则'!$A$2:$C$8,2,TRUE)-VLOOKUP(T211,'税率及规则'!$A$2:$C$8,3,TRUE)))</f>
        <v/>
      </c>
      <c r="Z211" s="14">
        <f>IF(X211="","",MAX(0,X211-Y211))</f>
        <v/>
      </c>
      <c r="AA211" s="16">
        <f>IF(G211="","",G211)</f>
        <v/>
      </c>
      <c r="AB211" s="16">
        <f>IF(AA211="","",EDATE(AA211,36))</f>
        <v/>
      </c>
      <c r="AC211" s="6">
        <f>IF(A211="","",IF(COUNTIF($A$2:$A$501,A211)&gt;1,"异常：事件编号重复",IF(OR(C211="",D211="",E211="",F211="",G211="",I211="",J211=""),"异常：必填项缺失",IF(OR(I211&lt;=0,J211&lt;0),"异常：数量或价格无效",IF(AND(F211="限制性股票",OR(M211&lt;=0,N211&lt;0,I211&gt;M211)),"异常：个人获授或出资数据无效",IF(AND(F211="股票期权",K211&lt;&gt;IF(G211&lt;DATE(2025,1,10),14.56,IF(G211&lt;DATE(2025,4,29),14.32,IF(G211&lt;DATE(2025,9,26),14.18,14.04)))),"异常：行权价格区间不符",IF(Q211&lt;&gt;"已备案","提示：未确认备案","正常")))))))</f>
        <v/>
      </c>
      <c r="AD211" s="11" t="n"/>
    </row>
    <row r="212">
      <c r="A212" s="11" t="n"/>
      <c r="B212" s="6">
        <f>IF(A212="","",A212&amp;"-TAX")</f>
        <v/>
      </c>
      <c r="C212" s="11" t="n"/>
      <c r="D212" s="11" t="n"/>
      <c r="E212" s="11" t="n"/>
      <c r="F212" s="11" t="n"/>
      <c r="G212" s="12" t="n"/>
      <c r="H212" s="6">
        <f>IF(G212="","",YEAR(G212))</f>
        <v/>
      </c>
      <c r="I212" s="11" t="n"/>
      <c r="J212" s="13" t="n"/>
      <c r="K212" s="14">
        <f>IF(F212="股票期权",IF(G212="","",IF(G212&lt;DATE(2025,1,10),14.56,IF(G212&lt;DATE(2025,4,29),14.32,IF(G212&lt;DATE(2025,9,26),14.18,14.04)))),IF(F212="限制性股票",8.68,""))</f>
        <v/>
      </c>
      <c r="L212" s="14">
        <f>IF(F212="限制性股票",13.06,"")</f>
        <v/>
      </c>
      <c r="M212" s="11" t="n"/>
      <c r="N212" s="13" t="n"/>
      <c r="O212" s="13" t="n"/>
      <c r="P212" s="12" t="n"/>
      <c r="Q212" s="11" t="n"/>
      <c r="R212" s="12" t="n"/>
      <c r="S212" s="14">
        <f>IF(OR(A212="",C212="",F212="",G212="",I212="",J212=""),"",IF(F212="股票期权",MAX(0,(J212-K212)*I212),IF(F212="限制性股票",IF(OR(L212="",M212="",M212&lt;=0,N212=""),"",MAX(0,((L212+J212)/2)*I212-N212*I212/M212)),MAX(0,O212))))</f>
        <v/>
      </c>
      <c r="T212" s="14">
        <f>IF(S212="","",SUMIFS($S$2:$S$501,$C$2:$C$501,C212,$H$2:$H$501,H212,$G$2:$G$501,"&lt;"&amp;G212)+SUMIFS($S$2:$S$501,$C$2:$C$501,C212,$H$2:$H$501,H212,$G$2:$G$501,G212,$A$2:$A$501,"&lt;"&amp;A212))</f>
        <v/>
      </c>
      <c r="U212" s="14">
        <f>IF(S212="","",T212+S212)</f>
        <v/>
      </c>
      <c r="V212" s="15">
        <f>IF(U212="","",VLOOKUP(U212,'税率及规则'!$A$2:$C$8,2,TRUE))</f>
        <v/>
      </c>
      <c r="W212" s="14">
        <f>IF(U212="","",VLOOKUP(U212,'税率及规则'!$A$2:$C$8,3,TRUE))</f>
        <v/>
      </c>
      <c r="X212" s="14">
        <f>IF(U212="","",MAX(0,U212*V212-W212))</f>
        <v/>
      </c>
      <c r="Y212" s="14">
        <f>IF(T212="","",MAX(0,T212*VLOOKUP(T212,'税率及规则'!$A$2:$C$8,2,TRUE)-VLOOKUP(T212,'税率及规则'!$A$2:$C$8,3,TRUE)))</f>
        <v/>
      </c>
      <c r="Z212" s="14">
        <f>IF(X212="","",MAX(0,X212-Y212))</f>
        <v/>
      </c>
      <c r="AA212" s="16">
        <f>IF(G212="","",G212)</f>
        <v/>
      </c>
      <c r="AB212" s="16">
        <f>IF(AA212="","",EDATE(AA212,36))</f>
        <v/>
      </c>
      <c r="AC212" s="6">
        <f>IF(A212="","",IF(COUNTIF($A$2:$A$501,A212)&gt;1,"异常：事件编号重复",IF(OR(C212="",D212="",E212="",F212="",G212="",I212="",J212=""),"异常：必填项缺失",IF(OR(I212&lt;=0,J212&lt;0),"异常：数量或价格无效",IF(AND(F212="限制性股票",OR(M212&lt;=0,N212&lt;0,I212&gt;M212)),"异常：个人获授或出资数据无效",IF(AND(F212="股票期权",K212&lt;&gt;IF(G212&lt;DATE(2025,1,10),14.56,IF(G212&lt;DATE(2025,4,29),14.32,IF(G212&lt;DATE(2025,9,26),14.18,14.04)))),"异常：行权价格区间不符",IF(Q212&lt;&gt;"已备案","提示：未确认备案","正常")))))))</f>
        <v/>
      </c>
      <c r="AD212" s="11" t="n"/>
    </row>
    <row r="213">
      <c r="A213" s="11" t="n"/>
      <c r="B213" s="6">
        <f>IF(A213="","",A213&amp;"-TAX")</f>
        <v/>
      </c>
      <c r="C213" s="11" t="n"/>
      <c r="D213" s="11" t="n"/>
      <c r="E213" s="11" t="n"/>
      <c r="F213" s="11" t="n"/>
      <c r="G213" s="12" t="n"/>
      <c r="H213" s="6">
        <f>IF(G213="","",YEAR(G213))</f>
        <v/>
      </c>
      <c r="I213" s="11" t="n"/>
      <c r="J213" s="13" t="n"/>
      <c r="K213" s="14">
        <f>IF(F213="股票期权",IF(G213="","",IF(G213&lt;DATE(2025,1,10),14.56,IF(G213&lt;DATE(2025,4,29),14.32,IF(G213&lt;DATE(2025,9,26),14.18,14.04)))),IF(F213="限制性股票",8.68,""))</f>
        <v/>
      </c>
      <c r="L213" s="14">
        <f>IF(F213="限制性股票",13.06,"")</f>
        <v/>
      </c>
      <c r="M213" s="11" t="n"/>
      <c r="N213" s="13" t="n"/>
      <c r="O213" s="13" t="n"/>
      <c r="P213" s="12" t="n"/>
      <c r="Q213" s="11" t="n"/>
      <c r="R213" s="12" t="n"/>
      <c r="S213" s="14">
        <f>IF(OR(A213="",C213="",F213="",G213="",I213="",J213=""),"",IF(F213="股票期权",MAX(0,(J213-K213)*I213),IF(F213="限制性股票",IF(OR(L213="",M213="",M213&lt;=0,N213=""),"",MAX(0,((L213+J213)/2)*I213-N213*I213/M213)),MAX(0,O213))))</f>
        <v/>
      </c>
      <c r="T213" s="14">
        <f>IF(S213="","",SUMIFS($S$2:$S$501,$C$2:$C$501,C213,$H$2:$H$501,H213,$G$2:$G$501,"&lt;"&amp;G213)+SUMIFS($S$2:$S$501,$C$2:$C$501,C213,$H$2:$H$501,H213,$G$2:$G$501,G213,$A$2:$A$501,"&lt;"&amp;A213))</f>
        <v/>
      </c>
      <c r="U213" s="14">
        <f>IF(S213="","",T213+S213)</f>
        <v/>
      </c>
      <c r="V213" s="15">
        <f>IF(U213="","",VLOOKUP(U213,'税率及规则'!$A$2:$C$8,2,TRUE))</f>
        <v/>
      </c>
      <c r="W213" s="14">
        <f>IF(U213="","",VLOOKUP(U213,'税率及规则'!$A$2:$C$8,3,TRUE))</f>
        <v/>
      </c>
      <c r="X213" s="14">
        <f>IF(U213="","",MAX(0,U213*V213-W213))</f>
        <v/>
      </c>
      <c r="Y213" s="14">
        <f>IF(T213="","",MAX(0,T213*VLOOKUP(T213,'税率及规则'!$A$2:$C$8,2,TRUE)-VLOOKUP(T213,'税率及规则'!$A$2:$C$8,3,TRUE)))</f>
        <v/>
      </c>
      <c r="Z213" s="14">
        <f>IF(X213="","",MAX(0,X213-Y213))</f>
        <v/>
      </c>
      <c r="AA213" s="16">
        <f>IF(G213="","",G213)</f>
        <v/>
      </c>
      <c r="AB213" s="16">
        <f>IF(AA213="","",EDATE(AA213,36))</f>
        <v/>
      </c>
      <c r="AC213" s="6">
        <f>IF(A213="","",IF(COUNTIF($A$2:$A$501,A213)&gt;1,"异常：事件编号重复",IF(OR(C213="",D213="",E213="",F213="",G213="",I213="",J213=""),"异常：必填项缺失",IF(OR(I213&lt;=0,J213&lt;0),"异常：数量或价格无效",IF(AND(F213="限制性股票",OR(M213&lt;=0,N213&lt;0,I213&gt;M213)),"异常：个人获授或出资数据无效",IF(AND(F213="股票期权",K213&lt;&gt;IF(G213&lt;DATE(2025,1,10),14.56,IF(G213&lt;DATE(2025,4,29),14.32,IF(G213&lt;DATE(2025,9,26),14.18,14.04)))),"异常：行权价格区间不符",IF(Q213&lt;&gt;"已备案","提示：未确认备案","正常")))))))</f>
        <v/>
      </c>
      <c r="AD213" s="11" t="n"/>
    </row>
    <row r="214">
      <c r="A214" s="11" t="n"/>
      <c r="B214" s="6">
        <f>IF(A214="","",A214&amp;"-TAX")</f>
        <v/>
      </c>
      <c r="C214" s="11" t="n"/>
      <c r="D214" s="11" t="n"/>
      <c r="E214" s="11" t="n"/>
      <c r="F214" s="11" t="n"/>
      <c r="G214" s="12" t="n"/>
      <c r="H214" s="6">
        <f>IF(G214="","",YEAR(G214))</f>
        <v/>
      </c>
      <c r="I214" s="11" t="n"/>
      <c r="J214" s="13" t="n"/>
      <c r="K214" s="14">
        <f>IF(F214="股票期权",IF(G214="","",IF(G214&lt;DATE(2025,1,10),14.56,IF(G214&lt;DATE(2025,4,29),14.32,IF(G214&lt;DATE(2025,9,26),14.18,14.04)))),IF(F214="限制性股票",8.68,""))</f>
        <v/>
      </c>
      <c r="L214" s="14">
        <f>IF(F214="限制性股票",13.06,"")</f>
        <v/>
      </c>
      <c r="M214" s="11" t="n"/>
      <c r="N214" s="13" t="n"/>
      <c r="O214" s="13" t="n"/>
      <c r="P214" s="12" t="n"/>
      <c r="Q214" s="11" t="n"/>
      <c r="R214" s="12" t="n"/>
      <c r="S214" s="14">
        <f>IF(OR(A214="",C214="",F214="",G214="",I214="",J214=""),"",IF(F214="股票期权",MAX(0,(J214-K214)*I214),IF(F214="限制性股票",IF(OR(L214="",M214="",M214&lt;=0,N214=""),"",MAX(0,((L214+J214)/2)*I214-N214*I214/M214)),MAX(0,O214))))</f>
        <v/>
      </c>
      <c r="T214" s="14">
        <f>IF(S214="","",SUMIFS($S$2:$S$501,$C$2:$C$501,C214,$H$2:$H$501,H214,$G$2:$G$501,"&lt;"&amp;G214)+SUMIFS($S$2:$S$501,$C$2:$C$501,C214,$H$2:$H$501,H214,$G$2:$G$501,G214,$A$2:$A$501,"&lt;"&amp;A214))</f>
        <v/>
      </c>
      <c r="U214" s="14">
        <f>IF(S214="","",T214+S214)</f>
        <v/>
      </c>
      <c r="V214" s="15">
        <f>IF(U214="","",VLOOKUP(U214,'税率及规则'!$A$2:$C$8,2,TRUE))</f>
        <v/>
      </c>
      <c r="W214" s="14">
        <f>IF(U214="","",VLOOKUP(U214,'税率及规则'!$A$2:$C$8,3,TRUE))</f>
        <v/>
      </c>
      <c r="X214" s="14">
        <f>IF(U214="","",MAX(0,U214*V214-W214))</f>
        <v/>
      </c>
      <c r="Y214" s="14">
        <f>IF(T214="","",MAX(0,T214*VLOOKUP(T214,'税率及规则'!$A$2:$C$8,2,TRUE)-VLOOKUP(T214,'税率及规则'!$A$2:$C$8,3,TRUE)))</f>
        <v/>
      </c>
      <c r="Z214" s="14">
        <f>IF(X214="","",MAX(0,X214-Y214))</f>
        <v/>
      </c>
      <c r="AA214" s="16">
        <f>IF(G214="","",G214)</f>
        <v/>
      </c>
      <c r="AB214" s="16">
        <f>IF(AA214="","",EDATE(AA214,36))</f>
        <v/>
      </c>
      <c r="AC214" s="6">
        <f>IF(A214="","",IF(COUNTIF($A$2:$A$501,A214)&gt;1,"异常：事件编号重复",IF(OR(C214="",D214="",E214="",F214="",G214="",I214="",J214=""),"异常：必填项缺失",IF(OR(I214&lt;=0,J214&lt;0),"异常：数量或价格无效",IF(AND(F214="限制性股票",OR(M214&lt;=0,N214&lt;0,I214&gt;M214)),"异常：个人获授或出资数据无效",IF(AND(F214="股票期权",K214&lt;&gt;IF(G214&lt;DATE(2025,1,10),14.56,IF(G214&lt;DATE(2025,4,29),14.32,IF(G214&lt;DATE(2025,9,26),14.18,14.04)))),"异常：行权价格区间不符",IF(Q214&lt;&gt;"已备案","提示：未确认备案","正常")))))))</f>
        <v/>
      </c>
      <c r="AD214" s="11" t="n"/>
    </row>
    <row r="215">
      <c r="A215" s="11" t="n"/>
      <c r="B215" s="6">
        <f>IF(A215="","",A215&amp;"-TAX")</f>
        <v/>
      </c>
      <c r="C215" s="11" t="n"/>
      <c r="D215" s="11" t="n"/>
      <c r="E215" s="11" t="n"/>
      <c r="F215" s="11" t="n"/>
      <c r="G215" s="12" t="n"/>
      <c r="H215" s="6">
        <f>IF(G215="","",YEAR(G215))</f>
        <v/>
      </c>
      <c r="I215" s="11" t="n"/>
      <c r="J215" s="13" t="n"/>
      <c r="K215" s="14">
        <f>IF(F215="股票期权",IF(G215="","",IF(G215&lt;DATE(2025,1,10),14.56,IF(G215&lt;DATE(2025,4,29),14.32,IF(G215&lt;DATE(2025,9,26),14.18,14.04)))),IF(F215="限制性股票",8.68,""))</f>
        <v/>
      </c>
      <c r="L215" s="14">
        <f>IF(F215="限制性股票",13.06,"")</f>
        <v/>
      </c>
      <c r="M215" s="11" t="n"/>
      <c r="N215" s="13" t="n"/>
      <c r="O215" s="13" t="n"/>
      <c r="P215" s="12" t="n"/>
      <c r="Q215" s="11" t="n"/>
      <c r="R215" s="12" t="n"/>
      <c r="S215" s="14">
        <f>IF(OR(A215="",C215="",F215="",G215="",I215="",J215=""),"",IF(F215="股票期权",MAX(0,(J215-K215)*I215),IF(F215="限制性股票",IF(OR(L215="",M215="",M215&lt;=0,N215=""),"",MAX(0,((L215+J215)/2)*I215-N215*I215/M215)),MAX(0,O215))))</f>
        <v/>
      </c>
      <c r="T215" s="14">
        <f>IF(S215="","",SUMIFS($S$2:$S$501,$C$2:$C$501,C215,$H$2:$H$501,H215,$G$2:$G$501,"&lt;"&amp;G215)+SUMIFS($S$2:$S$501,$C$2:$C$501,C215,$H$2:$H$501,H215,$G$2:$G$501,G215,$A$2:$A$501,"&lt;"&amp;A215))</f>
        <v/>
      </c>
      <c r="U215" s="14">
        <f>IF(S215="","",T215+S215)</f>
        <v/>
      </c>
      <c r="V215" s="15">
        <f>IF(U215="","",VLOOKUP(U215,'税率及规则'!$A$2:$C$8,2,TRUE))</f>
        <v/>
      </c>
      <c r="W215" s="14">
        <f>IF(U215="","",VLOOKUP(U215,'税率及规则'!$A$2:$C$8,3,TRUE))</f>
        <v/>
      </c>
      <c r="X215" s="14">
        <f>IF(U215="","",MAX(0,U215*V215-W215))</f>
        <v/>
      </c>
      <c r="Y215" s="14">
        <f>IF(T215="","",MAX(0,T215*VLOOKUP(T215,'税率及规则'!$A$2:$C$8,2,TRUE)-VLOOKUP(T215,'税率及规则'!$A$2:$C$8,3,TRUE)))</f>
        <v/>
      </c>
      <c r="Z215" s="14">
        <f>IF(X215="","",MAX(0,X215-Y215))</f>
        <v/>
      </c>
      <c r="AA215" s="16">
        <f>IF(G215="","",G215)</f>
        <v/>
      </c>
      <c r="AB215" s="16">
        <f>IF(AA215="","",EDATE(AA215,36))</f>
        <v/>
      </c>
      <c r="AC215" s="6">
        <f>IF(A215="","",IF(COUNTIF($A$2:$A$501,A215)&gt;1,"异常：事件编号重复",IF(OR(C215="",D215="",E215="",F215="",G215="",I215="",J215=""),"异常：必填项缺失",IF(OR(I215&lt;=0,J215&lt;0),"异常：数量或价格无效",IF(AND(F215="限制性股票",OR(M215&lt;=0,N215&lt;0,I215&gt;M215)),"异常：个人获授或出资数据无效",IF(AND(F215="股票期权",K215&lt;&gt;IF(G215&lt;DATE(2025,1,10),14.56,IF(G215&lt;DATE(2025,4,29),14.32,IF(G215&lt;DATE(2025,9,26),14.18,14.04)))),"异常：行权价格区间不符",IF(Q215&lt;&gt;"已备案","提示：未确认备案","正常")))))))</f>
        <v/>
      </c>
      <c r="AD215" s="11" t="n"/>
    </row>
    <row r="216">
      <c r="A216" s="11" t="n"/>
      <c r="B216" s="6">
        <f>IF(A216="","",A216&amp;"-TAX")</f>
        <v/>
      </c>
      <c r="C216" s="11" t="n"/>
      <c r="D216" s="11" t="n"/>
      <c r="E216" s="11" t="n"/>
      <c r="F216" s="11" t="n"/>
      <c r="G216" s="12" t="n"/>
      <c r="H216" s="6">
        <f>IF(G216="","",YEAR(G216))</f>
        <v/>
      </c>
      <c r="I216" s="11" t="n"/>
      <c r="J216" s="13" t="n"/>
      <c r="K216" s="14">
        <f>IF(F216="股票期权",IF(G216="","",IF(G216&lt;DATE(2025,1,10),14.56,IF(G216&lt;DATE(2025,4,29),14.32,IF(G216&lt;DATE(2025,9,26),14.18,14.04)))),IF(F216="限制性股票",8.68,""))</f>
        <v/>
      </c>
      <c r="L216" s="14">
        <f>IF(F216="限制性股票",13.06,"")</f>
        <v/>
      </c>
      <c r="M216" s="11" t="n"/>
      <c r="N216" s="13" t="n"/>
      <c r="O216" s="13" t="n"/>
      <c r="P216" s="12" t="n"/>
      <c r="Q216" s="11" t="n"/>
      <c r="R216" s="12" t="n"/>
      <c r="S216" s="14">
        <f>IF(OR(A216="",C216="",F216="",G216="",I216="",J216=""),"",IF(F216="股票期权",MAX(0,(J216-K216)*I216),IF(F216="限制性股票",IF(OR(L216="",M216="",M216&lt;=0,N216=""),"",MAX(0,((L216+J216)/2)*I216-N216*I216/M216)),MAX(0,O216))))</f>
        <v/>
      </c>
      <c r="T216" s="14">
        <f>IF(S216="","",SUMIFS($S$2:$S$501,$C$2:$C$501,C216,$H$2:$H$501,H216,$G$2:$G$501,"&lt;"&amp;G216)+SUMIFS($S$2:$S$501,$C$2:$C$501,C216,$H$2:$H$501,H216,$G$2:$G$501,G216,$A$2:$A$501,"&lt;"&amp;A216))</f>
        <v/>
      </c>
      <c r="U216" s="14">
        <f>IF(S216="","",T216+S216)</f>
        <v/>
      </c>
      <c r="V216" s="15">
        <f>IF(U216="","",VLOOKUP(U216,'税率及规则'!$A$2:$C$8,2,TRUE))</f>
        <v/>
      </c>
      <c r="W216" s="14">
        <f>IF(U216="","",VLOOKUP(U216,'税率及规则'!$A$2:$C$8,3,TRUE))</f>
        <v/>
      </c>
      <c r="X216" s="14">
        <f>IF(U216="","",MAX(0,U216*V216-W216))</f>
        <v/>
      </c>
      <c r="Y216" s="14">
        <f>IF(T216="","",MAX(0,T216*VLOOKUP(T216,'税率及规则'!$A$2:$C$8,2,TRUE)-VLOOKUP(T216,'税率及规则'!$A$2:$C$8,3,TRUE)))</f>
        <v/>
      </c>
      <c r="Z216" s="14">
        <f>IF(X216="","",MAX(0,X216-Y216))</f>
        <v/>
      </c>
      <c r="AA216" s="16">
        <f>IF(G216="","",G216)</f>
        <v/>
      </c>
      <c r="AB216" s="16">
        <f>IF(AA216="","",EDATE(AA216,36))</f>
        <v/>
      </c>
      <c r="AC216" s="6">
        <f>IF(A216="","",IF(COUNTIF($A$2:$A$501,A216)&gt;1,"异常：事件编号重复",IF(OR(C216="",D216="",E216="",F216="",G216="",I216="",J216=""),"异常：必填项缺失",IF(OR(I216&lt;=0,J216&lt;0),"异常：数量或价格无效",IF(AND(F216="限制性股票",OR(M216&lt;=0,N216&lt;0,I216&gt;M216)),"异常：个人获授或出资数据无效",IF(AND(F216="股票期权",K216&lt;&gt;IF(G216&lt;DATE(2025,1,10),14.56,IF(G216&lt;DATE(2025,4,29),14.32,IF(G216&lt;DATE(2025,9,26),14.18,14.04)))),"异常：行权价格区间不符",IF(Q216&lt;&gt;"已备案","提示：未确认备案","正常")))))))</f>
        <v/>
      </c>
      <c r="AD216" s="11" t="n"/>
    </row>
    <row r="217">
      <c r="A217" s="11" t="n"/>
      <c r="B217" s="6">
        <f>IF(A217="","",A217&amp;"-TAX")</f>
        <v/>
      </c>
      <c r="C217" s="11" t="n"/>
      <c r="D217" s="11" t="n"/>
      <c r="E217" s="11" t="n"/>
      <c r="F217" s="11" t="n"/>
      <c r="G217" s="12" t="n"/>
      <c r="H217" s="6">
        <f>IF(G217="","",YEAR(G217))</f>
        <v/>
      </c>
      <c r="I217" s="11" t="n"/>
      <c r="J217" s="13" t="n"/>
      <c r="K217" s="14">
        <f>IF(F217="股票期权",IF(G217="","",IF(G217&lt;DATE(2025,1,10),14.56,IF(G217&lt;DATE(2025,4,29),14.32,IF(G217&lt;DATE(2025,9,26),14.18,14.04)))),IF(F217="限制性股票",8.68,""))</f>
        <v/>
      </c>
      <c r="L217" s="14">
        <f>IF(F217="限制性股票",13.06,"")</f>
        <v/>
      </c>
      <c r="M217" s="11" t="n"/>
      <c r="N217" s="13" t="n"/>
      <c r="O217" s="13" t="n"/>
      <c r="P217" s="12" t="n"/>
      <c r="Q217" s="11" t="n"/>
      <c r="R217" s="12" t="n"/>
      <c r="S217" s="14">
        <f>IF(OR(A217="",C217="",F217="",G217="",I217="",J217=""),"",IF(F217="股票期权",MAX(0,(J217-K217)*I217),IF(F217="限制性股票",IF(OR(L217="",M217="",M217&lt;=0,N217=""),"",MAX(0,((L217+J217)/2)*I217-N217*I217/M217)),MAX(0,O217))))</f>
        <v/>
      </c>
      <c r="T217" s="14">
        <f>IF(S217="","",SUMIFS($S$2:$S$501,$C$2:$C$501,C217,$H$2:$H$501,H217,$G$2:$G$501,"&lt;"&amp;G217)+SUMIFS($S$2:$S$501,$C$2:$C$501,C217,$H$2:$H$501,H217,$G$2:$G$501,G217,$A$2:$A$501,"&lt;"&amp;A217))</f>
        <v/>
      </c>
      <c r="U217" s="14">
        <f>IF(S217="","",T217+S217)</f>
        <v/>
      </c>
      <c r="V217" s="15">
        <f>IF(U217="","",VLOOKUP(U217,'税率及规则'!$A$2:$C$8,2,TRUE))</f>
        <v/>
      </c>
      <c r="W217" s="14">
        <f>IF(U217="","",VLOOKUP(U217,'税率及规则'!$A$2:$C$8,3,TRUE))</f>
        <v/>
      </c>
      <c r="X217" s="14">
        <f>IF(U217="","",MAX(0,U217*V217-W217))</f>
        <v/>
      </c>
      <c r="Y217" s="14">
        <f>IF(T217="","",MAX(0,T217*VLOOKUP(T217,'税率及规则'!$A$2:$C$8,2,TRUE)-VLOOKUP(T217,'税率及规则'!$A$2:$C$8,3,TRUE)))</f>
        <v/>
      </c>
      <c r="Z217" s="14">
        <f>IF(X217="","",MAX(0,X217-Y217))</f>
        <v/>
      </c>
      <c r="AA217" s="16">
        <f>IF(G217="","",G217)</f>
        <v/>
      </c>
      <c r="AB217" s="16">
        <f>IF(AA217="","",EDATE(AA217,36))</f>
        <v/>
      </c>
      <c r="AC217" s="6">
        <f>IF(A217="","",IF(COUNTIF($A$2:$A$501,A217)&gt;1,"异常：事件编号重复",IF(OR(C217="",D217="",E217="",F217="",G217="",I217="",J217=""),"异常：必填项缺失",IF(OR(I217&lt;=0,J217&lt;0),"异常：数量或价格无效",IF(AND(F217="限制性股票",OR(M217&lt;=0,N217&lt;0,I217&gt;M217)),"异常：个人获授或出资数据无效",IF(AND(F217="股票期权",K217&lt;&gt;IF(G217&lt;DATE(2025,1,10),14.56,IF(G217&lt;DATE(2025,4,29),14.32,IF(G217&lt;DATE(2025,9,26),14.18,14.04)))),"异常：行权价格区间不符",IF(Q217&lt;&gt;"已备案","提示：未确认备案","正常")))))))</f>
        <v/>
      </c>
      <c r="AD217" s="11" t="n"/>
    </row>
    <row r="218">
      <c r="A218" s="11" t="n"/>
      <c r="B218" s="6">
        <f>IF(A218="","",A218&amp;"-TAX")</f>
        <v/>
      </c>
      <c r="C218" s="11" t="n"/>
      <c r="D218" s="11" t="n"/>
      <c r="E218" s="11" t="n"/>
      <c r="F218" s="11" t="n"/>
      <c r="G218" s="12" t="n"/>
      <c r="H218" s="6">
        <f>IF(G218="","",YEAR(G218))</f>
        <v/>
      </c>
      <c r="I218" s="11" t="n"/>
      <c r="J218" s="13" t="n"/>
      <c r="K218" s="14">
        <f>IF(F218="股票期权",IF(G218="","",IF(G218&lt;DATE(2025,1,10),14.56,IF(G218&lt;DATE(2025,4,29),14.32,IF(G218&lt;DATE(2025,9,26),14.18,14.04)))),IF(F218="限制性股票",8.68,""))</f>
        <v/>
      </c>
      <c r="L218" s="14">
        <f>IF(F218="限制性股票",13.06,"")</f>
        <v/>
      </c>
      <c r="M218" s="11" t="n"/>
      <c r="N218" s="13" t="n"/>
      <c r="O218" s="13" t="n"/>
      <c r="P218" s="12" t="n"/>
      <c r="Q218" s="11" t="n"/>
      <c r="R218" s="12" t="n"/>
      <c r="S218" s="14">
        <f>IF(OR(A218="",C218="",F218="",G218="",I218="",J218=""),"",IF(F218="股票期权",MAX(0,(J218-K218)*I218),IF(F218="限制性股票",IF(OR(L218="",M218="",M218&lt;=0,N218=""),"",MAX(0,((L218+J218)/2)*I218-N218*I218/M218)),MAX(0,O218))))</f>
        <v/>
      </c>
      <c r="T218" s="14">
        <f>IF(S218="","",SUMIFS($S$2:$S$501,$C$2:$C$501,C218,$H$2:$H$501,H218,$G$2:$G$501,"&lt;"&amp;G218)+SUMIFS($S$2:$S$501,$C$2:$C$501,C218,$H$2:$H$501,H218,$G$2:$G$501,G218,$A$2:$A$501,"&lt;"&amp;A218))</f>
        <v/>
      </c>
      <c r="U218" s="14">
        <f>IF(S218="","",T218+S218)</f>
        <v/>
      </c>
      <c r="V218" s="15">
        <f>IF(U218="","",VLOOKUP(U218,'税率及规则'!$A$2:$C$8,2,TRUE))</f>
        <v/>
      </c>
      <c r="W218" s="14">
        <f>IF(U218="","",VLOOKUP(U218,'税率及规则'!$A$2:$C$8,3,TRUE))</f>
        <v/>
      </c>
      <c r="X218" s="14">
        <f>IF(U218="","",MAX(0,U218*V218-W218))</f>
        <v/>
      </c>
      <c r="Y218" s="14">
        <f>IF(T218="","",MAX(0,T218*VLOOKUP(T218,'税率及规则'!$A$2:$C$8,2,TRUE)-VLOOKUP(T218,'税率及规则'!$A$2:$C$8,3,TRUE)))</f>
        <v/>
      </c>
      <c r="Z218" s="14">
        <f>IF(X218="","",MAX(0,X218-Y218))</f>
        <v/>
      </c>
      <c r="AA218" s="16">
        <f>IF(G218="","",G218)</f>
        <v/>
      </c>
      <c r="AB218" s="16">
        <f>IF(AA218="","",EDATE(AA218,36))</f>
        <v/>
      </c>
      <c r="AC218" s="6">
        <f>IF(A218="","",IF(COUNTIF($A$2:$A$501,A218)&gt;1,"异常：事件编号重复",IF(OR(C218="",D218="",E218="",F218="",G218="",I218="",J218=""),"异常：必填项缺失",IF(OR(I218&lt;=0,J218&lt;0),"异常：数量或价格无效",IF(AND(F218="限制性股票",OR(M218&lt;=0,N218&lt;0,I218&gt;M218)),"异常：个人获授或出资数据无效",IF(AND(F218="股票期权",K218&lt;&gt;IF(G218&lt;DATE(2025,1,10),14.56,IF(G218&lt;DATE(2025,4,29),14.32,IF(G218&lt;DATE(2025,9,26),14.18,14.04)))),"异常：行权价格区间不符",IF(Q218&lt;&gt;"已备案","提示：未确认备案","正常")))))))</f>
        <v/>
      </c>
      <c r="AD218" s="11" t="n"/>
    </row>
    <row r="219">
      <c r="A219" s="11" t="n"/>
      <c r="B219" s="6">
        <f>IF(A219="","",A219&amp;"-TAX")</f>
        <v/>
      </c>
      <c r="C219" s="11" t="n"/>
      <c r="D219" s="11" t="n"/>
      <c r="E219" s="11" t="n"/>
      <c r="F219" s="11" t="n"/>
      <c r="G219" s="12" t="n"/>
      <c r="H219" s="6">
        <f>IF(G219="","",YEAR(G219))</f>
        <v/>
      </c>
      <c r="I219" s="11" t="n"/>
      <c r="J219" s="13" t="n"/>
      <c r="K219" s="14">
        <f>IF(F219="股票期权",IF(G219="","",IF(G219&lt;DATE(2025,1,10),14.56,IF(G219&lt;DATE(2025,4,29),14.32,IF(G219&lt;DATE(2025,9,26),14.18,14.04)))),IF(F219="限制性股票",8.68,""))</f>
        <v/>
      </c>
      <c r="L219" s="14">
        <f>IF(F219="限制性股票",13.06,"")</f>
        <v/>
      </c>
      <c r="M219" s="11" t="n"/>
      <c r="N219" s="13" t="n"/>
      <c r="O219" s="13" t="n"/>
      <c r="P219" s="12" t="n"/>
      <c r="Q219" s="11" t="n"/>
      <c r="R219" s="12" t="n"/>
      <c r="S219" s="14">
        <f>IF(OR(A219="",C219="",F219="",G219="",I219="",J219=""),"",IF(F219="股票期权",MAX(0,(J219-K219)*I219),IF(F219="限制性股票",IF(OR(L219="",M219="",M219&lt;=0,N219=""),"",MAX(0,((L219+J219)/2)*I219-N219*I219/M219)),MAX(0,O219))))</f>
        <v/>
      </c>
      <c r="T219" s="14">
        <f>IF(S219="","",SUMIFS($S$2:$S$501,$C$2:$C$501,C219,$H$2:$H$501,H219,$G$2:$G$501,"&lt;"&amp;G219)+SUMIFS($S$2:$S$501,$C$2:$C$501,C219,$H$2:$H$501,H219,$G$2:$G$501,G219,$A$2:$A$501,"&lt;"&amp;A219))</f>
        <v/>
      </c>
      <c r="U219" s="14">
        <f>IF(S219="","",T219+S219)</f>
        <v/>
      </c>
      <c r="V219" s="15">
        <f>IF(U219="","",VLOOKUP(U219,'税率及规则'!$A$2:$C$8,2,TRUE))</f>
        <v/>
      </c>
      <c r="W219" s="14">
        <f>IF(U219="","",VLOOKUP(U219,'税率及规则'!$A$2:$C$8,3,TRUE))</f>
        <v/>
      </c>
      <c r="X219" s="14">
        <f>IF(U219="","",MAX(0,U219*V219-W219))</f>
        <v/>
      </c>
      <c r="Y219" s="14">
        <f>IF(T219="","",MAX(0,T219*VLOOKUP(T219,'税率及规则'!$A$2:$C$8,2,TRUE)-VLOOKUP(T219,'税率及规则'!$A$2:$C$8,3,TRUE)))</f>
        <v/>
      </c>
      <c r="Z219" s="14">
        <f>IF(X219="","",MAX(0,X219-Y219))</f>
        <v/>
      </c>
      <c r="AA219" s="16">
        <f>IF(G219="","",G219)</f>
        <v/>
      </c>
      <c r="AB219" s="16">
        <f>IF(AA219="","",EDATE(AA219,36))</f>
        <v/>
      </c>
      <c r="AC219" s="6">
        <f>IF(A219="","",IF(COUNTIF($A$2:$A$501,A219)&gt;1,"异常：事件编号重复",IF(OR(C219="",D219="",E219="",F219="",G219="",I219="",J219=""),"异常：必填项缺失",IF(OR(I219&lt;=0,J219&lt;0),"异常：数量或价格无效",IF(AND(F219="限制性股票",OR(M219&lt;=0,N219&lt;0,I219&gt;M219)),"异常：个人获授或出资数据无效",IF(AND(F219="股票期权",K219&lt;&gt;IF(G219&lt;DATE(2025,1,10),14.56,IF(G219&lt;DATE(2025,4,29),14.32,IF(G219&lt;DATE(2025,9,26),14.18,14.04)))),"异常：行权价格区间不符",IF(Q219&lt;&gt;"已备案","提示：未确认备案","正常")))))))</f>
        <v/>
      </c>
      <c r="AD219" s="11" t="n"/>
    </row>
    <row r="220">
      <c r="A220" s="11" t="n"/>
      <c r="B220" s="6">
        <f>IF(A220="","",A220&amp;"-TAX")</f>
        <v/>
      </c>
      <c r="C220" s="11" t="n"/>
      <c r="D220" s="11" t="n"/>
      <c r="E220" s="11" t="n"/>
      <c r="F220" s="11" t="n"/>
      <c r="G220" s="12" t="n"/>
      <c r="H220" s="6">
        <f>IF(G220="","",YEAR(G220))</f>
        <v/>
      </c>
      <c r="I220" s="11" t="n"/>
      <c r="J220" s="13" t="n"/>
      <c r="K220" s="14">
        <f>IF(F220="股票期权",IF(G220="","",IF(G220&lt;DATE(2025,1,10),14.56,IF(G220&lt;DATE(2025,4,29),14.32,IF(G220&lt;DATE(2025,9,26),14.18,14.04)))),IF(F220="限制性股票",8.68,""))</f>
        <v/>
      </c>
      <c r="L220" s="14">
        <f>IF(F220="限制性股票",13.06,"")</f>
        <v/>
      </c>
      <c r="M220" s="11" t="n"/>
      <c r="N220" s="13" t="n"/>
      <c r="O220" s="13" t="n"/>
      <c r="P220" s="12" t="n"/>
      <c r="Q220" s="11" t="n"/>
      <c r="R220" s="12" t="n"/>
      <c r="S220" s="14">
        <f>IF(OR(A220="",C220="",F220="",G220="",I220="",J220=""),"",IF(F220="股票期权",MAX(0,(J220-K220)*I220),IF(F220="限制性股票",IF(OR(L220="",M220="",M220&lt;=0,N220=""),"",MAX(0,((L220+J220)/2)*I220-N220*I220/M220)),MAX(0,O220))))</f>
        <v/>
      </c>
      <c r="T220" s="14">
        <f>IF(S220="","",SUMIFS($S$2:$S$501,$C$2:$C$501,C220,$H$2:$H$501,H220,$G$2:$G$501,"&lt;"&amp;G220)+SUMIFS($S$2:$S$501,$C$2:$C$501,C220,$H$2:$H$501,H220,$G$2:$G$501,G220,$A$2:$A$501,"&lt;"&amp;A220))</f>
        <v/>
      </c>
      <c r="U220" s="14">
        <f>IF(S220="","",T220+S220)</f>
        <v/>
      </c>
      <c r="V220" s="15">
        <f>IF(U220="","",VLOOKUP(U220,'税率及规则'!$A$2:$C$8,2,TRUE))</f>
        <v/>
      </c>
      <c r="W220" s="14">
        <f>IF(U220="","",VLOOKUP(U220,'税率及规则'!$A$2:$C$8,3,TRUE))</f>
        <v/>
      </c>
      <c r="X220" s="14">
        <f>IF(U220="","",MAX(0,U220*V220-W220))</f>
        <v/>
      </c>
      <c r="Y220" s="14">
        <f>IF(T220="","",MAX(0,T220*VLOOKUP(T220,'税率及规则'!$A$2:$C$8,2,TRUE)-VLOOKUP(T220,'税率及规则'!$A$2:$C$8,3,TRUE)))</f>
        <v/>
      </c>
      <c r="Z220" s="14">
        <f>IF(X220="","",MAX(0,X220-Y220))</f>
        <v/>
      </c>
      <c r="AA220" s="16">
        <f>IF(G220="","",G220)</f>
        <v/>
      </c>
      <c r="AB220" s="16">
        <f>IF(AA220="","",EDATE(AA220,36))</f>
        <v/>
      </c>
      <c r="AC220" s="6">
        <f>IF(A220="","",IF(COUNTIF($A$2:$A$501,A220)&gt;1,"异常：事件编号重复",IF(OR(C220="",D220="",E220="",F220="",G220="",I220="",J220=""),"异常：必填项缺失",IF(OR(I220&lt;=0,J220&lt;0),"异常：数量或价格无效",IF(AND(F220="限制性股票",OR(M220&lt;=0,N220&lt;0,I220&gt;M220)),"异常：个人获授或出资数据无效",IF(AND(F220="股票期权",K220&lt;&gt;IF(G220&lt;DATE(2025,1,10),14.56,IF(G220&lt;DATE(2025,4,29),14.32,IF(G220&lt;DATE(2025,9,26),14.18,14.04)))),"异常：行权价格区间不符",IF(Q220&lt;&gt;"已备案","提示：未确认备案","正常")))))))</f>
        <v/>
      </c>
      <c r="AD220" s="11" t="n"/>
    </row>
    <row r="221">
      <c r="A221" s="11" t="n"/>
      <c r="B221" s="6">
        <f>IF(A221="","",A221&amp;"-TAX")</f>
        <v/>
      </c>
      <c r="C221" s="11" t="n"/>
      <c r="D221" s="11" t="n"/>
      <c r="E221" s="11" t="n"/>
      <c r="F221" s="11" t="n"/>
      <c r="G221" s="12" t="n"/>
      <c r="H221" s="6">
        <f>IF(G221="","",YEAR(G221))</f>
        <v/>
      </c>
      <c r="I221" s="11" t="n"/>
      <c r="J221" s="13" t="n"/>
      <c r="K221" s="14">
        <f>IF(F221="股票期权",IF(G221="","",IF(G221&lt;DATE(2025,1,10),14.56,IF(G221&lt;DATE(2025,4,29),14.32,IF(G221&lt;DATE(2025,9,26),14.18,14.04)))),IF(F221="限制性股票",8.68,""))</f>
        <v/>
      </c>
      <c r="L221" s="14">
        <f>IF(F221="限制性股票",13.06,"")</f>
        <v/>
      </c>
      <c r="M221" s="11" t="n"/>
      <c r="N221" s="13" t="n"/>
      <c r="O221" s="13" t="n"/>
      <c r="P221" s="12" t="n"/>
      <c r="Q221" s="11" t="n"/>
      <c r="R221" s="12" t="n"/>
      <c r="S221" s="14">
        <f>IF(OR(A221="",C221="",F221="",G221="",I221="",J221=""),"",IF(F221="股票期权",MAX(0,(J221-K221)*I221),IF(F221="限制性股票",IF(OR(L221="",M221="",M221&lt;=0,N221=""),"",MAX(0,((L221+J221)/2)*I221-N221*I221/M221)),MAX(0,O221))))</f>
        <v/>
      </c>
      <c r="T221" s="14">
        <f>IF(S221="","",SUMIFS($S$2:$S$501,$C$2:$C$501,C221,$H$2:$H$501,H221,$G$2:$G$501,"&lt;"&amp;G221)+SUMIFS($S$2:$S$501,$C$2:$C$501,C221,$H$2:$H$501,H221,$G$2:$G$501,G221,$A$2:$A$501,"&lt;"&amp;A221))</f>
        <v/>
      </c>
      <c r="U221" s="14">
        <f>IF(S221="","",T221+S221)</f>
        <v/>
      </c>
      <c r="V221" s="15">
        <f>IF(U221="","",VLOOKUP(U221,'税率及规则'!$A$2:$C$8,2,TRUE))</f>
        <v/>
      </c>
      <c r="W221" s="14">
        <f>IF(U221="","",VLOOKUP(U221,'税率及规则'!$A$2:$C$8,3,TRUE))</f>
        <v/>
      </c>
      <c r="X221" s="14">
        <f>IF(U221="","",MAX(0,U221*V221-W221))</f>
        <v/>
      </c>
      <c r="Y221" s="14">
        <f>IF(T221="","",MAX(0,T221*VLOOKUP(T221,'税率及规则'!$A$2:$C$8,2,TRUE)-VLOOKUP(T221,'税率及规则'!$A$2:$C$8,3,TRUE)))</f>
        <v/>
      </c>
      <c r="Z221" s="14">
        <f>IF(X221="","",MAX(0,X221-Y221))</f>
        <v/>
      </c>
      <c r="AA221" s="16">
        <f>IF(G221="","",G221)</f>
        <v/>
      </c>
      <c r="AB221" s="16">
        <f>IF(AA221="","",EDATE(AA221,36))</f>
        <v/>
      </c>
      <c r="AC221" s="6">
        <f>IF(A221="","",IF(COUNTIF($A$2:$A$501,A221)&gt;1,"异常：事件编号重复",IF(OR(C221="",D221="",E221="",F221="",G221="",I221="",J221=""),"异常：必填项缺失",IF(OR(I221&lt;=0,J221&lt;0),"异常：数量或价格无效",IF(AND(F221="限制性股票",OR(M221&lt;=0,N221&lt;0,I221&gt;M221)),"异常：个人获授或出资数据无效",IF(AND(F221="股票期权",K221&lt;&gt;IF(G221&lt;DATE(2025,1,10),14.56,IF(G221&lt;DATE(2025,4,29),14.32,IF(G221&lt;DATE(2025,9,26),14.18,14.04)))),"异常：行权价格区间不符",IF(Q221&lt;&gt;"已备案","提示：未确认备案","正常")))))))</f>
        <v/>
      </c>
      <c r="AD221" s="11" t="n"/>
    </row>
    <row r="222">
      <c r="A222" s="11" t="n"/>
      <c r="B222" s="6">
        <f>IF(A222="","",A222&amp;"-TAX")</f>
        <v/>
      </c>
      <c r="C222" s="11" t="n"/>
      <c r="D222" s="11" t="n"/>
      <c r="E222" s="11" t="n"/>
      <c r="F222" s="11" t="n"/>
      <c r="G222" s="12" t="n"/>
      <c r="H222" s="6">
        <f>IF(G222="","",YEAR(G222))</f>
        <v/>
      </c>
      <c r="I222" s="11" t="n"/>
      <c r="J222" s="13" t="n"/>
      <c r="K222" s="14">
        <f>IF(F222="股票期权",IF(G222="","",IF(G222&lt;DATE(2025,1,10),14.56,IF(G222&lt;DATE(2025,4,29),14.32,IF(G222&lt;DATE(2025,9,26),14.18,14.04)))),IF(F222="限制性股票",8.68,""))</f>
        <v/>
      </c>
      <c r="L222" s="14">
        <f>IF(F222="限制性股票",13.06,"")</f>
        <v/>
      </c>
      <c r="M222" s="11" t="n"/>
      <c r="N222" s="13" t="n"/>
      <c r="O222" s="13" t="n"/>
      <c r="P222" s="12" t="n"/>
      <c r="Q222" s="11" t="n"/>
      <c r="R222" s="12" t="n"/>
      <c r="S222" s="14">
        <f>IF(OR(A222="",C222="",F222="",G222="",I222="",J222=""),"",IF(F222="股票期权",MAX(0,(J222-K222)*I222),IF(F222="限制性股票",IF(OR(L222="",M222="",M222&lt;=0,N222=""),"",MAX(0,((L222+J222)/2)*I222-N222*I222/M222)),MAX(0,O222))))</f>
        <v/>
      </c>
      <c r="T222" s="14">
        <f>IF(S222="","",SUMIFS($S$2:$S$501,$C$2:$C$501,C222,$H$2:$H$501,H222,$G$2:$G$501,"&lt;"&amp;G222)+SUMIFS($S$2:$S$501,$C$2:$C$501,C222,$H$2:$H$501,H222,$G$2:$G$501,G222,$A$2:$A$501,"&lt;"&amp;A222))</f>
        <v/>
      </c>
      <c r="U222" s="14">
        <f>IF(S222="","",T222+S222)</f>
        <v/>
      </c>
      <c r="V222" s="15">
        <f>IF(U222="","",VLOOKUP(U222,'税率及规则'!$A$2:$C$8,2,TRUE))</f>
        <v/>
      </c>
      <c r="W222" s="14">
        <f>IF(U222="","",VLOOKUP(U222,'税率及规则'!$A$2:$C$8,3,TRUE))</f>
        <v/>
      </c>
      <c r="X222" s="14">
        <f>IF(U222="","",MAX(0,U222*V222-W222))</f>
        <v/>
      </c>
      <c r="Y222" s="14">
        <f>IF(T222="","",MAX(0,T222*VLOOKUP(T222,'税率及规则'!$A$2:$C$8,2,TRUE)-VLOOKUP(T222,'税率及规则'!$A$2:$C$8,3,TRUE)))</f>
        <v/>
      </c>
      <c r="Z222" s="14">
        <f>IF(X222="","",MAX(0,X222-Y222))</f>
        <v/>
      </c>
      <c r="AA222" s="16">
        <f>IF(G222="","",G222)</f>
        <v/>
      </c>
      <c r="AB222" s="16">
        <f>IF(AA222="","",EDATE(AA222,36))</f>
        <v/>
      </c>
      <c r="AC222" s="6">
        <f>IF(A222="","",IF(COUNTIF($A$2:$A$501,A222)&gt;1,"异常：事件编号重复",IF(OR(C222="",D222="",E222="",F222="",G222="",I222="",J222=""),"异常：必填项缺失",IF(OR(I222&lt;=0,J222&lt;0),"异常：数量或价格无效",IF(AND(F222="限制性股票",OR(M222&lt;=0,N222&lt;0,I222&gt;M222)),"异常：个人获授或出资数据无效",IF(AND(F222="股票期权",K222&lt;&gt;IF(G222&lt;DATE(2025,1,10),14.56,IF(G222&lt;DATE(2025,4,29),14.32,IF(G222&lt;DATE(2025,9,26),14.18,14.04)))),"异常：行权价格区间不符",IF(Q222&lt;&gt;"已备案","提示：未确认备案","正常")))))))</f>
        <v/>
      </c>
      <c r="AD222" s="11" t="n"/>
    </row>
    <row r="223">
      <c r="A223" s="11" t="n"/>
      <c r="B223" s="6">
        <f>IF(A223="","",A223&amp;"-TAX")</f>
        <v/>
      </c>
      <c r="C223" s="11" t="n"/>
      <c r="D223" s="11" t="n"/>
      <c r="E223" s="11" t="n"/>
      <c r="F223" s="11" t="n"/>
      <c r="G223" s="12" t="n"/>
      <c r="H223" s="6">
        <f>IF(G223="","",YEAR(G223))</f>
        <v/>
      </c>
      <c r="I223" s="11" t="n"/>
      <c r="J223" s="13" t="n"/>
      <c r="K223" s="14">
        <f>IF(F223="股票期权",IF(G223="","",IF(G223&lt;DATE(2025,1,10),14.56,IF(G223&lt;DATE(2025,4,29),14.32,IF(G223&lt;DATE(2025,9,26),14.18,14.04)))),IF(F223="限制性股票",8.68,""))</f>
        <v/>
      </c>
      <c r="L223" s="14">
        <f>IF(F223="限制性股票",13.06,"")</f>
        <v/>
      </c>
      <c r="M223" s="11" t="n"/>
      <c r="N223" s="13" t="n"/>
      <c r="O223" s="13" t="n"/>
      <c r="P223" s="12" t="n"/>
      <c r="Q223" s="11" t="n"/>
      <c r="R223" s="12" t="n"/>
      <c r="S223" s="14">
        <f>IF(OR(A223="",C223="",F223="",G223="",I223="",J223=""),"",IF(F223="股票期权",MAX(0,(J223-K223)*I223),IF(F223="限制性股票",IF(OR(L223="",M223="",M223&lt;=0,N223=""),"",MAX(0,((L223+J223)/2)*I223-N223*I223/M223)),MAX(0,O223))))</f>
        <v/>
      </c>
      <c r="T223" s="14">
        <f>IF(S223="","",SUMIFS($S$2:$S$501,$C$2:$C$501,C223,$H$2:$H$501,H223,$G$2:$G$501,"&lt;"&amp;G223)+SUMIFS($S$2:$S$501,$C$2:$C$501,C223,$H$2:$H$501,H223,$G$2:$G$501,G223,$A$2:$A$501,"&lt;"&amp;A223))</f>
        <v/>
      </c>
      <c r="U223" s="14">
        <f>IF(S223="","",T223+S223)</f>
        <v/>
      </c>
      <c r="V223" s="15">
        <f>IF(U223="","",VLOOKUP(U223,'税率及规则'!$A$2:$C$8,2,TRUE))</f>
        <v/>
      </c>
      <c r="W223" s="14">
        <f>IF(U223="","",VLOOKUP(U223,'税率及规则'!$A$2:$C$8,3,TRUE))</f>
        <v/>
      </c>
      <c r="X223" s="14">
        <f>IF(U223="","",MAX(0,U223*V223-W223))</f>
        <v/>
      </c>
      <c r="Y223" s="14">
        <f>IF(T223="","",MAX(0,T223*VLOOKUP(T223,'税率及规则'!$A$2:$C$8,2,TRUE)-VLOOKUP(T223,'税率及规则'!$A$2:$C$8,3,TRUE)))</f>
        <v/>
      </c>
      <c r="Z223" s="14">
        <f>IF(X223="","",MAX(0,X223-Y223))</f>
        <v/>
      </c>
      <c r="AA223" s="16">
        <f>IF(G223="","",G223)</f>
        <v/>
      </c>
      <c r="AB223" s="16">
        <f>IF(AA223="","",EDATE(AA223,36))</f>
        <v/>
      </c>
      <c r="AC223" s="6">
        <f>IF(A223="","",IF(COUNTIF($A$2:$A$501,A223)&gt;1,"异常：事件编号重复",IF(OR(C223="",D223="",E223="",F223="",G223="",I223="",J223=""),"异常：必填项缺失",IF(OR(I223&lt;=0,J223&lt;0),"异常：数量或价格无效",IF(AND(F223="限制性股票",OR(M223&lt;=0,N223&lt;0,I223&gt;M223)),"异常：个人获授或出资数据无效",IF(AND(F223="股票期权",K223&lt;&gt;IF(G223&lt;DATE(2025,1,10),14.56,IF(G223&lt;DATE(2025,4,29),14.32,IF(G223&lt;DATE(2025,9,26),14.18,14.04)))),"异常：行权价格区间不符",IF(Q223&lt;&gt;"已备案","提示：未确认备案","正常")))))))</f>
        <v/>
      </c>
      <c r="AD223" s="11" t="n"/>
    </row>
    <row r="224">
      <c r="A224" s="11" t="n"/>
      <c r="B224" s="6">
        <f>IF(A224="","",A224&amp;"-TAX")</f>
        <v/>
      </c>
      <c r="C224" s="11" t="n"/>
      <c r="D224" s="11" t="n"/>
      <c r="E224" s="11" t="n"/>
      <c r="F224" s="11" t="n"/>
      <c r="G224" s="12" t="n"/>
      <c r="H224" s="6">
        <f>IF(G224="","",YEAR(G224))</f>
        <v/>
      </c>
      <c r="I224" s="11" t="n"/>
      <c r="J224" s="13" t="n"/>
      <c r="K224" s="14">
        <f>IF(F224="股票期权",IF(G224="","",IF(G224&lt;DATE(2025,1,10),14.56,IF(G224&lt;DATE(2025,4,29),14.32,IF(G224&lt;DATE(2025,9,26),14.18,14.04)))),IF(F224="限制性股票",8.68,""))</f>
        <v/>
      </c>
      <c r="L224" s="14">
        <f>IF(F224="限制性股票",13.06,"")</f>
        <v/>
      </c>
      <c r="M224" s="11" t="n"/>
      <c r="N224" s="13" t="n"/>
      <c r="O224" s="13" t="n"/>
      <c r="P224" s="12" t="n"/>
      <c r="Q224" s="11" t="n"/>
      <c r="R224" s="12" t="n"/>
      <c r="S224" s="14">
        <f>IF(OR(A224="",C224="",F224="",G224="",I224="",J224=""),"",IF(F224="股票期权",MAX(0,(J224-K224)*I224),IF(F224="限制性股票",IF(OR(L224="",M224="",M224&lt;=0,N224=""),"",MAX(0,((L224+J224)/2)*I224-N224*I224/M224)),MAX(0,O224))))</f>
        <v/>
      </c>
      <c r="T224" s="14">
        <f>IF(S224="","",SUMIFS($S$2:$S$501,$C$2:$C$501,C224,$H$2:$H$501,H224,$G$2:$G$501,"&lt;"&amp;G224)+SUMIFS($S$2:$S$501,$C$2:$C$501,C224,$H$2:$H$501,H224,$G$2:$G$501,G224,$A$2:$A$501,"&lt;"&amp;A224))</f>
        <v/>
      </c>
      <c r="U224" s="14">
        <f>IF(S224="","",T224+S224)</f>
        <v/>
      </c>
      <c r="V224" s="15">
        <f>IF(U224="","",VLOOKUP(U224,'税率及规则'!$A$2:$C$8,2,TRUE))</f>
        <v/>
      </c>
      <c r="W224" s="14">
        <f>IF(U224="","",VLOOKUP(U224,'税率及规则'!$A$2:$C$8,3,TRUE))</f>
        <v/>
      </c>
      <c r="X224" s="14">
        <f>IF(U224="","",MAX(0,U224*V224-W224))</f>
        <v/>
      </c>
      <c r="Y224" s="14">
        <f>IF(T224="","",MAX(0,T224*VLOOKUP(T224,'税率及规则'!$A$2:$C$8,2,TRUE)-VLOOKUP(T224,'税率及规则'!$A$2:$C$8,3,TRUE)))</f>
        <v/>
      </c>
      <c r="Z224" s="14">
        <f>IF(X224="","",MAX(0,X224-Y224))</f>
        <v/>
      </c>
      <c r="AA224" s="16">
        <f>IF(G224="","",G224)</f>
        <v/>
      </c>
      <c r="AB224" s="16">
        <f>IF(AA224="","",EDATE(AA224,36))</f>
        <v/>
      </c>
      <c r="AC224" s="6">
        <f>IF(A224="","",IF(COUNTIF($A$2:$A$501,A224)&gt;1,"异常：事件编号重复",IF(OR(C224="",D224="",E224="",F224="",G224="",I224="",J224=""),"异常：必填项缺失",IF(OR(I224&lt;=0,J224&lt;0),"异常：数量或价格无效",IF(AND(F224="限制性股票",OR(M224&lt;=0,N224&lt;0,I224&gt;M224)),"异常：个人获授或出资数据无效",IF(AND(F224="股票期权",K224&lt;&gt;IF(G224&lt;DATE(2025,1,10),14.56,IF(G224&lt;DATE(2025,4,29),14.32,IF(G224&lt;DATE(2025,9,26),14.18,14.04)))),"异常：行权价格区间不符",IF(Q224&lt;&gt;"已备案","提示：未确认备案","正常")))))))</f>
        <v/>
      </c>
      <c r="AD224" s="11" t="n"/>
    </row>
    <row r="225">
      <c r="A225" s="11" t="n"/>
      <c r="B225" s="6">
        <f>IF(A225="","",A225&amp;"-TAX")</f>
        <v/>
      </c>
      <c r="C225" s="11" t="n"/>
      <c r="D225" s="11" t="n"/>
      <c r="E225" s="11" t="n"/>
      <c r="F225" s="11" t="n"/>
      <c r="G225" s="12" t="n"/>
      <c r="H225" s="6">
        <f>IF(G225="","",YEAR(G225))</f>
        <v/>
      </c>
      <c r="I225" s="11" t="n"/>
      <c r="J225" s="13" t="n"/>
      <c r="K225" s="14">
        <f>IF(F225="股票期权",IF(G225="","",IF(G225&lt;DATE(2025,1,10),14.56,IF(G225&lt;DATE(2025,4,29),14.32,IF(G225&lt;DATE(2025,9,26),14.18,14.04)))),IF(F225="限制性股票",8.68,""))</f>
        <v/>
      </c>
      <c r="L225" s="14">
        <f>IF(F225="限制性股票",13.06,"")</f>
        <v/>
      </c>
      <c r="M225" s="11" t="n"/>
      <c r="N225" s="13" t="n"/>
      <c r="O225" s="13" t="n"/>
      <c r="P225" s="12" t="n"/>
      <c r="Q225" s="11" t="n"/>
      <c r="R225" s="12" t="n"/>
      <c r="S225" s="14">
        <f>IF(OR(A225="",C225="",F225="",G225="",I225="",J225=""),"",IF(F225="股票期权",MAX(0,(J225-K225)*I225),IF(F225="限制性股票",IF(OR(L225="",M225="",M225&lt;=0,N225=""),"",MAX(0,((L225+J225)/2)*I225-N225*I225/M225)),MAX(0,O225))))</f>
        <v/>
      </c>
      <c r="T225" s="14">
        <f>IF(S225="","",SUMIFS($S$2:$S$501,$C$2:$C$501,C225,$H$2:$H$501,H225,$G$2:$G$501,"&lt;"&amp;G225)+SUMIFS($S$2:$S$501,$C$2:$C$501,C225,$H$2:$H$501,H225,$G$2:$G$501,G225,$A$2:$A$501,"&lt;"&amp;A225))</f>
        <v/>
      </c>
      <c r="U225" s="14">
        <f>IF(S225="","",T225+S225)</f>
        <v/>
      </c>
      <c r="V225" s="15">
        <f>IF(U225="","",VLOOKUP(U225,'税率及规则'!$A$2:$C$8,2,TRUE))</f>
        <v/>
      </c>
      <c r="W225" s="14">
        <f>IF(U225="","",VLOOKUP(U225,'税率及规则'!$A$2:$C$8,3,TRUE))</f>
        <v/>
      </c>
      <c r="X225" s="14">
        <f>IF(U225="","",MAX(0,U225*V225-W225))</f>
        <v/>
      </c>
      <c r="Y225" s="14">
        <f>IF(T225="","",MAX(0,T225*VLOOKUP(T225,'税率及规则'!$A$2:$C$8,2,TRUE)-VLOOKUP(T225,'税率及规则'!$A$2:$C$8,3,TRUE)))</f>
        <v/>
      </c>
      <c r="Z225" s="14">
        <f>IF(X225="","",MAX(0,X225-Y225))</f>
        <v/>
      </c>
      <c r="AA225" s="16">
        <f>IF(G225="","",G225)</f>
        <v/>
      </c>
      <c r="AB225" s="16">
        <f>IF(AA225="","",EDATE(AA225,36))</f>
        <v/>
      </c>
      <c r="AC225" s="6">
        <f>IF(A225="","",IF(COUNTIF($A$2:$A$501,A225)&gt;1,"异常：事件编号重复",IF(OR(C225="",D225="",E225="",F225="",G225="",I225="",J225=""),"异常：必填项缺失",IF(OR(I225&lt;=0,J225&lt;0),"异常：数量或价格无效",IF(AND(F225="限制性股票",OR(M225&lt;=0,N225&lt;0,I225&gt;M225)),"异常：个人获授或出资数据无效",IF(AND(F225="股票期权",K225&lt;&gt;IF(G225&lt;DATE(2025,1,10),14.56,IF(G225&lt;DATE(2025,4,29),14.32,IF(G225&lt;DATE(2025,9,26),14.18,14.04)))),"异常：行权价格区间不符",IF(Q225&lt;&gt;"已备案","提示：未确认备案","正常")))))))</f>
        <v/>
      </c>
      <c r="AD225" s="11" t="n"/>
    </row>
    <row r="226">
      <c r="A226" s="11" t="n"/>
      <c r="B226" s="6">
        <f>IF(A226="","",A226&amp;"-TAX")</f>
        <v/>
      </c>
      <c r="C226" s="11" t="n"/>
      <c r="D226" s="11" t="n"/>
      <c r="E226" s="11" t="n"/>
      <c r="F226" s="11" t="n"/>
      <c r="G226" s="12" t="n"/>
      <c r="H226" s="6">
        <f>IF(G226="","",YEAR(G226))</f>
        <v/>
      </c>
      <c r="I226" s="11" t="n"/>
      <c r="J226" s="13" t="n"/>
      <c r="K226" s="14">
        <f>IF(F226="股票期权",IF(G226="","",IF(G226&lt;DATE(2025,1,10),14.56,IF(G226&lt;DATE(2025,4,29),14.32,IF(G226&lt;DATE(2025,9,26),14.18,14.04)))),IF(F226="限制性股票",8.68,""))</f>
        <v/>
      </c>
      <c r="L226" s="14">
        <f>IF(F226="限制性股票",13.06,"")</f>
        <v/>
      </c>
      <c r="M226" s="11" t="n"/>
      <c r="N226" s="13" t="n"/>
      <c r="O226" s="13" t="n"/>
      <c r="P226" s="12" t="n"/>
      <c r="Q226" s="11" t="n"/>
      <c r="R226" s="12" t="n"/>
      <c r="S226" s="14">
        <f>IF(OR(A226="",C226="",F226="",G226="",I226="",J226=""),"",IF(F226="股票期权",MAX(0,(J226-K226)*I226),IF(F226="限制性股票",IF(OR(L226="",M226="",M226&lt;=0,N226=""),"",MAX(0,((L226+J226)/2)*I226-N226*I226/M226)),MAX(0,O226))))</f>
        <v/>
      </c>
      <c r="T226" s="14">
        <f>IF(S226="","",SUMIFS($S$2:$S$501,$C$2:$C$501,C226,$H$2:$H$501,H226,$G$2:$G$501,"&lt;"&amp;G226)+SUMIFS($S$2:$S$501,$C$2:$C$501,C226,$H$2:$H$501,H226,$G$2:$G$501,G226,$A$2:$A$501,"&lt;"&amp;A226))</f>
        <v/>
      </c>
      <c r="U226" s="14">
        <f>IF(S226="","",T226+S226)</f>
        <v/>
      </c>
      <c r="V226" s="15">
        <f>IF(U226="","",VLOOKUP(U226,'税率及规则'!$A$2:$C$8,2,TRUE))</f>
        <v/>
      </c>
      <c r="W226" s="14">
        <f>IF(U226="","",VLOOKUP(U226,'税率及规则'!$A$2:$C$8,3,TRUE))</f>
        <v/>
      </c>
      <c r="X226" s="14">
        <f>IF(U226="","",MAX(0,U226*V226-W226))</f>
        <v/>
      </c>
      <c r="Y226" s="14">
        <f>IF(T226="","",MAX(0,T226*VLOOKUP(T226,'税率及规则'!$A$2:$C$8,2,TRUE)-VLOOKUP(T226,'税率及规则'!$A$2:$C$8,3,TRUE)))</f>
        <v/>
      </c>
      <c r="Z226" s="14">
        <f>IF(X226="","",MAX(0,X226-Y226))</f>
        <v/>
      </c>
      <c r="AA226" s="16">
        <f>IF(G226="","",G226)</f>
        <v/>
      </c>
      <c r="AB226" s="16">
        <f>IF(AA226="","",EDATE(AA226,36))</f>
        <v/>
      </c>
      <c r="AC226" s="6">
        <f>IF(A226="","",IF(COUNTIF($A$2:$A$501,A226)&gt;1,"异常：事件编号重复",IF(OR(C226="",D226="",E226="",F226="",G226="",I226="",J226=""),"异常：必填项缺失",IF(OR(I226&lt;=0,J226&lt;0),"异常：数量或价格无效",IF(AND(F226="限制性股票",OR(M226&lt;=0,N226&lt;0,I226&gt;M226)),"异常：个人获授或出资数据无效",IF(AND(F226="股票期权",K226&lt;&gt;IF(G226&lt;DATE(2025,1,10),14.56,IF(G226&lt;DATE(2025,4,29),14.32,IF(G226&lt;DATE(2025,9,26),14.18,14.04)))),"异常：行权价格区间不符",IF(Q226&lt;&gt;"已备案","提示：未确认备案","正常")))))))</f>
        <v/>
      </c>
      <c r="AD226" s="11" t="n"/>
    </row>
    <row r="227">
      <c r="A227" s="11" t="n"/>
      <c r="B227" s="6">
        <f>IF(A227="","",A227&amp;"-TAX")</f>
        <v/>
      </c>
      <c r="C227" s="11" t="n"/>
      <c r="D227" s="11" t="n"/>
      <c r="E227" s="11" t="n"/>
      <c r="F227" s="11" t="n"/>
      <c r="G227" s="12" t="n"/>
      <c r="H227" s="6">
        <f>IF(G227="","",YEAR(G227))</f>
        <v/>
      </c>
      <c r="I227" s="11" t="n"/>
      <c r="J227" s="13" t="n"/>
      <c r="K227" s="14">
        <f>IF(F227="股票期权",IF(G227="","",IF(G227&lt;DATE(2025,1,10),14.56,IF(G227&lt;DATE(2025,4,29),14.32,IF(G227&lt;DATE(2025,9,26),14.18,14.04)))),IF(F227="限制性股票",8.68,""))</f>
        <v/>
      </c>
      <c r="L227" s="14">
        <f>IF(F227="限制性股票",13.06,"")</f>
        <v/>
      </c>
      <c r="M227" s="11" t="n"/>
      <c r="N227" s="13" t="n"/>
      <c r="O227" s="13" t="n"/>
      <c r="P227" s="12" t="n"/>
      <c r="Q227" s="11" t="n"/>
      <c r="R227" s="12" t="n"/>
      <c r="S227" s="14">
        <f>IF(OR(A227="",C227="",F227="",G227="",I227="",J227=""),"",IF(F227="股票期权",MAX(0,(J227-K227)*I227),IF(F227="限制性股票",IF(OR(L227="",M227="",M227&lt;=0,N227=""),"",MAX(0,((L227+J227)/2)*I227-N227*I227/M227)),MAX(0,O227))))</f>
        <v/>
      </c>
      <c r="T227" s="14">
        <f>IF(S227="","",SUMIFS($S$2:$S$501,$C$2:$C$501,C227,$H$2:$H$501,H227,$G$2:$G$501,"&lt;"&amp;G227)+SUMIFS($S$2:$S$501,$C$2:$C$501,C227,$H$2:$H$501,H227,$G$2:$G$501,G227,$A$2:$A$501,"&lt;"&amp;A227))</f>
        <v/>
      </c>
      <c r="U227" s="14">
        <f>IF(S227="","",T227+S227)</f>
        <v/>
      </c>
      <c r="V227" s="15">
        <f>IF(U227="","",VLOOKUP(U227,'税率及规则'!$A$2:$C$8,2,TRUE))</f>
        <v/>
      </c>
      <c r="W227" s="14">
        <f>IF(U227="","",VLOOKUP(U227,'税率及规则'!$A$2:$C$8,3,TRUE))</f>
        <v/>
      </c>
      <c r="X227" s="14">
        <f>IF(U227="","",MAX(0,U227*V227-W227))</f>
        <v/>
      </c>
      <c r="Y227" s="14">
        <f>IF(T227="","",MAX(0,T227*VLOOKUP(T227,'税率及规则'!$A$2:$C$8,2,TRUE)-VLOOKUP(T227,'税率及规则'!$A$2:$C$8,3,TRUE)))</f>
        <v/>
      </c>
      <c r="Z227" s="14">
        <f>IF(X227="","",MAX(0,X227-Y227))</f>
        <v/>
      </c>
      <c r="AA227" s="16">
        <f>IF(G227="","",G227)</f>
        <v/>
      </c>
      <c r="AB227" s="16">
        <f>IF(AA227="","",EDATE(AA227,36))</f>
        <v/>
      </c>
      <c r="AC227" s="6">
        <f>IF(A227="","",IF(COUNTIF($A$2:$A$501,A227)&gt;1,"异常：事件编号重复",IF(OR(C227="",D227="",E227="",F227="",G227="",I227="",J227=""),"异常：必填项缺失",IF(OR(I227&lt;=0,J227&lt;0),"异常：数量或价格无效",IF(AND(F227="限制性股票",OR(M227&lt;=0,N227&lt;0,I227&gt;M227)),"异常：个人获授或出资数据无效",IF(AND(F227="股票期权",K227&lt;&gt;IF(G227&lt;DATE(2025,1,10),14.56,IF(G227&lt;DATE(2025,4,29),14.32,IF(G227&lt;DATE(2025,9,26),14.18,14.04)))),"异常：行权价格区间不符",IF(Q227&lt;&gt;"已备案","提示：未确认备案","正常")))))))</f>
        <v/>
      </c>
      <c r="AD227" s="11" t="n"/>
    </row>
    <row r="228">
      <c r="A228" s="11" t="n"/>
      <c r="B228" s="6">
        <f>IF(A228="","",A228&amp;"-TAX")</f>
        <v/>
      </c>
      <c r="C228" s="11" t="n"/>
      <c r="D228" s="11" t="n"/>
      <c r="E228" s="11" t="n"/>
      <c r="F228" s="11" t="n"/>
      <c r="G228" s="12" t="n"/>
      <c r="H228" s="6">
        <f>IF(G228="","",YEAR(G228))</f>
        <v/>
      </c>
      <c r="I228" s="11" t="n"/>
      <c r="J228" s="13" t="n"/>
      <c r="K228" s="14">
        <f>IF(F228="股票期权",IF(G228="","",IF(G228&lt;DATE(2025,1,10),14.56,IF(G228&lt;DATE(2025,4,29),14.32,IF(G228&lt;DATE(2025,9,26),14.18,14.04)))),IF(F228="限制性股票",8.68,""))</f>
        <v/>
      </c>
      <c r="L228" s="14">
        <f>IF(F228="限制性股票",13.06,"")</f>
        <v/>
      </c>
      <c r="M228" s="11" t="n"/>
      <c r="N228" s="13" t="n"/>
      <c r="O228" s="13" t="n"/>
      <c r="P228" s="12" t="n"/>
      <c r="Q228" s="11" t="n"/>
      <c r="R228" s="12" t="n"/>
      <c r="S228" s="14">
        <f>IF(OR(A228="",C228="",F228="",G228="",I228="",J228=""),"",IF(F228="股票期权",MAX(0,(J228-K228)*I228),IF(F228="限制性股票",IF(OR(L228="",M228="",M228&lt;=0,N228=""),"",MAX(0,((L228+J228)/2)*I228-N228*I228/M228)),MAX(0,O228))))</f>
        <v/>
      </c>
      <c r="T228" s="14">
        <f>IF(S228="","",SUMIFS($S$2:$S$501,$C$2:$C$501,C228,$H$2:$H$501,H228,$G$2:$G$501,"&lt;"&amp;G228)+SUMIFS($S$2:$S$501,$C$2:$C$501,C228,$H$2:$H$501,H228,$G$2:$G$501,G228,$A$2:$A$501,"&lt;"&amp;A228))</f>
        <v/>
      </c>
      <c r="U228" s="14">
        <f>IF(S228="","",T228+S228)</f>
        <v/>
      </c>
      <c r="V228" s="15">
        <f>IF(U228="","",VLOOKUP(U228,'税率及规则'!$A$2:$C$8,2,TRUE))</f>
        <v/>
      </c>
      <c r="W228" s="14">
        <f>IF(U228="","",VLOOKUP(U228,'税率及规则'!$A$2:$C$8,3,TRUE))</f>
        <v/>
      </c>
      <c r="X228" s="14">
        <f>IF(U228="","",MAX(0,U228*V228-W228))</f>
        <v/>
      </c>
      <c r="Y228" s="14">
        <f>IF(T228="","",MAX(0,T228*VLOOKUP(T228,'税率及规则'!$A$2:$C$8,2,TRUE)-VLOOKUP(T228,'税率及规则'!$A$2:$C$8,3,TRUE)))</f>
        <v/>
      </c>
      <c r="Z228" s="14">
        <f>IF(X228="","",MAX(0,X228-Y228))</f>
        <v/>
      </c>
      <c r="AA228" s="16">
        <f>IF(G228="","",G228)</f>
        <v/>
      </c>
      <c r="AB228" s="16">
        <f>IF(AA228="","",EDATE(AA228,36))</f>
        <v/>
      </c>
      <c r="AC228" s="6">
        <f>IF(A228="","",IF(COUNTIF($A$2:$A$501,A228)&gt;1,"异常：事件编号重复",IF(OR(C228="",D228="",E228="",F228="",G228="",I228="",J228=""),"异常：必填项缺失",IF(OR(I228&lt;=0,J228&lt;0),"异常：数量或价格无效",IF(AND(F228="限制性股票",OR(M228&lt;=0,N228&lt;0,I228&gt;M228)),"异常：个人获授或出资数据无效",IF(AND(F228="股票期权",K228&lt;&gt;IF(G228&lt;DATE(2025,1,10),14.56,IF(G228&lt;DATE(2025,4,29),14.32,IF(G228&lt;DATE(2025,9,26),14.18,14.04)))),"异常：行权价格区间不符",IF(Q228&lt;&gt;"已备案","提示：未确认备案","正常")))))))</f>
        <v/>
      </c>
      <c r="AD228" s="11" t="n"/>
    </row>
    <row r="229">
      <c r="A229" s="11" t="n"/>
      <c r="B229" s="6">
        <f>IF(A229="","",A229&amp;"-TAX")</f>
        <v/>
      </c>
      <c r="C229" s="11" t="n"/>
      <c r="D229" s="11" t="n"/>
      <c r="E229" s="11" t="n"/>
      <c r="F229" s="11" t="n"/>
      <c r="G229" s="12" t="n"/>
      <c r="H229" s="6">
        <f>IF(G229="","",YEAR(G229))</f>
        <v/>
      </c>
      <c r="I229" s="11" t="n"/>
      <c r="J229" s="13" t="n"/>
      <c r="K229" s="14">
        <f>IF(F229="股票期权",IF(G229="","",IF(G229&lt;DATE(2025,1,10),14.56,IF(G229&lt;DATE(2025,4,29),14.32,IF(G229&lt;DATE(2025,9,26),14.18,14.04)))),IF(F229="限制性股票",8.68,""))</f>
        <v/>
      </c>
      <c r="L229" s="14">
        <f>IF(F229="限制性股票",13.06,"")</f>
        <v/>
      </c>
      <c r="M229" s="11" t="n"/>
      <c r="N229" s="13" t="n"/>
      <c r="O229" s="13" t="n"/>
      <c r="P229" s="12" t="n"/>
      <c r="Q229" s="11" t="n"/>
      <c r="R229" s="12" t="n"/>
      <c r="S229" s="14">
        <f>IF(OR(A229="",C229="",F229="",G229="",I229="",J229=""),"",IF(F229="股票期权",MAX(0,(J229-K229)*I229),IF(F229="限制性股票",IF(OR(L229="",M229="",M229&lt;=0,N229=""),"",MAX(0,((L229+J229)/2)*I229-N229*I229/M229)),MAX(0,O229))))</f>
        <v/>
      </c>
      <c r="T229" s="14">
        <f>IF(S229="","",SUMIFS($S$2:$S$501,$C$2:$C$501,C229,$H$2:$H$501,H229,$G$2:$G$501,"&lt;"&amp;G229)+SUMIFS($S$2:$S$501,$C$2:$C$501,C229,$H$2:$H$501,H229,$G$2:$G$501,G229,$A$2:$A$501,"&lt;"&amp;A229))</f>
        <v/>
      </c>
      <c r="U229" s="14">
        <f>IF(S229="","",T229+S229)</f>
        <v/>
      </c>
      <c r="V229" s="15">
        <f>IF(U229="","",VLOOKUP(U229,'税率及规则'!$A$2:$C$8,2,TRUE))</f>
        <v/>
      </c>
      <c r="W229" s="14">
        <f>IF(U229="","",VLOOKUP(U229,'税率及规则'!$A$2:$C$8,3,TRUE))</f>
        <v/>
      </c>
      <c r="X229" s="14">
        <f>IF(U229="","",MAX(0,U229*V229-W229))</f>
        <v/>
      </c>
      <c r="Y229" s="14">
        <f>IF(T229="","",MAX(0,T229*VLOOKUP(T229,'税率及规则'!$A$2:$C$8,2,TRUE)-VLOOKUP(T229,'税率及规则'!$A$2:$C$8,3,TRUE)))</f>
        <v/>
      </c>
      <c r="Z229" s="14">
        <f>IF(X229="","",MAX(0,X229-Y229))</f>
        <v/>
      </c>
      <c r="AA229" s="16">
        <f>IF(G229="","",G229)</f>
        <v/>
      </c>
      <c r="AB229" s="16">
        <f>IF(AA229="","",EDATE(AA229,36))</f>
        <v/>
      </c>
      <c r="AC229" s="6">
        <f>IF(A229="","",IF(COUNTIF($A$2:$A$501,A229)&gt;1,"异常：事件编号重复",IF(OR(C229="",D229="",E229="",F229="",G229="",I229="",J229=""),"异常：必填项缺失",IF(OR(I229&lt;=0,J229&lt;0),"异常：数量或价格无效",IF(AND(F229="限制性股票",OR(M229&lt;=0,N229&lt;0,I229&gt;M229)),"异常：个人获授或出资数据无效",IF(AND(F229="股票期权",K229&lt;&gt;IF(G229&lt;DATE(2025,1,10),14.56,IF(G229&lt;DATE(2025,4,29),14.32,IF(G229&lt;DATE(2025,9,26),14.18,14.04)))),"异常：行权价格区间不符",IF(Q229&lt;&gt;"已备案","提示：未确认备案","正常")))))))</f>
        <v/>
      </c>
      <c r="AD229" s="11" t="n"/>
    </row>
    <row r="230">
      <c r="A230" s="11" t="n"/>
      <c r="B230" s="6">
        <f>IF(A230="","",A230&amp;"-TAX")</f>
        <v/>
      </c>
      <c r="C230" s="11" t="n"/>
      <c r="D230" s="11" t="n"/>
      <c r="E230" s="11" t="n"/>
      <c r="F230" s="11" t="n"/>
      <c r="G230" s="12" t="n"/>
      <c r="H230" s="6">
        <f>IF(G230="","",YEAR(G230))</f>
        <v/>
      </c>
      <c r="I230" s="11" t="n"/>
      <c r="J230" s="13" t="n"/>
      <c r="K230" s="14">
        <f>IF(F230="股票期权",IF(G230="","",IF(G230&lt;DATE(2025,1,10),14.56,IF(G230&lt;DATE(2025,4,29),14.32,IF(G230&lt;DATE(2025,9,26),14.18,14.04)))),IF(F230="限制性股票",8.68,""))</f>
        <v/>
      </c>
      <c r="L230" s="14">
        <f>IF(F230="限制性股票",13.06,"")</f>
        <v/>
      </c>
      <c r="M230" s="11" t="n"/>
      <c r="N230" s="13" t="n"/>
      <c r="O230" s="13" t="n"/>
      <c r="P230" s="12" t="n"/>
      <c r="Q230" s="11" t="n"/>
      <c r="R230" s="12" t="n"/>
      <c r="S230" s="14">
        <f>IF(OR(A230="",C230="",F230="",G230="",I230="",J230=""),"",IF(F230="股票期权",MAX(0,(J230-K230)*I230),IF(F230="限制性股票",IF(OR(L230="",M230="",M230&lt;=0,N230=""),"",MAX(0,((L230+J230)/2)*I230-N230*I230/M230)),MAX(0,O230))))</f>
        <v/>
      </c>
      <c r="T230" s="14">
        <f>IF(S230="","",SUMIFS($S$2:$S$501,$C$2:$C$501,C230,$H$2:$H$501,H230,$G$2:$G$501,"&lt;"&amp;G230)+SUMIFS($S$2:$S$501,$C$2:$C$501,C230,$H$2:$H$501,H230,$G$2:$G$501,G230,$A$2:$A$501,"&lt;"&amp;A230))</f>
        <v/>
      </c>
      <c r="U230" s="14">
        <f>IF(S230="","",T230+S230)</f>
        <v/>
      </c>
      <c r="V230" s="15">
        <f>IF(U230="","",VLOOKUP(U230,'税率及规则'!$A$2:$C$8,2,TRUE))</f>
        <v/>
      </c>
      <c r="W230" s="14">
        <f>IF(U230="","",VLOOKUP(U230,'税率及规则'!$A$2:$C$8,3,TRUE))</f>
        <v/>
      </c>
      <c r="X230" s="14">
        <f>IF(U230="","",MAX(0,U230*V230-W230))</f>
        <v/>
      </c>
      <c r="Y230" s="14">
        <f>IF(T230="","",MAX(0,T230*VLOOKUP(T230,'税率及规则'!$A$2:$C$8,2,TRUE)-VLOOKUP(T230,'税率及规则'!$A$2:$C$8,3,TRUE)))</f>
        <v/>
      </c>
      <c r="Z230" s="14">
        <f>IF(X230="","",MAX(0,X230-Y230))</f>
        <v/>
      </c>
      <c r="AA230" s="16">
        <f>IF(G230="","",G230)</f>
        <v/>
      </c>
      <c r="AB230" s="16">
        <f>IF(AA230="","",EDATE(AA230,36))</f>
        <v/>
      </c>
      <c r="AC230" s="6">
        <f>IF(A230="","",IF(COUNTIF($A$2:$A$501,A230)&gt;1,"异常：事件编号重复",IF(OR(C230="",D230="",E230="",F230="",G230="",I230="",J230=""),"异常：必填项缺失",IF(OR(I230&lt;=0,J230&lt;0),"异常：数量或价格无效",IF(AND(F230="限制性股票",OR(M230&lt;=0,N230&lt;0,I230&gt;M230)),"异常：个人获授或出资数据无效",IF(AND(F230="股票期权",K230&lt;&gt;IF(G230&lt;DATE(2025,1,10),14.56,IF(G230&lt;DATE(2025,4,29),14.32,IF(G230&lt;DATE(2025,9,26),14.18,14.04)))),"异常：行权价格区间不符",IF(Q230&lt;&gt;"已备案","提示：未确认备案","正常")))))))</f>
        <v/>
      </c>
      <c r="AD230" s="11" t="n"/>
    </row>
    <row r="231">
      <c r="A231" s="11" t="n"/>
      <c r="B231" s="6">
        <f>IF(A231="","",A231&amp;"-TAX")</f>
        <v/>
      </c>
      <c r="C231" s="11" t="n"/>
      <c r="D231" s="11" t="n"/>
      <c r="E231" s="11" t="n"/>
      <c r="F231" s="11" t="n"/>
      <c r="G231" s="12" t="n"/>
      <c r="H231" s="6">
        <f>IF(G231="","",YEAR(G231))</f>
        <v/>
      </c>
      <c r="I231" s="11" t="n"/>
      <c r="J231" s="13" t="n"/>
      <c r="K231" s="14">
        <f>IF(F231="股票期权",IF(G231="","",IF(G231&lt;DATE(2025,1,10),14.56,IF(G231&lt;DATE(2025,4,29),14.32,IF(G231&lt;DATE(2025,9,26),14.18,14.04)))),IF(F231="限制性股票",8.68,""))</f>
        <v/>
      </c>
      <c r="L231" s="14">
        <f>IF(F231="限制性股票",13.06,"")</f>
        <v/>
      </c>
      <c r="M231" s="11" t="n"/>
      <c r="N231" s="13" t="n"/>
      <c r="O231" s="13" t="n"/>
      <c r="P231" s="12" t="n"/>
      <c r="Q231" s="11" t="n"/>
      <c r="R231" s="12" t="n"/>
      <c r="S231" s="14">
        <f>IF(OR(A231="",C231="",F231="",G231="",I231="",J231=""),"",IF(F231="股票期权",MAX(0,(J231-K231)*I231),IF(F231="限制性股票",IF(OR(L231="",M231="",M231&lt;=0,N231=""),"",MAX(0,((L231+J231)/2)*I231-N231*I231/M231)),MAX(0,O231))))</f>
        <v/>
      </c>
      <c r="T231" s="14">
        <f>IF(S231="","",SUMIFS($S$2:$S$501,$C$2:$C$501,C231,$H$2:$H$501,H231,$G$2:$G$501,"&lt;"&amp;G231)+SUMIFS($S$2:$S$501,$C$2:$C$501,C231,$H$2:$H$501,H231,$G$2:$G$501,G231,$A$2:$A$501,"&lt;"&amp;A231))</f>
        <v/>
      </c>
      <c r="U231" s="14">
        <f>IF(S231="","",T231+S231)</f>
        <v/>
      </c>
      <c r="V231" s="15">
        <f>IF(U231="","",VLOOKUP(U231,'税率及规则'!$A$2:$C$8,2,TRUE))</f>
        <v/>
      </c>
      <c r="W231" s="14">
        <f>IF(U231="","",VLOOKUP(U231,'税率及规则'!$A$2:$C$8,3,TRUE))</f>
        <v/>
      </c>
      <c r="X231" s="14">
        <f>IF(U231="","",MAX(0,U231*V231-W231))</f>
        <v/>
      </c>
      <c r="Y231" s="14">
        <f>IF(T231="","",MAX(0,T231*VLOOKUP(T231,'税率及规则'!$A$2:$C$8,2,TRUE)-VLOOKUP(T231,'税率及规则'!$A$2:$C$8,3,TRUE)))</f>
        <v/>
      </c>
      <c r="Z231" s="14">
        <f>IF(X231="","",MAX(0,X231-Y231))</f>
        <v/>
      </c>
      <c r="AA231" s="16">
        <f>IF(G231="","",G231)</f>
        <v/>
      </c>
      <c r="AB231" s="16">
        <f>IF(AA231="","",EDATE(AA231,36))</f>
        <v/>
      </c>
      <c r="AC231" s="6">
        <f>IF(A231="","",IF(COUNTIF($A$2:$A$501,A231)&gt;1,"异常：事件编号重复",IF(OR(C231="",D231="",E231="",F231="",G231="",I231="",J231=""),"异常：必填项缺失",IF(OR(I231&lt;=0,J231&lt;0),"异常：数量或价格无效",IF(AND(F231="限制性股票",OR(M231&lt;=0,N231&lt;0,I231&gt;M231)),"异常：个人获授或出资数据无效",IF(AND(F231="股票期权",K231&lt;&gt;IF(G231&lt;DATE(2025,1,10),14.56,IF(G231&lt;DATE(2025,4,29),14.32,IF(G231&lt;DATE(2025,9,26),14.18,14.04)))),"异常：行权价格区间不符",IF(Q231&lt;&gt;"已备案","提示：未确认备案","正常")))))))</f>
        <v/>
      </c>
      <c r="AD231" s="11" t="n"/>
    </row>
    <row r="232">
      <c r="A232" s="11" t="n"/>
      <c r="B232" s="6">
        <f>IF(A232="","",A232&amp;"-TAX")</f>
        <v/>
      </c>
      <c r="C232" s="11" t="n"/>
      <c r="D232" s="11" t="n"/>
      <c r="E232" s="11" t="n"/>
      <c r="F232" s="11" t="n"/>
      <c r="G232" s="12" t="n"/>
      <c r="H232" s="6">
        <f>IF(G232="","",YEAR(G232))</f>
        <v/>
      </c>
      <c r="I232" s="11" t="n"/>
      <c r="J232" s="13" t="n"/>
      <c r="K232" s="14">
        <f>IF(F232="股票期权",IF(G232="","",IF(G232&lt;DATE(2025,1,10),14.56,IF(G232&lt;DATE(2025,4,29),14.32,IF(G232&lt;DATE(2025,9,26),14.18,14.04)))),IF(F232="限制性股票",8.68,""))</f>
        <v/>
      </c>
      <c r="L232" s="14">
        <f>IF(F232="限制性股票",13.06,"")</f>
        <v/>
      </c>
      <c r="M232" s="11" t="n"/>
      <c r="N232" s="13" t="n"/>
      <c r="O232" s="13" t="n"/>
      <c r="P232" s="12" t="n"/>
      <c r="Q232" s="11" t="n"/>
      <c r="R232" s="12" t="n"/>
      <c r="S232" s="14">
        <f>IF(OR(A232="",C232="",F232="",G232="",I232="",J232=""),"",IF(F232="股票期权",MAX(0,(J232-K232)*I232),IF(F232="限制性股票",IF(OR(L232="",M232="",M232&lt;=0,N232=""),"",MAX(0,((L232+J232)/2)*I232-N232*I232/M232)),MAX(0,O232))))</f>
        <v/>
      </c>
      <c r="T232" s="14">
        <f>IF(S232="","",SUMIFS($S$2:$S$501,$C$2:$C$501,C232,$H$2:$H$501,H232,$G$2:$G$501,"&lt;"&amp;G232)+SUMIFS($S$2:$S$501,$C$2:$C$501,C232,$H$2:$H$501,H232,$G$2:$G$501,G232,$A$2:$A$501,"&lt;"&amp;A232))</f>
        <v/>
      </c>
      <c r="U232" s="14">
        <f>IF(S232="","",T232+S232)</f>
        <v/>
      </c>
      <c r="V232" s="15">
        <f>IF(U232="","",VLOOKUP(U232,'税率及规则'!$A$2:$C$8,2,TRUE))</f>
        <v/>
      </c>
      <c r="W232" s="14">
        <f>IF(U232="","",VLOOKUP(U232,'税率及规则'!$A$2:$C$8,3,TRUE))</f>
        <v/>
      </c>
      <c r="X232" s="14">
        <f>IF(U232="","",MAX(0,U232*V232-W232))</f>
        <v/>
      </c>
      <c r="Y232" s="14">
        <f>IF(T232="","",MAX(0,T232*VLOOKUP(T232,'税率及规则'!$A$2:$C$8,2,TRUE)-VLOOKUP(T232,'税率及规则'!$A$2:$C$8,3,TRUE)))</f>
        <v/>
      </c>
      <c r="Z232" s="14">
        <f>IF(X232="","",MAX(0,X232-Y232))</f>
        <v/>
      </c>
      <c r="AA232" s="16">
        <f>IF(G232="","",G232)</f>
        <v/>
      </c>
      <c r="AB232" s="16">
        <f>IF(AA232="","",EDATE(AA232,36))</f>
        <v/>
      </c>
      <c r="AC232" s="6">
        <f>IF(A232="","",IF(COUNTIF($A$2:$A$501,A232)&gt;1,"异常：事件编号重复",IF(OR(C232="",D232="",E232="",F232="",G232="",I232="",J232=""),"异常：必填项缺失",IF(OR(I232&lt;=0,J232&lt;0),"异常：数量或价格无效",IF(AND(F232="限制性股票",OR(M232&lt;=0,N232&lt;0,I232&gt;M232)),"异常：个人获授或出资数据无效",IF(AND(F232="股票期权",K232&lt;&gt;IF(G232&lt;DATE(2025,1,10),14.56,IF(G232&lt;DATE(2025,4,29),14.32,IF(G232&lt;DATE(2025,9,26),14.18,14.04)))),"异常：行权价格区间不符",IF(Q232&lt;&gt;"已备案","提示：未确认备案","正常")))))))</f>
        <v/>
      </c>
      <c r="AD232" s="11" t="n"/>
    </row>
    <row r="233">
      <c r="A233" s="11" t="n"/>
      <c r="B233" s="6">
        <f>IF(A233="","",A233&amp;"-TAX")</f>
        <v/>
      </c>
      <c r="C233" s="11" t="n"/>
      <c r="D233" s="11" t="n"/>
      <c r="E233" s="11" t="n"/>
      <c r="F233" s="11" t="n"/>
      <c r="G233" s="12" t="n"/>
      <c r="H233" s="6">
        <f>IF(G233="","",YEAR(G233))</f>
        <v/>
      </c>
      <c r="I233" s="11" t="n"/>
      <c r="J233" s="13" t="n"/>
      <c r="K233" s="14">
        <f>IF(F233="股票期权",IF(G233="","",IF(G233&lt;DATE(2025,1,10),14.56,IF(G233&lt;DATE(2025,4,29),14.32,IF(G233&lt;DATE(2025,9,26),14.18,14.04)))),IF(F233="限制性股票",8.68,""))</f>
        <v/>
      </c>
      <c r="L233" s="14">
        <f>IF(F233="限制性股票",13.06,"")</f>
        <v/>
      </c>
      <c r="M233" s="11" t="n"/>
      <c r="N233" s="13" t="n"/>
      <c r="O233" s="13" t="n"/>
      <c r="P233" s="12" t="n"/>
      <c r="Q233" s="11" t="n"/>
      <c r="R233" s="12" t="n"/>
      <c r="S233" s="14">
        <f>IF(OR(A233="",C233="",F233="",G233="",I233="",J233=""),"",IF(F233="股票期权",MAX(0,(J233-K233)*I233),IF(F233="限制性股票",IF(OR(L233="",M233="",M233&lt;=0,N233=""),"",MAX(0,((L233+J233)/2)*I233-N233*I233/M233)),MAX(0,O233))))</f>
        <v/>
      </c>
      <c r="T233" s="14">
        <f>IF(S233="","",SUMIFS($S$2:$S$501,$C$2:$C$501,C233,$H$2:$H$501,H233,$G$2:$G$501,"&lt;"&amp;G233)+SUMIFS($S$2:$S$501,$C$2:$C$501,C233,$H$2:$H$501,H233,$G$2:$G$501,G233,$A$2:$A$501,"&lt;"&amp;A233))</f>
        <v/>
      </c>
      <c r="U233" s="14">
        <f>IF(S233="","",T233+S233)</f>
        <v/>
      </c>
      <c r="V233" s="15">
        <f>IF(U233="","",VLOOKUP(U233,'税率及规则'!$A$2:$C$8,2,TRUE))</f>
        <v/>
      </c>
      <c r="W233" s="14">
        <f>IF(U233="","",VLOOKUP(U233,'税率及规则'!$A$2:$C$8,3,TRUE))</f>
        <v/>
      </c>
      <c r="X233" s="14">
        <f>IF(U233="","",MAX(0,U233*V233-W233))</f>
        <v/>
      </c>
      <c r="Y233" s="14">
        <f>IF(T233="","",MAX(0,T233*VLOOKUP(T233,'税率及规则'!$A$2:$C$8,2,TRUE)-VLOOKUP(T233,'税率及规则'!$A$2:$C$8,3,TRUE)))</f>
        <v/>
      </c>
      <c r="Z233" s="14">
        <f>IF(X233="","",MAX(0,X233-Y233))</f>
        <v/>
      </c>
      <c r="AA233" s="16">
        <f>IF(G233="","",G233)</f>
        <v/>
      </c>
      <c r="AB233" s="16">
        <f>IF(AA233="","",EDATE(AA233,36))</f>
        <v/>
      </c>
      <c r="AC233" s="6">
        <f>IF(A233="","",IF(COUNTIF($A$2:$A$501,A233)&gt;1,"异常：事件编号重复",IF(OR(C233="",D233="",E233="",F233="",G233="",I233="",J233=""),"异常：必填项缺失",IF(OR(I233&lt;=0,J233&lt;0),"异常：数量或价格无效",IF(AND(F233="限制性股票",OR(M233&lt;=0,N233&lt;0,I233&gt;M233)),"异常：个人获授或出资数据无效",IF(AND(F233="股票期权",K233&lt;&gt;IF(G233&lt;DATE(2025,1,10),14.56,IF(G233&lt;DATE(2025,4,29),14.32,IF(G233&lt;DATE(2025,9,26),14.18,14.04)))),"异常：行权价格区间不符",IF(Q233&lt;&gt;"已备案","提示：未确认备案","正常")))))))</f>
        <v/>
      </c>
      <c r="AD233" s="11" t="n"/>
    </row>
    <row r="234">
      <c r="A234" s="11" t="n"/>
      <c r="B234" s="6">
        <f>IF(A234="","",A234&amp;"-TAX")</f>
        <v/>
      </c>
      <c r="C234" s="11" t="n"/>
      <c r="D234" s="11" t="n"/>
      <c r="E234" s="11" t="n"/>
      <c r="F234" s="11" t="n"/>
      <c r="G234" s="12" t="n"/>
      <c r="H234" s="6">
        <f>IF(G234="","",YEAR(G234))</f>
        <v/>
      </c>
      <c r="I234" s="11" t="n"/>
      <c r="J234" s="13" t="n"/>
      <c r="K234" s="14">
        <f>IF(F234="股票期权",IF(G234="","",IF(G234&lt;DATE(2025,1,10),14.56,IF(G234&lt;DATE(2025,4,29),14.32,IF(G234&lt;DATE(2025,9,26),14.18,14.04)))),IF(F234="限制性股票",8.68,""))</f>
        <v/>
      </c>
      <c r="L234" s="14">
        <f>IF(F234="限制性股票",13.06,"")</f>
        <v/>
      </c>
      <c r="M234" s="11" t="n"/>
      <c r="N234" s="13" t="n"/>
      <c r="O234" s="13" t="n"/>
      <c r="P234" s="12" t="n"/>
      <c r="Q234" s="11" t="n"/>
      <c r="R234" s="12" t="n"/>
      <c r="S234" s="14">
        <f>IF(OR(A234="",C234="",F234="",G234="",I234="",J234=""),"",IF(F234="股票期权",MAX(0,(J234-K234)*I234),IF(F234="限制性股票",IF(OR(L234="",M234="",M234&lt;=0,N234=""),"",MAX(0,((L234+J234)/2)*I234-N234*I234/M234)),MAX(0,O234))))</f>
        <v/>
      </c>
      <c r="T234" s="14">
        <f>IF(S234="","",SUMIFS($S$2:$S$501,$C$2:$C$501,C234,$H$2:$H$501,H234,$G$2:$G$501,"&lt;"&amp;G234)+SUMIFS($S$2:$S$501,$C$2:$C$501,C234,$H$2:$H$501,H234,$G$2:$G$501,G234,$A$2:$A$501,"&lt;"&amp;A234))</f>
        <v/>
      </c>
      <c r="U234" s="14">
        <f>IF(S234="","",T234+S234)</f>
        <v/>
      </c>
      <c r="V234" s="15">
        <f>IF(U234="","",VLOOKUP(U234,'税率及规则'!$A$2:$C$8,2,TRUE))</f>
        <v/>
      </c>
      <c r="W234" s="14">
        <f>IF(U234="","",VLOOKUP(U234,'税率及规则'!$A$2:$C$8,3,TRUE))</f>
        <v/>
      </c>
      <c r="X234" s="14">
        <f>IF(U234="","",MAX(0,U234*V234-W234))</f>
        <v/>
      </c>
      <c r="Y234" s="14">
        <f>IF(T234="","",MAX(0,T234*VLOOKUP(T234,'税率及规则'!$A$2:$C$8,2,TRUE)-VLOOKUP(T234,'税率及规则'!$A$2:$C$8,3,TRUE)))</f>
        <v/>
      </c>
      <c r="Z234" s="14">
        <f>IF(X234="","",MAX(0,X234-Y234))</f>
        <v/>
      </c>
      <c r="AA234" s="16">
        <f>IF(G234="","",G234)</f>
        <v/>
      </c>
      <c r="AB234" s="16">
        <f>IF(AA234="","",EDATE(AA234,36))</f>
        <v/>
      </c>
      <c r="AC234" s="6">
        <f>IF(A234="","",IF(COUNTIF($A$2:$A$501,A234)&gt;1,"异常：事件编号重复",IF(OR(C234="",D234="",E234="",F234="",G234="",I234="",J234=""),"异常：必填项缺失",IF(OR(I234&lt;=0,J234&lt;0),"异常：数量或价格无效",IF(AND(F234="限制性股票",OR(M234&lt;=0,N234&lt;0,I234&gt;M234)),"异常：个人获授或出资数据无效",IF(AND(F234="股票期权",K234&lt;&gt;IF(G234&lt;DATE(2025,1,10),14.56,IF(G234&lt;DATE(2025,4,29),14.32,IF(G234&lt;DATE(2025,9,26),14.18,14.04)))),"异常：行权价格区间不符",IF(Q234&lt;&gt;"已备案","提示：未确认备案","正常")))))))</f>
        <v/>
      </c>
      <c r="AD234" s="11" t="n"/>
    </row>
    <row r="235">
      <c r="A235" s="11" t="n"/>
      <c r="B235" s="6">
        <f>IF(A235="","",A235&amp;"-TAX")</f>
        <v/>
      </c>
      <c r="C235" s="11" t="n"/>
      <c r="D235" s="11" t="n"/>
      <c r="E235" s="11" t="n"/>
      <c r="F235" s="11" t="n"/>
      <c r="G235" s="12" t="n"/>
      <c r="H235" s="6">
        <f>IF(G235="","",YEAR(G235))</f>
        <v/>
      </c>
      <c r="I235" s="11" t="n"/>
      <c r="J235" s="13" t="n"/>
      <c r="K235" s="14">
        <f>IF(F235="股票期权",IF(G235="","",IF(G235&lt;DATE(2025,1,10),14.56,IF(G235&lt;DATE(2025,4,29),14.32,IF(G235&lt;DATE(2025,9,26),14.18,14.04)))),IF(F235="限制性股票",8.68,""))</f>
        <v/>
      </c>
      <c r="L235" s="14">
        <f>IF(F235="限制性股票",13.06,"")</f>
        <v/>
      </c>
      <c r="M235" s="11" t="n"/>
      <c r="N235" s="13" t="n"/>
      <c r="O235" s="13" t="n"/>
      <c r="P235" s="12" t="n"/>
      <c r="Q235" s="11" t="n"/>
      <c r="R235" s="12" t="n"/>
      <c r="S235" s="14">
        <f>IF(OR(A235="",C235="",F235="",G235="",I235="",J235=""),"",IF(F235="股票期权",MAX(0,(J235-K235)*I235),IF(F235="限制性股票",IF(OR(L235="",M235="",M235&lt;=0,N235=""),"",MAX(0,((L235+J235)/2)*I235-N235*I235/M235)),MAX(0,O235))))</f>
        <v/>
      </c>
      <c r="T235" s="14">
        <f>IF(S235="","",SUMIFS($S$2:$S$501,$C$2:$C$501,C235,$H$2:$H$501,H235,$G$2:$G$501,"&lt;"&amp;G235)+SUMIFS($S$2:$S$501,$C$2:$C$501,C235,$H$2:$H$501,H235,$G$2:$G$501,G235,$A$2:$A$501,"&lt;"&amp;A235))</f>
        <v/>
      </c>
      <c r="U235" s="14">
        <f>IF(S235="","",T235+S235)</f>
        <v/>
      </c>
      <c r="V235" s="15">
        <f>IF(U235="","",VLOOKUP(U235,'税率及规则'!$A$2:$C$8,2,TRUE))</f>
        <v/>
      </c>
      <c r="W235" s="14">
        <f>IF(U235="","",VLOOKUP(U235,'税率及规则'!$A$2:$C$8,3,TRUE))</f>
        <v/>
      </c>
      <c r="X235" s="14">
        <f>IF(U235="","",MAX(0,U235*V235-W235))</f>
        <v/>
      </c>
      <c r="Y235" s="14">
        <f>IF(T235="","",MAX(0,T235*VLOOKUP(T235,'税率及规则'!$A$2:$C$8,2,TRUE)-VLOOKUP(T235,'税率及规则'!$A$2:$C$8,3,TRUE)))</f>
        <v/>
      </c>
      <c r="Z235" s="14">
        <f>IF(X235="","",MAX(0,X235-Y235))</f>
        <v/>
      </c>
      <c r="AA235" s="16">
        <f>IF(G235="","",G235)</f>
        <v/>
      </c>
      <c r="AB235" s="16">
        <f>IF(AA235="","",EDATE(AA235,36))</f>
        <v/>
      </c>
      <c r="AC235" s="6">
        <f>IF(A235="","",IF(COUNTIF($A$2:$A$501,A235)&gt;1,"异常：事件编号重复",IF(OR(C235="",D235="",E235="",F235="",G235="",I235="",J235=""),"异常：必填项缺失",IF(OR(I235&lt;=0,J235&lt;0),"异常：数量或价格无效",IF(AND(F235="限制性股票",OR(M235&lt;=0,N235&lt;0,I235&gt;M235)),"异常：个人获授或出资数据无效",IF(AND(F235="股票期权",K235&lt;&gt;IF(G235&lt;DATE(2025,1,10),14.56,IF(G235&lt;DATE(2025,4,29),14.32,IF(G235&lt;DATE(2025,9,26),14.18,14.04)))),"异常：行权价格区间不符",IF(Q235&lt;&gt;"已备案","提示：未确认备案","正常")))))))</f>
        <v/>
      </c>
      <c r="AD235" s="11" t="n"/>
    </row>
    <row r="236">
      <c r="A236" s="11" t="n"/>
      <c r="B236" s="6">
        <f>IF(A236="","",A236&amp;"-TAX")</f>
        <v/>
      </c>
      <c r="C236" s="11" t="n"/>
      <c r="D236" s="11" t="n"/>
      <c r="E236" s="11" t="n"/>
      <c r="F236" s="11" t="n"/>
      <c r="G236" s="12" t="n"/>
      <c r="H236" s="6">
        <f>IF(G236="","",YEAR(G236))</f>
        <v/>
      </c>
      <c r="I236" s="11" t="n"/>
      <c r="J236" s="13" t="n"/>
      <c r="K236" s="14">
        <f>IF(F236="股票期权",IF(G236="","",IF(G236&lt;DATE(2025,1,10),14.56,IF(G236&lt;DATE(2025,4,29),14.32,IF(G236&lt;DATE(2025,9,26),14.18,14.04)))),IF(F236="限制性股票",8.68,""))</f>
        <v/>
      </c>
      <c r="L236" s="14">
        <f>IF(F236="限制性股票",13.06,"")</f>
        <v/>
      </c>
      <c r="M236" s="11" t="n"/>
      <c r="N236" s="13" t="n"/>
      <c r="O236" s="13" t="n"/>
      <c r="P236" s="12" t="n"/>
      <c r="Q236" s="11" t="n"/>
      <c r="R236" s="12" t="n"/>
      <c r="S236" s="14">
        <f>IF(OR(A236="",C236="",F236="",G236="",I236="",J236=""),"",IF(F236="股票期权",MAX(0,(J236-K236)*I236),IF(F236="限制性股票",IF(OR(L236="",M236="",M236&lt;=0,N236=""),"",MAX(0,((L236+J236)/2)*I236-N236*I236/M236)),MAX(0,O236))))</f>
        <v/>
      </c>
      <c r="T236" s="14">
        <f>IF(S236="","",SUMIFS($S$2:$S$501,$C$2:$C$501,C236,$H$2:$H$501,H236,$G$2:$G$501,"&lt;"&amp;G236)+SUMIFS($S$2:$S$501,$C$2:$C$501,C236,$H$2:$H$501,H236,$G$2:$G$501,G236,$A$2:$A$501,"&lt;"&amp;A236))</f>
        <v/>
      </c>
      <c r="U236" s="14">
        <f>IF(S236="","",T236+S236)</f>
        <v/>
      </c>
      <c r="V236" s="15">
        <f>IF(U236="","",VLOOKUP(U236,'税率及规则'!$A$2:$C$8,2,TRUE))</f>
        <v/>
      </c>
      <c r="W236" s="14">
        <f>IF(U236="","",VLOOKUP(U236,'税率及规则'!$A$2:$C$8,3,TRUE))</f>
        <v/>
      </c>
      <c r="X236" s="14">
        <f>IF(U236="","",MAX(0,U236*V236-W236))</f>
        <v/>
      </c>
      <c r="Y236" s="14">
        <f>IF(T236="","",MAX(0,T236*VLOOKUP(T236,'税率及规则'!$A$2:$C$8,2,TRUE)-VLOOKUP(T236,'税率及规则'!$A$2:$C$8,3,TRUE)))</f>
        <v/>
      </c>
      <c r="Z236" s="14">
        <f>IF(X236="","",MAX(0,X236-Y236))</f>
        <v/>
      </c>
      <c r="AA236" s="16">
        <f>IF(G236="","",G236)</f>
        <v/>
      </c>
      <c r="AB236" s="16">
        <f>IF(AA236="","",EDATE(AA236,36))</f>
        <v/>
      </c>
      <c r="AC236" s="6">
        <f>IF(A236="","",IF(COUNTIF($A$2:$A$501,A236)&gt;1,"异常：事件编号重复",IF(OR(C236="",D236="",E236="",F236="",G236="",I236="",J236=""),"异常：必填项缺失",IF(OR(I236&lt;=0,J236&lt;0),"异常：数量或价格无效",IF(AND(F236="限制性股票",OR(M236&lt;=0,N236&lt;0,I236&gt;M236)),"异常：个人获授或出资数据无效",IF(AND(F236="股票期权",K236&lt;&gt;IF(G236&lt;DATE(2025,1,10),14.56,IF(G236&lt;DATE(2025,4,29),14.32,IF(G236&lt;DATE(2025,9,26),14.18,14.04)))),"异常：行权价格区间不符",IF(Q236&lt;&gt;"已备案","提示：未确认备案","正常")))))))</f>
        <v/>
      </c>
      <c r="AD236" s="11" t="n"/>
    </row>
    <row r="237">
      <c r="A237" s="11" t="n"/>
      <c r="B237" s="6">
        <f>IF(A237="","",A237&amp;"-TAX")</f>
        <v/>
      </c>
      <c r="C237" s="11" t="n"/>
      <c r="D237" s="11" t="n"/>
      <c r="E237" s="11" t="n"/>
      <c r="F237" s="11" t="n"/>
      <c r="G237" s="12" t="n"/>
      <c r="H237" s="6">
        <f>IF(G237="","",YEAR(G237))</f>
        <v/>
      </c>
      <c r="I237" s="11" t="n"/>
      <c r="J237" s="13" t="n"/>
      <c r="K237" s="14">
        <f>IF(F237="股票期权",IF(G237="","",IF(G237&lt;DATE(2025,1,10),14.56,IF(G237&lt;DATE(2025,4,29),14.32,IF(G237&lt;DATE(2025,9,26),14.18,14.04)))),IF(F237="限制性股票",8.68,""))</f>
        <v/>
      </c>
      <c r="L237" s="14">
        <f>IF(F237="限制性股票",13.06,"")</f>
        <v/>
      </c>
      <c r="M237" s="11" t="n"/>
      <c r="N237" s="13" t="n"/>
      <c r="O237" s="13" t="n"/>
      <c r="P237" s="12" t="n"/>
      <c r="Q237" s="11" t="n"/>
      <c r="R237" s="12" t="n"/>
      <c r="S237" s="14">
        <f>IF(OR(A237="",C237="",F237="",G237="",I237="",J237=""),"",IF(F237="股票期权",MAX(0,(J237-K237)*I237),IF(F237="限制性股票",IF(OR(L237="",M237="",M237&lt;=0,N237=""),"",MAX(0,((L237+J237)/2)*I237-N237*I237/M237)),MAX(0,O237))))</f>
        <v/>
      </c>
      <c r="T237" s="14">
        <f>IF(S237="","",SUMIFS($S$2:$S$501,$C$2:$C$501,C237,$H$2:$H$501,H237,$G$2:$G$501,"&lt;"&amp;G237)+SUMIFS($S$2:$S$501,$C$2:$C$501,C237,$H$2:$H$501,H237,$G$2:$G$501,G237,$A$2:$A$501,"&lt;"&amp;A237))</f>
        <v/>
      </c>
      <c r="U237" s="14">
        <f>IF(S237="","",T237+S237)</f>
        <v/>
      </c>
      <c r="V237" s="15">
        <f>IF(U237="","",VLOOKUP(U237,'税率及规则'!$A$2:$C$8,2,TRUE))</f>
        <v/>
      </c>
      <c r="W237" s="14">
        <f>IF(U237="","",VLOOKUP(U237,'税率及规则'!$A$2:$C$8,3,TRUE))</f>
        <v/>
      </c>
      <c r="X237" s="14">
        <f>IF(U237="","",MAX(0,U237*V237-W237))</f>
        <v/>
      </c>
      <c r="Y237" s="14">
        <f>IF(T237="","",MAX(0,T237*VLOOKUP(T237,'税率及规则'!$A$2:$C$8,2,TRUE)-VLOOKUP(T237,'税率及规则'!$A$2:$C$8,3,TRUE)))</f>
        <v/>
      </c>
      <c r="Z237" s="14">
        <f>IF(X237="","",MAX(0,X237-Y237))</f>
        <v/>
      </c>
      <c r="AA237" s="16">
        <f>IF(G237="","",G237)</f>
        <v/>
      </c>
      <c r="AB237" s="16">
        <f>IF(AA237="","",EDATE(AA237,36))</f>
        <v/>
      </c>
      <c r="AC237" s="6">
        <f>IF(A237="","",IF(COUNTIF($A$2:$A$501,A237)&gt;1,"异常：事件编号重复",IF(OR(C237="",D237="",E237="",F237="",G237="",I237="",J237=""),"异常：必填项缺失",IF(OR(I237&lt;=0,J237&lt;0),"异常：数量或价格无效",IF(AND(F237="限制性股票",OR(M237&lt;=0,N237&lt;0,I237&gt;M237)),"异常：个人获授或出资数据无效",IF(AND(F237="股票期权",K237&lt;&gt;IF(G237&lt;DATE(2025,1,10),14.56,IF(G237&lt;DATE(2025,4,29),14.32,IF(G237&lt;DATE(2025,9,26),14.18,14.04)))),"异常：行权价格区间不符",IF(Q237&lt;&gt;"已备案","提示：未确认备案","正常")))))))</f>
        <v/>
      </c>
      <c r="AD237" s="11" t="n"/>
    </row>
    <row r="238">
      <c r="A238" s="11" t="n"/>
      <c r="B238" s="6">
        <f>IF(A238="","",A238&amp;"-TAX")</f>
        <v/>
      </c>
      <c r="C238" s="11" t="n"/>
      <c r="D238" s="11" t="n"/>
      <c r="E238" s="11" t="n"/>
      <c r="F238" s="11" t="n"/>
      <c r="G238" s="12" t="n"/>
      <c r="H238" s="6">
        <f>IF(G238="","",YEAR(G238))</f>
        <v/>
      </c>
      <c r="I238" s="11" t="n"/>
      <c r="J238" s="13" t="n"/>
      <c r="K238" s="14">
        <f>IF(F238="股票期权",IF(G238="","",IF(G238&lt;DATE(2025,1,10),14.56,IF(G238&lt;DATE(2025,4,29),14.32,IF(G238&lt;DATE(2025,9,26),14.18,14.04)))),IF(F238="限制性股票",8.68,""))</f>
        <v/>
      </c>
      <c r="L238" s="14">
        <f>IF(F238="限制性股票",13.06,"")</f>
        <v/>
      </c>
      <c r="M238" s="11" t="n"/>
      <c r="N238" s="13" t="n"/>
      <c r="O238" s="13" t="n"/>
      <c r="P238" s="12" t="n"/>
      <c r="Q238" s="11" t="n"/>
      <c r="R238" s="12" t="n"/>
      <c r="S238" s="14">
        <f>IF(OR(A238="",C238="",F238="",G238="",I238="",J238=""),"",IF(F238="股票期权",MAX(0,(J238-K238)*I238),IF(F238="限制性股票",IF(OR(L238="",M238="",M238&lt;=0,N238=""),"",MAX(0,((L238+J238)/2)*I238-N238*I238/M238)),MAX(0,O238))))</f>
        <v/>
      </c>
      <c r="T238" s="14">
        <f>IF(S238="","",SUMIFS($S$2:$S$501,$C$2:$C$501,C238,$H$2:$H$501,H238,$G$2:$G$501,"&lt;"&amp;G238)+SUMIFS($S$2:$S$501,$C$2:$C$501,C238,$H$2:$H$501,H238,$G$2:$G$501,G238,$A$2:$A$501,"&lt;"&amp;A238))</f>
        <v/>
      </c>
      <c r="U238" s="14">
        <f>IF(S238="","",T238+S238)</f>
        <v/>
      </c>
      <c r="V238" s="15">
        <f>IF(U238="","",VLOOKUP(U238,'税率及规则'!$A$2:$C$8,2,TRUE))</f>
        <v/>
      </c>
      <c r="W238" s="14">
        <f>IF(U238="","",VLOOKUP(U238,'税率及规则'!$A$2:$C$8,3,TRUE))</f>
        <v/>
      </c>
      <c r="X238" s="14">
        <f>IF(U238="","",MAX(0,U238*V238-W238))</f>
        <v/>
      </c>
      <c r="Y238" s="14">
        <f>IF(T238="","",MAX(0,T238*VLOOKUP(T238,'税率及规则'!$A$2:$C$8,2,TRUE)-VLOOKUP(T238,'税率及规则'!$A$2:$C$8,3,TRUE)))</f>
        <v/>
      </c>
      <c r="Z238" s="14">
        <f>IF(X238="","",MAX(0,X238-Y238))</f>
        <v/>
      </c>
      <c r="AA238" s="16">
        <f>IF(G238="","",G238)</f>
        <v/>
      </c>
      <c r="AB238" s="16">
        <f>IF(AA238="","",EDATE(AA238,36))</f>
        <v/>
      </c>
      <c r="AC238" s="6">
        <f>IF(A238="","",IF(COUNTIF($A$2:$A$501,A238)&gt;1,"异常：事件编号重复",IF(OR(C238="",D238="",E238="",F238="",G238="",I238="",J238=""),"异常：必填项缺失",IF(OR(I238&lt;=0,J238&lt;0),"异常：数量或价格无效",IF(AND(F238="限制性股票",OR(M238&lt;=0,N238&lt;0,I238&gt;M238)),"异常：个人获授或出资数据无效",IF(AND(F238="股票期权",K238&lt;&gt;IF(G238&lt;DATE(2025,1,10),14.56,IF(G238&lt;DATE(2025,4,29),14.32,IF(G238&lt;DATE(2025,9,26),14.18,14.04)))),"异常：行权价格区间不符",IF(Q238&lt;&gt;"已备案","提示：未确认备案","正常")))))))</f>
        <v/>
      </c>
      <c r="AD238" s="11" t="n"/>
    </row>
    <row r="239">
      <c r="A239" s="11" t="n"/>
      <c r="B239" s="6">
        <f>IF(A239="","",A239&amp;"-TAX")</f>
        <v/>
      </c>
      <c r="C239" s="11" t="n"/>
      <c r="D239" s="11" t="n"/>
      <c r="E239" s="11" t="n"/>
      <c r="F239" s="11" t="n"/>
      <c r="G239" s="12" t="n"/>
      <c r="H239" s="6">
        <f>IF(G239="","",YEAR(G239))</f>
        <v/>
      </c>
      <c r="I239" s="11" t="n"/>
      <c r="J239" s="13" t="n"/>
      <c r="K239" s="14">
        <f>IF(F239="股票期权",IF(G239="","",IF(G239&lt;DATE(2025,1,10),14.56,IF(G239&lt;DATE(2025,4,29),14.32,IF(G239&lt;DATE(2025,9,26),14.18,14.04)))),IF(F239="限制性股票",8.68,""))</f>
        <v/>
      </c>
      <c r="L239" s="14">
        <f>IF(F239="限制性股票",13.06,"")</f>
        <v/>
      </c>
      <c r="M239" s="11" t="n"/>
      <c r="N239" s="13" t="n"/>
      <c r="O239" s="13" t="n"/>
      <c r="P239" s="12" t="n"/>
      <c r="Q239" s="11" t="n"/>
      <c r="R239" s="12" t="n"/>
      <c r="S239" s="14">
        <f>IF(OR(A239="",C239="",F239="",G239="",I239="",J239=""),"",IF(F239="股票期权",MAX(0,(J239-K239)*I239),IF(F239="限制性股票",IF(OR(L239="",M239="",M239&lt;=0,N239=""),"",MAX(0,((L239+J239)/2)*I239-N239*I239/M239)),MAX(0,O239))))</f>
        <v/>
      </c>
      <c r="T239" s="14">
        <f>IF(S239="","",SUMIFS($S$2:$S$501,$C$2:$C$501,C239,$H$2:$H$501,H239,$G$2:$G$501,"&lt;"&amp;G239)+SUMIFS($S$2:$S$501,$C$2:$C$501,C239,$H$2:$H$501,H239,$G$2:$G$501,G239,$A$2:$A$501,"&lt;"&amp;A239))</f>
        <v/>
      </c>
      <c r="U239" s="14">
        <f>IF(S239="","",T239+S239)</f>
        <v/>
      </c>
      <c r="V239" s="15">
        <f>IF(U239="","",VLOOKUP(U239,'税率及规则'!$A$2:$C$8,2,TRUE))</f>
        <v/>
      </c>
      <c r="W239" s="14">
        <f>IF(U239="","",VLOOKUP(U239,'税率及规则'!$A$2:$C$8,3,TRUE))</f>
        <v/>
      </c>
      <c r="X239" s="14">
        <f>IF(U239="","",MAX(0,U239*V239-W239))</f>
        <v/>
      </c>
      <c r="Y239" s="14">
        <f>IF(T239="","",MAX(0,T239*VLOOKUP(T239,'税率及规则'!$A$2:$C$8,2,TRUE)-VLOOKUP(T239,'税率及规则'!$A$2:$C$8,3,TRUE)))</f>
        <v/>
      </c>
      <c r="Z239" s="14">
        <f>IF(X239="","",MAX(0,X239-Y239))</f>
        <v/>
      </c>
      <c r="AA239" s="16">
        <f>IF(G239="","",G239)</f>
        <v/>
      </c>
      <c r="AB239" s="16">
        <f>IF(AA239="","",EDATE(AA239,36))</f>
        <v/>
      </c>
      <c r="AC239" s="6">
        <f>IF(A239="","",IF(COUNTIF($A$2:$A$501,A239)&gt;1,"异常：事件编号重复",IF(OR(C239="",D239="",E239="",F239="",G239="",I239="",J239=""),"异常：必填项缺失",IF(OR(I239&lt;=0,J239&lt;0),"异常：数量或价格无效",IF(AND(F239="限制性股票",OR(M239&lt;=0,N239&lt;0,I239&gt;M239)),"异常：个人获授或出资数据无效",IF(AND(F239="股票期权",K239&lt;&gt;IF(G239&lt;DATE(2025,1,10),14.56,IF(G239&lt;DATE(2025,4,29),14.32,IF(G239&lt;DATE(2025,9,26),14.18,14.04)))),"异常：行权价格区间不符",IF(Q239&lt;&gt;"已备案","提示：未确认备案","正常")))))))</f>
        <v/>
      </c>
      <c r="AD239" s="11" t="n"/>
    </row>
    <row r="240">
      <c r="A240" s="11" t="n"/>
      <c r="B240" s="6">
        <f>IF(A240="","",A240&amp;"-TAX")</f>
        <v/>
      </c>
      <c r="C240" s="11" t="n"/>
      <c r="D240" s="11" t="n"/>
      <c r="E240" s="11" t="n"/>
      <c r="F240" s="11" t="n"/>
      <c r="G240" s="12" t="n"/>
      <c r="H240" s="6">
        <f>IF(G240="","",YEAR(G240))</f>
        <v/>
      </c>
      <c r="I240" s="11" t="n"/>
      <c r="J240" s="13" t="n"/>
      <c r="K240" s="14">
        <f>IF(F240="股票期权",IF(G240="","",IF(G240&lt;DATE(2025,1,10),14.56,IF(G240&lt;DATE(2025,4,29),14.32,IF(G240&lt;DATE(2025,9,26),14.18,14.04)))),IF(F240="限制性股票",8.68,""))</f>
        <v/>
      </c>
      <c r="L240" s="14">
        <f>IF(F240="限制性股票",13.06,"")</f>
        <v/>
      </c>
      <c r="M240" s="11" t="n"/>
      <c r="N240" s="13" t="n"/>
      <c r="O240" s="13" t="n"/>
      <c r="P240" s="12" t="n"/>
      <c r="Q240" s="11" t="n"/>
      <c r="R240" s="12" t="n"/>
      <c r="S240" s="14">
        <f>IF(OR(A240="",C240="",F240="",G240="",I240="",J240=""),"",IF(F240="股票期权",MAX(0,(J240-K240)*I240),IF(F240="限制性股票",IF(OR(L240="",M240="",M240&lt;=0,N240=""),"",MAX(0,((L240+J240)/2)*I240-N240*I240/M240)),MAX(0,O240))))</f>
        <v/>
      </c>
      <c r="T240" s="14">
        <f>IF(S240="","",SUMIFS($S$2:$S$501,$C$2:$C$501,C240,$H$2:$H$501,H240,$G$2:$G$501,"&lt;"&amp;G240)+SUMIFS($S$2:$S$501,$C$2:$C$501,C240,$H$2:$H$501,H240,$G$2:$G$501,G240,$A$2:$A$501,"&lt;"&amp;A240))</f>
        <v/>
      </c>
      <c r="U240" s="14">
        <f>IF(S240="","",T240+S240)</f>
        <v/>
      </c>
      <c r="V240" s="15">
        <f>IF(U240="","",VLOOKUP(U240,'税率及规则'!$A$2:$C$8,2,TRUE))</f>
        <v/>
      </c>
      <c r="W240" s="14">
        <f>IF(U240="","",VLOOKUP(U240,'税率及规则'!$A$2:$C$8,3,TRUE))</f>
        <v/>
      </c>
      <c r="X240" s="14">
        <f>IF(U240="","",MAX(0,U240*V240-W240))</f>
        <v/>
      </c>
      <c r="Y240" s="14">
        <f>IF(T240="","",MAX(0,T240*VLOOKUP(T240,'税率及规则'!$A$2:$C$8,2,TRUE)-VLOOKUP(T240,'税率及规则'!$A$2:$C$8,3,TRUE)))</f>
        <v/>
      </c>
      <c r="Z240" s="14">
        <f>IF(X240="","",MAX(0,X240-Y240))</f>
        <v/>
      </c>
      <c r="AA240" s="16">
        <f>IF(G240="","",G240)</f>
        <v/>
      </c>
      <c r="AB240" s="16">
        <f>IF(AA240="","",EDATE(AA240,36))</f>
        <v/>
      </c>
      <c r="AC240" s="6">
        <f>IF(A240="","",IF(COUNTIF($A$2:$A$501,A240)&gt;1,"异常：事件编号重复",IF(OR(C240="",D240="",E240="",F240="",G240="",I240="",J240=""),"异常：必填项缺失",IF(OR(I240&lt;=0,J240&lt;0),"异常：数量或价格无效",IF(AND(F240="限制性股票",OR(M240&lt;=0,N240&lt;0,I240&gt;M240)),"异常：个人获授或出资数据无效",IF(AND(F240="股票期权",K240&lt;&gt;IF(G240&lt;DATE(2025,1,10),14.56,IF(G240&lt;DATE(2025,4,29),14.32,IF(G240&lt;DATE(2025,9,26),14.18,14.04)))),"异常：行权价格区间不符",IF(Q240&lt;&gt;"已备案","提示：未确认备案","正常")))))))</f>
        <v/>
      </c>
      <c r="AD240" s="11" t="n"/>
    </row>
    <row r="241">
      <c r="A241" s="11" t="n"/>
      <c r="B241" s="6">
        <f>IF(A241="","",A241&amp;"-TAX")</f>
        <v/>
      </c>
      <c r="C241" s="11" t="n"/>
      <c r="D241" s="11" t="n"/>
      <c r="E241" s="11" t="n"/>
      <c r="F241" s="11" t="n"/>
      <c r="G241" s="12" t="n"/>
      <c r="H241" s="6">
        <f>IF(G241="","",YEAR(G241))</f>
        <v/>
      </c>
      <c r="I241" s="11" t="n"/>
      <c r="J241" s="13" t="n"/>
      <c r="K241" s="14">
        <f>IF(F241="股票期权",IF(G241="","",IF(G241&lt;DATE(2025,1,10),14.56,IF(G241&lt;DATE(2025,4,29),14.32,IF(G241&lt;DATE(2025,9,26),14.18,14.04)))),IF(F241="限制性股票",8.68,""))</f>
        <v/>
      </c>
      <c r="L241" s="14">
        <f>IF(F241="限制性股票",13.06,"")</f>
        <v/>
      </c>
      <c r="M241" s="11" t="n"/>
      <c r="N241" s="13" t="n"/>
      <c r="O241" s="13" t="n"/>
      <c r="P241" s="12" t="n"/>
      <c r="Q241" s="11" t="n"/>
      <c r="R241" s="12" t="n"/>
      <c r="S241" s="14">
        <f>IF(OR(A241="",C241="",F241="",G241="",I241="",J241=""),"",IF(F241="股票期权",MAX(0,(J241-K241)*I241),IF(F241="限制性股票",IF(OR(L241="",M241="",M241&lt;=0,N241=""),"",MAX(0,((L241+J241)/2)*I241-N241*I241/M241)),MAX(0,O241))))</f>
        <v/>
      </c>
      <c r="T241" s="14">
        <f>IF(S241="","",SUMIFS($S$2:$S$501,$C$2:$C$501,C241,$H$2:$H$501,H241,$G$2:$G$501,"&lt;"&amp;G241)+SUMIFS($S$2:$S$501,$C$2:$C$501,C241,$H$2:$H$501,H241,$G$2:$G$501,G241,$A$2:$A$501,"&lt;"&amp;A241))</f>
        <v/>
      </c>
      <c r="U241" s="14">
        <f>IF(S241="","",T241+S241)</f>
        <v/>
      </c>
      <c r="V241" s="15">
        <f>IF(U241="","",VLOOKUP(U241,'税率及规则'!$A$2:$C$8,2,TRUE))</f>
        <v/>
      </c>
      <c r="W241" s="14">
        <f>IF(U241="","",VLOOKUP(U241,'税率及规则'!$A$2:$C$8,3,TRUE))</f>
        <v/>
      </c>
      <c r="X241" s="14">
        <f>IF(U241="","",MAX(0,U241*V241-W241))</f>
        <v/>
      </c>
      <c r="Y241" s="14">
        <f>IF(T241="","",MAX(0,T241*VLOOKUP(T241,'税率及规则'!$A$2:$C$8,2,TRUE)-VLOOKUP(T241,'税率及规则'!$A$2:$C$8,3,TRUE)))</f>
        <v/>
      </c>
      <c r="Z241" s="14">
        <f>IF(X241="","",MAX(0,X241-Y241))</f>
        <v/>
      </c>
      <c r="AA241" s="16">
        <f>IF(G241="","",G241)</f>
        <v/>
      </c>
      <c r="AB241" s="16">
        <f>IF(AA241="","",EDATE(AA241,36))</f>
        <v/>
      </c>
      <c r="AC241" s="6">
        <f>IF(A241="","",IF(COUNTIF($A$2:$A$501,A241)&gt;1,"异常：事件编号重复",IF(OR(C241="",D241="",E241="",F241="",G241="",I241="",J241=""),"异常：必填项缺失",IF(OR(I241&lt;=0,J241&lt;0),"异常：数量或价格无效",IF(AND(F241="限制性股票",OR(M241&lt;=0,N241&lt;0,I241&gt;M241)),"异常：个人获授或出资数据无效",IF(AND(F241="股票期权",K241&lt;&gt;IF(G241&lt;DATE(2025,1,10),14.56,IF(G241&lt;DATE(2025,4,29),14.32,IF(G241&lt;DATE(2025,9,26),14.18,14.04)))),"异常：行权价格区间不符",IF(Q241&lt;&gt;"已备案","提示：未确认备案","正常")))))))</f>
        <v/>
      </c>
      <c r="AD241" s="11" t="n"/>
    </row>
    <row r="242">
      <c r="A242" s="11" t="n"/>
      <c r="B242" s="6">
        <f>IF(A242="","",A242&amp;"-TAX")</f>
        <v/>
      </c>
      <c r="C242" s="11" t="n"/>
      <c r="D242" s="11" t="n"/>
      <c r="E242" s="11" t="n"/>
      <c r="F242" s="11" t="n"/>
      <c r="G242" s="12" t="n"/>
      <c r="H242" s="6">
        <f>IF(G242="","",YEAR(G242))</f>
        <v/>
      </c>
      <c r="I242" s="11" t="n"/>
      <c r="J242" s="13" t="n"/>
      <c r="K242" s="14">
        <f>IF(F242="股票期权",IF(G242="","",IF(G242&lt;DATE(2025,1,10),14.56,IF(G242&lt;DATE(2025,4,29),14.32,IF(G242&lt;DATE(2025,9,26),14.18,14.04)))),IF(F242="限制性股票",8.68,""))</f>
        <v/>
      </c>
      <c r="L242" s="14">
        <f>IF(F242="限制性股票",13.06,"")</f>
        <v/>
      </c>
      <c r="M242" s="11" t="n"/>
      <c r="N242" s="13" t="n"/>
      <c r="O242" s="13" t="n"/>
      <c r="P242" s="12" t="n"/>
      <c r="Q242" s="11" t="n"/>
      <c r="R242" s="12" t="n"/>
      <c r="S242" s="14">
        <f>IF(OR(A242="",C242="",F242="",G242="",I242="",J242=""),"",IF(F242="股票期权",MAX(0,(J242-K242)*I242),IF(F242="限制性股票",IF(OR(L242="",M242="",M242&lt;=0,N242=""),"",MAX(0,((L242+J242)/2)*I242-N242*I242/M242)),MAX(0,O242))))</f>
        <v/>
      </c>
      <c r="T242" s="14">
        <f>IF(S242="","",SUMIFS($S$2:$S$501,$C$2:$C$501,C242,$H$2:$H$501,H242,$G$2:$G$501,"&lt;"&amp;G242)+SUMIFS($S$2:$S$501,$C$2:$C$501,C242,$H$2:$H$501,H242,$G$2:$G$501,G242,$A$2:$A$501,"&lt;"&amp;A242))</f>
        <v/>
      </c>
      <c r="U242" s="14">
        <f>IF(S242="","",T242+S242)</f>
        <v/>
      </c>
      <c r="V242" s="15">
        <f>IF(U242="","",VLOOKUP(U242,'税率及规则'!$A$2:$C$8,2,TRUE))</f>
        <v/>
      </c>
      <c r="W242" s="14">
        <f>IF(U242="","",VLOOKUP(U242,'税率及规则'!$A$2:$C$8,3,TRUE))</f>
        <v/>
      </c>
      <c r="X242" s="14">
        <f>IF(U242="","",MAX(0,U242*V242-W242))</f>
        <v/>
      </c>
      <c r="Y242" s="14">
        <f>IF(T242="","",MAX(0,T242*VLOOKUP(T242,'税率及规则'!$A$2:$C$8,2,TRUE)-VLOOKUP(T242,'税率及规则'!$A$2:$C$8,3,TRUE)))</f>
        <v/>
      </c>
      <c r="Z242" s="14">
        <f>IF(X242="","",MAX(0,X242-Y242))</f>
        <v/>
      </c>
      <c r="AA242" s="16">
        <f>IF(G242="","",G242)</f>
        <v/>
      </c>
      <c r="AB242" s="16">
        <f>IF(AA242="","",EDATE(AA242,36))</f>
        <v/>
      </c>
      <c r="AC242" s="6">
        <f>IF(A242="","",IF(COUNTIF($A$2:$A$501,A242)&gt;1,"异常：事件编号重复",IF(OR(C242="",D242="",E242="",F242="",G242="",I242="",J242=""),"异常：必填项缺失",IF(OR(I242&lt;=0,J242&lt;0),"异常：数量或价格无效",IF(AND(F242="限制性股票",OR(M242&lt;=0,N242&lt;0,I242&gt;M242)),"异常：个人获授或出资数据无效",IF(AND(F242="股票期权",K242&lt;&gt;IF(G242&lt;DATE(2025,1,10),14.56,IF(G242&lt;DATE(2025,4,29),14.32,IF(G242&lt;DATE(2025,9,26),14.18,14.04)))),"异常：行权价格区间不符",IF(Q242&lt;&gt;"已备案","提示：未确认备案","正常")))))))</f>
        <v/>
      </c>
      <c r="AD242" s="11" t="n"/>
    </row>
    <row r="243">
      <c r="A243" s="11" t="n"/>
      <c r="B243" s="6">
        <f>IF(A243="","",A243&amp;"-TAX")</f>
        <v/>
      </c>
      <c r="C243" s="11" t="n"/>
      <c r="D243" s="11" t="n"/>
      <c r="E243" s="11" t="n"/>
      <c r="F243" s="11" t="n"/>
      <c r="G243" s="12" t="n"/>
      <c r="H243" s="6">
        <f>IF(G243="","",YEAR(G243))</f>
        <v/>
      </c>
      <c r="I243" s="11" t="n"/>
      <c r="J243" s="13" t="n"/>
      <c r="K243" s="14">
        <f>IF(F243="股票期权",IF(G243="","",IF(G243&lt;DATE(2025,1,10),14.56,IF(G243&lt;DATE(2025,4,29),14.32,IF(G243&lt;DATE(2025,9,26),14.18,14.04)))),IF(F243="限制性股票",8.68,""))</f>
        <v/>
      </c>
      <c r="L243" s="14">
        <f>IF(F243="限制性股票",13.06,"")</f>
        <v/>
      </c>
      <c r="M243" s="11" t="n"/>
      <c r="N243" s="13" t="n"/>
      <c r="O243" s="13" t="n"/>
      <c r="P243" s="12" t="n"/>
      <c r="Q243" s="11" t="n"/>
      <c r="R243" s="12" t="n"/>
      <c r="S243" s="14">
        <f>IF(OR(A243="",C243="",F243="",G243="",I243="",J243=""),"",IF(F243="股票期权",MAX(0,(J243-K243)*I243),IF(F243="限制性股票",IF(OR(L243="",M243="",M243&lt;=0,N243=""),"",MAX(0,((L243+J243)/2)*I243-N243*I243/M243)),MAX(0,O243))))</f>
        <v/>
      </c>
      <c r="T243" s="14">
        <f>IF(S243="","",SUMIFS($S$2:$S$501,$C$2:$C$501,C243,$H$2:$H$501,H243,$G$2:$G$501,"&lt;"&amp;G243)+SUMIFS($S$2:$S$501,$C$2:$C$501,C243,$H$2:$H$501,H243,$G$2:$G$501,G243,$A$2:$A$501,"&lt;"&amp;A243))</f>
        <v/>
      </c>
      <c r="U243" s="14">
        <f>IF(S243="","",T243+S243)</f>
        <v/>
      </c>
      <c r="V243" s="15">
        <f>IF(U243="","",VLOOKUP(U243,'税率及规则'!$A$2:$C$8,2,TRUE))</f>
        <v/>
      </c>
      <c r="W243" s="14">
        <f>IF(U243="","",VLOOKUP(U243,'税率及规则'!$A$2:$C$8,3,TRUE))</f>
        <v/>
      </c>
      <c r="X243" s="14">
        <f>IF(U243="","",MAX(0,U243*V243-W243))</f>
        <v/>
      </c>
      <c r="Y243" s="14">
        <f>IF(T243="","",MAX(0,T243*VLOOKUP(T243,'税率及规则'!$A$2:$C$8,2,TRUE)-VLOOKUP(T243,'税率及规则'!$A$2:$C$8,3,TRUE)))</f>
        <v/>
      </c>
      <c r="Z243" s="14">
        <f>IF(X243="","",MAX(0,X243-Y243))</f>
        <v/>
      </c>
      <c r="AA243" s="16">
        <f>IF(G243="","",G243)</f>
        <v/>
      </c>
      <c r="AB243" s="16">
        <f>IF(AA243="","",EDATE(AA243,36))</f>
        <v/>
      </c>
      <c r="AC243" s="6">
        <f>IF(A243="","",IF(COUNTIF($A$2:$A$501,A243)&gt;1,"异常：事件编号重复",IF(OR(C243="",D243="",E243="",F243="",G243="",I243="",J243=""),"异常：必填项缺失",IF(OR(I243&lt;=0,J243&lt;0),"异常：数量或价格无效",IF(AND(F243="限制性股票",OR(M243&lt;=0,N243&lt;0,I243&gt;M243)),"异常：个人获授或出资数据无效",IF(AND(F243="股票期权",K243&lt;&gt;IF(G243&lt;DATE(2025,1,10),14.56,IF(G243&lt;DATE(2025,4,29),14.32,IF(G243&lt;DATE(2025,9,26),14.18,14.04)))),"异常：行权价格区间不符",IF(Q243&lt;&gt;"已备案","提示：未确认备案","正常")))))))</f>
        <v/>
      </c>
      <c r="AD243" s="11" t="n"/>
    </row>
    <row r="244">
      <c r="A244" s="11" t="n"/>
      <c r="B244" s="6">
        <f>IF(A244="","",A244&amp;"-TAX")</f>
        <v/>
      </c>
      <c r="C244" s="11" t="n"/>
      <c r="D244" s="11" t="n"/>
      <c r="E244" s="11" t="n"/>
      <c r="F244" s="11" t="n"/>
      <c r="G244" s="12" t="n"/>
      <c r="H244" s="6">
        <f>IF(G244="","",YEAR(G244))</f>
        <v/>
      </c>
      <c r="I244" s="11" t="n"/>
      <c r="J244" s="13" t="n"/>
      <c r="K244" s="14">
        <f>IF(F244="股票期权",IF(G244="","",IF(G244&lt;DATE(2025,1,10),14.56,IF(G244&lt;DATE(2025,4,29),14.32,IF(G244&lt;DATE(2025,9,26),14.18,14.04)))),IF(F244="限制性股票",8.68,""))</f>
        <v/>
      </c>
      <c r="L244" s="14">
        <f>IF(F244="限制性股票",13.06,"")</f>
        <v/>
      </c>
      <c r="M244" s="11" t="n"/>
      <c r="N244" s="13" t="n"/>
      <c r="O244" s="13" t="n"/>
      <c r="P244" s="12" t="n"/>
      <c r="Q244" s="11" t="n"/>
      <c r="R244" s="12" t="n"/>
      <c r="S244" s="14">
        <f>IF(OR(A244="",C244="",F244="",G244="",I244="",J244=""),"",IF(F244="股票期权",MAX(0,(J244-K244)*I244),IF(F244="限制性股票",IF(OR(L244="",M244="",M244&lt;=0,N244=""),"",MAX(0,((L244+J244)/2)*I244-N244*I244/M244)),MAX(0,O244))))</f>
        <v/>
      </c>
      <c r="T244" s="14">
        <f>IF(S244="","",SUMIFS($S$2:$S$501,$C$2:$C$501,C244,$H$2:$H$501,H244,$G$2:$G$501,"&lt;"&amp;G244)+SUMIFS($S$2:$S$501,$C$2:$C$501,C244,$H$2:$H$501,H244,$G$2:$G$501,G244,$A$2:$A$501,"&lt;"&amp;A244))</f>
        <v/>
      </c>
      <c r="U244" s="14">
        <f>IF(S244="","",T244+S244)</f>
        <v/>
      </c>
      <c r="V244" s="15">
        <f>IF(U244="","",VLOOKUP(U244,'税率及规则'!$A$2:$C$8,2,TRUE))</f>
        <v/>
      </c>
      <c r="W244" s="14">
        <f>IF(U244="","",VLOOKUP(U244,'税率及规则'!$A$2:$C$8,3,TRUE))</f>
        <v/>
      </c>
      <c r="X244" s="14">
        <f>IF(U244="","",MAX(0,U244*V244-W244))</f>
        <v/>
      </c>
      <c r="Y244" s="14">
        <f>IF(T244="","",MAX(0,T244*VLOOKUP(T244,'税率及规则'!$A$2:$C$8,2,TRUE)-VLOOKUP(T244,'税率及规则'!$A$2:$C$8,3,TRUE)))</f>
        <v/>
      </c>
      <c r="Z244" s="14">
        <f>IF(X244="","",MAX(0,X244-Y244))</f>
        <v/>
      </c>
      <c r="AA244" s="16">
        <f>IF(G244="","",G244)</f>
        <v/>
      </c>
      <c r="AB244" s="16">
        <f>IF(AA244="","",EDATE(AA244,36))</f>
        <v/>
      </c>
      <c r="AC244" s="6">
        <f>IF(A244="","",IF(COUNTIF($A$2:$A$501,A244)&gt;1,"异常：事件编号重复",IF(OR(C244="",D244="",E244="",F244="",G244="",I244="",J244=""),"异常：必填项缺失",IF(OR(I244&lt;=0,J244&lt;0),"异常：数量或价格无效",IF(AND(F244="限制性股票",OR(M244&lt;=0,N244&lt;0,I244&gt;M244)),"异常：个人获授或出资数据无效",IF(AND(F244="股票期权",K244&lt;&gt;IF(G244&lt;DATE(2025,1,10),14.56,IF(G244&lt;DATE(2025,4,29),14.32,IF(G244&lt;DATE(2025,9,26),14.18,14.04)))),"异常：行权价格区间不符",IF(Q244&lt;&gt;"已备案","提示：未确认备案","正常")))))))</f>
        <v/>
      </c>
      <c r="AD244" s="11" t="n"/>
    </row>
    <row r="245">
      <c r="A245" s="11" t="n"/>
      <c r="B245" s="6">
        <f>IF(A245="","",A245&amp;"-TAX")</f>
        <v/>
      </c>
      <c r="C245" s="11" t="n"/>
      <c r="D245" s="11" t="n"/>
      <c r="E245" s="11" t="n"/>
      <c r="F245" s="11" t="n"/>
      <c r="G245" s="12" t="n"/>
      <c r="H245" s="6">
        <f>IF(G245="","",YEAR(G245))</f>
        <v/>
      </c>
      <c r="I245" s="11" t="n"/>
      <c r="J245" s="13" t="n"/>
      <c r="K245" s="14">
        <f>IF(F245="股票期权",IF(G245="","",IF(G245&lt;DATE(2025,1,10),14.56,IF(G245&lt;DATE(2025,4,29),14.32,IF(G245&lt;DATE(2025,9,26),14.18,14.04)))),IF(F245="限制性股票",8.68,""))</f>
        <v/>
      </c>
      <c r="L245" s="14">
        <f>IF(F245="限制性股票",13.06,"")</f>
        <v/>
      </c>
      <c r="M245" s="11" t="n"/>
      <c r="N245" s="13" t="n"/>
      <c r="O245" s="13" t="n"/>
      <c r="P245" s="12" t="n"/>
      <c r="Q245" s="11" t="n"/>
      <c r="R245" s="12" t="n"/>
      <c r="S245" s="14">
        <f>IF(OR(A245="",C245="",F245="",G245="",I245="",J245=""),"",IF(F245="股票期权",MAX(0,(J245-K245)*I245),IF(F245="限制性股票",IF(OR(L245="",M245="",M245&lt;=0,N245=""),"",MAX(0,((L245+J245)/2)*I245-N245*I245/M245)),MAX(0,O245))))</f>
        <v/>
      </c>
      <c r="T245" s="14">
        <f>IF(S245="","",SUMIFS($S$2:$S$501,$C$2:$C$501,C245,$H$2:$H$501,H245,$G$2:$G$501,"&lt;"&amp;G245)+SUMIFS($S$2:$S$501,$C$2:$C$501,C245,$H$2:$H$501,H245,$G$2:$G$501,G245,$A$2:$A$501,"&lt;"&amp;A245))</f>
        <v/>
      </c>
      <c r="U245" s="14">
        <f>IF(S245="","",T245+S245)</f>
        <v/>
      </c>
      <c r="V245" s="15">
        <f>IF(U245="","",VLOOKUP(U245,'税率及规则'!$A$2:$C$8,2,TRUE))</f>
        <v/>
      </c>
      <c r="W245" s="14">
        <f>IF(U245="","",VLOOKUP(U245,'税率及规则'!$A$2:$C$8,3,TRUE))</f>
        <v/>
      </c>
      <c r="X245" s="14">
        <f>IF(U245="","",MAX(0,U245*V245-W245))</f>
        <v/>
      </c>
      <c r="Y245" s="14">
        <f>IF(T245="","",MAX(0,T245*VLOOKUP(T245,'税率及规则'!$A$2:$C$8,2,TRUE)-VLOOKUP(T245,'税率及规则'!$A$2:$C$8,3,TRUE)))</f>
        <v/>
      </c>
      <c r="Z245" s="14">
        <f>IF(X245="","",MAX(0,X245-Y245))</f>
        <v/>
      </c>
      <c r="AA245" s="16">
        <f>IF(G245="","",G245)</f>
        <v/>
      </c>
      <c r="AB245" s="16">
        <f>IF(AA245="","",EDATE(AA245,36))</f>
        <v/>
      </c>
      <c r="AC245" s="6">
        <f>IF(A245="","",IF(COUNTIF($A$2:$A$501,A245)&gt;1,"异常：事件编号重复",IF(OR(C245="",D245="",E245="",F245="",G245="",I245="",J245=""),"异常：必填项缺失",IF(OR(I245&lt;=0,J245&lt;0),"异常：数量或价格无效",IF(AND(F245="限制性股票",OR(M245&lt;=0,N245&lt;0,I245&gt;M245)),"异常：个人获授或出资数据无效",IF(AND(F245="股票期权",K245&lt;&gt;IF(G245&lt;DATE(2025,1,10),14.56,IF(G245&lt;DATE(2025,4,29),14.32,IF(G245&lt;DATE(2025,9,26),14.18,14.04)))),"异常：行权价格区间不符",IF(Q245&lt;&gt;"已备案","提示：未确认备案","正常")))))))</f>
        <v/>
      </c>
      <c r="AD245" s="11" t="n"/>
    </row>
    <row r="246">
      <c r="A246" s="11" t="n"/>
      <c r="B246" s="6">
        <f>IF(A246="","",A246&amp;"-TAX")</f>
        <v/>
      </c>
      <c r="C246" s="11" t="n"/>
      <c r="D246" s="11" t="n"/>
      <c r="E246" s="11" t="n"/>
      <c r="F246" s="11" t="n"/>
      <c r="G246" s="12" t="n"/>
      <c r="H246" s="6">
        <f>IF(G246="","",YEAR(G246))</f>
        <v/>
      </c>
      <c r="I246" s="11" t="n"/>
      <c r="J246" s="13" t="n"/>
      <c r="K246" s="14">
        <f>IF(F246="股票期权",IF(G246="","",IF(G246&lt;DATE(2025,1,10),14.56,IF(G246&lt;DATE(2025,4,29),14.32,IF(G246&lt;DATE(2025,9,26),14.18,14.04)))),IF(F246="限制性股票",8.68,""))</f>
        <v/>
      </c>
      <c r="L246" s="14">
        <f>IF(F246="限制性股票",13.06,"")</f>
        <v/>
      </c>
      <c r="M246" s="11" t="n"/>
      <c r="N246" s="13" t="n"/>
      <c r="O246" s="13" t="n"/>
      <c r="P246" s="12" t="n"/>
      <c r="Q246" s="11" t="n"/>
      <c r="R246" s="12" t="n"/>
      <c r="S246" s="14">
        <f>IF(OR(A246="",C246="",F246="",G246="",I246="",J246=""),"",IF(F246="股票期权",MAX(0,(J246-K246)*I246),IF(F246="限制性股票",IF(OR(L246="",M246="",M246&lt;=0,N246=""),"",MAX(0,((L246+J246)/2)*I246-N246*I246/M246)),MAX(0,O246))))</f>
        <v/>
      </c>
      <c r="T246" s="14">
        <f>IF(S246="","",SUMIFS($S$2:$S$501,$C$2:$C$501,C246,$H$2:$H$501,H246,$G$2:$G$501,"&lt;"&amp;G246)+SUMIFS($S$2:$S$501,$C$2:$C$501,C246,$H$2:$H$501,H246,$G$2:$G$501,G246,$A$2:$A$501,"&lt;"&amp;A246))</f>
        <v/>
      </c>
      <c r="U246" s="14">
        <f>IF(S246="","",T246+S246)</f>
        <v/>
      </c>
      <c r="V246" s="15">
        <f>IF(U246="","",VLOOKUP(U246,'税率及规则'!$A$2:$C$8,2,TRUE))</f>
        <v/>
      </c>
      <c r="W246" s="14">
        <f>IF(U246="","",VLOOKUP(U246,'税率及规则'!$A$2:$C$8,3,TRUE))</f>
        <v/>
      </c>
      <c r="X246" s="14">
        <f>IF(U246="","",MAX(0,U246*V246-W246))</f>
        <v/>
      </c>
      <c r="Y246" s="14">
        <f>IF(T246="","",MAX(0,T246*VLOOKUP(T246,'税率及规则'!$A$2:$C$8,2,TRUE)-VLOOKUP(T246,'税率及规则'!$A$2:$C$8,3,TRUE)))</f>
        <v/>
      </c>
      <c r="Z246" s="14">
        <f>IF(X246="","",MAX(0,X246-Y246))</f>
        <v/>
      </c>
      <c r="AA246" s="16">
        <f>IF(G246="","",G246)</f>
        <v/>
      </c>
      <c r="AB246" s="16">
        <f>IF(AA246="","",EDATE(AA246,36))</f>
        <v/>
      </c>
      <c r="AC246" s="6">
        <f>IF(A246="","",IF(COUNTIF($A$2:$A$501,A246)&gt;1,"异常：事件编号重复",IF(OR(C246="",D246="",E246="",F246="",G246="",I246="",J246=""),"异常：必填项缺失",IF(OR(I246&lt;=0,J246&lt;0),"异常：数量或价格无效",IF(AND(F246="限制性股票",OR(M246&lt;=0,N246&lt;0,I246&gt;M246)),"异常：个人获授或出资数据无效",IF(AND(F246="股票期权",K246&lt;&gt;IF(G246&lt;DATE(2025,1,10),14.56,IF(G246&lt;DATE(2025,4,29),14.32,IF(G246&lt;DATE(2025,9,26),14.18,14.04)))),"异常：行权价格区间不符",IF(Q246&lt;&gt;"已备案","提示：未确认备案","正常")))))))</f>
        <v/>
      </c>
      <c r="AD246" s="11" t="n"/>
    </row>
    <row r="247">
      <c r="A247" s="11" t="n"/>
      <c r="B247" s="6">
        <f>IF(A247="","",A247&amp;"-TAX")</f>
        <v/>
      </c>
      <c r="C247" s="11" t="n"/>
      <c r="D247" s="11" t="n"/>
      <c r="E247" s="11" t="n"/>
      <c r="F247" s="11" t="n"/>
      <c r="G247" s="12" t="n"/>
      <c r="H247" s="6">
        <f>IF(G247="","",YEAR(G247))</f>
        <v/>
      </c>
      <c r="I247" s="11" t="n"/>
      <c r="J247" s="13" t="n"/>
      <c r="K247" s="14">
        <f>IF(F247="股票期权",IF(G247="","",IF(G247&lt;DATE(2025,1,10),14.56,IF(G247&lt;DATE(2025,4,29),14.32,IF(G247&lt;DATE(2025,9,26),14.18,14.04)))),IF(F247="限制性股票",8.68,""))</f>
        <v/>
      </c>
      <c r="L247" s="14">
        <f>IF(F247="限制性股票",13.06,"")</f>
        <v/>
      </c>
      <c r="M247" s="11" t="n"/>
      <c r="N247" s="13" t="n"/>
      <c r="O247" s="13" t="n"/>
      <c r="P247" s="12" t="n"/>
      <c r="Q247" s="11" t="n"/>
      <c r="R247" s="12" t="n"/>
      <c r="S247" s="14">
        <f>IF(OR(A247="",C247="",F247="",G247="",I247="",J247=""),"",IF(F247="股票期权",MAX(0,(J247-K247)*I247),IF(F247="限制性股票",IF(OR(L247="",M247="",M247&lt;=0,N247=""),"",MAX(0,((L247+J247)/2)*I247-N247*I247/M247)),MAX(0,O247))))</f>
        <v/>
      </c>
      <c r="T247" s="14">
        <f>IF(S247="","",SUMIFS($S$2:$S$501,$C$2:$C$501,C247,$H$2:$H$501,H247,$G$2:$G$501,"&lt;"&amp;G247)+SUMIFS($S$2:$S$501,$C$2:$C$501,C247,$H$2:$H$501,H247,$G$2:$G$501,G247,$A$2:$A$501,"&lt;"&amp;A247))</f>
        <v/>
      </c>
      <c r="U247" s="14">
        <f>IF(S247="","",T247+S247)</f>
        <v/>
      </c>
      <c r="V247" s="15">
        <f>IF(U247="","",VLOOKUP(U247,'税率及规则'!$A$2:$C$8,2,TRUE))</f>
        <v/>
      </c>
      <c r="W247" s="14">
        <f>IF(U247="","",VLOOKUP(U247,'税率及规则'!$A$2:$C$8,3,TRUE))</f>
        <v/>
      </c>
      <c r="X247" s="14">
        <f>IF(U247="","",MAX(0,U247*V247-W247))</f>
        <v/>
      </c>
      <c r="Y247" s="14">
        <f>IF(T247="","",MAX(0,T247*VLOOKUP(T247,'税率及规则'!$A$2:$C$8,2,TRUE)-VLOOKUP(T247,'税率及规则'!$A$2:$C$8,3,TRUE)))</f>
        <v/>
      </c>
      <c r="Z247" s="14">
        <f>IF(X247="","",MAX(0,X247-Y247))</f>
        <v/>
      </c>
      <c r="AA247" s="16">
        <f>IF(G247="","",G247)</f>
        <v/>
      </c>
      <c r="AB247" s="16">
        <f>IF(AA247="","",EDATE(AA247,36))</f>
        <v/>
      </c>
      <c r="AC247" s="6">
        <f>IF(A247="","",IF(COUNTIF($A$2:$A$501,A247)&gt;1,"异常：事件编号重复",IF(OR(C247="",D247="",E247="",F247="",G247="",I247="",J247=""),"异常：必填项缺失",IF(OR(I247&lt;=0,J247&lt;0),"异常：数量或价格无效",IF(AND(F247="限制性股票",OR(M247&lt;=0,N247&lt;0,I247&gt;M247)),"异常：个人获授或出资数据无效",IF(AND(F247="股票期权",K247&lt;&gt;IF(G247&lt;DATE(2025,1,10),14.56,IF(G247&lt;DATE(2025,4,29),14.32,IF(G247&lt;DATE(2025,9,26),14.18,14.04)))),"异常：行权价格区间不符",IF(Q247&lt;&gt;"已备案","提示：未确认备案","正常")))))))</f>
        <v/>
      </c>
      <c r="AD247" s="11" t="n"/>
    </row>
    <row r="248">
      <c r="A248" s="11" t="n"/>
      <c r="B248" s="6">
        <f>IF(A248="","",A248&amp;"-TAX")</f>
        <v/>
      </c>
      <c r="C248" s="11" t="n"/>
      <c r="D248" s="11" t="n"/>
      <c r="E248" s="11" t="n"/>
      <c r="F248" s="11" t="n"/>
      <c r="G248" s="12" t="n"/>
      <c r="H248" s="6">
        <f>IF(G248="","",YEAR(G248))</f>
        <v/>
      </c>
      <c r="I248" s="11" t="n"/>
      <c r="J248" s="13" t="n"/>
      <c r="K248" s="14">
        <f>IF(F248="股票期权",IF(G248="","",IF(G248&lt;DATE(2025,1,10),14.56,IF(G248&lt;DATE(2025,4,29),14.32,IF(G248&lt;DATE(2025,9,26),14.18,14.04)))),IF(F248="限制性股票",8.68,""))</f>
        <v/>
      </c>
      <c r="L248" s="14">
        <f>IF(F248="限制性股票",13.06,"")</f>
        <v/>
      </c>
      <c r="M248" s="11" t="n"/>
      <c r="N248" s="13" t="n"/>
      <c r="O248" s="13" t="n"/>
      <c r="P248" s="12" t="n"/>
      <c r="Q248" s="11" t="n"/>
      <c r="R248" s="12" t="n"/>
      <c r="S248" s="14">
        <f>IF(OR(A248="",C248="",F248="",G248="",I248="",J248=""),"",IF(F248="股票期权",MAX(0,(J248-K248)*I248),IF(F248="限制性股票",IF(OR(L248="",M248="",M248&lt;=0,N248=""),"",MAX(0,((L248+J248)/2)*I248-N248*I248/M248)),MAX(0,O248))))</f>
        <v/>
      </c>
      <c r="T248" s="14">
        <f>IF(S248="","",SUMIFS($S$2:$S$501,$C$2:$C$501,C248,$H$2:$H$501,H248,$G$2:$G$501,"&lt;"&amp;G248)+SUMIFS($S$2:$S$501,$C$2:$C$501,C248,$H$2:$H$501,H248,$G$2:$G$501,G248,$A$2:$A$501,"&lt;"&amp;A248))</f>
        <v/>
      </c>
      <c r="U248" s="14">
        <f>IF(S248="","",T248+S248)</f>
        <v/>
      </c>
      <c r="V248" s="15">
        <f>IF(U248="","",VLOOKUP(U248,'税率及规则'!$A$2:$C$8,2,TRUE))</f>
        <v/>
      </c>
      <c r="W248" s="14">
        <f>IF(U248="","",VLOOKUP(U248,'税率及规则'!$A$2:$C$8,3,TRUE))</f>
        <v/>
      </c>
      <c r="X248" s="14">
        <f>IF(U248="","",MAX(0,U248*V248-W248))</f>
        <v/>
      </c>
      <c r="Y248" s="14">
        <f>IF(T248="","",MAX(0,T248*VLOOKUP(T248,'税率及规则'!$A$2:$C$8,2,TRUE)-VLOOKUP(T248,'税率及规则'!$A$2:$C$8,3,TRUE)))</f>
        <v/>
      </c>
      <c r="Z248" s="14">
        <f>IF(X248="","",MAX(0,X248-Y248))</f>
        <v/>
      </c>
      <c r="AA248" s="16">
        <f>IF(G248="","",G248)</f>
        <v/>
      </c>
      <c r="AB248" s="16">
        <f>IF(AA248="","",EDATE(AA248,36))</f>
        <v/>
      </c>
      <c r="AC248" s="6">
        <f>IF(A248="","",IF(COUNTIF($A$2:$A$501,A248)&gt;1,"异常：事件编号重复",IF(OR(C248="",D248="",E248="",F248="",G248="",I248="",J248=""),"异常：必填项缺失",IF(OR(I248&lt;=0,J248&lt;0),"异常：数量或价格无效",IF(AND(F248="限制性股票",OR(M248&lt;=0,N248&lt;0,I248&gt;M248)),"异常：个人获授或出资数据无效",IF(AND(F248="股票期权",K248&lt;&gt;IF(G248&lt;DATE(2025,1,10),14.56,IF(G248&lt;DATE(2025,4,29),14.32,IF(G248&lt;DATE(2025,9,26),14.18,14.04)))),"异常：行权价格区间不符",IF(Q248&lt;&gt;"已备案","提示：未确认备案","正常")))))))</f>
        <v/>
      </c>
      <c r="AD248" s="11" t="n"/>
    </row>
    <row r="249">
      <c r="A249" s="11" t="n"/>
      <c r="B249" s="6">
        <f>IF(A249="","",A249&amp;"-TAX")</f>
        <v/>
      </c>
      <c r="C249" s="11" t="n"/>
      <c r="D249" s="11" t="n"/>
      <c r="E249" s="11" t="n"/>
      <c r="F249" s="11" t="n"/>
      <c r="G249" s="12" t="n"/>
      <c r="H249" s="6">
        <f>IF(G249="","",YEAR(G249))</f>
        <v/>
      </c>
      <c r="I249" s="11" t="n"/>
      <c r="J249" s="13" t="n"/>
      <c r="K249" s="14">
        <f>IF(F249="股票期权",IF(G249="","",IF(G249&lt;DATE(2025,1,10),14.56,IF(G249&lt;DATE(2025,4,29),14.32,IF(G249&lt;DATE(2025,9,26),14.18,14.04)))),IF(F249="限制性股票",8.68,""))</f>
        <v/>
      </c>
      <c r="L249" s="14">
        <f>IF(F249="限制性股票",13.06,"")</f>
        <v/>
      </c>
      <c r="M249" s="11" t="n"/>
      <c r="N249" s="13" t="n"/>
      <c r="O249" s="13" t="n"/>
      <c r="P249" s="12" t="n"/>
      <c r="Q249" s="11" t="n"/>
      <c r="R249" s="12" t="n"/>
      <c r="S249" s="14">
        <f>IF(OR(A249="",C249="",F249="",G249="",I249="",J249=""),"",IF(F249="股票期权",MAX(0,(J249-K249)*I249),IF(F249="限制性股票",IF(OR(L249="",M249="",M249&lt;=0,N249=""),"",MAX(0,((L249+J249)/2)*I249-N249*I249/M249)),MAX(0,O249))))</f>
        <v/>
      </c>
      <c r="T249" s="14">
        <f>IF(S249="","",SUMIFS($S$2:$S$501,$C$2:$C$501,C249,$H$2:$H$501,H249,$G$2:$G$501,"&lt;"&amp;G249)+SUMIFS($S$2:$S$501,$C$2:$C$501,C249,$H$2:$H$501,H249,$G$2:$G$501,G249,$A$2:$A$501,"&lt;"&amp;A249))</f>
        <v/>
      </c>
      <c r="U249" s="14">
        <f>IF(S249="","",T249+S249)</f>
        <v/>
      </c>
      <c r="V249" s="15">
        <f>IF(U249="","",VLOOKUP(U249,'税率及规则'!$A$2:$C$8,2,TRUE))</f>
        <v/>
      </c>
      <c r="W249" s="14">
        <f>IF(U249="","",VLOOKUP(U249,'税率及规则'!$A$2:$C$8,3,TRUE))</f>
        <v/>
      </c>
      <c r="X249" s="14">
        <f>IF(U249="","",MAX(0,U249*V249-W249))</f>
        <v/>
      </c>
      <c r="Y249" s="14">
        <f>IF(T249="","",MAX(0,T249*VLOOKUP(T249,'税率及规则'!$A$2:$C$8,2,TRUE)-VLOOKUP(T249,'税率及规则'!$A$2:$C$8,3,TRUE)))</f>
        <v/>
      </c>
      <c r="Z249" s="14">
        <f>IF(X249="","",MAX(0,X249-Y249))</f>
        <v/>
      </c>
      <c r="AA249" s="16">
        <f>IF(G249="","",G249)</f>
        <v/>
      </c>
      <c r="AB249" s="16">
        <f>IF(AA249="","",EDATE(AA249,36))</f>
        <v/>
      </c>
      <c r="AC249" s="6">
        <f>IF(A249="","",IF(COUNTIF($A$2:$A$501,A249)&gt;1,"异常：事件编号重复",IF(OR(C249="",D249="",E249="",F249="",G249="",I249="",J249=""),"异常：必填项缺失",IF(OR(I249&lt;=0,J249&lt;0),"异常：数量或价格无效",IF(AND(F249="限制性股票",OR(M249&lt;=0,N249&lt;0,I249&gt;M249)),"异常：个人获授或出资数据无效",IF(AND(F249="股票期权",K249&lt;&gt;IF(G249&lt;DATE(2025,1,10),14.56,IF(G249&lt;DATE(2025,4,29),14.32,IF(G249&lt;DATE(2025,9,26),14.18,14.04)))),"异常：行权价格区间不符",IF(Q249&lt;&gt;"已备案","提示：未确认备案","正常")))))))</f>
        <v/>
      </c>
      <c r="AD249" s="11" t="n"/>
    </row>
    <row r="250">
      <c r="A250" s="11" t="n"/>
      <c r="B250" s="6">
        <f>IF(A250="","",A250&amp;"-TAX")</f>
        <v/>
      </c>
      <c r="C250" s="11" t="n"/>
      <c r="D250" s="11" t="n"/>
      <c r="E250" s="11" t="n"/>
      <c r="F250" s="11" t="n"/>
      <c r="G250" s="12" t="n"/>
      <c r="H250" s="6">
        <f>IF(G250="","",YEAR(G250))</f>
        <v/>
      </c>
      <c r="I250" s="11" t="n"/>
      <c r="J250" s="13" t="n"/>
      <c r="K250" s="14">
        <f>IF(F250="股票期权",IF(G250="","",IF(G250&lt;DATE(2025,1,10),14.56,IF(G250&lt;DATE(2025,4,29),14.32,IF(G250&lt;DATE(2025,9,26),14.18,14.04)))),IF(F250="限制性股票",8.68,""))</f>
        <v/>
      </c>
      <c r="L250" s="14">
        <f>IF(F250="限制性股票",13.06,"")</f>
        <v/>
      </c>
      <c r="M250" s="11" t="n"/>
      <c r="N250" s="13" t="n"/>
      <c r="O250" s="13" t="n"/>
      <c r="P250" s="12" t="n"/>
      <c r="Q250" s="11" t="n"/>
      <c r="R250" s="12" t="n"/>
      <c r="S250" s="14">
        <f>IF(OR(A250="",C250="",F250="",G250="",I250="",J250=""),"",IF(F250="股票期权",MAX(0,(J250-K250)*I250),IF(F250="限制性股票",IF(OR(L250="",M250="",M250&lt;=0,N250=""),"",MAX(0,((L250+J250)/2)*I250-N250*I250/M250)),MAX(0,O250))))</f>
        <v/>
      </c>
      <c r="T250" s="14">
        <f>IF(S250="","",SUMIFS($S$2:$S$501,$C$2:$C$501,C250,$H$2:$H$501,H250,$G$2:$G$501,"&lt;"&amp;G250)+SUMIFS($S$2:$S$501,$C$2:$C$501,C250,$H$2:$H$501,H250,$G$2:$G$501,G250,$A$2:$A$501,"&lt;"&amp;A250))</f>
        <v/>
      </c>
      <c r="U250" s="14">
        <f>IF(S250="","",T250+S250)</f>
        <v/>
      </c>
      <c r="V250" s="15">
        <f>IF(U250="","",VLOOKUP(U250,'税率及规则'!$A$2:$C$8,2,TRUE))</f>
        <v/>
      </c>
      <c r="W250" s="14">
        <f>IF(U250="","",VLOOKUP(U250,'税率及规则'!$A$2:$C$8,3,TRUE))</f>
        <v/>
      </c>
      <c r="X250" s="14">
        <f>IF(U250="","",MAX(0,U250*V250-W250))</f>
        <v/>
      </c>
      <c r="Y250" s="14">
        <f>IF(T250="","",MAX(0,T250*VLOOKUP(T250,'税率及规则'!$A$2:$C$8,2,TRUE)-VLOOKUP(T250,'税率及规则'!$A$2:$C$8,3,TRUE)))</f>
        <v/>
      </c>
      <c r="Z250" s="14">
        <f>IF(X250="","",MAX(0,X250-Y250))</f>
        <v/>
      </c>
      <c r="AA250" s="16">
        <f>IF(G250="","",G250)</f>
        <v/>
      </c>
      <c r="AB250" s="16">
        <f>IF(AA250="","",EDATE(AA250,36))</f>
        <v/>
      </c>
      <c r="AC250" s="6">
        <f>IF(A250="","",IF(COUNTIF($A$2:$A$501,A250)&gt;1,"异常：事件编号重复",IF(OR(C250="",D250="",E250="",F250="",G250="",I250="",J250=""),"异常：必填项缺失",IF(OR(I250&lt;=0,J250&lt;0),"异常：数量或价格无效",IF(AND(F250="限制性股票",OR(M250&lt;=0,N250&lt;0,I250&gt;M250)),"异常：个人获授或出资数据无效",IF(AND(F250="股票期权",K250&lt;&gt;IF(G250&lt;DATE(2025,1,10),14.56,IF(G250&lt;DATE(2025,4,29),14.32,IF(G250&lt;DATE(2025,9,26),14.18,14.04)))),"异常：行权价格区间不符",IF(Q250&lt;&gt;"已备案","提示：未确认备案","正常")))))))</f>
        <v/>
      </c>
      <c r="AD250" s="11" t="n"/>
    </row>
    <row r="251">
      <c r="A251" s="11" t="n"/>
      <c r="B251" s="6">
        <f>IF(A251="","",A251&amp;"-TAX")</f>
        <v/>
      </c>
      <c r="C251" s="11" t="n"/>
      <c r="D251" s="11" t="n"/>
      <c r="E251" s="11" t="n"/>
      <c r="F251" s="11" t="n"/>
      <c r="G251" s="12" t="n"/>
      <c r="H251" s="6">
        <f>IF(G251="","",YEAR(G251))</f>
        <v/>
      </c>
      <c r="I251" s="11" t="n"/>
      <c r="J251" s="13" t="n"/>
      <c r="K251" s="14">
        <f>IF(F251="股票期权",IF(G251="","",IF(G251&lt;DATE(2025,1,10),14.56,IF(G251&lt;DATE(2025,4,29),14.32,IF(G251&lt;DATE(2025,9,26),14.18,14.04)))),IF(F251="限制性股票",8.68,""))</f>
        <v/>
      </c>
      <c r="L251" s="14">
        <f>IF(F251="限制性股票",13.06,"")</f>
        <v/>
      </c>
      <c r="M251" s="11" t="n"/>
      <c r="N251" s="13" t="n"/>
      <c r="O251" s="13" t="n"/>
      <c r="P251" s="12" t="n"/>
      <c r="Q251" s="11" t="n"/>
      <c r="R251" s="12" t="n"/>
      <c r="S251" s="14">
        <f>IF(OR(A251="",C251="",F251="",G251="",I251="",J251=""),"",IF(F251="股票期权",MAX(0,(J251-K251)*I251),IF(F251="限制性股票",IF(OR(L251="",M251="",M251&lt;=0,N251=""),"",MAX(0,((L251+J251)/2)*I251-N251*I251/M251)),MAX(0,O251))))</f>
        <v/>
      </c>
      <c r="T251" s="14">
        <f>IF(S251="","",SUMIFS($S$2:$S$501,$C$2:$C$501,C251,$H$2:$H$501,H251,$G$2:$G$501,"&lt;"&amp;G251)+SUMIFS($S$2:$S$501,$C$2:$C$501,C251,$H$2:$H$501,H251,$G$2:$G$501,G251,$A$2:$A$501,"&lt;"&amp;A251))</f>
        <v/>
      </c>
      <c r="U251" s="14">
        <f>IF(S251="","",T251+S251)</f>
        <v/>
      </c>
      <c r="V251" s="15">
        <f>IF(U251="","",VLOOKUP(U251,'税率及规则'!$A$2:$C$8,2,TRUE))</f>
        <v/>
      </c>
      <c r="W251" s="14">
        <f>IF(U251="","",VLOOKUP(U251,'税率及规则'!$A$2:$C$8,3,TRUE))</f>
        <v/>
      </c>
      <c r="X251" s="14">
        <f>IF(U251="","",MAX(0,U251*V251-W251))</f>
        <v/>
      </c>
      <c r="Y251" s="14">
        <f>IF(T251="","",MAX(0,T251*VLOOKUP(T251,'税率及规则'!$A$2:$C$8,2,TRUE)-VLOOKUP(T251,'税率及规则'!$A$2:$C$8,3,TRUE)))</f>
        <v/>
      </c>
      <c r="Z251" s="14">
        <f>IF(X251="","",MAX(0,X251-Y251))</f>
        <v/>
      </c>
      <c r="AA251" s="16">
        <f>IF(G251="","",G251)</f>
        <v/>
      </c>
      <c r="AB251" s="16">
        <f>IF(AA251="","",EDATE(AA251,36))</f>
        <v/>
      </c>
      <c r="AC251" s="6">
        <f>IF(A251="","",IF(COUNTIF($A$2:$A$501,A251)&gt;1,"异常：事件编号重复",IF(OR(C251="",D251="",E251="",F251="",G251="",I251="",J251=""),"异常：必填项缺失",IF(OR(I251&lt;=0,J251&lt;0),"异常：数量或价格无效",IF(AND(F251="限制性股票",OR(M251&lt;=0,N251&lt;0,I251&gt;M251)),"异常：个人获授或出资数据无效",IF(AND(F251="股票期权",K251&lt;&gt;IF(G251&lt;DATE(2025,1,10),14.56,IF(G251&lt;DATE(2025,4,29),14.32,IF(G251&lt;DATE(2025,9,26),14.18,14.04)))),"异常：行权价格区间不符",IF(Q251&lt;&gt;"已备案","提示：未确认备案","正常")))))))</f>
        <v/>
      </c>
      <c r="AD251" s="11" t="n"/>
    </row>
    <row r="252">
      <c r="A252" s="11" t="n"/>
      <c r="B252" s="6">
        <f>IF(A252="","",A252&amp;"-TAX")</f>
        <v/>
      </c>
      <c r="C252" s="11" t="n"/>
      <c r="D252" s="11" t="n"/>
      <c r="E252" s="11" t="n"/>
      <c r="F252" s="11" t="n"/>
      <c r="G252" s="12" t="n"/>
      <c r="H252" s="6">
        <f>IF(G252="","",YEAR(G252))</f>
        <v/>
      </c>
      <c r="I252" s="11" t="n"/>
      <c r="J252" s="13" t="n"/>
      <c r="K252" s="14">
        <f>IF(F252="股票期权",IF(G252="","",IF(G252&lt;DATE(2025,1,10),14.56,IF(G252&lt;DATE(2025,4,29),14.32,IF(G252&lt;DATE(2025,9,26),14.18,14.04)))),IF(F252="限制性股票",8.68,""))</f>
        <v/>
      </c>
      <c r="L252" s="14">
        <f>IF(F252="限制性股票",13.06,"")</f>
        <v/>
      </c>
      <c r="M252" s="11" t="n"/>
      <c r="N252" s="13" t="n"/>
      <c r="O252" s="13" t="n"/>
      <c r="P252" s="12" t="n"/>
      <c r="Q252" s="11" t="n"/>
      <c r="R252" s="12" t="n"/>
      <c r="S252" s="14">
        <f>IF(OR(A252="",C252="",F252="",G252="",I252="",J252=""),"",IF(F252="股票期权",MAX(0,(J252-K252)*I252),IF(F252="限制性股票",IF(OR(L252="",M252="",M252&lt;=0,N252=""),"",MAX(0,((L252+J252)/2)*I252-N252*I252/M252)),MAX(0,O252))))</f>
        <v/>
      </c>
      <c r="T252" s="14">
        <f>IF(S252="","",SUMIFS($S$2:$S$501,$C$2:$C$501,C252,$H$2:$H$501,H252,$G$2:$G$501,"&lt;"&amp;G252)+SUMIFS($S$2:$S$501,$C$2:$C$501,C252,$H$2:$H$501,H252,$G$2:$G$501,G252,$A$2:$A$501,"&lt;"&amp;A252))</f>
        <v/>
      </c>
      <c r="U252" s="14">
        <f>IF(S252="","",T252+S252)</f>
        <v/>
      </c>
      <c r="V252" s="15">
        <f>IF(U252="","",VLOOKUP(U252,'税率及规则'!$A$2:$C$8,2,TRUE))</f>
        <v/>
      </c>
      <c r="W252" s="14">
        <f>IF(U252="","",VLOOKUP(U252,'税率及规则'!$A$2:$C$8,3,TRUE))</f>
        <v/>
      </c>
      <c r="X252" s="14">
        <f>IF(U252="","",MAX(0,U252*V252-W252))</f>
        <v/>
      </c>
      <c r="Y252" s="14">
        <f>IF(T252="","",MAX(0,T252*VLOOKUP(T252,'税率及规则'!$A$2:$C$8,2,TRUE)-VLOOKUP(T252,'税率及规则'!$A$2:$C$8,3,TRUE)))</f>
        <v/>
      </c>
      <c r="Z252" s="14">
        <f>IF(X252="","",MAX(0,X252-Y252))</f>
        <v/>
      </c>
      <c r="AA252" s="16">
        <f>IF(G252="","",G252)</f>
        <v/>
      </c>
      <c r="AB252" s="16">
        <f>IF(AA252="","",EDATE(AA252,36))</f>
        <v/>
      </c>
      <c r="AC252" s="6">
        <f>IF(A252="","",IF(COUNTIF($A$2:$A$501,A252)&gt;1,"异常：事件编号重复",IF(OR(C252="",D252="",E252="",F252="",G252="",I252="",J252=""),"异常：必填项缺失",IF(OR(I252&lt;=0,J252&lt;0),"异常：数量或价格无效",IF(AND(F252="限制性股票",OR(M252&lt;=0,N252&lt;0,I252&gt;M252)),"异常：个人获授或出资数据无效",IF(AND(F252="股票期权",K252&lt;&gt;IF(G252&lt;DATE(2025,1,10),14.56,IF(G252&lt;DATE(2025,4,29),14.32,IF(G252&lt;DATE(2025,9,26),14.18,14.04)))),"异常：行权价格区间不符",IF(Q252&lt;&gt;"已备案","提示：未确认备案","正常")))))))</f>
        <v/>
      </c>
      <c r="AD252" s="11" t="n"/>
    </row>
    <row r="253">
      <c r="A253" s="11" t="n"/>
      <c r="B253" s="6">
        <f>IF(A253="","",A253&amp;"-TAX")</f>
        <v/>
      </c>
      <c r="C253" s="11" t="n"/>
      <c r="D253" s="11" t="n"/>
      <c r="E253" s="11" t="n"/>
      <c r="F253" s="11" t="n"/>
      <c r="G253" s="12" t="n"/>
      <c r="H253" s="6">
        <f>IF(G253="","",YEAR(G253))</f>
        <v/>
      </c>
      <c r="I253" s="11" t="n"/>
      <c r="J253" s="13" t="n"/>
      <c r="K253" s="14">
        <f>IF(F253="股票期权",IF(G253="","",IF(G253&lt;DATE(2025,1,10),14.56,IF(G253&lt;DATE(2025,4,29),14.32,IF(G253&lt;DATE(2025,9,26),14.18,14.04)))),IF(F253="限制性股票",8.68,""))</f>
        <v/>
      </c>
      <c r="L253" s="14">
        <f>IF(F253="限制性股票",13.06,"")</f>
        <v/>
      </c>
      <c r="M253" s="11" t="n"/>
      <c r="N253" s="13" t="n"/>
      <c r="O253" s="13" t="n"/>
      <c r="P253" s="12" t="n"/>
      <c r="Q253" s="11" t="n"/>
      <c r="R253" s="12" t="n"/>
      <c r="S253" s="14">
        <f>IF(OR(A253="",C253="",F253="",G253="",I253="",J253=""),"",IF(F253="股票期权",MAX(0,(J253-K253)*I253),IF(F253="限制性股票",IF(OR(L253="",M253="",M253&lt;=0,N253=""),"",MAX(0,((L253+J253)/2)*I253-N253*I253/M253)),MAX(0,O253))))</f>
        <v/>
      </c>
      <c r="T253" s="14">
        <f>IF(S253="","",SUMIFS($S$2:$S$501,$C$2:$C$501,C253,$H$2:$H$501,H253,$G$2:$G$501,"&lt;"&amp;G253)+SUMIFS($S$2:$S$501,$C$2:$C$501,C253,$H$2:$H$501,H253,$G$2:$G$501,G253,$A$2:$A$501,"&lt;"&amp;A253))</f>
        <v/>
      </c>
      <c r="U253" s="14">
        <f>IF(S253="","",T253+S253)</f>
        <v/>
      </c>
      <c r="V253" s="15">
        <f>IF(U253="","",VLOOKUP(U253,'税率及规则'!$A$2:$C$8,2,TRUE))</f>
        <v/>
      </c>
      <c r="W253" s="14">
        <f>IF(U253="","",VLOOKUP(U253,'税率及规则'!$A$2:$C$8,3,TRUE))</f>
        <v/>
      </c>
      <c r="X253" s="14">
        <f>IF(U253="","",MAX(0,U253*V253-W253))</f>
        <v/>
      </c>
      <c r="Y253" s="14">
        <f>IF(T253="","",MAX(0,T253*VLOOKUP(T253,'税率及规则'!$A$2:$C$8,2,TRUE)-VLOOKUP(T253,'税率及规则'!$A$2:$C$8,3,TRUE)))</f>
        <v/>
      </c>
      <c r="Z253" s="14">
        <f>IF(X253="","",MAX(0,X253-Y253))</f>
        <v/>
      </c>
      <c r="AA253" s="16">
        <f>IF(G253="","",G253)</f>
        <v/>
      </c>
      <c r="AB253" s="16">
        <f>IF(AA253="","",EDATE(AA253,36))</f>
        <v/>
      </c>
      <c r="AC253" s="6">
        <f>IF(A253="","",IF(COUNTIF($A$2:$A$501,A253)&gt;1,"异常：事件编号重复",IF(OR(C253="",D253="",E253="",F253="",G253="",I253="",J253=""),"异常：必填项缺失",IF(OR(I253&lt;=0,J253&lt;0),"异常：数量或价格无效",IF(AND(F253="限制性股票",OR(M253&lt;=0,N253&lt;0,I253&gt;M253)),"异常：个人获授或出资数据无效",IF(AND(F253="股票期权",K253&lt;&gt;IF(G253&lt;DATE(2025,1,10),14.56,IF(G253&lt;DATE(2025,4,29),14.32,IF(G253&lt;DATE(2025,9,26),14.18,14.04)))),"异常：行权价格区间不符",IF(Q253&lt;&gt;"已备案","提示：未确认备案","正常")))))))</f>
        <v/>
      </c>
      <c r="AD253" s="11" t="n"/>
    </row>
    <row r="254">
      <c r="A254" s="11" t="n"/>
      <c r="B254" s="6">
        <f>IF(A254="","",A254&amp;"-TAX")</f>
        <v/>
      </c>
      <c r="C254" s="11" t="n"/>
      <c r="D254" s="11" t="n"/>
      <c r="E254" s="11" t="n"/>
      <c r="F254" s="11" t="n"/>
      <c r="G254" s="12" t="n"/>
      <c r="H254" s="6">
        <f>IF(G254="","",YEAR(G254))</f>
        <v/>
      </c>
      <c r="I254" s="11" t="n"/>
      <c r="J254" s="13" t="n"/>
      <c r="K254" s="14">
        <f>IF(F254="股票期权",IF(G254="","",IF(G254&lt;DATE(2025,1,10),14.56,IF(G254&lt;DATE(2025,4,29),14.32,IF(G254&lt;DATE(2025,9,26),14.18,14.04)))),IF(F254="限制性股票",8.68,""))</f>
        <v/>
      </c>
      <c r="L254" s="14">
        <f>IF(F254="限制性股票",13.06,"")</f>
        <v/>
      </c>
      <c r="M254" s="11" t="n"/>
      <c r="N254" s="13" t="n"/>
      <c r="O254" s="13" t="n"/>
      <c r="P254" s="12" t="n"/>
      <c r="Q254" s="11" t="n"/>
      <c r="R254" s="12" t="n"/>
      <c r="S254" s="14">
        <f>IF(OR(A254="",C254="",F254="",G254="",I254="",J254=""),"",IF(F254="股票期权",MAX(0,(J254-K254)*I254),IF(F254="限制性股票",IF(OR(L254="",M254="",M254&lt;=0,N254=""),"",MAX(0,((L254+J254)/2)*I254-N254*I254/M254)),MAX(0,O254))))</f>
        <v/>
      </c>
      <c r="T254" s="14">
        <f>IF(S254="","",SUMIFS($S$2:$S$501,$C$2:$C$501,C254,$H$2:$H$501,H254,$G$2:$G$501,"&lt;"&amp;G254)+SUMIFS($S$2:$S$501,$C$2:$C$501,C254,$H$2:$H$501,H254,$G$2:$G$501,G254,$A$2:$A$501,"&lt;"&amp;A254))</f>
        <v/>
      </c>
      <c r="U254" s="14">
        <f>IF(S254="","",T254+S254)</f>
        <v/>
      </c>
      <c r="V254" s="15">
        <f>IF(U254="","",VLOOKUP(U254,'税率及规则'!$A$2:$C$8,2,TRUE))</f>
        <v/>
      </c>
      <c r="W254" s="14">
        <f>IF(U254="","",VLOOKUP(U254,'税率及规则'!$A$2:$C$8,3,TRUE))</f>
        <v/>
      </c>
      <c r="X254" s="14">
        <f>IF(U254="","",MAX(0,U254*V254-W254))</f>
        <v/>
      </c>
      <c r="Y254" s="14">
        <f>IF(T254="","",MAX(0,T254*VLOOKUP(T254,'税率及规则'!$A$2:$C$8,2,TRUE)-VLOOKUP(T254,'税率及规则'!$A$2:$C$8,3,TRUE)))</f>
        <v/>
      </c>
      <c r="Z254" s="14">
        <f>IF(X254="","",MAX(0,X254-Y254))</f>
        <v/>
      </c>
      <c r="AA254" s="16">
        <f>IF(G254="","",G254)</f>
        <v/>
      </c>
      <c r="AB254" s="16">
        <f>IF(AA254="","",EDATE(AA254,36))</f>
        <v/>
      </c>
      <c r="AC254" s="6">
        <f>IF(A254="","",IF(COUNTIF($A$2:$A$501,A254)&gt;1,"异常：事件编号重复",IF(OR(C254="",D254="",E254="",F254="",G254="",I254="",J254=""),"异常：必填项缺失",IF(OR(I254&lt;=0,J254&lt;0),"异常：数量或价格无效",IF(AND(F254="限制性股票",OR(M254&lt;=0,N254&lt;0,I254&gt;M254)),"异常：个人获授或出资数据无效",IF(AND(F254="股票期权",K254&lt;&gt;IF(G254&lt;DATE(2025,1,10),14.56,IF(G254&lt;DATE(2025,4,29),14.32,IF(G254&lt;DATE(2025,9,26),14.18,14.04)))),"异常：行权价格区间不符",IF(Q254&lt;&gt;"已备案","提示：未确认备案","正常")))))))</f>
        <v/>
      </c>
      <c r="AD254" s="11" t="n"/>
    </row>
    <row r="255">
      <c r="A255" s="11" t="n"/>
      <c r="B255" s="6">
        <f>IF(A255="","",A255&amp;"-TAX")</f>
        <v/>
      </c>
      <c r="C255" s="11" t="n"/>
      <c r="D255" s="11" t="n"/>
      <c r="E255" s="11" t="n"/>
      <c r="F255" s="11" t="n"/>
      <c r="G255" s="12" t="n"/>
      <c r="H255" s="6">
        <f>IF(G255="","",YEAR(G255))</f>
        <v/>
      </c>
      <c r="I255" s="11" t="n"/>
      <c r="J255" s="13" t="n"/>
      <c r="K255" s="14">
        <f>IF(F255="股票期权",IF(G255="","",IF(G255&lt;DATE(2025,1,10),14.56,IF(G255&lt;DATE(2025,4,29),14.32,IF(G255&lt;DATE(2025,9,26),14.18,14.04)))),IF(F255="限制性股票",8.68,""))</f>
        <v/>
      </c>
      <c r="L255" s="14">
        <f>IF(F255="限制性股票",13.06,"")</f>
        <v/>
      </c>
      <c r="M255" s="11" t="n"/>
      <c r="N255" s="13" t="n"/>
      <c r="O255" s="13" t="n"/>
      <c r="P255" s="12" t="n"/>
      <c r="Q255" s="11" t="n"/>
      <c r="R255" s="12" t="n"/>
      <c r="S255" s="14">
        <f>IF(OR(A255="",C255="",F255="",G255="",I255="",J255=""),"",IF(F255="股票期权",MAX(0,(J255-K255)*I255),IF(F255="限制性股票",IF(OR(L255="",M255="",M255&lt;=0,N255=""),"",MAX(0,((L255+J255)/2)*I255-N255*I255/M255)),MAX(0,O255))))</f>
        <v/>
      </c>
      <c r="T255" s="14">
        <f>IF(S255="","",SUMIFS($S$2:$S$501,$C$2:$C$501,C255,$H$2:$H$501,H255,$G$2:$G$501,"&lt;"&amp;G255)+SUMIFS($S$2:$S$501,$C$2:$C$501,C255,$H$2:$H$501,H255,$G$2:$G$501,G255,$A$2:$A$501,"&lt;"&amp;A255))</f>
        <v/>
      </c>
      <c r="U255" s="14">
        <f>IF(S255="","",T255+S255)</f>
        <v/>
      </c>
      <c r="V255" s="15">
        <f>IF(U255="","",VLOOKUP(U255,'税率及规则'!$A$2:$C$8,2,TRUE))</f>
        <v/>
      </c>
      <c r="W255" s="14">
        <f>IF(U255="","",VLOOKUP(U255,'税率及规则'!$A$2:$C$8,3,TRUE))</f>
        <v/>
      </c>
      <c r="X255" s="14">
        <f>IF(U255="","",MAX(0,U255*V255-W255))</f>
        <v/>
      </c>
      <c r="Y255" s="14">
        <f>IF(T255="","",MAX(0,T255*VLOOKUP(T255,'税率及规则'!$A$2:$C$8,2,TRUE)-VLOOKUP(T255,'税率及规则'!$A$2:$C$8,3,TRUE)))</f>
        <v/>
      </c>
      <c r="Z255" s="14">
        <f>IF(X255="","",MAX(0,X255-Y255))</f>
        <v/>
      </c>
      <c r="AA255" s="16">
        <f>IF(G255="","",G255)</f>
        <v/>
      </c>
      <c r="AB255" s="16">
        <f>IF(AA255="","",EDATE(AA255,36))</f>
        <v/>
      </c>
      <c r="AC255" s="6">
        <f>IF(A255="","",IF(COUNTIF($A$2:$A$501,A255)&gt;1,"异常：事件编号重复",IF(OR(C255="",D255="",E255="",F255="",G255="",I255="",J255=""),"异常：必填项缺失",IF(OR(I255&lt;=0,J255&lt;0),"异常：数量或价格无效",IF(AND(F255="限制性股票",OR(M255&lt;=0,N255&lt;0,I255&gt;M255)),"异常：个人获授或出资数据无效",IF(AND(F255="股票期权",K255&lt;&gt;IF(G255&lt;DATE(2025,1,10),14.56,IF(G255&lt;DATE(2025,4,29),14.32,IF(G255&lt;DATE(2025,9,26),14.18,14.04)))),"异常：行权价格区间不符",IF(Q255&lt;&gt;"已备案","提示：未确认备案","正常")))))))</f>
        <v/>
      </c>
      <c r="AD255" s="11" t="n"/>
    </row>
    <row r="256">
      <c r="A256" s="11" t="n"/>
      <c r="B256" s="6">
        <f>IF(A256="","",A256&amp;"-TAX")</f>
        <v/>
      </c>
      <c r="C256" s="11" t="n"/>
      <c r="D256" s="11" t="n"/>
      <c r="E256" s="11" t="n"/>
      <c r="F256" s="11" t="n"/>
      <c r="G256" s="12" t="n"/>
      <c r="H256" s="6">
        <f>IF(G256="","",YEAR(G256))</f>
        <v/>
      </c>
      <c r="I256" s="11" t="n"/>
      <c r="J256" s="13" t="n"/>
      <c r="K256" s="14">
        <f>IF(F256="股票期权",IF(G256="","",IF(G256&lt;DATE(2025,1,10),14.56,IF(G256&lt;DATE(2025,4,29),14.32,IF(G256&lt;DATE(2025,9,26),14.18,14.04)))),IF(F256="限制性股票",8.68,""))</f>
        <v/>
      </c>
      <c r="L256" s="14">
        <f>IF(F256="限制性股票",13.06,"")</f>
        <v/>
      </c>
      <c r="M256" s="11" t="n"/>
      <c r="N256" s="13" t="n"/>
      <c r="O256" s="13" t="n"/>
      <c r="P256" s="12" t="n"/>
      <c r="Q256" s="11" t="n"/>
      <c r="R256" s="12" t="n"/>
      <c r="S256" s="14">
        <f>IF(OR(A256="",C256="",F256="",G256="",I256="",J256=""),"",IF(F256="股票期权",MAX(0,(J256-K256)*I256),IF(F256="限制性股票",IF(OR(L256="",M256="",M256&lt;=0,N256=""),"",MAX(0,((L256+J256)/2)*I256-N256*I256/M256)),MAX(0,O256))))</f>
        <v/>
      </c>
      <c r="T256" s="14">
        <f>IF(S256="","",SUMIFS($S$2:$S$501,$C$2:$C$501,C256,$H$2:$H$501,H256,$G$2:$G$501,"&lt;"&amp;G256)+SUMIFS($S$2:$S$501,$C$2:$C$501,C256,$H$2:$H$501,H256,$G$2:$G$501,G256,$A$2:$A$501,"&lt;"&amp;A256))</f>
        <v/>
      </c>
      <c r="U256" s="14">
        <f>IF(S256="","",T256+S256)</f>
        <v/>
      </c>
      <c r="V256" s="15">
        <f>IF(U256="","",VLOOKUP(U256,'税率及规则'!$A$2:$C$8,2,TRUE))</f>
        <v/>
      </c>
      <c r="W256" s="14">
        <f>IF(U256="","",VLOOKUP(U256,'税率及规则'!$A$2:$C$8,3,TRUE))</f>
        <v/>
      </c>
      <c r="X256" s="14">
        <f>IF(U256="","",MAX(0,U256*V256-W256))</f>
        <v/>
      </c>
      <c r="Y256" s="14">
        <f>IF(T256="","",MAX(0,T256*VLOOKUP(T256,'税率及规则'!$A$2:$C$8,2,TRUE)-VLOOKUP(T256,'税率及规则'!$A$2:$C$8,3,TRUE)))</f>
        <v/>
      </c>
      <c r="Z256" s="14">
        <f>IF(X256="","",MAX(0,X256-Y256))</f>
        <v/>
      </c>
      <c r="AA256" s="16">
        <f>IF(G256="","",G256)</f>
        <v/>
      </c>
      <c r="AB256" s="16">
        <f>IF(AA256="","",EDATE(AA256,36))</f>
        <v/>
      </c>
      <c r="AC256" s="6">
        <f>IF(A256="","",IF(COUNTIF($A$2:$A$501,A256)&gt;1,"异常：事件编号重复",IF(OR(C256="",D256="",E256="",F256="",G256="",I256="",J256=""),"异常：必填项缺失",IF(OR(I256&lt;=0,J256&lt;0),"异常：数量或价格无效",IF(AND(F256="限制性股票",OR(M256&lt;=0,N256&lt;0,I256&gt;M256)),"异常：个人获授或出资数据无效",IF(AND(F256="股票期权",K256&lt;&gt;IF(G256&lt;DATE(2025,1,10),14.56,IF(G256&lt;DATE(2025,4,29),14.32,IF(G256&lt;DATE(2025,9,26),14.18,14.04)))),"异常：行权价格区间不符",IF(Q256&lt;&gt;"已备案","提示：未确认备案","正常")))))))</f>
        <v/>
      </c>
      <c r="AD256" s="11" t="n"/>
    </row>
    <row r="257">
      <c r="A257" s="11" t="n"/>
      <c r="B257" s="6">
        <f>IF(A257="","",A257&amp;"-TAX")</f>
        <v/>
      </c>
      <c r="C257" s="11" t="n"/>
      <c r="D257" s="11" t="n"/>
      <c r="E257" s="11" t="n"/>
      <c r="F257" s="11" t="n"/>
      <c r="G257" s="12" t="n"/>
      <c r="H257" s="6">
        <f>IF(G257="","",YEAR(G257))</f>
        <v/>
      </c>
      <c r="I257" s="11" t="n"/>
      <c r="J257" s="13" t="n"/>
      <c r="K257" s="14">
        <f>IF(F257="股票期权",IF(G257="","",IF(G257&lt;DATE(2025,1,10),14.56,IF(G257&lt;DATE(2025,4,29),14.32,IF(G257&lt;DATE(2025,9,26),14.18,14.04)))),IF(F257="限制性股票",8.68,""))</f>
        <v/>
      </c>
      <c r="L257" s="14">
        <f>IF(F257="限制性股票",13.06,"")</f>
        <v/>
      </c>
      <c r="M257" s="11" t="n"/>
      <c r="N257" s="13" t="n"/>
      <c r="O257" s="13" t="n"/>
      <c r="P257" s="12" t="n"/>
      <c r="Q257" s="11" t="n"/>
      <c r="R257" s="12" t="n"/>
      <c r="S257" s="14">
        <f>IF(OR(A257="",C257="",F257="",G257="",I257="",J257=""),"",IF(F257="股票期权",MAX(0,(J257-K257)*I257),IF(F257="限制性股票",IF(OR(L257="",M257="",M257&lt;=0,N257=""),"",MAX(0,((L257+J257)/2)*I257-N257*I257/M257)),MAX(0,O257))))</f>
        <v/>
      </c>
      <c r="T257" s="14">
        <f>IF(S257="","",SUMIFS($S$2:$S$501,$C$2:$C$501,C257,$H$2:$H$501,H257,$G$2:$G$501,"&lt;"&amp;G257)+SUMIFS($S$2:$S$501,$C$2:$C$501,C257,$H$2:$H$501,H257,$G$2:$G$501,G257,$A$2:$A$501,"&lt;"&amp;A257))</f>
        <v/>
      </c>
      <c r="U257" s="14">
        <f>IF(S257="","",T257+S257)</f>
        <v/>
      </c>
      <c r="V257" s="15">
        <f>IF(U257="","",VLOOKUP(U257,'税率及规则'!$A$2:$C$8,2,TRUE))</f>
        <v/>
      </c>
      <c r="W257" s="14">
        <f>IF(U257="","",VLOOKUP(U257,'税率及规则'!$A$2:$C$8,3,TRUE))</f>
        <v/>
      </c>
      <c r="X257" s="14">
        <f>IF(U257="","",MAX(0,U257*V257-W257))</f>
        <v/>
      </c>
      <c r="Y257" s="14">
        <f>IF(T257="","",MAX(0,T257*VLOOKUP(T257,'税率及规则'!$A$2:$C$8,2,TRUE)-VLOOKUP(T257,'税率及规则'!$A$2:$C$8,3,TRUE)))</f>
        <v/>
      </c>
      <c r="Z257" s="14">
        <f>IF(X257="","",MAX(0,X257-Y257))</f>
        <v/>
      </c>
      <c r="AA257" s="16">
        <f>IF(G257="","",G257)</f>
        <v/>
      </c>
      <c r="AB257" s="16">
        <f>IF(AA257="","",EDATE(AA257,36))</f>
        <v/>
      </c>
      <c r="AC257" s="6">
        <f>IF(A257="","",IF(COUNTIF($A$2:$A$501,A257)&gt;1,"异常：事件编号重复",IF(OR(C257="",D257="",E257="",F257="",G257="",I257="",J257=""),"异常：必填项缺失",IF(OR(I257&lt;=0,J257&lt;0),"异常：数量或价格无效",IF(AND(F257="限制性股票",OR(M257&lt;=0,N257&lt;0,I257&gt;M257)),"异常：个人获授或出资数据无效",IF(AND(F257="股票期权",K257&lt;&gt;IF(G257&lt;DATE(2025,1,10),14.56,IF(G257&lt;DATE(2025,4,29),14.32,IF(G257&lt;DATE(2025,9,26),14.18,14.04)))),"异常：行权价格区间不符",IF(Q257&lt;&gt;"已备案","提示：未确认备案","正常")))))))</f>
        <v/>
      </c>
      <c r="AD257" s="11" t="n"/>
    </row>
    <row r="258">
      <c r="A258" s="11" t="n"/>
      <c r="B258" s="6">
        <f>IF(A258="","",A258&amp;"-TAX")</f>
        <v/>
      </c>
      <c r="C258" s="11" t="n"/>
      <c r="D258" s="11" t="n"/>
      <c r="E258" s="11" t="n"/>
      <c r="F258" s="11" t="n"/>
      <c r="G258" s="12" t="n"/>
      <c r="H258" s="6">
        <f>IF(G258="","",YEAR(G258))</f>
        <v/>
      </c>
      <c r="I258" s="11" t="n"/>
      <c r="J258" s="13" t="n"/>
      <c r="K258" s="14">
        <f>IF(F258="股票期权",IF(G258="","",IF(G258&lt;DATE(2025,1,10),14.56,IF(G258&lt;DATE(2025,4,29),14.32,IF(G258&lt;DATE(2025,9,26),14.18,14.04)))),IF(F258="限制性股票",8.68,""))</f>
        <v/>
      </c>
      <c r="L258" s="14">
        <f>IF(F258="限制性股票",13.06,"")</f>
        <v/>
      </c>
      <c r="M258" s="11" t="n"/>
      <c r="N258" s="13" t="n"/>
      <c r="O258" s="13" t="n"/>
      <c r="P258" s="12" t="n"/>
      <c r="Q258" s="11" t="n"/>
      <c r="R258" s="12" t="n"/>
      <c r="S258" s="14">
        <f>IF(OR(A258="",C258="",F258="",G258="",I258="",J258=""),"",IF(F258="股票期权",MAX(0,(J258-K258)*I258),IF(F258="限制性股票",IF(OR(L258="",M258="",M258&lt;=0,N258=""),"",MAX(0,((L258+J258)/2)*I258-N258*I258/M258)),MAX(0,O258))))</f>
        <v/>
      </c>
      <c r="T258" s="14">
        <f>IF(S258="","",SUMIFS($S$2:$S$501,$C$2:$C$501,C258,$H$2:$H$501,H258,$G$2:$G$501,"&lt;"&amp;G258)+SUMIFS($S$2:$S$501,$C$2:$C$501,C258,$H$2:$H$501,H258,$G$2:$G$501,G258,$A$2:$A$501,"&lt;"&amp;A258))</f>
        <v/>
      </c>
      <c r="U258" s="14">
        <f>IF(S258="","",T258+S258)</f>
        <v/>
      </c>
      <c r="V258" s="15">
        <f>IF(U258="","",VLOOKUP(U258,'税率及规则'!$A$2:$C$8,2,TRUE))</f>
        <v/>
      </c>
      <c r="W258" s="14">
        <f>IF(U258="","",VLOOKUP(U258,'税率及规则'!$A$2:$C$8,3,TRUE))</f>
        <v/>
      </c>
      <c r="X258" s="14">
        <f>IF(U258="","",MAX(0,U258*V258-W258))</f>
        <v/>
      </c>
      <c r="Y258" s="14">
        <f>IF(T258="","",MAX(0,T258*VLOOKUP(T258,'税率及规则'!$A$2:$C$8,2,TRUE)-VLOOKUP(T258,'税率及规则'!$A$2:$C$8,3,TRUE)))</f>
        <v/>
      </c>
      <c r="Z258" s="14">
        <f>IF(X258="","",MAX(0,X258-Y258))</f>
        <v/>
      </c>
      <c r="AA258" s="16">
        <f>IF(G258="","",G258)</f>
        <v/>
      </c>
      <c r="AB258" s="16">
        <f>IF(AA258="","",EDATE(AA258,36))</f>
        <v/>
      </c>
      <c r="AC258" s="6">
        <f>IF(A258="","",IF(COUNTIF($A$2:$A$501,A258)&gt;1,"异常：事件编号重复",IF(OR(C258="",D258="",E258="",F258="",G258="",I258="",J258=""),"异常：必填项缺失",IF(OR(I258&lt;=0,J258&lt;0),"异常：数量或价格无效",IF(AND(F258="限制性股票",OR(M258&lt;=0,N258&lt;0,I258&gt;M258)),"异常：个人获授或出资数据无效",IF(AND(F258="股票期权",K258&lt;&gt;IF(G258&lt;DATE(2025,1,10),14.56,IF(G258&lt;DATE(2025,4,29),14.32,IF(G258&lt;DATE(2025,9,26),14.18,14.04)))),"异常：行权价格区间不符",IF(Q258&lt;&gt;"已备案","提示：未确认备案","正常")))))))</f>
        <v/>
      </c>
      <c r="AD258" s="11" t="n"/>
    </row>
    <row r="259">
      <c r="A259" s="11" t="n"/>
      <c r="B259" s="6">
        <f>IF(A259="","",A259&amp;"-TAX")</f>
        <v/>
      </c>
      <c r="C259" s="11" t="n"/>
      <c r="D259" s="11" t="n"/>
      <c r="E259" s="11" t="n"/>
      <c r="F259" s="11" t="n"/>
      <c r="G259" s="12" t="n"/>
      <c r="H259" s="6">
        <f>IF(G259="","",YEAR(G259))</f>
        <v/>
      </c>
      <c r="I259" s="11" t="n"/>
      <c r="J259" s="13" t="n"/>
      <c r="K259" s="14">
        <f>IF(F259="股票期权",IF(G259="","",IF(G259&lt;DATE(2025,1,10),14.56,IF(G259&lt;DATE(2025,4,29),14.32,IF(G259&lt;DATE(2025,9,26),14.18,14.04)))),IF(F259="限制性股票",8.68,""))</f>
        <v/>
      </c>
      <c r="L259" s="14">
        <f>IF(F259="限制性股票",13.06,"")</f>
        <v/>
      </c>
      <c r="M259" s="11" t="n"/>
      <c r="N259" s="13" t="n"/>
      <c r="O259" s="13" t="n"/>
      <c r="P259" s="12" t="n"/>
      <c r="Q259" s="11" t="n"/>
      <c r="R259" s="12" t="n"/>
      <c r="S259" s="14">
        <f>IF(OR(A259="",C259="",F259="",G259="",I259="",J259=""),"",IF(F259="股票期权",MAX(0,(J259-K259)*I259),IF(F259="限制性股票",IF(OR(L259="",M259="",M259&lt;=0,N259=""),"",MAX(0,((L259+J259)/2)*I259-N259*I259/M259)),MAX(0,O259))))</f>
        <v/>
      </c>
      <c r="T259" s="14">
        <f>IF(S259="","",SUMIFS($S$2:$S$501,$C$2:$C$501,C259,$H$2:$H$501,H259,$G$2:$G$501,"&lt;"&amp;G259)+SUMIFS($S$2:$S$501,$C$2:$C$501,C259,$H$2:$H$501,H259,$G$2:$G$501,G259,$A$2:$A$501,"&lt;"&amp;A259))</f>
        <v/>
      </c>
      <c r="U259" s="14">
        <f>IF(S259="","",T259+S259)</f>
        <v/>
      </c>
      <c r="V259" s="15">
        <f>IF(U259="","",VLOOKUP(U259,'税率及规则'!$A$2:$C$8,2,TRUE))</f>
        <v/>
      </c>
      <c r="W259" s="14">
        <f>IF(U259="","",VLOOKUP(U259,'税率及规则'!$A$2:$C$8,3,TRUE))</f>
        <v/>
      </c>
      <c r="X259" s="14">
        <f>IF(U259="","",MAX(0,U259*V259-W259))</f>
        <v/>
      </c>
      <c r="Y259" s="14">
        <f>IF(T259="","",MAX(0,T259*VLOOKUP(T259,'税率及规则'!$A$2:$C$8,2,TRUE)-VLOOKUP(T259,'税率及规则'!$A$2:$C$8,3,TRUE)))</f>
        <v/>
      </c>
      <c r="Z259" s="14">
        <f>IF(X259="","",MAX(0,X259-Y259))</f>
        <v/>
      </c>
      <c r="AA259" s="16">
        <f>IF(G259="","",G259)</f>
        <v/>
      </c>
      <c r="AB259" s="16">
        <f>IF(AA259="","",EDATE(AA259,36))</f>
        <v/>
      </c>
      <c r="AC259" s="6">
        <f>IF(A259="","",IF(COUNTIF($A$2:$A$501,A259)&gt;1,"异常：事件编号重复",IF(OR(C259="",D259="",E259="",F259="",G259="",I259="",J259=""),"异常：必填项缺失",IF(OR(I259&lt;=0,J259&lt;0),"异常：数量或价格无效",IF(AND(F259="限制性股票",OR(M259&lt;=0,N259&lt;0,I259&gt;M259)),"异常：个人获授或出资数据无效",IF(AND(F259="股票期权",K259&lt;&gt;IF(G259&lt;DATE(2025,1,10),14.56,IF(G259&lt;DATE(2025,4,29),14.32,IF(G259&lt;DATE(2025,9,26),14.18,14.04)))),"异常：行权价格区间不符",IF(Q259&lt;&gt;"已备案","提示：未确认备案","正常")))))))</f>
        <v/>
      </c>
      <c r="AD259" s="11" t="n"/>
    </row>
    <row r="260">
      <c r="A260" s="11" t="n"/>
      <c r="B260" s="6">
        <f>IF(A260="","",A260&amp;"-TAX")</f>
        <v/>
      </c>
      <c r="C260" s="11" t="n"/>
      <c r="D260" s="11" t="n"/>
      <c r="E260" s="11" t="n"/>
      <c r="F260" s="11" t="n"/>
      <c r="G260" s="12" t="n"/>
      <c r="H260" s="6">
        <f>IF(G260="","",YEAR(G260))</f>
        <v/>
      </c>
      <c r="I260" s="11" t="n"/>
      <c r="J260" s="13" t="n"/>
      <c r="K260" s="14">
        <f>IF(F260="股票期权",IF(G260="","",IF(G260&lt;DATE(2025,1,10),14.56,IF(G260&lt;DATE(2025,4,29),14.32,IF(G260&lt;DATE(2025,9,26),14.18,14.04)))),IF(F260="限制性股票",8.68,""))</f>
        <v/>
      </c>
      <c r="L260" s="14">
        <f>IF(F260="限制性股票",13.06,"")</f>
        <v/>
      </c>
      <c r="M260" s="11" t="n"/>
      <c r="N260" s="13" t="n"/>
      <c r="O260" s="13" t="n"/>
      <c r="P260" s="12" t="n"/>
      <c r="Q260" s="11" t="n"/>
      <c r="R260" s="12" t="n"/>
      <c r="S260" s="14">
        <f>IF(OR(A260="",C260="",F260="",G260="",I260="",J260=""),"",IF(F260="股票期权",MAX(0,(J260-K260)*I260),IF(F260="限制性股票",IF(OR(L260="",M260="",M260&lt;=0,N260=""),"",MAX(0,((L260+J260)/2)*I260-N260*I260/M260)),MAX(0,O260))))</f>
        <v/>
      </c>
      <c r="T260" s="14">
        <f>IF(S260="","",SUMIFS($S$2:$S$501,$C$2:$C$501,C260,$H$2:$H$501,H260,$G$2:$G$501,"&lt;"&amp;G260)+SUMIFS($S$2:$S$501,$C$2:$C$501,C260,$H$2:$H$501,H260,$G$2:$G$501,G260,$A$2:$A$501,"&lt;"&amp;A260))</f>
        <v/>
      </c>
      <c r="U260" s="14">
        <f>IF(S260="","",T260+S260)</f>
        <v/>
      </c>
      <c r="V260" s="15">
        <f>IF(U260="","",VLOOKUP(U260,'税率及规则'!$A$2:$C$8,2,TRUE))</f>
        <v/>
      </c>
      <c r="W260" s="14">
        <f>IF(U260="","",VLOOKUP(U260,'税率及规则'!$A$2:$C$8,3,TRUE))</f>
        <v/>
      </c>
      <c r="X260" s="14">
        <f>IF(U260="","",MAX(0,U260*V260-W260))</f>
        <v/>
      </c>
      <c r="Y260" s="14">
        <f>IF(T260="","",MAX(0,T260*VLOOKUP(T260,'税率及规则'!$A$2:$C$8,2,TRUE)-VLOOKUP(T260,'税率及规则'!$A$2:$C$8,3,TRUE)))</f>
        <v/>
      </c>
      <c r="Z260" s="14">
        <f>IF(X260="","",MAX(0,X260-Y260))</f>
        <v/>
      </c>
      <c r="AA260" s="16">
        <f>IF(G260="","",G260)</f>
        <v/>
      </c>
      <c r="AB260" s="16">
        <f>IF(AA260="","",EDATE(AA260,36))</f>
        <v/>
      </c>
      <c r="AC260" s="6">
        <f>IF(A260="","",IF(COUNTIF($A$2:$A$501,A260)&gt;1,"异常：事件编号重复",IF(OR(C260="",D260="",E260="",F260="",G260="",I260="",J260=""),"异常：必填项缺失",IF(OR(I260&lt;=0,J260&lt;0),"异常：数量或价格无效",IF(AND(F260="限制性股票",OR(M260&lt;=0,N260&lt;0,I260&gt;M260)),"异常：个人获授或出资数据无效",IF(AND(F260="股票期权",K260&lt;&gt;IF(G260&lt;DATE(2025,1,10),14.56,IF(G260&lt;DATE(2025,4,29),14.32,IF(G260&lt;DATE(2025,9,26),14.18,14.04)))),"异常：行权价格区间不符",IF(Q260&lt;&gt;"已备案","提示：未确认备案","正常")))))))</f>
        <v/>
      </c>
      <c r="AD260" s="11" t="n"/>
    </row>
    <row r="261">
      <c r="A261" s="11" t="n"/>
      <c r="B261" s="6">
        <f>IF(A261="","",A261&amp;"-TAX")</f>
        <v/>
      </c>
      <c r="C261" s="11" t="n"/>
      <c r="D261" s="11" t="n"/>
      <c r="E261" s="11" t="n"/>
      <c r="F261" s="11" t="n"/>
      <c r="G261" s="12" t="n"/>
      <c r="H261" s="6">
        <f>IF(G261="","",YEAR(G261))</f>
        <v/>
      </c>
      <c r="I261" s="11" t="n"/>
      <c r="J261" s="13" t="n"/>
      <c r="K261" s="14">
        <f>IF(F261="股票期权",IF(G261="","",IF(G261&lt;DATE(2025,1,10),14.56,IF(G261&lt;DATE(2025,4,29),14.32,IF(G261&lt;DATE(2025,9,26),14.18,14.04)))),IF(F261="限制性股票",8.68,""))</f>
        <v/>
      </c>
      <c r="L261" s="14">
        <f>IF(F261="限制性股票",13.06,"")</f>
        <v/>
      </c>
      <c r="M261" s="11" t="n"/>
      <c r="N261" s="13" t="n"/>
      <c r="O261" s="13" t="n"/>
      <c r="P261" s="12" t="n"/>
      <c r="Q261" s="11" t="n"/>
      <c r="R261" s="12" t="n"/>
      <c r="S261" s="14">
        <f>IF(OR(A261="",C261="",F261="",G261="",I261="",J261=""),"",IF(F261="股票期权",MAX(0,(J261-K261)*I261),IF(F261="限制性股票",IF(OR(L261="",M261="",M261&lt;=0,N261=""),"",MAX(0,((L261+J261)/2)*I261-N261*I261/M261)),MAX(0,O261))))</f>
        <v/>
      </c>
      <c r="T261" s="14">
        <f>IF(S261="","",SUMIFS($S$2:$S$501,$C$2:$C$501,C261,$H$2:$H$501,H261,$G$2:$G$501,"&lt;"&amp;G261)+SUMIFS($S$2:$S$501,$C$2:$C$501,C261,$H$2:$H$501,H261,$G$2:$G$501,G261,$A$2:$A$501,"&lt;"&amp;A261))</f>
        <v/>
      </c>
      <c r="U261" s="14">
        <f>IF(S261="","",T261+S261)</f>
        <v/>
      </c>
      <c r="V261" s="15">
        <f>IF(U261="","",VLOOKUP(U261,'税率及规则'!$A$2:$C$8,2,TRUE))</f>
        <v/>
      </c>
      <c r="W261" s="14">
        <f>IF(U261="","",VLOOKUP(U261,'税率及规则'!$A$2:$C$8,3,TRUE))</f>
        <v/>
      </c>
      <c r="X261" s="14">
        <f>IF(U261="","",MAX(0,U261*V261-W261))</f>
        <v/>
      </c>
      <c r="Y261" s="14">
        <f>IF(T261="","",MAX(0,T261*VLOOKUP(T261,'税率及规则'!$A$2:$C$8,2,TRUE)-VLOOKUP(T261,'税率及规则'!$A$2:$C$8,3,TRUE)))</f>
        <v/>
      </c>
      <c r="Z261" s="14">
        <f>IF(X261="","",MAX(0,X261-Y261))</f>
        <v/>
      </c>
      <c r="AA261" s="16">
        <f>IF(G261="","",G261)</f>
        <v/>
      </c>
      <c r="AB261" s="16">
        <f>IF(AA261="","",EDATE(AA261,36))</f>
        <v/>
      </c>
      <c r="AC261" s="6">
        <f>IF(A261="","",IF(COUNTIF($A$2:$A$501,A261)&gt;1,"异常：事件编号重复",IF(OR(C261="",D261="",E261="",F261="",G261="",I261="",J261=""),"异常：必填项缺失",IF(OR(I261&lt;=0,J261&lt;0),"异常：数量或价格无效",IF(AND(F261="限制性股票",OR(M261&lt;=0,N261&lt;0,I261&gt;M261)),"异常：个人获授或出资数据无效",IF(AND(F261="股票期权",K261&lt;&gt;IF(G261&lt;DATE(2025,1,10),14.56,IF(G261&lt;DATE(2025,4,29),14.32,IF(G261&lt;DATE(2025,9,26),14.18,14.04)))),"异常：行权价格区间不符",IF(Q261&lt;&gt;"已备案","提示：未确认备案","正常")))))))</f>
        <v/>
      </c>
      <c r="AD261" s="11" t="n"/>
    </row>
    <row r="262">
      <c r="A262" s="11" t="n"/>
      <c r="B262" s="6">
        <f>IF(A262="","",A262&amp;"-TAX")</f>
        <v/>
      </c>
      <c r="C262" s="11" t="n"/>
      <c r="D262" s="11" t="n"/>
      <c r="E262" s="11" t="n"/>
      <c r="F262" s="11" t="n"/>
      <c r="G262" s="12" t="n"/>
      <c r="H262" s="6">
        <f>IF(G262="","",YEAR(G262))</f>
        <v/>
      </c>
      <c r="I262" s="11" t="n"/>
      <c r="J262" s="13" t="n"/>
      <c r="K262" s="14">
        <f>IF(F262="股票期权",IF(G262="","",IF(G262&lt;DATE(2025,1,10),14.56,IF(G262&lt;DATE(2025,4,29),14.32,IF(G262&lt;DATE(2025,9,26),14.18,14.04)))),IF(F262="限制性股票",8.68,""))</f>
        <v/>
      </c>
      <c r="L262" s="14">
        <f>IF(F262="限制性股票",13.06,"")</f>
        <v/>
      </c>
      <c r="M262" s="11" t="n"/>
      <c r="N262" s="13" t="n"/>
      <c r="O262" s="13" t="n"/>
      <c r="P262" s="12" t="n"/>
      <c r="Q262" s="11" t="n"/>
      <c r="R262" s="12" t="n"/>
      <c r="S262" s="14">
        <f>IF(OR(A262="",C262="",F262="",G262="",I262="",J262=""),"",IF(F262="股票期权",MAX(0,(J262-K262)*I262),IF(F262="限制性股票",IF(OR(L262="",M262="",M262&lt;=0,N262=""),"",MAX(0,((L262+J262)/2)*I262-N262*I262/M262)),MAX(0,O262))))</f>
        <v/>
      </c>
      <c r="T262" s="14">
        <f>IF(S262="","",SUMIFS($S$2:$S$501,$C$2:$C$501,C262,$H$2:$H$501,H262,$G$2:$G$501,"&lt;"&amp;G262)+SUMIFS($S$2:$S$501,$C$2:$C$501,C262,$H$2:$H$501,H262,$G$2:$G$501,G262,$A$2:$A$501,"&lt;"&amp;A262))</f>
        <v/>
      </c>
      <c r="U262" s="14">
        <f>IF(S262="","",T262+S262)</f>
        <v/>
      </c>
      <c r="V262" s="15">
        <f>IF(U262="","",VLOOKUP(U262,'税率及规则'!$A$2:$C$8,2,TRUE))</f>
        <v/>
      </c>
      <c r="W262" s="14">
        <f>IF(U262="","",VLOOKUP(U262,'税率及规则'!$A$2:$C$8,3,TRUE))</f>
        <v/>
      </c>
      <c r="X262" s="14">
        <f>IF(U262="","",MAX(0,U262*V262-W262))</f>
        <v/>
      </c>
      <c r="Y262" s="14">
        <f>IF(T262="","",MAX(0,T262*VLOOKUP(T262,'税率及规则'!$A$2:$C$8,2,TRUE)-VLOOKUP(T262,'税率及规则'!$A$2:$C$8,3,TRUE)))</f>
        <v/>
      </c>
      <c r="Z262" s="14">
        <f>IF(X262="","",MAX(0,X262-Y262))</f>
        <v/>
      </c>
      <c r="AA262" s="16">
        <f>IF(G262="","",G262)</f>
        <v/>
      </c>
      <c r="AB262" s="16">
        <f>IF(AA262="","",EDATE(AA262,36))</f>
        <v/>
      </c>
      <c r="AC262" s="6">
        <f>IF(A262="","",IF(COUNTIF($A$2:$A$501,A262)&gt;1,"异常：事件编号重复",IF(OR(C262="",D262="",E262="",F262="",G262="",I262="",J262=""),"异常：必填项缺失",IF(OR(I262&lt;=0,J262&lt;0),"异常：数量或价格无效",IF(AND(F262="限制性股票",OR(M262&lt;=0,N262&lt;0,I262&gt;M262)),"异常：个人获授或出资数据无效",IF(AND(F262="股票期权",K262&lt;&gt;IF(G262&lt;DATE(2025,1,10),14.56,IF(G262&lt;DATE(2025,4,29),14.32,IF(G262&lt;DATE(2025,9,26),14.18,14.04)))),"异常：行权价格区间不符",IF(Q262&lt;&gt;"已备案","提示：未确认备案","正常")))))))</f>
        <v/>
      </c>
      <c r="AD262" s="11" t="n"/>
    </row>
    <row r="263">
      <c r="A263" s="11" t="n"/>
      <c r="B263" s="6">
        <f>IF(A263="","",A263&amp;"-TAX")</f>
        <v/>
      </c>
      <c r="C263" s="11" t="n"/>
      <c r="D263" s="11" t="n"/>
      <c r="E263" s="11" t="n"/>
      <c r="F263" s="11" t="n"/>
      <c r="G263" s="12" t="n"/>
      <c r="H263" s="6">
        <f>IF(G263="","",YEAR(G263))</f>
        <v/>
      </c>
      <c r="I263" s="11" t="n"/>
      <c r="J263" s="13" t="n"/>
      <c r="K263" s="14">
        <f>IF(F263="股票期权",IF(G263="","",IF(G263&lt;DATE(2025,1,10),14.56,IF(G263&lt;DATE(2025,4,29),14.32,IF(G263&lt;DATE(2025,9,26),14.18,14.04)))),IF(F263="限制性股票",8.68,""))</f>
        <v/>
      </c>
      <c r="L263" s="14">
        <f>IF(F263="限制性股票",13.06,"")</f>
        <v/>
      </c>
      <c r="M263" s="11" t="n"/>
      <c r="N263" s="13" t="n"/>
      <c r="O263" s="13" t="n"/>
      <c r="P263" s="12" t="n"/>
      <c r="Q263" s="11" t="n"/>
      <c r="R263" s="12" t="n"/>
      <c r="S263" s="14">
        <f>IF(OR(A263="",C263="",F263="",G263="",I263="",J263=""),"",IF(F263="股票期权",MAX(0,(J263-K263)*I263),IF(F263="限制性股票",IF(OR(L263="",M263="",M263&lt;=0,N263=""),"",MAX(0,((L263+J263)/2)*I263-N263*I263/M263)),MAX(0,O263))))</f>
        <v/>
      </c>
      <c r="T263" s="14">
        <f>IF(S263="","",SUMIFS($S$2:$S$501,$C$2:$C$501,C263,$H$2:$H$501,H263,$G$2:$G$501,"&lt;"&amp;G263)+SUMIFS($S$2:$S$501,$C$2:$C$501,C263,$H$2:$H$501,H263,$G$2:$G$501,G263,$A$2:$A$501,"&lt;"&amp;A263))</f>
        <v/>
      </c>
      <c r="U263" s="14">
        <f>IF(S263="","",T263+S263)</f>
        <v/>
      </c>
      <c r="V263" s="15">
        <f>IF(U263="","",VLOOKUP(U263,'税率及规则'!$A$2:$C$8,2,TRUE))</f>
        <v/>
      </c>
      <c r="W263" s="14">
        <f>IF(U263="","",VLOOKUP(U263,'税率及规则'!$A$2:$C$8,3,TRUE))</f>
        <v/>
      </c>
      <c r="X263" s="14">
        <f>IF(U263="","",MAX(0,U263*V263-W263))</f>
        <v/>
      </c>
      <c r="Y263" s="14">
        <f>IF(T263="","",MAX(0,T263*VLOOKUP(T263,'税率及规则'!$A$2:$C$8,2,TRUE)-VLOOKUP(T263,'税率及规则'!$A$2:$C$8,3,TRUE)))</f>
        <v/>
      </c>
      <c r="Z263" s="14">
        <f>IF(X263="","",MAX(0,X263-Y263))</f>
        <v/>
      </c>
      <c r="AA263" s="16">
        <f>IF(G263="","",G263)</f>
        <v/>
      </c>
      <c r="AB263" s="16">
        <f>IF(AA263="","",EDATE(AA263,36))</f>
        <v/>
      </c>
      <c r="AC263" s="6">
        <f>IF(A263="","",IF(COUNTIF($A$2:$A$501,A263)&gt;1,"异常：事件编号重复",IF(OR(C263="",D263="",E263="",F263="",G263="",I263="",J263=""),"异常：必填项缺失",IF(OR(I263&lt;=0,J263&lt;0),"异常：数量或价格无效",IF(AND(F263="限制性股票",OR(M263&lt;=0,N263&lt;0,I263&gt;M263)),"异常：个人获授或出资数据无效",IF(AND(F263="股票期权",K263&lt;&gt;IF(G263&lt;DATE(2025,1,10),14.56,IF(G263&lt;DATE(2025,4,29),14.32,IF(G263&lt;DATE(2025,9,26),14.18,14.04)))),"异常：行权价格区间不符",IF(Q263&lt;&gt;"已备案","提示：未确认备案","正常")))))))</f>
        <v/>
      </c>
      <c r="AD263" s="11" t="n"/>
    </row>
    <row r="264">
      <c r="A264" s="11" t="n"/>
      <c r="B264" s="6">
        <f>IF(A264="","",A264&amp;"-TAX")</f>
        <v/>
      </c>
      <c r="C264" s="11" t="n"/>
      <c r="D264" s="11" t="n"/>
      <c r="E264" s="11" t="n"/>
      <c r="F264" s="11" t="n"/>
      <c r="G264" s="12" t="n"/>
      <c r="H264" s="6">
        <f>IF(G264="","",YEAR(G264))</f>
        <v/>
      </c>
      <c r="I264" s="11" t="n"/>
      <c r="J264" s="13" t="n"/>
      <c r="K264" s="14">
        <f>IF(F264="股票期权",IF(G264="","",IF(G264&lt;DATE(2025,1,10),14.56,IF(G264&lt;DATE(2025,4,29),14.32,IF(G264&lt;DATE(2025,9,26),14.18,14.04)))),IF(F264="限制性股票",8.68,""))</f>
        <v/>
      </c>
      <c r="L264" s="14">
        <f>IF(F264="限制性股票",13.06,"")</f>
        <v/>
      </c>
      <c r="M264" s="11" t="n"/>
      <c r="N264" s="13" t="n"/>
      <c r="O264" s="13" t="n"/>
      <c r="P264" s="12" t="n"/>
      <c r="Q264" s="11" t="n"/>
      <c r="R264" s="12" t="n"/>
      <c r="S264" s="14">
        <f>IF(OR(A264="",C264="",F264="",G264="",I264="",J264=""),"",IF(F264="股票期权",MAX(0,(J264-K264)*I264),IF(F264="限制性股票",IF(OR(L264="",M264="",M264&lt;=0,N264=""),"",MAX(0,((L264+J264)/2)*I264-N264*I264/M264)),MAX(0,O264))))</f>
        <v/>
      </c>
      <c r="T264" s="14">
        <f>IF(S264="","",SUMIFS($S$2:$S$501,$C$2:$C$501,C264,$H$2:$H$501,H264,$G$2:$G$501,"&lt;"&amp;G264)+SUMIFS($S$2:$S$501,$C$2:$C$501,C264,$H$2:$H$501,H264,$G$2:$G$501,G264,$A$2:$A$501,"&lt;"&amp;A264))</f>
        <v/>
      </c>
      <c r="U264" s="14">
        <f>IF(S264="","",T264+S264)</f>
        <v/>
      </c>
      <c r="V264" s="15">
        <f>IF(U264="","",VLOOKUP(U264,'税率及规则'!$A$2:$C$8,2,TRUE))</f>
        <v/>
      </c>
      <c r="W264" s="14">
        <f>IF(U264="","",VLOOKUP(U264,'税率及规则'!$A$2:$C$8,3,TRUE))</f>
        <v/>
      </c>
      <c r="X264" s="14">
        <f>IF(U264="","",MAX(0,U264*V264-W264))</f>
        <v/>
      </c>
      <c r="Y264" s="14">
        <f>IF(T264="","",MAX(0,T264*VLOOKUP(T264,'税率及规则'!$A$2:$C$8,2,TRUE)-VLOOKUP(T264,'税率及规则'!$A$2:$C$8,3,TRUE)))</f>
        <v/>
      </c>
      <c r="Z264" s="14">
        <f>IF(X264="","",MAX(0,X264-Y264))</f>
        <v/>
      </c>
      <c r="AA264" s="16">
        <f>IF(G264="","",G264)</f>
        <v/>
      </c>
      <c r="AB264" s="16">
        <f>IF(AA264="","",EDATE(AA264,36))</f>
        <v/>
      </c>
      <c r="AC264" s="6">
        <f>IF(A264="","",IF(COUNTIF($A$2:$A$501,A264)&gt;1,"异常：事件编号重复",IF(OR(C264="",D264="",E264="",F264="",G264="",I264="",J264=""),"异常：必填项缺失",IF(OR(I264&lt;=0,J264&lt;0),"异常：数量或价格无效",IF(AND(F264="限制性股票",OR(M264&lt;=0,N264&lt;0,I264&gt;M264)),"异常：个人获授或出资数据无效",IF(AND(F264="股票期权",K264&lt;&gt;IF(G264&lt;DATE(2025,1,10),14.56,IF(G264&lt;DATE(2025,4,29),14.32,IF(G264&lt;DATE(2025,9,26),14.18,14.04)))),"异常：行权价格区间不符",IF(Q264&lt;&gt;"已备案","提示：未确认备案","正常")))))))</f>
        <v/>
      </c>
      <c r="AD264" s="11" t="n"/>
    </row>
    <row r="265">
      <c r="A265" s="11" t="n"/>
      <c r="B265" s="6">
        <f>IF(A265="","",A265&amp;"-TAX")</f>
        <v/>
      </c>
      <c r="C265" s="11" t="n"/>
      <c r="D265" s="11" t="n"/>
      <c r="E265" s="11" t="n"/>
      <c r="F265" s="11" t="n"/>
      <c r="G265" s="12" t="n"/>
      <c r="H265" s="6">
        <f>IF(G265="","",YEAR(G265))</f>
        <v/>
      </c>
      <c r="I265" s="11" t="n"/>
      <c r="J265" s="13" t="n"/>
      <c r="K265" s="14">
        <f>IF(F265="股票期权",IF(G265="","",IF(G265&lt;DATE(2025,1,10),14.56,IF(G265&lt;DATE(2025,4,29),14.32,IF(G265&lt;DATE(2025,9,26),14.18,14.04)))),IF(F265="限制性股票",8.68,""))</f>
        <v/>
      </c>
      <c r="L265" s="14">
        <f>IF(F265="限制性股票",13.06,"")</f>
        <v/>
      </c>
      <c r="M265" s="11" t="n"/>
      <c r="N265" s="13" t="n"/>
      <c r="O265" s="13" t="n"/>
      <c r="P265" s="12" t="n"/>
      <c r="Q265" s="11" t="n"/>
      <c r="R265" s="12" t="n"/>
      <c r="S265" s="14">
        <f>IF(OR(A265="",C265="",F265="",G265="",I265="",J265=""),"",IF(F265="股票期权",MAX(0,(J265-K265)*I265),IF(F265="限制性股票",IF(OR(L265="",M265="",M265&lt;=0,N265=""),"",MAX(0,((L265+J265)/2)*I265-N265*I265/M265)),MAX(0,O265))))</f>
        <v/>
      </c>
      <c r="T265" s="14">
        <f>IF(S265="","",SUMIFS($S$2:$S$501,$C$2:$C$501,C265,$H$2:$H$501,H265,$G$2:$G$501,"&lt;"&amp;G265)+SUMIFS($S$2:$S$501,$C$2:$C$501,C265,$H$2:$H$501,H265,$G$2:$G$501,G265,$A$2:$A$501,"&lt;"&amp;A265))</f>
        <v/>
      </c>
      <c r="U265" s="14">
        <f>IF(S265="","",T265+S265)</f>
        <v/>
      </c>
      <c r="V265" s="15">
        <f>IF(U265="","",VLOOKUP(U265,'税率及规则'!$A$2:$C$8,2,TRUE))</f>
        <v/>
      </c>
      <c r="W265" s="14">
        <f>IF(U265="","",VLOOKUP(U265,'税率及规则'!$A$2:$C$8,3,TRUE))</f>
        <v/>
      </c>
      <c r="X265" s="14">
        <f>IF(U265="","",MAX(0,U265*V265-W265))</f>
        <v/>
      </c>
      <c r="Y265" s="14">
        <f>IF(T265="","",MAX(0,T265*VLOOKUP(T265,'税率及规则'!$A$2:$C$8,2,TRUE)-VLOOKUP(T265,'税率及规则'!$A$2:$C$8,3,TRUE)))</f>
        <v/>
      </c>
      <c r="Z265" s="14">
        <f>IF(X265="","",MAX(0,X265-Y265))</f>
        <v/>
      </c>
      <c r="AA265" s="16">
        <f>IF(G265="","",G265)</f>
        <v/>
      </c>
      <c r="AB265" s="16">
        <f>IF(AA265="","",EDATE(AA265,36))</f>
        <v/>
      </c>
      <c r="AC265" s="6">
        <f>IF(A265="","",IF(COUNTIF($A$2:$A$501,A265)&gt;1,"异常：事件编号重复",IF(OR(C265="",D265="",E265="",F265="",G265="",I265="",J265=""),"异常：必填项缺失",IF(OR(I265&lt;=0,J265&lt;0),"异常：数量或价格无效",IF(AND(F265="限制性股票",OR(M265&lt;=0,N265&lt;0,I265&gt;M265)),"异常：个人获授或出资数据无效",IF(AND(F265="股票期权",K265&lt;&gt;IF(G265&lt;DATE(2025,1,10),14.56,IF(G265&lt;DATE(2025,4,29),14.32,IF(G265&lt;DATE(2025,9,26),14.18,14.04)))),"异常：行权价格区间不符",IF(Q265&lt;&gt;"已备案","提示：未确认备案","正常")))))))</f>
        <v/>
      </c>
      <c r="AD265" s="11" t="n"/>
    </row>
    <row r="266">
      <c r="A266" s="11" t="n"/>
      <c r="B266" s="6">
        <f>IF(A266="","",A266&amp;"-TAX")</f>
        <v/>
      </c>
      <c r="C266" s="11" t="n"/>
      <c r="D266" s="11" t="n"/>
      <c r="E266" s="11" t="n"/>
      <c r="F266" s="11" t="n"/>
      <c r="G266" s="12" t="n"/>
      <c r="H266" s="6">
        <f>IF(G266="","",YEAR(G266))</f>
        <v/>
      </c>
      <c r="I266" s="11" t="n"/>
      <c r="J266" s="13" t="n"/>
      <c r="K266" s="14">
        <f>IF(F266="股票期权",IF(G266="","",IF(G266&lt;DATE(2025,1,10),14.56,IF(G266&lt;DATE(2025,4,29),14.32,IF(G266&lt;DATE(2025,9,26),14.18,14.04)))),IF(F266="限制性股票",8.68,""))</f>
        <v/>
      </c>
      <c r="L266" s="14">
        <f>IF(F266="限制性股票",13.06,"")</f>
        <v/>
      </c>
      <c r="M266" s="11" t="n"/>
      <c r="N266" s="13" t="n"/>
      <c r="O266" s="13" t="n"/>
      <c r="P266" s="12" t="n"/>
      <c r="Q266" s="11" t="n"/>
      <c r="R266" s="12" t="n"/>
      <c r="S266" s="14">
        <f>IF(OR(A266="",C266="",F266="",G266="",I266="",J266=""),"",IF(F266="股票期权",MAX(0,(J266-K266)*I266),IF(F266="限制性股票",IF(OR(L266="",M266="",M266&lt;=0,N266=""),"",MAX(0,((L266+J266)/2)*I266-N266*I266/M266)),MAX(0,O266))))</f>
        <v/>
      </c>
      <c r="T266" s="14">
        <f>IF(S266="","",SUMIFS($S$2:$S$501,$C$2:$C$501,C266,$H$2:$H$501,H266,$G$2:$G$501,"&lt;"&amp;G266)+SUMIFS($S$2:$S$501,$C$2:$C$501,C266,$H$2:$H$501,H266,$G$2:$G$501,G266,$A$2:$A$501,"&lt;"&amp;A266))</f>
        <v/>
      </c>
      <c r="U266" s="14">
        <f>IF(S266="","",T266+S266)</f>
        <v/>
      </c>
      <c r="V266" s="15">
        <f>IF(U266="","",VLOOKUP(U266,'税率及规则'!$A$2:$C$8,2,TRUE))</f>
        <v/>
      </c>
      <c r="W266" s="14">
        <f>IF(U266="","",VLOOKUP(U266,'税率及规则'!$A$2:$C$8,3,TRUE))</f>
        <v/>
      </c>
      <c r="X266" s="14">
        <f>IF(U266="","",MAX(0,U266*V266-W266))</f>
        <v/>
      </c>
      <c r="Y266" s="14">
        <f>IF(T266="","",MAX(0,T266*VLOOKUP(T266,'税率及规则'!$A$2:$C$8,2,TRUE)-VLOOKUP(T266,'税率及规则'!$A$2:$C$8,3,TRUE)))</f>
        <v/>
      </c>
      <c r="Z266" s="14">
        <f>IF(X266="","",MAX(0,X266-Y266))</f>
        <v/>
      </c>
      <c r="AA266" s="16">
        <f>IF(G266="","",G266)</f>
        <v/>
      </c>
      <c r="AB266" s="16">
        <f>IF(AA266="","",EDATE(AA266,36))</f>
        <v/>
      </c>
      <c r="AC266" s="6">
        <f>IF(A266="","",IF(COUNTIF($A$2:$A$501,A266)&gt;1,"异常：事件编号重复",IF(OR(C266="",D266="",E266="",F266="",G266="",I266="",J266=""),"异常：必填项缺失",IF(OR(I266&lt;=0,J266&lt;0),"异常：数量或价格无效",IF(AND(F266="限制性股票",OR(M266&lt;=0,N266&lt;0,I266&gt;M266)),"异常：个人获授或出资数据无效",IF(AND(F266="股票期权",K266&lt;&gt;IF(G266&lt;DATE(2025,1,10),14.56,IF(G266&lt;DATE(2025,4,29),14.32,IF(G266&lt;DATE(2025,9,26),14.18,14.04)))),"异常：行权价格区间不符",IF(Q266&lt;&gt;"已备案","提示：未确认备案","正常")))))))</f>
        <v/>
      </c>
      <c r="AD266" s="11" t="n"/>
    </row>
    <row r="267">
      <c r="A267" s="11" t="n"/>
      <c r="B267" s="6">
        <f>IF(A267="","",A267&amp;"-TAX")</f>
        <v/>
      </c>
      <c r="C267" s="11" t="n"/>
      <c r="D267" s="11" t="n"/>
      <c r="E267" s="11" t="n"/>
      <c r="F267" s="11" t="n"/>
      <c r="G267" s="12" t="n"/>
      <c r="H267" s="6">
        <f>IF(G267="","",YEAR(G267))</f>
        <v/>
      </c>
      <c r="I267" s="11" t="n"/>
      <c r="J267" s="13" t="n"/>
      <c r="K267" s="14">
        <f>IF(F267="股票期权",IF(G267="","",IF(G267&lt;DATE(2025,1,10),14.56,IF(G267&lt;DATE(2025,4,29),14.32,IF(G267&lt;DATE(2025,9,26),14.18,14.04)))),IF(F267="限制性股票",8.68,""))</f>
        <v/>
      </c>
      <c r="L267" s="14">
        <f>IF(F267="限制性股票",13.06,"")</f>
        <v/>
      </c>
      <c r="M267" s="11" t="n"/>
      <c r="N267" s="13" t="n"/>
      <c r="O267" s="13" t="n"/>
      <c r="P267" s="12" t="n"/>
      <c r="Q267" s="11" t="n"/>
      <c r="R267" s="12" t="n"/>
      <c r="S267" s="14">
        <f>IF(OR(A267="",C267="",F267="",G267="",I267="",J267=""),"",IF(F267="股票期权",MAX(0,(J267-K267)*I267),IF(F267="限制性股票",IF(OR(L267="",M267="",M267&lt;=0,N267=""),"",MAX(0,((L267+J267)/2)*I267-N267*I267/M267)),MAX(0,O267))))</f>
        <v/>
      </c>
      <c r="T267" s="14">
        <f>IF(S267="","",SUMIFS($S$2:$S$501,$C$2:$C$501,C267,$H$2:$H$501,H267,$G$2:$G$501,"&lt;"&amp;G267)+SUMIFS($S$2:$S$501,$C$2:$C$501,C267,$H$2:$H$501,H267,$G$2:$G$501,G267,$A$2:$A$501,"&lt;"&amp;A267))</f>
        <v/>
      </c>
      <c r="U267" s="14">
        <f>IF(S267="","",T267+S267)</f>
        <v/>
      </c>
      <c r="V267" s="15">
        <f>IF(U267="","",VLOOKUP(U267,'税率及规则'!$A$2:$C$8,2,TRUE))</f>
        <v/>
      </c>
      <c r="W267" s="14">
        <f>IF(U267="","",VLOOKUP(U267,'税率及规则'!$A$2:$C$8,3,TRUE))</f>
        <v/>
      </c>
      <c r="X267" s="14">
        <f>IF(U267="","",MAX(0,U267*V267-W267))</f>
        <v/>
      </c>
      <c r="Y267" s="14">
        <f>IF(T267="","",MAX(0,T267*VLOOKUP(T267,'税率及规则'!$A$2:$C$8,2,TRUE)-VLOOKUP(T267,'税率及规则'!$A$2:$C$8,3,TRUE)))</f>
        <v/>
      </c>
      <c r="Z267" s="14">
        <f>IF(X267="","",MAX(0,X267-Y267))</f>
        <v/>
      </c>
      <c r="AA267" s="16">
        <f>IF(G267="","",G267)</f>
        <v/>
      </c>
      <c r="AB267" s="16">
        <f>IF(AA267="","",EDATE(AA267,36))</f>
        <v/>
      </c>
      <c r="AC267" s="6">
        <f>IF(A267="","",IF(COUNTIF($A$2:$A$501,A267)&gt;1,"异常：事件编号重复",IF(OR(C267="",D267="",E267="",F267="",G267="",I267="",J267=""),"异常：必填项缺失",IF(OR(I267&lt;=0,J267&lt;0),"异常：数量或价格无效",IF(AND(F267="限制性股票",OR(M267&lt;=0,N267&lt;0,I267&gt;M267)),"异常：个人获授或出资数据无效",IF(AND(F267="股票期权",K267&lt;&gt;IF(G267&lt;DATE(2025,1,10),14.56,IF(G267&lt;DATE(2025,4,29),14.32,IF(G267&lt;DATE(2025,9,26),14.18,14.04)))),"异常：行权价格区间不符",IF(Q267&lt;&gt;"已备案","提示：未确认备案","正常")))))))</f>
        <v/>
      </c>
      <c r="AD267" s="11" t="n"/>
    </row>
    <row r="268">
      <c r="A268" s="11" t="n"/>
      <c r="B268" s="6">
        <f>IF(A268="","",A268&amp;"-TAX")</f>
        <v/>
      </c>
      <c r="C268" s="11" t="n"/>
      <c r="D268" s="11" t="n"/>
      <c r="E268" s="11" t="n"/>
      <c r="F268" s="11" t="n"/>
      <c r="G268" s="12" t="n"/>
      <c r="H268" s="6">
        <f>IF(G268="","",YEAR(G268))</f>
        <v/>
      </c>
      <c r="I268" s="11" t="n"/>
      <c r="J268" s="13" t="n"/>
      <c r="K268" s="14">
        <f>IF(F268="股票期权",IF(G268="","",IF(G268&lt;DATE(2025,1,10),14.56,IF(G268&lt;DATE(2025,4,29),14.32,IF(G268&lt;DATE(2025,9,26),14.18,14.04)))),IF(F268="限制性股票",8.68,""))</f>
        <v/>
      </c>
      <c r="L268" s="14">
        <f>IF(F268="限制性股票",13.06,"")</f>
        <v/>
      </c>
      <c r="M268" s="11" t="n"/>
      <c r="N268" s="13" t="n"/>
      <c r="O268" s="13" t="n"/>
      <c r="P268" s="12" t="n"/>
      <c r="Q268" s="11" t="n"/>
      <c r="R268" s="12" t="n"/>
      <c r="S268" s="14">
        <f>IF(OR(A268="",C268="",F268="",G268="",I268="",J268=""),"",IF(F268="股票期权",MAX(0,(J268-K268)*I268),IF(F268="限制性股票",IF(OR(L268="",M268="",M268&lt;=0,N268=""),"",MAX(0,((L268+J268)/2)*I268-N268*I268/M268)),MAX(0,O268))))</f>
        <v/>
      </c>
      <c r="T268" s="14">
        <f>IF(S268="","",SUMIFS($S$2:$S$501,$C$2:$C$501,C268,$H$2:$H$501,H268,$G$2:$G$501,"&lt;"&amp;G268)+SUMIFS($S$2:$S$501,$C$2:$C$501,C268,$H$2:$H$501,H268,$G$2:$G$501,G268,$A$2:$A$501,"&lt;"&amp;A268))</f>
        <v/>
      </c>
      <c r="U268" s="14">
        <f>IF(S268="","",T268+S268)</f>
        <v/>
      </c>
      <c r="V268" s="15">
        <f>IF(U268="","",VLOOKUP(U268,'税率及规则'!$A$2:$C$8,2,TRUE))</f>
        <v/>
      </c>
      <c r="W268" s="14">
        <f>IF(U268="","",VLOOKUP(U268,'税率及规则'!$A$2:$C$8,3,TRUE))</f>
        <v/>
      </c>
      <c r="X268" s="14">
        <f>IF(U268="","",MAX(0,U268*V268-W268))</f>
        <v/>
      </c>
      <c r="Y268" s="14">
        <f>IF(T268="","",MAX(0,T268*VLOOKUP(T268,'税率及规则'!$A$2:$C$8,2,TRUE)-VLOOKUP(T268,'税率及规则'!$A$2:$C$8,3,TRUE)))</f>
        <v/>
      </c>
      <c r="Z268" s="14">
        <f>IF(X268="","",MAX(0,X268-Y268))</f>
        <v/>
      </c>
      <c r="AA268" s="16">
        <f>IF(G268="","",G268)</f>
        <v/>
      </c>
      <c r="AB268" s="16">
        <f>IF(AA268="","",EDATE(AA268,36))</f>
        <v/>
      </c>
      <c r="AC268" s="6">
        <f>IF(A268="","",IF(COUNTIF($A$2:$A$501,A268)&gt;1,"异常：事件编号重复",IF(OR(C268="",D268="",E268="",F268="",G268="",I268="",J268=""),"异常：必填项缺失",IF(OR(I268&lt;=0,J268&lt;0),"异常：数量或价格无效",IF(AND(F268="限制性股票",OR(M268&lt;=0,N268&lt;0,I268&gt;M268)),"异常：个人获授或出资数据无效",IF(AND(F268="股票期权",K268&lt;&gt;IF(G268&lt;DATE(2025,1,10),14.56,IF(G268&lt;DATE(2025,4,29),14.32,IF(G268&lt;DATE(2025,9,26),14.18,14.04)))),"异常：行权价格区间不符",IF(Q268&lt;&gt;"已备案","提示：未确认备案","正常")))))))</f>
        <v/>
      </c>
      <c r="AD268" s="11" t="n"/>
    </row>
    <row r="269">
      <c r="A269" s="11" t="n"/>
      <c r="B269" s="6">
        <f>IF(A269="","",A269&amp;"-TAX")</f>
        <v/>
      </c>
      <c r="C269" s="11" t="n"/>
      <c r="D269" s="11" t="n"/>
      <c r="E269" s="11" t="n"/>
      <c r="F269" s="11" t="n"/>
      <c r="G269" s="12" t="n"/>
      <c r="H269" s="6">
        <f>IF(G269="","",YEAR(G269))</f>
        <v/>
      </c>
      <c r="I269" s="11" t="n"/>
      <c r="J269" s="13" t="n"/>
      <c r="K269" s="14">
        <f>IF(F269="股票期权",IF(G269="","",IF(G269&lt;DATE(2025,1,10),14.56,IF(G269&lt;DATE(2025,4,29),14.32,IF(G269&lt;DATE(2025,9,26),14.18,14.04)))),IF(F269="限制性股票",8.68,""))</f>
        <v/>
      </c>
      <c r="L269" s="14">
        <f>IF(F269="限制性股票",13.06,"")</f>
        <v/>
      </c>
      <c r="M269" s="11" t="n"/>
      <c r="N269" s="13" t="n"/>
      <c r="O269" s="13" t="n"/>
      <c r="P269" s="12" t="n"/>
      <c r="Q269" s="11" t="n"/>
      <c r="R269" s="12" t="n"/>
      <c r="S269" s="14">
        <f>IF(OR(A269="",C269="",F269="",G269="",I269="",J269=""),"",IF(F269="股票期权",MAX(0,(J269-K269)*I269),IF(F269="限制性股票",IF(OR(L269="",M269="",M269&lt;=0,N269=""),"",MAX(0,((L269+J269)/2)*I269-N269*I269/M269)),MAX(0,O269))))</f>
        <v/>
      </c>
      <c r="T269" s="14">
        <f>IF(S269="","",SUMIFS($S$2:$S$501,$C$2:$C$501,C269,$H$2:$H$501,H269,$G$2:$G$501,"&lt;"&amp;G269)+SUMIFS($S$2:$S$501,$C$2:$C$501,C269,$H$2:$H$501,H269,$G$2:$G$501,G269,$A$2:$A$501,"&lt;"&amp;A269))</f>
        <v/>
      </c>
      <c r="U269" s="14">
        <f>IF(S269="","",T269+S269)</f>
        <v/>
      </c>
      <c r="V269" s="15">
        <f>IF(U269="","",VLOOKUP(U269,'税率及规则'!$A$2:$C$8,2,TRUE))</f>
        <v/>
      </c>
      <c r="W269" s="14">
        <f>IF(U269="","",VLOOKUP(U269,'税率及规则'!$A$2:$C$8,3,TRUE))</f>
        <v/>
      </c>
      <c r="X269" s="14">
        <f>IF(U269="","",MAX(0,U269*V269-W269))</f>
        <v/>
      </c>
      <c r="Y269" s="14">
        <f>IF(T269="","",MAX(0,T269*VLOOKUP(T269,'税率及规则'!$A$2:$C$8,2,TRUE)-VLOOKUP(T269,'税率及规则'!$A$2:$C$8,3,TRUE)))</f>
        <v/>
      </c>
      <c r="Z269" s="14">
        <f>IF(X269="","",MAX(0,X269-Y269))</f>
        <v/>
      </c>
      <c r="AA269" s="16">
        <f>IF(G269="","",G269)</f>
        <v/>
      </c>
      <c r="AB269" s="16">
        <f>IF(AA269="","",EDATE(AA269,36))</f>
        <v/>
      </c>
      <c r="AC269" s="6">
        <f>IF(A269="","",IF(COUNTIF($A$2:$A$501,A269)&gt;1,"异常：事件编号重复",IF(OR(C269="",D269="",E269="",F269="",G269="",I269="",J269=""),"异常：必填项缺失",IF(OR(I269&lt;=0,J269&lt;0),"异常：数量或价格无效",IF(AND(F269="限制性股票",OR(M269&lt;=0,N269&lt;0,I269&gt;M269)),"异常：个人获授或出资数据无效",IF(AND(F269="股票期权",K269&lt;&gt;IF(G269&lt;DATE(2025,1,10),14.56,IF(G269&lt;DATE(2025,4,29),14.32,IF(G269&lt;DATE(2025,9,26),14.18,14.04)))),"异常：行权价格区间不符",IF(Q269&lt;&gt;"已备案","提示：未确认备案","正常")))))))</f>
        <v/>
      </c>
      <c r="AD269" s="11" t="n"/>
    </row>
    <row r="270">
      <c r="A270" s="11" t="n"/>
      <c r="B270" s="6">
        <f>IF(A270="","",A270&amp;"-TAX")</f>
        <v/>
      </c>
      <c r="C270" s="11" t="n"/>
      <c r="D270" s="11" t="n"/>
      <c r="E270" s="11" t="n"/>
      <c r="F270" s="11" t="n"/>
      <c r="G270" s="12" t="n"/>
      <c r="H270" s="6">
        <f>IF(G270="","",YEAR(G270))</f>
        <v/>
      </c>
      <c r="I270" s="11" t="n"/>
      <c r="J270" s="13" t="n"/>
      <c r="K270" s="14">
        <f>IF(F270="股票期权",IF(G270="","",IF(G270&lt;DATE(2025,1,10),14.56,IF(G270&lt;DATE(2025,4,29),14.32,IF(G270&lt;DATE(2025,9,26),14.18,14.04)))),IF(F270="限制性股票",8.68,""))</f>
        <v/>
      </c>
      <c r="L270" s="14">
        <f>IF(F270="限制性股票",13.06,"")</f>
        <v/>
      </c>
      <c r="M270" s="11" t="n"/>
      <c r="N270" s="13" t="n"/>
      <c r="O270" s="13" t="n"/>
      <c r="P270" s="12" t="n"/>
      <c r="Q270" s="11" t="n"/>
      <c r="R270" s="12" t="n"/>
      <c r="S270" s="14">
        <f>IF(OR(A270="",C270="",F270="",G270="",I270="",J270=""),"",IF(F270="股票期权",MAX(0,(J270-K270)*I270),IF(F270="限制性股票",IF(OR(L270="",M270="",M270&lt;=0,N270=""),"",MAX(0,((L270+J270)/2)*I270-N270*I270/M270)),MAX(0,O270))))</f>
        <v/>
      </c>
      <c r="T270" s="14">
        <f>IF(S270="","",SUMIFS($S$2:$S$501,$C$2:$C$501,C270,$H$2:$H$501,H270,$G$2:$G$501,"&lt;"&amp;G270)+SUMIFS($S$2:$S$501,$C$2:$C$501,C270,$H$2:$H$501,H270,$G$2:$G$501,G270,$A$2:$A$501,"&lt;"&amp;A270))</f>
        <v/>
      </c>
      <c r="U270" s="14">
        <f>IF(S270="","",T270+S270)</f>
        <v/>
      </c>
      <c r="V270" s="15">
        <f>IF(U270="","",VLOOKUP(U270,'税率及规则'!$A$2:$C$8,2,TRUE))</f>
        <v/>
      </c>
      <c r="W270" s="14">
        <f>IF(U270="","",VLOOKUP(U270,'税率及规则'!$A$2:$C$8,3,TRUE))</f>
        <v/>
      </c>
      <c r="X270" s="14">
        <f>IF(U270="","",MAX(0,U270*V270-W270))</f>
        <v/>
      </c>
      <c r="Y270" s="14">
        <f>IF(T270="","",MAX(0,T270*VLOOKUP(T270,'税率及规则'!$A$2:$C$8,2,TRUE)-VLOOKUP(T270,'税率及规则'!$A$2:$C$8,3,TRUE)))</f>
        <v/>
      </c>
      <c r="Z270" s="14">
        <f>IF(X270="","",MAX(0,X270-Y270))</f>
        <v/>
      </c>
      <c r="AA270" s="16">
        <f>IF(G270="","",G270)</f>
        <v/>
      </c>
      <c r="AB270" s="16">
        <f>IF(AA270="","",EDATE(AA270,36))</f>
        <v/>
      </c>
      <c r="AC270" s="6">
        <f>IF(A270="","",IF(COUNTIF($A$2:$A$501,A270)&gt;1,"异常：事件编号重复",IF(OR(C270="",D270="",E270="",F270="",G270="",I270="",J270=""),"异常：必填项缺失",IF(OR(I270&lt;=0,J270&lt;0),"异常：数量或价格无效",IF(AND(F270="限制性股票",OR(M270&lt;=0,N270&lt;0,I270&gt;M270)),"异常：个人获授或出资数据无效",IF(AND(F270="股票期权",K270&lt;&gt;IF(G270&lt;DATE(2025,1,10),14.56,IF(G270&lt;DATE(2025,4,29),14.32,IF(G270&lt;DATE(2025,9,26),14.18,14.04)))),"异常：行权价格区间不符",IF(Q270&lt;&gt;"已备案","提示：未确认备案","正常")))))))</f>
        <v/>
      </c>
      <c r="AD270" s="11" t="n"/>
    </row>
    <row r="271">
      <c r="A271" s="11" t="n"/>
      <c r="B271" s="6">
        <f>IF(A271="","",A271&amp;"-TAX")</f>
        <v/>
      </c>
      <c r="C271" s="11" t="n"/>
      <c r="D271" s="11" t="n"/>
      <c r="E271" s="11" t="n"/>
      <c r="F271" s="11" t="n"/>
      <c r="G271" s="12" t="n"/>
      <c r="H271" s="6">
        <f>IF(G271="","",YEAR(G271))</f>
        <v/>
      </c>
      <c r="I271" s="11" t="n"/>
      <c r="J271" s="13" t="n"/>
      <c r="K271" s="14">
        <f>IF(F271="股票期权",IF(G271="","",IF(G271&lt;DATE(2025,1,10),14.56,IF(G271&lt;DATE(2025,4,29),14.32,IF(G271&lt;DATE(2025,9,26),14.18,14.04)))),IF(F271="限制性股票",8.68,""))</f>
        <v/>
      </c>
      <c r="L271" s="14">
        <f>IF(F271="限制性股票",13.06,"")</f>
        <v/>
      </c>
      <c r="M271" s="11" t="n"/>
      <c r="N271" s="13" t="n"/>
      <c r="O271" s="13" t="n"/>
      <c r="P271" s="12" t="n"/>
      <c r="Q271" s="11" t="n"/>
      <c r="R271" s="12" t="n"/>
      <c r="S271" s="14">
        <f>IF(OR(A271="",C271="",F271="",G271="",I271="",J271=""),"",IF(F271="股票期权",MAX(0,(J271-K271)*I271),IF(F271="限制性股票",IF(OR(L271="",M271="",M271&lt;=0,N271=""),"",MAX(0,((L271+J271)/2)*I271-N271*I271/M271)),MAX(0,O271))))</f>
        <v/>
      </c>
      <c r="T271" s="14">
        <f>IF(S271="","",SUMIFS($S$2:$S$501,$C$2:$C$501,C271,$H$2:$H$501,H271,$G$2:$G$501,"&lt;"&amp;G271)+SUMIFS($S$2:$S$501,$C$2:$C$501,C271,$H$2:$H$501,H271,$G$2:$G$501,G271,$A$2:$A$501,"&lt;"&amp;A271))</f>
        <v/>
      </c>
      <c r="U271" s="14">
        <f>IF(S271="","",T271+S271)</f>
        <v/>
      </c>
      <c r="V271" s="15">
        <f>IF(U271="","",VLOOKUP(U271,'税率及规则'!$A$2:$C$8,2,TRUE))</f>
        <v/>
      </c>
      <c r="W271" s="14">
        <f>IF(U271="","",VLOOKUP(U271,'税率及规则'!$A$2:$C$8,3,TRUE))</f>
        <v/>
      </c>
      <c r="X271" s="14">
        <f>IF(U271="","",MAX(0,U271*V271-W271))</f>
        <v/>
      </c>
      <c r="Y271" s="14">
        <f>IF(T271="","",MAX(0,T271*VLOOKUP(T271,'税率及规则'!$A$2:$C$8,2,TRUE)-VLOOKUP(T271,'税率及规则'!$A$2:$C$8,3,TRUE)))</f>
        <v/>
      </c>
      <c r="Z271" s="14">
        <f>IF(X271="","",MAX(0,X271-Y271))</f>
        <v/>
      </c>
      <c r="AA271" s="16">
        <f>IF(G271="","",G271)</f>
        <v/>
      </c>
      <c r="AB271" s="16">
        <f>IF(AA271="","",EDATE(AA271,36))</f>
        <v/>
      </c>
      <c r="AC271" s="6">
        <f>IF(A271="","",IF(COUNTIF($A$2:$A$501,A271)&gt;1,"异常：事件编号重复",IF(OR(C271="",D271="",E271="",F271="",G271="",I271="",J271=""),"异常：必填项缺失",IF(OR(I271&lt;=0,J271&lt;0),"异常：数量或价格无效",IF(AND(F271="限制性股票",OR(M271&lt;=0,N271&lt;0,I271&gt;M271)),"异常：个人获授或出资数据无效",IF(AND(F271="股票期权",K271&lt;&gt;IF(G271&lt;DATE(2025,1,10),14.56,IF(G271&lt;DATE(2025,4,29),14.32,IF(G271&lt;DATE(2025,9,26),14.18,14.04)))),"异常：行权价格区间不符",IF(Q271&lt;&gt;"已备案","提示：未确认备案","正常")))))))</f>
        <v/>
      </c>
      <c r="AD271" s="11" t="n"/>
    </row>
    <row r="272">
      <c r="A272" s="11" t="n"/>
      <c r="B272" s="6">
        <f>IF(A272="","",A272&amp;"-TAX")</f>
        <v/>
      </c>
      <c r="C272" s="11" t="n"/>
      <c r="D272" s="11" t="n"/>
      <c r="E272" s="11" t="n"/>
      <c r="F272" s="11" t="n"/>
      <c r="G272" s="12" t="n"/>
      <c r="H272" s="6">
        <f>IF(G272="","",YEAR(G272))</f>
        <v/>
      </c>
      <c r="I272" s="11" t="n"/>
      <c r="J272" s="13" t="n"/>
      <c r="K272" s="14">
        <f>IF(F272="股票期权",IF(G272="","",IF(G272&lt;DATE(2025,1,10),14.56,IF(G272&lt;DATE(2025,4,29),14.32,IF(G272&lt;DATE(2025,9,26),14.18,14.04)))),IF(F272="限制性股票",8.68,""))</f>
        <v/>
      </c>
      <c r="L272" s="14">
        <f>IF(F272="限制性股票",13.06,"")</f>
        <v/>
      </c>
      <c r="M272" s="11" t="n"/>
      <c r="N272" s="13" t="n"/>
      <c r="O272" s="13" t="n"/>
      <c r="P272" s="12" t="n"/>
      <c r="Q272" s="11" t="n"/>
      <c r="R272" s="12" t="n"/>
      <c r="S272" s="14">
        <f>IF(OR(A272="",C272="",F272="",G272="",I272="",J272=""),"",IF(F272="股票期权",MAX(0,(J272-K272)*I272),IF(F272="限制性股票",IF(OR(L272="",M272="",M272&lt;=0,N272=""),"",MAX(0,((L272+J272)/2)*I272-N272*I272/M272)),MAX(0,O272))))</f>
        <v/>
      </c>
      <c r="T272" s="14">
        <f>IF(S272="","",SUMIFS($S$2:$S$501,$C$2:$C$501,C272,$H$2:$H$501,H272,$G$2:$G$501,"&lt;"&amp;G272)+SUMIFS($S$2:$S$501,$C$2:$C$501,C272,$H$2:$H$501,H272,$G$2:$G$501,G272,$A$2:$A$501,"&lt;"&amp;A272))</f>
        <v/>
      </c>
      <c r="U272" s="14">
        <f>IF(S272="","",T272+S272)</f>
        <v/>
      </c>
      <c r="V272" s="15">
        <f>IF(U272="","",VLOOKUP(U272,'税率及规则'!$A$2:$C$8,2,TRUE))</f>
        <v/>
      </c>
      <c r="W272" s="14">
        <f>IF(U272="","",VLOOKUP(U272,'税率及规则'!$A$2:$C$8,3,TRUE))</f>
        <v/>
      </c>
      <c r="X272" s="14">
        <f>IF(U272="","",MAX(0,U272*V272-W272))</f>
        <v/>
      </c>
      <c r="Y272" s="14">
        <f>IF(T272="","",MAX(0,T272*VLOOKUP(T272,'税率及规则'!$A$2:$C$8,2,TRUE)-VLOOKUP(T272,'税率及规则'!$A$2:$C$8,3,TRUE)))</f>
        <v/>
      </c>
      <c r="Z272" s="14">
        <f>IF(X272="","",MAX(0,X272-Y272))</f>
        <v/>
      </c>
      <c r="AA272" s="16">
        <f>IF(G272="","",G272)</f>
        <v/>
      </c>
      <c r="AB272" s="16">
        <f>IF(AA272="","",EDATE(AA272,36))</f>
        <v/>
      </c>
      <c r="AC272" s="6">
        <f>IF(A272="","",IF(COUNTIF($A$2:$A$501,A272)&gt;1,"异常：事件编号重复",IF(OR(C272="",D272="",E272="",F272="",G272="",I272="",J272=""),"异常：必填项缺失",IF(OR(I272&lt;=0,J272&lt;0),"异常：数量或价格无效",IF(AND(F272="限制性股票",OR(M272&lt;=0,N272&lt;0,I272&gt;M272)),"异常：个人获授或出资数据无效",IF(AND(F272="股票期权",K272&lt;&gt;IF(G272&lt;DATE(2025,1,10),14.56,IF(G272&lt;DATE(2025,4,29),14.32,IF(G272&lt;DATE(2025,9,26),14.18,14.04)))),"异常：行权价格区间不符",IF(Q272&lt;&gt;"已备案","提示：未确认备案","正常")))))))</f>
        <v/>
      </c>
      <c r="AD272" s="11" t="n"/>
    </row>
    <row r="273">
      <c r="A273" s="11" t="n"/>
      <c r="B273" s="6">
        <f>IF(A273="","",A273&amp;"-TAX")</f>
        <v/>
      </c>
      <c r="C273" s="11" t="n"/>
      <c r="D273" s="11" t="n"/>
      <c r="E273" s="11" t="n"/>
      <c r="F273" s="11" t="n"/>
      <c r="G273" s="12" t="n"/>
      <c r="H273" s="6">
        <f>IF(G273="","",YEAR(G273))</f>
        <v/>
      </c>
      <c r="I273" s="11" t="n"/>
      <c r="J273" s="13" t="n"/>
      <c r="K273" s="14">
        <f>IF(F273="股票期权",IF(G273="","",IF(G273&lt;DATE(2025,1,10),14.56,IF(G273&lt;DATE(2025,4,29),14.32,IF(G273&lt;DATE(2025,9,26),14.18,14.04)))),IF(F273="限制性股票",8.68,""))</f>
        <v/>
      </c>
      <c r="L273" s="14">
        <f>IF(F273="限制性股票",13.06,"")</f>
        <v/>
      </c>
      <c r="M273" s="11" t="n"/>
      <c r="N273" s="13" t="n"/>
      <c r="O273" s="13" t="n"/>
      <c r="P273" s="12" t="n"/>
      <c r="Q273" s="11" t="n"/>
      <c r="R273" s="12" t="n"/>
      <c r="S273" s="14">
        <f>IF(OR(A273="",C273="",F273="",G273="",I273="",J273=""),"",IF(F273="股票期权",MAX(0,(J273-K273)*I273),IF(F273="限制性股票",IF(OR(L273="",M273="",M273&lt;=0,N273=""),"",MAX(0,((L273+J273)/2)*I273-N273*I273/M273)),MAX(0,O273))))</f>
        <v/>
      </c>
      <c r="T273" s="14">
        <f>IF(S273="","",SUMIFS($S$2:$S$501,$C$2:$C$501,C273,$H$2:$H$501,H273,$G$2:$G$501,"&lt;"&amp;G273)+SUMIFS($S$2:$S$501,$C$2:$C$501,C273,$H$2:$H$501,H273,$G$2:$G$501,G273,$A$2:$A$501,"&lt;"&amp;A273))</f>
        <v/>
      </c>
      <c r="U273" s="14">
        <f>IF(S273="","",T273+S273)</f>
        <v/>
      </c>
      <c r="V273" s="15">
        <f>IF(U273="","",VLOOKUP(U273,'税率及规则'!$A$2:$C$8,2,TRUE))</f>
        <v/>
      </c>
      <c r="W273" s="14">
        <f>IF(U273="","",VLOOKUP(U273,'税率及规则'!$A$2:$C$8,3,TRUE))</f>
        <v/>
      </c>
      <c r="X273" s="14">
        <f>IF(U273="","",MAX(0,U273*V273-W273))</f>
        <v/>
      </c>
      <c r="Y273" s="14">
        <f>IF(T273="","",MAX(0,T273*VLOOKUP(T273,'税率及规则'!$A$2:$C$8,2,TRUE)-VLOOKUP(T273,'税率及规则'!$A$2:$C$8,3,TRUE)))</f>
        <v/>
      </c>
      <c r="Z273" s="14">
        <f>IF(X273="","",MAX(0,X273-Y273))</f>
        <v/>
      </c>
      <c r="AA273" s="16">
        <f>IF(G273="","",G273)</f>
        <v/>
      </c>
      <c r="AB273" s="16">
        <f>IF(AA273="","",EDATE(AA273,36))</f>
        <v/>
      </c>
      <c r="AC273" s="6">
        <f>IF(A273="","",IF(COUNTIF($A$2:$A$501,A273)&gt;1,"异常：事件编号重复",IF(OR(C273="",D273="",E273="",F273="",G273="",I273="",J273=""),"异常：必填项缺失",IF(OR(I273&lt;=0,J273&lt;0),"异常：数量或价格无效",IF(AND(F273="限制性股票",OR(M273&lt;=0,N273&lt;0,I273&gt;M273)),"异常：个人获授或出资数据无效",IF(AND(F273="股票期权",K273&lt;&gt;IF(G273&lt;DATE(2025,1,10),14.56,IF(G273&lt;DATE(2025,4,29),14.32,IF(G273&lt;DATE(2025,9,26),14.18,14.04)))),"异常：行权价格区间不符",IF(Q273&lt;&gt;"已备案","提示：未确认备案","正常")))))))</f>
        <v/>
      </c>
      <c r="AD273" s="11" t="n"/>
    </row>
    <row r="274">
      <c r="A274" s="11" t="n"/>
      <c r="B274" s="6">
        <f>IF(A274="","",A274&amp;"-TAX")</f>
        <v/>
      </c>
      <c r="C274" s="11" t="n"/>
      <c r="D274" s="11" t="n"/>
      <c r="E274" s="11" t="n"/>
      <c r="F274" s="11" t="n"/>
      <c r="G274" s="12" t="n"/>
      <c r="H274" s="6">
        <f>IF(G274="","",YEAR(G274))</f>
        <v/>
      </c>
      <c r="I274" s="11" t="n"/>
      <c r="J274" s="13" t="n"/>
      <c r="K274" s="14">
        <f>IF(F274="股票期权",IF(G274="","",IF(G274&lt;DATE(2025,1,10),14.56,IF(G274&lt;DATE(2025,4,29),14.32,IF(G274&lt;DATE(2025,9,26),14.18,14.04)))),IF(F274="限制性股票",8.68,""))</f>
        <v/>
      </c>
      <c r="L274" s="14">
        <f>IF(F274="限制性股票",13.06,"")</f>
        <v/>
      </c>
      <c r="M274" s="11" t="n"/>
      <c r="N274" s="13" t="n"/>
      <c r="O274" s="13" t="n"/>
      <c r="P274" s="12" t="n"/>
      <c r="Q274" s="11" t="n"/>
      <c r="R274" s="12" t="n"/>
      <c r="S274" s="14">
        <f>IF(OR(A274="",C274="",F274="",G274="",I274="",J274=""),"",IF(F274="股票期权",MAX(0,(J274-K274)*I274),IF(F274="限制性股票",IF(OR(L274="",M274="",M274&lt;=0,N274=""),"",MAX(0,((L274+J274)/2)*I274-N274*I274/M274)),MAX(0,O274))))</f>
        <v/>
      </c>
      <c r="T274" s="14">
        <f>IF(S274="","",SUMIFS($S$2:$S$501,$C$2:$C$501,C274,$H$2:$H$501,H274,$G$2:$G$501,"&lt;"&amp;G274)+SUMIFS($S$2:$S$501,$C$2:$C$501,C274,$H$2:$H$501,H274,$G$2:$G$501,G274,$A$2:$A$501,"&lt;"&amp;A274))</f>
        <v/>
      </c>
      <c r="U274" s="14">
        <f>IF(S274="","",T274+S274)</f>
        <v/>
      </c>
      <c r="V274" s="15">
        <f>IF(U274="","",VLOOKUP(U274,'税率及规则'!$A$2:$C$8,2,TRUE))</f>
        <v/>
      </c>
      <c r="W274" s="14">
        <f>IF(U274="","",VLOOKUP(U274,'税率及规则'!$A$2:$C$8,3,TRUE))</f>
        <v/>
      </c>
      <c r="X274" s="14">
        <f>IF(U274="","",MAX(0,U274*V274-W274))</f>
        <v/>
      </c>
      <c r="Y274" s="14">
        <f>IF(T274="","",MAX(0,T274*VLOOKUP(T274,'税率及规则'!$A$2:$C$8,2,TRUE)-VLOOKUP(T274,'税率及规则'!$A$2:$C$8,3,TRUE)))</f>
        <v/>
      </c>
      <c r="Z274" s="14">
        <f>IF(X274="","",MAX(0,X274-Y274))</f>
        <v/>
      </c>
      <c r="AA274" s="16">
        <f>IF(G274="","",G274)</f>
        <v/>
      </c>
      <c r="AB274" s="16">
        <f>IF(AA274="","",EDATE(AA274,36))</f>
        <v/>
      </c>
      <c r="AC274" s="6">
        <f>IF(A274="","",IF(COUNTIF($A$2:$A$501,A274)&gt;1,"异常：事件编号重复",IF(OR(C274="",D274="",E274="",F274="",G274="",I274="",J274=""),"异常：必填项缺失",IF(OR(I274&lt;=0,J274&lt;0),"异常：数量或价格无效",IF(AND(F274="限制性股票",OR(M274&lt;=0,N274&lt;0,I274&gt;M274)),"异常：个人获授或出资数据无效",IF(AND(F274="股票期权",K274&lt;&gt;IF(G274&lt;DATE(2025,1,10),14.56,IF(G274&lt;DATE(2025,4,29),14.32,IF(G274&lt;DATE(2025,9,26),14.18,14.04)))),"异常：行权价格区间不符",IF(Q274&lt;&gt;"已备案","提示：未确认备案","正常")))))))</f>
        <v/>
      </c>
      <c r="AD274" s="11" t="n"/>
    </row>
    <row r="275">
      <c r="A275" s="11" t="n"/>
      <c r="B275" s="6">
        <f>IF(A275="","",A275&amp;"-TAX")</f>
        <v/>
      </c>
      <c r="C275" s="11" t="n"/>
      <c r="D275" s="11" t="n"/>
      <c r="E275" s="11" t="n"/>
      <c r="F275" s="11" t="n"/>
      <c r="G275" s="12" t="n"/>
      <c r="H275" s="6">
        <f>IF(G275="","",YEAR(G275))</f>
        <v/>
      </c>
      <c r="I275" s="11" t="n"/>
      <c r="J275" s="13" t="n"/>
      <c r="K275" s="14">
        <f>IF(F275="股票期权",IF(G275="","",IF(G275&lt;DATE(2025,1,10),14.56,IF(G275&lt;DATE(2025,4,29),14.32,IF(G275&lt;DATE(2025,9,26),14.18,14.04)))),IF(F275="限制性股票",8.68,""))</f>
        <v/>
      </c>
      <c r="L275" s="14">
        <f>IF(F275="限制性股票",13.06,"")</f>
        <v/>
      </c>
      <c r="M275" s="11" t="n"/>
      <c r="N275" s="13" t="n"/>
      <c r="O275" s="13" t="n"/>
      <c r="P275" s="12" t="n"/>
      <c r="Q275" s="11" t="n"/>
      <c r="R275" s="12" t="n"/>
      <c r="S275" s="14">
        <f>IF(OR(A275="",C275="",F275="",G275="",I275="",J275=""),"",IF(F275="股票期权",MAX(0,(J275-K275)*I275),IF(F275="限制性股票",IF(OR(L275="",M275="",M275&lt;=0,N275=""),"",MAX(0,((L275+J275)/2)*I275-N275*I275/M275)),MAX(0,O275))))</f>
        <v/>
      </c>
      <c r="T275" s="14">
        <f>IF(S275="","",SUMIFS($S$2:$S$501,$C$2:$C$501,C275,$H$2:$H$501,H275,$G$2:$G$501,"&lt;"&amp;G275)+SUMIFS($S$2:$S$501,$C$2:$C$501,C275,$H$2:$H$501,H275,$G$2:$G$501,G275,$A$2:$A$501,"&lt;"&amp;A275))</f>
        <v/>
      </c>
      <c r="U275" s="14">
        <f>IF(S275="","",T275+S275)</f>
        <v/>
      </c>
      <c r="V275" s="15">
        <f>IF(U275="","",VLOOKUP(U275,'税率及规则'!$A$2:$C$8,2,TRUE))</f>
        <v/>
      </c>
      <c r="W275" s="14">
        <f>IF(U275="","",VLOOKUP(U275,'税率及规则'!$A$2:$C$8,3,TRUE))</f>
        <v/>
      </c>
      <c r="X275" s="14">
        <f>IF(U275="","",MAX(0,U275*V275-W275))</f>
        <v/>
      </c>
      <c r="Y275" s="14">
        <f>IF(T275="","",MAX(0,T275*VLOOKUP(T275,'税率及规则'!$A$2:$C$8,2,TRUE)-VLOOKUP(T275,'税率及规则'!$A$2:$C$8,3,TRUE)))</f>
        <v/>
      </c>
      <c r="Z275" s="14">
        <f>IF(X275="","",MAX(0,X275-Y275))</f>
        <v/>
      </c>
      <c r="AA275" s="16">
        <f>IF(G275="","",G275)</f>
        <v/>
      </c>
      <c r="AB275" s="16">
        <f>IF(AA275="","",EDATE(AA275,36))</f>
        <v/>
      </c>
      <c r="AC275" s="6">
        <f>IF(A275="","",IF(COUNTIF($A$2:$A$501,A275)&gt;1,"异常：事件编号重复",IF(OR(C275="",D275="",E275="",F275="",G275="",I275="",J275=""),"异常：必填项缺失",IF(OR(I275&lt;=0,J275&lt;0),"异常：数量或价格无效",IF(AND(F275="限制性股票",OR(M275&lt;=0,N275&lt;0,I275&gt;M275)),"异常：个人获授或出资数据无效",IF(AND(F275="股票期权",K275&lt;&gt;IF(G275&lt;DATE(2025,1,10),14.56,IF(G275&lt;DATE(2025,4,29),14.32,IF(G275&lt;DATE(2025,9,26),14.18,14.04)))),"异常：行权价格区间不符",IF(Q275&lt;&gt;"已备案","提示：未确认备案","正常")))))))</f>
        <v/>
      </c>
      <c r="AD275" s="11" t="n"/>
    </row>
    <row r="276">
      <c r="A276" s="11" t="n"/>
      <c r="B276" s="6">
        <f>IF(A276="","",A276&amp;"-TAX")</f>
        <v/>
      </c>
      <c r="C276" s="11" t="n"/>
      <c r="D276" s="11" t="n"/>
      <c r="E276" s="11" t="n"/>
      <c r="F276" s="11" t="n"/>
      <c r="G276" s="12" t="n"/>
      <c r="H276" s="6">
        <f>IF(G276="","",YEAR(G276))</f>
        <v/>
      </c>
      <c r="I276" s="11" t="n"/>
      <c r="J276" s="13" t="n"/>
      <c r="K276" s="14">
        <f>IF(F276="股票期权",IF(G276="","",IF(G276&lt;DATE(2025,1,10),14.56,IF(G276&lt;DATE(2025,4,29),14.32,IF(G276&lt;DATE(2025,9,26),14.18,14.04)))),IF(F276="限制性股票",8.68,""))</f>
        <v/>
      </c>
      <c r="L276" s="14">
        <f>IF(F276="限制性股票",13.06,"")</f>
        <v/>
      </c>
      <c r="M276" s="11" t="n"/>
      <c r="N276" s="13" t="n"/>
      <c r="O276" s="13" t="n"/>
      <c r="P276" s="12" t="n"/>
      <c r="Q276" s="11" t="n"/>
      <c r="R276" s="12" t="n"/>
      <c r="S276" s="14">
        <f>IF(OR(A276="",C276="",F276="",G276="",I276="",J276=""),"",IF(F276="股票期权",MAX(0,(J276-K276)*I276),IF(F276="限制性股票",IF(OR(L276="",M276="",M276&lt;=0,N276=""),"",MAX(0,((L276+J276)/2)*I276-N276*I276/M276)),MAX(0,O276))))</f>
        <v/>
      </c>
      <c r="T276" s="14">
        <f>IF(S276="","",SUMIFS($S$2:$S$501,$C$2:$C$501,C276,$H$2:$H$501,H276,$G$2:$G$501,"&lt;"&amp;G276)+SUMIFS($S$2:$S$501,$C$2:$C$501,C276,$H$2:$H$501,H276,$G$2:$G$501,G276,$A$2:$A$501,"&lt;"&amp;A276))</f>
        <v/>
      </c>
      <c r="U276" s="14">
        <f>IF(S276="","",T276+S276)</f>
        <v/>
      </c>
      <c r="V276" s="15">
        <f>IF(U276="","",VLOOKUP(U276,'税率及规则'!$A$2:$C$8,2,TRUE))</f>
        <v/>
      </c>
      <c r="W276" s="14">
        <f>IF(U276="","",VLOOKUP(U276,'税率及规则'!$A$2:$C$8,3,TRUE))</f>
        <v/>
      </c>
      <c r="X276" s="14">
        <f>IF(U276="","",MAX(0,U276*V276-W276))</f>
        <v/>
      </c>
      <c r="Y276" s="14">
        <f>IF(T276="","",MAX(0,T276*VLOOKUP(T276,'税率及规则'!$A$2:$C$8,2,TRUE)-VLOOKUP(T276,'税率及规则'!$A$2:$C$8,3,TRUE)))</f>
        <v/>
      </c>
      <c r="Z276" s="14">
        <f>IF(X276="","",MAX(0,X276-Y276))</f>
        <v/>
      </c>
      <c r="AA276" s="16">
        <f>IF(G276="","",G276)</f>
        <v/>
      </c>
      <c r="AB276" s="16">
        <f>IF(AA276="","",EDATE(AA276,36))</f>
        <v/>
      </c>
      <c r="AC276" s="6">
        <f>IF(A276="","",IF(COUNTIF($A$2:$A$501,A276)&gt;1,"异常：事件编号重复",IF(OR(C276="",D276="",E276="",F276="",G276="",I276="",J276=""),"异常：必填项缺失",IF(OR(I276&lt;=0,J276&lt;0),"异常：数量或价格无效",IF(AND(F276="限制性股票",OR(M276&lt;=0,N276&lt;0,I276&gt;M276)),"异常：个人获授或出资数据无效",IF(AND(F276="股票期权",K276&lt;&gt;IF(G276&lt;DATE(2025,1,10),14.56,IF(G276&lt;DATE(2025,4,29),14.32,IF(G276&lt;DATE(2025,9,26),14.18,14.04)))),"异常：行权价格区间不符",IF(Q276&lt;&gt;"已备案","提示：未确认备案","正常")))))))</f>
        <v/>
      </c>
      <c r="AD276" s="11" t="n"/>
    </row>
    <row r="277">
      <c r="A277" s="11" t="n"/>
      <c r="B277" s="6">
        <f>IF(A277="","",A277&amp;"-TAX")</f>
        <v/>
      </c>
      <c r="C277" s="11" t="n"/>
      <c r="D277" s="11" t="n"/>
      <c r="E277" s="11" t="n"/>
      <c r="F277" s="11" t="n"/>
      <c r="G277" s="12" t="n"/>
      <c r="H277" s="6">
        <f>IF(G277="","",YEAR(G277))</f>
        <v/>
      </c>
      <c r="I277" s="11" t="n"/>
      <c r="J277" s="13" t="n"/>
      <c r="K277" s="14">
        <f>IF(F277="股票期权",IF(G277="","",IF(G277&lt;DATE(2025,1,10),14.56,IF(G277&lt;DATE(2025,4,29),14.32,IF(G277&lt;DATE(2025,9,26),14.18,14.04)))),IF(F277="限制性股票",8.68,""))</f>
        <v/>
      </c>
      <c r="L277" s="14">
        <f>IF(F277="限制性股票",13.06,"")</f>
        <v/>
      </c>
      <c r="M277" s="11" t="n"/>
      <c r="N277" s="13" t="n"/>
      <c r="O277" s="13" t="n"/>
      <c r="P277" s="12" t="n"/>
      <c r="Q277" s="11" t="n"/>
      <c r="R277" s="12" t="n"/>
      <c r="S277" s="14">
        <f>IF(OR(A277="",C277="",F277="",G277="",I277="",J277=""),"",IF(F277="股票期权",MAX(0,(J277-K277)*I277),IF(F277="限制性股票",IF(OR(L277="",M277="",M277&lt;=0,N277=""),"",MAX(0,((L277+J277)/2)*I277-N277*I277/M277)),MAX(0,O277))))</f>
        <v/>
      </c>
      <c r="T277" s="14">
        <f>IF(S277="","",SUMIFS($S$2:$S$501,$C$2:$C$501,C277,$H$2:$H$501,H277,$G$2:$G$501,"&lt;"&amp;G277)+SUMIFS($S$2:$S$501,$C$2:$C$501,C277,$H$2:$H$501,H277,$G$2:$G$501,G277,$A$2:$A$501,"&lt;"&amp;A277))</f>
        <v/>
      </c>
      <c r="U277" s="14">
        <f>IF(S277="","",T277+S277)</f>
        <v/>
      </c>
      <c r="V277" s="15">
        <f>IF(U277="","",VLOOKUP(U277,'税率及规则'!$A$2:$C$8,2,TRUE))</f>
        <v/>
      </c>
      <c r="W277" s="14">
        <f>IF(U277="","",VLOOKUP(U277,'税率及规则'!$A$2:$C$8,3,TRUE))</f>
        <v/>
      </c>
      <c r="X277" s="14">
        <f>IF(U277="","",MAX(0,U277*V277-W277))</f>
        <v/>
      </c>
      <c r="Y277" s="14">
        <f>IF(T277="","",MAX(0,T277*VLOOKUP(T277,'税率及规则'!$A$2:$C$8,2,TRUE)-VLOOKUP(T277,'税率及规则'!$A$2:$C$8,3,TRUE)))</f>
        <v/>
      </c>
      <c r="Z277" s="14">
        <f>IF(X277="","",MAX(0,X277-Y277))</f>
        <v/>
      </c>
      <c r="AA277" s="16">
        <f>IF(G277="","",G277)</f>
        <v/>
      </c>
      <c r="AB277" s="16">
        <f>IF(AA277="","",EDATE(AA277,36))</f>
        <v/>
      </c>
      <c r="AC277" s="6">
        <f>IF(A277="","",IF(COUNTIF($A$2:$A$501,A277)&gt;1,"异常：事件编号重复",IF(OR(C277="",D277="",E277="",F277="",G277="",I277="",J277=""),"异常：必填项缺失",IF(OR(I277&lt;=0,J277&lt;0),"异常：数量或价格无效",IF(AND(F277="限制性股票",OR(M277&lt;=0,N277&lt;0,I277&gt;M277)),"异常：个人获授或出资数据无效",IF(AND(F277="股票期权",K277&lt;&gt;IF(G277&lt;DATE(2025,1,10),14.56,IF(G277&lt;DATE(2025,4,29),14.32,IF(G277&lt;DATE(2025,9,26),14.18,14.04)))),"异常：行权价格区间不符",IF(Q277&lt;&gt;"已备案","提示：未确认备案","正常")))))))</f>
        <v/>
      </c>
      <c r="AD277" s="11" t="n"/>
    </row>
    <row r="278">
      <c r="A278" s="11" t="n"/>
      <c r="B278" s="6">
        <f>IF(A278="","",A278&amp;"-TAX")</f>
        <v/>
      </c>
      <c r="C278" s="11" t="n"/>
      <c r="D278" s="11" t="n"/>
      <c r="E278" s="11" t="n"/>
      <c r="F278" s="11" t="n"/>
      <c r="G278" s="12" t="n"/>
      <c r="H278" s="6">
        <f>IF(G278="","",YEAR(G278))</f>
        <v/>
      </c>
      <c r="I278" s="11" t="n"/>
      <c r="J278" s="13" t="n"/>
      <c r="K278" s="14">
        <f>IF(F278="股票期权",IF(G278="","",IF(G278&lt;DATE(2025,1,10),14.56,IF(G278&lt;DATE(2025,4,29),14.32,IF(G278&lt;DATE(2025,9,26),14.18,14.04)))),IF(F278="限制性股票",8.68,""))</f>
        <v/>
      </c>
      <c r="L278" s="14">
        <f>IF(F278="限制性股票",13.06,"")</f>
        <v/>
      </c>
      <c r="M278" s="11" t="n"/>
      <c r="N278" s="13" t="n"/>
      <c r="O278" s="13" t="n"/>
      <c r="P278" s="12" t="n"/>
      <c r="Q278" s="11" t="n"/>
      <c r="R278" s="12" t="n"/>
      <c r="S278" s="14">
        <f>IF(OR(A278="",C278="",F278="",G278="",I278="",J278=""),"",IF(F278="股票期权",MAX(0,(J278-K278)*I278),IF(F278="限制性股票",IF(OR(L278="",M278="",M278&lt;=0,N278=""),"",MAX(0,((L278+J278)/2)*I278-N278*I278/M278)),MAX(0,O278))))</f>
        <v/>
      </c>
      <c r="T278" s="14">
        <f>IF(S278="","",SUMIFS($S$2:$S$501,$C$2:$C$501,C278,$H$2:$H$501,H278,$G$2:$G$501,"&lt;"&amp;G278)+SUMIFS($S$2:$S$501,$C$2:$C$501,C278,$H$2:$H$501,H278,$G$2:$G$501,G278,$A$2:$A$501,"&lt;"&amp;A278))</f>
        <v/>
      </c>
      <c r="U278" s="14">
        <f>IF(S278="","",T278+S278)</f>
        <v/>
      </c>
      <c r="V278" s="15">
        <f>IF(U278="","",VLOOKUP(U278,'税率及规则'!$A$2:$C$8,2,TRUE))</f>
        <v/>
      </c>
      <c r="W278" s="14">
        <f>IF(U278="","",VLOOKUP(U278,'税率及规则'!$A$2:$C$8,3,TRUE))</f>
        <v/>
      </c>
      <c r="X278" s="14">
        <f>IF(U278="","",MAX(0,U278*V278-W278))</f>
        <v/>
      </c>
      <c r="Y278" s="14">
        <f>IF(T278="","",MAX(0,T278*VLOOKUP(T278,'税率及规则'!$A$2:$C$8,2,TRUE)-VLOOKUP(T278,'税率及规则'!$A$2:$C$8,3,TRUE)))</f>
        <v/>
      </c>
      <c r="Z278" s="14">
        <f>IF(X278="","",MAX(0,X278-Y278))</f>
        <v/>
      </c>
      <c r="AA278" s="16">
        <f>IF(G278="","",G278)</f>
        <v/>
      </c>
      <c r="AB278" s="16">
        <f>IF(AA278="","",EDATE(AA278,36))</f>
        <v/>
      </c>
      <c r="AC278" s="6">
        <f>IF(A278="","",IF(COUNTIF($A$2:$A$501,A278)&gt;1,"异常：事件编号重复",IF(OR(C278="",D278="",E278="",F278="",G278="",I278="",J278=""),"异常：必填项缺失",IF(OR(I278&lt;=0,J278&lt;0),"异常：数量或价格无效",IF(AND(F278="限制性股票",OR(M278&lt;=0,N278&lt;0,I278&gt;M278)),"异常：个人获授或出资数据无效",IF(AND(F278="股票期权",K278&lt;&gt;IF(G278&lt;DATE(2025,1,10),14.56,IF(G278&lt;DATE(2025,4,29),14.32,IF(G278&lt;DATE(2025,9,26),14.18,14.04)))),"异常：行权价格区间不符",IF(Q278&lt;&gt;"已备案","提示：未确认备案","正常")))))))</f>
        <v/>
      </c>
      <c r="AD278" s="11" t="n"/>
    </row>
    <row r="279">
      <c r="A279" s="11" t="n"/>
      <c r="B279" s="6">
        <f>IF(A279="","",A279&amp;"-TAX")</f>
        <v/>
      </c>
      <c r="C279" s="11" t="n"/>
      <c r="D279" s="11" t="n"/>
      <c r="E279" s="11" t="n"/>
      <c r="F279" s="11" t="n"/>
      <c r="G279" s="12" t="n"/>
      <c r="H279" s="6">
        <f>IF(G279="","",YEAR(G279))</f>
        <v/>
      </c>
      <c r="I279" s="11" t="n"/>
      <c r="J279" s="13" t="n"/>
      <c r="K279" s="14">
        <f>IF(F279="股票期权",IF(G279="","",IF(G279&lt;DATE(2025,1,10),14.56,IF(G279&lt;DATE(2025,4,29),14.32,IF(G279&lt;DATE(2025,9,26),14.18,14.04)))),IF(F279="限制性股票",8.68,""))</f>
        <v/>
      </c>
      <c r="L279" s="14">
        <f>IF(F279="限制性股票",13.06,"")</f>
        <v/>
      </c>
      <c r="M279" s="11" t="n"/>
      <c r="N279" s="13" t="n"/>
      <c r="O279" s="13" t="n"/>
      <c r="P279" s="12" t="n"/>
      <c r="Q279" s="11" t="n"/>
      <c r="R279" s="12" t="n"/>
      <c r="S279" s="14">
        <f>IF(OR(A279="",C279="",F279="",G279="",I279="",J279=""),"",IF(F279="股票期权",MAX(0,(J279-K279)*I279),IF(F279="限制性股票",IF(OR(L279="",M279="",M279&lt;=0,N279=""),"",MAX(0,((L279+J279)/2)*I279-N279*I279/M279)),MAX(0,O279))))</f>
        <v/>
      </c>
      <c r="T279" s="14">
        <f>IF(S279="","",SUMIFS($S$2:$S$501,$C$2:$C$501,C279,$H$2:$H$501,H279,$G$2:$G$501,"&lt;"&amp;G279)+SUMIFS($S$2:$S$501,$C$2:$C$501,C279,$H$2:$H$501,H279,$G$2:$G$501,G279,$A$2:$A$501,"&lt;"&amp;A279))</f>
        <v/>
      </c>
      <c r="U279" s="14">
        <f>IF(S279="","",T279+S279)</f>
        <v/>
      </c>
      <c r="V279" s="15">
        <f>IF(U279="","",VLOOKUP(U279,'税率及规则'!$A$2:$C$8,2,TRUE))</f>
        <v/>
      </c>
      <c r="W279" s="14">
        <f>IF(U279="","",VLOOKUP(U279,'税率及规则'!$A$2:$C$8,3,TRUE))</f>
        <v/>
      </c>
      <c r="X279" s="14">
        <f>IF(U279="","",MAX(0,U279*V279-W279))</f>
        <v/>
      </c>
      <c r="Y279" s="14">
        <f>IF(T279="","",MAX(0,T279*VLOOKUP(T279,'税率及规则'!$A$2:$C$8,2,TRUE)-VLOOKUP(T279,'税率及规则'!$A$2:$C$8,3,TRUE)))</f>
        <v/>
      </c>
      <c r="Z279" s="14">
        <f>IF(X279="","",MAX(0,X279-Y279))</f>
        <v/>
      </c>
      <c r="AA279" s="16">
        <f>IF(G279="","",G279)</f>
        <v/>
      </c>
      <c r="AB279" s="16">
        <f>IF(AA279="","",EDATE(AA279,36))</f>
        <v/>
      </c>
      <c r="AC279" s="6">
        <f>IF(A279="","",IF(COUNTIF($A$2:$A$501,A279)&gt;1,"异常：事件编号重复",IF(OR(C279="",D279="",E279="",F279="",G279="",I279="",J279=""),"异常：必填项缺失",IF(OR(I279&lt;=0,J279&lt;0),"异常：数量或价格无效",IF(AND(F279="限制性股票",OR(M279&lt;=0,N279&lt;0,I279&gt;M279)),"异常：个人获授或出资数据无效",IF(AND(F279="股票期权",K279&lt;&gt;IF(G279&lt;DATE(2025,1,10),14.56,IF(G279&lt;DATE(2025,4,29),14.32,IF(G279&lt;DATE(2025,9,26),14.18,14.04)))),"异常：行权价格区间不符",IF(Q279&lt;&gt;"已备案","提示：未确认备案","正常")))))))</f>
        <v/>
      </c>
      <c r="AD279" s="11" t="n"/>
    </row>
    <row r="280">
      <c r="A280" s="11" t="n"/>
      <c r="B280" s="6">
        <f>IF(A280="","",A280&amp;"-TAX")</f>
        <v/>
      </c>
      <c r="C280" s="11" t="n"/>
      <c r="D280" s="11" t="n"/>
      <c r="E280" s="11" t="n"/>
      <c r="F280" s="11" t="n"/>
      <c r="G280" s="12" t="n"/>
      <c r="H280" s="6">
        <f>IF(G280="","",YEAR(G280))</f>
        <v/>
      </c>
      <c r="I280" s="11" t="n"/>
      <c r="J280" s="13" t="n"/>
      <c r="K280" s="14">
        <f>IF(F280="股票期权",IF(G280="","",IF(G280&lt;DATE(2025,1,10),14.56,IF(G280&lt;DATE(2025,4,29),14.32,IF(G280&lt;DATE(2025,9,26),14.18,14.04)))),IF(F280="限制性股票",8.68,""))</f>
        <v/>
      </c>
      <c r="L280" s="14">
        <f>IF(F280="限制性股票",13.06,"")</f>
        <v/>
      </c>
      <c r="M280" s="11" t="n"/>
      <c r="N280" s="13" t="n"/>
      <c r="O280" s="13" t="n"/>
      <c r="P280" s="12" t="n"/>
      <c r="Q280" s="11" t="n"/>
      <c r="R280" s="12" t="n"/>
      <c r="S280" s="14">
        <f>IF(OR(A280="",C280="",F280="",G280="",I280="",J280=""),"",IF(F280="股票期权",MAX(0,(J280-K280)*I280),IF(F280="限制性股票",IF(OR(L280="",M280="",M280&lt;=0,N280=""),"",MAX(0,((L280+J280)/2)*I280-N280*I280/M280)),MAX(0,O280))))</f>
        <v/>
      </c>
      <c r="T280" s="14">
        <f>IF(S280="","",SUMIFS($S$2:$S$501,$C$2:$C$501,C280,$H$2:$H$501,H280,$G$2:$G$501,"&lt;"&amp;G280)+SUMIFS($S$2:$S$501,$C$2:$C$501,C280,$H$2:$H$501,H280,$G$2:$G$501,G280,$A$2:$A$501,"&lt;"&amp;A280))</f>
        <v/>
      </c>
      <c r="U280" s="14">
        <f>IF(S280="","",T280+S280)</f>
        <v/>
      </c>
      <c r="V280" s="15">
        <f>IF(U280="","",VLOOKUP(U280,'税率及规则'!$A$2:$C$8,2,TRUE))</f>
        <v/>
      </c>
      <c r="W280" s="14">
        <f>IF(U280="","",VLOOKUP(U280,'税率及规则'!$A$2:$C$8,3,TRUE))</f>
        <v/>
      </c>
      <c r="X280" s="14">
        <f>IF(U280="","",MAX(0,U280*V280-W280))</f>
        <v/>
      </c>
      <c r="Y280" s="14">
        <f>IF(T280="","",MAX(0,T280*VLOOKUP(T280,'税率及规则'!$A$2:$C$8,2,TRUE)-VLOOKUP(T280,'税率及规则'!$A$2:$C$8,3,TRUE)))</f>
        <v/>
      </c>
      <c r="Z280" s="14">
        <f>IF(X280="","",MAX(0,X280-Y280))</f>
        <v/>
      </c>
      <c r="AA280" s="16">
        <f>IF(G280="","",G280)</f>
        <v/>
      </c>
      <c r="AB280" s="16">
        <f>IF(AA280="","",EDATE(AA280,36))</f>
        <v/>
      </c>
      <c r="AC280" s="6">
        <f>IF(A280="","",IF(COUNTIF($A$2:$A$501,A280)&gt;1,"异常：事件编号重复",IF(OR(C280="",D280="",E280="",F280="",G280="",I280="",J280=""),"异常：必填项缺失",IF(OR(I280&lt;=0,J280&lt;0),"异常：数量或价格无效",IF(AND(F280="限制性股票",OR(M280&lt;=0,N280&lt;0,I280&gt;M280)),"异常：个人获授或出资数据无效",IF(AND(F280="股票期权",K280&lt;&gt;IF(G280&lt;DATE(2025,1,10),14.56,IF(G280&lt;DATE(2025,4,29),14.32,IF(G280&lt;DATE(2025,9,26),14.18,14.04)))),"异常：行权价格区间不符",IF(Q280&lt;&gt;"已备案","提示：未确认备案","正常")))))))</f>
        <v/>
      </c>
      <c r="AD280" s="11" t="n"/>
    </row>
    <row r="281">
      <c r="A281" s="11" t="n"/>
      <c r="B281" s="6">
        <f>IF(A281="","",A281&amp;"-TAX")</f>
        <v/>
      </c>
      <c r="C281" s="11" t="n"/>
      <c r="D281" s="11" t="n"/>
      <c r="E281" s="11" t="n"/>
      <c r="F281" s="11" t="n"/>
      <c r="G281" s="12" t="n"/>
      <c r="H281" s="6">
        <f>IF(G281="","",YEAR(G281))</f>
        <v/>
      </c>
      <c r="I281" s="11" t="n"/>
      <c r="J281" s="13" t="n"/>
      <c r="K281" s="14">
        <f>IF(F281="股票期权",IF(G281="","",IF(G281&lt;DATE(2025,1,10),14.56,IF(G281&lt;DATE(2025,4,29),14.32,IF(G281&lt;DATE(2025,9,26),14.18,14.04)))),IF(F281="限制性股票",8.68,""))</f>
        <v/>
      </c>
      <c r="L281" s="14">
        <f>IF(F281="限制性股票",13.06,"")</f>
        <v/>
      </c>
      <c r="M281" s="11" t="n"/>
      <c r="N281" s="13" t="n"/>
      <c r="O281" s="13" t="n"/>
      <c r="P281" s="12" t="n"/>
      <c r="Q281" s="11" t="n"/>
      <c r="R281" s="12" t="n"/>
      <c r="S281" s="14">
        <f>IF(OR(A281="",C281="",F281="",G281="",I281="",J281=""),"",IF(F281="股票期权",MAX(0,(J281-K281)*I281),IF(F281="限制性股票",IF(OR(L281="",M281="",M281&lt;=0,N281=""),"",MAX(0,((L281+J281)/2)*I281-N281*I281/M281)),MAX(0,O281))))</f>
        <v/>
      </c>
      <c r="T281" s="14">
        <f>IF(S281="","",SUMIFS($S$2:$S$501,$C$2:$C$501,C281,$H$2:$H$501,H281,$G$2:$G$501,"&lt;"&amp;G281)+SUMIFS($S$2:$S$501,$C$2:$C$501,C281,$H$2:$H$501,H281,$G$2:$G$501,G281,$A$2:$A$501,"&lt;"&amp;A281))</f>
        <v/>
      </c>
      <c r="U281" s="14">
        <f>IF(S281="","",T281+S281)</f>
        <v/>
      </c>
      <c r="V281" s="15">
        <f>IF(U281="","",VLOOKUP(U281,'税率及规则'!$A$2:$C$8,2,TRUE))</f>
        <v/>
      </c>
      <c r="W281" s="14">
        <f>IF(U281="","",VLOOKUP(U281,'税率及规则'!$A$2:$C$8,3,TRUE))</f>
        <v/>
      </c>
      <c r="X281" s="14">
        <f>IF(U281="","",MAX(0,U281*V281-W281))</f>
        <v/>
      </c>
      <c r="Y281" s="14">
        <f>IF(T281="","",MAX(0,T281*VLOOKUP(T281,'税率及规则'!$A$2:$C$8,2,TRUE)-VLOOKUP(T281,'税率及规则'!$A$2:$C$8,3,TRUE)))</f>
        <v/>
      </c>
      <c r="Z281" s="14">
        <f>IF(X281="","",MAX(0,X281-Y281))</f>
        <v/>
      </c>
      <c r="AA281" s="16">
        <f>IF(G281="","",G281)</f>
        <v/>
      </c>
      <c r="AB281" s="16">
        <f>IF(AA281="","",EDATE(AA281,36))</f>
        <v/>
      </c>
      <c r="AC281" s="6">
        <f>IF(A281="","",IF(COUNTIF($A$2:$A$501,A281)&gt;1,"异常：事件编号重复",IF(OR(C281="",D281="",E281="",F281="",G281="",I281="",J281=""),"异常：必填项缺失",IF(OR(I281&lt;=0,J281&lt;0),"异常：数量或价格无效",IF(AND(F281="限制性股票",OR(M281&lt;=0,N281&lt;0,I281&gt;M281)),"异常：个人获授或出资数据无效",IF(AND(F281="股票期权",K281&lt;&gt;IF(G281&lt;DATE(2025,1,10),14.56,IF(G281&lt;DATE(2025,4,29),14.32,IF(G281&lt;DATE(2025,9,26),14.18,14.04)))),"异常：行权价格区间不符",IF(Q281&lt;&gt;"已备案","提示：未确认备案","正常")))))))</f>
        <v/>
      </c>
      <c r="AD281" s="11" t="n"/>
    </row>
    <row r="282">
      <c r="A282" s="11" t="n"/>
      <c r="B282" s="6">
        <f>IF(A282="","",A282&amp;"-TAX")</f>
        <v/>
      </c>
      <c r="C282" s="11" t="n"/>
      <c r="D282" s="11" t="n"/>
      <c r="E282" s="11" t="n"/>
      <c r="F282" s="11" t="n"/>
      <c r="G282" s="12" t="n"/>
      <c r="H282" s="6">
        <f>IF(G282="","",YEAR(G282))</f>
        <v/>
      </c>
      <c r="I282" s="11" t="n"/>
      <c r="J282" s="13" t="n"/>
      <c r="K282" s="14">
        <f>IF(F282="股票期权",IF(G282="","",IF(G282&lt;DATE(2025,1,10),14.56,IF(G282&lt;DATE(2025,4,29),14.32,IF(G282&lt;DATE(2025,9,26),14.18,14.04)))),IF(F282="限制性股票",8.68,""))</f>
        <v/>
      </c>
      <c r="L282" s="14">
        <f>IF(F282="限制性股票",13.06,"")</f>
        <v/>
      </c>
      <c r="M282" s="11" t="n"/>
      <c r="N282" s="13" t="n"/>
      <c r="O282" s="13" t="n"/>
      <c r="P282" s="12" t="n"/>
      <c r="Q282" s="11" t="n"/>
      <c r="R282" s="12" t="n"/>
      <c r="S282" s="14">
        <f>IF(OR(A282="",C282="",F282="",G282="",I282="",J282=""),"",IF(F282="股票期权",MAX(0,(J282-K282)*I282),IF(F282="限制性股票",IF(OR(L282="",M282="",M282&lt;=0,N282=""),"",MAX(0,((L282+J282)/2)*I282-N282*I282/M282)),MAX(0,O282))))</f>
        <v/>
      </c>
      <c r="T282" s="14">
        <f>IF(S282="","",SUMIFS($S$2:$S$501,$C$2:$C$501,C282,$H$2:$H$501,H282,$G$2:$G$501,"&lt;"&amp;G282)+SUMIFS($S$2:$S$501,$C$2:$C$501,C282,$H$2:$H$501,H282,$G$2:$G$501,G282,$A$2:$A$501,"&lt;"&amp;A282))</f>
        <v/>
      </c>
      <c r="U282" s="14">
        <f>IF(S282="","",T282+S282)</f>
        <v/>
      </c>
      <c r="V282" s="15">
        <f>IF(U282="","",VLOOKUP(U282,'税率及规则'!$A$2:$C$8,2,TRUE))</f>
        <v/>
      </c>
      <c r="W282" s="14">
        <f>IF(U282="","",VLOOKUP(U282,'税率及规则'!$A$2:$C$8,3,TRUE))</f>
        <v/>
      </c>
      <c r="X282" s="14">
        <f>IF(U282="","",MAX(0,U282*V282-W282))</f>
        <v/>
      </c>
      <c r="Y282" s="14">
        <f>IF(T282="","",MAX(0,T282*VLOOKUP(T282,'税率及规则'!$A$2:$C$8,2,TRUE)-VLOOKUP(T282,'税率及规则'!$A$2:$C$8,3,TRUE)))</f>
        <v/>
      </c>
      <c r="Z282" s="14">
        <f>IF(X282="","",MAX(0,X282-Y282))</f>
        <v/>
      </c>
      <c r="AA282" s="16">
        <f>IF(G282="","",G282)</f>
        <v/>
      </c>
      <c r="AB282" s="16">
        <f>IF(AA282="","",EDATE(AA282,36))</f>
        <v/>
      </c>
      <c r="AC282" s="6">
        <f>IF(A282="","",IF(COUNTIF($A$2:$A$501,A282)&gt;1,"异常：事件编号重复",IF(OR(C282="",D282="",E282="",F282="",G282="",I282="",J282=""),"异常：必填项缺失",IF(OR(I282&lt;=0,J282&lt;0),"异常：数量或价格无效",IF(AND(F282="限制性股票",OR(M282&lt;=0,N282&lt;0,I282&gt;M282)),"异常：个人获授或出资数据无效",IF(AND(F282="股票期权",K282&lt;&gt;IF(G282&lt;DATE(2025,1,10),14.56,IF(G282&lt;DATE(2025,4,29),14.32,IF(G282&lt;DATE(2025,9,26),14.18,14.04)))),"异常：行权价格区间不符",IF(Q282&lt;&gt;"已备案","提示：未确认备案","正常")))))))</f>
        <v/>
      </c>
      <c r="AD282" s="11" t="n"/>
    </row>
    <row r="283">
      <c r="A283" s="11" t="n"/>
      <c r="B283" s="6">
        <f>IF(A283="","",A283&amp;"-TAX")</f>
        <v/>
      </c>
      <c r="C283" s="11" t="n"/>
      <c r="D283" s="11" t="n"/>
      <c r="E283" s="11" t="n"/>
      <c r="F283" s="11" t="n"/>
      <c r="G283" s="12" t="n"/>
      <c r="H283" s="6">
        <f>IF(G283="","",YEAR(G283))</f>
        <v/>
      </c>
      <c r="I283" s="11" t="n"/>
      <c r="J283" s="13" t="n"/>
      <c r="K283" s="14">
        <f>IF(F283="股票期权",IF(G283="","",IF(G283&lt;DATE(2025,1,10),14.56,IF(G283&lt;DATE(2025,4,29),14.32,IF(G283&lt;DATE(2025,9,26),14.18,14.04)))),IF(F283="限制性股票",8.68,""))</f>
        <v/>
      </c>
      <c r="L283" s="14">
        <f>IF(F283="限制性股票",13.06,"")</f>
        <v/>
      </c>
      <c r="M283" s="11" t="n"/>
      <c r="N283" s="13" t="n"/>
      <c r="O283" s="13" t="n"/>
      <c r="P283" s="12" t="n"/>
      <c r="Q283" s="11" t="n"/>
      <c r="R283" s="12" t="n"/>
      <c r="S283" s="14">
        <f>IF(OR(A283="",C283="",F283="",G283="",I283="",J283=""),"",IF(F283="股票期权",MAX(0,(J283-K283)*I283),IF(F283="限制性股票",IF(OR(L283="",M283="",M283&lt;=0,N283=""),"",MAX(0,((L283+J283)/2)*I283-N283*I283/M283)),MAX(0,O283))))</f>
        <v/>
      </c>
      <c r="T283" s="14">
        <f>IF(S283="","",SUMIFS($S$2:$S$501,$C$2:$C$501,C283,$H$2:$H$501,H283,$G$2:$G$501,"&lt;"&amp;G283)+SUMIFS($S$2:$S$501,$C$2:$C$501,C283,$H$2:$H$501,H283,$G$2:$G$501,G283,$A$2:$A$501,"&lt;"&amp;A283))</f>
        <v/>
      </c>
      <c r="U283" s="14">
        <f>IF(S283="","",T283+S283)</f>
        <v/>
      </c>
      <c r="V283" s="15">
        <f>IF(U283="","",VLOOKUP(U283,'税率及规则'!$A$2:$C$8,2,TRUE))</f>
        <v/>
      </c>
      <c r="W283" s="14">
        <f>IF(U283="","",VLOOKUP(U283,'税率及规则'!$A$2:$C$8,3,TRUE))</f>
        <v/>
      </c>
      <c r="X283" s="14">
        <f>IF(U283="","",MAX(0,U283*V283-W283))</f>
        <v/>
      </c>
      <c r="Y283" s="14">
        <f>IF(T283="","",MAX(0,T283*VLOOKUP(T283,'税率及规则'!$A$2:$C$8,2,TRUE)-VLOOKUP(T283,'税率及规则'!$A$2:$C$8,3,TRUE)))</f>
        <v/>
      </c>
      <c r="Z283" s="14">
        <f>IF(X283="","",MAX(0,X283-Y283))</f>
        <v/>
      </c>
      <c r="AA283" s="16">
        <f>IF(G283="","",G283)</f>
        <v/>
      </c>
      <c r="AB283" s="16">
        <f>IF(AA283="","",EDATE(AA283,36))</f>
        <v/>
      </c>
      <c r="AC283" s="6">
        <f>IF(A283="","",IF(COUNTIF($A$2:$A$501,A283)&gt;1,"异常：事件编号重复",IF(OR(C283="",D283="",E283="",F283="",G283="",I283="",J283=""),"异常：必填项缺失",IF(OR(I283&lt;=0,J283&lt;0),"异常：数量或价格无效",IF(AND(F283="限制性股票",OR(M283&lt;=0,N283&lt;0,I283&gt;M283)),"异常：个人获授或出资数据无效",IF(AND(F283="股票期权",K283&lt;&gt;IF(G283&lt;DATE(2025,1,10),14.56,IF(G283&lt;DATE(2025,4,29),14.32,IF(G283&lt;DATE(2025,9,26),14.18,14.04)))),"异常：行权价格区间不符",IF(Q283&lt;&gt;"已备案","提示：未确认备案","正常")))))))</f>
        <v/>
      </c>
      <c r="AD283" s="11" t="n"/>
    </row>
    <row r="284">
      <c r="A284" s="11" t="n"/>
      <c r="B284" s="6">
        <f>IF(A284="","",A284&amp;"-TAX")</f>
        <v/>
      </c>
      <c r="C284" s="11" t="n"/>
      <c r="D284" s="11" t="n"/>
      <c r="E284" s="11" t="n"/>
      <c r="F284" s="11" t="n"/>
      <c r="G284" s="12" t="n"/>
      <c r="H284" s="6">
        <f>IF(G284="","",YEAR(G284))</f>
        <v/>
      </c>
      <c r="I284" s="11" t="n"/>
      <c r="J284" s="13" t="n"/>
      <c r="K284" s="14">
        <f>IF(F284="股票期权",IF(G284="","",IF(G284&lt;DATE(2025,1,10),14.56,IF(G284&lt;DATE(2025,4,29),14.32,IF(G284&lt;DATE(2025,9,26),14.18,14.04)))),IF(F284="限制性股票",8.68,""))</f>
        <v/>
      </c>
      <c r="L284" s="14">
        <f>IF(F284="限制性股票",13.06,"")</f>
        <v/>
      </c>
      <c r="M284" s="11" t="n"/>
      <c r="N284" s="13" t="n"/>
      <c r="O284" s="13" t="n"/>
      <c r="P284" s="12" t="n"/>
      <c r="Q284" s="11" t="n"/>
      <c r="R284" s="12" t="n"/>
      <c r="S284" s="14">
        <f>IF(OR(A284="",C284="",F284="",G284="",I284="",J284=""),"",IF(F284="股票期权",MAX(0,(J284-K284)*I284),IF(F284="限制性股票",IF(OR(L284="",M284="",M284&lt;=0,N284=""),"",MAX(0,((L284+J284)/2)*I284-N284*I284/M284)),MAX(0,O284))))</f>
        <v/>
      </c>
      <c r="T284" s="14">
        <f>IF(S284="","",SUMIFS($S$2:$S$501,$C$2:$C$501,C284,$H$2:$H$501,H284,$G$2:$G$501,"&lt;"&amp;G284)+SUMIFS($S$2:$S$501,$C$2:$C$501,C284,$H$2:$H$501,H284,$G$2:$G$501,G284,$A$2:$A$501,"&lt;"&amp;A284))</f>
        <v/>
      </c>
      <c r="U284" s="14">
        <f>IF(S284="","",T284+S284)</f>
        <v/>
      </c>
      <c r="V284" s="15">
        <f>IF(U284="","",VLOOKUP(U284,'税率及规则'!$A$2:$C$8,2,TRUE))</f>
        <v/>
      </c>
      <c r="W284" s="14">
        <f>IF(U284="","",VLOOKUP(U284,'税率及规则'!$A$2:$C$8,3,TRUE))</f>
        <v/>
      </c>
      <c r="X284" s="14">
        <f>IF(U284="","",MAX(0,U284*V284-W284))</f>
        <v/>
      </c>
      <c r="Y284" s="14">
        <f>IF(T284="","",MAX(0,T284*VLOOKUP(T284,'税率及规则'!$A$2:$C$8,2,TRUE)-VLOOKUP(T284,'税率及规则'!$A$2:$C$8,3,TRUE)))</f>
        <v/>
      </c>
      <c r="Z284" s="14">
        <f>IF(X284="","",MAX(0,X284-Y284))</f>
        <v/>
      </c>
      <c r="AA284" s="16">
        <f>IF(G284="","",G284)</f>
        <v/>
      </c>
      <c r="AB284" s="16">
        <f>IF(AA284="","",EDATE(AA284,36))</f>
        <v/>
      </c>
      <c r="AC284" s="6">
        <f>IF(A284="","",IF(COUNTIF($A$2:$A$501,A284)&gt;1,"异常：事件编号重复",IF(OR(C284="",D284="",E284="",F284="",G284="",I284="",J284=""),"异常：必填项缺失",IF(OR(I284&lt;=0,J284&lt;0),"异常：数量或价格无效",IF(AND(F284="限制性股票",OR(M284&lt;=0,N284&lt;0,I284&gt;M284)),"异常：个人获授或出资数据无效",IF(AND(F284="股票期权",K284&lt;&gt;IF(G284&lt;DATE(2025,1,10),14.56,IF(G284&lt;DATE(2025,4,29),14.32,IF(G284&lt;DATE(2025,9,26),14.18,14.04)))),"异常：行权价格区间不符",IF(Q284&lt;&gt;"已备案","提示：未确认备案","正常")))))))</f>
        <v/>
      </c>
      <c r="AD284" s="11" t="n"/>
    </row>
    <row r="285">
      <c r="A285" s="11" t="n"/>
      <c r="B285" s="6">
        <f>IF(A285="","",A285&amp;"-TAX")</f>
        <v/>
      </c>
      <c r="C285" s="11" t="n"/>
      <c r="D285" s="11" t="n"/>
      <c r="E285" s="11" t="n"/>
      <c r="F285" s="11" t="n"/>
      <c r="G285" s="12" t="n"/>
      <c r="H285" s="6">
        <f>IF(G285="","",YEAR(G285))</f>
        <v/>
      </c>
      <c r="I285" s="11" t="n"/>
      <c r="J285" s="13" t="n"/>
      <c r="K285" s="14">
        <f>IF(F285="股票期权",IF(G285="","",IF(G285&lt;DATE(2025,1,10),14.56,IF(G285&lt;DATE(2025,4,29),14.32,IF(G285&lt;DATE(2025,9,26),14.18,14.04)))),IF(F285="限制性股票",8.68,""))</f>
        <v/>
      </c>
      <c r="L285" s="14">
        <f>IF(F285="限制性股票",13.06,"")</f>
        <v/>
      </c>
      <c r="M285" s="11" t="n"/>
      <c r="N285" s="13" t="n"/>
      <c r="O285" s="13" t="n"/>
      <c r="P285" s="12" t="n"/>
      <c r="Q285" s="11" t="n"/>
      <c r="R285" s="12" t="n"/>
      <c r="S285" s="14">
        <f>IF(OR(A285="",C285="",F285="",G285="",I285="",J285=""),"",IF(F285="股票期权",MAX(0,(J285-K285)*I285),IF(F285="限制性股票",IF(OR(L285="",M285="",M285&lt;=0,N285=""),"",MAX(0,((L285+J285)/2)*I285-N285*I285/M285)),MAX(0,O285))))</f>
        <v/>
      </c>
      <c r="T285" s="14">
        <f>IF(S285="","",SUMIFS($S$2:$S$501,$C$2:$C$501,C285,$H$2:$H$501,H285,$G$2:$G$501,"&lt;"&amp;G285)+SUMIFS($S$2:$S$501,$C$2:$C$501,C285,$H$2:$H$501,H285,$G$2:$G$501,G285,$A$2:$A$501,"&lt;"&amp;A285))</f>
        <v/>
      </c>
      <c r="U285" s="14">
        <f>IF(S285="","",T285+S285)</f>
        <v/>
      </c>
      <c r="V285" s="15">
        <f>IF(U285="","",VLOOKUP(U285,'税率及规则'!$A$2:$C$8,2,TRUE))</f>
        <v/>
      </c>
      <c r="W285" s="14">
        <f>IF(U285="","",VLOOKUP(U285,'税率及规则'!$A$2:$C$8,3,TRUE))</f>
        <v/>
      </c>
      <c r="X285" s="14">
        <f>IF(U285="","",MAX(0,U285*V285-W285))</f>
        <v/>
      </c>
      <c r="Y285" s="14">
        <f>IF(T285="","",MAX(0,T285*VLOOKUP(T285,'税率及规则'!$A$2:$C$8,2,TRUE)-VLOOKUP(T285,'税率及规则'!$A$2:$C$8,3,TRUE)))</f>
        <v/>
      </c>
      <c r="Z285" s="14">
        <f>IF(X285="","",MAX(0,X285-Y285))</f>
        <v/>
      </c>
      <c r="AA285" s="16">
        <f>IF(G285="","",G285)</f>
        <v/>
      </c>
      <c r="AB285" s="16">
        <f>IF(AA285="","",EDATE(AA285,36))</f>
        <v/>
      </c>
      <c r="AC285" s="6">
        <f>IF(A285="","",IF(COUNTIF($A$2:$A$501,A285)&gt;1,"异常：事件编号重复",IF(OR(C285="",D285="",E285="",F285="",G285="",I285="",J285=""),"异常：必填项缺失",IF(OR(I285&lt;=0,J285&lt;0),"异常：数量或价格无效",IF(AND(F285="限制性股票",OR(M285&lt;=0,N285&lt;0,I285&gt;M285)),"异常：个人获授或出资数据无效",IF(AND(F285="股票期权",K285&lt;&gt;IF(G285&lt;DATE(2025,1,10),14.56,IF(G285&lt;DATE(2025,4,29),14.32,IF(G285&lt;DATE(2025,9,26),14.18,14.04)))),"异常：行权价格区间不符",IF(Q285&lt;&gt;"已备案","提示：未确认备案","正常")))))))</f>
        <v/>
      </c>
      <c r="AD285" s="11" t="n"/>
    </row>
    <row r="286">
      <c r="A286" s="11" t="n"/>
      <c r="B286" s="6">
        <f>IF(A286="","",A286&amp;"-TAX")</f>
        <v/>
      </c>
      <c r="C286" s="11" t="n"/>
      <c r="D286" s="11" t="n"/>
      <c r="E286" s="11" t="n"/>
      <c r="F286" s="11" t="n"/>
      <c r="G286" s="12" t="n"/>
      <c r="H286" s="6">
        <f>IF(G286="","",YEAR(G286))</f>
        <v/>
      </c>
      <c r="I286" s="11" t="n"/>
      <c r="J286" s="13" t="n"/>
      <c r="K286" s="14">
        <f>IF(F286="股票期权",IF(G286="","",IF(G286&lt;DATE(2025,1,10),14.56,IF(G286&lt;DATE(2025,4,29),14.32,IF(G286&lt;DATE(2025,9,26),14.18,14.04)))),IF(F286="限制性股票",8.68,""))</f>
        <v/>
      </c>
      <c r="L286" s="14">
        <f>IF(F286="限制性股票",13.06,"")</f>
        <v/>
      </c>
      <c r="M286" s="11" t="n"/>
      <c r="N286" s="13" t="n"/>
      <c r="O286" s="13" t="n"/>
      <c r="P286" s="12" t="n"/>
      <c r="Q286" s="11" t="n"/>
      <c r="R286" s="12" t="n"/>
      <c r="S286" s="14">
        <f>IF(OR(A286="",C286="",F286="",G286="",I286="",J286=""),"",IF(F286="股票期权",MAX(0,(J286-K286)*I286),IF(F286="限制性股票",IF(OR(L286="",M286="",M286&lt;=0,N286=""),"",MAX(0,((L286+J286)/2)*I286-N286*I286/M286)),MAX(0,O286))))</f>
        <v/>
      </c>
      <c r="T286" s="14">
        <f>IF(S286="","",SUMIFS($S$2:$S$501,$C$2:$C$501,C286,$H$2:$H$501,H286,$G$2:$G$501,"&lt;"&amp;G286)+SUMIFS($S$2:$S$501,$C$2:$C$501,C286,$H$2:$H$501,H286,$G$2:$G$501,G286,$A$2:$A$501,"&lt;"&amp;A286))</f>
        <v/>
      </c>
      <c r="U286" s="14">
        <f>IF(S286="","",T286+S286)</f>
        <v/>
      </c>
      <c r="V286" s="15">
        <f>IF(U286="","",VLOOKUP(U286,'税率及规则'!$A$2:$C$8,2,TRUE))</f>
        <v/>
      </c>
      <c r="W286" s="14">
        <f>IF(U286="","",VLOOKUP(U286,'税率及规则'!$A$2:$C$8,3,TRUE))</f>
        <v/>
      </c>
      <c r="X286" s="14">
        <f>IF(U286="","",MAX(0,U286*V286-W286))</f>
        <v/>
      </c>
      <c r="Y286" s="14">
        <f>IF(T286="","",MAX(0,T286*VLOOKUP(T286,'税率及规则'!$A$2:$C$8,2,TRUE)-VLOOKUP(T286,'税率及规则'!$A$2:$C$8,3,TRUE)))</f>
        <v/>
      </c>
      <c r="Z286" s="14">
        <f>IF(X286="","",MAX(0,X286-Y286))</f>
        <v/>
      </c>
      <c r="AA286" s="16">
        <f>IF(G286="","",G286)</f>
        <v/>
      </c>
      <c r="AB286" s="16">
        <f>IF(AA286="","",EDATE(AA286,36))</f>
        <v/>
      </c>
      <c r="AC286" s="6">
        <f>IF(A286="","",IF(COUNTIF($A$2:$A$501,A286)&gt;1,"异常：事件编号重复",IF(OR(C286="",D286="",E286="",F286="",G286="",I286="",J286=""),"异常：必填项缺失",IF(OR(I286&lt;=0,J286&lt;0),"异常：数量或价格无效",IF(AND(F286="限制性股票",OR(M286&lt;=0,N286&lt;0,I286&gt;M286)),"异常：个人获授或出资数据无效",IF(AND(F286="股票期权",K286&lt;&gt;IF(G286&lt;DATE(2025,1,10),14.56,IF(G286&lt;DATE(2025,4,29),14.32,IF(G286&lt;DATE(2025,9,26),14.18,14.04)))),"异常：行权价格区间不符",IF(Q286&lt;&gt;"已备案","提示：未确认备案","正常")))))))</f>
        <v/>
      </c>
      <c r="AD286" s="11" t="n"/>
    </row>
    <row r="287">
      <c r="A287" s="11" t="n"/>
      <c r="B287" s="6">
        <f>IF(A287="","",A287&amp;"-TAX")</f>
        <v/>
      </c>
      <c r="C287" s="11" t="n"/>
      <c r="D287" s="11" t="n"/>
      <c r="E287" s="11" t="n"/>
      <c r="F287" s="11" t="n"/>
      <c r="G287" s="12" t="n"/>
      <c r="H287" s="6">
        <f>IF(G287="","",YEAR(G287))</f>
        <v/>
      </c>
      <c r="I287" s="11" t="n"/>
      <c r="J287" s="13" t="n"/>
      <c r="K287" s="14">
        <f>IF(F287="股票期权",IF(G287="","",IF(G287&lt;DATE(2025,1,10),14.56,IF(G287&lt;DATE(2025,4,29),14.32,IF(G287&lt;DATE(2025,9,26),14.18,14.04)))),IF(F287="限制性股票",8.68,""))</f>
        <v/>
      </c>
      <c r="L287" s="14">
        <f>IF(F287="限制性股票",13.06,"")</f>
        <v/>
      </c>
      <c r="M287" s="11" t="n"/>
      <c r="N287" s="13" t="n"/>
      <c r="O287" s="13" t="n"/>
      <c r="P287" s="12" t="n"/>
      <c r="Q287" s="11" t="n"/>
      <c r="R287" s="12" t="n"/>
      <c r="S287" s="14">
        <f>IF(OR(A287="",C287="",F287="",G287="",I287="",J287=""),"",IF(F287="股票期权",MAX(0,(J287-K287)*I287),IF(F287="限制性股票",IF(OR(L287="",M287="",M287&lt;=0,N287=""),"",MAX(0,((L287+J287)/2)*I287-N287*I287/M287)),MAX(0,O287))))</f>
        <v/>
      </c>
      <c r="T287" s="14">
        <f>IF(S287="","",SUMIFS($S$2:$S$501,$C$2:$C$501,C287,$H$2:$H$501,H287,$G$2:$G$501,"&lt;"&amp;G287)+SUMIFS($S$2:$S$501,$C$2:$C$501,C287,$H$2:$H$501,H287,$G$2:$G$501,G287,$A$2:$A$501,"&lt;"&amp;A287))</f>
        <v/>
      </c>
      <c r="U287" s="14">
        <f>IF(S287="","",T287+S287)</f>
        <v/>
      </c>
      <c r="V287" s="15">
        <f>IF(U287="","",VLOOKUP(U287,'税率及规则'!$A$2:$C$8,2,TRUE))</f>
        <v/>
      </c>
      <c r="W287" s="14">
        <f>IF(U287="","",VLOOKUP(U287,'税率及规则'!$A$2:$C$8,3,TRUE))</f>
        <v/>
      </c>
      <c r="X287" s="14">
        <f>IF(U287="","",MAX(0,U287*V287-W287))</f>
        <v/>
      </c>
      <c r="Y287" s="14">
        <f>IF(T287="","",MAX(0,T287*VLOOKUP(T287,'税率及规则'!$A$2:$C$8,2,TRUE)-VLOOKUP(T287,'税率及规则'!$A$2:$C$8,3,TRUE)))</f>
        <v/>
      </c>
      <c r="Z287" s="14">
        <f>IF(X287="","",MAX(0,X287-Y287))</f>
        <v/>
      </c>
      <c r="AA287" s="16">
        <f>IF(G287="","",G287)</f>
        <v/>
      </c>
      <c r="AB287" s="16">
        <f>IF(AA287="","",EDATE(AA287,36))</f>
        <v/>
      </c>
      <c r="AC287" s="6">
        <f>IF(A287="","",IF(COUNTIF($A$2:$A$501,A287)&gt;1,"异常：事件编号重复",IF(OR(C287="",D287="",E287="",F287="",G287="",I287="",J287=""),"异常：必填项缺失",IF(OR(I287&lt;=0,J287&lt;0),"异常：数量或价格无效",IF(AND(F287="限制性股票",OR(M287&lt;=0,N287&lt;0,I287&gt;M287)),"异常：个人获授或出资数据无效",IF(AND(F287="股票期权",K287&lt;&gt;IF(G287&lt;DATE(2025,1,10),14.56,IF(G287&lt;DATE(2025,4,29),14.32,IF(G287&lt;DATE(2025,9,26),14.18,14.04)))),"异常：行权价格区间不符",IF(Q287&lt;&gt;"已备案","提示：未确认备案","正常")))))))</f>
        <v/>
      </c>
      <c r="AD287" s="11" t="n"/>
    </row>
    <row r="288">
      <c r="A288" s="11" t="n"/>
      <c r="B288" s="6">
        <f>IF(A288="","",A288&amp;"-TAX")</f>
        <v/>
      </c>
      <c r="C288" s="11" t="n"/>
      <c r="D288" s="11" t="n"/>
      <c r="E288" s="11" t="n"/>
      <c r="F288" s="11" t="n"/>
      <c r="G288" s="12" t="n"/>
      <c r="H288" s="6">
        <f>IF(G288="","",YEAR(G288))</f>
        <v/>
      </c>
      <c r="I288" s="11" t="n"/>
      <c r="J288" s="13" t="n"/>
      <c r="K288" s="14">
        <f>IF(F288="股票期权",IF(G288="","",IF(G288&lt;DATE(2025,1,10),14.56,IF(G288&lt;DATE(2025,4,29),14.32,IF(G288&lt;DATE(2025,9,26),14.18,14.04)))),IF(F288="限制性股票",8.68,""))</f>
        <v/>
      </c>
      <c r="L288" s="14">
        <f>IF(F288="限制性股票",13.06,"")</f>
        <v/>
      </c>
      <c r="M288" s="11" t="n"/>
      <c r="N288" s="13" t="n"/>
      <c r="O288" s="13" t="n"/>
      <c r="P288" s="12" t="n"/>
      <c r="Q288" s="11" t="n"/>
      <c r="R288" s="12" t="n"/>
      <c r="S288" s="14">
        <f>IF(OR(A288="",C288="",F288="",G288="",I288="",J288=""),"",IF(F288="股票期权",MAX(0,(J288-K288)*I288),IF(F288="限制性股票",IF(OR(L288="",M288="",M288&lt;=0,N288=""),"",MAX(0,((L288+J288)/2)*I288-N288*I288/M288)),MAX(0,O288))))</f>
        <v/>
      </c>
      <c r="T288" s="14">
        <f>IF(S288="","",SUMIFS($S$2:$S$501,$C$2:$C$501,C288,$H$2:$H$501,H288,$G$2:$G$501,"&lt;"&amp;G288)+SUMIFS($S$2:$S$501,$C$2:$C$501,C288,$H$2:$H$501,H288,$G$2:$G$501,G288,$A$2:$A$501,"&lt;"&amp;A288))</f>
        <v/>
      </c>
      <c r="U288" s="14">
        <f>IF(S288="","",T288+S288)</f>
        <v/>
      </c>
      <c r="V288" s="15">
        <f>IF(U288="","",VLOOKUP(U288,'税率及规则'!$A$2:$C$8,2,TRUE))</f>
        <v/>
      </c>
      <c r="W288" s="14">
        <f>IF(U288="","",VLOOKUP(U288,'税率及规则'!$A$2:$C$8,3,TRUE))</f>
        <v/>
      </c>
      <c r="X288" s="14">
        <f>IF(U288="","",MAX(0,U288*V288-W288))</f>
        <v/>
      </c>
      <c r="Y288" s="14">
        <f>IF(T288="","",MAX(0,T288*VLOOKUP(T288,'税率及规则'!$A$2:$C$8,2,TRUE)-VLOOKUP(T288,'税率及规则'!$A$2:$C$8,3,TRUE)))</f>
        <v/>
      </c>
      <c r="Z288" s="14">
        <f>IF(X288="","",MAX(0,X288-Y288))</f>
        <v/>
      </c>
      <c r="AA288" s="16">
        <f>IF(G288="","",G288)</f>
        <v/>
      </c>
      <c r="AB288" s="16">
        <f>IF(AA288="","",EDATE(AA288,36))</f>
        <v/>
      </c>
      <c r="AC288" s="6">
        <f>IF(A288="","",IF(COUNTIF($A$2:$A$501,A288)&gt;1,"异常：事件编号重复",IF(OR(C288="",D288="",E288="",F288="",G288="",I288="",J288=""),"异常：必填项缺失",IF(OR(I288&lt;=0,J288&lt;0),"异常：数量或价格无效",IF(AND(F288="限制性股票",OR(M288&lt;=0,N288&lt;0,I288&gt;M288)),"异常：个人获授或出资数据无效",IF(AND(F288="股票期权",K288&lt;&gt;IF(G288&lt;DATE(2025,1,10),14.56,IF(G288&lt;DATE(2025,4,29),14.32,IF(G288&lt;DATE(2025,9,26),14.18,14.04)))),"异常：行权价格区间不符",IF(Q288&lt;&gt;"已备案","提示：未确认备案","正常")))))))</f>
        <v/>
      </c>
      <c r="AD288" s="11" t="n"/>
    </row>
    <row r="289">
      <c r="A289" s="11" t="n"/>
      <c r="B289" s="6">
        <f>IF(A289="","",A289&amp;"-TAX")</f>
        <v/>
      </c>
      <c r="C289" s="11" t="n"/>
      <c r="D289" s="11" t="n"/>
      <c r="E289" s="11" t="n"/>
      <c r="F289" s="11" t="n"/>
      <c r="G289" s="12" t="n"/>
      <c r="H289" s="6">
        <f>IF(G289="","",YEAR(G289))</f>
        <v/>
      </c>
      <c r="I289" s="11" t="n"/>
      <c r="J289" s="13" t="n"/>
      <c r="K289" s="14">
        <f>IF(F289="股票期权",IF(G289="","",IF(G289&lt;DATE(2025,1,10),14.56,IF(G289&lt;DATE(2025,4,29),14.32,IF(G289&lt;DATE(2025,9,26),14.18,14.04)))),IF(F289="限制性股票",8.68,""))</f>
        <v/>
      </c>
      <c r="L289" s="14">
        <f>IF(F289="限制性股票",13.06,"")</f>
        <v/>
      </c>
      <c r="M289" s="11" t="n"/>
      <c r="N289" s="13" t="n"/>
      <c r="O289" s="13" t="n"/>
      <c r="P289" s="12" t="n"/>
      <c r="Q289" s="11" t="n"/>
      <c r="R289" s="12" t="n"/>
      <c r="S289" s="14">
        <f>IF(OR(A289="",C289="",F289="",G289="",I289="",J289=""),"",IF(F289="股票期权",MAX(0,(J289-K289)*I289),IF(F289="限制性股票",IF(OR(L289="",M289="",M289&lt;=0,N289=""),"",MAX(0,((L289+J289)/2)*I289-N289*I289/M289)),MAX(0,O289))))</f>
        <v/>
      </c>
      <c r="T289" s="14">
        <f>IF(S289="","",SUMIFS($S$2:$S$501,$C$2:$C$501,C289,$H$2:$H$501,H289,$G$2:$G$501,"&lt;"&amp;G289)+SUMIFS($S$2:$S$501,$C$2:$C$501,C289,$H$2:$H$501,H289,$G$2:$G$501,G289,$A$2:$A$501,"&lt;"&amp;A289))</f>
        <v/>
      </c>
      <c r="U289" s="14">
        <f>IF(S289="","",T289+S289)</f>
        <v/>
      </c>
      <c r="V289" s="15">
        <f>IF(U289="","",VLOOKUP(U289,'税率及规则'!$A$2:$C$8,2,TRUE))</f>
        <v/>
      </c>
      <c r="W289" s="14">
        <f>IF(U289="","",VLOOKUP(U289,'税率及规则'!$A$2:$C$8,3,TRUE))</f>
        <v/>
      </c>
      <c r="X289" s="14">
        <f>IF(U289="","",MAX(0,U289*V289-W289))</f>
        <v/>
      </c>
      <c r="Y289" s="14">
        <f>IF(T289="","",MAX(0,T289*VLOOKUP(T289,'税率及规则'!$A$2:$C$8,2,TRUE)-VLOOKUP(T289,'税率及规则'!$A$2:$C$8,3,TRUE)))</f>
        <v/>
      </c>
      <c r="Z289" s="14">
        <f>IF(X289="","",MAX(0,X289-Y289))</f>
        <v/>
      </c>
      <c r="AA289" s="16">
        <f>IF(G289="","",G289)</f>
        <v/>
      </c>
      <c r="AB289" s="16">
        <f>IF(AA289="","",EDATE(AA289,36))</f>
        <v/>
      </c>
      <c r="AC289" s="6">
        <f>IF(A289="","",IF(COUNTIF($A$2:$A$501,A289)&gt;1,"异常：事件编号重复",IF(OR(C289="",D289="",E289="",F289="",G289="",I289="",J289=""),"异常：必填项缺失",IF(OR(I289&lt;=0,J289&lt;0),"异常：数量或价格无效",IF(AND(F289="限制性股票",OR(M289&lt;=0,N289&lt;0,I289&gt;M289)),"异常：个人获授或出资数据无效",IF(AND(F289="股票期权",K289&lt;&gt;IF(G289&lt;DATE(2025,1,10),14.56,IF(G289&lt;DATE(2025,4,29),14.32,IF(G289&lt;DATE(2025,9,26),14.18,14.04)))),"异常：行权价格区间不符",IF(Q289&lt;&gt;"已备案","提示：未确认备案","正常")))))))</f>
        <v/>
      </c>
      <c r="AD289" s="11" t="n"/>
    </row>
    <row r="290">
      <c r="A290" s="11" t="n"/>
      <c r="B290" s="6">
        <f>IF(A290="","",A290&amp;"-TAX")</f>
        <v/>
      </c>
      <c r="C290" s="11" t="n"/>
      <c r="D290" s="11" t="n"/>
      <c r="E290" s="11" t="n"/>
      <c r="F290" s="11" t="n"/>
      <c r="G290" s="12" t="n"/>
      <c r="H290" s="6">
        <f>IF(G290="","",YEAR(G290))</f>
        <v/>
      </c>
      <c r="I290" s="11" t="n"/>
      <c r="J290" s="13" t="n"/>
      <c r="K290" s="14">
        <f>IF(F290="股票期权",IF(G290="","",IF(G290&lt;DATE(2025,1,10),14.56,IF(G290&lt;DATE(2025,4,29),14.32,IF(G290&lt;DATE(2025,9,26),14.18,14.04)))),IF(F290="限制性股票",8.68,""))</f>
        <v/>
      </c>
      <c r="L290" s="14">
        <f>IF(F290="限制性股票",13.06,"")</f>
        <v/>
      </c>
      <c r="M290" s="11" t="n"/>
      <c r="N290" s="13" t="n"/>
      <c r="O290" s="13" t="n"/>
      <c r="P290" s="12" t="n"/>
      <c r="Q290" s="11" t="n"/>
      <c r="R290" s="12" t="n"/>
      <c r="S290" s="14">
        <f>IF(OR(A290="",C290="",F290="",G290="",I290="",J290=""),"",IF(F290="股票期权",MAX(0,(J290-K290)*I290),IF(F290="限制性股票",IF(OR(L290="",M290="",M290&lt;=0,N290=""),"",MAX(0,((L290+J290)/2)*I290-N290*I290/M290)),MAX(0,O290))))</f>
        <v/>
      </c>
      <c r="T290" s="14">
        <f>IF(S290="","",SUMIFS($S$2:$S$501,$C$2:$C$501,C290,$H$2:$H$501,H290,$G$2:$G$501,"&lt;"&amp;G290)+SUMIFS($S$2:$S$501,$C$2:$C$501,C290,$H$2:$H$501,H290,$G$2:$G$501,G290,$A$2:$A$501,"&lt;"&amp;A290))</f>
        <v/>
      </c>
      <c r="U290" s="14">
        <f>IF(S290="","",T290+S290)</f>
        <v/>
      </c>
      <c r="V290" s="15">
        <f>IF(U290="","",VLOOKUP(U290,'税率及规则'!$A$2:$C$8,2,TRUE))</f>
        <v/>
      </c>
      <c r="W290" s="14">
        <f>IF(U290="","",VLOOKUP(U290,'税率及规则'!$A$2:$C$8,3,TRUE))</f>
        <v/>
      </c>
      <c r="X290" s="14">
        <f>IF(U290="","",MAX(0,U290*V290-W290))</f>
        <v/>
      </c>
      <c r="Y290" s="14">
        <f>IF(T290="","",MAX(0,T290*VLOOKUP(T290,'税率及规则'!$A$2:$C$8,2,TRUE)-VLOOKUP(T290,'税率及规则'!$A$2:$C$8,3,TRUE)))</f>
        <v/>
      </c>
      <c r="Z290" s="14">
        <f>IF(X290="","",MAX(0,X290-Y290))</f>
        <v/>
      </c>
      <c r="AA290" s="16">
        <f>IF(G290="","",G290)</f>
        <v/>
      </c>
      <c r="AB290" s="16">
        <f>IF(AA290="","",EDATE(AA290,36))</f>
        <v/>
      </c>
      <c r="AC290" s="6">
        <f>IF(A290="","",IF(COUNTIF($A$2:$A$501,A290)&gt;1,"异常：事件编号重复",IF(OR(C290="",D290="",E290="",F290="",G290="",I290="",J290=""),"异常：必填项缺失",IF(OR(I290&lt;=0,J290&lt;0),"异常：数量或价格无效",IF(AND(F290="限制性股票",OR(M290&lt;=0,N290&lt;0,I290&gt;M290)),"异常：个人获授或出资数据无效",IF(AND(F290="股票期权",K290&lt;&gt;IF(G290&lt;DATE(2025,1,10),14.56,IF(G290&lt;DATE(2025,4,29),14.32,IF(G290&lt;DATE(2025,9,26),14.18,14.04)))),"异常：行权价格区间不符",IF(Q290&lt;&gt;"已备案","提示：未确认备案","正常")))))))</f>
        <v/>
      </c>
      <c r="AD290" s="11" t="n"/>
    </row>
    <row r="291">
      <c r="A291" s="11" t="n"/>
      <c r="B291" s="6">
        <f>IF(A291="","",A291&amp;"-TAX")</f>
        <v/>
      </c>
      <c r="C291" s="11" t="n"/>
      <c r="D291" s="11" t="n"/>
      <c r="E291" s="11" t="n"/>
      <c r="F291" s="11" t="n"/>
      <c r="G291" s="12" t="n"/>
      <c r="H291" s="6">
        <f>IF(G291="","",YEAR(G291))</f>
        <v/>
      </c>
      <c r="I291" s="11" t="n"/>
      <c r="J291" s="13" t="n"/>
      <c r="K291" s="14">
        <f>IF(F291="股票期权",IF(G291="","",IF(G291&lt;DATE(2025,1,10),14.56,IF(G291&lt;DATE(2025,4,29),14.32,IF(G291&lt;DATE(2025,9,26),14.18,14.04)))),IF(F291="限制性股票",8.68,""))</f>
        <v/>
      </c>
      <c r="L291" s="14">
        <f>IF(F291="限制性股票",13.06,"")</f>
        <v/>
      </c>
      <c r="M291" s="11" t="n"/>
      <c r="N291" s="13" t="n"/>
      <c r="O291" s="13" t="n"/>
      <c r="P291" s="12" t="n"/>
      <c r="Q291" s="11" t="n"/>
      <c r="R291" s="12" t="n"/>
      <c r="S291" s="14">
        <f>IF(OR(A291="",C291="",F291="",G291="",I291="",J291=""),"",IF(F291="股票期权",MAX(0,(J291-K291)*I291),IF(F291="限制性股票",IF(OR(L291="",M291="",M291&lt;=0,N291=""),"",MAX(0,((L291+J291)/2)*I291-N291*I291/M291)),MAX(0,O291))))</f>
        <v/>
      </c>
      <c r="T291" s="14">
        <f>IF(S291="","",SUMIFS($S$2:$S$501,$C$2:$C$501,C291,$H$2:$H$501,H291,$G$2:$G$501,"&lt;"&amp;G291)+SUMIFS($S$2:$S$501,$C$2:$C$501,C291,$H$2:$H$501,H291,$G$2:$G$501,G291,$A$2:$A$501,"&lt;"&amp;A291))</f>
        <v/>
      </c>
      <c r="U291" s="14">
        <f>IF(S291="","",T291+S291)</f>
        <v/>
      </c>
      <c r="V291" s="15">
        <f>IF(U291="","",VLOOKUP(U291,'税率及规则'!$A$2:$C$8,2,TRUE))</f>
        <v/>
      </c>
      <c r="W291" s="14">
        <f>IF(U291="","",VLOOKUP(U291,'税率及规则'!$A$2:$C$8,3,TRUE))</f>
        <v/>
      </c>
      <c r="X291" s="14">
        <f>IF(U291="","",MAX(0,U291*V291-W291))</f>
        <v/>
      </c>
      <c r="Y291" s="14">
        <f>IF(T291="","",MAX(0,T291*VLOOKUP(T291,'税率及规则'!$A$2:$C$8,2,TRUE)-VLOOKUP(T291,'税率及规则'!$A$2:$C$8,3,TRUE)))</f>
        <v/>
      </c>
      <c r="Z291" s="14">
        <f>IF(X291="","",MAX(0,X291-Y291))</f>
        <v/>
      </c>
      <c r="AA291" s="16">
        <f>IF(G291="","",G291)</f>
        <v/>
      </c>
      <c r="AB291" s="16">
        <f>IF(AA291="","",EDATE(AA291,36))</f>
        <v/>
      </c>
      <c r="AC291" s="6">
        <f>IF(A291="","",IF(COUNTIF($A$2:$A$501,A291)&gt;1,"异常：事件编号重复",IF(OR(C291="",D291="",E291="",F291="",G291="",I291="",J291=""),"异常：必填项缺失",IF(OR(I291&lt;=0,J291&lt;0),"异常：数量或价格无效",IF(AND(F291="限制性股票",OR(M291&lt;=0,N291&lt;0,I291&gt;M291)),"异常：个人获授或出资数据无效",IF(AND(F291="股票期权",K291&lt;&gt;IF(G291&lt;DATE(2025,1,10),14.56,IF(G291&lt;DATE(2025,4,29),14.32,IF(G291&lt;DATE(2025,9,26),14.18,14.04)))),"异常：行权价格区间不符",IF(Q291&lt;&gt;"已备案","提示：未确认备案","正常")))))))</f>
        <v/>
      </c>
      <c r="AD291" s="11" t="n"/>
    </row>
    <row r="292">
      <c r="A292" s="11" t="n"/>
      <c r="B292" s="6">
        <f>IF(A292="","",A292&amp;"-TAX")</f>
        <v/>
      </c>
      <c r="C292" s="11" t="n"/>
      <c r="D292" s="11" t="n"/>
      <c r="E292" s="11" t="n"/>
      <c r="F292" s="11" t="n"/>
      <c r="G292" s="12" t="n"/>
      <c r="H292" s="6">
        <f>IF(G292="","",YEAR(G292))</f>
        <v/>
      </c>
      <c r="I292" s="11" t="n"/>
      <c r="J292" s="13" t="n"/>
      <c r="K292" s="14">
        <f>IF(F292="股票期权",IF(G292="","",IF(G292&lt;DATE(2025,1,10),14.56,IF(G292&lt;DATE(2025,4,29),14.32,IF(G292&lt;DATE(2025,9,26),14.18,14.04)))),IF(F292="限制性股票",8.68,""))</f>
        <v/>
      </c>
      <c r="L292" s="14">
        <f>IF(F292="限制性股票",13.06,"")</f>
        <v/>
      </c>
      <c r="M292" s="11" t="n"/>
      <c r="N292" s="13" t="n"/>
      <c r="O292" s="13" t="n"/>
      <c r="P292" s="12" t="n"/>
      <c r="Q292" s="11" t="n"/>
      <c r="R292" s="12" t="n"/>
      <c r="S292" s="14">
        <f>IF(OR(A292="",C292="",F292="",G292="",I292="",J292=""),"",IF(F292="股票期权",MAX(0,(J292-K292)*I292),IF(F292="限制性股票",IF(OR(L292="",M292="",M292&lt;=0,N292=""),"",MAX(0,((L292+J292)/2)*I292-N292*I292/M292)),MAX(0,O292))))</f>
        <v/>
      </c>
      <c r="T292" s="14">
        <f>IF(S292="","",SUMIFS($S$2:$S$501,$C$2:$C$501,C292,$H$2:$H$501,H292,$G$2:$G$501,"&lt;"&amp;G292)+SUMIFS($S$2:$S$501,$C$2:$C$501,C292,$H$2:$H$501,H292,$G$2:$G$501,G292,$A$2:$A$501,"&lt;"&amp;A292))</f>
        <v/>
      </c>
      <c r="U292" s="14">
        <f>IF(S292="","",T292+S292)</f>
        <v/>
      </c>
      <c r="V292" s="15">
        <f>IF(U292="","",VLOOKUP(U292,'税率及规则'!$A$2:$C$8,2,TRUE))</f>
        <v/>
      </c>
      <c r="W292" s="14">
        <f>IF(U292="","",VLOOKUP(U292,'税率及规则'!$A$2:$C$8,3,TRUE))</f>
        <v/>
      </c>
      <c r="X292" s="14">
        <f>IF(U292="","",MAX(0,U292*V292-W292))</f>
        <v/>
      </c>
      <c r="Y292" s="14">
        <f>IF(T292="","",MAX(0,T292*VLOOKUP(T292,'税率及规则'!$A$2:$C$8,2,TRUE)-VLOOKUP(T292,'税率及规则'!$A$2:$C$8,3,TRUE)))</f>
        <v/>
      </c>
      <c r="Z292" s="14">
        <f>IF(X292="","",MAX(0,X292-Y292))</f>
        <v/>
      </c>
      <c r="AA292" s="16">
        <f>IF(G292="","",G292)</f>
        <v/>
      </c>
      <c r="AB292" s="16">
        <f>IF(AA292="","",EDATE(AA292,36))</f>
        <v/>
      </c>
      <c r="AC292" s="6">
        <f>IF(A292="","",IF(COUNTIF($A$2:$A$501,A292)&gt;1,"异常：事件编号重复",IF(OR(C292="",D292="",E292="",F292="",G292="",I292="",J292=""),"异常：必填项缺失",IF(OR(I292&lt;=0,J292&lt;0),"异常：数量或价格无效",IF(AND(F292="限制性股票",OR(M292&lt;=0,N292&lt;0,I292&gt;M292)),"异常：个人获授或出资数据无效",IF(AND(F292="股票期权",K292&lt;&gt;IF(G292&lt;DATE(2025,1,10),14.56,IF(G292&lt;DATE(2025,4,29),14.32,IF(G292&lt;DATE(2025,9,26),14.18,14.04)))),"异常：行权价格区间不符",IF(Q292&lt;&gt;"已备案","提示：未确认备案","正常")))))))</f>
        <v/>
      </c>
      <c r="AD292" s="11" t="n"/>
    </row>
    <row r="293">
      <c r="A293" s="11" t="n"/>
      <c r="B293" s="6">
        <f>IF(A293="","",A293&amp;"-TAX")</f>
        <v/>
      </c>
      <c r="C293" s="11" t="n"/>
      <c r="D293" s="11" t="n"/>
      <c r="E293" s="11" t="n"/>
      <c r="F293" s="11" t="n"/>
      <c r="G293" s="12" t="n"/>
      <c r="H293" s="6">
        <f>IF(G293="","",YEAR(G293))</f>
        <v/>
      </c>
      <c r="I293" s="11" t="n"/>
      <c r="J293" s="13" t="n"/>
      <c r="K293" s="14">
        <f>IF(F293="股票期权",IF(G293="","",IF(G293&lt;DATE(2025,1,10),14.56,IF(G293&lt;DATE(2025,4,29),14.32,IF(G293&lt;DATE(2025,9,26),14.18,14.04)))),IF(F293="限制性股票",8.68,""))</f>
        <v/>
      </c>
      <c r="L293" s="14">
        <f>IF(F293="限制性股票",13.06,"")</f>
        <v/>
      </c>
      <c r="M293" s="11" t="n"/>
      <c r="N293" s="13" t="n"/>
      <c r="O293" s="13" t="n"/>
      <c r="P293" s="12" t="n"/>
      <c r="Q293" s="11" t="n"/>
      <c r="R293" s="12" t="n"/>
      <c r="S293" s="14">
        <f>IF(OR(A293="",C293="",F293="",G293="",I293="",J293=""),"",IF(F293="股票期权",MAX(0,(J293-K293)*I293),IF(F293="限制性股票",IF(OR(L293="",M293="",M293&lt;=0,N293=""),"",MAX(0,((L293+J293)/2)*I293-N293*I293/M293)),MAX(0,O293))))</f>
        <v/>
      </c>
      <c r="T293" s="14">
        <f>IF(S293="","",SUMIFS($S$2:$S$501,$C$2:$C$501,C293,$H$2:$H$501,H293,$G$2:$G$501,"&lt;"&amp;G293)+SUMIFS($S$2:$S$501,$C$2:$C$501,C293,$H$2:$H$501,H293,$G$2:$G$501,G293,$A$2:$A$501,"&lt;"&amp;A293))</f>
        <v/>
      </c>
      <c r="U293" s="14">
        <f>IF(S293="","",T293+S293)</f>
        <v/>
      </c>
      <c r="V293" s="15">
        <f>IF(U293="","",VLOOKUP(U293,'税率及规则'!$A$2:$C$8,2,TRUE))</f>
        <v/>
      </c>
      <c r="W293" s="14">
        <f>IF(U293="","",VLOOKUP(U293,'税率及规则'!$A$2:$C$8,3,TRUE))</f>
        <v/>
      </c>
      <c r="X293" s="14">
        <f>IF(U293="","",MAX(0,U293*V293-W293))</f>
        <v/>
      </c>
      <c r="Y293" s="14">
        <f>IF(T293="","",MAX(0,T293*VLOOKUP(T293,'税率及规则'!$A$2:$C$8,2,TRUE)-VLOOKUP(T293,'税率及规则'!$A$2:$C$8,3,TRUE)))</f>
        <v/>
      </c>
      <c r="Z293" s="14">
        <f>IF(X293="","",MAX(0,X293-Y293))</f>
        <v/>
      </c>
      <c r="AA293" s="16">
        <f>IF(G293="","",G293)</f>
        <v/>
      </c>
      <c r="AB293" s="16">
        <f>IF(AA293="","",EDATE(AA293,36))</f>
        <v/>
      </c>
      <c r="AC293" s="6">
        <f>IF(A293="","",IF(COUNTIF($A$2:$A$501,A293)&gt;1,"异常：事件编号重复",IF(OR(C293="",D293="",E293="",F293="",G293="",I293="",J293=""),"异常：必填项缺失",IF(OR(I293&lt;=0,J293&lt;0),"异常：数量或价格无效",IF(AND(F293="限制性股票",OR(M293&lt;=0,N293&lt;0,I293&gt;M293)),"异常：个人获授或出资数据无效",IF(AND(F293="股票期权",K293&lt;&gt;IF(G293&lt;DATE(2025,1,10),14.56,IF(G293&lt;DATE(2025,4,29),14.32,IF(G293&lt;DATE(2025,9,26),14.18,14.04)))),"异常：行权价格区间不符",IF(Q293&lt;&gt;"已备案","提示：未确认备案","正常")))))))</f>
        <v/>
      </c>
      <c r="AD293" s="11" t="n"/>
    </row>
    <row r="294">
      <c r="A294" s="11" t="n"/>
      <c r="B294" s="6">
        <f>IF(A294="","",A294&amp;"-TAX")</f>
        <v/>
      </c>
      <c r="C294" s="11" t="n"/>
      <c r="D294" s="11" t="n"/>
      <c r="E294" s="11" t="n"/>
      <c r="F294" s="11" t="n"/>
      <c r="G294" s="12" t="n"/>
      <c r="H294" s="6">
        <f>IF(G294="","",YEAR(G294))</f>
        <v/>
      </c>
      <c r="I294" s="11" t="n"/>
      <c r="J294" s="13" t="n"/>
      <c r="K294" s="14">
        <f>IF(F294="股票期权",IF(G294="","",IF(G294&lt;DATE(2025,1,10),14.56,IF(G294&lt;DATE(2025,4,29),14.32,IF(G294&lt;DATE(2025,9,26),14.18,14.04)))),IF(F294="限制性股票",8.68,""))</f>
        <v/>
      </c>
      <c r="L294" s="14">
        <f>IF(F294="限制性股票",13.06,"")</f>
        <v/>
      </c>
      <c r="M294" s="11" t="n"/>
      <c r="N294" s="13" t="n"/>
      <c r="O294" s="13" t="n"/>
      <c r="P294" s="12" t="n"/>
      <c r="Q294" s="11" t="n"/>
      <c r="R294" s="12" t="n"/>
      <c r="S294" s="14">
        <f>IF(OR(A294="",C294="",F294="",G294="",I294="",J294=""),"",IF(F294="股票期权",MAX(0,(J294-K294)*I294),IF(F294="限制性股票",IF(OR(L294="",M294="",M294&lt;=0,N294=""),"",MAX(0,((L294+J294)/2)*I294-N294*I294/M294)),MAX(0,O294))))</f>
        <v/>
      </c>
      <c r="T294" s="14">
        <f>IF(S294="","",SUMIFS($S$2:$S$501,$C$2:$C$501,C294,$H$2:$H$501,H294,$G$2:$G$501,"&lt;"&amp;G294)+SUMIFS($S$2:$S$501,$C$2:$C$501,C294,$H$2:$H$501,H294,$G$2:$G$501,G294,$A$2:$A$501,"&lt;"&amp;A294))</f>
        <v/>
      </c>
      <c r="U294" s="14">
        <f>IF(S294="","",T294+S294)</f>
        <v/>
      </c>
      <c r="V294" s="15">
        <f>IF(U294="","",VLOOKUP(U294,'税率及规则'!$A$2:$C$8,2,TRUE))</f>
        <v/>
      </c>
      <c r="W294" s="14">
        <f>IF(U294="","",VLOOKUP(U294,'税率及规则'!$A$2:$C$8,3,TRUE))</f>
        <v/>
      </c>
      <c r="X294" s="14">
        <f>IF(U294="","",MAX(0,U294*V294-W294))</f>
        <v/>
      </c>
      <c r="Y294" s="14">
        <f>IF(T294="","",MAX(0,T294*VLOOKUP(T294,'税率及规则'!$A$2:$C$8,2,TRUE)-VLOOKUP(T294,'税率及规则'!$A$2:$C$8,3,TRUE)))</f>
        <v/>
      </c>
      <c r="Z294" s="14">
        <f>IF(X294="","",MAX(0,X294-Y294))</f>
        <v/>
      </c>
      <c r="AA294" s="16">
        <f>IF(G294="","",G294)</f>
        <v/>
      </c>
      <c r="AB294" s="16">
        <f>IF(AA294="","",EDATE(AA294,36))</f>
        <v/>
      </c>
      <c r="AC294" s="6">
        <f>IF(A294="","",IF(COUNTIF($A$2:$A$501,A294)&gt;1,"异常：事件编号重复",IF(OR(C294="",D294="",E294="",F294="",G294="",I294="",J294=""),"异常：必填项缺失",IF(OR(I294&lt;=0,J294&lt;0),"异常：数量或价格无效",IF(AND(F294="限制性股票",OR(M294&lt;=0,N294&lt;0,I294&gt;M294)),"异常：个人获授或出资数据无效",IF(AND(F294="股票期权",K294&lt;&gt;IF(G294&lt;DATE(2025,1,10),14.56,IF(G294&lt;DATE(2025,4,29),14.32,IF(G294&lt;DATE(2025,9,26),14.18,14.04)))),"异常：行权价格区间不符",IF(Q294&lt;&gt;"已备案","提示：未确认备案","正常")))))))</f>
        <v/>
      </c>
      <c r="AD294" s="11" t="n"/>
    </row>
    <row r="295">
      <c r="A295" s="11" t="n"/>
      <c r="B295" s="6">
        <f>IF(A295="","",A295&amp;"-TAX")</f>
        <v/>
      </c>
      <c r="C295" s="11" t="n"/>
      <c r="D295" s="11" t="n"/>
      <c r="E295" s="11" t="n"/>
      <c r="F295" s="11" t="n"/>
      <c r="G295" s="12" t="n"/>
      <c r="H295" s="6">
        <f>IF(G295="","",YEAR(G295))</f>
        <v/>
      </c>
      <c r="I295" s="11" t="n"/>
      <c r="J295" s="13" t="n"/>
      <c r="K295" s="14">
        <f>IF(F295="股票期权",IF(G295="","",IF(G295&lt;DATE(2025,1,10),14.56,IF(G295&lt;DATE(2025,4,29),14.32,IF(G295&lt;DATE(2025,9,26),14.18,14.04)))),IF(F295="限制性股票",8.68,""))</f>
        <v/>
      </c>
      <c r="L295" s="14">
        <f>IF(F295="限制性股票",13.06,"")</f>
        <v/>
      </c>
      <c r="M295" s="11" t="n"/>
      <c r="N295" s="13" t="n"/>
      <c r="O295" s="13" t="n"/>
      <c r="P295" s="12" t="n"/>
      <c r="Q295" s="11" t="n"/>
      <c r="R295" s="12" t="n"/>
      <c r="S295" s="14">
        <f>IF(OR(A295="",C295="",F295="",G295="",I295="",J295=""),"",IF(F295="股票期权",MAX(0,(J295-K295)*I295),IF(F295="限制性股票",IF(OR(L295="",M295="",M295&lt;=0,N295=""),"",MAX(0,((L295+J295)/2)*I295-N295*I295/M295)),MAX(0,O295))))</f>
        <v/>
      </c>
      <c r="T295" s="14">
        <f>IF(S295="","",SUMIFS($S$2:$S$501,$C$2:$C$501,C295,$H$2:$H$501,H295,$G$2:$G$501,"&lt;"&amp;G295)+SUMIFS($S$2:$S$501,$C$2:$C$501,C295,$H$2:$H$501,H295,$G$2:$G$501,G295,$A$2:$A$501,"&lt;"&amp;A295))</f>
        <v/>
      </c>
      <c r="U295" s="14">
        <f>IF(S295="","",T295+S295)</f>
        <v/>
      </c>
      <c r="V295" s="15">
        <f>IF(U295="","",VLOOKUP(U295,'税率及规则'!$A$2:$C$8,2,TRUE))</f>
        <v/>
      </c>
      <c r="W295" s="14">
        <f>IF(U295="","",VLOOKUP(U295,'税率及规则'!$A$2:$C$8,3,TRUE))</f>
        <v/>
      </c>
      <c r="X295" s="14">
        <f>IF(U295="","",MAX(0,U295*V295-W295))</f>
        <v/>
      </c>
      <c r="Y295" s="14">
        <f>IF(T295="","",MAX(0,T295*VLOOKUP(T295,'税率及规则'!$A$2:$C$8,2,TRUE)-VLOOKUP(T295,'税率及规则'!$A$2:$C$8,3,TRUE)))</f>
        <v/>
      </c>
      <c r="Z295" s="14">
        <f>IF(X295="","",MAX(0,X295-Y295))</f>
        <v/>
      </c>
      <c r="AA295" s="16">
        <f>IF(G295="","",G295)</f>
        <v/>
      </c>
      <c r="AB295" s="16">
        <f>IF(AA295="","",EDATE(AA295,36))</f>
        <v/>
      </c>
      <c r="AC295" s="6">
        <f>IF(A295="","",IF(COUNTIF($A$2:$A$501,A295)&gt;1,"异常：事件编号重复",IF(OR(C295="",D295="",E295="",F295="",G295="",I295="",J295=""),"异常：必填项缺失",IF(OR(I295&lt;=0,J295&lt;0),"异常：数量或价格无效",IF(AND(F295="限制性股票",OR(M295&lt;=0,N295&lt;0,I295&gt;M295)),"异常：个人获授或出资数据无效",IF(AND(F295="股票期权",K295&lt;&gt;IF(G295&lt;DATE(2025,1,10),14.56,IF(G295&lt;DATE(2025,4,29),14.32,IF(G295&lt;DATE(2025,9,26),14.18,14.04)))),"异常：行权价格区间不符",IF(Q295&lt;&gt;"已备案","提示：未确认备案","正常")))))))</f>
        <v/>
      </c>
      <c r="AD295" s="11" t="n"/>
    </row>
    <row r="296">
      <c r="A296" s="11" t="n"/>
      <c r="B296" s="6">
        <f>IF(A296="","",A296&amp;"-TAX")</f>
        <v/>
      </c>
      <c r="C296" s="11" t="n"/>
      <c r="D296" s="11" t="n"/>
      <c r="E296" s="11" t="n"/>
      <c r="F296" s="11" t="n"/>
      <c r="G296" s="12" t="n"/>
      <c r="H296" s="6">
        <f>IF(G296="","",YEAR(G296))</f>
        <v/>
      </c>
      <c r="I296" s="11" t="n"/>
      <c r="J296" s="13" t="n"/>
      <c r="K296" s="14">
        <f>IF(F296="股票期权",IF(G296="","",IF(G296&lt;DATE(2025,1,10),14.56,IF(G296&lt;DATE(2025,4,29),14.32,IF(G296&lt;DATE(2025,9,26),14.18,14.04)))),IF(F296="限制性股票",8.68,""))</f>
        <v/>
      </c>
      <c r="L296" s="14">
        <f>IF(F296="限制性股票",13.06,"")</f>
        <v/>
      </c>
      <c r="M296" s="11" t="n"/>
      <c r="N296" s="13" t="n"/>
      <c r="O296" s="13" t="n"/>
      <c r="P296" s="12" t="n"/>
      <c r="Q296" s="11" t="n"/>
      <c r="R296" s="12" t="n"/>
      <c r="S296" s="14">
        <f>IF(OR(A296="",C296="",F296="",G296="",I296="",J296=""),"",IF(F296="股票期权",MAX(0,(J296-K296)*I296),IF(F296="限制性股票",IF(OR(L296="",M296="",M296&lt;=0,N296=""),"",MAX(0,((L296+J296)/2)*I296-N296*I296/M296)),MAX(0,O296))))</f>
        <v/>
      </c>
      <c r="T296" s="14">
        <f>IF(S296="","",SUMIFS($S$2:$S$501,$C$2:$C$501,C296,$H$2:$H$501,H296,$G$2:$G$501,"&lt;"&amp;G296)+SUMIFS($S$2:$S$501,$C$2:$C$501,C296,$H$2:$H$501,H296,$G$2:$G$501,G296,$A$2:$A$501,"&lt;"&amp;A296))</f>
        <v/>
      </c>
      <c r="U296" s="14">
        <f>IF(S296="","",T296+S296)</f>
        <v/>
      </c>
      <c r="V296" s="15">
        <f>IF(U296="","",VLOOKUP(U296,'税率及规则'!$A$2:$C$8,2,TRUE))</f>
        <v/>
      </c>
      <c r="W296" s="14">
        <f>IF(U296="","",VLOOKUP(U296,'税率及规则'!$A$2:$C$8,3,TRUE))</f>
        <v/>
      </c>
      <c r="X296" s="14">
        <f>IF(U296="","",MAX(0,U296*V296-W296))</f>
        <v/>
      </c>
      <c r="Y296" s="14">
        <f>IF(T296="","",MAX(0,T296*VLOOKUP(T296,'税率及规则'!$A$2:$C$8,2,TRUE)-VLOOKUP(T296,'税率及规则'!$A$2:$C$8,3,TRUE)))</f>
        <v/>
      </c>
      <c r="Z296" s="14">
        <f>IF(X296="","",MAX(0,X296-Y296))</f>
        <v/>
      </c>
      <c r="AA296" s="16">
        <f>IF(G296="","",G296)</f>
        <v/>
      </c>
      <c r="AB296" s="16">
        <f>IF(AA296="","",EDATE(AA296,36))</f>
        <v/>
      </c>
      <c r="AC296" s="6">
        <f>IF(A296="","",IF(COUNTIF($A$2:$A$501,A296)&gt;1,"异常：事件编号重复",IF(OR(C296="",D296="",E296="",F296="",G296="",I296="",J296=""),"异常：必填项缺失",IF(OR(I296&lt;=0,J296&lt;0),"异常：数量或价格无效",IF(AND(F296="限制性股票",OR(M296&lt;=0,N296&lt;0,I296&gt;M296)),"异常：个人获授或出资数据无效",IF(AND(F296="股票期权",K296&lt;&gt;IF(G296&lt;DATE(2025,1,10),14.56,IF(G296&lt;DATE(2025,4,29),14.32,IF(G296&lt;DATE(2025,9,26),14.18,14.04)))),"异常：行权价格区间不符",IF(Q296&lt;&gt;"已备案","提示：未确认备案","正常")))))))</f>
        <v/>
      </c>
      <c r="AD296" s="11" t="n"/>
    </row>
    <row r="297">
      <c r="A297" s="11" t="n"/>
      <c r="B297" s="6">
        <f>IF(A297="","",A297&amp;"-TAX")</f>
        <v/>
      </c>
      <c r="C297" s="11" t="n"/>
      <c r="D297" s="11" t="n"/>
      <c r="E297" s="11" t="n"/>
      <c r="F297" s="11" t="n"/>
      <c r="G297" s="12" t="n"/>
      <c r="H297" s="6">
        <f>IF(G297="","",YEAR(G297))</f>
        <v/>
      </c>
      <c r="I297" s="11" t="n"/>
      <c r="J297" s="13" t="n"/>
      <c r="K297" s="14">
        <f>IF(F297="股票期权",IF(G297="","",IF(G297&lt;DATE(2025,1,10),14.56,IF(G297&lt;DATE(2025,4,29),14.32,IF(G297&lt;DATE(2025,9,26),14.18,14.04)))),IF(F297="限制性股票",8.68,""))</f>
        <v/>
      </c>
      <c r="L297" s="14">
        <f>IF(F297="限制性股票",13.06,"")</f>
        <v/>
      </c>
      <c r="M297" s="11" t="n"/>
      <c r="N297" s="13" t="n"/>
      <c r="O297" s="13" t="n"/>
      <c r="P297" s="12" t="n"/>
      <c r="Q297" s="11" t="n"/>
      <c r="R297" s="12" t="n"/>
      <c r="S297" s="14">
        <f>IF(OR(A297="",C297="",F297="",G297="",I297="",J297=""),"",IF(F297="股票期权",MAX(0,(J297-K297)*I297),IF(F297="限制性股票",IF(OR(L297="",M297="",M297&lt;=0,N297=""),"",MAX(0,((L297+J297)/2)*I297-N297*I297/M297)),MAX(0,O297))))</f>
        <v/>
      </c>
      <c r="T297" s="14">
        <f>IF(S297="","",SUMIFS($S$2:$S$501,$C$2:$C$501,C297,$H$2:$H$501,H297,$G$2:$G$501,"&lt;"&amp;G297)+SUMIFS($S$2:$S$501,$C$2:$C$501,C297,$H$2:$H$501,H297,$G$2:$G$501,G297,$A$2:$A$501,"&lt;"&amp;A297))</f>
        <v/>
      </c>
      <c r="U297" s="14">
        <f>IF(S297="","",T297+S297)</f>
        <v/>
      </c>
      <c r="V297" s="15">
        <f>IF(U297="","",VLOOKUP(U297,'税率及规则'!$A$2:$C$8,2,TRUE))</f>
        <v/>
      </c>
      <c r="W297" s="14">
        <f>IF(U297="","",VLOOKUP(U297,'税率及规则'!$A$2:$C$8,3,TRUE))</f>
        <v/>
      </c>
      <c r="X297" s="14">
        <f>IF(U297="","",MAX(0,U297*V297-W297))</f>
        <v/>
      </c>
      <c r="Y297" s="14">
        <f>IF(T297="","",MAX(0,T297*VLOOKUP(T297,'税率及规则'!$A$2:$C$8,2,TRUE)-VLOOKUP(T297,'税率及规则'!$A$2:$C$8,3,TRUE)))</f>
        <v/>
      </c>
      <c r="Z297" s="14">
        <f>IF(X297="","",MAX(0,X297-Y297))</f>
        <v/>
      </c>
      <c r="AA297" s="16">
        <f>IF(G297="","",G297)</f>
        <v/>
      </c>
      <c r="AB297" s="16">
        <f>IF(AA297="","",EDATE(AA297,36))</f>
        <v/>
      </c>
      <c r="AC297" s="6">
        <f>IF(A297="","",IF(COUNTIF($A$2:$A$501,A297)&gt;1,"异常：事件编号重复",IF(OR(C297="",D297="",E297="",F297="",G297="",I297="",J297=""),"异常：必填项缺失",IF(OR(I297&lt;=0,J297&lt;0),"异常：数量或价格无效",IF(AND(F297="限制性股票",OR(M297&lt;=0,N297&lt;0,I297&gt;M297)),"异常：个人获授或出资数据无效",IF(AND(F297="股票期权",K297&lt;&gt;IF(G297&lt;DATE(2025,1,10),14.56,IF(G297&lt;DATE(2025,4,29),14.32,IF(G297&lt;DATE(2025,9,26),14.18,14.04)))),"异常：行权价格区间不符",IF(Q297&lt;&gt;"已备案","提示：未确认备案","正常")))))))</f>
        <v/>
      </c>
      <c r="AD297" s="11" t="n"/>
    </row>
    <row r="298">
      <c r="A298" s="11" t="n"/>
      <c r="B298" s="6">
        <f>IF(A298="","",A298&amp;"-TAX")</f>
        <v/>
      </c>
      <c r="C298" s="11" t="n"/>
      <c r="D298" s="11" t="n"/>
      <c r="E298" s="11" t="n"/>
      <c r="F298" s="11" t="n"/>
      <c r="G298" s="12" t="n"/>
      <c r="H298" s="6">
        <f>IF(G298="","",YEAR(G298))</f>
        <v/>
      </c>
      <c r="I298" s="11" t="n"/>
      <c r="J298" s="13" t="n"/>
      <c r="K298" s="14">
        <f>IF(F298="股票期权",IF(G298="","",IF(G298&lt;DATE(2025,1,10),14.56,IF(G298&lt;DATE(2025,4,29),14.32,IF(G298&lt;DATE(2025,9,26),14.18,14.04)))),IF(F298="限制性股票",8.68,""))</f>
        <v/>
      </c>
      <c r="L298" s="14">
        <f>IF(F298="限制性股票",13.06,"")</f>
        <v/>
      </c>
      <c r="M298" s="11" t="n"/>
      <c r="N298" s="13" t="n"/>
      <c r="O298" s="13" t="n"/>
      <c r="P298" s="12" t="n"/>
      <c r="Q298" s="11" t="n"/>
      <c r="R298" s="12" t="n"/>
      <c r="S298" s="14">
        <f>IF(OR(A298="",C298="",F298="",G298="",I298="",J298=""),"",IF(F298="股票期权",MAX(0,(J298-K298)*I298),IF(F298="限制性股票",IF(OR(L298="",M298="",M298&lt;=0,N298=""),"",MAX(0,((L298+J298)/2)*I298-N298*I298/M298)),MAX(0,O298))))</f>
        <v/>
      </c>
      <c r="T298" s="14">
        <f>IF(S298="","",SUMIFS($S$2:$S$501,$C$2:$C$501,C298,$H$2:$H$501,H298,$G$2:$G$501,"&lt;"&amp;G298)+SUMIFS($S$2:$S$501,$C$2:$C$501,C298,$H$2:$H$501,H298,$G$2:$G$501,G298,$A$2:$A$501,"&lt;"&amp;A298))</f>
        <v/>
      </c>
      <c r="U298" s="14">
        <f>IF(S298="","",T298+S298)</f>
        <v/>
      </c>
      <c r="V298" s="15">
        <f>IF(U298="","",VLOOKUP(U298,'税率及规则'!$A$2:$C$8,2,TRUE))</f>
        <v/>
      </c>
      <c r="W298" s="14">
        <f>IF(U298="","",VLOOKUP(U298,'税率及规则'!$A$2:$C$8,3,TRUE))</f>
        <v/>
      </c>
      <c r="X298" s="14">
        <f>IF(U298="","",MAX(0,U298*V298-W298))</f>
        <v/>
      </c>
      <c r="Y298" s="14">
        <f>IF(T298="","",MAX(0,T298*VLOOKUP(T298,'税率及规则'!$A$2:$C$8,2,TRUE)-VLOOKUP(T298,'税率及规则'!$A$2:$C$8,3,TRUE)))</f>
        <v/>
      </c>
      <c r="Z298" s="14">
        <f>IF(X298="","",MAX(0,X298-Y298))</f>
        <v/>
      </c>
      <c r="AA298" s="16">
        <f>IF(G298="","",G298)</f>
        <v/>
      </c>
      <c r="AB298" s="16">
        <f>IF(AA298="","",EDATE(AA298,36))</f>
        <v/>
      </c>
      <c r="AC298" s="6">
        <f>IF(A298="","",IF(COUNTIF($A$2:$A$501,A298)&gt;1,"异常：事件编号重复",IF(OR(C298="",D298="",E298="",F298="",G298="",I298="",J298=""),"异常：必填项缺失",IF(OR(I298&lt;=0,J298&lt;0),"异常：数量或价格无效",IF(AND(F298="限制性股票",OR(M298&lt;=0,N298&lt;0,I298&gt;M298)),"异常：个人获授或出资数据无效",IF(AND(F298="股票期权",K298&lt;&gt;IF(G298&lt;DATE(2025,1,10),14.56,IF(G298&lt;DATE(2025,4,29),14.32,IF(G298&lt;DATE(2025,9,26),14.18,14.04)))),"异常：行权价格区间不符",IF(Q298&lt;&gt;"已备案","提示：未确认备案","正常")))))))</f>
        <v/>
      </c>
      <c r="AD298" s="11" t="n"/>
    </row>
    <row r="299">
      <c r="A299" s="11" t="n"/>
      <c r="B299" s="6">
        <f>IF(A299="","",A299&amp;"-TAX")</f>
        <v/>
      </c>
      <c r="C299" s="11" t="n"/>
      <c r="D299" s="11" t="n"/>
      <c r="E299" s="11" t="n"/>
      <c r="F299" s="11" t="n"/>
      <c r="G299" s="12" t="n"/>
      <c r="H299" s="6">
        <f>IF(G299="","",YEAR(G299))</f>
        <v/>
      </c>
      <c r="I299" s="11" t="n"/>
      <c r="J299" s="13" t="n"/>
      <c r="K299" s="14">
        <f>IF(F299="股票期权",IF(G299="","",IF(G299&lt;DATE(2025,1,10),14.56,IF(G299&lt;DATE(2025,4,29),14.32,IF(G299&lt;DATE(2025,9,26),14.18,14.04)))),IF(F299="限制性股票",8.68,""))</f>
        <v/>
      </c>
      <c r="L299" s="14">
        <f>IF(F299="限制性股票",13.06,"")</f>
        <v/>
      </c>
      <c r="M299" s="11" t="n"/>
      <c r="N299" s="13" t="n"/>
      <c r="O299" s="13" t="n"/>
      <c r="P299" s="12" t="n"/>
      <c r="Q299" s="11" t="n"/>
      <c r="R299" s="12" t="n"/>
      <c r="S299" s="14">
        <f>IF(OR(A299="",C299="",F299="",G299="",I299="",J299=""),"",IF(F299="股票期权",MAX(0,(J299-K299)*I299),IF(F299="限制性股票",IF(OR(L299="",M299="",M299&lt;=0,N299=""),"",MAX(0,((L299+J299)/2)*I299-N299*I299/M299)),MAX(0,O299))))</f>
        <v/>
      </c>
      <c r="T299" s="14">
        <f>IF(S299="","",SUMIFS($S$2:$S$501,$C$2:$C$501,C299,$H$2:$H$501,H299,$G$2:$G$501,"&lt;"&amp;G299)+SUMIFS($S$2:$S$501,$C$2:$C$501,C299,$H$2:$H$501,H299,$G$2:$G$501,G299,$A$2:$A$501,"&lt;"&amp;A299))</f>
        <v/>
      </c>
      <c r="U299" s="14">
        <f>IF(S299="","",T299+S299)</f>
        <v/>
      </c>
      <c r="V299" s="15">
        <f>IF(U299="","",VLOOKUP(U299,'税率及规则'!$A$2:$C$8,2,TRUE))</f>
        <v/>
      </c>
      <c r="W299" s="14">
        <f>IF(U299="","",VLOOKUP(U299,'税率及规则'!$A$2:$C$8,3,TRUE))</f>
        <v/>
      </c>
      <c r="X299" s="14">
        <f>IF(U299="","",MAX(0,U299*V299-W299))</f>
        <v/>
      </c>
      <c r="Y299" s="14">
        <f>IF(T299="","",MAX(0,T299*VLOOKUP(T299,'税率及规则'!$A$2:$C$8,2,TRUE)-VLOOKUP(T299,'税率及规则'!$A$2:$C$8,3,TRUE)))</f>
        <v/>
      </c>
      <c r="Z299" s="14">
        <f>IF(X299="","",MAX(0,X299-Y299))</f>
        <v/>
      </c>
      <c r="AA299" s="16">
        <f>IF(G299="","",G299)</f>
        <v/>
      </c>
      <c r="AB299" s="16">
        <f>IF(AA299="","",EDATE(AA299,36))</f>
        <v/>
      </c>
      <c r="AC299" s="6">
        <f>IF(A299="","",IF(COUNTIF($A$2:$A$501,A299)&gt;1,"异常：事件编号重复",IF(OR(C299="",D299="",E299="",F299="",G299="",I299="",J299=""),"异常：必填项缺失",IF(OR(I299&lt;=0,J299&lt;0),"异常：数量或价格无效",IF(AND(F299="限制性股票",OR(M299&lt;=0,N299&lt;0,I299&gt;M299)),"异常：个人获授或出资数据无效",IF(AND(F299="股票期权",K299&lt;&gt;IF(G299&lt;DATE(2025,1,10),14.56,IF(G299&lt;DATE(2025,4,29),14.32,IF(G299&lt;DATE(2025,9,26),14.18,14.04)))),"异常：行权价格区间不符",IF(Q299&lt;&gt;"已备案","提示：未确认备案","正常")))))))</f>
        <v/>
      </c>
      <c r="AD299" s="11" t="n"/>
    </row>
    <row r="300">
      <c r="A300" s="11" t="n"/>
      <c r="B300" s="6">
        <f>IF(A300="","",A300&amp;"-TAX")</f>
        <v/>
      </c>
      <c r="C300" s="11" t="n"/>
      <c r="D300" s="11" t="n"/>
      <c r="E300" s="11" t="n"/>
      <c r="F300" s="11" t="n"/>
      <c r="G300" s="12" t="n"/>
      <c r="H300" s="6">
        <f>IF(G300="","",YEAR(G300))</f>
        <v/>
      </c>
      <c r="I300" s="11" t="n"/>
      <c r="J300" s="13" t="n"/>
      <c r="K300" s="14">
        <f>IF(F300="股票期权",IF(G300="","",IF(G300&lt;DATE(2025,1,10),14.56,IF(G300&lt;DATE(2025,4,29),14.32,IF(G300&lt;DATE(2025,9,26),14.18,14.04)))),IF(F300="限制性股票",8.68,""))</f>
        <v/>
      </c>
      <c r="L300" s="14">
        <f>IF(F300="限制性股票",13.06,"")</f>
        <v/>
      </c>
      <c r="M300" s="11" t="n"/>
      <c r="N300" s="13" t="n"/>
      <c r="O300" s="13" t="n"/>
      <c r="P300" s="12" t="n"/>
      <c r="Q300" s="11" t="n"/>
      <c r="R300" s="12" t="n"/>
      <c r="S300" s="14">
        <f>IF(OR(A300="",C300="",F300="",G300="",I300="",J300=""),"",IF(F300="股票期权",MAX(0,(J300-K300)*I300),IF(F300="限制性股票",IF(OR(L300="",M300="",M300&lt;=0,N300=""),"",MAX(0,((L300+J300)/2)*I300-N300*I300/M300)),MAX(0,O300))))</f>
        <v/>
      </c>
      <c r="T300" s="14">
        <f>IF(S300="","",SUMIFS($S$2:$S$501,$C$2:$C$501,C300,$H$2:$H$501,H300,$G$2:$G$501,"&lt;"&amp;G300)+SUMIFS($S$2:$S$501,$C$2:$C$501,C300,$H$2:$H$501,H300,$G$2:$G$501,G300,$A$2:$A$501,"&lt;"&amp;A300))</f>
        <v/>
      </c>
      <c r="U300" s="14">
        <f>IF(S300="","",T300+S300)</f>
        <v/>
      </c>
      <c r="V300" s="15">
        <f>IF(U300="","",VLOOKUP(U300,'税率及规则'!$A$2:$C$8,2,TRUE))</f>
        <v/>
      </c>
      <c r="W300" s="14">
        <f>IF(U300="","",VLOOKUP(U300,'税率及规则'!$A$2:$C$8,3,TRUE))</f>
        <v/>
      </c>
      <c r="X300" s="14">
        <f>IF(U300="","",MAX(0,U300*V300-W300))</f>
        <v/>
      </c>
      <c r="Y300" s="14">
        <f>IF(T300="","",MAX(0,T300*VLOOKUP(T300,'税率及规则'!$A$2:$C$8,2,TRUE)-VLOOKUP(T300,'税率及规则'!$A$2:$C$8,3,TRUE)))</f>
        <v/>
      </c>
      <c r="Z300" s="14">
        <f>IF(X300="","",MAX(0,X300-Y300))</f>
        <v/>
      </c>
      <c r="AA300" s="16">
        <f>IF(G300="","",G300)</f>
        <v/>
      </c>
      <c r="AB300" s="16">
        <f>IF(AA300="","",EDATE(AA300,36))</f>
        <v/>
      </c>
      <c r="AC300" s="6">
        <f>IF(A300="","",IF(COUNTIF($A$2:$A$501,A300)&gt;1,"异常：事件编号重复",IF(OR(C300="",D300="",E300="",F300="",G300="",I300="",J300=""),"异常：必填项缺失",IF(OR(I300&lt;=0,J300&lt;0),"异常：数量或价格无效",IF(AND(F300="限制性股票",OR(M300&lt;=0,N300&lt;0,I300&gt;M300)),"异常：个人获授或出资数据无效",IF(AND(F300="股票期权",K300&lt;&gt;IF(G300&lt;DATE(2025,1,10),14.56,IF(G300&lt;DATE(2025,4,29),14.32,IF(G300&lt;DATE(2025,9,26),14.18,14.04)))),"异常：行权价格区间不符",IF(Q300&lt;&gt;"已备案","提示：未确认备案","正常")))))))</f>
        <v/>
      </c>
      <c r="AD300" s="11" t="n"/>
    </row>
    <row r="301">
      <c r="A301" s="11" t="n"/>
      <c r="B301" s="6">
        <f>IF(A301="","",A301&amp;"-TAX")</f>
        <v/>
      </c>
      <c r="C301" s="11" t="n"/>
      <c r="D301" s="11" t="n"/>
      <c r="E301" s="11" t="n"/>
      <c r="F301" s="11" t="n"/>
      <c r="G301" s="12" t="n"/>
      <c r="H301" s="6">
        <f>IF(G301="","",YEAR(G301))</f>
        <v/>
      </c>
      <c r="I301" s="11" t="n"/>
      <c r="J301" s="13" t="n"/>
      <c r="K301" s="14">
        <f>IF(F301="股票期权",IF(G301="","",IF(G301&lt;DATE(2025,1,10),14.56,IF(G301&lt;DATE(2025,4,29),14.32,IF(G301&lt;DATE(2025,9,26),14.18,14.04)))),IF(F301="限制性股票",8.68,""))</f>
        <v/>
      </c>
      <c r="L301" s="14">
        <f>IF(F301="限制性股票",13.06,"")</f>
        <v/>
      </c>
      <c r="M301" s="11" t="n"/>
      <c r="N301" s="13" t="n"/>
      <c r="O301" s="13" t="n"/>
      <c r="P301" s="12" t="n"/>
      <c r="Q301" s="11" t="n"/>
      <c r="R301" s="12" t="n"/>
      <c r="S301" s="14">
        <f>IF(OR(A301="",C301="",F301="",G301="",I301="",J301=""),"",IF(F301="股票期权",MAX(0,(J301-K301)*I301),IF(F301="限制性股票",IF(OR(L301="",M301="",M301&lt;=0,N301=""),"",MAX(0,((L301+J301)/2)*I301-N301*I301/M301)),MAX(0,O301))))</f>
        <v/>
      </c>
      <c r="T301" s="14">
        <f>IF(S301="","",SUMIFS($S$2:$S$501,$C$2:$C$501,C301,$H$2:$H$501,H301,$G$2:$G$501,"&lt;"&amp;G301)+SUMIFS($S$2:$S$501,$C$2:$C$501,C301,$H$2:$H$501,H301,$G$2:$G$501,G301,$A$2:$A$501,"&lt;"&amp;A301))</f>
        <v/>
      </c>
      <c r="U301" s="14">
        <f>IF(S301="","",T301+S301)</f>
        <v/>
      </c>
      <c r="V301" s="15">
        <f>IF(U301="","",VLOOKUP(U301,'税率及规则'!$A$2:$C$8,2,TRUE))</f>
        <v/>
      </c>
      <c r="W301" s="14">
        <f>IF(U301="","",VLOOKUP(U301,'税率及规则'!$A$2:$C$8,3,TRUE))</f>
        <v/>
      </c>
      <c r="X301" s="14">
        <f>IF(U301="","",MAX(0,U301*V301-W301))</f>
        <v/>
      </c>
      <c r="Y301" s="14">
        <f>IF(T301="","",MAX(0,T301*VLOOKUP(T301,'税率及规则'!$A$2:$C$8,2,TRUE)-VLOOKUP(T301,'税率及规则'!$A$2:$C$8,3,TRUE)))</f>
        <v/>
      </c>
      <c r="Z301" s="14">
        <f>IF(X301="","",MAX(0,X301-Y301))</f>
        <v/>
      </c>
      <c r="AA301" s="16">
        <f>IF(G301="","",G301)</f>
        <v/>
      </c>
      <c r="AB301" s="16">
        <f>IF(AA301="","",EDATE(AA301,36))</f>
        <v/>
      </c>
      <c r="AC301" s="6">
        <f>IF(A301="","",IF(COUNTIF($A$2:$A$501,A301)&gt;1,"异常：事件编号重复",IF(OR(C301="",D301="",E301="",F301="",G301="",I301="",J301=""),"异常：必填项缺失",IF(OR(I301&lt;=0,J301&lt;0),"异常：数量或价格无效",IF(AND(F301="限制性股票",OR(M301&lt;=0,N301&lt;0,I301&gt;M301)),"异常：个人获授或出资数据无效",IF(AND(F301="股票期权",K301&lt;&gt;IF(G301&lt;DATE(2025,1,10),14.56,IF(G301&lt;DATE(2025,4,29),14.32,IF(G301&lt;DATE(2025,9,26),14.18,14.04)))),"异常：行权价格区间不符",IF(Q301&lt;&gt;"已备案","提示：未确认备案","正常")))))))</f>
        <v/>
      </c>
      <c r="AD301" s="11" t="n"/>
    </row>
    <row r="302">
      <c r="A302" s="11" t="n"/>
      <c r="B302" s="6">
        <f>IF(A302="","",A302&amp;"-TAX")</f>
        <v/>
      </c>
      <c r="C302" s="11" t="n"/>
      <c r="D302" s="11" t="n"/>
      <c r="E302" s="11" t="n"/>
      <c r="F302" s="11" t="n"/>
      <c r="G302" s="12" t="n"/>
      <c r="H302" s="6">
        <f>IF(G302="","",YEAR(G302))</f>
        <v/>
      </c>
      <c r="I302" s="11" t="n"/>
      <c r="J302" s="13" t="n"/>
      <c r="K302" s="14">
        <f>IF(F302="股票期权",IF(G302="","",IF(G302&lt;DATE(2025,1,10),14.56,IF(G302&lt;DATE(2025,4,29),14.32,IF(G302&lt;DATE(2025,9,26),14.18,14.04)))),IF(F302="限制性股票",8.68,""))</f>
        <v/>
      </c>
      <c r="L302" s="14">
        <f>IF(F302="限制性股票",13.06,"")</f>
        <v/>
      </c>
      <c r="M302" s="11" t="n"/>
      <c r="N302" s="13" t="n"/>
      <c r="O302" s="13" t="n"/>
      <c r="P302" s="12" t="n"/>
      <c r="Q302" s="11" t="n"/>
      <c r="R302" s="12" t="n"/>
      <c r="S302" s="14">
        <f>IF(OR(A302="",C302="",F302="",G302="",I302="",J302=""),"",IF(F302="股票期权",MAX(0,(J302-K302)*I302),IF(F302="限制性股票",IF(OR(L302="",M302="",M302&lt;=0,N302=""),"",MAX(0,((L302+J302)/2)*I302-N302*I302/M302)),MAX(0,O302))))</f>
        <v/>
      </c>
      <c r="T302" s="14">
        <f>IF(S302="","",SUMIFS($S$2:$S$501,$C$2:$C$501,C302,$H$2:$H$501,H302,$G$2:$G$501,"&lt;"&amp;G302)+SUMIFS($S$2:$S$501,$C$2:$C$501,C302,$H$2:$H$501,H302,$G$2:$G$501,G302,$A$2:$A$501,"&lt;"&amp;A302))</f>
        <v/>
      </c>
      <c r="U302" s="14">
        <f>IF(S302="","",T302+S302)</f>
        <v/>
      </c>
      <c r="V302" s="15">
        <f>IF(U302="","",VLOOKUP(U302,'税率及规则'!$A$2:$C$8,2,TRUE))</f>
        <v/>
      </c>
      <c r="W302" s="14">
        <f>IF(U302="","",VLOOKUP(U302,'税率及规则'!$A$2:$C$8,3,TRUE))</f>
        <v/>
      </c>
      <c r="X302" s="14">
        <f>IF(U302="","",MAX(0,U302*V302-W302))</f>
        <v/>
      </c>
      <c r="Y302" s="14">
        <f>IF(T302="","",MAX(0,T302*VLOOKUP(T302,'税率及规则'!$A$2:$C$8,2,TRUE)-VLOOKUP(T302,'税率及规则'!$A$2:$C$8,3,TRUE)))</f>
        <v/>
      </c>
      <c r="Z302" s="14">
        <f>IF(X302="","",MAX(0,X302-Y302))</f>
        <v/>
      </c>
      <c r="AA302" s="16">
        <f>IF(G302="","",G302)</f>
        <v/>
      </c>
      <c r="AB302" s="16">
        <f>IF(AA302="","",EDATE(AA302,36))</f>
        <v/>
      </c>
      <c r="AC302" s="6">
        <f>IF(A302="","",IF(COUNTIF($A$2:$A$501,A302)&gt;1,"异常：事件编号重复",IF(OR(C302="",D302="",E302="",F302="",G302="",I302="",J302=""),"异常：必填项缺失",IF(OR(I302&lt;=0,J302&lt;0),"异常：数量或价格无效",IF(AND(F302="限制性股票",OR(M302&lt;=0,N302&lt;0,I302&gt;M302)),"异常：个人获授或出资数据无效",IF(AND(F302="股票期权",K302&lt;&gt;IF(G302&lt;DATE(2025,1,10),14.56,IF(G302&lt;DATE(2025,4,29),14.32,IF(G302&lt;DATE(2025,9,26),14.18,14.04)))),"异常：行权价格区间不符",IF(Q302&lt;&gt;"已备案","提示：未确认备案","正常")))))))</f>
        <v/>
      </c>
      <c r="AD302" s="11" t="n"/>
    </row>
    <row r="303">
      <c r="A303" s="11" t="n"/>
      <c r="B303" s="6">
        <f>IF(A303="","",A303&amp;"-TAX")</f>
        <v/>
      </c>
      <c r="C303" s="11" t="n"/>
      <c r="D303" s="11" t="n"/>
      <c r="E303" s="11" t="n"/>
      <c r="F303" s="11" t="n"/>
      <c r="G303" s="12" t="n"/>
      <c r="H303" s="6">
        <f>IF(G303="","",YEAR(G303))</f>
        <v/>
      </c>
      <c r="I303" s="11" t="n"/>
      <c r="J303" s="13" t="n"/>
      <c r="K303" s="14">
        <f>IF(F303="股票期权",IF(G303="","",IF(G303&lt;DATE(2025,1,10),14.56,IF(G303&lt;DATE(2025,4,29),14.32,IF(G303&lt;DATE(2025,9,26),14.18,14.04)))),IF(F303="限制性股票",8.68,""))</f>
        <v/>
      </c>
      <c r="L303" s="14">
        <f>IF(F303="限制性股票",13.06,"")</f>
        <v/>
      </c>
      <c r="M303" s="11" t="n"/>
      <c r="N303" s="13" t="n"/>
      <c r="O303" s="13" t="n"/>
      <c r="P303" s="12" t="n"/>
      <c r="Q303" s="11" t="n"/>
      <c r="R303" s="12" t="n"/>
      <c r="S303" s="14">
        <f>IF(OR(A303="",C303="",F303="",G303="",I303="",J303=""),"",IF(F303="股票期权",MAX(0,(J303-K303)*I303),IF(F303="限制性股票",IF(OR(L303="",M303="",M303&lt;=0,N303=""),"",MAX(0,((L303+J303)/2)*I303-N303*I303/M303)),MAX(0,O303))))</f>
        <v/>
      </c>
      <c r="T303" s="14">
        <f>IF(S303="","",SUMIFS($S$2:$S$501,$C$2:$C$501,C303,$H$2:$H$501,H303,$G$2:$G$501,"&lt;"&amp;G303)+SUMIFS($S$2:$S$501,$C$2:$C$501,C303,$H$2:$H$501,H303,$G$2:$G$501,G303,$A$2:$A$501,"&lt;"&amp;A303))</f>
        <v/>
      </c>
      <c r="U303" s="14">
        <f>IF(S303="","",T303+S303)</f>
        <v/>
      </c>
      <c r="V303" s="15">
        <f>IF(U303="","",VLOOKUP(U303,'税率及规则'!$A$2:$C$8,2,TRUE))</f>
        <v/>
      </c>
      <c r="W303" s="14">
        <f>IF(U303="","",VLOOKUP(U303,'税率及规则'!$A$2:$C$8,3,TRUE))</f>
        <v/>
      </c>
      <c r="X303" s="14">
        <f>IF(U303="","",MAX(0,U303*V303-W303))</f>
        <v/>
      </c>
      <c r="Y303" s="14">
        <f>IF(T303="","",MAX(0,T303*VLOOKUP(T303,'税率及规则'!$A$2:$C$8,2,TRUE)-VLOOKUP(T303,'税率及规则'!$A$2:$C$8,3,TRUE)))</f>
        <v/>
      </c>
      <c r="Z303" s="14">
        <f>IF(X303="","",MAX(0,X303-Y303))</f>
        <v/>
      </c>
      <c r="AA303" s="16">
        <f>IF(G303="","",G303)</f>
        <v/>
      </c>
      <c r="AB303" s="16">
        <f>IF(AA303="","",EDATE(AA303,36))</f>
        <v/>
      </c>
      <c r="AC303" s="6">
        <f>IF(A303="","",IF(COUNTIF($A$2:$A$501,A303)&gt;1,"异常：事件编号重复",IF(OR(C303="",D303="",E303="",F303="",G303="",I303="",J303=""),"异常：必填项缺失",IF(OR(I303&lt;=0,J303&lt;0),"异常：数量或价格无效",IF(AND(F303="限制性股票",OR(M303&lt;=0,N303&lt;0,I303&gt;M303)),"异常：个人获授或出资数据无效",IF(AND(F303="股票期权",K303&lt;&gt;IF(G303&lt;DATE(2025,1,10),14.56,IF(G303&lt;DATE(2025,4,29),14.32,IF(G303&lt;DATE(2025,9,26),14.18,14.04)))),"异常：行权价格区间不符",IF(Q303&lt;&gt;"已备案","提示：未确认备案","正常")))))))</f>
        <v/>
      </c>
      <c r="AD303" s="11" t="n"/>
    </row>
    <row r="304">
      <c r="A304" s="11" t="n"/>
      <c r="B304" s="6">
        <f>IF(A304="","",A304&amp;"-TAX")</f>
        <v/>
      </c>
      <c r="C304" s="11" t="n"/>
      <c r="D304" s="11" t="n"/>
      <c r="E304" s="11" t="n"/>
      <c r="F304" s="11" t="n"/>
      <c r="G304" s="12" t="n"/>
      <c r="H304" s="6">
        <f>IF(G304="","",YEAR(G304))</f>
        <v/>
      </c>
      <c r="I304" s="11" t="n"/>
      <c r="J304" s="13" t="n"/>
      <c r="K304" s="14">
        <f>IF(F304="股票期权",IF(G304="","",IF(G304&lt;DATE(2025,1,10),14.56,IF(G304&lt;DATE(2025,4,29),14.32,IF(G304&lt;DATE(2025,9,26),14.18,14.04)))),IF(F304="限制性股票",8.68,""))</f>
        <v/>
      </c>
      <c r="L304" s="14">
        <f>IF(F304="限制性股票",13.06,"")</f>
        <v/>
      </c>
      <c r="M304" s="11" t="n"/>
      <c r="N304" s="13" t="n"/>
      <c r="O304" s="13" t="n"/>
      <c r="P304" s="12" t="n"/>
      <c r="Q304" s="11" t="n"/>
      <c r="R304" s="12" t="n"/>
      <c r="S304" s="14">
        <f>IF(OR(A304="",C304="",F304="",G304="",I304="",J304=""),"",IF(F304="股票期权",MAX(0,(J304-K304)*I304),IF(F304="限制性股票",IF(OR(L304="",M304="",M304&lt;=0,N304=""),"",MAX(0,((L304+J304)/2)*I304-N304*I304/M304)),MAX(0,O304))))</f>
        <v/>
      </c>
      <c r="T304" s="14">
        <f>IF(S304="","",SUMIFS($S$2:$S$501,$C$2:$C$501,C304,$H$2:$H$501,H304,$G$2:$G$501,"&lt;"&amp;G304)+SUMIFS($S$2:$S$501,$C$2:$C$501,C304,$H$2:$H$501,H304,$G$2:$G$501,G304,$A$2:$A$501,"&lt;"&amp;A304))</f>
        <v/>
      </c>
      <c r="U304" s="14">
        <f>IF(S304="","",T304+S304)</f>
        <v/>
      </c>
      <c r="V304" s="15">
        <f>IF(U304="","",VLOOKUP(U304,'税率及规则'!$A$2:$C$8,2,TRUE))</f>
        <v/>
      </c>
      <c r="W304" s="14">
        <f>IF(U304="","",VLOOKUP(U304,'税率及规则'!$A$2:$C$8,3,TRUE))</f>
        <v/>
      </c>
      <c r="X304" s="14">
        <f>IF(U304="","",MAX(0,U304*V304-W304))</f>
        <v/>
      </c>
      <c r="Y304" s="14">
        <f>IF(T304="","",MAX(0,T304*VLOOKUP(T304,'税率及规则'!$A$2:$C$8,2,TRUE)-VLOOKUP(T304,'税率及规则'!$A$2:$C$8,3,TRUE)))</f>
        <v/>
      </c>
      <c r="Z304" s="14">
        <f>IF(X304="","",MAX(0,X304-Y304))</f>
        <v/>
      </c>
      <c r="AA304" s="16">
        <f>IF(G304="","",G304)</f>
        <v/>
      </c>
      <c r="AB304" s="16">
        <f>IF(AA304="","",EDATE(AA304,36))</f>
        <v/>
      </c>
      <c r="AC304" s="6">
        <f>IF(A304="","",IF(COUNTIF($A$2:$A$501,A304)&gt;1,"异常：事件编号重复",IF(OR(C304="",D304="",E304="",F304="",G304="",I304="",J304=""),"异常：必填项缺失",IF(OR(I304&lt;=0,J304&lt;0),"异常：数量或价格无效",IF(AND(F304="限制性股票",OR(M304&lt;=0,N304&lt;0,I304&gt;M304)),"异常：个人获授或出资数据无效",IF(AND(F304="股票期权",K304&lt;&gt;IF(G304&lt;DATE(2025,1,10),14.56,IF(G304&lt;DATE(2025,4,29),14.32,IF(G304&lt;DATE(2025,9,26),14.18,14.04)))),"异常：行权价格区间不符",IF(Q304&lt;&gt;"已备案","提示：未确认备案","正常")))))))</f>
        <v/>
      </c>
      <c r="AD304" s="11" t="n"/>
    </row>
    <row r="305">
      <c r="A305" s="11" t="n"/>
      <c r="B305" s="6">
        <f>IF(A305="","",A305&amp;"-TAX")</f>
        <v/>
      </c>
      <c r="C305" s="11" t="n"/>
      <c r="D305" s="11" t="n"/>
      <c r="E305" s="11" t="n"/>
      <c r="F305" s="11" t="n"/>
      <c r="G305" s="12" t="n"/>
      <c r="H305" s="6">
        <f>IF(G305="","",YEAR(G305))</f>
        <v/>
      </c>
      <c r="I305" s="11" t="n"/>
      <c r="J305" s="13" t="n"/>
      <c r="K305" s="14">
        <f>IF(F305="股票期权",IF(G305="","",IF(G305&lt;DATE(2025,1,10),14.56,IF(G305&lt;DATE(2025,4,29),14.32,IF(G305&lt;DATE(2025,9,26),14.18,14.04)))),IF(F305="限制性股票",8.68,""))</f>
        <v/>
      </c>
      <c r="L305" s="14">
        <f>IF(F305="限制性股票",13.06,"")</f>
        <v/>
      </c>
      <c r="M305" s="11" t="n"/>
      <c r="N305" s="13" t="n"/>
      <c r="O305" s="13" t="n"/>
      <c r="P305" s="12" t="n"/>
      <c r="Q305" s="11" t="n"/>
      <c r="R305" s="12" t="n"/>
      <c r="S305" s="14">
        <f>IF(OR(A305="",C305="",F305="",G305="",I305="",J305=""),"",IF(F305="股票期权",MAX(0,(J305-K305)*I305),IF(F305="限制性股票",IF(OR(L305="",M305="",M305&lt;=0,N305=""),"",MAX(0,((L305+J305)/2)*I305-N305*I305/M305)),MAX(0,O305))))</f>
        <v/>
      </c>
      <c r="T305" s="14">
        <f>IF(S305="","",SUMIFS($S$2:$S$501,$C$2:$C$501,C305,$H$2:$H$501,H305,$G$2:$G$501,"&lt;"&amp;G305)+SUMIFS($S$2:$S$501,$C$2:$C$501,C305,$H$2:$H$501,H305,$G$2:$G$501,G305,$A$2:$A$501,"&lt;"&amp;A305))</f>
        <v/>
      </c>
      <c r="U305" s="14">
        <f>IF(S305="","",T305+S305)</f>
        <v/>
      </c>
      <c r="V305" s="15">
        <f>IF(U305="","",VLOOKUP(U305,'税率及规则'!$A$2:$C$8,2,TRUE))</f>
        <v/>
      </c>
      <c r="W305" s="14">
        <f>IF(U305="","",VLOOKUP(U305,'税率及规则'!$A$2:$C$8,3,TRUE))</f>
        <v/>
      </c>
      <c r="X305" s="14">
        <f>IF(U305="","",MAX(0,U305*V305-W305))</f>
        <v/>
      </c>
      <c r="Y305" s="14">
        <f>IF(T305="","",MAX(0,T305*VLOOKUP(T305,'税率及规则'!$A$2:$C$8,2,TRUE)-VLOOKUP(T305,'税率及规则'!$A$2:$C$8,3,TRUE)))</f>
        <v/>
      </c>
      <c r="Z305" s="14">
        <f>IF(X305="","",MAX(0,X305-Y305))</f>
        <v/>
      </c>
      <c r="AA305" s="16">
        <f>IF(G305="","",G305)</f>
        <v/>
      </c>
      <c r="AB305" s="16">
        <f>IF(AA305="","",EDATE(AA305,36))</f>
        <v/>
      </c>
      <c r="AC305" s="6">
        <f>IF(A305="","",IF(COUNTIF($A$2:$A$501,A305)&gt;1,"异常：事件编号重复",IF(OR(C305="",D305="",E305="",F305="",G305="",I305="",J305=""),"异常：必填项缺失",IF(OR(I305&lt;=0,J305&lt;0),"异常：数量或价格无效",IF(AND(F305="限制性股票",OR(M305&lt;=0,N305&lt;0,I305&gt;M305)),"异常：个人获授或出资数据无效",IF(AND(F305="股票期权",K305&lt;&gt;IF(G305&lt;DATE(2025,1,10),14.56,IF(G305&lt;DATE(2025,4,29),14.32,IF(G305&lt;DATE(2025,9,26),14.18,14.04)))),"异常：行权价格区间不符",IF(Q305&lt;&gt;"已备案","提示：未确认备案","正常")))))))</f>
        <v/>
      </c>
      <c r="AD305" s="11" t="n"/>
    </row>
    <row r="306">
      <c r="A306" s="11" t="n"/>
      <c r="B306" s="6">
        <f>IF(A306="","",A306&amp;"-TAX")</f>
        <v/>
      </c>
      <c r="C306" s="11" t="n"/>
      <c r="D306" s="11" t="n"/>
      <c r="E306" s="11" t="n"/>
      <c r="F306" s="11" t="n"/>
      <c r="G306" s="12" t="n"/>
      <c r="H306" s="6">
        <f>IF(G306="","",YEAR(G306))</f>
        <v/>
      </c>
      <c r="I306" s="11" t="n"/>
      <c r="J306" s="13" t="n"/>
      <c r="K306" s="14">
        <f>IF(F306="股票期权",IF(G306="","",IF(G306&lt;DATE(2025,1,10),14.56,IF(G306&lt;DATE(2025,4,29),14.32,IF(G306&lt;DATE(2025,9,26),14.18,14.04)))),IF(F306="限制性股票",8.68,""))</f>
        <v/>
      </c>
      <c r="L306" s="14">
        <f>IF(F306="限制性股票",13.06,"")</f>
        <v/>
      </c>
      <c r="M306" s="11" t="n"/>
      <c r="N306" s="13" t="n"/>
      <c r="O306" s="13" t="n"/>
      <c r="P306" s="12" t="n"/>
      <c r="Q306" s="11" t="n"/>
      <c r="R306" s="12" t="n"/>
      <c r="S306" s="14">
        <f>IF(OR(A306="",C306="",F306="",G306="",I306="",J306=""),"",IF(F306="股票期权",MAX(0,(J306-K306)*I306),IF(F306="限制性股票",IF(OR(L306="",M306="",M306&lt;=0,N306=""),"",MAX(0,((L306+J306)/2)*I306-N306*I306/M306)),MAX(0,O306))))</f>
        <v/>
      </c>
      <c r="T306" s="14">
        <f>IF(S306="","",SUMIFS($S$2:$S$501,$C$2:$C$501,C306,$H$2:$H$501,H306,$G$2:$G$501,"&lt;"&amp;G306)+SUMIFS($S$2:$S$501,$C$2:$C$501,C306,$H$2:$H$501,H306,$G$2:$G$501,G306,$A$2:$A$501,"&lt;"&amp;A306))</f>
        <v/>
      </c>
      <c r="U306" s="14">
        <f>IF(S306="","",T306+S306)</f>
        <v/>
      </c>
      <c r="V306" s="15">
        <f>IF(U306="","",VLOOKUP(U306,'税率及规则'!$A$2:$C$8,2,TRUE))</f>
        <v/>
      </c>
      <c r="W306" s="14">
        <f>IF(U306="","",VLOOKUP(U306,'税率及规则'!$A$2:$C$8,3,TRUE))</f>
        <v/>
      </c>
      <c r="X306" s="14">
        <f>IF(U306="","",MAX(0,U306*V306-W306))</f>
        <v/>
      </c>
      <c r="Y306" s="14">
        <f>IF(T306="","",MAX(0,T306*VLOOKUP(T306,'税率及规则'!$A$2:$C$8,2,TRUE)-VLOOKUP(T306,'税率及规则'!$A$2:$C$8,3,TRUE)))</f>
        <v/>
      </c>
      <c r="Z306" s="14">
        <f>IF(X306="","",MAX(0,X306-Y306))</f>
        <v/>
      </c>
      <c r="AA306" s="16">
        <f>IF(G306="","",G306)</f>
        <v/>
      </c>
      <c r="AB306" s="16">
        <f>IF(AA306="","",EDATE(AA306,36))</f>
        <v/>
      </c>
      <c r="AC306" s="6">
        <f>IF(A306="","",IF(COUNTIF($A$2:$A$501,A306)&gt;1,"异常：事件编号重复",IF(OR(C306="",D306="",E306="",F306="",G306="",I306="",J306=""),"异常：必填项缺失",IF(OR(I306&lt;=0,J306&lt;0),"异常：数量或价格无效",IF(AND(F306="限制性股票",OR(M306&lt;=0,N306&lt;0,I306&gt;M306)),"异常：个人获授或出资数据无效",IF(AND(F306="股票期权",K306&lt;&gt;IF(G306&lt;DATE(2025,1,10),14.56,IF(G306&lt;DATE(2025,4,29),14.32,IF(G306&lt;DATE(2025,9,26),14.18,14.04)))),"异常：行权价格区间不符",IF(Q306&lt;&gt;"已备案","提示：未确认备案","正常")))))))</f>
        <v/>
      </c>
      <c r="AD306" s="11" t="n"/>
    </row>
    <row r="307">
      <c r="A307" s="11" t="n"/>
      <c r="B307" s="6">
        <f>IF(A307="","",A307&amp;"-TAX")</f>
        <v/>
      </c>
      <c r="C307" s="11" t="n"/>
      <c r="D307" s="11" t="n"/>
      <c r="E307" s="11" t="n"/>
      <c r="F307" s="11" t="n"/>
      <c r="G307" s="12" t="n"/>
      <c r="H307" s="6">
        <f>IF(G307="","",YEAR(G307))</f>
        <v/>
      </c>
      <c r="I307" s="11" t="n"/>
      <c r="J307" s="13" t="n"/>
      <c r="K307" s="14">
        <f>IF(F307="股票期权",IF(G307="","",IF(G307&lt;DATE(2025,1,10),14.56,IF(G307&lt;DATE(2025,4,29),14.32,IF(G307&lt;DATE(2025,9,26),14.18,14.04)))),IF(F307="限制性股票",8.68,""))</f>
        <v/>
      </c>
      <c r="L307" s="14">
        <f>IF(F307="限制性股票",13.06,"")</f>
        <v/>
      </c>
      <c r="M307" s="11" t="n"/>
      <c r="N307" s="13" t="n"/>
      <c r="O307" s="13" t="n"/>
      <c r="P307" s="12" t="n"/>
      <c r="Q307" s="11" t="n"/>
      <c r="R307" s="12" t="n"/>
      <c r="S307" s="14">
        <f>IF(OR(A307="",C307="",F307="",G307="",I307="",J307=""),"",IF(F307="股票期权",MAX(0,(J307-K307)*I307),IF(F307="限制性股票",IF(OR(L307="",M307="",M307&lt;=0,N307=""),"",MAX(0,((L307+J307)/2)*I307-N307*I307/M307)),MAX(0,O307))))</f>
        <v/>
      </c>
      <c r="T307" s="14">
        <f>IF(S307="","",SUMIFS($S$2:$S$501,$C$2:$C$501,C307,$H$2:$H$501,H307,$G$2:$G$501,"&lt;"&amp;G307)+SUMIFS($S$2:$S$501,$C$2:$C$501,C307,$H$2:$H$501,H307,$G$2:$G$501,G307,$A$2:$A$501,"&lt;"&amp;A307))</f>
        <v/>
      </c>
      <c r="U307" s="14">
        <f>IF(S307="","",T307+S307)</f>
        <v/>
      </c>
      <c r="V307" s="15">
        <f>IF(U307="","",VLOOKUP(U307,'税率及规则'!$A$2:$C$8,2,TRUE))</f>
        <v/>
      </c>
      <c r="W307" s="14">
        <f>IF(U307="","",VLOOKUP(U307,'税率及规则'!$A$2:$C$8,3,TRUE))</f>
        <v/>
      </c>
      <c r="X307" s="14">
        <f>IF(U307="","",MAX(0,U307*V307-W307))</f>
        <v/>
      </c>
      <c r="Y307" s="14">
        <f>IF(T307="","",MAX(0,T307*VLOOKUP(T307,'税率及规则'!$A$2:$C$8,2,TRUE)-VLOOKUP(T307,'税率及规则'!$A$2:$C$8,3,TRUE)))</f>
        <v/>
      </c>
      <c r="Z307" s="14">
        <f>IF(X307="","",MAX(0,X307-Y307))</f>
        <v/>
      </c>
      <c r="AA307" s="16">
        <f>IF(G307="","",G307)</f>
        <v/>
      </c>
      <c r="AB307" s="16">
        <f>IF(AA307="","",EDATE(AA307,36))</f>
        <v/>
      </c>
      <c r="AC307" s="6">
        <f>IF(A307="","",IF(COUNTIF($A$2:$A$501,A307)&gt;1,"异常：事件编号重复",IF(OR(C307="",D307="",E307="",F307="",G307="",I307="",J307=""),"异常：必填项缺失",IF(OR(I307&lt;=0,J307&lt;0),"异常：数量或价格无效",IF(AND(F307="限制性股票",OR(M307&lt;=0,N307&lt;0,I307&gt;M307)),"异常：个人获授或出资数据无效",IF(AND(F307="股票期权",K307&lt;&gt;IF(G307&lt;DATE(2025,1,10),14.56,IF(G307&lt;DATE(2025,4,29),14.32,IF(G307&lt;DATE(2025,9,26),14.18,14.04)))),"异常：行权价格区间不符",IF(Q307&lt;&gt;"已备案","提示：未确认备案","正常")))))))</f>
        <v/>
      </c>
      <c r="AD307" s="11" t="n"/>
    </row>
    <row r="308">
      <c r="A308" s="11" t="n"/>
      <c r="B308" s="6">
        <f>IF(A308="","",A308&amp;"-TAX")</f>
        <v/>
      </c>
      <c r="C308" s="11" t="n"/>
      <c r="D308" s="11" t="n"/>
      <c r="E308" s="11" t="n"/>
      <c r="F308" s="11" t="n"/>
      <c r="G308" s="12" t="n"/>
      <c r="H308" s="6">
        <f>IF(G308="","",YEAR(G308))</f>
        <v/>
      </c>
      <c r="I308" s="11" t="n"/>
      <c r="J308" s="13" t="n"/>
      <c r="K308" s="14">
        <f>IF(F308="股票期权",IF(G308="","",IF(G308&lt;DATE(2025,1,10),14.56,IF(G308&lt;DATE(2025,4,29),14.32,IF(G308&lt;DATE(2025,9,26),14.18,14.04)))),IF(F308="限制性股票",8.68,""))</f>
        <v/>
      </c>
      <c r="L308" s="14">
        <f>IF(F308="限制性股票",13.06,"")</f>
        <v/>
      </c>
      <c r="M308" s="11" t="n"/>
      <c r="N308" s="13" t="n"/>
      <c r="O308" s="13" t="n"/>
      <c r="P308" s="12" t="n"/>
      <c r="Q308" s="11" t="n"/>
      <c r="R308" s="12" t="n"/>
      <c r="S308" s="14">
        <f>IF(OR(A308="",C308="",F308="",G308="",I308="",J308=""),"",IF(F308="股票期权",MAX(0,(J308-K308)*I308),IF(F308="限制性股票",IF(OR(L308="",M308="",M308&lt;=0,N308=""),"",MAX(0,((L308+J308)/2)*I308-N308*I308/M308)),MAX(0,O308))))</f>
        <v/>
      </c>
      <c r="T308" s="14">
        <f>IF(S308="","",SUMIFS($S$2:$S$501,$C$2:$C$501,C308,$H$2:$H$501,H308,$G$2:$G$501,"&lt;"&amp;G308)+SUMIFS($S$2:$S$501,$C$2:$C$501,C308,$H$2:$H$501,H308,$G$2:$G$501,G308,$A$2:$A$501,"&lt;"&amp;A308))</f>
        <v/>
      </c>
      <c r="U308" s="14">
        <f>IF(S308="","",T308+S308)</f>
        <v/>
      </c>
      <c r="V308" s="15">
        <f>IF(U308="","",VLOOKUP(U308,'税率及规则'!$A$2:$C$8,2,TRUE))</f>
        <v/>
      </c>
      <c r="W308" s="14">
        <f>IF(U308="","",VLOOKUP(U308,'税率及规则'!$A$2:$C$8,3,TRUE))</f>
        <v/>
      </c>
      <c r="X308" s="14">
        <f>IF(U308="","",MAX(0,U308*V308-W308))</f>
        <v/>
      </c>
      <c r="Y308" s="14">
        <f>IF(T308="","",MAX(0,T308*VLOOKUP(T308,'税率及规则'!$A$2:$C$8,2,TRUE)-VLOOKUP(T308,'税率及规则'!$A$2:$C$8,3,TRUE)))</f>
        <v/>
      </c>
      <c r="Z308" s="14">
        <f>IF(X308="","",MAX(0,X308-Y308))</f>
        <v/>
      </c>
      <c r="AA308" s="16">
        <f>IF(G308="","",G308)</f>
        <v/>
      </c>
      <c r="AB308" s="16">
        <f>IF(AA308="","",EDATE(AA308,36))</f>
        <v/>
      </c>
      <c r="AC308" s="6">
        <f>IF(A308="","",IF(COUNTIF($A$2:$A$501,A308)&gt;1,"异常：事件编号重复",IF(OR(C308="",D308="",E308="",F308="",G308="",I308="",J308=""),"异常：必填项缺失",IF(OR(I308&lt;=0,J308&lt;0),"异常：数量或价格无效",IF(AND(F308="限制性股票",OR(M308&lt;=0,N308&lt;0,I308&gt;M308)),"异常：个人获授或出资数据无效",IF(AND(F308="股票期权",K308&lt;&gt;IF(G308&lt;DATE(2025,1,10),14.56,IF(G308&lt;DATE(2025,4,29),14.32,IF(G308&lt;DATE(2025,9,26),14.18,14.04)))),"异常：行权价格区间不符",IF(Q308&lt;&gt;"已备案","提示：未确认备案","正常")))))))</f>
        <v/>
      </c>
      <c r="AD308" s="11" t="n"/>
    </row>
    <row r="309">
      <c r="A309" s="11" t="n"/>
      <c r="B309" s="6">
        <f>IF(A309="","",A309&amp;"-TAX")</f>
        <v/>
      </c>
      <c r="C309" s="11" t="n"/>
      <c r="D309" s="11" t="n"/>
      <c r="E309" s="11" t="n"/>
      <c r="F309" s="11" t="n"/>
      <c r="G309" s="12" t="n"/>
      <c r="H309" s="6">
        <f>IF(G309="","",YEAR(G309))</f>
        <v/>
      </c>
      <c r="I309" s="11" t="n"/>
      <c r="J309" s="13" t="n"/>
      <c r="K309" s="14">
        <f>IF(F309="股票期权",IF(G309="","",IF(G309&lt;DATE(2025,1,10),14.56,IF(G309&lt;DATE(2025,4,29),14.32,IF(G309&lt;DATE(2025,9,26),14.18,14.04)))),IF(F309="限制性股票",8.68,""))</f>
        <v/>
      </c>
      <c r="L309" s="14">
        <f>IF(F309="限制性股票",13.06,"")</f>
        <v/>
      </c>
      <c r="M309" s="11" t="n"/>
      <c r="N309" s="13" t="n"/>
      <c r="O309" s="13" t="n"/>
      <c r="P309" s="12" t="n"/>
      <c r="Q309" s="11" t="n"/>
      <c r="R309" s="12" t="n"/>
      <c r="S309" s="14">
        <f>IF(OR(A309="",C309="",F309="",G309="",I309="",J309=""),"",IF(F309="股票期权",MAX(0,(J309-K309)*I309),IF(F309="限制性股票",IF(OR(L309="",M309="",M309&lt;=0,N309=""),"",MAX(0,((L309+J309)/2)*I309-N309*I309/M309)),MAX(0,O309))))</f>
        <v/>
      </c>
      <c r="T309" s="14">
        <f>IF(S309="","",SUMIFS($S$2:$S$501,$C$2:$C$501,C309,$H$2:$H$501,H309,$G$2:$G$501,"&lt;"&amp;G309)+SUMIFS($S$2:$S$501,$C$2:$C$501,C309,$H$2:$H$501,H309,$G$2:$G$501,G309,$A$2:$A$501,"&lt;"&amp;A309))</f>
        <v/>
      </c>
      <c r="U309" s="14">
        <f>IF(S309="","",T309+S309)</f>
        <v/>
      </c>
      <c r="V309" s="15">
        <f>IF(U309="","",VLOOKUP(U309,'税率及规则'!$A$2:$C$8,2,TRUE))</f>
        <v/>
      </c>
      <c r="W309" s="14">
        <f>IF(U309="","",VLOOKUP(U309,'税率及规则'!$A$2:$C$8,3,TRUE))</f>
        <v/>
      </c>
      <c r="X309" s="14">
        <f>IF(U309="","",MAX(0,U309*V309-W309))</f>
        <v/>
      </c>
      <c r="Y309" s="14">
        <f>IF(T309="","",MAX(0,T309*VLOOKUP(T309,'税率及规则'!$A$2:$C$8,2,TRUE)-VLOOKUP(T309,'税率及规则'!$A$2:$C$8,3,TRUE)))</f>
        <v/>
      </c>
      <c r="Z309" s="14">
        <f>IF(X309="","",MAX(0,X309-Y309))</f>
        <v/>
      </c>
      <c r="AA309" s="16">
        <f>IF(G309="","",G309)</f>
        <v/>
      </c>
      <c r="AB309" s="16">
        <f>IF(AA309="","",EDATE(AA309,36))</f>
        <v/>
      </c>
      <c r="AC309" s="6">
        <f>IF(A309="","",IF(COUNTIF($A$2:$A$501,A309)&gt;1,"异常：事件编号重复",IF(OR(C309="",D309="",E309="",F309="",G309="",I309="",J309=""),"异常：必填项缺失",IF(OR(I309&lt;=0,J309&lt;0),"异常：数量或价格无效",IF(AND(F309="限制性股票",OR(M309&lt;=0,N309&lt;0,I309&gt;M309)),"异常：个人获授或出资数据无效",IF(AND(F309="股票期权",K309&lt;&gt;IF(G309&lt;DATE(2025,1,10),14.56,IF(G309&lt;DATE(2025,4,29),14.32,IF(G309&lt;DATE(2025,9,26),14.18,14.04)))),"异常：行权价格区间不符",IF(Q309&lt;&gt;"已备案","提示：未确认备案","正常")))))))</f>
        <v/>
      </c>
      <c r="AD309" s="11" t="n"/>
    </row>
    <row r="310">
      <c r="A310" s="11" t="n"/>
      <c r="B310" s="6">
        <f>IF(A310="","",A310&amp;"-TAX")</f>
        <v/>
      </c>
      <c r="C310" s="11" t="n"/>
      <c r="D310" s="11" t="n"/>
      <c r="E310" s="11" t="n"/>
      <c r="F310" s="11" t="n"/>
      <c r="G310" s="12" t="n"/>
      <c r="H310" s="6">
        <f>IF(G310="","",YEAR(G310))</f>
        <v/>
      </c>
      <c r="I310" s="11" t="n"/>
      <c r="J310" s="13" t="n"/>
      <c r="K310" s="14">
        <f>IF(F310="股票期权",IF(G310="","",IF(G310&lt;DATE(2025,1,10),14.56,IF(G310&lt;DATE(2025,4,29),14.32,IF(G310&lt;DATE(2025,9,26),14.18,14.04)))),IF(F310="限制性股票",8.68,""))</f>
        <v/>
      </c>
      <c r="L310" s="14">
        <f>IF(F310="限制性股票",13.06,"")</f>
        <v/>
      </c>
      <c r="M310" s="11" t="n"/>
      <c r="N310" s="13" t="n"/>
      <c r="O310" s="13" t="n"/>
      <c r="P310" s="12" t="n"/>
      <c r="Q310" s="11" t="n"/>
      <c r="R310" s="12" t="n"/>
      <c r="S310" s="14">
        <f>IF(OR(A310="",C310="",F310="",G310="",I310="",J310=""),"",IF(F310="股票期权",MAX(0,(J310-K310)*I310),IF(F310="限制性股票",IF(OR(L310="",M310="",M310&lt;=0,N310=""),"",MAX(0,((L310+J310)/2)*I310-N310*I310/M310)),MAX(0,O310))))</f>
        <v/>
      </c>
      <c r="T310" s="14">
        <f>IF(S310="","",SUMIFS($S$2:$S$501,$C$2:$C$501,C310,$H$2:$H$501,H310,$G$2:$G$501,"&lt;"&amp;G310)+SUMIFS($S$2:$S$501,$C$2:$C$501,C310,$H$2:$H$501,H310,$G$2:$G$501,G310,$A$2:$A$501,"&lt;"&amp;A310))</f>
        <v/>
      </c>
      <c r="U310" s="14">
        <f>IF(S310="","",T310+S310)</f>
        <v/>
      </c>
      <c r="V310" s="15">
        <f>IF(U310="","",VLOOKUP(U310,'税率及规则'!$A$2:$C$8,2,TRUE))</f>
        <v/>
      </c>
      <c r="W310" s="14">
        <f>IF(U310="","",VLOOKUP(U310,'税率及规则'!$A$2:$C$8,3,TRUE))</f>
        <v/>
      </c>
      <c r="X310" s="14">
        <f>IF(U310="","",MAX(0,U310*V310-W310))</f>
        <v/>
      </c>
      <c r="Y310" s="14">
        <f>IF(T310="","",MAX(0,T310*VLOOKUP(T310,'税率及规则'!$A$2:$C$8,2,TRUE)-VLOOKUP(T310,'税率及规则'!$A$2:$C$8,3,TRUE)))</f>
        <v/>
      </c>
      <c r="Z310" s="14">
        <f>IF(X310="","",MAX(0,X310-Y310))</f>
        <v/>
      </c>
      <c r="AA310" s="16">
        <f>IF(G310="","",G310)</f>
        <v/>
      </c>
      <c r="AB310" s="16">
        <f>IF(AA310="","",EDATE(AA310,36))</f>
        <v/>
      </c>
      <c r="AC310" s="6">
        <f>IF(A310="","",IF(COUNTIF($A$2:$A$501,A310)&gt;1,"异常：事件编号重复",IF(OR(C310="",D310="",E310="",F310="",G310="",I310="",J310=""),"异常：必填项缺失",IF(OR(I310&lt;=0,J310&lt;0),"异常：数量或价格无效",IF(AND(F310="限制性股票",OR(M310&lt;=0,N310&lt;0,I310&gt;M310)),"异常：个人获授或出资数据无效",IF(AND(F310="股票期权",K310&lt;&gt;IF(G310&lt;DATE(2025,1,10),14.56,IF(G310&lt;DATE(2025,4,29),14.32,IF(G310&lt;DATE(2025,9,26),14.18,14.04)))),"异常：行权价格区间不符",IF(Q310&lt;&gt;"已备案","提示：未确认备案","正常")))))))</f>
        <v/>
      </c>
      <c r="AD310" s="11" t="n"/>
    </row>
    <row r="311">
      <c r="A311" s="11" t="n"/>
      <c r="B311" s="6">
        <f>IF(A311="","",A311&amp;"-TAX")</f>
        <v/>
      </c>
      <c r="C311" s="11" t="n"/>
      <c r="D311" s="11" t="n"/>
      <c r="E311" s="11" t="n"/>
      <c r="F311" s="11" t="n"/>
      <c r="G311" s="12" t="n"/>
      <c r="H311" s="6">
        <f>IF(G311="","",YEAR(G311))</f>
        <v/>
      </c>
      <c r="I311" s="11" t="n"/>
      <c r="J311" s="13" t="n"/>
      <c r="K311" s="14">
        <f>IF(F311="股票期权",IF(G311="","",IF(G311&lt;DATE(2025,1,10),14.56,IF(G311&lt;DATE(2025,4,29),14.32,IF(G311&lt;DATE(2025,9,26),14.18,14.04)))),IF(F311="限制性股票",8.68,""))</f>
        <v/>
      </c>
      <c r="L311" s="14">
        <f>IF(F311="限制性股票",13.06,"")</f>
        <v/>
      </c>
      <c r="M311" s="11" t="n"/>
      <c r="N311" s="13" t="n"/>
      <c r="O311" s="13" t="n"/>
      <c r="P311" s="12" t="n"/>
      <c r="Q311" s="11" t="n"/>
      <c r="R311" s="12" t="n"/>
      <c r="S311" s="14">
        <f>IF(OR(A311="",C311="",F311="",G311="",I311="",J311=""),"",IF(F311="股票期权",MAX(0,(J311-K311)*I311),IF(F311="限制性股票",IF(OR(L311="",M311="",M311&lt;=0,N311=""),"",MAX(0,((L311+J311)/2)*I311-N311*I311/M311)),MAX(0,O311))))</f>
        <v/>
      </c>
      <c r="T311" s="14">
        <f>IF(S311="","",SUMIFS($S$2:$S$501,$C$2:$C$501,C311,$H$2:$H$501,H311,$G$2:$G$501,"&lt;"&amp;G311)+SUMIFS($S$2:$S$501,$C$2:$C$501,C311,$H$2:$H$501,H311,$G$2:$G$501,G311,$A$2:$A$501,"&lt;"&amp;A311))</f>
        <v/>
      </c>
      <c r="U311" s="14">
        <f>IF(S311="","",T311+S311)</f>
        <v/>
      </c>
      <c r="V311" s="15">
        <f>IF(U311="","",VLOOKUP(U311,'税率及规则'!$A$2:$C$8,2,TRUE))</f>
        <v/>
      </c>
      <c r="W311" s="14">
        <f>IF(U311="","",VLOOKUP(U311,'税率及规则'!$A$2:$C$8,3,TRUE))</f>
        <v/>
      </c>
      <c r="X311" s="14">
        <f>IF(U311="","",MAX(0,U311*V311-W311))</f>
        <v/>
      </c>
      <c r="Y311" s="14">
        <f>IF(T311="","",MAX(0,T311*VLOOKUP(T311,'税率及规则'!$A$2:$C$8,2,TRUE)-VLOOKUP(T311,'税率及规则'!$A$2:$C$8,3,TRUE)))</f>
        <v/>
      </c>
      <c r="Z311" s="14">
        <f>IF(X311="","",MAX(0,X311-Y311))</f>
        <v/>
      </c>
      <c r="AA311" s="16">
        <f>IF(G311="","",G311)</f>
        <v/>
      </c>
      <c r="AB311" s="16">
        <f>IF(AA311="","",EDATE(AA311,36))</f>
        <v/>
      </c>
      <c r="AC311" s="6">
        <f>IF(A311="","",IF(COUNTIF($A$2:$A$501,A311)&gt;1,"异常：事件编号重复",IF(OR(C311="",D311="",E311="",F311="",G311="",I311="",J311=""),"异常：必填项缺失",IF(OR(I311&lt;=0,J311&lt;0),"异常：数量或价格无效",IF(AND(F311="限制性股票",OR(M311&lt;=0,N311&lt;0,I311&gt;M311)),"异常：个人获授或出资数据无效",IF(AND(F311="股票期权",K311&lt;&gt;IF(G311&lt;DATE(2025,1,10),14.56,IF(G311&lt;DATE(2025,4,29),14.32,IF(G311&lt;DATE(2025,9,26),14.18,14.04)))),"异常：行权价格区间不符",IF(Q311&lt;&gt;"已备案","提示：未确认备案","正常")))))))</f>
        <v/>
      </c>
      <c r="AD311" s="11" t="n"/>
    </row>
    <row r="312">
      <c r="A312" s="11" t="n"/>
      <c r="B312" s="6">
        <f>IF(A312="","",A312&amp;"-TAX")</f>
        <v/>
      </c>
      <c r="C312" s="11" t="n"/>
      <c r="D312" s="11" t="n"/>
      <c r="E312" s="11" t="n"/>
      <c r="F312" s="11" t="n"/>
      <c r="G312" s="12" t="n"/>
      <c r="H312" s="6">
        <f>IF(G312="","",YEAR(G312))</f>
        <v/>
      </c>
      <c r="I312" s="11" t="n"/>
      <c r="J312" s="13" t="n"/>
      <c r="K312" s="14">
        <f>IF(F312="股票期权",IF(G312="","",IF(G312&lt;DATE(2025,1,10),14.56,IF(G312&lt;DATE(2025,4,29),14.32,IF(G312&lt;DATE(2025,9,26),14.18,14.04)))),IF(F312="限制性股票",8.68,""))</f>
        <v/>
      </c>
      <c r="L312" s="14">
        <f>IF(F312="限制性股票",13.06,"")</f>
        <v/>
      </c>
      <c r="M312" s="11" t="n"/>
      <c r="N312" s="13" t="n"/>
      <c r="O312" s="13" t="n"/>
      <c r="P312" s="12" t="n"/>
      <c r="Q312" s="11" t="n"/>
      <c r="R312" s="12" t="n"/>
      <c r="S312" s="14">
        <f>IF(OR(A312="",C312="",F312="",G312="",I312="",J312=""),"",IF(F312="股票期权",MAX(0,(J312-K312)*I312),IF(F312="限制性股票",IF(OR(L312="",M312="",M312&lt;=0,N312=""),"",MAX(0,((L312+J312)/2)*I312-N312*I312/M312)),MAX(0,O312))))</f>
        <v/>
      </c>
      <c r="T312" s="14">
        <f>IF(S312="","",SUMIFS($S$2:$S$501,$C$2:$C$501,C312,$H$2:$H$501,H312,$G$2:$G$501,"&lt;"&amp;G312)+SUMIFS($S$2:$S$501,$C$2:$C$501,C312,$H$2:$H$501,H312,$G$2:$G$501,G312,$A$2:$A$501,"&lt;"&amp;A312))</f>
        <v/>
      </c>
      <c r="U312" s="14">
        <f>IF(S312="","",T312+S312)</f>
        <v/>
      </c>
      <c r="V312" s="15">
        <f>IF(U312="","",VLOOKUP(U312,'税率及规则'!$A$2:$C$8,2,TRUE))</f>
        <v/>
      </c>
      <c r="W312" s="14">
        <f>IF(U312="","",VLOOKUP(U312,'税率及规则'!$A$2:$C$8,3,TRUE))</f>
        <v/>
      </c>
      <c r="X312" s="14">
        <f>IF(U312="","",MAX(0,U312*V312-W312))</f>
        <v/>
      </c>
      <c r="Y312" s="14">
        <f>IF(T312="","",MAX(0,T312*VLOOKUP(T312,'税率及规则'!$A$2:$C$8,2,TRUE)-VLOOKUP(T312,'税率及规则'!$A$2:$C$8,3,TRUE)))</f>
        <v/>
      </c>
      <c r="Z312" s="14">
        <f>IF(X312="","",MAX(0,X312-Y312))</f>
        <v/>
      </c>
      <c r="AA312" s="16">
        <f>IF(G312="","",G312)</f>
        <v/>
      </c>
      <c r="AB312" s="16">
        <f>IF(AA312="","",EDATE(AA312,36))</f>
        <v/>
      </c>
      <c r="AC312" s="6">
        <f>IF(A312="","",IF(COUNTIF($A$2:$A$501,A312)&gt;1,"异常：事件编号重复",IF(OR(C312="",D312="",E312="",F312="",G312="",I312="",J312=""),"异常：必填项缺失",IF(OR(I312&lt;=0,J312&lt;0),"异常：数量或价格无效",IF(AND(F312="限制性股票",OR(M312&lt;=0,N312&lt;0,I312&gt;M312)),"异常：个人获授或出资数据无效",IF(AND(F312="股票期权",K312&lt;&gt;IF(G312&lt;DATE(2025,1,10),14.56,IF(G312&lt;DATE(2025,4,29),14.32,IF(G312&lt;DATE(2025,9,26),14.18,14.04)))),"异常：行权价格区间不符",IF(Q312&lt;&gt;"已备案","提示：未确认备案","正常")))))))</f>
        <v/>
      </c>
      <c r="AD312" s="11" t="n"/>
    </row>
    <row r="313">
      <c r="A313" s="11" t="n"/>
      <c r="B313" s="6">
        <f>IF(A313="","",A313&amp;"-TAX")</f>
        <v/>
      </c>
      <c r="C313" s="11" t="n"/>
      <c r="D313" s="11" t="n"/>
      <c r="E313" s="11" t="n"/>
      <c r="F313" s="11" t="n"/>
      <c r="G313" s="12" t="n"/>
      <c r="H313" s="6">
        <f>IF(G313="","",YEAR(G313))</f>
        <v/>
      </c>
      <c r="I313" s="11" t="n"/>
      <c r="J313" s="13" t="n"/>
      <c r="K313" s="14">
        <f>IF(F313="股票期权",IF(G313="","",IF(G313&lt;DATE(2025,1,10),14.56,IF(G313&lt;DATE(2025,4,29),14.32,IF(G313&lt;DATE(2025,9,26),14.18,14.04)))),IF(F313="限制性股票",8.68,""))</f>
        <v/>
      </c>
      <c r="L313" s="14">
        <f>IF(F313="限制性股票",13.06,"")</f>
        <v/>
      </c>
      <c r="M313" s="11" t="n"/>
      <c r="N313" s="13" t="n"/>
      <c r="O313" s="13" t="n"/>
      <c r="P313" s="12" t="n"/>
      <c r="Q313" s="11" t="n"/>
      <c r="R313" s="12" t="n"/>
      <c r="S313" s="14">
        <f>IF(OR(A313="",C313="",F313="",G313="",I313="",J313=""),"",IF(F313="股票期权",MAX(0,(J313-K313)*I313),IF(F313="限制性股票",IF(OR(L313="",M313="",M313&lt;=0,N313=""),"",MAX(0,((L313+J313)/2)*I313-N313*I313/M313)),MAX(0,O313))))</f>
        <v/>
      </c>
      <c r="T313" s="14">
        <f>IF(S313="","",SUMIFS($S$2:$S$501,$C$2:$C$501,C313,$H$2:$H$501,H313,$G$2:$G$501,"&lt;"&amp;G313)+SUMIFS($S$2:$S$501,$C$2:$C$501,C313,$H$2:$H$501,H313,$G$2:$G$501,G313,$A$2:$A$501,"&lt;"&amp;A313))</f>
        <v/>
      </c>
      <c r="U313" s="14">
        <f>IF(S313="","",T313+S313)</f>
        <v/>
      </c>
      <c r="V313" s="15">
        <f>IF(U313="","",VLOOKUP(U313,'税率及规则'!$A$2:$C$8,2,TRUE))</f>
        <v/>
      </c>
      <c r="W313" s="14">
        <f>IF(U313="","",VLOOKUP(U313,'税率及规则'!$A$2:$C$8,3,TRUE))</f>
        <v/>
      </c>
      <c r="X313" s="14">
        <f>IF(U313="","",MAX(0,U313*V313-W313))</f>
        <v/>
      </c>
      <c r="Y313" s="14">
        <f>IF(T313="","",MAX(0,T313*VLOOKUP(T313,'税率及规则'!$A$2:$C$8,2,TRUE)-VLOOKUP(T313,'税率及规则'!$A$2:$C$8,3,TRUE)))</f>
        <v/>
      </c>
      <c r="Z313" s="14">
        <f>IF(X313="","",MAX(0,X313-Y313))</f>
        <v/>
      </c>
      <c r="AA313" s="16">
        <f>IF(G313="","",G313)</f>
        <v/>
      </c>
      <c r="AB313" s="16">
        <f>IF(AA313="","",EDATE(AA313,36))</f>
        <v/>
      </c>
      <c r="AC313" s="6">
        <f>IF(A313="","",IF(COUNTIF($A$2:$A$501,A313)&gt;1,"异常：事件编号重复",IF(OR(C313="",D313="",E313="",F313="",G313="",I313="",J313=""),"异常：必填项缺失",IF(OR(I313&lt;=0,J313&lt;0),"异常：数量或价格无效",IF(AND(F313="限制性股票",OR(M313&lt;=0,N313&lt;0,I313&gt;M313)),"异常：个人获授或出资数据无效",IF(AND(F313="股票期权",K313&lt;&gt;IF(G313&lt;DATE(2025,1,10),14.56,IF(G313&lt;DATE(2025,4,29),14.32,IF(G313&lt;DATE(2025,9,26),14.18,14.04)))),"异常：行权价格区间不符",IF(Q313&lt;&gt;"已备案","提示：未确认备案","正常")))))))</f>
        <v/>
      </c>
      <c r="AD313" s="11" t="n"/>
    </row>
    <row r="314">
      <c r="A314" s="11" t="n"/>
      <c r="B314" s="6">
        <f>IF(A314="","",A314&amp;"-TAX")</f>
        <v/>
      </c>
      <c r="C314" s="11" t="n"/>
      <c r="D314" s="11" t="n"/>
      <c r="E314" s="11" t="n"/>
      <c r="F314" s="11" t="n"/>
      <c r="G314" s="12" t="n"/>
      <c r="H314" s="6">
        <f>IF(G314="","",YEAR(G314))</f>
        <v/>
      </c>
      <c r="I314" s="11" t="n"/>
      <c r="J314" s="13" t="n"/>
      <c r="K314" s="14">
        <f>IF(F314="股票期权",IF(G314="","",IF(G314&lt;DATE(2025,1,10),14.56,IF(G314&lt;DATE(2025,4,29),14.32,IF(G314&lt;DATE(2025,9,26),14.18,14.04)))),IF(F314="限制性股票",8.68,""))</f>
        <v/>
      </c>
      <c r="L314" s="14">
        <f>IF(F314="限制性股票",13.06,"")</f>
        <v/>
      </c>
      <c r="M314" s="11" t="n"/>
      <c r="N314" s="13" t="n"/>
      <c r="O314" s="13" t="n"/>
      <c r="P314" s="12" t="n"/>
      <c r="Q314" s="11" t="n"/>
      <c r="R314" s="12" t="n"/>
      <c r="S314" s="14">
        <f>IF(OR(A314="",C314="",F314="",G314="",I314="",J314=""),"",IF(F314="股票期权",MAX(0,(J314-K314)*I314),IF(F314="限制性股票",IF(OR(L314="",M314="",M314&lt;=0,N314=""),"",MAX(0,((L314+J314)/2)*I314-N314*I314/M314)),MAX(0,O314))))</f>
        <v/>
      </c>
      <c r="T314" s="14">
        <f>IF(S314="","",SUMIFS($S$2:$S$501,$C$2:$C$501,C314,$H$2:$H$501,H314,$G$2:$G$501,"&lt;"&amp;G314)+SUMIFS($S$2:$S$501,$C$2:$C$501,C314,$H$2:$H$501,H314,$G$2:$G$501,G314,$A$2:$A$501,"&lt;"&amp;A314))</f>
        <v/>
      </c>
      <c r="U314" s="14">
        <f>IF(S314="","",T314+S314)</f>
        <v/>
      </c>
      <c r="V314" s="15">
        <f>IF(U314="","",VLOOKUP(U314,'税率及规则'!$A$2:$C$8,2,TRUE))</f>
        <v/>
      </c>
      <c r="W314" s="14">
        <f>IF(U314="","",VLOOKUP(U314,'税率及规则'!$A$2:$C$8,3,TRUE))</f>
        <v/>
      </c>
      <c r="X314" s="14">
        <f>IF(U314="","",MAX(0,U314*V314-W314))</f>
        <v/>
      </c>
      <c r="Y314" s="14">
        <f>IF(T314="","",MAX(0,T314*VLOOKUP(T314,'税率及规则'!$A$2:$C$8,2,TRUE)-VLOOKUP(T314,'税率及规则'!$A$2:$C$8,3,TRUE)))</f>
        <v/>
      </c>
      <c r="Z314" s="14">
        <f>IF(X314="","",MAX(0,X314-Y314))</f>
        <v/>
      </c>
      <c r="AA314" s="16">
        <f>IF(G314="","",G314)</f>
        <v/>
      </c>
      <c r="AB314" s="16">
        <f>IF(AA314="","",EDATE(AA314,36))</f>
        <v/>
      </c>
      <c r="AC314" s="6">
        <f>IF(A314="","",IF(COUNTIF($A$2:$A$501,A314)&gt;1,"异常：事件编号重复",IF(OR(C314="",D314="",E314="",F314="",G314="",I314="",J314=""),"异常：必填项缺失",IF(OR(I314&lt;=0,J314&lt;0),"异常：数量或价格无效",IF(AND(F314="限制性股票",OR(M314&lt;=0,N314&lt;0,I314&gt;M314)),"异常：个人获授或出资数据无效",IF(AND(F314="股票期权",K314&lt;&gt;IF(G314&lt;DATE(2025,1,10),14.56,IF(G314&lt;DATE(2025,4,29),14.32,IF(G314&lt;DATE(2025,9,26),14.18,14.04)))),"异常：行权价格区间不符",IF(Q314&lt;&gt;"已备案","提示：未确认备案","正常")))))))</f>
        <v/>
      </c>
      <c r="AD314" s="11" t="n"/>
    </row>
    <row r="315">
      <c r="A315" s="11" t="n"/>
      <c r="B315" s="6">
        <f>IF(A315="","",A315&amp;"-TAX")</f>
        <v/>
      </c>
      <c r="C315" s="11" t="n"/>
      <c r="D315" s="11" t="n"/>
      <c r="E315" s="11" t="n"/>
      <c r="F315" s="11" t="n"/>
      <c r="G315" s="12" t="n"/>
      <c r="H315" s="6">
        <f>IF(G315="","",YEAR(G315))</f>
        <v/>
      </c>
      <c r="I315" s="11" t="n"/>
      <c r="J315" s="13" t="n"/>
      <c r="K315" s="14">
        <f>IF(F315="股票期权",IF(G315="","",IF(G315&lt;DATE(2025,1,10),14.56,IF(G315&lt;DATE(2025,4,29),14.32,IF(G315&lt;DATE(2025,9,26),14.18,14.04)))),IF(F315="限制性股票",8.68,""))</f>
        <v/>
      </c>
      <c r="L315" s="14">
        <f>IF(F315="限制性股票",13.06,"")</f>
        <v/>
      </c>
      <c r="M315" s="11" t="n"/>
      <c r="N315" s="13" t="n"/>
      <c r="O315" s="13" t="n"/>
      <c r="P315" s="12" t="n"/>
      <c r="Q315" s="11" t="n"/>
      <c r="R315" s="12" t="n"/>
      <c r="S315" s="14">
        <f>IF(OR(A315="",C315="",F315="",G315="",I315="",J315=""),"",IF(F315="股票期权",MAX(0,(J315-K315)*I315),IF(F315="限制性股票",IF(OR(L315="",M315="",M315&lt;=0,N315=""),"",MAX(0,((L315+J315)/2)*I315-N315*I315/M315)),MAX(0,O315))))</f>
        <v/>
      </c>
      <c r="T315" s="14">
        <f>IF(S315="","",SUMIFS($S$2:$S$501,$C$2:$C$501,C315,$H$2:$H$501,H315,$G$2:$G$501,"&lt;"&amp;G315)+SUMIFS($S$2:$S$501,$C$2:$C$501,C315,$H$2:$H$501,H315,$G$2:$G$501,G315,$A$2:$A$501,"&lt;"&amp;A315))</f>
        <v/>
      </c>
      <c r="U315" s="14">
        <f>IF(S315="","",T315+S315)</f>
        <v/>
      </c>
      <c r="V315" s="15">
        <f>IF(U315="","",VLOOKUP(U315,'税率及规则'!$A$2:$C$8,2,TRUE))</f>
        <v/>
      </c>
      <c r="W315" s="14">
        <f>IF(U315="","",VLOOKUP(U315,'税率及规则'!$A$2:$C$8,3,TRUE))</f>
        <v/>
      </c>
      <c r="X315" s="14">
        <f>IF(U315="","",MAX(0,U315*V315-W315))</f>
        <v/>
      </c>
      <c r="Y315" s="14">
        <f>IF(T315="","",MAX(0,T315*VLOOKUP(T315,'税率及规则'!$A$2:$C$8,2,TRUE)-VLOOKUP(T315,'税率及规则'!$A$2:$C$8,3,TRUE)))</f>
        <v/>
      </c>
      <c r="Z315" s="14">
        <f>IF(X315="","",MAX(0,X315-Y315))</f>
        <v/>
      </c>
      <c r="AA315" s="16">
        <f>IF(G315="","",G315)</f>
        <v/>
      </c>
      <c r="AB315" s="16">
        <f>IF(AA315="","",EDATE(AA315,36))</f>
        <v/>
      </c>
      <c r="AC315" s="6">
        <f>IF(A315="","",IF(COUNTIF($A$2:$A$501,A315)&gt;1,"异常：事件编号重复",IF(OR(C315="",D315="",E315="",F315="",G315="",I315="",J315=""),"异常：必填项缺失",IF(OR(I315&lt;=0,J315&lt;0),"异常：数量或价格无效",IF(AND(F315="限制性股票",OR(M315&lt;=0,N315&lt;0,I315&gt;M315)),"异常：个人获授或出资数据无效",IF(AND(F315="股票期权",K315&lt;&gt;IF(G315&lt;DATE(2025,1,10),14.56,IF(G315&lt;DATE(2025,4,29),14.32,IF(G315&lt;DATE(2025,9,26),14.18,14.04)))),"异常：行权价格区间不符",IF(Q315&lt;&gt;"已备案","提示：未确认备案","正常")))))))</f>
        <v/>
      </c>
      <c r="AD315" s="11" t="n"/>
    </row>
    <row r="316">
      <c r="A316" s="11" t="n"/>
      <c r="B316" s="6">
        <f>IF(A316="","",A316&amp;"-TAX")</f>
        <v/>
      </c>
      <c r="C316" s="11" t="n"/>
      <c r="D316" s="11" t="n"/>
      <c r="E316" s="11" t="n"/>
      <c r="F316" s="11" t="n"/>
      <c r="G316" s="12" t="n"/>
      <c r="H316" s="6">
        <f>IF(G316="","",YEAR(G316))</f>
        <v/>
      </c>
      <c r="I316" s="11" t="n"/>
      <c r="J316" s="13" t="n"/>
      <c r="K316" s="14">
        <f>IF(F316="股票期权",IF(G316="","",IF(G316&lt;DATE(2025,1,10),14.56,IF(G316&lt;DATE(2025,4,29),14.32,IF(G316&lt;DATE(2025,9,26),14.18,14.04)))),IF(F316="限制性股票",8.68,""))</f>
        <v/>
      </c>
      <c r="L316" s="14">
        <f>IF(F316="限制性股票",13.06,"")</f>
        <v/>
      </c>
      <c r="M316" s="11" t="n"/>
      <c r="N316" s="13" t="n"/>
      <c r="O316" s="13" t="n"/>
      <c r="P316" s="12" t="n"/>
      <c r="Q316" s="11" t="n"/>
      <c r="R316" s="12" t="n"/>
      <c r="S316" s="14">
        <f>IF(OR(A316="",C316="",F316="",G316="",I316="",J316=""),"",IF(F316="股票期权",MAX(0,(J316-K316)*I316),IF(F316="限制性股票",IF(OR(L316="",M316="",M316&lt;=0,N316=""),"",MAX(0,((L316+J316)/2)*I316-N316*I316/M316)),MAX(0,O316))))</f>
        <v/>
      </c>
      <c r="T316" s="14">
        <f>IF(S316="","",SUMIFS($S$2:$S$501,$C$2:$C$501,C316,$H$2:$H$501,H316,$G$2:$G$501,"&lt;"&amp;G316)+SUMIFS($S$2:$S$501,$C$2:$C$501,C316,$H$2:$H$501,H316,$G$2:$G$501,G316,$A$2:$A$501,"&lt;"&amp;A316))</f>
        <v/>
      </c>
      <c r="U316" s="14">
        <f>IF(S316="","",T316+S316)</f>
        <v/>
      </c>
      <c r="V316" s="15">
        <f>IF(U316="","",VLOOKUP(U316,'税率及规则'!$A$2:$C$8,2,TRUE))</f>
        <v/>
      </c>
      <c r="W316" s="14">
        <f>IF(U316="","",VLOOKUP(U316,'税率及规则'!$A$2:$C$8,3,TRUE))</f>
        <v/>
      </c>
      <c r="X316" s="14">
        <f>IF(U316="","",MAX(0,U316*V316-W316))</f>
        <v/>
      </c>
      <c r="Y316" s="14">
        <f>IF(T316="","",MAX(0,T316*VLOOKUP(T316,'税率及规则'!$A$2:$C$8,2,TRUE)-VLOOKUP(T316,'税率及规则'!$A$2:$C$8,3,TRUE)))</f>
        <v/>
      </c>
      <c r="Z316" s="14">
        <f>IF(X316="","",MAX(0,X316-Y316))</f>
        <v/>
      </c>
      <c r="AA316" s="16">
        <f>IF(G316="","",G316)</f>
        <v/>
      </c>
      <c r="AB316" s="16">
        <f>IF(AA316="","",EDATE(AA316,36))</f>
        <v/>
      </c>
      <c r="AC316" s="6">
        <f>IF(A316="","",IF(COUNTIF($A$2:$A$501,A316)&gt;1,"异常：事件编号重复",IF(OR(C316="",D316="",E316="",F316="",G316="",I316="",J316=""),"异常：必填项缺失",IF(OR(I316&lt;=0,J316&lt;0),"异常：数量或价格无效",IF(AND(F316="限制性股票",OR(M316&lt;=0,N316&lt;0,I316&gt;M316)),"异常：个人获授或出资数据无效",IF(AND(F316="股票期权",K316&lt;&gt;IF(G316&lt;DATE(2025,1,10),14.56,IF(G316&lt;DATE(2025,4,29),14.32,IF(G316&lt;DATE(2025,9,26),14.18,14.04)))),"异常：行权价格区间不符",IF(Q316&lt;&gt;"已备案","提示：未确认备案","正常")))))))</f>
        <v/>
      </c>
      <c r="AD316" s="11" t="n"/>
    </row>
    <row r="317">
      <c r="A317" s="11" t="n"/>
      <c r="B317" s="6">
        <f>IF(A317="","",A317&amp;"-TAX")</f>
        <v/>
      </c>
      <c r="C317" s="11" t="n"/>
      <c r="D317" s="11" t="n"/>
      <c r="E317" s="11" t="n"/>
      <c r="F317" s="11" t="n"/>
      <c r="G317" s="12" t="n"/>
      <c r="H317" s="6">
        <f>IF(G317="","",YEAR(G317))</f>
        <v/>
      </c>
      <c r="I317" s="11" t="n"/>
      <c r="J317" s="13" t="n"/>
      <c r="K317" s="14">
        <f>IF(F317="股票期权",IF(G317="","",IF(G317&lt;DATE(2025,1,10),14.56,IF(G317&lt;DATE(2025,4,29),14.32,IF(G317&lt;DATE(2025,9,26),14.18,14.04)))),IF(F317="限制性股票",8.68,""))</f>
        <v/>
      </c>
      <c r="L317" s="14">
        <f>IF(F317="限制性股票",13.06,"")</f>
        <v/>
      </c>
      <c r="M317" s="11" t="n"/>
      <c r="N317" s="13" t="n"/>
      <c r="O317" s="13" t="n"/>
      <c r="P317" s="12" t="n"/>
      <c r="Q317" s="11" t="n"/>
      <c r="R317" s="12" t="n"/>
      <c r="S317" s="14">
        <f>IF(OR(A317="",C317="",F317="",G317="",I317="",J317=""),"",IF(F317="股票期权",MAX(0,(J317-K317)*I317),IF(F317="限制性股票",IF(OR(L317="",M317="",M317&lt;=0,N317=""),"",MAX(0,((L317+J317)/2)*I317-N317*I317/M317)),MAX(0,O317))))</f>
        <v/>
      </c>
      <c r="T317" s="14">
        <f>IF(S317="","",SUMIFS($S$2:$S$501,$C$2:$C$501,C317,$H$2:$H$501,H317,$G$2:$G$501,"&lt;"&amp;G317)+SUMIFS($S$2:$S$501,$C$2:$C$501,C317,$H$2:$H$501,H317,$G$2:$G$501,G317,$A$2:$A$501,"&lt;"&amp;A317))</f>
        <v/>
      </c>
      <c r="U317" s="14">
        <f>IF(S317="","",T317+S317)</f>
        <v/>
      </c>
      <c r="V317" s="15">
        <f>IF(U317="","",VLOOKUP(U317,'税率及规则'!$A$2:$C$8,2,TRUE))</f>
        <v/>
      </c>
      <c r="W317" s="14">
        <f>IF(U317="","",VLOOKUP(U317,'税率及规则'!$A$2:$C$8,3,TRUE))</f>
        <v/>
      </c>
      <c r="X317" s="14">
        <f>IF(U317="","",MAX(0,U317*V317-W317))</f>
        <v/>
      </c>
      <c r="Y317" s="14">
        <f>IF(T317="","",MAX(0,T317*VLOOKUP(T317,'税率及规则'!$A$2:$C$8,2,TRUE)-VLOOKUP(T317,'税率及规则'!$A$2:$C$8,3,TRUE)))</f>
        <v/>
      </c>
      <c r="Z317" s="14">
        <f>IF(X317="","",MAX(0,X317-Y317))</f>
        <v/>
      </c>
      <c r="AA317" s="16">
        <f>IF(G317="","",G317)</f>
        <v/>
      </c>
      <c r="AB317" s="16">
        <f>IF(AA317="","",EDATE(AA317,36))</f>
        <v/>
      </c>
      <c r="AC317" s="6">
        <f>IF(A317="","",IF(COUNTIF($A$2:$A$501,A317)&gt;1,"异常：事件编号重复",IF(OR(C317="",D317="",E317="",F317="",G317="",I317="",J317=""),"异常：必填项缺失",IF(OR(I317&lt;=0,J317&lt;0),"异常：数量或价格无效",IF(AND(F317="限制性股票",OR(M317&lt;=0,N317&lt;0,I317&gt;M317)),"异常：个人获授或出资数据无效",IF(AND(F317="股票期权",K317&lt;&gt;IF(G317&lt;DATE(2025,1,10),14.56,IF(G317&lt;DATE(2025,4,29),14.32,IF(G317&lt;DATE(2025,9,26),14.18,14.04)))),"异常：行权价格区间不符",IF(Q317&lt;&gt;"已备案","提示：未确认备案","正常")))))))</f>
        <v/>
      </c>
      <c r="AD317" s="11" t="n"/>
    </row>
    <row r="318">
      <c r="A318" s="11" t="n"/>
      <c r="B318" s="6">
        <f>IF(A318="","",A318&amp;"-TAX")</f>
        <v/>
      </c>
      <c r="C318" s="11" t="n"/>
      <c r="D318" s="11" t="n"/>
      <c r="E318" s="11" t="n"/>
      <c r="F318" s="11" t="n"/>
      <c r="G318" s="12" t="n"/>
      <c r="H318" s="6">
        <f>IF(G318="","",YEAR(G318))</f>
        <v/>
      </c>
      <c r="I318" s="11" t="n"/>
      <c r="J318" s="13" t="n"/>
      <c r="K318" s="14">
        <f>IF(F318="股票期权",IF(G318="","",IF(G318&lt;DATE(2025,1,10),14.56,IF(G318&lt;DATE(2025,4,29),14.32,IF(G318&lt;DATE(2025,9,26),14.18,14.04)))),IF(F318="限制性股票",8.68,""))</f>
        <v/>
      </c>
      <c r="L318" s="14">
        <f>IF(F318="限制性股票",13.06,"")</f>
        <v/>
      </c>
      <c r="M318" s="11" t="n"/>
      <c r="N318" s="13" t="n"/>
      <c r="O318" s="13" t="n"/>
      <c r="P318" s="12" t="n"/>
      <c r="Q318" s="11" t="n"/>
      <c r="R318" s="12" t="n"/>
      <c r="S318" s="14">
        <f>IF(OR(A318="",C318="",F318="",G318="",I318="",J318=""),"",IF(F318="股票期权",MAX(0,(J318-K318)*I318),IF(F318="限制性股票",IF(OR(L318="",M318="",M318&lt;=0,N318=""),"",MAX(0,((L318+J318)/2)*I318-N318*I318/M318)),MAX(0,O318))))</f>
        <v/>
      </c>
      <c r="T318" s="14">
        <f>IF(S318="","",SUMIFS($S$2:$S$501,$C$2:$C$501,C318,$H$2:$H$501,H318,$G$2:$G$501,"&lt;"&amp;G318)+SUMIFS($S$2:$S$501,$C$2:$C$501,C318,$H$2:$H$501,H318,$G$2:$G$501,G318,$A$2:$A$501,"&lt;"&amp;A318))</f>
        <v/>
      </c>
      <c r="U318" s="14">
        <f>IF(S318="","",T318+S318)</f>
        <v/>
      </c>
      <c r="V318" s="15">
        <f>IF(U318="","",VLOOKUP(U318,'税率及规则'!$A$2:$C$8,2,TRUE))</f>
        <v/>
      </c>
      <c r="W318" s="14">
        <f>IF(U318="","",VLOOKUP(U318,'税率及规则'!$A$2:$C$8,3,TRUE))</f>
        <v/>
      </c>
      <c r="X318" s="14">
        <f>IF(U318="","",MAX(0,U318*V318-W318))</f>
        <v/>
      </c>
      <c r="Y318" s="14">
        <f>IF(T318="","",MAX(0,T318*VLOOKUP(T318,'税率及规则'!$A$2:$C$8,2,TRUE)-VLOOKUP(T318,'税率及规则'!$A$2:$C$8,3,TRUE)))</f>
        <v/>
      </c>
      <c r="Z318" s="14">
        <f>IF(X318="","",MAX(0,X318-Y318))</f>
        <v/>
      </c>
      <c r="AA318" s="16">
        <f>IF(G318="","",G318)</f>
        <v/>
      </c>
      <c r="AB318" s="16">
        <f>IF(AA318="","",EDATE(AA318,36))</f>
        <v/>
      </c>
      <c r="AC318" s="6">
        <f>IF(A318="","",IF(COUNTIF($A$2:$A$501,A318)&gt;1,"异常：事件编号重复",IF(OR(C318="",D318="",E318="",F318="",G318="",I318="",J318=""),"异常：必填项缺失",IF(OR(I318&lt;=0,J318&lt;0),"异常：数量或价格无效",IF(AND(F318="限制性股票",OR(M318&lt;=0,N318&lt;0,I318&gt;M318)),"异常：个人获授或出资数据无效",IF(AND(F318="股票期权",K318&lt;&gt;IF(G318&lt;DATE(2025,1,10),14.56,IF(G318&lt;DATE(2025,4,29),14.32,IF(G318&lt;DATE(2025,9,26),14.18,14.04)))),"异常：行权价格区间不符",IF(Q318&lt;&gt;"已备案","提示：未确认备案","正常")))))))</f>
        <v/>
      </c>
      <c r="AD318" s="11" t="n"/>
    </row>
    <row r="319">
      <c r="A319" s="11" t="n"/>
      <c r="B319" s="6">
        <f>IF(A319="","",A319&amp;"-TAX")</f>
        <v/>
      </c>
      <c r="C319" s="11" t="n"/>
      <c r="D319" s="11" t="n"/>
      <c r="E319" s="11" t="n"/>
      <c r="F319" s="11" t="n"/>
      <c r="G319" s="12" t="n"/>
      <c r="H319" s="6">
        <f>IF(G319="","",YEAR(G319))</f>
        <v/>
      </c>
      <c r="I319" s="11" t="n"/>
      <c r="J319" s="13" t="n"/>
      <c r="K319" s="14">
        <f>IF(F319="股票期权",IF(G319="","",IF(G319&lt;DATE(2025,1,10),14.56,IF(G319&lt;DATE(2025,4,29),14.32,IF(G319&lt;DATE(2025,9,26),14.18,14.04)))),IF(F319="限制性股票",8.68,""))</f>
        <v/>
      </c>
      <c r="L319" s="14">
        <f>IF(F319="限制性股票",13.06,"")</f>
        <v/>
      </c>
      <c r="M319" s="11" t="n"/>
      <c r="N319" s="13" t="n"/>
      <c r="O319" s="13" t="n"/>
      <c r="P319" s="12" t="n"/>
      <c r="Q319" s="11" t="n"/>
      <c r="R319" s="12" t="n"/>
      <c r="S319" s="14">
        <f>IF(OR(A319="",C319="",F319="",G319="",I319="",J319=""),"",IF(F319="股票期权",MAX(0,(J319-K319)*I319),IF(F319="限制性股票",IF(OR(L319="",M319="",M319&lt;=0,N319=""),"",MAX(0,((L319+J319)/2)*I319-N319*I319/M319)),MAX(0,O319))))</f>
        <v/>
      </c>
      <c r="T319" s="14">
        <f>IF(S319="","",SUMIFS($S$2:$S$501,$C$2:$C$501,C319,$H$2:$H$501,H319,$G$2:$G$501,"&lt;"&amp;G319)+SUMIFS($S$2:$S$501,$C$2:$C$501,C319,$H$2:$H$501,H319,$G$2:$G$501,G319,$A$2:$A$501,"&lt;"&amp;A319))</f>
        <v/>
      </c>
      <c r="U319" s="14">
        <f>IF(S319="","",T319+S319)</f>
        <v/>
      </c>
      <c r="V319" s="15">
        <f>IF(U319="","",VLOOKUP(U319,'税率及规则'!$A$2:$C$8,2,TRUE))</f>
        <v/>
      </c>
      <c r="W319" s="14">
        <f>IF(U319="","",VLOOKUP(U319,'税率及规则'!$A$2:$C$8,3,TRUE))</f>
        <v/>
      </c>
      <c r="X319" s="14">
        <f>IF(U319="","",MAX(0,U319*V319-W319))</f>
        <v/>
      </c>
      <c r="Y319" s="14">
        <f>IF(T319="","",MAX(0,T319*VLOOKUP(T319,'税率及规则'!$A$2:$C$8,2,TRUE)-VLOOKUP(T319,'税率及规则'!$A$2:$C$8,3,TRUE)))</f>
        <v/>
      </c>
      <c r="Z319" s="14">
        <f>IF(X319="","",MAX(0,X319-Y319))</f>
        <v/>
      </c>
      <c r="AA319" s="16">
        <f>IF(G319="","",G319)</f>
        <v/>
      </c>
      <c r="AB319" s="16">
        <f>IF(AA319="","",EDATE(AA319,36))</f>
        <v/>
      </c>
      <c r="AC319" s="6">
        <f>IF(A319="","",IF(COUNTIF($A$2:$A$501,A319)&gt;1,"异常：事件编号重复",IF(OR(C319="",D319="",E319="",F319="",G319="",I319="",J319=""),"异常：必填项缺失",IF(OR(I319&lt;=0,J319&lt;0),"异常：数量或价格无效",IF(AND(F319="限制性股票",OR(M319&lt;=0,N319&lt;0,I319&gt;M319)),"异常：个人获授或出资数据无效",IF(AND(F319="股票期权",K319&lt;&gt;IF(G319&lt;DATE(2025,1,10),14.56,IF(G319&lt;DATE(2025,4,29),14.32,IF(G319&lt;DATE(2025,9,26),14.18,14.04)))),"异常：行权价格区间不符",IF(Q319&lt;&gt;"已备案","提示：未确认备案","正常")))))))</f>
        <v/>
      </c>
      <c r="AD319" s="11" t="n"/>
    </row>
    <row r="320">
      <c r="A320" s="11" t="n"/>
      <c r="B320" s="6">
        <f>IF(A320="","",A320&amp;"-TAX")</f>
        <v/>
      </c>
      <c r="C320" s="11" t="n"/>
      <c r="D320" s="11" t="n"/>
      <c r="E320" s="11" t="n"/>
      <c r="F320" s="11" t="n"/>
      <c r="G320" s="12" t="n"/>
      <c r="H320" s="6">
        <f>IF(G320="","",YEAR(G320))</f>
        <v/>
      </c>
      <c r="I320" s="11" t="n"/>
      <c r="J320" s="13" t="n"/>
      <c r="K320" s="14">
        <f>IF(F320="股票期权",IF(G320="","",IF(G320&lt;DATE(2025,1,10),14.56,IF(G320&lt;DATE(2025,4,29),14.32,IF(G320&lt;DATE(2025,9,26),14.18,14.04)))),IF(F320="限制性股票",8.68,""))</f>
        <v/>
      </c>
      <c r="L320" s="14">
        <f>IF(F320="限制性股票",13.06,"")</f>
        <v/>
      </c>
      <c r="M320" s="11" t="n"/>
      <c r="N320" s="13" t="n"/>
      <c r="O320" s="13" t="n"/>
      <c r="P320" s="12" t="n"/>
      <c r="Q320" s="11" t="n"/>
      <c r="R320" s="12" t="n"/>
      <c r="S320" s="14">
        <f>IF(OR(A320="",C320="",F320="",G320="",I320="",J320=""),"",IF(F320="股票期权",MAX(0,(J320-K320)*I320),IF(F320="限制性股票",IF(OR(L320="",M320="",M320&lt;=0,N320=""),"",MAX(0,((L320+J320)/2)*I320-N320*I320/M320)),MAX(0,O320))))</f>
        <v/>
      </c>
      <c r="T320" s="14">
        <f>IF(S320="","",SUMIFS($S$2:$S$501,$C$2:$C$501,C320,$H$2:$H$501,H320,$G$2:$G$501,"&lt;"&amp;G320)+SUMIFS($S$2:$S$501,$C$2:$C$501,C320,$H$2:$H$501,H320,$G$2:$G$501,G320,$A$2:$A$501,"&lt;"&amp;A320))</f>
        <v/>
      </c>
      <c r="U320" s="14">
        <f>IF(S320="","",T320+S320)</f>
        <v/>
      </c>
      <c r="V320" s="15">
        <f>IF(U320="","",VLOOKUP(U320,'税率及规则'!$A$2:$C$8,2,TRUE))</f>
        <v/>
      </c>
      <c r="W320" s="14">
        <f>IF(U320="","",VLOOKUP(U320,'税率及规则'!$A$2:$C$8,3,TRUE))</f>
        <v/>
      </c>
      <c r="X320" s="14">
        <f>IF(U320="","",MAX(0,U320*V320-W320))</f>
        <v/>
      </c>
      <c r="Y320" s="14">
        <f>IF(T320="","",MAX(0,T320*VLOOKUP(T320,'税率及规则'!$A$2:$C$8,2,TRUE)-VLOOKUP(T320,'税率及规则'!$A$2:$C$8,3,TRUE)))</f>
        <v/>
      </c>
      <c r="Z320" s="14">
        <f>IF(X320="","",MAX(0,X320-Y320))</f>
        <v/>
      </c>
      <c r="AA320" s="16">
        <f>IF(G320="","",G320)</f>
        <v/>
      </c>
      <c r="AB320" s="16">
        <f>IF(AA320="","",EDATE(AA320,36))</f>
        <v/>
      </c>
      <c r="AC320" s="6">
        <f>IF(A320="","",IF(COUNTIF($A$2:$A$501,A320)&gt;1,"异常：事件编号重复",IF(OR(C320="",D320="",E320="",F320="",G320="",I320="",J320=""),"异常：必填项缺失",IF(OR(I320&lt;=0,J320&lt;0),"异常：数量或价格无效",IF(AND(F320="限制性股票",OR(M320&lt;=0,N320&lt;0,I320&gt;M320)),"异常：个人获授或出资数据无效",IF(AND(F320="股票期权",K320&lt;&gt;IF(G320&lt;DATE(2025,1,10),14.56,IF(G320&lt;DATE(2025,4,29),14.32,IF(G320&lt;DATE(2025,9,26),14.18,14.04)))),"异常：行权价格区间不符",IF(Q320&lt;&gt;"已备案","提示：未确认备案","正常")))))))</f>
        <v/>
      </c>
      <c r="AD320" s="11" t="n"/>
    </row>
    <row r="321">
      <c r="A321" s="11" t="n"/>
      <c r="B321" s="6">
        <f>IF(A321="","",A321&amp;"-TAX")</f>
        <v/>
      </c>
      <c r="C321" s="11" t="n"/>
      <c r="D321" s="11" t="n"/>
      <c r="E321" s="11" t="n"/>
      <c r="F321" s="11" t="n"/>
      <c r="G321" s="12" t="n"/>
      <c r="H321" s="6">
        <f>IF(G321="","",YEAR(G321))</f>
        <v/>
      </c>
      <c r="I321" s="11" t="n"/>
      <c r="J321" s="13" t="n"/>
      <c r="K321" s="14">
        <f>IF(F321="股票期权",IF(G321="","",IF(G321&lt;DATE(2025,1,10),14.56,IF(G321&lt;DATE(2025,4,29),14.32,IF(G321&lt;DATE(2025,9,26),14.18,14.04)))),IF(F321="限制性股票",8.68,""))</f>
        <v/>
      </c>
      <c r="L321" s="14">
        <f>IF(F321="限制性股票",13.06,"")</f>
        <v/>
      </c>
      <c r="M321" s="11" t="n"/>
      <c r="N321" s="13" t="n"/>
      <c r="O321" s="13" t="n"/>
      <c r="P321" s="12" t="n"/>
      <c r="Q321" s="11" t="n"/>
      <c r="R321" s="12" t="n"/>
      <c r="S321" s="14">
        <f>IF(OR(A321="",C321="",F321="",G321="",I321="",J321=""),"",IF(F321="股票期权",MAX(0,(J321-K321)*I321),IF(F321="限制性股票",IF(OR(L321="",M321="",M321&lt;=0,N321=""),"",MAX(0,((L321+J321)/2)*I321-N321*I321/M321)),MAX(0,O321))))</f>
        <v/>
      </c>
      <c r="T321" s="14">
        <f>IF(S321="","",SUMIFS($S$2:$S$501,$C$2:$C$501,C321,$H$2:$H$501,H321,$G$2:$G$501,"&lt;"&amp;G321)+SUMIFS($S$2:$S$501,$C$2:$C$501,C321,$H$2:$H$501,H321,$G$2:$G$501,G321,$A$2:$A$501,"&lt;"&amp;A321))</f>
        <v/>
      </c>
      <c r="U321" s="14">
        <f>IF(S321="","",T321+S321)</f>
        <v/>
      </c>
      <c r="V321" s="15">
        <f>IF(U321="","",VLOOKUP(U321,'税率及规则'!$A$2:$C$8,2,TRUE))</f>
        <v/>
      </c>
      <c r="W321" s="14">
        <f>IF(U321="","",VLOOKUP(U321,'税率及规则'!$A$2:$C$8,3,TRUE))</f>
        <v/>
      </c>
      <c r="X321" s="14">
        <f>IF(U321="","",MAX(0,U321*V321-W321))</f>
        <v/>
      </c>
      <c r="Y321" s="14">
        <f>IF(T321="","",MAX(0,T321*VLOOKUP(T321,'税率及规则'!$A$2:$C$8,2,TRUE)-VLOOKUP(T321,'税率及规则'!$A$2:$C$8,3,TRUE)))</f>
        <v/>
      </c>
      <c r="Z321" s="14">
        <f>IF(X321="","",MAX(0,X321-Y321))</f>
        <v/>
      </c>
      <c r="AA321" s="16">
        <f>IF(G321="","",G321)</f>
        <v/>
      </c>
      <c r="AB321" s="16">
        <f>IF(AA321="","",EDATE(AA321,36))</f>
        <v/>
      </c>
      <c r="AC321" s="6">
        <f>IF(A321="","",IF(COUNTIF($A$2:$A$501,A321)&gt;1,"异常：事件编号重复",IF(OR(C321="",D321="",E321="",F321="",G321="",I321="",J321=""),"异常：必填项缺失",IF(OR(I321&lt;=0,J321&lt;0),"异常：数量或价格无效",IF(AND(F321="限制性股票",OR(M321&lt;=0,N321&lt;0,I321&gt;M321)),"异常：个人获授或出资数据无效",IF(AND(F321="股票期权",K321&lt;&gt;IF(G321&lt;DATE(2025,1,10),14.56,IF(G321&lt;DATE(2025,4,29),14.32,IF(G321&lt;DATE(2025,9,26),14.18,14.04)))),"异常：行权价格区间不符",IF(Q321&lt;&gt;"已备案","提示：未确认备案","正常")))))))</f>
        <v/>
      </c>
      <c r="AD321" s="11" t="n"/>
    </row>
    <row r="322">
      <c r="A322" s="11" t="n"/>
      <c r="B322" s="6">
        <f>IF(A322="","",A322&amp;"-TAX")</f>
        <v/>
      </c>
      <c r="C322" s="11" t="n"/>
      <c r="D322" s="11" t="n"/>
      <c r="E322" s="11" t="n"/>
      <c r="F322" s="11" t="n"/>
      <c r="G322" s="12" t="n"/>
      <c r="H322" s="6">
        <f>IF(G322="","",YEAR(G322))</f>
        <v/>
      </c>
      <c r="I322" s="11" t="n"/>
      <c r="J322" s="13" t="n"/>
      <c r="K322" s="14">
        <f>IF(F322="股票期权",IF(G322="","",IF(G322&lt;DATE(2025,1,10),14.56,IF(G322&lt;DATE(2025,4,29),14.32,IF(G322&lt;DATE(2025,9,26),14.18,14.04)))),IF(F322="限制性股票",8.68,""))</f>
        <v/>
      </c>
      <c r="L322" s="14">
        <f>IF(F322="限制性股票",13.06,"")</f>
        <v/>
      </c>
      <c r="M322" s="11" t="n"/>
      <c r="N322" s="13" t="n"/>
      <c r="O322" s="13" t="n"/>
      <c r="P322" s="12" t="n"/>
      <c r="Q322" s="11" t="n"/>
      <c r="R322" s="12" t="n"/>
      <c r="S322" s="14">
        <f>IF(OR(A322="",C322="",F322="",G322="",I322="",J322=""),"",IF(F322="股票期权",MAX(0,(J322-K322)*I322),IF(F322="限制性股票",IF(OR(L322="",M322="",M322&lt;=0,N322=""),"",MAX(0,((L322+J322)/2)*I322-N322*I322/M322)),MAX(0,O322))))</f>
        <v/>
      </c>
      <c r="T322" s="14">
        <f>IF(S322="","",SUMIFS($S$2:$S$501,$C$2:$C$501,C322,$H$2:$H$501,H322,$G$2:$G$501,"&lt;"&amp;G322)+SUMIFS($S$2:$S$501,$C$2:$C$501,C322,$H$2:$H$501,H322,$G$2:$G$501,G322,$A$2:$A$501,"&lt;"&amp;A322))</f>
        <v/>
      </c>
      <c r="U322" s="14">
        <f>IF(S322="","",T322+S322)</f>
        <v/>
      </c>
      <c r="V322" s="15">
        <f>IF(U322="","",VLOOKUP(U322,'税率及规则'!$A$2:$C$8,2,TRUE))</f>
        <v/>
      </c>
      <c r="W322" s="14">
        <f>IF(U322="","",VLOOKUP(U322,'税率及规则'!$A$2:$C$8,3,TRUE))</f>
        <v/>
      </c>
      <c r="X322" s="14">
        <f>IF(U322="","",MAX(0,U322*V322-W322))</f>
        <v/>
      </c>
      <c r="Y322" s="14">
        <f>IF(T322="","",MAX(0,T322*VLOOKUP(T322,'税率及规则'!$A$2:$C$8,2,TRUE)-VLOOKUP(T322,'税率及规则'!$A$2:$C$8,3,TRUE)))</f>
        <v/>
      </c>
      <c r="Z322" s="14">
        <f>IF(X322="","",MAX(0,X322-Y322))</f>
        <v/>
      </c>
      <c r="AA322" s="16">
        <f>IF(G322="","",G322)</f>
        <v/>
      </c>
      <c r="AB322" s="16">
        <f>IF(AA322="","",EDATE(AA322,36))</f>
        <v/>
      </c>
      <c r="AC322" s="6">
        <f>IF(A322="","",IF(COUNTIF($A$2:$A$501,A322)&gt;1,"异常：事件编号重复",IF(OR(C322="",D322="",E322="",F322="",G322="",I322="",J322=""),"异常：必填项缺失",IF(OR(I322&lt;=0,J322&lt;0),"异常：数量或价格无效",IF(AND(F322="限制性股票",OR(M322&lt;=0,N322&lt;0,I322&gt;M322)),"异常：个人获授或出资数据无效",IF(AND(F322="股票期权",K322&lt;&gt;IF(G322&lt;DATE(2025,1,10),14.56,IF(G322&lt;DATE(2025,4,29),14.32,IF(G322&lt;DATE(2025,9,26),14.18,14.04)))),"异常：行权价格区间不符",IF(Q322&lt;&gt;"已备案","提示：未确认备案","正常")))))))</f>
        <v/>
      </c>
      <c r="AD322" s="11" t="n"/>
    </row>
    <row r="323">
      <c r="A323" s="11" t="n"/>
      <c r="B323" s="6">
        <f>IF(A323="","",A323&amp;"-TAX")</f>
        <v/>
      </c>
      <c r="C323" s="11" t="n"/>
      <c r="D323" s="11" t="n"/>
      <c r="E323" s="11" t="n"/>
      <c r="F323" s="11" t="n"/>
      <c r="G323" s="12" t="n"/>
      <c r="H323" s="6">
        <f>IF(G323="","",YEAR(G323))</f>
        <v/>
      </c>
      <c r="I323" s="11" t="n"/>
      <c r="J323" s="13" t="n"/>
      <c r="K323" s="14">
        <f>IF(F323="股票期权",IF(G323="","",IF(G323&lt;DATE(2025,1,10),14.56,IF(G323&lt;DATE(2025,4,29),14.32,IF(G323&lt;DATE(2025,9,26),14.18,14.04)))),IF(F323="限制性股票",8.68,""))</f>
        <v/>
      </c>
      <c r="L323" s="14">
        <f>IF(F323="限制性股票",13.06,"")</f>
        <v/>
      </c>
      <c r="M323" s="11" t="n"/>
      <c r="N323" s="13" t="n"/>
      <c r="O323" s="13" t="n"/>
      <c r="P323" s="12" t="n"/>
      <c r="Q323" s="11" t="n"/>
      <c r="R323" s="12" t="n"/>
      <c r="S323" s="14">
        <f>IF(OR(A323="",C323="",F323="",G323="",I323="",J323=""),"",IF(F323="股票期权",MAX(0,(J323-K323)*I323),IF(F323="限制性股票",IF(OR(L323="",M323="",M323&lt;=0,N323=""),"",MAX(0,((L323+J323)/2)*I323-N323*I323/M323)),MAX(0,O323))))</f>
        <v/>
      </c>
      <c r="T323" s="14">
        <f>IF(S323="","",SUMIFS($S$2:$S$501,$C$2:$C$501,C323,$H$2:$H$501,H323,$G$2:$G$501,"&lt;"&amp;G323)+SUMIFS($S$2:$S$501,$C$2:$C$501,C323,$H$2:$H$501,H323,$G$2:$G$501,G323,$A$2:$A$501,"&lt;"&amp;A323))</f>
        <v/>
      </c>
      <c r="U323" s="14">
        <f>IF(S323="","",T323+S323)</f>
        <v/>
      </c>
      <c r="V323" s="15">
        <f>IF(U323="","",VLOOKUP(U323,'税率及规则'!$A$2:$C$8,2,TRUE))</f>
        <v/>
      </c>
      <c r="W323" s="14">
        <f>IF(U323="","",VLOOKUP(U323,'税率及规则'!$A$2:$C$8,3,TRUE))</f>
        <v/>
      </c>
      <c r="X323" s="14">
        <f>IF(U323="","",MAX(0,U323*V323-W323))</f>
        <v/>
      </c>
      <c r="Y323" s="14">
        <f>IF(T323="","",MAX(0,T323*VLOOKUP(T323,'税率及规则'!$A$2:$C$8,2,TRUE)-VLOOKUP(T323,'税率及规则'!$A$2:$C$8,3,TRUE)))</f>
        <v/>
      </c>
      <c r="Z323" s="14">
        <f>IF(X323="","",MAX(0,X323-Y323))</f>
        <v/>
      </c>
      <c r="AA323" s="16">
        <f>IF(G323="","",G323)</f>
        <v/>
      </c>
      <c r="AB323" s="16">
        <f>IF(AA323="","",EDATE(AA323,36))</f>
        <v/>
      </c>
      <c r="AC323" s="6">
        <f>IF(A323="","",IF(COUNTIF($A$2:$A$501,A323)&gt;1,"异常：事件编号重复",IF(OR(C323="",D323="",E323="",F323="",G323="",I323="",J323=""),"异常：必填项缺失",IF(OR(I323&lt;=0,J323&lt;0),"异常：数量或价格无效",IF(AND(F323="限制性股票",OR(M323&lt;=0,N323&lt;0,I323&gt;M323)),"异常：个人获授或出资数据无效",IF(AND(F323="股票期权",K323&lt;&gt;IF(G323&lt;DATE(2025,1,10),14.56,IF(G323&lt;DATE(2025,4,29),14.32,IF(G323&lt;DATE(2025,9,26),14.18,14.04)))),"异常：行权价格区间不符",IF(Q323&lt;&gt;"已备案","提示：未确认备案","正常")))))))</f>
        <v/>
      </c>
      <c r="AD323" s="11" t="n"/>
    </row>
    <row r="324">
      <c r="A324" s="11" t="n"/>
      <c r="B324" s="6">
        <f>IF(A324="","",A324&amp;"-TAX")</f>
        <v/>
      </c>
      <c r="C324" s="11" t="n"/>
      <c r="D324" s="11" t="n"/>
      <c r="E324" s="11" t="n"/>
      <c r="F324" s="11" t="n"/>
      <c r="G324" s="12" t="n"/>
      <c r="H324" s="6">
        <f>IF(G324="","",YEAR(G324))</f>
        <v/>
      </c>
      <c r="I324" s="11" t="n"/>
      <c r="J324" s="13" t="n"/>
      <c r="K324" s="14">
        <f>IF(F324="股票期权",IF(G324="","",IF(G324&lt;DATE(2025,1,10),14.56,IF(G324&lt;DATE(2025,4,29),14.32,IF(G324&lt;DATE(2025,9,26),14.18,14.04)))),IF(F324="限制性股票",8.68,""))</f>
        <v/>
      </c>
      <c r="L324" s="14">
        <f>IF(F324="限制性股票",13.06,"")</f>
        <v/>
      </c>
      <c r="M324" s="11" t="n"/>
      <c r="N324" s="13" t="n"/>
      <c r="O324" s="13" t="n"/>
      <c r="P324" s="12" t="n"/>
      <c r="Q324" s="11" t="n"/>
      <c r="R324" s="12" t="n"/>
      <c r="S324" s="14">
        <f>IF(OR(A324="",C324="",F324="",G324="",I324="",J324=""),"",IF(F324="股票期权",MAX(0,(J324-K324)*I324),IF(F324="限制性股票",IF(OR(L324="",M324="",M324&lt;=0,N324=""),"",MAX(0,((L324+J324)/2)*I324-N324*I324/M324)),MAX(0,O324))))</f>
        <v/>
      </c>
      <c r="T324" s="14">
        <f>IF(S324="","",SUMIFS($S$2:$S$501,$C$2:$C$501,C324,$H$2:$H$501,H324,$G$2:$G$501,"&lt;"&amp;G324)+SUMIFS($S$2:$S$501,$C$2:$C$501,C324,$H$2:$H$501,H324,$G$2:$G$501,G324,$A$2:$A$501,"&lt;"&amp;A324))</f>
        <v/>
      </c>
      <c r="U324" s="14">
        <f>IF(S324="","",T324+S324)</f>
        <v/>
      </c>
      <c r="V324" s="15">
        <f>IF(U324="","",VLOOKUP(U324,'税率及规则'!$A$2:$C$8,2,TRUE))</f>
        <v/>
      </c>
      <c r="W324" s="14">
        <f>IF(U324="","",VLOOKUP(U324,'税率及规则'!$A$2:$C$8,3,TRUE))</f>
        <v/>
      </c>
      <c r="X324" s="14">
        <f>IF(U324="","",MAX(0,U324*V324-W324))</f>
        <v/>
      </c>
      <c r="Y324" s="14">
        <f>IF(T324="","",MAX(0,T324*VLOOKUP(T324,'税率及规则'!$A$2:$C$8,2,TRUE)-VLOOKUP(T324,'税率及规则'!$A$2:$C$8,3,TRUE)))</f>
        <v/>
      </c>
      <c r="Z324" s="14">
        <f>IF(X324="","",MAX(0,X324-Y324))</f>
        <v/>
      </c>
      <c r="AA324" s="16">
        <f>IF(G324="","",G324)</f>
        <v/>
      </c>
      <c r="AB324" s="16">
        <f>IF(AA324="","",EDATE(AA324,36))</f>
        <v/>
      </c>
      <c r="AC324" s="6">
        <f>IF(A324="","",IF(COUNTIF($A$2:$A$501,A324)&gt;1,"异常：事件编号重复",IF(OR(C324="",D324="",E324="",F324="",G324="",I324="",J324=""),"异常：必填项缺失",IF(OR(I324&lt;=0,J324&lt;0),"异常：数量或价格无效",IF(AND(F324="限制性股票",OR(M324&lt;=0,N324&lt;0,I324&gt;M324)),"异常：个人获授或出资数据无效",IF(AND(F324="股票期权",K324&lt;&gt;IF(G324&lt;DATE(2025,1,10),14.56,IF(G324&lt;DATE(2025,4,29),14.32,IF(G324&lt;DATE(2025,9,26),14.18,14.04)))),"异常：行权价格区间不符",IF(Q324&lt;&gt;"已备案","提示：未确认备案","正常")))))))</f>
        <v/>
      </c>
      <c r="AD324" s="11" t="n"/>
    </row>
    <row r="325">
      <c r="A325" s="11" t="n"/>
      <c r="B325" s="6">
        <f>IF(A325="","",A325&amp;"-TAX")</f>
        <v/>
      </c>
      <c r="C325" s="11" t="n"/>
      <c r="D325" s="11" t="n"/>
      <c r="E325" s="11" t="n"/>
      <c r="F325" s="11" t="n"/>
      <c r="G325" s="12" t="n"/>
      <c r="H325" s="6">
        <f>IF(G325="","",YEAR(G325))</f>
        <v/>
      </c>
      <c r="I325" s="11" t="n"/>
      <c r="J325" s="13" t="n"/>
      <c r="K325" s="14">
        <f>IF(F325="股票期权",IF(G325="","",IF(G325&lt;DATE(2025,1,10),14.56,IF(G325&lt;DATE(2025,4,29),14.32,IF(G325&lt;DATE(2025,9,26),14.18,14.04)))),IF(F325="限制性股票",8.68,""))</f>
        <v/>
      </c>
      <c r="L325" s="14">
        <f>IF(F325="限制性股票",13.06,"")</f>
        <v/>
      </c>
      <c r="M325" s="11" t="n"/>
      <c r="N325" s="13" t="n"/>
      <c r="O325" s="13" t="n"/>
      <c r="P325" s="12" t="n"/>
      <c r="Q325" s="11" t="n"/>
      <c r="R325" s="12" t="n"/>
      <c r="S325" s="14">
        <f>IF(OR(A325="",C325="",F325="",G325="",I325="",J325=""),"",IF(F325="股票期权",MAX(0,(J325-K325)*I325),IF(F325="限制性股票",IF(OR(L325="",M325="",M325&lt;=0,N325=""),"",MAX(0,((L325+J325)/2)*I325-N325*I325/M325)),MAX(0,O325))))</f>
        <v/>
      </c>
      <c r="T325" s="14">
        <f>IF(S325="","",SUMIFS($S$2:$S$501,$C$2:$C$501,C325,$H$2:$H$501,H325,$G$2:$G$501,"&lt;"&amp;G325)+SUMIFS($S$2:$S$501,$C$2:$C$501,C325,$H$2:$H$501,H325,$G$2:$G$501,G325,$A$2:$A$501,"&lt;"&amp;A325))</f>
        <v/>
      </c>
      <c r="U325" s="14">
        <f>IF(S325="","",T325+S325)</f>
        <v/>
      </c>
      <c r="V325" s="15">
        <f>IF(U325="","",VLOOKUP(U325,'税率及规则'!$A$2:$C$8,2,TRUE))</f>
        <v/>
      </c>
      <c r="W325" s="14">
        <f>IF(U325="","",VLOOKUP(U325,'税率及规则'!$A$2:$C$8,3,TRUE))</f>
        <v/>
      </c>
      <c r="X325" s="14">
        <f>IF(U325="","",MAX(0,U325*V325-W325))</f>
        <v/>
      </c>
      <c r="Y325" s="14">
        <f>IF(T325="","",MAX(0,T325*VLOOKUP(T325,'税率及规则'!$A$2:$C$8,2,TRUE)-VLOOKUP(T325,'税率及规则'!$A$2:$C$8,3,TRUE)))</f>
        <v/>
      </c>
      <c r="Z325" s="14">
        <f>IF(X325="","",MAX(0,X325-Y325))</f>
        <v/>
      </c>
      <c r="AA325" s="16">
        <f>IF(G325="","",G325)</f>
        <v/>
      </c>
      <c r="AB325" s="16">
        <f>IF(AA325="","",EDATE(AA325,36))</f>
        <v/>
      </c>
      <c r="AC325" s="6">
        <f>IF(A325="","",IF(COUNTIF($A$2:$A$501,A325)&gt;1,"异常：事件编号重复",IF(OR(C325="",D325="",E325="",F325="",G325="",I325="",J325=""),"异常：必填项缺失",IF(OR(I325&lt;=0,J325&lt;0),"异常：数量或价格无效",IF(AND(F325="限制性股票",OR(M325&lt;=0,N325&lt;0,I325&gt;M325)),"异常：个人获授或出资数据无效",IF(AND(F325="股票期权",K325&lt;&gt;IF(G325&lt;DATE(2025,1,10),14.56,IF(G325&lt;DATE(2025,4,29),14.32,IF(G325&lt;DATE(2025,9,26),14.18,14.04)))),"异常：行权价格区间不符",IF(Q325&lt;&gt;"已备案","提示：未确认备案","正常")))))))</f>
        <v/>
      </c>
      <c r="AD325" s="11" t="n"/>
    </row>
    <row r="326">
      <c r="A326" s="11" t="n"/>
      <c r="B326" s="6">
        <f>IF(A326="","",A326&amp;"-TAX")</f>
        <v/>
      </c>
      <c r="C326" s="11" t="n"/>
      <c r="D326" s="11" t="n"/>
      <c r="E326" s="11" t="n"/>
      <c r="F326" s="11" t="n"/>
      <c r="G326" s="12" t="n"/>
      <c r="H326" s="6">
        <f>IF(G326="","",YEAR(G326))</f>
        <v/>
      </c>
      <c r="I326" s="11" t="n"/>
      <c r="J326" s="13" t="n"/>
      <c r="K326" s="14">
        <f>IF(F326="股票期权",IF(G326="","",IF(G326&lt;DATE(2025,1,10),14.56,IF(G326&lt;DATE(2025,4,29),14.32,IF(G326&lt;DATE(2025,9,26),14.18,14.04)))),IF(F326="限制性股票",8.68,""))</f>
        <v/>
      </c>
      <c r="L326" s="14">
        <f>IF(F326="限制性股票",13.06,"")</f>
        <v/>
      </c>
      <c r="M326" s="11" t="n"/>
      <c r="N326" s="13" t="n"/>
      <c r="O326" s="13" t="n"/>
      <c r="P326" s="12" t="n"/>
      <c r="Q326" s="11" t="n"/>
      <c r="R326" s="12" t="n"/>
      <c r="S326" s="14">
        <f>IF(OR(A326="",C326="",F326="",G326="",I326="",J326=""),"",IF(F326="股票期权",MAX(0,(J326-K326)*I326),IF(F326="限制性股票",IF(OR(L326="",M326="",M326&lt;=0,N326=""),"",MAX(0,((L326+J326)/2)*I326-N326*I326/M326)),MAX(0,O326))))</f>
        <v/>
      </c>
      <c r="T326" s="14">
        <f>IF(S326="","",SUMIFS($S$2:$S$501,$C$2:$C$501,C326,$H$2:$H$501,H326,$G$2:$G$501,"&lt;"&amp;G326)+SUMIFS($S$2:$S$501,$C$2:$C$501,C326,$H$2:$H$501,H326,$G$2:$G$501,G326,$A$2:$A$501,"&lt;"&amp;A326))</f>
        <v/>
      </c>
      <c r="U326" s="14">
        <f>IF(S326="","",T326+S326)</f>
        <v/>
      </c>
      <c r="V326" s="15">
        <f>IF(U326="","",VLOOKUP(U326,'税率及规则'!$A$2:$C$8,2,TRUE))</f>
        <v/>
      </c>
      <c r="W326" s="14">
        <f>IF(U326="","",VLOOKUP(U326,'税率及规则'!$A$2:$C$8,3,TRUE))</f>
        <v/>
      </c>
      <c r="X326" s="14">
        <f>IF(U326="","",MAX(0,U326*V326-W326))</f>
        <v/>
      </c>
      <c r="Y326" s="14">
        <f>IF(T326="","",MAX(0,T326*VLOOKUP(T326,'税率及规则'!$A$2:$C$8,2,TRUE)-VLOOKUP(T326,'税率及规则'!$A$2:$C$8,3,TRUE)))</f>
        <v/>
      </c>
      <c r="Z326" s="14">
        <f>IF(X326="","",MAX(0,X326-Y326))</f>
        <v/>
      </c>
      <c r="AA326" s="16">
        <f>IF(G326="","",G326)</f>
        <v/>
      </c>
      <c r="AB326" s="16">
        <f>IF(AA326="","",EDATE(AA326,36))</f>
        <v/>
      </c>
      <c r="AC326" s="6">
        <f>IF(A326="","",IF(COUNTIF($A$2:$A$501,A326)&gt;1,"异常：事件编号重复",IF(OR(C326="",D326="",E326="",F326="",G326="",I326="",J326=""),"异常：必填项缺失",IF(OR(I326&lt;=0,J326&lt;0),"异常：数量或价格无效",IF(AND(F326="限制性股票",OR(M326&lt;=0,N326&lt;0,I326&gt;M326)),"异常：个人获授或出资数据无效",IF(AND(F326="股票期权",K326&lt;&gt;IF(G326&lt;DATE(2025,1,10),14.56,IF(G326&lt;DATE(2025,4,29),14.32,IF(G326&lt;DATE(2025,9,26),14.18,14.04)))),"异常：行权价格区间不符",IF(Q326&lt;&gt;"已备案","提示：未确认备案","正常")))))))</f>
        <v/>
      </c>
      <c r="AD326" s="11" t="n"/>
    </row>
    <row r="327">
      <c r="A327" s="11" t="n"/>
      <c r="B327" s="6">
        <f>IF(A327="","",A327&amp;"-TAX")</f>
        <v/>
      </c>
      <c r="C327" s="11" t="n"/>
      <c r="D327" s="11" t="n"/>
      <c r="E327" s="11" t="n"/>
      <c r="F327" s="11" t="n"/>
      <c r="G327" s="12" t="n"/>
      <c r="H327" s="6">
        <f>IF(G327="","",YEAR(G327))</f>
        <v/>
      </c>
      <c r="I327" s="11" t="n"/>
      <c r="J327" s="13" t="n"/>
      <c r="K327" s="14">
        <f>IF(F327="股票期权",IF(G327="","",IF(G327&lt;DATE(2025,1,10),14.56,IF(G327&lt;DATE(2025,4,29),14.32,IF(G327&lt;DATE(2025,9,26),14.18,14.04)))),IF(F327="限制性股票",8.68,""))</f>
        <v/>
      </c>
      <c r="L327" s="14">
        <f>IF(F327="限制性股票",13.06,"")</f>
        <v/>
      </c>
      <c r="M327" s="11" t="n"/>
      <c r="N327" s="13" t="n"/>
      <c r="O327" s="13" t="n"/>
      <c r="P327" s="12" t="n"/>
      <c r="Q327" s="11" t="n"/>
      <c r="R327" s="12" t="n"/>
      <c r="S327" s="14">
        <f>IF(OR(A327="",C327="",F327="",G327="",I327="",J327=""),"",IF(F327="股票期权",MAX(0,(J327-K327)*I327),IF(F327="限制性股票",IF(OR(L327="",M327="",M327&lt;=0,N327=""),"",MAX(0,((L327+J327)/2)*I327-N327*I327/M327)),MAX(0,O327))))</f>
        <v/>
      </c>
      <c r="T327" s="14">
        <f>IF(S327="","",SUMIFS($S$2:$S$501,$C$2:$C$501,C327,$H$2:$H$501,H327,$G$2:$G$501,"&lt;"&amp;G327)+SUMIFS($S$2:$S$501,$C$2:$C$501,C327,$H$2:$H$501,H327,$G$2:$G$501,G327,$A$2:$A$501,"&lt;"&amp;A327))</f>
        <v/>
      </c>
      <c r="U327" s="14">
        <f>IF(S327="","",T327+S327)</f>
        <v/>
      </c>
      <c r="V327" s="15">
        <f>IF(U327="","",VLOOKUP(U327,'税率及规则'!$A$2:$C$8,2,TRUE))</f>
        <v/>
      </c>
      <c r="W327" s="14">
        <f>IF(U327="","",VLOOKUP(U327,'税率及规则'!$A$2:$C$8,3,TRUE))</f>
        <v/>
      </c>
      <c r="X327" s="14">
        <f>IF(U327="","",MAX(0,U327*V327-W327))</f>
        <v/>
      </c>
      <c r="Y327" s="14">
        <f>IF(T327="","",MAX(0,T327*VLOOKUP(T327,'税率及规则'!$A$2:$C$8,2,TRUE)-VLOOKUP(T327,'税率及规则'!$A$2:$C$8,3,TRUE)))</f>
        <v/>
      </c>
      <c r="Z327" s="14">
        <f>IF(X327="","",MAX(0,X327-Y327))</f>
        <v/>
      </c>
      <c r="AA327" s="16">
        <f>IF(G327="","",G327)</f>
        <v/>
      </c>
      <c r="AB327" s="16">
        <f>IF(AA327="","",EDATE(AA327,36))</f>
        <v/>
      </c>
      <c r="AC327" s="6">
        <f>IF(A327="","",IF(COUNTIF($A$2:$A$501,A327)&gt;1,"异常：事件编号重复",IF(OR(C327="",D327="",E327="",F327="",G327="",I327="",J327=""),"异常：必填项缺失",IF(OR(I327&lt;=0,J327&lt;0),"异常：数量或价格无效",IF(AND(F327="限制性股票",OR(M327&lt;=0,N327&lt;0,I327&gt;M327)),"异常：个人获授或出资数据无效",IF(AND(F327="股票期权",K327&lt;&gt;IF(G327&lt;DATE(2025,1,10),14.56,IF(G327&lt;DATE(2025,4,29),14.32,IF(G327&lt;DATE(2025,9,26),14.18,14.04)))),"异常：行权价格区间不符",IF(Q327&lt;&gt;"已备案","提示：未确认备案","正常")))))))</f>
        <v/>
      </c>
      <c r="AD327" s="11" t="n"/>
    </row>
    <row r="328">
      <c r="A328" s="11" t="n"/>
      <c r="B328" s="6">
        <f>IF(A328="","",A328&amp;"-TAX")</f>
        <v/>
      </c>
      <c r="C328" s="11" t="n"/>
      <c r="D328" s="11" t="n"/>
      <c r="E328" s="11" t="n"/>
      <c r="F328" s="11" t="n"/>
      <c r="G328" s="12" t="n"/>
      <c r="H328" s="6">
        <f>IF(G328="","",YEAR(G328))</f>
        <v/>
      </c>
      <c r="I328" s="11" t="n"/>
      <c r="J328" s="13" t="n"/>
      <c r="K328" s="14">
        <f>IF(F328="股票期权",IF(G328="","",IF(G328&lt;DATE(2025,1,10),14.56,IF(G328&lt;DATE(2025,4,29),14.32,IF(G328&lt;DATE(2025,9,26),14.18,14.04)))),IF(F328="限制性股票",8.68,""))</f>
        <v/>
      </c>
      <c r="L328" s="14">
        <f>IF(F328="限制性股票",13.06,"")</f>
        <v/>
      </c>
      <c r="M328" s="11" t="n"/>
      <c r="N328" s="13" t="n"/>
      <c r="O328" s="13" t="n"/>
      <c r="P328" s="12" t="n"/>
      <c r="Q328" s="11" t="n"/>
      <c r="R328" s="12" t="n"/>
      <c r="S328" s="14">
        <f>IF(OR(A328="",C328="",F328="",G328="",I328="",J328=""),"",IF(F328="股票期权",MAX(0,(J328-K328)*I328),IF(F328="限制性股票",IF(OR(L328="",M328="",M328&lt;=0,N328=""),"",MAX(0,((L328+J328)/2)*I328-N328*I328/M328)),MAX(0,O328))))</f>
        <v/>
      </c>
      <c r="T328" s="14">
        <f>IF(S328="","",SUMIFS($S$2:$S$501,$C$2:$C$501,C328,$H$2:$H$501,H328,$G$2:$G$501,"&lt;"&amp;G328)+SUMIFS($S$2:$S$501,$C$2:$C$501,C328,$H$2:$H$501,H328,$G$2:$G$501,G328,$A$2:$A$501,"&lt;"&amp;A328))</f>
        <v/>
      </c>
      <c r="U328" s="14">
        <f>IF(S328="","",T328+S328)</f>
        <v/>
      </c>
      <c r="V328" s="15">
        <f>IF(U328="","",VLOOKUP(U328,'税率及规则'!$A$2:$C$8,2,TRUE))</f>
        <v/>
      </c>
      <c r="W328" s="14">
        <f>IF(U328="","",VLOOKUP(U328,'税率及规则'!$A$2:$C$8,3,TRUE))</f>
        <v/>
      </c>
      <c r="X328" s="14">
        <f>IF(U328="","",MAX(0,U328*V328-W328))</f>
        <v/>
      </c>
      <c r="Y328" s="14">
        <f>IF(T328="","",MAX(0,T328*VLOOKUP(T328,'税率及规则'!$A$2:$C$8,2,TRUE)-VLOOKUP(T328,'税率及规则'!$A$2:$C$8,3,TRUE)))</f>
        <v/>
      </c>
      <c r="Z328" s="14">
        <f>IF(X328="","",MAX(0,X328-Y328))</f>
        <v/>
      </c>
      <c r="AA328" s="16">
        <f>IF(G328="","",G328)</f>
        <v/>
      </c>
      <c r="AB328" s="16">
        <f>IF(AA328="","",EDATE(AA328,36))</f>
        <v/>
      </c>
      <c r="AC328" s="6">
        <f>IF(A328="","",IF(COUNTIF($A$2:$A$501,A328)&gt;1,"异常：事件编号重复",IF(OR(C328="",D328="",E328="",F328="",G328="",I328="",J328=""),"异常：必填项缺失",IF(OR(I328&lt;=0,J328&lt;0),"异常：数量或价格无效",IF(AND(F328="限制性股票",OR(M328&lt;=0,N328&lt;0,I328&gt;M328)),"异常：个人获授或出资数据无效",IF(AND(F328="股票期权",K328&lt;&gt;IF(G328&lt;DATE(2025,1,10),14.56,IF(G328&lt;DATE(2025,4,29),14.32,IF(G328&lt;DATE(2025,9,26),14.18,14.04)))),"异常：行权价格区间不符",IF(Q328&lt;&gt;"已备案","提示：未确认备案","正常")))))))</f>
        <v/>
      </c>
      <c r="AD328" s="11" t="n"/>
    </row>
    <row r="329">
      <c r="A329" s="11" t="n"/>
      <c r="B329" s="6">
        <f>IF(A329="","",A329&amp;"-TAX")</f>
        <v/>
      </c>
      <c r="C329" s="11" t="n"/>
      <c r="D329" s="11" t="n"/>
      <c r="E329" s="11" t="n"/>
      <c r="F329" s="11" t="n"/>
      <c r="G329" s="12" t="n"/>
      <c r="H329" s="6">
        <f>IF(G329="","",YEAR(G329))</f>
        <v/>
      </c>
      <c r="I329" s="11" t="n"/>
      <c r="J329" s="13" t="n"/>
      <c r="K329" s="14">
        <f>IF(F329="股票期权",IF(G329="","",IF(G329&lt;DATE(2025,1,10),14.56,IF(G329&lt;DATE(2025,4,29),14.32,IF(G329&lt;DATE(2025,9,26),14.18,14.04)))),IF(F329="限制性股票",8.68,""))</f>
        <v/>
      </c>
      <c r="L329" s="14">
        <f>IF(F329="限制性股票",13.06,"")</f>
        <v/>
      </c>
      <c r="M329" s="11" t="n"/>
      <c r="N329" s="13" t="n"/>
      <c r="O329" s="13" t="n"/>
      <c r="P329" s="12" t="n"/>
      <c r="Q329" s="11" t="n"/>
      <c r="R329" s="12" t="n"/>
      <c r="S329" s="14">
        <f>IF(OR(A329="",C329="",F329="",G329="",I329="",J329=""),"",IF(F329="股票期权",MAX(0,(J329-K329)*I329),IF(F329="限制性股票",IF(OR(L329="",M329="",M329&lt;=0,N329=""),"",MAX(0,((L329+J329)/2)*I329-N329*I329/M329)),MAX(0,O329))))</f>
        <v/>
      </c>
      <c r="T329" s="14">
        <f>IF(S329="","",SUMIFS($S$2:$S$501,$C$2:$C$501,C329,$H$2:$H$501,H329,$G$2:$G$501,"&lt;"&amp;G329)+SUMIFS($S$2:$S$501,$C$2:$C$501,C329,$H$2:$H$501,H329,$G$2:$G$501,G329,$A$2:$A$501,"&lt;"&amp;A329))</f>
        <v/>
      </c>
      <c r="U329" s="14">
        <f>IF(S329="","",T329+S329)</f>
        <v/>
      </c>
      <c r="V329" s="15">
        <f>IF(U329="","",VLOOKUP(U329,'税率及规则'!$A$2:$C$8,2,TRUE))</f>
        <v/>
      </c>
      <c r="W329" s="14">
        <f>IF(U329="","",VLOOKUP(U329,'税率及规则'!$A$2:$C$8,3,TRUE))</f>
        <v/>
      </c>
      <c r="X329" s="14">
        <f>IF(U329="","",MAX(0,U329*V329-W329))</f>
        <v/>
      </c>
      <c r="Y329" s="14">
        <f>IF(T329="","",MAX(0,T329*VLOOKUP(T329,'税率及规则'!$A$2:$C$8,2,TRUE)-VLOOKUP(T329,'税率及规则'!$A$2:$C$8,3,TRUE)))</f>
        <v/>
      </c>
      <c r="Z329" s="14">
        <f>IF(X329="","",MAX(0,X329-Y329))</f>
        <v/>
      </c>
      <c r="AA329" s="16">
        <f>IF(G329="","",G329)</f>
        <v/>
      </c>
      <c r="AB329" s="16">
        <f>IF(AA329="","",EDATE(AA329,36))</f>
        <v/>
      </c>
      <c r="AC329" s="6">
        <f>IF(A329="","",IF(COUNTIF($A$2:$A$501,A329)&gt;1,"异常：事件编号重复",IF(OR(C329="",D329="",E329="",F329="",G329="",I329="",J329=""),"异常：必填项缺失",IF(OR(I329&lt;=0,J329&lt;0),"异常：数量或价格无效",IF(AND(F329="限制性股票",OR(M329&lt;=0,N329&lt;0,I329&gt;M329)),"异常：个人获授或出资数据无效",IF(AND(F329="股票期权",K329&lt;&gt;IF(G329&lt;DATE(2025,1,10),14.56,IF(G329&lt;DATE(2025,4,29),14.32,IF(G329&lt;DATE(2025,9,26),14.18,14.04)))),"异常：行权价格区间不符",IF(Q329&lt;&gt;"已备案","提示：未确认备案","正常")))))))</f>
        <v/>
      </c>
      <c r="AD329" s="11" t="n"/>
    </row>
    <row r="330">
      <c r="A330" s="11" t="n"/>
      <c r="B330" s="6">
        <f>IF(A330="","",A330&amp;"-TAX")</f>
        <v/>
      </c>
      <c r="C330" s="11" t="n"/>
      <c r="D330" s="11" t="n"/>
      <c r="E330" s="11" t="n"/>
      <c r="F330" s="11" t="n"/>
      <c r="G330" s="12" t="n"/>
      <c r="H330" s="6">
        <f>IF(G330="","",YEAR(G330))</f>
        <v/>
      </c>
      <c r="I330" s="11" t="n"/>
      <c r="J330" s="13" t="n"/>
      <c r="K330" s="14">
        <f>IF(F330="股票期权",IF(G330="","",IF(G330&lt;DATE(2025,1,10),14.56,IF(G330&lt;DATE(2025,4,29),14.32,IF(G330&lt;DATE(2025,9,26),14.18,14.04)))),IF(F330="限制性股票",8.68,""))</f>
        <v/>
      </c>
      <c r="L330" s="14">
        <f>IF(F330="限制性股票",13.06,"")</f>
        <v/>
      </c>
      <c r="M330" s="11" t="n"/>
      <c r="N330" s="13" t="n"/>
      <c r="O330" s="13" t="n"/>
      <c r="P330" s="12" t="n"/>
      <c r="Q330" s="11" t="n"/>
      <c r="R330" s="12" t="n"/>
      <c r="S330" s="14">
        <f>IF(OR(A330="",C330="",F330="",G330="",I330="",J330=""),"",IF(F330="股票期权",MAX(0,(J330-K330)*I330),IF(F330="限制性股票",IF(OR(L330="",M330="",M330&lt;=0,N330=""),"",MAX(0,((L330+J330)/2)*I330-N330*I330/M330)),MAX(0,O330))))</f>
        <v/>
      </c>
      <c r="T330" s="14">
        <f>IF(S330="","",SUMIFS($S$2:$S$501,$C$2:$C$501,C330,$H$2:$H$501,H330,$G$2:$G$501,"&lt;"&amp;G330)+SUMIFS($S$2:$S$501,$C$2:$C$501,C330,$H$2:$H$501,H330,$G$2:$G$501,G330,$A$2:$A$501,"&lt;"&amp;A330))</f>
        <v/>
      </c>
      <c r="U330" s="14">
        <f>IF(S330="","",T330+S330)</f>
        <v/>
      </c>
      <c r="V330" s="15">
        <f>IF(U330="","",VLOOKUP(U330,'税率及规则'!$A$2:$C$8,2,TRUE))</f>
        <v/>
      </c>
      <c r="W330" s="14">
        <f>IF(U330="","",VLOOKUP(U330,'税率及规则'!$A$2:$C$8,3,TRUE))</f>
        <v/>
      </c>
      <c r="X330" s="14">
        <f>IF(U330="","",MAX(0,U330*V330-W330))</f>
        <v/>
      </c>
      <c r="Y330" s="14">
        <f>IF(T330="","",MAX(0,T330*VLOOKUP(T330,'税率及规则'!$A$2:$C$8,2,TRUE)-VLOOKUP(T330,'税率及规则'!$A$2:$C$8,3,TRUE)))</f>
        <v/>
      </c>
      <c r="Z330" s="14">
        <f>IF(X330="","",MAX(0,X330-Y330))</f>
        <v/>
      </c>
      <c r="AA330" s="16">
        <f>IF(G330="","",G330)</f>
        <v/>
      </c>
      <c r="AB330" s="16">
        <f>IF(AA330="","",EDATE(AA330,36))</f>
        <v/>
      </c>
      <c r="AC330" s="6">
        <f>IF(A330="","",IF(COUNTIF($A$2:$A$501,A330)&gt;1,"异常：事件编号重复",IF(OR(C330="",D330="",E330="",F330="",G330="",I330="",J330=""),"异常：必填项缺失",IF(OR(I330&lt;=0,J330&lt;0),"异常：数量或价格无效",IF(AND(F330="限制性股票",OR(M330&lt;=0,N330&lt;0,I330&gt;M330)),"异常：个人获授或出资数据无效",IF(AND(F330="股票期权",K330&lt;&gt;IF(G330&lt;DATE(2025,1,10),14.56,IF(G330&lt;DATE(2025,4,29),14.32,IF(G330&lt;DATE(2025,9,26),14.18,14.04)))),"异常：行权价格区间不符",IF(Q330&lt;&gt;"已备案","提示：未确认备案","正常")))))))</f>
        <v/>
      </c>
      <c r="AD330" s="11" t="n"/>
    </row>
    <row r="331">
      <c r="A331" s="11" t="n"/>
      <c r="B331" s="6">
        <f>IF(A331="","",A331&amp;"-TAX")</f>
        <v/>
      </c>
      <c r="C331" s="11" t="n"/>
      <c r="D331" s="11" t="n"/>
      <c r="E331" s="11" t="n"/>
      <c r="F331" s="11" t="n"/>
      <c r="G331" s="12" t="n"/>
      <c r="H331" s="6">
        <f>IF(G331="","",YEAR(G331))</f>
        <v/>
      </c>
      <c r="I331" s="11" t="n"/>
      <c r="J331" s="13" t="n"/>
      <c r="K331" s="14">
        <f>IF(F331="股票期权",IF(G331="","",IF(G331&lt;DATE(2025,1,10),14.56,IF(G331&lt;DATE(2025,4,29),14.32,IF(G331&lt;DATE(2025,9,26),14.18,14.04)))),IF(F331="限制性股票",8.68,""))</f>
        <v/>
      </c>
      <c r="L331" s="14">
        <f>IF(F331="限制性股票",13.06,"")</f>
        <v/>
      </c>
      <c r="M331" s="11" t="n"/>
      <c r="N331" s="13" t="n"/>
      <c r="O331" s="13" t="n"/>
      <c r="P331" s="12" t="n"/>
      <c r="Q331" s="11" t="n"/>
      <c r="R331" s="12" t="n"/>
      <c r="S331" s="14">
        <f>IF(OR(A331="",C331="",F331="",G331="",I331="",J331=""),"",IF(F331="股票期权",MAX(0,(J331-K331)*I331),IF(F331="限制性股票",IF(OR(L331="",M331="",M331&lt;=0,N331=""),"",MAX(0,((L331+J331)/2)*I331-N331*I331/M331)),MAX(0,O331))))</f>
        <v/>
      </c>
      <c r="T331" s="14">
        <f>IF(S331="","",SUMIFS($S$2:$S$501,$C$2:$C$501,C331,$H$2:$H$501,H331,$G$2:$G$501,"&lt;"&amp;G331)+SUMIFS($S$2:$S$501,$C$2:$C$501,C331,$H$2:$H$501,H331,$G$2:$G$501,G331,$A$2:$A$501,"&lt;"&amp;A331))</f>
        <v/>
      </c>
      <c r="U331" s="14">
        <f>IF(S331="","",T331+S331)</f>
        <v/>
      </c>
      <c r="V331" s="15">
        <f>IF(U331="","",VLOOKUP(U331,'税率及规则'!$A$2:$C$8,2,TRUE))</f>
        <v/>
      </c>
      <c r="W331" s="14">
        <f>IF(U331="","",VLOOKUP(U331,'税率及规则'!$A$2:$C$8,3,TRUE))</f>
        <v/>
      </c>
      <c r="X331" s="14">
        <f>IF(U331="","",MAX(0,U331*V331-W331))</f>
        <v/>
      </c>
      <c r="Y331" s="14">
        <f>IF(T331="","",MAX(0,T331*VLOOKUP(T331,'税率及规则'!$A$2:$C$8,2,TRUE)-VLOOKUP(T331,'税率及规则'!$A$2:$C$8,3,TRUE)))</f>
        <v/>
      </c>
      <c r="Z331" s="14">
        <f>IF(X331="","",MAX(0,X331-Y331))</f>
        <v/>
      </c>
      <c r="AA331" s="16">
        <f>IF(G331="","",G331)</f>
        <v/>
      </c>
      <c r="AB331" s="16">
        <f>IF(AA331="","",EDATE(AA331,36))</f>
        <v/>
      </c>
      <c r="AC331" s="6">
        <f>IF(A331="","",IF(COUNTIF($A$2:$A$501,A331)&gt;1,"异常：事件编号重复",IF(OR(C331="",D331="",E331="",F331="",G331="",I331="",J331=""),"异常：必填项缺失",IF(OR(I331&lt;=0,J331&lt;0),"异常：数量或价格无效",IF(AND(F331="限制性股票",OR(M331&lt;=0,N331&lt;0,I331&gt;M331)),"异常：个人获授或出资数据无效",IF(AND(F331="股票期权",K331&lt;&gt;IF(G331&lt;DATE(2025,1,10),14.56,IF(G331&lt;DATE(2025,4,29),14.32,IF(G331&lt;DATE(2025,9,26),14.18,14.04)))),"异常：行权价格区间不符",IF(Q331&lt;&gt;"已备案","提示：未确认备案","正常")))))))</f>
        <v/>
      </c>
      <c r="AD331" s="11" t="n"/>
    </row>
    <row r="332">
      <c r="A332" s="11" t="n"/>
      <c r="B332" s="6">
        <f>IF(A332="","",A332&amp;"-TAX")</f>
        <v/>
      </c>
      <c r="C332" s="11" t="n"/>
      <c r="D332" s="11" t="n"/>
      <c r="E332" s="11" t="n"/>
      <c r="F332" s="11" t="n"/>
      <c r="G332" s="12" t="n"/>
      <c r="H332" s="6">
        <f>IF(G332="","",YEAR(G332))</f>
        <v/>
      </c>
      <c r="I332" s="11" t="n"/>
      <c r="J332" s="13" t="n"/>
      <c r="K332" s="14">
        <f>IF(F332="股票期权",IF(G332="","",IF(G332&lt;DATE(2025,1,10),14.56,IF(G332&lt;DATE(2025,4,29),14.32,IF(G332&lt;DATE(2025,9,26),14.18,14.04)))),IF(F332="限制性股票",8.68,""))</f>
        <v/>
      </c>
      <c r="L332" s="14">
        <f>IF(F332="限制性股票",13.06,"")</f>
        <v/>
      </c>
      <c r="M332" s="11" t="n"/>
      <c r="N332" s="13" t="n"/>
      <c r="O332" s="13" t="n"/>
      <c r="P332" s="12" t="n"/>
      <c r="Q332" s="11" t="n"/>
      <c r="R332" s="12" t="n"/>
      <c r="S332" s="14">
        <f>IF(OR(A332="",C332="",F332="",G332="",I332="",J332=""),"",IF(F332="股票期权",MAX(0,(J332-K332)*I332),IF(F332="限制性股票",IF(OR(L332="",M332="",M332&lt;=0,N332=""),"",MAX(0,((L332+J332)/2)*I332-N332*I332/M332)),MAX(0,O332))))</f>
        <v/>
      </c>
      <c r="T332" s="14">
        <f>IF(S332="","",SUMIFS($S$2:$S$501,$C$2:$C$501,C332,$H$2:$H$501,H332,$G$2:$G$501,"&lt;"&amp;G332)+SUMIFS($S$2:$S$501,$C$2:$C$501,C332,$H$2:$H$501,H332,$G$2:$G$501,G332,$A$2:$A$501,"&lt;"&amp;A332))</f>
        <v/>
      </c>
      <c r="U332" s="14">
        <f>IF(S332="","",T332+S332)</f>
        <v/>
      </c>
      <c r="V332" s="15">
        <f>IF(U332="","",VLOOKUP(U332,'税率及规则'!$A$2:$C$8,2,TRUE))</f>
        <v/>
      </c>
      <c r="W332" s="14">
        <f>IF(U332="","",VLOOKUP(U332,'税率及规则'!$A$2:$C$8,3,TRUE))</f>
        <v/>
      </c>
      <c r="X332" s="14">
        <f>IF(U332="","",MAX(0,U332*V332-W332))</f>
        <v/>
      </c>
      <c r="Y332" s="14">
        <f>IF(T332="","",MAX(0,T332*VLOOKUP(T332,'税率及规则'!$A$2:$C$8,2,TRUE)-VLOOKUP(T332,'税率及规则'!$A$2:$C$8,3,TRUE)))</f>
        <v/>
      </c>
      <c r="Z332" s="14">
        <f>IF(X332="","",MAX(0,X332-Y332))</f>
        <v/>
      </c>
      <c r="AA332" s="16">
        <f>IF(G332="","",G332)</f>
        <v/>
      </c>
      <c r="AB332" s="16">
        <f>IF(AA332="","",EDATE(AA332,36))</f>
        <v/>
      </c>
      <c r="AC332" s="6">
        <f>IF(A332="","",IF(COUNTIF($A$2:$A$501,A332)&gt;1,"异常：事件编号重复",IF(OR(C332="",D332="",E332="",F332="",G332="",I332="",J332=""),"异常：必填项缺失",IF(OR(I332&lt;=0,J332&lt;0),"异常：数量或价格无效",IF(AND(F332="限制性股票",OR(M332&lt;=0,N332&lt;0,I332&gt;M332)),"异常：个人获授或出资数据无效",IF(AND(F332="股票期权",K332&lt;&gt;IF(G332&lt;DATE(2025,1,10),14.56,IF(G332&lt;DATE(2025,4,29),14.32,IF(G332&lt;DATE(2025,9,26),14.18,14.04)))),"异常：行权价格区间不符",IF(Q332&lt;&gt;"已备案","提示：未确认备案","正常")))))))</f>
        <v/>
      </c>
      <c r="AD332" s="11" t="n"/>
    </row>
    <row r="333">
      <c r="A333" s="11" t="n"/>
      <c r="B333" s="6">
        <f>IF(A333="","",A333&amp;"-TAX")</f>
        <v/>
      </c>
      <c r="C333" s="11" t="n"/>
      <c r="D333" s="11" t="n"/>
      <c r="E333" s="11" t="n"/>
      <c r="F333" s="11" t="n"/>
      <c r="G333" s="12" t="n"/>
      <c r="H333" s="6">
        <f>IF(G333="","",YEAR(G333))</f>
        <v/>
      </c>
      <c r="I333" s="11" t="n"/>
      <c r="J333" s="13" t="n"/>
      <c r="K333" s="14">
        <f>IF(F333="股票期权",IF(G333="","",IF(G333&lt;DATE(2025,1,10),14.56,IF(G333&lt;DATE(2025,4,29),14.32,IF(G333&lt;DATE(2025,9,26),14.18,14.04)))),IF(F333="限制性股票",8.68,""))</f>
        <v/>
      </c>
      <c r="L333" s="14">
        <f>IF(F333="限制性股票",13.06,"")</f>
        <v/>
      </c>
      <c r="M333" s="11" t="n"/>
      <c r="N333" s="13" t="n"/>
      <c r="O333" s="13" t="n"/>
      <c r="P333" s="12" t="n"/>
      <c r="Q333" s="11" t="n"/>
      <c r="R333" s="12" t="n"/>
      <c r="S333" s="14">
        <f>IF(OR(A333="",C333="",F333="",G333="",I333="",J333=""),"",IF(F333="股票期权",MAX(0,(J333-K333)*I333),IF(F333="限制性股票",IF(OR(L333="",M333="",M333&lt;=0,N333=""),"",MAX(0,((L333+J333)/2)*I333-N333*I333/M333)),MAX(0,O333))))</f>
        <v/>
      </c>
      <c r="T333" s="14">
        <f>IF(S333="","",SUMIFS($S$2:$S$501,$C$2:$C$501,C333,$H$2:$H$501,H333,$G$2:$G$501,"&lt;"&amp;G333)+SUMIFS($S$2:$S$501,$C$2:$C$501,C333,$H$2:$H$501,H333,$G$2:$G$501,G333,$A$2:$A$501,"&lt;"&amp;A333))</f>
        <v/>
      </c>
      <c r="U333" s="14">
        <f>IF(S333="","",T333+S333)</f>
        <v/>
      </c>
      <c r="V333" s="15">
        <f>IF(U333="","",VLOOKUP(U333,'税率及规则'!$A$2:$C$8,2,TRUE))</f>
        <v/>
      </c>
      <c r="W333" s="14">
        <f>IF(U333="","",VLOOKUP(U333,'税率及规则'!$A$2:$C$8,3,TRUE))</f>
        <v/>
      </c>
      <c r="X333" s="14">
        <f>IF(U333="","",MAX(0,U333*V333-W333))</f>
        <v/>
      </c>
      <c r="Y333" s="14">
        <f>IF(T333="","",MAX(0,T333*VLOOKUP(T333,'税率及规则'!$A$2:$C$8,2,TRUE)-VLOOKUP(T333,'税率及规则'!$A$2:$C$8,3,TRUE)))</f>
        <v/>
      </c>
      <c r="Z333" s="14">
        <f>IF(X333="","",MAX(0,X333-Y333))</f>
        <v/>
      </c>
      <c r="AA333" s="16">
        <f>IF(G333="","",G333)</f>
        <v/>
      </c>
      <c r="AB333" s="16">
        <f>IF(AA333="","",EDATE(AA333,36))</f>
        <v/>
      </c>
      <c r="AC333" s="6">
        <f>IF(A333="","",IF(COUNTIF($A$2:$A$501,A333)&gt;1,"异常：事件编号重复",IF(OR(C333="",D333="",E333="",F333="",G333="",I333="",J333=""),"异常：必填项缺失",IF(OR(I333&lt;=0,J333&lt;0),"异常：数量或价格无效",IF(AND(F333="限制性股票",OR(M333&lt;=0,N333&lt;0,I333&gt;M333)),"异常：个人获授或出资数据无效",IF(AND(F333="股票期权",K333&lt;&gt;IF(G333&lt;DATE(2025,1,10),14.56,IF(G333&lt;DATE(2025,4,29),14.32,IF(G333&lt;DATE(2025,9,26),14.18,14.04)))),"异常：行权价格区间不符",IF(Q333&lt;&gt;"已备案","提示：未确认备案","正常")))))))</f>
        <v/>
      </c>
      <c r="AD333" s="11" t="n"/>
    </row>
    <row r="334">
      <c r="A334" s="11" t="n"/>
      <c r="B334" s="6">
        <f>IF(A334="","",A334&amp;"-TAX")</f>
        <v/>
      </c>
      <c r="C334" s="11" t="n"/>
      <c r="D334" s="11" t="n"/>
      <c r="E334" s="11" t="n"/>
      <c r="F334" s="11" t="n"/>
      <c r="G334" s="12" t="n"/>
      <c r="H334" s="6">
        <f>IF(G334="","",YEAR(G334))</f>
        <v/>
      </c>
      <c r="I334" s="11" t="n"/>
      <c r="J334" s="13" t="n"/>
      <c r="K334" s="14">
        <f>IF(F334="股票期权",IF(G334="","",IF(G334&lt;DATE(2025,1,10),14.56,IF(G334&lt;DATE(2025,4,29),14.32,IF(G334&lt;DATE(2025,9,26),14.18,14.04)))),IF(F334="限制性股票",8.68,""))</f>
        <v/>
      </c>
      <c r="L334" s="14">
        <f>IF(F334="限制性股票",13.06,"")</f>
        <v/>
      </c>
      <c r="M334" s="11" t="n"/>
      <c r="N334" s="13" t="n"/>
      <c r="O334" s="13" t="n"/>
      <c r="P334" s="12" t="n"/>
      <c r="Q334" s="11" t="n"/>
      <c r="R334" s="12" t="n"/>
      <c r="S334" s="14">
        <f>IF(OR(A334="",C334="",F334="",G334="",I334="",J334=""),"",IF(F334="股票期权",MAX(0,(J334-K334)*I334),IF(F334="限制性股票",IF(OR(L334="",M334="",M334&lt;=0,N334=""),"",MAX(0,((L334+J334)/2)*I334-N334*I334/M334)),MAX(0,O334))))</f>
        <v/>
      </c>
      <c r="T334" s="14">
        <f>IF(S334="","",SUMIFS($S$2:$S$501,$C$2:$C$501,C334,$H$2:$H$501,H334,$G$2:$G$501,"&lt;"&amp;G334)+SUMIFS($S$2:$S$501,$C$2:$C$501,C334,$H$2:$H$501,H334,$G$2:$G$501,G334,$A$2:$A$501,"&lt;"&amp;A334))</f>
        <v/>
      </c>
      <c r="U334" s="14">
        <f>IF(S334="","",T334+S334)</f>
        <v/>
      </c>
      <c r="V334" s="15">
        <f>IF(U334="","",VLOOKUP(U334,'税率及规则'!$A$2:$C$8,2,TRUE))</f>
        <v/>
      </c>
      <c r="W334" s="14">
        <f>IF(U334="","",VLOOKUP(U334,'税率及规则'!$A$2:$C$8,3,TRUE))</f>
        <v/>
      </c>
      <c r="X334" s="14">
        <f>IF(U334="","",MAX(0,U334*V334-W334))</f>
        <v/>
      </c>
      <c r="Y334" s="14">
        <f>IF(T334="","",MAX(0,T334*VLOOKUP(T334,'税率及规则'!$A$2:$C$8,2,TRUE)-VLOOKUP(T334,'税率及规则'!$A$2:$C$8,3,TRUE)))</f>
        <v/>
      </c>
      <c r="Z334" s="14">
        <f>IF(X334="","",MAX(0,X334-Y334))</f>
        <v/>
      </c>
      <c r="AA334" s="16">
        <f>IF(G334="","",G334)</f>
        <v/>
      </c>
      <c r="AB334" s="16">
        <f>IF(AA334="","",EDATE(AA334,36))</f>
        <v/>
      </c>
      <c r="AC334" s="6">
        <f>IF(A334="","",IF(COUNTIF($A$2:$A$501,A334)&gt;1,"异常：事件编号重复",IF(OR(C334="",D334="",E334="",F334="",G334="",I334="",J334=""),"异常：必填项缺失",IF(OR(I334&lt;=0,J334&lt;0),"异常：数量或价格无效",IF(AND(F334="限制性股票",OR(M334&lt;=0,N334&lt;0,I334&gt;M334)),"异常：个人获授或出资数据无效",IF(AND(F334="股票期权",K334&lt;&gt;IF(G334&lt;DATE(2025,1,10),14.56,IF(G334&lt;DATE(2025,4,29),14.32,IF(G334&lt;DATE(2025,9,26),14.18,14.04)))),"异常：行权价格区间不符",IF(Q334&lt;&gt;"已备案","提示：未确认备案","正常")))))))</f>
        <v/>
      </c>
      <c r="AD334" s="11" t="n"/>
    </row>
    <row r="335">
      <c r="A335" s="11" t="n"/>
      <c r="B335" s="6">
        <f>IF(A335="","",A335&amp;"-TAX")</f>
        <v/>
      </c>
      <c r="C335" s="11" t="n"/>
      <c r="D335" s="11" t="n"/>
      <c r="E335" s="11" t="n"/>
      <c r="F335" s="11" t="n"/>
      <c r="G335" s="12" t="n"/>
      <c r="H335" s="6">
        <f>IF(G335="","",YEAR(G335))</f>
        <v/>
      </c>
      <c r="I335" s="11" t="n"/>
      <c r="J335" s="13" t="n"/>
      <c r="K335" s="14">
        <f>IF(F335="股票期权",IF(G335="","",IF(G335&lt;DATE(2025,1,10),14.56,IF(G335&lt;DATE(2025,4,29),14.32,IF(G335&lt;DATE(2025,9,26),14.18,14.04)))),IF(F335="限制性股票",8.68,""))</f>
        <v/>
      </c>
      <c r="L335" s="14">
        <f>IF(F335="限制性股票",13.06,"")</f>
        <v/>
      </c>
      <c r="M335" s="11" t="n"/>
      <c r="N335" s="13" t="n"/>
      <c r="O335" s="13" t="n"/>
      <c r="P335" s="12" t="n"/>
      <c r="Q335" s="11" t="n"/>
      <c r="R335" s="12" t="n"/>
      <c r="S335" s="14">
        <f>IF(OR(A335="",C335="",F335="",G335="",I335="",J335=""),"",IF(F335="股票期权",MAX(0,(J335-K335)*I335),IF(F335="限制性股票",IF(OR(L335="",M335="",M335&lt;=0,N335=""),"",MAX(0,((L335+J335)/2)*I335-N335*I335/M335)),MAX(0,O335))))</f>
        <v/>
      </c>
      <c r="T335" s="14">
        <f>IF(S335="","",SUMIFS($S$2:$S$501,$C$2:$C$501,C335,$H$2:$H$501,H335,$G$2:$G$501,"&lt;"&amp;G335)+SUMIFS($S$2:$S$501,$C$2:$C$501,C335,$H$2:$H$501,H335,$G$2:$G$501,G335,$A$2:$A$501,"&lt;"&amp;A335))</f>
        <v/>
      </c>
      <c r="U335" s="14">
        <f>IF(S335="","",T335+S335)</f>
        <v/>
      </c>
      <c r="V335" s="15">
        <f>IF(U335="","",VLOOKUP(U335,'税率及规则'!$A$2:$C$8,2,TRUE))</f>
        <v/>
      </c>
      <c r="W335" s="14">
        <f>IF(U335="","",VLOOKUP(U335,'税率及规则'!$A$2:$C$8,3,TRUE))</f>
        <v/>
      </c>
      <c r="X335" s="14">
        <f>IF(U335="","",MAX(0,U335*V335-W335))</f>
        <v/>
      </c>
      <c r="Y335" s="14">
        <f>IF(T335="","",MAX(0,T335*VLOOKUP(T335,'税率及规则'!$A$2:$C$8,2,TRUE)-VLOOKUP(T335,'税率及规则'!$A$2:$C$8,3,TRUE)))</f>
        <v/>
      </c>
      <c r="Z335" s="14">
        <f>IF(X335="","",MAX(0,X335-Y335))</f>
        <v/>
      </c>
      <c r="AA335" s="16">
        <f>IF(G335="","",G335)</f>
        <v/>
      </c>
      <c r="AB335" s="16">
        <f>IF(AA335="","",EDATE(AA335,36))</f>
        <v/>
      </c>
      <c r="AC335" s="6">
        <f>IF(A335="","",IF(COUNTIF($A$2:$A$501,A335)&gt;1,"异常：事件编号重复",IF(OR(C335="",D335="",E335="",F335="",G335="",I335="",J335=""),"异常：必填项缺失",IF(OR(I335&lt;=0,J335&lt;0),"异常：数量或价格无效",IF(AND(F335="限制性股票",OR(M335&lt;=0,N335&lt;0,I335&gt;M335)),"异常：个人获授或出资数据无效",IF(AND(F335="股票期权",K335&lt;&gt;IF(G335&lt;DATE(2025,1,10),14.56,IF(G335&lt;DATE(2025,4,29),14.32,IF(G335&lt;DATE(2025,9,26),14.18,14.04)))),"异常：行权价格区间不符",IF(Q335&lt;&gt;"已备案","提示：未确认备案","正常")))))))</f>
        <v/>
      </c>
      <c r="AD335" s="11" t="n"/>
    </row>
    <row r="336">
      <c r="A336" s="11" t="n"/>
      <c r="B336" s="6">
        <f>IF(A336="","",A336&amp;"-TAX")</f>
        <v/>
      </c>
      <c r="C336" s="11" t="n"/>
      <c r="D336" s="11" t="n"/>
      <c r="E336" s="11" t="n"/>
      <c r="F336" s="11" t="n"/>
      <c r="G336" s="12" t="n"/>
      <c r="H336" s="6">
        <f>IF(G336="","",YEAR(G336))</f>
        <v/>
      </c>
      <c r="I336" s="11" t="n"/>
      <c r="J336" s="13" t="n"/>
      <c r="K336" s="14">
        <f>IF(F336="股票期权",IF(G336="","",IF(G336&lt;DATE(2025,1,10),14.56,IF(G336&lt;DATE(2025,4,29),14.32,IF(G336&lt;DATE(2025,9,26),14.18,14.04)))),IF(F336="限制性股票",8.68,""))</f>
        <v/>
      </c>
      <c r="L336" s="14">
        <f>IF(F336="限制性股票",13.06,"")</f>
        <v/>
      </c>
      <c r="M336" s="11" t="n"/>
      <c r="N336" s="13" t="n"/>
      <c r="O336" s="13" t="n"/>
      <c r="P336" s="12" t="n"/>
      <c r="Q336" s="11" t="n"/>
      <c r="R336" s="12" t="n"/>
      <c r="S336" s="14">
        <f>IF(OR(A336="",C336="",F336="",G336="",I336="",J336=""),"",IF(F336="股票期权",MAX(0,(J336-K336)*I336),IF(F336="限制性股票",IF(OR(L336="",M336="",M336&lt;=0,N336=""),"",MAX(0,((L336+J336)/2)*I336-N336*I336/M336)),MAX(0,O336))))</f>
        <v/>
      </c>
      <c r="T336" s="14">
        <f>IF(S336="","",SUMIFS($S$2:$S$501,$C$2:$C$501,C336,$H$2:$H$501,H336,$G$2:$G$501,"&lt;"&amp;G336)+SUMIFS($S$2:$S$501,$C$2:$C$501,C336,$H$2:$H$501,H336,$G$2:$G$501,G336,$A$2:$A$501,"&lt;"&amp;A336))</f>
        <v/>
      </c>
      <c r="U336" s="14">
        <f>IF(S336="","",T336+S336)</f>
        <v/>
      </c>
      <c r="V336" s="15">
        <f>IF(U336="","",VLOOKUP(U336,'税率及规则'!$A$2:$C$8,2,TRUE))</f>
        <v/>
      </c>
      <c r="W336" s="14">
        <f>IF(U336="","",VLOOKUP(U336,'税率及规则'!$A$2:$C$8,3,TRUE))</f>
        <v/>
      </c>
      <c r="X336" s="14">
        <f>IF(U336="","",MAX(0,U336*V336-W336))</f>
        <v/>
      </c>
      <c r="Y336" s="14">
        <f>IF(T336="","",MAX(0,T336*VLOOKUP(T336,'税率及规则'!$A$2:$C$8,2,TRUE)-VLOOKUP(T336,'税率及规则'!$A$2:$C$8,3,TRUE)))</f>
        <v/>
      </c>
      <c r="Z336" s="14">
        <f>IF(X336="","",MAX(0,X336-Y336))</f>
        <v/>
      </c>
      <c r="AA336" s="16">
        <f>IF(G336="","",G336)</f>
        <v/>
      </c>
      <c r="AB336" s="16">
        <f>IF(AA336="","",EDATE(AA336,36))</f>
        <v/>
      </c>
      <c r="AC336" s="6">
        <f>IF(A336="","",IF(COUNTIF($A$2:$A$501,A336)&gt;1,"异常：事件编号重复",IF(OR(C336="",D336="",E336="",F336="",G336="",I336="",J336=""),"异常：必填项缺失",IF(OR(I336&lt;=0,J336&lt;0),"异常：数量或价格无效",IF(AND(F336="限制性股票",OR(M336&lt;=0,N336&lt;0,I336&gt;M336)),"异常：个人获授或出资数据无效",IF(AND(F336="股票期权",K336&lt;&gt;IF(G336&lt;DATE(2025,1,10),14.56,IF(G336&lt;DATE(2025,4,29),14.32,IF(G336&lt;DATE(2025,9,26),14.18,14.04)))),"异常：行权价格区间不符",IF(Q336&lt;&gt;"已备案","提示：未确认备案","正常")))))))</f>
        <v/>
      </c>
      <c r="AD336" s="11" t="n"/>
    </row>
    <row r="337">
      <c r="A337" s="11" t="n"/>
      <c r="B337" s="6">
        <f>IF(A337="","",A337&amp;"-TAX")</f>
        <v/>
      </c>
      <c r="C337" s="11" t="n"/>
      <c r="D337" s="11" t="n"/>
      <c r="E337" s="11" t="n"/>
      <c r="F337" s="11" t="n"/>
      <c r="G337" s="12" t="n"/>
      <c r="H337" s="6">
        <f>IF(G337="","",YEAR(G337))</f>
        <v/>
      </c>
      <c r="I337" s="11" t="n"/>
      <c r="J337" s="13" t="n"/>
      <c r="K337" s="14">
        <f>IF(F337="股票期权",IF(G337="","",IF(G337&lt;DATE(2025,1,10),14.56,IF(G337&lt;DATE(2025,4,29),14.32,IF(G337&lt;DATE(2025,9,26),14.18,14.04)))),IF(F337="限制性股票",8.68,""))</f>
        <v/>
      </c>
      <c r="L337" s="14">
        <f>IF(F337="限制性股票",13.06,"")</f>
        <v/>
      </c>
      <c r="M337" s="11" t="n"/>
      <c r="N337" s="13" t="n"/>
      <c r="O337" s="13" t="n"/>
      <c r="P337" s="12" t="n"/>
      <c r="Q337" s="11" t="n"/>
      <c r="R337" s="12" t="n"/>
      <c r="S337" s="14">
        <f>IF(OR(A337="",C337="",F337="",G337="",I337="",J337=""),"",IF(F337="股票期权",MAX(0,(J337-K337)*I337),IF(F337="限制性股票",IF(OR(L337="",M337="",M337&lt;=0,N337=""),"",MAX(0,((L337+J337)/2)*I337-N337*I337/M337)),MAX(0,O337))))</f>
        <v/>
      </c>
      <c r="T337" s="14">
        <f>IF(S337="","",SUMIFS($S$2:$S$501,$C$2:$C$501,C337,$H$2:$H$501,H337,$G$2:$G$501,"&lt;"&amp;G337)+SUMIFS($S$2:$S$501,$C$2:$C$501,C337,$H$2:$H$501,H337,$G$2:$G$501,G337,$A$2:$A$501,"&lt;"&amp;A337))</f>
        <v/>
      </c>
      <c r="U337" s="14">
        <f>IF(S337="","",T337+S337)</f>
        <v/>
      </c>
      <c r="V337" s="15">
        <f>IF(U337="","",VLOOKUP(U337,'税率及规则'!$A$2:$C$8,2,TRUE))</f>
        <v/>
      </c>
      <c r="W337" s="14">
        <f>IF(U337="","",VLOOKUP(U337,'税率及规则'!$A$2:$C$8,3,TRUE))</f>
        <v/>
      </c>
      <c r="X337" s="14">
        <f>IF(U337="","",MAX(0,U337*V337-W337))</f>
        <v/>
      </c>
      <c r="Y337" s="14">
        <f>IF(T337="","",MAX(0,T337*VLOOKUP(T337,'税率及规则'!$A$2:$C$8,2,TRUE)-VLOOKUP(T337,'税率及规则'!$A$2:$C$8,3,TRUE)))</f>
        <v/>
      </c>
      <c r="Z337" s="14">
        <f>IF(X337="","",MAX(0,X337-Y337))</f>
        <v/>
      </c>
      <c r="AA337" s="16">
        <f>IF(G337="","",G337)</f>
        <v/>
      </c>
      <c r="AB337" s="16">
        <f>IF(AA337="","",EDATE(AA337,36))</f>
        <v/>
      </c>
      <c r="AC337" s="6">
        <f>IF(A337="","",IF(COUNTIF($A$2:$A$501,A337)&gt;1,"异常：事件编号重复",IF(OR(C337="",D337="",E337="",F337="",G337="",I337="",J337=""),"异常：必填项缺失",IF(OR(I337&lt;=0,J337&lt;0),"异常：数量或价格无效",IF(AND(F337="限制性股票",OR(M337&lt;=0,N337&lt;0,I337&gt;M337)),"异常：个人获授或出资数据无效",IF(AND(F337="股票期权",K337&lt;&gt;IF(G337&lt;DATE(2025,1,10),14.56,IF(G337&lt;DATE(2025,4,29),14.32,IF(G337&lt;DATE(2025,9,26),14.18,14.04)))),"异常：行权价格区间不符",IF(Q337&lt;&gt;"已备案","提示：未确认备案","正常")))))))</f>
        <v/>
      </c>
      <c r="AD337" s="11" t="n"/>
    </row>
    <row r="338">
      <c r="A338" s="11" t="n"/>
      <c r="B338" s="6">
        <f>IF(A338="","",A338&amp;"-TAX")</f>
        <v/>
      </c>
      <c r="C338" s="11" t="n"/>
      <c r="D338" s="11" t="n"/>
      <c r="E338" s="11" t="n"/>
      <c r="F338" s="11" t="n"/>
      <c r="G338" s="12" t="n"/>
      <c r="H338" s="6">
        <f>IF(G338="","",YEAR(G338))</f>
        <v/>
      </c>
      <c r="I338" s="11" t="n"/>
      <c r="J338" s="13" t="n"/>
      <c r="K338" s="14">
        <f>IF(F338="股票期权",IF(G338="","",IF(G338&lt;DATE(2025,1,10),14.56,IF(G338&lt;DATE(2025,4,29),14.32,IF(G338&lt;DATE(2025,9,26),14.18,14.04)))),IF(F338="限制性股票",8.68,""))</f>
        <v/>
      </c>
      <c r="L338" s="14">
        <f>IF(F338="限制性股票",13.06,"")</f>
        <v/>
      </c>
      <c r="M338" s="11" t="n"/>
      <c r="N338" s="13" t="n"/>
      <c r="O338" s="13" t="n"/>
      <c r="P338" s="12" t="n"/>
      <c r="Q338" s="11" t="n"/>
      <c r="R338" s="12" t="n"/>
      <c r="S338" s="14">
        <f>IF(OR(A338="",C338="",F338="",G338="",I338="",J338=""),"",IF(F338="股票期权",MAX(0,(J338-K338)*I338),IF(F338="限制性股票",IF(OR(L338="",M338="",M338&lt;=0,N338=""),"",MAX(0,((L338+J338)/2)*I338-N338*I338/M338)),MAX(0,O338))))</f>
        <v/>
      </c>
      <c r="T338" s="14">
        <f>IF(S338="","",SUMIFS($S$2:$S$501,$C$2:$C$501,C338,$H$2:$H$501,H338,$G$2:$G$501,"&lt;"&amp;G338)+SUMIFS($S$2:$S$501,$C$2:$C$501,C338,$H$2:$H$501,H338,$G$2:$G$501,G338,$A$2:$A$501,"&lt;"&amp;A338))</f>
        <v/>
      </c>
      <c r="U338" s="14">
        <f>IF(S338="","",T338+S338)</f>
        <v/>
      </c>
      <c r="V338" s="15">
        <f>IF(U338="","",VLOOKUP(U338,'税率及规则'!$A$2:$C$8,2,TRUE))</f>
        <v/>
      </c>
      <c r="W338" s="14">
        <f>IF(U338="","",VLOOKUP(U338,'税率及规则'!$A$2:$C$8,3,TRUE))</f>
        <v/>
      </c>
      <c r="X338" s="14">
        <f>IF(U338="","",MAX(0,U338*V338-W338))</f>
        <v/>
      </c>
      <c r="Y338" s="14">
        <f>IF(T338="","",MAX(0,T338*VLOOKUP(T338,'税率及规则'!$A$2:$C$8,2,TRUE)-VLOOKUP(T338,'税率及规则'!$A$2:$C$8,3,TRUE)))</f>
        <v/>
      </c>
      <c r="Z338" s="14">
        <f>IF(X338="","",MAX(0,X338-Y338))</f>
        <v/>
      </c>
      <c r="AA338" s="16">
        <f>IF(G338="","",G338)</f>
        <v/>
      </c>
      <c r="AB338" s="16">
        <f>IF(AA338="","",EDATE(AA338,36))</f>
        <v/>
      </c>
      <c r="AC338" s="6">
        <f>IF(A338="","",IF(COUNTIF($A$2:$A$501,A338)&gt;1,"异常：事件编号重复",IF(OR(C338="",D338="",E338="",F338="",G338="",I338="",J338=""),"异常：必填项缺失",IF(OR(I338&lt;=0,J338&lt;0),"异常：数量或价格无效",IF(AND(F338="限制性股票",OR(M338&lt;=0,N338&lt;0,I338&gt;M338)),"异常：个人获授或出资数据无效",IF(AND(F338="股票期权",K338&lt;&gt;IF(G338&lt;DATE(2025,1,10),14.56,IF(G338&lt;DATE(2025,4,29),14.32,IF(G338&lt;DATE(2025,9,26),14.18,14.04)))),"异常：行权价格区间不符",IF(Q338&lt;&gt;"已备案","提示：未确认备案","正常")))))))</f>
        <v/>
      </c>
      <c r="AD338" s="11" t="n"/>
    </row>
    <row r="339">
      <c r="A339" s="11" t="n"/>
      <c r="B339" s="6">
        <f>IF(A339="","",A339&amp;"-TAX")</f>
        <v/>
      </c>
      <c r="C339" s="11" t="n"/>
      <c r="D339" s="11" t="n"/>
      <c r="E339" s="11" t="n"/>
      <c r="F339" s="11" t="n"/>
      <c r="G339" s="12" t="n"/>
      <c r="H339" s="6">
        <f>IF(G339="","",YEAR(G339))</f>
        <v/>
      </c>
      <c r="I339" s="11" t="n"/>
      <c r="J339" s="13" t="n"/>
      <c r="K339" s="14">
        <f>IF(F339="股票期权",IF(G339="","",IF(G339&lt;DATE(2025,1,10),14.56,IF(G339&lt;DATE(2025,4,29),14.32,IF(G339&lt;DATE(2025,9,26),14.18,14.04)))),IF(F339="限制性股票",8.68,""))</f>
        <v/>
      </c>
      <c r="L339" s="14">
        <f>IF(F339="限制性股票",13.06,"")</f>
        <v/>
      </c>
      <c r="M339" s="11" t="n"/>
      <c r="N339" s="13" t="n"/>
      <c r="O339" s="13" t="n"/>
      <c r="P339" s="12" t="n"/>
      <c r="Q339" s="11" t="n"/>
      <c r="R339" s="12" t="n"/>
      <c r="S339" s="14">
        <f>IF(OR(A339="",C339="",F339="",G339="",I339="",J339=""),"",IF(F339="股票期权",MAX(0,(J339-K339)*I339),IF(F339="限制性股票",IF(OR(L339="",M339="",M339&lt;=0,N339=""),"",MAX(0,((L339+J339)/2)*I339-N339*I339/M339)),MAX(0,O339))))</f>
        <v/>
      </c>
      <c r="T339" s="14">
        <f>IF(S339="","",SUMIFS($S$2:$S$501,$C$2:$C$501,C339,$H$2:$H$501,H339,$G$2:$G$501,"&lt;"&amp;G339)+SUMIFS($S$2:$S$501,$C$2:$C$501,C339,$H$2:$H$501,H339,$G$2:$G$501,G339,$A$2:$A$501,"&lt;"&amp;A339))</f>
        <v/>
      </c>
      <c r="U339" s="14">
        <f>IF(S339="","",T339+S339)</f>
        <v/>
      </c>
      <c r="V339" s="15">
        <f>IF(U339="","",VLOOKUP(U339,'税率及规则'!$A$2:$C$8,2,TRUE))</f>
        <v/>
      </c>
      <c r="W339" s="14">
        <f>IF(U339="","",VLOOKUP(U339,'税率及规则'!$A$2:$C$8,3,TRUE))</f>
        <v/>
      </c>
      <c r="X339" s="14">
        <f>IF(U339="","",MAX(0,U339*V339-W339))</f>
        <v/>
      </c>
      <c r="Y339" s="14">
        <f>IF(T339="","",MAX(0,T339*VLOOKUP(T339,'税率及规则'!$A$2:$C$8,2,TRUE)-VLOOKUP(T339,'税率及规则'!$A$2:$C$8,3,TRUE)))</f>
        <v/>
      </c>
      <c r="Z339" s="14">
        <f>IF(X339="","",MAX(0,X339-Y339))</f>
        <v/>
      </c>
      <c r="AA339" s="16">
        <f>IF(G339="","",G339)</f>
        <v/>
      </c>
      <c r="AB339" s="16">
        <f>IF(AA339="","",EDATE(AA339,36))</f>
        <v/>
      </c>
      <c r="AC339" s="6">
        <f>IF(A339="","",IF(COUNTIF($A$2:$A$501,A339)&gt;1,"异常：事件编号重复",IF(OR(C339="",D339="",E339="",F339="",G339="",I339="",J339=""),"异常：必填项缺失",IF(OR(I339&lt;=0,J339&lt;0),"异常：数量或价格无效",IF(AND(F339="限制性股票",OR(M339&lt;=0,N339&lt;0,I339&gt;M339)),"异常：个人获授或出资数据无效",IF(AND(F339="股票期权",K339&lt;&gt;IF(G339&lt;DATE(2025,1,10),14.56,IF(G339&lt;DATE(2025,4,29),14.32,IF(G339&lt;DATE(2025,9,26),14.18,14.04)))),"异常：行权价格区间不符",IF(Q339&lt;&gt;"已备案","提示：未确认备案","正常")))))))</f>
        <v/>
      </c>
      <c r="AD339" s="11" t="n"/>
    </row>
    <row r="340">
      <c r="A340" s="11" t="n"/>
      <c r="B340" s="6">
        <f>IF(A340="","",A340&amp;"-TAX")</f>
        <v/>
      </c>
      <c r="C340" s="11" t="n"/>
      <c r="D340" s="11" t="n"/>
      <c r="E340" s="11" t="n"/>
      <c r="F340" s="11" t="n"/>
      <c r="G340" s="12" t="n"/>
      <c r="H340" s="6">
        <f>IF(G340="","",YEAR(G340))</f>
        <v/>
      </c>
      <c r="I340" s="11" t="n"/>
      <c r="J340" s="13" t="n"/>
      <c r="K340" s="14">
        <f>IF(F340="股票期权",IF(G340="","",IF(G340&lt;DATE(2025,1,10),14.56,IF(G340&lt;DATE(2025,4,29),14.32,IF(G340&lt;DATE(2025,9,26),14.18,14.04)))),IF(F340="限制性股票",8.68,""))</f>
        <v/>
      </c>
      <c r="L340" s="14">
        <f>IF(F340="限制性股票",13.06,"")</f>
        <v/>
      </c>
      <c r="M340" s="11" t="n"/>
      <c r="N340" s="13" t="n"/>
      <c r="O340" s="13" t="n"/>
      <c r="P340" s="12" t="n"/>
      <c r="Q340" s="11" t="n"/>
      <c r="R340" s="12" t="n"/>
      <c r="S340" s="14">
        <f>IF(OR(A340="",C340="",F340="",G340="",I340="",J340=""),"",IF(F340="股票期权",MAX(0,(J340-K340)*I340),IF(F340="限制性股票",IF(OR(L340="",M340="",M340&lt;=0,N340=""),"",MAX(0,((L340+J340)/2)*I340-N340*I340/M340)),MAX(0,O340))))</f>
        <v/>
      </c>
      <c r="T340" s="14">
        <f>IF(S340="","",SUMIFS($S$2:$S$501,$C$2:$C$501,C340,$H$2:$H$501,H340,$G$2:$G$501,"&lt;"&amp;G340)+SUMIFS($S$2:$S$501,$C$2:$C$501,C340,$H$2:$H$501,H340,$G$2:$G$501,G340,$A$2:$A$501,"&lt;"&amp;A340))</f>
        <v/>
      </c>
      <c r="U340" s="14">
        <f>IF(S340="","",T340+S340)</f>
        <v/>
      </c>
      <c r="V340" s="15">
        <f>IF(U340="","",VLOOKUP(U340,'税率及规则'!$A$2:$C$8,2,TRUE))</f>
        <v/>
      </c>
      <c r="W340" s="14">
        <f>IF(U340="","",VLOOKUP(U340,'税率及规则'!$A$2:$C$8,3,TRUE))</f>
        <v/>
      </c>
      <c r="X340" s="14">
        <f>IF(U340="","",MAX(0,U340*V340-W340))</f>
        <v/>
      </c>
      <c r="Y340" s="14">
        <f>IF(T340="","",MAX(0,T340*VLOOKUP(T340,'税率及规则'!$A$2:$C$8,2,TRUE)-VLOOKUP(T340,'税率及规则'!$A$2:$C$8,3,TRUE)))</f>
        <v/>
      </c>
      <c r="Z340" s="14">
        <f>IF(X340="","",MAX(0,X340-Y340))</f>
        <v/>
      </c>
      <c r="AA340" s="16">
        <f>IF(G340="","",G340)</f>
        <v/>
      </c>
      <c r="AB340" s="16">
        <f>IF(AA340="","",EDATE(AA340,36))</f>
        <v/>
      </c>
      <c r="AC340" s="6">
        <f>IF(A340="","",IF(COUNTIF($A$2:$A$501,A340)&gt;1,"异常：事件编号重复",IF(OR(C340="",D340="",E340="",F340="",G340="",I340="",J340=""),"异常：必填项缺失",IF(OR(I340&lt;=0,J340&lt;0),"异常：数量或价格无效",IF(AND(F340="限制性股票",OR(M340&lt;=0,N340&lt;0,I340&gt;M340)),"异常：个人获授或出资数据无效",IF(AND(F340="股票期权",K340&lt;&gt;IF(G340&lt;DATE(2025,1,10),14.56,IF(G340&lt;DATE(2025,4,29),14.32,IF(G340&lt;DATE(2025,9,26),14.18,14.04)))),"异常：行权价格区间不符",IF(Q340&lt;&gt;"已备案","提示：未确认备案","正常")))))))</f>
        <v/>
      </c>
      <c r="AD340" s="11" t="n"/>
    </row>
    <row r="341">
      <c r="A341" s="11" t="n"/>
      <c r="B341" s="6">
        <f>IF(A341="","",A341&amp;"-TAX")</f>
        <v/>
      </c>
      <c r="C341" s="11" t="n"/>
      <c r="D341" s="11" t="n"/>
      <c r="E341" s="11" t="n"/>
      <c r="F341" s="11" t="n"/>
      <c r="G341" s="12" t="n"/>
      <c r="H341" s="6">
        <f>IF(G341="","",YEAR(G341))</f>
        <v/>
      </c>
      <c r="I341" s="11" t="n"/>
      <c r="J341" s="13" t="n"/>
      <c r="K341" s="14">
        <f>IF(F341="股票期权",IF(G341="","",IF(G341&lt;DATE(2025,1,10),14.56,IF(G341&lt;DATE(2025,4,29),14.32,IF(G341&lt;DATE(2025,9,26),14.18,14.04)))),IF(F341="限制性股票",8.68,""))</f>
        <v/>
      </c>
      <c r="L341" s="14">
        <f>IF(F341="限制性股票",13.06,"")</f>
        <v/>
      </c>
      <c r="M341" s="11" t="n"/>
      <c r="N341" s="13" t="n"/>
      <c r="O341" s="13" t="n"/>
      <c r="P341" s="12" t="n"/>
      <c r="Q341" s="11" t="n"/>
      <c r="R341" s="12" t="n"/>
      <c r="S341" s="14">
        <f>IF(OR(A341="",C341="",F341="",G341="",I341="",J341=""),"",IF(F341="股票期权",MAX(0,(J341-K341)*I341),IF(F341="限制性股票",IF(OR(L341="",M341="",M341&lt;=0,N341=""),"",MAX(0,((L341+J341)/2)*I341-N341*I341/M341)),MAX(0,O341))))</f>
        <v/>
      </c>
      <c r="T341" s="14">
        <f>IF(S341="","",SUMIFS($S$2:$S$501,$C$2:$C$501,C341,$H$2:$H$501,H341,$G$2:$G$501,"&lt;"&amp;G341)+SUMIFS($S$2:$S$501,$C$2:$C$501,C341,$H$2:$H$501,H341,$G$2:$G$501,G341,$A$2:$A$501,"&lt;"&amp;A341))</f>
        <v/>
      </c>
      <c r="U341" s="14">
        <f>IF(S341="","",T341+S341)</f>
        <v/>
      </c>
      <c r="V341" s="15">
        <f>IF(U341="","",VLOOKUP(U341,'税率及规则'!$A$2:$C$8,2,TRUE))</f>
        <v/>
      </c>
      <c r="W341" s="14">
        <f>IF(U341="","",VLOOKUP(U341,'税率及规则'!$A$2:$C$8,3,TRUE))</f>
        <v/>
      </c>
      <c r="X341" s="14">
        <f>IF(U341="","",MAX(0,U341*V341-W341))</f>
        <v/>
      </c>
      <c r="Y341" s="14">
        <f>IF(T341="","",MAX(0,T341*VLOOKUP(T341,'税率及规则'!$A$2:$C$8,2,TRUE)-VLOOKUP(T341,'税率及规则'!$A$2:$C$8,3,TRUE)))</f>
        <v/>
      </c>
      <c r="Z341" s="14">
        <f>IF(X341="","",MAX(0,X341-Y341))</f>
        <v/>
      </c>
      <c r="AA341" s="16">
        <f>IF(G341="","",G341)</f>
        <v/>
      </c>
      <c r="AB341" s="16">
        <f>IF(AA341="","",EDATE(AA341,36))</f>
        <v/>
      </c>
      <c r="AC341" s="6">
        <f>IF(A341="","",IF(COUNTIF($A$2:$A$501,A341)&gt;1,"异常：事件编号重复",IF(OR(C341="",D341="",E341="",F341="",G341="",I341="",J341=""),"异常：必填项缺失",IF(OR(I341&lt;=0,J341&lt;0),"异常：数量或价格无效",IF(AND(F341="限制性股票",OR(M341&lt;=0,N341&lt;0,I341&gt;M341)),"异常：个人获授或出资数据无效",IF(AND(F341="股票期权",K341&lt;&gt;IF(G341&lt;DATE(2025,1,10),14.56,IF(G341&lt;DATE(2025,4,29),14.32,IF(G341&lt;DATE(2025,9,26),14.18,14.04)))),"异常：行权价格区间不符",IF(Q341&lt;&gt;"已备案","提示：未确认备案","正常")))))))</f>
        <v/>
      </c>
      <c r="AD341" s="11" t="n"/>
    </row>
    <row r="342">
      <c r="A342" s="11" t="n"/>
      <c r="B342" s="6">
        <f>IF(A342="","",A342&amp;"-TAX")</f>
        <v/>
      </c>
      <c r="C342" s="11" t="n"/>
      <c r="D342" s="11" t="n"/>
      <c r="E342" s="11" t="n"/>
      <c r="F342" s="11" t="n"/>
      <c r="G342" s="12" t="n"/>
      <c r="H342" s="6">
        <f>IF(G342="","",YEAR(G342))</f>
        <v/>
      </c>
      <c r="I342" s="11" t="n"/>
      <c r="J342" s="13" t="n"/>
      <c r="K342" s="14">
        <f>IF(F342="股票期权",IF(G342="","",IF(G342&lt;DATE(2025,1,10),14.56,IF(G342&lt;DATE(2025,4,29),14.32,IF(G342&lt;DATE(2025,9,26),14.18,14.04)))),IF(F342="限制性股票",8.68,""))</f>
        <v/>
      </c>
      <c r="L342" s="14">
        <f>IF(F342="限制性股票",13.06,"")</f>
        <v/>
      </c>
      <c r="M342" s="11" t="n"/>
      <c r="N342" s="13" t="n"/>
      <c r="O342" s="13" t="n"/>
      <c r="P342" s="12" t="n"/>
      <c r="Q342" s="11" t="n"/>
      <c r="R342" s="12" t="n"/>
      <c r="S342" s="14">
        <f>IF(OR(A342="",C342="",F342="",G342="",I342="",J342=""),"",IF(F342="股票期权",MAX(0,(J342-K342)*I342),IF(F342="限制性股票",IF(OR(L342="",M342="",M342&lt;=0,N342=""),"",MAX(0,((L342+J342)/2)*I342-N342*I342/M342)),MAX(0,O342))))</f>
        <v/>
      </c>
      <c r="T342" s="14">
        <f>IF(S342="","",SUMIFS($S$2:$S$501,$C$2:$C$501,C342,$H$2:$H$501,H342,$G$2:$G$501,"&lt;"&amp;G342)+SUMIFS($S$2:$S$501,$C$2:$C$501,C342,$H$2:$H$501,H342,$G$2:$G$501,G342,$A$2:$A$501,"&lt;"&amp;A342))</f>
        <v/>
      </c>
      <c r="U342" s="14">
        <f>IF(S342="","",T342+S342)</f>
        <v/>
      </c>
      <c r="V342" s="15">
        <f>IF(U342="","",VLOOKUP(U342,'税率及规则'!$A$2:$C$8,2,TRUE))</f>
        <v/>
      </c>
      <c r="W342" s="14">
        <f>IF(U342="","",VLOOKUP(U342,'税率及规则'!$A$2:$C$8,3,TRUE))</f>
        <v/>
      </c>
      <c r="X342" s="14">
        <f>IF(U342="","",MAX(0,U342*V342-W342))</f>
        <v/>
      </c>
      <c r="Y342" s="14">
        <f>IF(T342="","",MAX(0,T342*VLOOKUP(T342,'税率及规则'!$A$2:$C$8,2,TRUE)-VLOOKUP(T342,'税率及规则'!$A$2:$C$8,3,TRUE)))</f>
        <v/>
      </c>
      <c r="Z342" s="14">
        <f>IF(X342="","",MAX(0,X342-Y342))</f>
        <v/>
      </c>
      <c r="AA342" s="16">
        <f>IF(G342="","",G342)</f>
        <v/>
      </c>
      <c r="AB342" s="16">
        <f>IF(AA342="","",EDATE(AA342,36))</f>
        <v/>
      </c>
      <c r="AC342" s="6">
        <f>IF(A342="","",IF(COUNTIF($A$2:$A$501,A342)&gt;1,"异常：事件编号重复",IF(OR(C342="",D342="",E342="",F342="",G342="",I342="",J342=""),"异常：必填项缺失",IF(OR(I342&lt;=0,J342&lt;0),"异常：数量或价格无效",IF(AND(F342="限制性股票",OR(M342&lt;=0,N342&lt;0,I342&gt;M342)),"异常：个人获授或出资数据无效",IF(AND(F342="股票期权",K342&lt;&gt;IF(G342&lt;DATE(2025,1,10),14.56,IF(G342&lt;DATE(2025,4,29),14.32,IF(G342&lt;DATE(2025,9,26),14.18,14.04)))),"异常：行权价格区间不符",IF(Q342&lt;&gt;"已备案","提示：未确认备案","正常")))))))</f>
        <v/>
      </c>
      <c r="AD342" s="11" t="n"/>
    </row>
    <row r="343">
      <c r="A343" s="11" t="n"/>
      <c r="B343" s="6">
        <f>IF(A343="","",A343&amp;"-TAX")</f>
        <v/>
      </c>
      <c r="C343" s="11" t="n"/>
      <c r="D343" s="11" t="n"/>
      <c r="E343" s="11" t="n"/>
      <c r="F343" s="11" t="n"/>
      <c r="G343" s="12" t="n"/>
      <c r="H343" s="6">
        <f>IF(G343="","",YEAR(G343))</f>
        <v/>
      </c>
      <c r="I343" s="11" t="n"/>
      <c r="J343" s="13" t="n"/>
      <c r="K343" s="14">
        <f>IF(F343="股票期权",IF(G343="","",IF(G343&lt;DATE(2025,1,10),14.56,IF(G343&lt;DATE(2025,4,29),14.32,IF(G343&lt;DATE(2025,9,26),14.18,14.04)))),IF(F343="限制性股票",8.68,""))</f>
        <v/>
      </c>
      <c r="L343" s="14">
        <f>IF(F343="限制性股票",13.06,"")</f>
        <v/>
      </c>
      <c r="M343" s="11" t="n"/>
      <c r="N343" s="13" t="n"/>
      <c r="O343" s="13" t="n"/>
      <c r="P343" s="12" t="n"/>
      <c r="Q343" s="11" t="n"/>
      <c r="R343" s="12" t="n"/>
      <c r="S343" s="14">
        <f>IF(OR(A343="",C343="",F343="",G343="",I343="",J343=""),"",IF(F343="股票期权",MAX(0,(J343-K343)*I343),IF(F343="限制性股票",IF(OR(L343="",M343="",M343&lt;=0,N343=""),"",MAX(0,((L343+J343)/2)*I343-N343*I343/M343)),MAX(0,O343))))</f>
        <v/>
      </c>
      <c r="T343" s="14">
        <f>IF(S343="","",SUMIFS($S$2:$S$501,$C$2:$C$501,C343,$H$2:$H$501,H343,$G$2:$G$501,"&lt;"&amp;G343)+SUMIFS($S$2:$S$501,$C$2:$C$501,C343,$H$2:$H$501,H343,$G$2:$G$501,G343,$A$2:$A$501,"&lt;"&amp;A343))</f>
        <v/>
      </c>
      <c r="U343" s="14">
        <f>IF(S343="","",T343+S343)</f>
        <v/>
      </c>
      <c r="V343" s="15">
        <f>IF(U343="","",VLOOKUP(U343,'税率及规则'!$A$2:$C$8,2,TRUE))</f>
        <v/>
      </c>
      <c r="W343" s="14">
        <f>IF(U343="","",VLOOKUP(U343,'税率及规则'!$A$2:$C$8,3,TRUE))</f>
        <v/>
      </c>
      <c r="X343" s="14">
        <f>IF(U343="","",MAX(0,U343*V343-W343))</f>
        <v/>
      </c>
      <c r="Y343" s="14">
        <f>IF(T343="","",MAX(0,T343*VLOOKUP(T343,'税率及规则'!$A$2:$C$8,2,TRUE)-VLOOKUP(T343,'税率及规则'!$A$2:$C$8,3,TRUE)))</f>
        <v/>
      </c>
      <c r="Z343" s="14">
        <f>IF(X343="","",MAX(0,X343-Y343))</f>
        <v/>
      </c>
      <c r="AA343" s="16">
        <f>IF(G343="","",G343)</f>
        <v/>
      </c>
      <c r="AB343" s="16">
        <f>IF(AA343="","",EDATE(AA343,36))</f>
        <v/>
      </c>
      <c r="AC343" s="6">
        <f>IF(A343="","",IF(COUNTIF($A$2:$A$501,A343)&gt;1,"异常：事件编号重复",IF(OR(C343="",D343="",E343="",F343="",G343="",I343="",J343=""),"异常：必填项缺失",IF(OR(I343&lt;=0,J343&lt;0),"异常：数量或价格无效",IF(AND(F343="限制性股票",OR(M343&lt;=0,N343&lt;0,I343&gt;M343)),"异常：个人获授或出资数据无效",IF(AND(F343="股票期权",K343&lt;&gt;IF(G343&lt;DATE(2025,1,10),14.56,IF(G343&lt;DATE(2025,4,29),14.32,IF(G343&lt;DATE(2025,9,26),14.18,14.04)))),"异常：行权价格区间不符",IF(Q343&lt;&gt;"已备案","提示：未确认备案","正常")))))))</f>
        <v/>
      </c>
      <c r="AD343" s="11" t="n"/>
    </row>
    <row r="344">
      <c r="A344" s="11" t="n"/>
      <c r="B344" s="6">
        <f>IF(A344="","",A344&amp;"-TAX")</f>
        <v/>
      </c>
      <c r="C344" s="11" t="n"/>
      <c r="D344" s="11" t="n"/>
      <c r="E344" s="11" t="n"/>
      <c r="F344" s="11" t="n"/>
      <c r="G344" s="12" t="n"/>
      <c r="H344" s="6">
        <f>IF(G344="","",YEAR(G344))</f>
        <v/>
      </c>
      <c r="I344" s="11" t="n"/>
      <c r="J344" s="13" t="n"/>
      <c r="K344" s="14">
        <f>IF(F344="股票期权",IF(G344="","",IF(G344&lt;DATE(2025,1,10),14.56,IF(G344&lt;DATE(2025,4,29),14.32,IF(G344&lt;DATE(2025,9,26),14.18,14.04)))),IF(F344="限制性股票",8.68,""))</f>
        <v/>
      </c>
      <c r="L344" s="14">
        <f>IF(F344="限制性股票",13.06,"")</f>
        <v/>
      </c>
      <c r="M344" s="11" t="n"/>
      <c r="N344" s="13" t="n"/>
      <c r="O344" s="13" t="n"/>
      <c r="P344" s="12" t="n"/>
      <c r="Q344" s="11" t="n"/>
      <c r="R344" s="12" t="n"/>
      <c r="S344" s="14">
        <f>IF(OR(A344="",C344="",F344="",G344="",I344="",J344=""),"",IF(F344="股票期权",MAX(0,(J344-K344)*I344),IF(F344="限制性股票",IF(OR(L344="",M344="",M344&lt;=0,N344=""),"",MAX(0,((L344+J344)/2)*I344-N344*I344/M344)),MAX(0,O344))))</f>
        <v/>
      </c>
      <c r="T344" s="14">
        <f>IF(S344="","",SUMIFS($S$2:$S$501,$C$2:$C$501,C344,$H$2:$H$501,H344,$G$2:$G$501,"&lt;"&amp;G344)+SUMIFS($S$2:$S$501,$C$2:$C$501,C344,$H$2:$H$501,H344,$G$2:$G$501,G344,$A$2:$A$501,"&lt;"&amp;A344))</f>
        <v/>
      </c>
      <c r="U344" s="14">
        <f>IF(S344="","",T344+S344)</f>
        <v/>
      </c>
      <c r="V344" s="15">
        <f>IF(U344="","",VLOOKUP(U344,'税率及规则'!$A$2:$C$8,2,TRUE))</f>
        <v/>
      </c>
      <c r="W344" s="14">
        <f>IF(U344="","",VLOOKUP(U344,'税率及规则'!$A$2:$C$8,3,TRUE))</f>
        <v/>
      </c>
      <c r="X344" s="14">
        <f>IF(U344="","",MAX(0,U344*V344-W344))</f>
        <v/>
      </c>
      <c r="Y344" s="14">
        <f>IF(T344="","",MAX(0,T344*VLOOKUP(T344,'税率及规则'!$A$2:$C$8,2,TRUE)-VLOOKUP(T344,'税率及规则'!$A$2:$C$8,3,TRUE)))</f>
        <v/>
      </c>
      <c r="Z344" s="14">
        <f>IF(X344="","",MAX(0,X344-Y344))</f>
        <v/>
      </c>
      <c r="AA344" s="16">
        <f>IF(G344="","",G344)</f>
        <v/>
      </c>
      <c r="AB344" s="16">
        <f>IF(AA344="","",EDATE(AA344,36))</f>
        <v/>
      </c>
      <c r="AC344" s="6">
        <f>IF(A344="","",IF(COUNTIF($A$2:$A$501,A344)&gt;1,"异常：事件编号重复",IF(OR(C344="",D344="",E344="",F344="",G344="",I344="",J344=""),"异常：必填项缺失",IF(OR(I344&lt;=0,J344&lt;0),"异常：数量或价格无效",IF(AND(F344="限制性股票",OR(M344&lt;=0,N344&lt;0,I344&gt;M344)),"异常：个人获授或出资数据无效",IF(AND(F344="股票期权",K344&lt;&gt;IF(G344&lt;DATE(2025,1,10),14.56,IF(G344&lt;DATE(2025,4,29),14.32,IF(G344&lt;DATE(2025,9,26),14.18,14.04)))),"异常：行权价格区间不符",IF(Q344&lt;&gt;"已备案","提示：未确认备案","正常")))))))</f>
        <v/>
      </c>
      <c r="AD344" s="11" t="n"/>
    </row>
    <row r="345">
      <c r="A345" s="11" t="n"/>
      <c r="B345" s="6">
        <f>IF(A345="","",A345&amp;"-TAX")</f>
        <v/>
      </c>
      <c r="C345" s="11" t="n"/>
      <c r="D345" s="11" t="n"/>
      <c r="E345" s="11" t="n"/>
      <c r="F345" s="11" t="n"/>
      <c r="G345" s="12" t="n"/>
      <c r="H345" s="6">
        <f>IF(G345="","",YEAR(G345))</f>
        <v/>
      </c>
      <c r="I345" s="11" t="n"/>
      <c r="J345" s="13" t="n"/>
      <c r="K345" s="14">
        <f>IF(F345="股票期权",IF(G345="","",IF(G345&lt;DATE(2025,1,10),14.56,IF(G345&lt;DATE(2025,4,29),14.32,IF(G345&lt;DATE(2025,9,26),14.18,14.04)))),IF(F345="限制性股票",8.68,""))</f>
        <v/>
      </c>
      <c r="L345" s="14">
        <f>IF(F345="限制性股票",13.06,"")</f>
        <v/>
      </c>
      <c r="M345" s="11" t="n"/>
      <c r="N345" s="13" t="n"/>
      <c r="O345" s="13" t="n"/>
      <c r="P345" s="12" t="n"/>
      <c r="Q345" s="11" t="n"/>
      <c r="R345" s="12" t="n"/>
      <c r="S345" s="14">
        <f>IF(OR(A345="",C345="",F345="",G345="",I345="",J345=""),"",IF(F345="股票期权",MAX(0,(J345-K345)*I345),IF(F345="限制性股票",IF(OR(L345="",M345="",M345&lt;=0,N345=""),"",MAX(0,((L345+J345)/2)*I345-N345*I345/M345)),MAX(0,O345))))</f>
        <v/>
      </c>
      <c r="T345" s="14">
        <f>IF(S345="","",SUMIFS($S$2:$S$501,$C$2:$C$501,C345,$H$2:$H$501,H345,$G$2:$G$501,"&lt;"&amp;G345)+SUMIFS($S$2:$S$501,$C$2:$C$501,C345,$H$2:$H$501,H345,$G$2:$G$501,G345,$A$2:$A$501,"&lt;"&amp;A345))</f>
        <v/>
      </c>
      <c r="U345" s="14">
        <f>IF(S345="","",T345+S345)</f>
        <v/>
      </c>
      <c r="V345" s="15">
        <f>IF(U345="","",VLOOKUP(U345,'税率及规则'!$A$2:$C$8,2,TRUE))</f>
        <v/>
      </c>
      <c r="W345" s="14">
        <f>IF(U345="","",VLOOKUP(U345,'税率及规则'!$A$2:$C$8,3,TRUE))</f>
        <v/>
      </c>
      <c r="X345" s="14">
        <f>IF(U345="","",MAX(0,U345*V345-W345))</f>
        <v/>
      </c>
      <c r="Y345" s="14">
        <f>IF(T345="","",MAX(0,T345*VLOOKUP(T345,'税率及规则'!$A$2:$C$8,2,TRUE)-VLOOKUP(T345,'税率及规则'!$A$2:$C$8,3,TRUE)))</f>
        <v/>
      </c>
      <c r="Z345" s="14">
        <f>IF(X345="","",MAX(0,X345-Y345))</f>
        <v/>
      </c>
      <c r="AA345" s="16">
        <f>IF(G345="","",G345)</f>
        <v/>
      </c>
      <c r="AB345" s="16">
        <f>IF(AA345="","",EDATE(AA345,36))</f>
        <v/>
      </c>
      <c r="AC345" s="6">
        <f>IF(A345="","",IF(COUNTIF($A$2:$A$501,A345)&gt;1,"异常：事件编号重复",IF(OR(C345="",D345="",E345="",F345="",G345="",I345="",J345=""),"异常：必填项缺失",IF(OR(I345&lt;=0,J345&lt;0),"异常：数量或价格无效",IF(AND(F345="限制性股票",OR(M345&lt;=0,N345&lt;0,I345&gt;M345)),"异常：个人获授或出资数据无效",IF(AND(F345="股票期权",K345&lt;&gt;IF(G345&lt;DATE(2025,1,10),14.56,IF(G345&lt;DATE(2025,4,29),14.32,IF(G345&lt;DATE(2025,9,26),14.18,14.04)))),"异常：行权价格区间不符",IF(Q345&lt;&gt;"已备案","提示：未确认备案","正常")))))))</f>
        <v/>
      </c>
      <c r="AD345" s="11" t="n"/>
    </row>
    <row r="346">
      <c r="A346" s="11" t="n"/>
      <c r="B346" s="6">
        <f>IF(A346="","",A346&amp;"-TAX")</f>
        <v/>
      </c>
      <c r="C346" s="11" t="n"/>
      <c r="D346" s="11" t="n"/>
      <c r="E346" s="11" t="n"/>
      <c r="F346" s="11" t="n"/>
      <c r="G346" s="12" t="n"/>
      <c r="H346" s="6">
        <f>IF(G346="","",YEAR(G346))</f>
        <v/>
      </c>
      <c r="I346" s="11" t="n"/>
      <c r="J346" s="13" t="n"/>
      <c r="K346" s="14">
        <f>IF(F346="股票期权",IF(G346="","",IF(G346&lt;DATE(2025,1,10),14.56,IF(G346&lt;DATE(2025,4,29),14.32,IF(G346&lt;DATE(2025,9,26),14.18,14.04)))),IF(F346="限制性股票",8.68,""))</f>
        <v/>
      </c>
      <c r="L346" s="14">
        <f>IF(F346="限制性股票",13.06,"")</f>
        <v/>
      </c>
      <c r="M346" s="11" t="n"/>
      <c r="N346" s="13" t="n"/>
      <c r="O346" s="13" t="n"/>
      <c r="P346" s="12" t="n"/>
      <c r="Q346" s="11" t="n"/>
      <c r="R346" s="12" t="n"/>
      <c r="S346" s="14">
        <f>IF(OR(A346="",C346="",F346="",G346="",I346="",J346=""),"",IF(F346="股票期权",MAX(0,(J346-K346)*I346),IF(F346="限制性股票",IF(OR(L346="",M346="",M346&lt;=0,N346=""),"",MAX(0,((L346+J346)/2)*I346-N346*I346/M346)),MAX(0,O346))))</f>
        <v/>
      </c>
      <c r="T346" s="14">
        <f>IF(S346="","",SUMIFS($S$2:$S$501,$C$2:$C$501,C346,$H$2:$H$501,H346,$G$2:$G$501,"&lt;"&amp;G346)+SUMIFS($S$2:$S$501,$C$2:$C$501,C346,$H$2:$H$501,H346,$G$2:$G$501,G346,$A$2:$A$501,"&lt;"&amp;A346))</f>
        <v/>
      </c>
      <c r="U346" s="14">
        <f>IF(S346="","",T346+S346)</f>
        <v/>
      </c>
      <c r="V346" s="15">
        <f>IF(U346="","",VLOOKUP(U346,'税率及规则'!$A$2:$C$8,2,TRUE))</f>
        <v/>
      </c>
      <c r="W346" s="14">
        <f>IF(U346="","",VLOOKUP(U346,'税率及规则'!$A$2:$C$8,3,TRUE))</f>
        <v/>
      </c>
      <c r="X346" s="14">
        <f>IF(U346="","",MAX(0,U346*V346-W346))</f>
        <v/>
      </c>
      <c r="Y346" s="14">
        <f>IF(T346="","",MAX(0,T346*VLOOKUP(T346,'税率及规则'!$A$2:$C$8,2,TRUE)-VLOOKUP(T346,'税率及规则'!$A$2:$C$8,3,TRUE)))</f>
        <v/>
      </c>
      <c r="Z346" s="14">
        <f>IF(X346="","",MAX(0,X346-Y346))</f>
        <v/>
      </c>
      <c r="AA346" s="16">
        <f>IF(G346="","",G346)</f>
        <v/>
      </c>
      <c r="AB346" s="16">
        <f>IF(AA346="","",EDATE(AA346,36))</f>
        <v/>
      </c>
      <c r="AC346" s="6">
        <f>IF(A346="","",IF(COUNTIF($A$2:$A$501,A346)&gt;1,"异常：事件编号重复",IF(OR(C346="",D346="",E346="",F346="",G346="",I346="",J346=""),"异常：必填项缺失",IF(OR(I346&lt;=0,J346&lt;0),"异常：数量或价格无效",IF(AND(F346="限制性股票",OR(M346&lt;=0,N346&lt;0,I346&gt;M346)),"异常：个人获授或出资数据无效",IF(AND(F346="股票期权",K346&lt;&gt;IF(G346&lt;DATE(2025,1,10),14.56,IF(G346&lt;DATE(2025,4,29),14.32,IF(G346&lt;DATE(2025,9,26),14.18,14.04)))),"异常：行权价格区间不符",IF(Q346&lt;&gt;"已备案","提示：未确认备案","正常")))))))</f>
        <v/>
      </c>
      <c r="AD346" s="11" t="n"/>
    </row>
    <row r="347">
      <c r="A347" s="11" t="n"/>
      <c r="B347" s="6">
        <f>IF(A347="","",A347&amp;"-TAX")</f>
        <v/>
      </c>
      <c r="C347" s="11" t="n"/>
      <c r="D347" s="11" t="n"/>
      <c r="E347" s="11" t="n"/>
      <c r="F347" s="11" t="n"/>
      <c r="G347" s="12" t="n"/>
      <c r="H347" s="6">
        <f>IF(G347="","",YEAR(G347))</f>
        <v/>
      </c>
      <c r="I347" s="11" t="n"/>
      <c r="J347" s="13" t="n"/>
      <c r="K347" s="14">
        <f>IF(F347="股票期权",IF(G347="","",IF(G347&lt;DATE(2025,1,10),14.56,IF(G347&lt;DATE(2025,4,29),14.32,IF(G347&lt;DATE(2025,9,26),14.18,14.04)))),IF(F347="限制性股票",8.68,""))</f>
        <v/>
      </c>
      <c r="L347" s="14">
        <f>IF(F347="限制性股票",13.06,"")</f>
        <v/>
      </c>
      <c r="M347" s="11" t="n"/>
      <c r="N347" s="13" t="n"/>
      <c r="O347" s="13" t="n"/>
      <c r="P347" s="12" t="n"/>
      <c r="Q347" s="11" t="n"/>
      <c r="R347" s="12" t="n"/>
      <c r="S347" s="14">
        <f>IF(OR(A347="",C347="",F347="",G347="",I347="",J347=""),"",IF(F347="股票期权",MAX(0,(J347-K347)*I347),IF(F347="限制性股票",IF(OR(L347="",M347="",M347&lt;=0,N347=""),"",MAX(0,((L347+J347)/2)*I347-N347*I347/M347)),MAX(0,O347))))</f>
        <v/>
      </c>
      <c r="T347" s="14">
        <f>IF(S347="","",SUMIFS($S$2:$S$501,$C$2:$C$501,C347,$H$2:$H$501,H347,$G$2:$G$501,"&lt;"&amp;G347)+SUMIFS($S$2:$S$501,$C$2:$C$501,C347,$H$2:$H$501,H347,$G$2:$G$501,G347,$A$2:$A$501,"&lt;"&amp;A347))</f>
        <v/>
      </c>
      <c r="U347" s="14">
        <f>IF(S347="","",T347+S347)</f>
        <v/>
      </c>
      <c r="V347" s="15">
        <f>IF(U347="","",VLOOKUP(U347,'税率及规则'!$A$2:$C$8,2,TRUE))</f>
        <v/>
      </c>
      <c r="W347" s="14">
        <f>IF(U347="","",VLOOKUP(U347,'税率及规则'!$A$2:$C$8,3,TRUE))</f>
        <v/>
      </c>
      <c r="X347" s="14">
        <f>IF(U347="","",MAX(0,U347*V347-W347))</f>
        <v/>
      </c>
      <c r="Y347" s="14">
        <f>IF(T347="","",MAX(0,T347*VLOOKUP(T347,'税率及规则'!$A$2:$C$8,2,TRUE)-VLOOKUP(T347,'税率及规则'!$A$2:$C$8,3,TRUE)))</f>
        <v/>
      </c>
      <c r="Z347" s="14">
        <f>IF(X347="","",MAX(0,X347-Y347))</f>
        <v/>
      </c>
      <c r="AA347" s="16">
        <f>IF(G347="","",G347)</f>
        <v/>
      </c>
      <c r="AB347" s="16">
        <f>IF(AA347="","",EDATE(AA347,36))</f>
        <v/>
      </c>
      <c r="AC347" s="6">
        <f>IF(A347="","",IF(COUNTIF($A$2:$A$501,A347)&gt;1,"异常：事件编号重复",IF(OR(C347="",D347="",E347="",F347="",G347="",I347="",J347=""),"异常：必填项缺失",IF(OR(I347&lt;=0,J347&lt;0),"异常：数量或价格无效",IF(AND(F347="限制性股票",OR(M347&lt;=0,N347&lt;0,I347&gt;M347)),"异常：个人获授或出资数据无效",IF(AND(F347="股票期权",K347&lt;&gt;IF(G347&lt;DATE(2025,1,10),14.56,IF(G347&lt;DATE(2025,4,29),14.32,IF(G347&lt;DATE(2025,9,26),14.18,14.04)))),"异常：行权价格区间不符",IF(Q347&lt;&gt;"已备案","提示：未确认备案","正常")))))))</f>
        <v/>
      </c>
      <c r="AD347" s="11" t="n"/>
    </row>
    <row r="348">
      <c r="A348" s="11" t="n"/>
      <c r="B348" s="6">
        <f>IF(A348="","",A348&amp;"-TAX")</f>
        <v/>
      </c>
      <c r="C348" s="11" t="n"/>
      <c r="D348" s="11" t="n"/>
      <c r="E348" s="11" t="n"/>
      <c r="F348" s="11" t="n"/>
      <c r="G348" s="12" t="n"/>
      <c r="H348" s="6">
        <f>IF(G348="","",YEAR(G348))</f>
        <v/>
      </c>
      <c r="I348" s="11" t="n"/>
      <c r="J348" s="13" t="n"/>
      <c r="K348" s="14">
        <f>IF(F348="股票期权",IF(G348="","",IF(G348&lt;DATE(2025,1,10),14.56,IF(G348&lt;DATE(2025,4,29),14.32,IF(G348&lt;DATE(2025,9,26),14.18,14.04)))),IF(F348="限制性股票",8.68,""))</f>
        <v/>
      </c>
      <c r="L348" s="14">
        <f>IF(F348="限制性股票",13.06,"")</f>
        <v/>
      </c>
      <c r="M348" s="11" t="n"/>
      <c r="N348" s="13" t="n"/>
      <c r="O348" s="13" t="n"/>
      <c r="P348" s="12" t="n"/>
      <c r="Q348" s="11" t="n"/>
      <c r="R348" s="12" t="n"/>
      <c r="S348" s="14">
        <f>IF(OR(A348="",C348="",F348="",G348="",I348="",J348=""),"",IF(F348="股票期权",MAX(0,(J348-K348)*I348),IF(F348="限制性股票",IF(OR(L348="",M348="",M348&lt;=0,N348=""),"",MAX(0,((L348+J348)/2)*I348-N348*I348/M348)),MAX(0,O348))))</f>
        <v/>
      </c>
      <c r="T348" s="14">
        <f>IF(S348="","",SUMIFS($S$2:$S$501,$C$2:$C$501,C348,$H$2:$H$501,H348,$G$2:$G$501,"&lt;"&amp;G348)+SUMIFS($S$2:$S$501,$C$2:$C$501,C348,$H$2:$H$501,H348,$G$2:$G$501,G348,$A$2:$A$501,"&lt;"&amp;A348))</f>
        <v/>
      </c>
      <c r="U348" s="14">
        <f>IF(S348="","",T348+S348)</f>
        <v/>
      </c>
      <c r="V348" s="15">
        <f>IF(U348="","",VLOOKUP(U348,'税率及规则'!$A$2:$C$8,2,TRUE))</f>
        <v/>
      </c>
      <c r="W348" s="14">
        <f>IF(U348="","",VLOOKUP(U348,'税率及规则'!$A$2:$C$8,3,TRUE))</f>
        <v/>
      </c>
      <c r="X348" s="14">
        <f>IF(U348="","",MAX(0,U348*V348-W348))</f>
        <v/>
      </c>
      <c r="Y348" s="14">
        <f>IF(T348="","",MAX(0,T348*VLOOKUP(T348,'税率及规则'!$A$2:$C$8,2,TRUE)-VLOOKUP(T348,'税率及规则'!$A$2:$C$8,3,TRUE)))</f>
        <v/>
      </c>
      <c r="Z348" s="14">
        <f>IF(X348="","",MAX(0,X348-Y348))</f>
        <v/>
      </c>
      <c r="AA348" s="16">
        <f>IF(G348="","",G348)</f>
        <v/>
      </c>
      <c r="AB348" s="16">
        <f>IF(AA348="","",EDATE(AA348,36))</f>
        <v/>
      </c>
      <c r="AC348" s="6">
        <f>IF(A348="","",IF(COUNTIF($A$2:$A$501,A348)&gt;1,"异常：事件编号重复",IF(OR(C348="",D348="",E348="",F348="",G348="",I348="",J348=""),"异常：必填项缺失",IF(OR(I348&lt;=0,J348&lt;0),"异常：数量或价格无效",IF(AND(F348="限制性股票",OR(M348&lt;=0,N348&lt;0,I348&gt;M348)),"异常：个人获授或出资数据无效",IF(AND(F348="股票期权",K348&lt;&gt;IF(G348&lt;DATE(2025,1,10),14.56,IF(G348&lt;DATE(2025,4,29),14.32,IF(G348&lt;DATE(2025,9,26),14.18,14.04)))),"异常：行权价格区间不符",IF(Q348&lt;&gt;"已备案","提示：未确认备案","正常")))))))</f>
        <v/>
      </c>
      <c r="AD348" s="11" t="n"/>
    </row>
    <row r="349">
      <c r="A349" s="11" t="n"/>
      <c r="B349" s="6">
        <f>IF(A349="","",A349&amp;"-TAX")</f>
        <v/>
      </c>
      <c r="C349" s="11" t="n"/>
      <c r="D349" s="11" t="n"/>
      <c r="E349" s="11" t="n"/>
      <c r="F349" s="11" t="n"/>
      <c r="G349" s="12" t="n"/>
      <c r="H349" s="6">
        <f>IF(G349="","",YEAR(G349))</f>
        <v/>
      </c>
      <c r="I349" s="11" t="n"/>
      <c r="J349" s="13" t="n"/>
      <c r="K349" s="14">
        <f>IF(F349="股票期权",IF(G349="","",IF(G349&lt;DATE(2025,1,10),14.56,IF(G349&lt;DATE(2025,4,29),14.32,IF(G349&lt;DATE(2025,9,26),14.18,14.04)))),IF(F349="限制性股票",8.68,""))</f>
        <v/>
      </c>
      <c r="L349" s="14">
        <f>IF(F349="限制性股票",13.06,"")</f>
        <v/>
      </c>
      <c r="M349" s="11" t="n"/>
      <c r="N349" s="13" t="n"/>
      <c r="O349" s="13" t="n"/>
      <c r="P349" s="12" t="n"/>
      <c r="Q349" s="11" t="n"/>
      <c r="R349" s="12" t="n"/>
      <c r="S349" s="14">
        <f>IF(OR(A349="",C349="",F349="",G349="",I349="",J349=""),"",IF(F349="股票期权",MAX(0,(J349-K349)*I349),IF(F349="限制性股票",IF(OR(L349="",M349="",M349&lt;=0,N349=""),"",MAX(0,((L349+J349)/2)*I349-N349*I349/M349)),MAX(0,O349))))</f>
        <v/>
      </c>
      <c r="T349" s="14">
        <f>IF(S349="","",SUMIFS($S$2:$S$501,$C$2:$C$501,C349,$H$2:$H$501,H349,$G$2:$G$501,"&lt;"&amp;G349)+SUMIFS($S$2:$S$501,$C$2:$C$501,C349,$H$2:$H$501,H349,$G$2:$G$501,G349,$A$2:$A$501,"&lt;"&amp;A349))</f>
        <v/>
      </c>
      <c r="U349" s="14">
        <f>IF(S349="","",T349+S349)</f>
        <v/>
      </c>
      <c r="V349" s="15">
        <f>IF(U349="","",VLOOKUP(U349,'税率及规则'!$A$2:$C$8,2,TRUE))</f>
        <v/>
      </c>
      <c r="W349" s="14">
        <f>IF(U349="","",VLOOKUP(U349,'税率及规则'!$A$2:$C$8,3,TRUE))</f>
        <v/>
      </c>
      <c r="X349" s="14">
        <f>IF(U349="","",MAX(0,U349*V349-W349))</f>
        <v/>
      </c>
      <c r="Y349" s="14">
        <f>IF(T349="","",MAX(0,T349*VLOOKUP(T349,'税率及规则'!$A$2:$C$8,2,TRUE)-VLOOKUP(T349,'税率及规则'!$A$2:$C$8,3,TRUE)))</f>
        <v/>
      </c>
      <c r="Z349" s="14">
        <f>IF(X349="","",MAX(0,X349-Y349))</f>
        <v/>
      </c>
      <c r="AA349" s="16">
        <f>IF(G349="","",G349)</f>
        <v/>
      </c>
      <c r="AB349" s="16">
        <f>IF(AA349="","",EDATE(AA349,36))</f>
        <v/>
      </c>
      <c r="AC349" s="6">
        <f>IF(A349="","",IF(COUNTIF($A$2:$A$501,A349)&gt;1,"异常：事件编号重复",IF(OR(C349="",D349="",E349="",F349="",G349="",I349="",J349=""),"异常：必填项缺失",IF(OR(I349&lt;=0,J349&lt;0),"异常：数量或价格无效",IF(AND(F349="限制性股票",OR(M349&lt;=0,N349&lt;0,I349&gt;M349)),"异常：个人获授或出资数据无效",IF(AND(F349="股票期权",K349&lt;&gt;IF(G349&lt;DATE(2025,1,10),14.56,IF(G349&lt;DATE(2025,4,29),14.32,IF(G349&lt;DATE(2025,9,26),14.18,14.04)))),"异常：行权价格区间不符",IF(Q349&lt;&gt;"已备案","提示：未确认备案","正常")))))))</f>
        <v/>
      </c>
      <c r="AD349" s="11" t="n"/>
    </row>
    <row r="350">
      <c r="A350" s="11" t="n"/>
      <c r="B350" s="6">
        <f>IF(A350="","",A350&amp;"-TAX")</f>
        <v/>
      </c>
      <c r="C350" s="11" t="n"/>
      <c r="D350" s="11" t="n"/>
      <c r="E350" s="11" t="n"/>
      <c r="F350" s="11" t="n"/>
      <c r="G350" s="12" t="n"/>
      <c r="H350" s="6">
        <f>IF(G350="","",YEAR(G350))</f>
        <v/>
      </c>
      <c r="I350" s="11" t="n"/>
      <c r="J350" s="13" t="n"/>
      <c r="K350" s="14">
        <f>IF(F350="股票期权",IF(G350="","",IF(G350&lt;DATE(2025,1,10),14.56,IF(G350&lt;DATE(2025,4,29),14.32,IF(G350&lt;DATE(2025,9,26),14.18,14.04)))),IF(F350="限制性股票",8.68,""))</f>
        <v/>
      </c>
      <c r="L350" s="14">
        <f>IF(F350="限制性股票",13.06,"")</f>
        <v/>
      </c>
      <c r="M350" s="11" t="n"/>
      <c r="N350" s="13" t="n"/>
      <c r="O350" s="13" t="n"/>
      <c r="P350" s="12" t="n"/>
      <c r="Q350" s="11" t="n"/>
      <c r="R350" s="12" t="n"/>
      <c r="S350" s="14">
        <f>IF(OR(A350="",C350="",F350="",G350="",I350="",J350=""),"",IF(F350="股票期权",MAX(0,(J350-K350)*I350),IF(F350="限制性股票",IF(OR(L350="",M350="",M350&lt;=0,N350=""),"",MAX(0,((L350+J350)/2)*I350-N350*I350/M350)),MAX(0,O350))))</f>
        <v/>
      </c>
      <c r="T350" s="14">
        <f>IF(S350="","",SUMIFS($S$2:$S$501,$C$2:$C$501,C350,$H$2:$H$501,H350,$G$2:$G$501,"&lt;"&amp;G350)+SUMIFS($S$2:$S$501,$C$2:$C$501,C350,$H$2:$H$501,H350,$G$2:$G$501,G350,$A$2:$A$501,"&lt;"&amp;A350))</f>
        <v/>
      </c>
      <c r="U350" s="14">
        <f>IF(S350="","",T350+S350)</f>
        <v/>
      </c>
      <c r="V350" s="15">
        <f>IF(U350="","",VLOOKUP(U350,'税率及规则'!$A$2:$C$8,2,TRUE))</f>
        <v/>
      </c>
      <c r="W350" s="14">
        <f>IF(U350="","",VLOOKUP(U350,'税率及规则'!$A$2:$C$8,3,TRUE))</f>
        <v/>
      </c>
      <c r="X350" s="14">
        <f>IF(U350="","",MAX(0,U350*V350-W350))</f>
        <v/>
      </c>
      <c r="Y350" s="14">
        <f>IF(T350="","",MAX(0,T350*VLOOKUP(T350,'税率及规则'!$A$2:$C$8,2,TRUE)-VLOOKUP(T350,'税率及规则'!$A$2:$C$8,3,TRUE)))</f>
        <v/>
      </c>
      <c r="Z350" s="14">
        <f>IF(X350="","",MAX(0,X350-Y350))</f>
        <v/>
      </c>
      <c r="AA350" s="16">
        <f>IF(G350="","",G350)</f>
        <v/>
      </c>
      <c r="AB350" s="16">
        <f>IF(AA350="","",EDATE(AA350,36))</f>
        <v/>
      </c>
      <c r="AC350" s="6">
        <f>IF(A350="","",IF(COUNTIF($A$2:$A$501,A350)&gt;1,"异常：事件编号重复",IF(OR(C350="",D350="",E350="",F350="",G350="",I350="",J350=""),"异常：必填项缺失",IF(OR(I350&lt;=0,J350&lt;0),"异常：数量或价格无效",IF(AND(F350="限制性股票",OR(M350&lt;=0,N350&lt;0,I350&gt;M350)),"异常：个人获授或出资数据无效",IF(AND(F350="股票期权",K350&lt;&gt;IF(G350&lt;DATE(2025,1,10),14.56,IF(G350&lt;DATE(2025,4,29),14.32,IF(G350&lt;DATE(2025,9,26),14.18,14.04)))),"异常：行权价格区间不符",IF(Q350&lt;&gt;"已备案","提示：未确认备案","正常")))))))</f>
        <v/>
      </c>
      <c r="AD350" s="11" t="n"/>
    </row>
    <row r="351">
      <c r="A351" s="11" t="n"/>
      <c r="B351" s="6">
        <f>IF(A351="","",A351&amp;"-TAX")</f>
        <v/>
      </c>
      <c r="C351" s="11" t="n"/>
      <c r="D351" s="11" t="n"/>
      <c r="E351" s="11" t="n"/>
      <c r="F351" s="11" t="n"/>
      <c r="G351" s="12" t="n"/>
      <c r="H351" s="6">
        <f>IF(G351="","",YEAR(G351))</f>
        <v/>
      </c>
      <c r="I351" s="11" t="n"/>
      <c r="J351" s="13" t="n"/>
      <c r="K351" s="14">
        <f>IF(F351="股票期权",IF(G351="","",IF(G351&lt;DATE(2025,1,10),14.56,IF(G351&lt;DATE(2025,4,29),14.32,IF(G351&lt;DATE(2025,9,26),14.18,14.04)))),IF(F351="限制性股票",8.68,""))</f>
        <v/>
      </c>
      <c r="L351" s="14">
        <f>IF(F351="限制性股票",13.06,"")</f>
        <v/>
      </c>
      <c r="M351" s="11" t="n"/>
      <c r="N351" s="13" t="n"/>
      <c r="O351" s="13" t="n"/>
      <c r="P351" s="12" t="n"/>
      <c r="Q351" s="11" t="n"/>
      <c r="R351" s="12" t="n"/>
      <c r="S351" s="14">
        <f>IF(OR(A351="",C351="",F351="",G351="",I351="",J351=""),"",IF(F351="股票期权",MAX(0,(J351-K351)*I351),IF(F351="限制性股票",IF(OR(L351="",M351="",M351&lt;=0,N351=""),"",MAX(0,((L351+J351)/2)*I351-N351*I351/M351)),MAX(0,O351))))</f>
        <v/>
      </c>
      <c r="T351" s="14">
        <f>IF(S351="","",SUMIFS($S$2:$S$501,$C$2:$C$501,C351,$H$2:$H$501,H351,$G$2:$G$501,"&lt;"&amp;G351)+SUMIFS($S$2:$S$501,$C$2:$C$501,C351,$H$2:$H$501,H351,$G$2:$G$501,G351,$A$2:$A$501,"&lt;"&amp;A351))</f>
        <v/>
      </c>
      <c r="U351" s="14">
        <f>IF(S351="","",T351+S351)</f>
        <v/>
      </c>
      <c r="V351" s="15">
        <f>IF(U351="","",VLOOKUP(U351,'税率及规则'!$A$2:$C$8,2,TRUE))</f>
        <v/>
      </c>
      <c r="W351" s="14">
        <f>IF(U351="","",VLOOKUP(U351,'税率及规则'!$A$2:$C$8,3,TRUE))</f>
        <v/>
      </c>
      <c r="X351" s="14">
        <f>IF(U351="","",MAX(0,U351*V351-W351))</f>
        <v/>
      </c>
      <c r="Y351" s="14">
        <f>IF(T351="","",MAX(0,T351*VLOOKUP(T351,'税率及规则'!$A$2:$C$8,2,TRUE)-VLOOKUP(T351,'税率及规则'!$A$2:$C$8,3,TRUE)))</f>
        <v/>
      </c>
      <c r="Z351" s="14">
        <f>IF(X351="","",MAX(0,X351-Y351))</f>
        <v/>
      </c>
      <c r="AA351" s="16">
        <f>IF(G351="","",G351)</f>
        <v/>
      </c>
      <c r="AB351" s="16">
        <f>IF(AA351="","",EDATE(AA351,36))</f>
        <v/>
      </c>
      <c r="AC351" s="6">
        <f>IF(A351="","",IF(COUNTIF($A$2:$A$501,A351)&gt;1,"异常：事件编号重复",IF(OR(C351="",D351="",E351="",F351="",G351="",I351="",J351=""),"异常：必填项缺失",IF(OR(I351&lt;=0,J351&lt;0),"异常：数量或价格无效",IF(AND(F351="限制性股票",OR(M351&lt;=0,N351&lt;0,I351&gt;M351)),"异常：个人获授或出资数据无效",IF(AND(F351="股票期权",K351&lt;&gt;IF(G351&lt;DATE(2025,1,10),14.56,IF(G351&lt;DATE(2025,4,29),14.32,IF(G351&lt;DATE(2025,9,26),14.18,14.04)))),"异常：行权价格区间不符",IF(Q351&lt;&gt;"已备案","提示：未确认备案","正常")))))))</f>
        <v/>
      </c>
      <c r="AD351" s="11" t="n"/>
    </row>
    <row r="352">
      <c r="A352" s="11" t="n"/>
      <c r="B352" s="6">
        <f>IF(A352="","",A352&amp;"-TAX")</f>
        <v/>
      </c>
      <c r="C352" s="11" t="n"/>
      <c r="D352" s="11" t="n"/>
      <c r="E352" s="11" t="n"/>
      <c r="F352" s="11" t="n"/>
      <c r="G352" s="12" t="n"/>
      <c r="H352" s="6">
        <f>IF(G352="","",YEAR(G352))</f>
        <v/>
      </c>
      <c r="I352" s="11" t="n"/>
      <c r="J352" s="13" t="n"/>
      <c r="K352" s="14">
        <f>IF(F352="股票期权",IF(G352="","",IF(G352&lt;DATE(2025,1,10),14.56,IF(G352&lt;DATE(2025,4,29),14.32,IF(G352&lt;DATE(2025,9,26),14.18,14.04)))),IF(F352="限制性股票",8.68,""))</f>
        <v/>
      </c>
      <c r="L352" s="14">
        <f>IF(F352="限制性股票",13.06,"")</f>
        <v/>
      </c>
      <c r="M352" s="11" t="n"/>
      <c r="N352" s="13" t="n"/>
      <c r="O352" s="13" t="n"/>
      <c r="P352" s="12" t="n"/>
      <c r="Q352" s="11" t="n"/>
      <c r="R352" s="12" t="n"/>
      <c r="S352" s="14">
        <f>IF(OR(A352="",C352="",F352="",G352="",I352="",J352=""),"",IF(F352="股票期权",MAX(0,(J352-K352)*I352),IF(F352="限制性股票",IF(OR(L352="",M352="",M352&lt;=0,N352=""),"",MAX(0,((L352+J352)/2)*I352-N352*I352/M352)),MAX(0,O352))))</f>
        <v/>
      </c>
      <c r="T352" s="14">
        <f>IF(S352="","",SUMIFS($S$2:$S$501,$C$2:$C$501,C352,$H$2:$H$501,H352,$G$2:$G$501,"&lt;"&amp;G352)+SUMIFS($S$2:$S$501,$C$2:$C$501,C352,$H$2:$H$501,H352,$G$2:$G$501,G352,$A$2:$A$501,"&lt;"&amp;A352))</f>
        <v/>
      </c>
      <c r="U352" s="14">
        <f>IF(S352="","",T352+S352)</f>
        <v/>
      </c>
      <c r="V352" s="15">
        <f>IF(U352="","",VLOOKUP(U352,'税率及规则'!$A$2:$C$8,2,TRUE))</f>
        <v/>
      </c>
      <c r="W352" s="14">
        <f>IF(U352="","",VLOOKUP(U352,'税率及规则'!$A$2:$C$8,3,TRUE))</f>
        <v/>
      </c>
      <c r="X352" s="14">
        <f>IF(U352="","",MAX(0,U352*V352-W352))</f>
        <v/>
      </c>
      <c r="Y352" s="14">
        <f>IF(T352="","",MAX(0,T352*VLOOKUP(T352,'税率及规则'!$A$2:$C$8,2,TRUE)-VLOOKUP(T352,'税率及规则'!$A$2:$C$8,3,TRUE)))</f>
        <v/>
      </c>
      <c r="Z352" s="14">
        <f>IF(X352="","",MAX(0,X352-Y352))</f>
        <v/>
      </c>
      <c r="AA352" s="16">
        <f>IF(G352="","",G352)</f>
        <v/>
      </c>
      <c r="AB352" s="16">
        <f>IF(AA352="","",EDATE(AA352,36))</f>
        <v/>
      </c>
      <c r="AC352" s="6">
        <f>IF(A352="","",IF(COUNTIF($A$2:$A$501,A352)&gt;1,"异常：事件编号重复",IF(OR(C352="",D352="",E352="",F352="",G352="",I352="",J352=""),"异常：必填项缺失",IF(OR(I352&lt;=0,J352&lt;0),"异常：数量或价格无效",IF(AND(F352="限制性股票",OR(M352&lt;=0,N352&lt;0,I352&gt;M352)),"异常：个人获授或出资数据无效",IF(AND(F352="股票期权",K352&lt;&gt;IF(G352&lt;DATE(2025,1,10),14.56,IF(G352&lt;DATE(2025,4,29),14.32,IF(G352&lt;DATE(2025,9,26),14.18,14.04)))),"异常：行权价格区间不符",IF(Q352&lt;&gt;"已备案","提示：未确认备案","正常")))))))</f>
        <v/>
      </c>
      <c r="AD352" s="11" t="n"/>
    </row>
    <row r="353">
      <c r="A353" s="11" t="n"/>
      <c r="B353" s="6">
        <f>IF(A353="","",A353&amp;"-TAX")</f>
        <v/>
      </c>
      <c r="C353" s="11" t="n"/>
      <c r="D353" s="11" t="n"/>
      <c r="E353" s="11" t="n"/>
      <c r="F353" s="11" t="n"/>
      <c r="G353" s="12" t="n"/>
      <c r="H353" s="6">
        <f>IF(G353="","",YEAR(G353))</f>
        <v/>
      </c>
      <c r="I353" s="11" t="n"/>
      <c r="J353" s="13" t="n"/>
      <c r="K353" s="14">
        <f>IF(F353="股票期权",IF(G353="","",IF(G353&lt;DATE(2025,1,10),14.56,IF(G353&lt;DATE(2025,4,29),14.32,IF(G353&lt;DATE(2025,9,26),14.18,14.04)))),IF(F353="限制性股票",8.68,""))</f>
        <v/>
      </c>
      <c r="L353" s="14">
        <f>IF(F353="限制性股票",13.06,"")</f>
        <v/>
      </c>
      <c r="M353" s="11" t="n"/>
      <c r="N353" s="13" t="n"/>
      <c r="O353" s="13" t="n"/>
      <c r="P353" s="12" t="n"/>
      <c r="Q353" s="11" t="n"/>
      <c r="R353" s="12" t="n"/>
      <c r="S353" s="14">
        <f>IF(OR(A353="",C353="",F353="",G353="",I353="",J353=""),"",IF(F353="股票期权",MAX(0,(J353-K353)*I353),IF(F353="限制性股票",IF(OR(L353="",M353="",M353&lt;=0,N353=""),"",MAX(0,((L353+J353)/2)*I353-N353*I353/M353)),MAX(0,O353))))</f>
        <v/>
      </c>
      <c r="T353" s="14">
        <f>IF(S353="","",SUMIFS($S$2:$S$501,$C$2:$C$501,C353,$H$2:$H$501,H353,$G$2:$G$501,"&lt;"&amp;G353)+SUMIFS($S$2:$S$501,$C$2:$C$501,C353,$H$2:$H$501,H353,$G$2:$G$501,G353,$A$2:$A$501,"&lt;"&amp;A353))</f>
        <v/>
      </c>
      <c r="U353" s="14">
        <f>IF(S353="","",T353+S353)</f>
        <v/>
      </c>
      <c r="V353" s="15">
        <f>IF(U353="","",VLOOKUP(U353,'税率及规则'!$A$2:$C$8,2,TRUE))</f>
        <v/>
      </c>
      <c r="W353" s="14">
        <f>IF(U353="","",VLOOKUP(U353,'税率及规则'!$A$2:$C$8,3,TRUE))</f>
        <v/>
      </c>
      <c r="X353" s="14">
        <f>IF(U353="","",MAX(0,U353*V353-W353))</f>
        <v/>
      </c>
      <c r="Y353" s="14">
        <f>IF(T353="","",MAX(0,T353*VLOOKUP(T353,'税率及规则'!$A$2:$C$8,2,TRUE)-VLOOKUP(T353,'税率及规则'!$A$2:$C$8,3,TRUE)))</f>
        <v/>
      </c>
      <c r="Z353" s="14">
        <f>IF(X353="","",MAX(0,X353-Y353))</f>
        <v/>
      </c>
      <c r="AA353" s="16">
        <f>IF(G353="","",G353)</f>
        <v/>
      </c>
      <c r="AB353" s="16">
        <f>IF(AA353="","",EDATE(AA353,36))</f>
        <v/>
      </c>
      <c r="AC353" s="6">
        <f>IF(A353="","",IF(COUNTIF($A$2:$A$501,A353)&gt;1,"异常：事件编号重复",IF(OR(C353="",D353="",E353="",F353="",G353="",I353="",J353=""),"异常：必填项缺失",IF(OR(I353&lt;=0,J353&lt;0),"异常：数量或价格无效",IF(AND(F353="限制性股票",OR(M353&lt;=0,N353&lt;0,I353&gt;M353)),"异常：个人获授或出资数据无效",IF(AND(F353="股票期权",K353&lt;&gt;IF(G353&lt;DATE(2025,1,10),14.56,IF(G353&lt;DATE(2025,4,29),14.32,IF(G353&lt;DATE(2025,9,26),14.18,14.04)))),"异常：行权价格区间不符",IF(Q353&lt;&gt;"已备案","提示：未确认备案","正常")))))))</f>
        <v/>
      </c>
      <c r="AD353" s="11" t="n"/>
    </row>
    <row r="354">
      <c r="A354" s="11" t="n"/>
      <c r="B354" s="6">
        <f>IF(A354="","",A354&amp;"-TAX")</f>
        <v/>
      </c>
      <c r="C354" s="11" t="n"/>
      <c r="D354" s="11" t="n"/>
      <c r="E354" s="11" t="n"/>
      <c r="F354" s="11" t="n"/>
      <c r="G354" s="12" t="n"/>
      <c r="H354" s="6">
        <f>IF(G354="","",YEAR(G354))</f>
        <v/>
      </c>
      <c r="I354" s="11" t="n"/>
      <c r="J354" s="13" t="n"/>
      <c r="K354" s="14">
        <f>IF(F354="股票期权",IF(G354="","",IF(G354&lt;DATE(2025,1,10),14.56,IF(G354&lt;DATE(2025,4,29),14.32,IF(G354&lt;DATE(2025,9,26),14.18,14.04)))),IF(F354="限制性股票",8.68,""))</f>
        <v/>
      </c>
      <c r="L354" s="14">
        <f>IF(F354="限制性股票",13.06,"")</f>
        <v/>
      </c>
      <c r="M354" s="11" t="n"/>
      <c r="N354" s="13" t="n"/>
      <c r="O354" s="13" t="n"/>
      <c r="P354" s="12" t="n"/>
      <c r="Q354" s="11" t="n"/>
      <c r="R354" s="12" t="n"/>
      <c r="S354" s="14">
        <f>IF(OR(A354="",C354="",F354="",G354="",I354="",J354=""),"",IF(F354="股票期权",MAX(0,(J354-K354)*I354),IF(F354="限制性股票",IF(OR(L354="",M354="",M354&lt;=0,N354=""),"",MAX(0,((L354+J354)/2)*I354-N354*I354/M354)),MAX(0,O354))))</f>
        <v/>
      </c>
      <c r="T354" s="14">
        <f>IF(S354="","",SUMIFS($S$2:$S$501,$C$2:$C$501,C354,$H$2:$H$501,H354,$G$2:$G$501,"&lt;"&amp;G354)+SUMIFS($S$2:$S$501,$C$2:$C$501,C354,$H$2:$H$501,H354,$G$2:$G$501,G354,$A$2:$A$501,"&lt;"&amp;A354))</f>
        <v/>
      </c>
      <c r="U354" s="14">
        <f>IF(S354="","",T354+S354)</f>
        <v/>
      </c>
      <c r="V354" s="15">
        <f>IF(U354="","",VLOOKUP(U354,'税率及规则'!$A$2:$C$8,2,TRUE))</f>
        <v/>
      </c>
      <c r="W354" s="14">
        <f>IF(U354="","",VLOOKUP(U354,'税率及规则'!$A$2:$C$8,3,TRUE))</f>
        <v/>
      </c>
      <c r="X354" s="14">
        <f>IF(U354="","",MAX(0,U354*V354-W354))</f>
        <v/>
      </c>
      <c r="Y354" s="14">
        <f>IF(T354="","",MAX(0,T354*VLOOKUP(T354,'税率及规则'!$A$2:$C$8,2,TRUE)-VLOOKUP(T354,'税率及规则'!$A$2:$C$8,3,TRUE)))</f>
        <v/>
      </c>
      <c r="Z354" s="14">
        <f>IF(X354="","",MAX(0,X354-Y354))</f>
        <v/>
      </c>
      <c r="AA354" s="16">
        <f>IF(G354="","",G354)</f>
        <v/>
      </c>
      <c r="AB354" s="16">
        <f>IF(AA354="","",EDATE(AA354,36))</f>
        <v/>
      </c>
      <c r="AC354" s="6">
        <f>IF(A354="","",IF(COUNTIF($A$2:$A$501,A354)&gt;1,"异常：事件编号重复",IF(OR(C354="",D354="",E354="",F354="",G354="",I354="",J354=""),"异常：必填项缺失",IF(OR(I354&lt;=0,J354&lt;0),"异常：数量或价格无效",IF(AND(F354="限制性股票",OR(M354&lt;=0,N354&lt;0,I354&gt;M354)),"异常：个人获授或出资数据无效",IF(AND(F354="股票期权",K354&lt;&gt;IF(G354&lt;DATE(2025,1,10),14.56,IF(G354&lt;DATE(2025,4,29),14.32,IF(G354&lt;DATE(2025,9,26),14.18,14.04)))),"异常：行权价格区间不符",IF(Q354&lt;&gt;"已备案","提示：未确认备案","正常")))))))</f>
        <v/>
      </c>
      <c r="AD354" s="11" t="n"/>
    </row>
    <row r="355">
      <c r="A355" s="11" t="n"/>
      <c r="B355" s="6">
        <f>IF(A355="","",A355&amp;"-TAX")</f>
        <v/>
      </c>
      <c r="C355" s="11" t="n"/>
      <c r="D355" s="11" t="n"/>
      <c r="E355" s="11" t="n"/>
      <c r="F355" s="11" t="n"/>
      <c r="G355" s="12" t="n"/>
      <c r="H355" s="6">
        <f>IF(G355="","",YEAR(G355))</f>
        <v/>
      </c>
      <c r="I355" s="11" t="n"/>
      <c r="J355" s="13" t="n"/>
      <c r="K355" s="14">
        <f>IF(F355="股票期权",IF(G355="","",IF(G355&lt;DATE(2025,1,10),14.56,IF(G355&lt;DATE(2025,4,29),14.32,IF(G355&lt;DATE(2025,9,26),14.18,14.04)))),IF(F355="限制性股票",8.68,""))</f>
        <v/>
      </c>
      <c r="L355" s="14">
        <f>IF(F355="限制性股票",13.06,"")</f>
        <v/>
      </c>
      <c r="M355" s="11" t="n"/>
      <c r="N355" s="13" t="n"/>
      <c r="O355" s="13" t="n"/>
      <c r="P355" s="12" t="n"/>
      <c r="Q355" s="11" t="n"/>
      <c r="R355" s="12" t="n"/>
      <c r="S355" s="14">
        <f>IF(OR(A355="",C355="",F355="",G355="",I355="",J355=""),"",IF(F355="股票期权",MAX(0,(J355-K355)*I355),IF(F355="限制性股票",IF(OR(L355="",M355="",M355&lt;=0,N355=""),"",MAX(0,((L355+J355)/2)*I355-N355*I355/M355)),MAX(0,O355))))</f>
        <v/>
      </c>
      <c r="T355" s="14">
        <f>IF(S355="","",SUMIFS($S$2:$S$501,$C$2:$C$501,C355,$H$2:$H$501,H355,$G$2:$G$501,"&lt;"&amp;G355)+SUMIFS($S$2:$S$501,$C$2:$C$501,C355,$H$2:$H$501,H355,$G$2:$G$501,G355,$A$2:$A$501,"&lt;"&amp;A355))</f>
        <v/>
      </c>
      <c r="U355" s="14">
        <f>IF(S355="","",T355+S355)</f>
        <v/>
      </c>
      <c r="V355" s="15">
        <f>IF(U355="","",VLOOKUP(U355,'税率及规则'!$A$2:$C$8,2,TRUE))</f>
        <v/>
      </c>
      <c r="W355" s="14">
        <f>IF(U355="","",VLOOKUP(U355,'税率及规则'!$A$2:$C$8,3,TRUE))</f>
        <v/>
      </c>
      <c r="X355" s="14">
        <f>IF(U355="","",MAX(0,U355*V355-W355))</f>
        <v/>
      </c>
      <c r="Y355" s="14">
        <f>IF(T355="","",MAX(0,T355*VLOOKUP(T355,'税率及规则'!$A$2:$C$8,2,TRUE)-VLOOKUP(T355,'税率及规则'!$A$2:$C$8,3,TRUE)))</f>
        <v/>
      </c>
      <c r="Z355" s="14">
        <f>IF(X355="","",MAX(0,X355-Y355))</f>
        <v/>
      </c>
      <c r="AA355" s="16">
        <f>IF(G355="","",G355)</f>
        <v/>
      </c>
      <c r="AB355" s="16">
        <f>IF(AA355="","",EDATE(AA355,36))</f>
        <v/>
      </c>
      <c r="AC355" s="6">
        <f>IF(A355="","",IF(COUNTIF($A$2:$A$501,A355)&gt;1,"异常：事件编号重复",IF(OR(C355="",D355="",E355="",F355="",G355="",I355="",J355=""),"异常：必填项缺失",IF(OR(I355&lt;=0,J355&lt;0),"异常：数量或价格无效",IF(AND(F355="限制性股票",OR(M355&lt;=0,N355&lt;0,I355&gt;M355)),"异常：个人获授或出资数据无效",IF(AND(F355="股票期权",K355&lt;&gt;IF(G355&lt;DATE(2025,1,10),14.56,IF(G355&lt;DATE(2025,4,29),14.32,IF(G355&lt;DATE(2025,9,26),14.18,14.04)))),"异常：行权价格区间不符",IF(Q355&lt;&gt;"已备案","提示：未确认备案","正常")))))))</f>
        <v/>
      </c>
      <c r="AD355" s="11" t="n"/>
    </row>
    <row r="356">
      <c r="A356" s="11" t="n"/>
      <c r="B356" s="6">
        <f>IF(A356="","",A356&amp;"-TAX")</f>
        <v/>
      </c>
      <c r="C356" s="11" t="n"/>
      <c r="D356" s="11" t="n"/>
      <c r="E356" s="11" t="n"/>
      <c r="F356" s="11" t="n"/>
      <c r="G356" s="12" t="n"/>
      <c r="H356" s="6">
        <f>IF(G356="","",YEAR(G356))</f>
        <v/>
      </c>
      <c r="I356" s="11" t="n"/>
      <c r="J356" s="13" t="n"/>
      <c r="K356" s="14">
        <f>IF(F356="股票期权",IF(G356="","",IF(G356&lt;DATE(2025,1,10),14.56,IF(G356&lt;DATE(2025,4,29),14.32,IF(G356&lt;DATE(2025,9,26),14.18,14.04)))),IF(F356="限制性股票",8.68,""))</f>
        <v/>
      </c>
      <c r="L356" s="14">
        <f>IF(F356="限制性股票",13.06,"")</f>
        <v/>
      </c>
      <c r="M356" s="11" t="n"/>
      <c r="N356" s="13" t="n"/>
      <c r="O356" s="13" t="n"/>
      <c r="P356" s="12" t="n"/>
      <c r="Q356" s="11" t="n"/>
      <c r="R356" s="12" t="n"/>
      <c r="S356" s="14">
        <f>IF(OR(A356="",C356="",F356="",G356="",I356="",J356=""),"",IF(F356="股票期权",MAX(0,(J356-K356)*I356),IF(F356="限制性股票",IF(OR(L356="",M356="",M356&lt;=0,N356=""),"",MAX(0,((L356+J356)/2)*I356-N356*I356/M356)),MAX(0,O356))))</f>
        <v/>
      </c>
      <c r="T356" s="14">
        <f>IF(S356="","",SUMIFS($S$2:$S$501,$C$2:$C$501,C356,$H$2:$H$501,H356,$G$2:$G$501,"&lt;"&amp;G356)+SUMIFS($S$2:$S$501,$C$2:$C$501,C356,$H$2:$H$501,H356,$G$2:$G$501,G356,$A$2:$A$501,"&lt;"&amp;A356))</f>
        <v/>
      </c>
      <c r="U356" s="14">
        <f>IF(S356="","",T356+S356)</f>
        <v/>
      </c>
      <c r="V356" s="15">
        <f>IF(U356="","",VLOOKUP(U356,'税率及规则'!$A$2:$C$8,2,TRUE))</f>
        <v/>
      </c>
      <c r="W356" s="14">
        <f>IF(U356="","",VLOOKUP(U356,'税率及规则'!$A$2:$C$8,3,TRUE))</f>
        <v/>
      </c>
      <c r="X356" s="14">
        <f>IF(U356="","",MAX(0,U356*V356-W356))</f>
        <v/>
      </c>
      <c r="Y356" s="14">
        <f>IF(T356="","",MAX(0,T356*VLOOKUP(T356,'税率及规则'!$A$2:$C$8,2,TRUE)-VLOOKUP(T356,'税率及规则'!$A$2:$C$8,3,TRUE)))</f>
        <v/>
      </c>
      <c r="Z356" s="14">
        <f>IF(X356="","",MAX(0,X356-Y356))</f>
        <v/>
      </c>
      <c r="AA356" s="16">
        <f>IF(G356="","",G356)</f>
        <v/>
      </c>
      <c r="AB356" s="16">
        <f>IF(AA356="","",EDATE(AA356,36))</f>
        <v/>
      </c>
      <c r="AC356" s="6">
        <f>IF(A356="","",IF(COUNTIF($A$2:$A$501,A356)&gt;1,"异常：事件编号重复",IF(OR(C356="",D356="",E356="",F356="",G356="",I356="",J356=""),"异常：必填项缺失",IF(OR(I356&lt;=0,J356&lt;0),"异常：数量或价格无效",IF(AND(F356="限制性股票",OR(M356&lt;=0,N356&lt;0,I356&gt;M356)),"异常：个人获授或出资数据无效",IF(AND(F356="股票期权",K356&lt;&gt;IF(G356&lt;DATE(2025,1,10),14.56,IF(G356&lt;DATE(2025,4,29),14.32,IF(G356&lt;DATE(2025,9,26),14.18,14.04)))),"异常：行权价格区间不符",IF(Q356&lt;&gt;"已备案","提示：未确认备案","正常")))))))</f>
        <v/>
      </c>
      <c r="AD356" s="11" t="n"/>
    </row>
    <row r="357">
      <c r="A357" s="11" t="n"/>
      <c r="B357" s="6">
        <f>IF(A357="","",A357&amp;"-TAX")</f>
        <v/>
      </c>
      <c r="C357" s="11" t="n"/>
      <c r="D357" s="11" t="n"/>
      <c r="E357" s="11" t="n"/>
      <c r="F357" s="11" t="n"/>
      <c r="G357" s="12" t="n"/>
      <c r="H357" s="6">
        <f>IF(G357="","",YEAR(G357))</f>
        <v/>
      </c>
      <c r="I357" s="11" t="n"/>
      <c r="J357" s="13" t="n"/>
      <c r="K357" s="14">
        <f>IF(F357="股票期权",IF(G357="","",IF(G357&lt;DATE(2025,1,10),14.56,IF(G357&lt;DATE(2025,4,29),14.32,IF(G357&lt;DATE(2025,9,26),14.18,14.04)))),IF(F357="限制性股票",8.68,""))</f>
        <v/>
      </c>
      <c r="L357" s="14">
        <f>IF(F357="限制性股票",13.06,"")</f>
        <v/>
      </c>
      <c r="M357" s="11" t="n"/>
      <c r="N357" s="13" t="n"/>
      <c r="O357" s="13" t="n"/>
      <c r="P357" s="12" t="n"/>
      <c r="Q357" s="11" t="n"/>
      <c r="R357" s="12" t="n"/>
      <c r="S357" s="14">
        <f>IF(OR(A357="",C357="",F357="",G357="",I357="",J357=""),"",IF(F357="股票期权",MAX(0,(J357-K357)*I357),IF(F357="限制性股票",IF(OR(L357="",M357="",M357&lt;=0,N357=""),"",MAX(0,((L357+J357)/2)*I357-N357*I357/M357)),MAX(0,O357))))</f>
        <v/>
      </c>
      <c r="T357" s="14">
        <f>IF(S357="","",SUMIFS($S$2:$S$501,$C$2:$C$501,C357,$H$2:$H$501,H357,$G$2:$G$501,"&lt;"&amp;G357)+SUMIFS($S$2:$S$501,$C$2:$C$501,C357,$H$2:$H$501,H357,$G$2:$G$501,G357,$A$2:$A$501,"&lt;"&amp;A357))</f>
        <v/>
      </c>
      <c r="U357" s="14">
        <f>IF(S357="","",T357+S357)</f>
        <v/>
      </c>
      <c r="V357" s="15">
        <f>IF(U357="","",VLOOKUP(U357,'税率及规则'!$A$2:$C$8,2,TRUE))</f>
        <v/>
      </c>
      <c r="W357" s="14">
        <f>IF(U357="","",VLOOKUP(U357,'税率及规则'!$A$2:$C$8,3,TRUE))</f>
        <v/>
      </c>
      <c r="X357" s="14">
        <f>IF(U357="","",MAX(0,U357*V357-W357))</f>
        <v/>
      </c>
      <c r="Y357" s="14">
        <f>IF(T357="","",MAX(0,T357*VLOOKUP(T357,'税率及规则'!$A$2:$C$8,2,TRUE)-VLOOKUP(T357,'税率及规则'!$A$2:$C$8,3,TRUE)))</f>
        <v/>
      </c>
      <c r="Z357" s="14">
        <f>IF(X357="","",MAX(0,X357-Y357))</f>
        <v/>
      </c>
      <c r="AA357" s="16">
        <f>IF(G357="","",G357)</f>
        <v/>
      </c>
      <c r="AB357" s="16">
        <f>IF(AA357="","",EDATE(AA357,36))</f>
        <v/>
      </c>
      <c r="AC357" s="6">
        <f>IF(A357="","",IF(COUNTIF($A$2:$A$501,A357)&gt;1,"异常：事件编号重复",IF(OR(C357="",D357="",E357="",F357="",G357="",I357="",J357=""),"异常：必填项缺失",IF(OR(I357&lt;=0,J357&lt;0),"异常：数量或价格无效",IF(AND(F357="限制性股票",OR(M357&lt;=0,N357&lt;0,I357&gt;M357)),"异常：个人获授或出资数据无效",IF(AND(F357="股票期权",K357&lt;&gt;IF(G357&lt;DATE(2025,1,10),14.56,IF(G357&lt;DATE(2025,4,29),14.32,IF(G357&lt;DATE(2025,9,26),14.18,14.04)))),"异常：行权价格区间不符",IF(Q357&lt;&gt;"已备案","提示：未确认备案","正常")))))))</f>
        <v/>
      </c>
      <c r="AD357" s="11" t="n"/>
    </row>
    <row r="358">
      <c r="A358" s="11" t="n"/>
      <c r="B358" s="6">
        <f>IF(A358="","",A358&amp;"-TAX")</f>
        <v/>
      </c>
      <c r="C358" s="11" t="n"/>
      <c r="D358" s="11" t="n"/>
      <c r="E358" s="11" t="n"/>
      <c r="F358" s="11" t="n"/>
      <c r="G358" s="12" t="n"/>
      <c r="H358" s="6">
        <f>IF(G358="","",YEAR(G358))</f>
        <v/>
      </c>
      <c r="I358" s="11" t="n"/>
      <c r="J358" s="13" t="n"/>
      <c r="K358" s="14">
        <f>IF(F358="股票期权",IF(G358="","",IF(G358&lt;DATE(2025,1,10),14.56,IF(G358&lt;DATE(2025,4,29),14.32,IF(G358&lt;DATE(2025,9,26),14.18,14.04)))),IF(F358="限制性股票",8.68,""))</f>
        <v/>
      </c>
      <c r="L358" s="14">
        <f>IF(F358="限制性股票",13.06,"")</f>
        <v/>
      </c>
      <c r="M358" s="11" t="n"/>
      <c r="N358" s="13" t="n"/>
      <c r="O358" s="13" t="n"/>
      <c r="P358" s="12" t="n"/>
      <c r="Q358" s="11" t="n"/>
      <c r="R358" s="12" t="n"/>
      <c r="S358" s="14">
        <f>IF(OR(A358="",C358="",F358="",G358="",I358="",J358=""),"",IF(F358="股票期权",MAX(0,(J358-K358)*I358),IF(F358="限制性股票",IF(OR(L358="",M358="",M358&lt;=0,N358=""),"",MAX(0,((L358+J358)/2)*I358-N358*I358/M358)),MAX(0,O358))))</f>
        <v/>
      </c>
      <c r="T358" s="14">
        <f>IF(S358="","",SUMIFS($S$2:$S$501,$C$2:$C$501,C358,$H$2:$H$501,H358,$G$2:$G$501,"&lt;"&amp;G358)+SUMIFS($S$2:$S$501,$C$2:$C$501,C358,$H$2:$H$501,H358,$G$2:$G$501,G358,$A$2:$A$501,"&lt;"&amp;A358))</f>
        <v/>
      </c>
      <c r="U358" s="14">
        <f>IF(S358="","",T358+S358)</f>
        <v/>
      </c>
      <c r="V358" s="15">
        <f>IF(U358="","",VLOOKUP(U358,'税率及规则'!$A$2:$C$8,2,TRUE))</f>
        <v/>
      </c>
      <c r="W358" s="14">
        <f>IF(U358="","",VLOOKUP(U358,'税率及规则'!$A$2:$C$8,3,TRUE))</f>
        <v/>
      </c>
      <c r="X358" s="14">
        <f>IF(U358="","",MAX(0,U358*V358-W358))</f>
        <v/>
      </c>
      <c r="Y358" s="14">
        <f>IF(T358="","",MAX(0,T358*VLOOKUP(T358,'税率及规则'!$A$2:$C$8,2,TRUE)-VLOOKUP(T358,'税率及规则'!$A$2:$C$8,3,TRUE)))</f>
        <v/>
      </c>
      <c r="Z358" s="14">
        <f>IF(X358="","",MAX(0,X358-Y358))</f>
        <v/>
      </c>
      <c r="AA358" s="16">
        <f>IF(G358="","",G358)</f>
        <v/>
      </c>
      <c r="AB358" s="16">
        <f>IF(AA358="","",EDATE(AA358,36))</f>
        <v/>
      </c>
      <c r="AC358" s="6">
        <f>IF(A358="","",IF(COUNTIF($A$2:$A$501,A358)&gt;1,"异常：事件编号重复",IF(OR(C358="",D358="",E358="",F358="",G358="",I358="",J358=""),"异常：必填项缺失",IF(OR(I358&lt;=0,J358&lt;0),"异常：数量或价格无效",IF(AND(F358="限制性股票",OR(M358&lt;=0,N358&lt;0,I358&gt;M358)),"异常：个人获授或出资数据无效",IF(AND(F358="股票期权",K358&lt;&gt;IF(G358&lt;DATE(2025,1,10),14.56,IF(G358&lt;DATE(2025,4,29),14.32,IF(G358&lt;DATE(2025,9,26),14.18,14.04)))),"异常：行权价格区间不符",IF(Q358&lt;&gt;"已备案","提示：未确认备案","正常")))))))</f>
        <v/>
      </c>
      <c r="AD358" s="11" t="n"/>
    </row>
    <row r="359">
      <c r="A359" s="11" t="n"/>
      <c r="B359" s="6">
        <f>IF(A359="","",A359&amp;"-TAX")</f>
        <v/>
      </c>
      <c r="C359" s="11" t="n"/>
      <c r="D359" s="11" t="n"/>
      <c r="E359" s="11" t="n"/>
      <c r="F359" s="11" t="n"/>
      <c r="G359" s="12" t="n"/>
      <c r="H359" s="6">
        <f>IF(G359="","",YEAR(G359))</f>
        <v/>
      </c>
      <c r="I359" s="11" t="n"/>
      <c r="J359" s="13" t="n"/>
      <c r="K359" s="14">
        <f>IF(F359="股票期权",IF(G359="","",IF(G359&lt;DATE(2025,1,10),14.56,IF(G359&lt;DATE(2025,4,29),14.32,IF(G359&lt;DATE(2025,9,26),14.18,14.04)))),IF(F359="限制性股票",8.68,""))</f>
        <v/>
      </c>
      <c r="L359" s="14">
        <f>IF(F359="限制性股票",13.06,"")</f>
        <v/>
      </c>
      <c r="M359" s="11" t="n"/>
      <c r="N359" s="13" t="n"/>
      <c r="O359" s="13" t="n"/>
      <c r="P359" s="12" t="n"/>
      <c r="Q359" s="11" t="n"/>
      <c r="R359" s="12" t="n"/>
      <c r="S359" s="14">
        <f>IF(OR(A359="",C359="",F359="",G359="",I359="",J359=""),"",IF(F359="股票期权",MAX(0,(J359-K359)*I359),IF(F359="限制性股票",IF(OR(L359="",M359="",M359&lt;=0,N359=""),"",MAX(0,((L359+J359)/2)*I359-N359*I359/M359)),MAX(0,O359))))</f>
        <v/>
      </c>
      <c r="T359" s="14">
        <f>IF(S359="","",SUMIFS($S$2:$S$501,$C$2:$C$501,C359,$H$2:$H$501,H359,$G$2:$G$501,"&lt;"&amp;G359)+SUMIFS($S$2:$S$501,$C$2:$C$501,C359,$H$2:$H$501,H359,$G$2:$G$501,G359,$A$2:$A$501,"&lt;"&amp;A359))</f>
        <v/>
      </c>
      <c r="U359" s="14">
        <f>IF(S359="","",T359+S359)</f>
        <v/>
      </c>
      <c r="V359" s="15">
        <f>IF(U359="","",VLOOKUP(U359,'税率及规则'!$A$2:$C$8,2,TRUE))</f>
        <v/>
      </c>
      <c r="W359" s="14">
        <f>IF(U359="","",VLOOKUP(U359,'税率及规则'!$A$2:$C$8,3,TRUE))</f>
        <v/>
      </c>
      <c r="X359" s="14">
        <f>IF(U359="","",MAX(0,U359*V359-W359))</f>
        <v/>
      </c>
      <c r="Y359" s="14">
        <f>IF(T359="","",MAX(0,T359*VLOOKUP(T359,'税率及规则'!$A$2:$C$8,2,TRUE)-VLOOKUP(T359,'税率及规则'!$A$2:$C$8,3,TRUE)))</f>
        <v/>
      </c>
      <c r="Z359" s="14">
        <f>IF(X359="","",MAX(0,X359-Y359))</f>
        <v/>
      </c>
      <c r="AA359" s="16">
        <f>IF(G359="","",G359)</f>
        <v/>
      </c>
      <c r="AB359" s="16">
        <f>IF(AA359="","",EDATE(AA359,36))</f>
        <v/>
      </c>
      <c r="AC359" s="6">
        <f>IF(A359="","",IF(COUNTIF($A$2:$A$501,A359)&gt;1,"异常：事件编号重复",IF(OR(C359="",D359="",E359="",F359="",G359="",I359="",J359=""),"异常：必填项缺失",IF(OR(I359&lt;=0,J359&lt;0),"异常：数量或价格无效",IF(AND(F359="限制性股票",OR(M359&lt;=0,N359&lt;0,I359&gt;M359)),"异常：个人获授或出资数据无效",IF(AND(F359="股票期权",K359&lt;&gt;IF(G359&lt;DATE(2025,1,10),14.56,IF(G359&lt;DATE(2025,4,29),14.32,IF(G359&lt;DATE(2025,9,26),14.18,14.04)))),"异常：行权价格区间不符",IF(Q359&lt;&gt;"已备案","提示：未确认备案","正常")))))))</f>
        <v/>
      </c>
      <c r="AD359" s="11" t="n"/>
    </row>
    <row r="360">
      <c r="A360" s="11" t="n"/>
      <c r="B360" s="6">
        <f>IF(A360="","",A360&amp;"-TAX")</f>
        <v/>
      </c>
      <c r="C360" s="11" t="n"/>
      <c r="D360" s="11" t="n"/>
      <c r="E360" s="11" t="n"/>
      <c r="F360" s="11" t="n"/>
      <c r="G360" s="12" t="n"/>
      <c r="H360" s="6">
        <f>IF(G360="","",YEAR(G360))</f>
        <v/>
      </c>
      <c r="I360" s="11" t="n"/>
      <c r="J360" s="13" t="n"/>
      <c r="K360" s="14">
        <f>IF(F360="股票期权",IF(G360="","",IF(G360&lt;DATE(2025,1,10),14.56,IF(G360&lt;DATE(2025,4,29),14.32,IF(G360&lt;DATE(2025,9,26),14.18,14.04)))),IF(F360="限制性股票",8.68,""))</f>
        <v/>
      </c>
      <c r="L360" s="14">
        <f>IF(F360="限制性股票",13.06,"")</f>
        <v/>
      </c>
      <c r="M360" s="11" t="n"/>
      <c r="N360" s="13" t="n"/>
      <c r="O360" s="13" t="n"/>
      <c r="P360" s="12" t="n"/>
      <c r="Q360" s="11" t="n"/>
      <c r="R360" s="12" t="n"/>
      <c r="S360" s="14">
        <f>IF(OR(A360="",C360="",F360="",G360="",I360="",J360=""),"",IF(F360="股票期权",MAX(0,(J360-K360)*I360),IF(F360="限制性股票",IF(OR(L360="",M360="",M360&lt;=0,N360=""),"",MAX(0,((L360+J360)/2)*I360-N360*I360/M360)),MAX(0,O360))))</f>
        <v/>
      </c>
      <c r="T360" s="14">
        <f>IF(S360="","",SUMIFS($S$2:$S$501,$C$2:$C$501,C360,$H$2:$H$501,H360,$G$2:$G$501,"&lt;"&amp;G360)+SUMIFS($S$2:$S$501,$C$2:$C$501,C360,$H$2:$H$501,H360,$G$2:$G$501,G360,$A$2:$A$501,"&lt;"&amp;A360))</f>
        <v/>
      </c>
      <c r="U360" s="14">
        <f>IF(S360="","",T360+S360)</f>
        <v/>
      </c>
      <c r="V360" s="15">
        <f>IF(U360="","",VLOOKUP(U360,'税率及规则'!$A$2:$C$8,2,TRUE))</f>
        <v/>
      </c>
      <c r="W360" s="14">
        <f>IF(U360="","",VLOOKUP(U360,'税率及规则'!$A$2:$C$8,3,TRUE))</f>
        <v/>
      </c>
      <c r="X360" s="14">
        <f>IF(U360="","",MAX(0,U360*V360-W360))</f>
        <v/>
      </c>
      <c r="Y360" s="14">
        <f>IF(T360="","",MAX(0,T360*VLOOKUP(T360,'税率及规则'!$A$2:$C$8,2,TRUE)-VLOOKUP(T360,'税率及规则'!$A$2:$C$8,3,TRUE)))</f>
        <v/>
      </c>
      <c r="Z360" s="14">
        <f>IF(X360="","",MAX(0,X360-Y360))</f>
        <v/>
      </c>
      <c r="AA360" s="16">
        <f>IF(G360="","",G360)</f>
        <v/>
      </c>
      <c r="AB360" s="16">
        <f>IF(AA360="","",EDATE(AA360,36))</f>
        <v/>
      </c>
      <c r="AC360" s="6">
        <f>IF(A360="","",IF(COUNTIF($A$2:$A$501,A360)&gt;1,"异常：事件编号重复",IF(OR(C360="",D360="",E360="",F360="",G360="",I360="",J360=""),"异常：必填项缺失",IF(OR(I360&lt;=0,J360&lt;0),"异常：数量或价格无效",IF(AND(F360="限制性股票",OR(M360&lt;=0,N360&lt;0,I360&gt;M360)),"异常：个人获授或出资数据无效",IF(AND(F360="股票期权",K360&lt;&gt;IF(G360&lt;DATE(2025,1,10),14.56,IF(G360&lt;DATE(2025,4,29),14.32,IF(G360&lt;DATE(2025,9,26),14.18,14.04)))),"异常：行权价格区间不符",IF(Q360&lt;&gt;"已备案","提示：未确认备案","正常")))))))</f>
        <v/>
      </c>
      <c r="AD360" s="11" t="n"/>
    </row>
    <row r="361">
      <c r="A361" s="11" t="n"/>
      <c r="B361" s="6">
        <f>IF(A361="","",A361&amp;"-TAX")</f>
        <v/>
      </c>
      <c r="C361" s="11" t="n"/>
      <c r="D361" s="11" t="n"/>
      <c r="E361" s="11" t="n"/>
      <c r="F361" s="11" t="n"/>
      <c r="G361" s="12" t="n"/>
      <c r="H361" s="6">
        <f>IF(G361="","",YEAR(G361))</f>
        <v/>
      </c>
      <c r="I361" s="11" t="n"/>
      <c r="J361" s="13" t="n"/>
      <c r="K361" s="14">
        <f>IF(F361="股票期权",IF(G361="","",IF(G361&lt;DATE(2025,1,10),14.56,IF(G361&lt;DATE(2025,4,29),14.32,IF(G361&lt;DATE(2025,9,26),14.18,14.04)))),IF(F361="限制性股票",8.68,""))</f>
        <v/>
      </c>
      <c r="L361" s="14">
        <f>IF(F361="限制性股票",13.06,"")</f>
        <v/>
      </c>
      <c r="M361" s="11" t="n"/>
      <c r="N361" s="13" t="n"/>
      <c r="O361" s="13" t="n"/>
      <c r="P361" s="12" t="n"/>
      <c r="Q361" s="11" t="n"/>
      <c r="R361" s="12" t="n"/>
      <c r="S361" s="14">
        <f>IF(OR(A361="",C361="",F361="",G361="",I361="",J361=""),"",IF(F361="股票期权",MAX(0,(J361-K361)*I361),IF(F361="限制性股票",IF(OR(L361="",M361="",M361&lt;=0,N361=""),"",MAX(0,((L361+J361)/2)*I361-N361*I361/M361)),MAX(0,O361))))</f>
        <v/>
      </c>
      <c r="T361" s="14">
        <f>IF(S361="","",SUMIFS($S$2:$S$501,$C$2:$C$501,C361,$H$2:$H$501,H361,$G$2:$G$501,"&lt;"&amp;G361)+SUMIFS($S$2:$S$501,$C$2:$C$501,C361,$H$2:$H$501,H361,$G$2:$G$501,G361,$A$2:$A$501,"&lt;"&amp;A361))</f>
        <v/>
      </c>
      <c r="U361" s="14">
        <f>IF(S361="","",T361+S361)</f>
        <v/>
      </c>
      <c r="V361" s="15">
        <f>IF(U361="","",VLOOKUP(U361,'税率及规则'!$A$2:$C$8,2,TRUE))</f>
        <v/>
      </c>
      <c r="W361" s="14">
        <f>IF(U361="","",VLOOKUP(U361,'税率及规则'!$A$2:$C$8,3,TRUE))</f>
        <v/>
      </c>
      <c r="X361" s="14">
        <f>IF(U361="","",MAX(0,U361*V361-W361))</f>
        <v/>
      </c>
      <c r="Y361" s="14">
        <f>IF(T361="","",MAX(0,T361*VLOOKUP(T361,'税率及规则'!$A$2:$C$8,2,TRUE)-VLOOKUP(T361,'税率及规则'!$A$2:$C$8,3,TRUE)))</f>
        <v/>
      </c>
      <c r="Z361" s="14">
        <f>IF(X361="","",MAX(0,X361-Y361))</f>
        <v/>
      </c>
      <c r="AA361" s="16">
        <f>IF(G361="","",G361)</f>
        <v/>
      </c>
      <c r="AB361" s="16">
        <f>IF(AA361="","",EDATE(AA361,36))</f>
        <v/>
      </c>
      <c r="AC361" s="6">
        <f>IF(A361="","",IF(COUNTIF($A$2:$A$501,A361)&gt;1,"异常：事件编号重复",IF(OR(C361="",D361="",E361="",F361="",G361="",I361="",J361=""),"异常：必填项缺失",IF(OR(I361&lt;=0,J361&lt;0),"异常：数量或价格无效",IF(AND(F361="限制性股票",OR(M361&lt;=0,N361&lt;0,I361&gt;M361)),"异常：个人获授或出资数据无效",IF(AND(F361="股票期权",K361&lt;&gt;IF(G361&lt;DATE(2025,1,10),14.56,IF(G361&lt;DATE(2025,4,29),14.32,IF(G361&lt;DATE(2025,9,26),14.18,14.04)))),"异常：行权价格区间不符",IF(Q361&lt;&gt;"已备案","提示：未确认备案","正常")))))))</f>
        <v/>
      </c>
      <c r="AD361" s="11" t="n"/>
    </row>
    <row r="362">
      <c r="A362" s="11" t="n"/>
      <c r="B362" s="6">
        <f>IF(A362="","",A362&amp;"-TAX")</f>
        <v/>
      </c>
      <c r="C362" s="11" t="n"/>
      <c r="D362" s="11" t="n"/>
      <c r="E362" s="11" t="n"/>
      <c r="F362" s="11" t="n"/>
      <c r="G362" s="12" t="n"/>
      <c r="H362" s="6">
        <f>IF(G362="","",YEAR(G362))</f>
        <v/>
      </c>
      <c r="I362" s="11" t="n"/>
      <c r="J362" s="13" t="n"/>
      <c r="K362" s="14">
        <f>IF(F362="股票期权",IF(G362="","",IF(G362&lt;DATE(2025,1,10),14.56,IF(G362&lt;DATE(2025,4,29),14.32,IF(G362&lt;DATE(2025,9,26),14.18,14.04)))),IF(F362="限制性股票",8.68,""))</f>
        <v/>
      </c>
      <c r="L362" s="14">
        <f>IF(F362="限制性股票",13.06,"")</f>
        <v/>
      </c>
      <c r="M362" s="11" t="n"/>
      <c r="N362" s="13" t="n"/>
      <c r="O362" s="13" t="n"/>
      <c r="P362" s="12" t="n"/>
      <c r="Q362" s="11" t="n"/>
      <c r="R362" s="12" t="n"/>
      <c r="S362" s="14">
        <f>IF(OR(A362="",C362="",F362="",G362="",I362="",J362=""),"",IF(F362="股票期权",MAX(0,(J362-K362)*I362),IF(F362="限制性股票",IF(OR(L362="",M362="",M362&lt;=0,N362=""),"",MAX(0,((L362+J362)/2)*I362-N362*I362/M362)),MAX(0,O362))))</f>
        <v/>
      </c>
      <c r="T362" s="14">
        <f>IF(S362="","",SUMIFS($S$2:$S$501,$C$2:$C$501,C362,$H$2:$H$501,H362,$G$2:$G$501,"&lt;"&amp;G362)+SUMIFS($S$2:$S$501,$C$2:$C$501,C362,$H$2:$H$501,H362,$G$2:$G$501,G362,$A$2:$A$501,"&lt;"&amp;A362))</f>
        <v/>
      </c>
      <c r="U362" s="14">
        <f>IF(S362="","",T362+S362)</f>
        <v/>
      </c>
      <c r="V362" s="15">
        <f>IF(U362="","",VLOOKUP(U362,'税率及规则'!$A$2:$C$8,2,TRUE))</f>
        <v/>
      </c>
      <c r="W362" s="14">
        <f>IF(U362="","",VLOOKUP(U362,'税率及规则'!$A$2:$C$8,3,TRUE))</f>
        <v/>
      </c>
      <c r="X362" s="14">
        <f>IF(U362="","",MAX(0,U362*V362-W362))</f>
        <v/>
      </c>
      <c r="Y362" s="14">
        <f>IF(T362="","",MAX(0,T362*VLOOKUP(T362,'税率及规则'!$A$2:$C$8,2,TRUE)-VLOOKUP(T362,'税率及规则'!$A$2:$C$8,3,TRUE)))</f>
        <v/>
      </c>
      <c r="Z362" s="14">
        <f>IF(X362="","",MAX(0,X362-Y362))</f>
        <v/>
      </c>
      <c r="AA362" s="16">
        <f>IF(G362="","",G362)</f>
        <v/>
      </c>
      <c r="AB362" s="16">
        <f>IF(AA362="","",EDATE(AA362,36))</f>
        <v/>
      </c>
      <c r="AC362" s="6">
        <f>IF(A362="","",IF(COUNTIF($A$2:$A$501,A362)&gt;1,"异常：事件编号重复",IF(OR(C362="",D362="",E362="",F362="",G362="",I362="",J362=""),"异常：必填项缺失",IF(OR(I362&lt;=0,J362&lt;0),"异常：数量或价格无效",IF(AND(F362="限制性股票",OR(M362&lt;=0,N362&lt;0,I362&gt;M362)),"异常：个人获授或出资数据无效",IF(AND(F362="股票期权",K362&lt;&gt;IF(G362&lt;DATE(2025,1,10),14.56,IF(G362&lt;DATE(2025,4,29),14.32,IF(G362&lt;DATE(2025,9,26),14.18,14.04)))),"异常：行权价格区间不符",IF(Q362&lt;&gt;"已备案","提示：未确认备案","正常")))))))</f>
        <v/>
      </c>
      <c r="AD362" s="11" t="n"/>
    </row>
    <row r="363">
      <c r="A363" s="11" t="n"/>
      <c r="B363" s="6">
        <f>IF(A363="","",A363&amp;"-TAX")</f>
        <v/>
      </c>
      <c r="C363" s="11" t="n"/>
      <c r="D363" s="11" t="n"/>
      <c r="E363" s="11" t="n"/>
      <c r="F363" s="11" t="n"/>
      <c r="G363" s="12" t="n"/>
      <c r="H363" s="6">
        <f>IF(G363="","",YEAR(G363))</f>
        <v/>
      </c>
      <c r="I363" s="11" t="n"/>
      <c r="J363" s="13" t="n"/>
      <c r="K363" s="14">
        <f>IF(F363="股票期权",IF(G363="","",IF(G363&lt;DATE(2025,1,10),14.56,IF(G363&lt;DATE(2025,4,29),14.32,IF(G363&lt;DATE(2025,9,26),14.18,14.04)))),IF(F363="限制性股票",8.68,""))</f>
        <v/>
      </c>
      <c r="L363" s="14">
        <f>IF(F363="限制性股票",13.06,"")</f>
        <v/>
      </c>
      <c r="M363" s="11" t="n"/>
      <c r="N363" s="13" t="n"/>
      <c r="O363" s="13" t="n"/>
      <c r="P363" s="12" t="n"/>
      <c r="Q363" s="11" t="n"/>
      <c r="R363" s="12" t="n"/>
      <c r="S363" s="14">
        <f>IF(OR(A363="",C363="",F363="",G363="",I363="",J363=""),"",IF(F363="股票期权",MAX(0,(J363-K363)*I363),IF(F363="限制性股票",IF(OR(L363="",M363="",M363&lt;=0,N363=""),"",MAX(0,((L363+J363)/2)*I363-N363*I363/M363)),MAX(0,O363))))</f>
        <v/>
      </c>
      <c r="T363" s="14">
        <f>IF(S363="","",SUMIFS($S$2:$S$501,$C$2:$C$501,C363,$H$2:$H$501,H363,$G$2:$G$501,"&lt;"&amp;G363)+SUMIFS($S$2:$S$501,$C$2:$C$501,C363,$H$2:$H$501,H363,$G$2:$G$501,G363,$A$2:$A$501,"&lt;"&amp;A363))</f>
        <v/>
      </c>
      <c r="U363" s="14">
        <f>IF(S363="","",T363+S363)</f>
        <v/>
      </c>
      <c r="V363" s="15">
        <f>IF(U363="","",VLOOKUP(U363,'税率及规则'!$A$2:$C$8,2,TRUE))</f>
        <v/>
      </c>
      <c r="W363" s="14">
        <f>IF(U363="","",VLOOKUP(U363,'税率及规则'!$A$2:$C$8,3,TRUE))</f>
        <v/>
      </c>
      <c r="X363" s="14">
        <f>IF(U363="","",MAX(0,U363*V363-W363))</f>
        <v/>
      </c>
      <c r="Y363" s="14">
        <f>IF(T363="","",MAX(0,T363*VLOOKUP(T363,'税率及规则'!$A$2:$C$8,2,TRUE)-VLOOKUP(T363,'税率及规则'!$A$2:$C$8,3,TRUE)))</f>
        <v/>
      </c>
      <c r="Z363" s="14">
        <f>IF(X363="","",MAX(0,X363-Y363))</f>
        <v/>
      </c>
      <c r="AA363" s="16">
        <f>IF(G363="","",G363)</f>
        <v/>
      </c>
      <c r="AB363" s="16">
        <f>IF(AA363="","",EDATE(AA363,36))</f>
        <v/>
      </c>
      <c r="AC363" s="6">
        <f>IF(A363="","",IF(COUNTIF($A$2:$A$501,A363)&gt;1,"异常：事件编号重复",IF(OR(C363="",D363="",E363="",F363="",G363="",I363="",J363=""),"异常：必填项缺失",IF(OR(I363&lt;=0,J363&lt;0),"异常：数量或价格无效",IF(AND(F363="限制性股票",OR(M363&lt;=0,N363&lt;0,I363&gt;M363)),"异常：个人获授或出资数据无效",IF(AND(F363="股票期权",K363&lt;&gt;IF(G363&lt;DATE(2025,1,10),14.56,IF(G363&lt;DATE(2025,4,29),14.32,IF(G363&lt;DATE(2025,9,26),14.18,14.04)))),"异常：行权价格区间不符",IF(Q363&lt;&gt;"已备案","提示：未确认备案","正常")))))))</f>
        <v/>
      </c>
      <c r="AD363" s="11" t="n"/>
    </row>
    <row r="364">
      <c r="A364" s="11" t="n"/>
      <c r="B364" s="6">
        <f>IF(A364="","",A364&amp;"-TAX")</f>
        <v/>
      </c>
      <c r="C364" s="11" t="n"/>
      <c r="D364" s="11" t="n"/>
      <c r="E364" s="11" t="n"/>
      <c r="F364" s="11" t="n"/>
      <c r="G364" s="12" t="n"/>
      <c r="H364" s="6">
        <f>IF(G364="","",YEAR(G364))</f>
        <v/>
      </c>
      <c r="I364" s="11" t="n"/>
      <c r="J364" s="13" t="n"/>
      <c r="K364" s="14">
        <f>IF(F364="股票期权",IF(G364="","",IF(G364&lt;DATE(2025,1,10),14.56,IF(G364&lt;DATE(2025,4,29),14.32,IF(G364&lt;DATE(2025,9,26),14.18,14.04)))),IF(F364="限制性股票",8.68,""))</f>
        <v/>
      </c>
      <c r="L364" s="14">
        <f>IF(F364="限制性股票",13.06,"")</f>
        <v/>
      </c>
      <c r="M364" s="11" t="n"/>
      <c r="N364" s="13" t="n"/>
      <c r="O364" s="13" t="n"/>
      <c r="P364" s="12" t="n"/>
      <c r="Q364" s="11" t="n"/>
      <c r="R364" s="12" t="n"/>
      <c r="S364" s="14">
        <f>IF(OR(A364="",C364="",F364="",G364="",I364="",J364=""),"",IF(F364="股票期权",MAX(0,(J364-K364)*I364),IF(F364="限制性股票",IF(OR(L364="",M364="",M364&lt;=0,N364=""),"",MAX(0,((L364+J364)/2)*I364-N364*I364/M364)),MAX(0,O364))))</f>
        <v/>
      </c>
      <c r="T364" s="14">
        <f>IF(S364="","",SUMIFS($S$2:$S$501,$C$2:$C$501,C364,$H$2:$H$501,H364,$G$2:$G$501,"&lt;"&amp;G364)+SUMIFS($S$2:$S$501,$C$2:$C$501,C364,$H$2:$H$501,H364,$G$2:$G$501,G364,$A$2:$A$501,"&lt;"&amp;A364))</f>
        <v/>
      </c>
      <c r="U364" s="14">
        <f>IF(S364="","",T364+S364)</f>
        <v/>
      </c>
      <c r="V364" s="15">
        <f>IF(U364="","",VLOOKUP(U364,'税率及规则'!$A$2:$C$8,2,TRUE))</f>
        <v/>
      </c>
      <c r="W364" s="14">
        <f>IF(U364="","",VLOOKUP(U364,'税率及规则'!$A$2:$C$8,3,TRUE))</f>
        <v/>
      </c>
      <c r="X364" s="14">
        <f>IF(U364="","",MAX(0,U364*V364-W364))</f>
        <v/>
      </c>
      <c r="Y364" s="14">
        <f>IF(T364="","",MAX(0,T364*VLOOKUP(T364,'税率及规则'!$A$2:$C$8,2,TRUE)-VLOOKUP(T364,'税率及规则'!$A$2:$C$8,3,TRUE)))</f>
        <v/>
      </c>
      <c r="Z364" s="14">
        <f>IF(X364="","",MAX(0,X364-Y364))</f>
        <v/>
      </c>
      <c r="AA364" s="16">
        <f>IF(G364="","",G364)</f>
        <v/>
      </c>
      <c r="AB364" s="16">
        <f>IF(AA364="","",EDATE(AA364,36))</f>
        <v/>
      </c>
      <c r="AC364" s="6">
        <f>IF(A364="","",IF(COUNTIF($A$2:$A$501,A364)&gt;1,"异常：事件编号重复",IF(OR(C364="",D364="",E364="",F364="",G364="",I364="",J364=""),"异常：必填项缺失",IF(OR(I364&lt;=0,J364&lt;0),"异常：数量或价格无效",IF(AND(F364="限制性股票",OR(M364&lt;=0,N364&lt;0,I364&gt;M364)),"异常：个人获授或出资数据无效",IF(AND(F364="股票期权",K364&lt;&gt;IF(G364&lt;DATE(2025,1,10),14.56,IF(G364&lt;DATE(2025,4,29),14.32,IF(G364&lt;DATE(2025,9,26),14.18,14.04)))),"异常：行权价格区间不符",IF(Q364&lt;&gt;"已备案","提示：未确认备案","正常")))))))</f>
        <v/>
      </c>
      <c r="AD364" s="11" t="n"/>
    </row>
    <row r="365">
      <c r="A365" s="11" t="n"/>
      <c r="B365" s="6">
        <f>IF(A365="","",A365&amp;"-TAX")</f>
        <v/>
      </c>
      <c r="C365" s="11" t="n"/>
      <c r="D365" s="11" t="n"/>
      <c r="E365" s="11" t="n"/>
      <c r="F365" s="11" t="n"/>
      <c r="G365" s="12" t="n"/>
      <c r="H365" s="6">
        <f>IF(G365="","",YEAR(G365))</f>
        <v/>
      </c>
      <c r="I365" s="11" t="n"/>
      <c r="J365" s="13" t="n"/>
      <c r="K365" s="14">
        <f>IF(F365="股票期权",IF(G365="","",IF(G365&lt;DATE(2025,1,10),14.56,IF(G365&lt;DATE(2025,4,29),14.32,IF(G365&lt;DATE(2025,9,26),14.18,14.04)))),IF(F365="限制性股票",8.68,""))</f>
        <v/>
      </c>
      <c r="L365" s="14">
        <f>IF(F365="限制性股票",13.06,"")</f>
        <v/>
      </c>
      <c r="M365" s="11" t="n"/>
      <c r="N365" s="13" t="n"/>
      <c r="O365" s="13" t="n"/>
      <c r="P365" s="12" t="n"/>
      <c r="Q365" s="11" t="n"/>
      <c r="R365" s="12" t="n"/>
      <c r="S365" s="14">
        <f>IF(OR(A365="",C365="",F365="",G365="",I365="",J365=""),"",IF(F365="股票期权",MAX(0,(J365-K365)*I365),IF(F365="限制性股票",IF(OR(L365="",M365="",M365&lt;=0,N365=""),"",MAX(0,((L365+J365)/2)*I365-N365*I365/M365)),MAX(0,O365))))</f>
        <v/>
      </c>
      <c r="T365" s="14">
        <f>IF(S365="","",SUMIFS($S$2:$S$501,$C$2:$C$501,C365,$H$2:$H$501,H365,$G$2:$G$501,"&lt;"&amp;G365)+SUMIFS($S$2:$S$501,$C$2:$C$501,C365,$H$2:$H$501,H365,$G$2:$G$501,G365,$A$2:$A$501,"&lt;"&amp;A365))</f>
        <v/>
      </c>
      <c r="U365" s="14">
        <f>IF(S365="","",T365+S365)</f>
        <v/>
      </c>
      <c r="V365" s="15">
        <f>IF(U365="","",VLOOKUP(U365,'税率及规则'!$A$2:$C$8,2,TRUE))</f>
        <v/>
      </c>
      <c r="W365" s="14">
        <f>IF(U365="","",VLOOKUP(U365,'税率及规则'!$A$2:$C$8,3,TRUE))</f>
        <v/>
      </c>
      <c r="X365" s="14">
        <f>IF(U365="","",MAX(0,U365*V365-W365))</f>
        <v/>
      </c>
      <c r="Y365" s="14">
        <f>IF(T365="","",MAX(0,T365*VLOOKUP(T365,'税率及规则'!$A$2:$C$8,2,TRUE)-VLOOKUP(T365,'税率及规则'!$A$2:$C$8,3,TRUE)))</f>
        <v/>
      </c>
      <c r="Z365" s="14">
        <f>IF(X365="","",MAX(0,X365-Y365))</f>
        <v/>
      </c>
      <c r="AA365" s="16">
        <f>IF(G365="","",G365)</f>
        <v/>
      </c>
      <c r="AB365" s="16">
        <f>IF(AA365="","",EDATE(AA365,36))</f>
        <v/>
      </c>
      <c r="AC365" s="6">
        <f>IF(A365="","",IF(COUNTIF($A$2:$A$501,A365)&gt;1,"异常：事件编号重复",IF(OR(C365="",D365="",E365="",F365="",G365="",I365="",J365=""),"异常：必填项缺失",IF(OR(I365&lt;=0,J365&lt;0),"异常：数量或价格无效",IF(AND(F365="限制性股票",OR(M365&lt;=0,N365&lt;0,I365&gt;M365)),"异常：个人获授或出资数据无效",IF(AND(F365="股票期权",K365&lt;&gt;IF(G365&lt;DATE(2025,1,10),14.56,IF(G365&lt;DATE(2025,4,29),14.32,IF(G365&lt;DATE(2025,9,26),14.18,14.04)))),"异常：行权价格区间不符",IF(Q365&lt;&gt;"已备案","提示：未确认备案","正常")))))))</f>
        <v/>
      </c>
      <c r="AD365" s="11" t="n"/>
    </row>
    <row r="366">
      <c r="A366" s="11" t="n"/>
      <c r="B366" s="6">
        <f>IF(A366="","",A366&amp;"-TAX")</f>
        <v/>
      </c>
      <c r="C366" s="11" t="n"/>
      <c r="D366" s="11" t="n"/>
      <c r="E366" s="11" t="n"/>
      <c r="F366" s="11" t="n"/>
      <c r="G366" s="12" t="n"/>
      <c r="H366" s="6">
        <f>IF(G366="","",YEAR(G366))</f>
        <v/>
      </c>
      <c r="I366" s="11" t="n"/>
      <c r="J366" s="13" t="n"/>
      <c r="K366" s="14">
        <f>IF(F366="股票期权",IF(G366="","",IF(G366&lt;DATE(2025,1,10),14.56,IF(G366&lt;DATE(2025,4,29),14.32,IF(G366&lt;DATE(2025,9,26),14.18,14.04)))),IF(F366="限制性股票",8.68,""))</f>
        <v/>
      </c>
      <c r="L366" s="14">
        <f>IF(F366="限制性股票",13.06,"")</f>
        <v/>
      </c>
      <c r="M366" s="11" t="n"/>
      <c r="N366" s="13" t="n"/>
      <c r="O366" s="13" t="n"/>
      <c r="P366" s="12" t="n"/>
      <c r="Q366" s="11" t="n"/>
      <c r="R366" s="12" t="n"/>
      <c r="S366" s="14">
        <f>IF(OR(A366="",C366="",F366="",G366="",I366="",J366=""),"",IF(F366="股票期权",MAX(0,(J366-K366)*I366),IF(F366="限制性股票",IF(OR(L366="",M366="",M366&lt;=0,N366=""),"",MAX(0,((L366+J366)/2)*I366-N366*I366/M366)),MAX(0,O366))))</f>
        <v/>
      </c>
      <c r="T366" s="14">
        <f>IF(S366="","",SUMIFS($S$2:$S$501,$C$2:$C$501,C366,$H$2:$H$501,H366,$G$2:$G$501,"&lt;"&amp;G366)+SUMIFS($S$2:$S$501,$C$2:$C$501,C366,$H$2:$H$501,H366,$G$2:$G$501,G366,$A$2:$A$501,"&lt;"&amp;A366))</f>
        <v/>
      </c>
      <c r="U366" s="14">
        <f>IF(S366="","",T366+S366)</f>
        <v/>
      </c>
      <c r="V366" s="15">
        <f>IF(U366="","",VLOOKUP(U366,'税率及规则'!$A$2:$C$8,2,TRUE))</f>
        <v/>
      </c>
      <c r="W366" s="14">
        <f>IF(U366="","",VLOOKUP(U366,'税率及规则'!$A$2:$C$8,3,TRUE))</f>
        <v/>
      </c>
      <c r="X366" s="14">
        <f>IF(U366="","",MAX(0,U366*V366-W366))</f>
        <v/>
      </c>
      <c r="Y366" s="14">
        <f>IF(T366="","",MAX(0,T366*VLOOKUP(T366,'税率及规则'!$A$2:$C$8,2,TRUE)-VLOOKUP(T366,'税率及规则'!$A$2:$C$8,3,TRUE)))</f>
        <v/>
      </c>
      <c r="Z366" s="14">
        <f>IF(X366="","",MAX(0,X366-Y366))</f>
        <v/>
      </c>
      <c r="AA366" s="16">
        <f>IF(G366="","",G366)</f>
        <v/>
      </c>
      <c r="AB366" s="16">
        <f>IF(AA366="","",EDATE(AA366,36))</f>
        <v/>
      </c>
      <c r="AC366" s="6">
        <f>IF(A366="","",IF(COUNTIF($A$2:$A$501,A366)&gt;1,"异常：事件编号重复",IF(OR(C366="",D366="",E366="",F366="",G366="",I366="",J366=""),"异常：必填项缺失",IF(OR(I366&lt;=0,J366&lt;0),"异常：数量或价格无效",IF(AND(F366="限制性股票",OR(M366&lt;=0,N366&lt;0,I366&gt;M366)),"异常：个人获授或出资数据无效",IF(AND(F366="股票期权",K366&lt;&gt;IF(G366&lt;DATE(2025,1,10),14.56,IF(G366&lt;DATE(2025,4,29),14.32,IF(G366&lt;DATE(2025,9,26),14.18,14.04)))),"异常：行权价格区间不符",IF(Q366&lt;&gt;"已备案","提示：未确认备案","正常")))))))</f>
        <v/>
      </c>
      <c r="AD366" s="11" t="n"/>
    </row>
    <row r="367">
      <c r="A367" s="11" t="n"/>
      <c r="B367" s="6">
        <f>IF(A367="","",A367&amp;"-TAX")</f>
        <v/>
      </c>
      <c r="C367" s="11" t="n"/>
      <c r="D367" s="11" t="n"/>
      <c r="E367" s="11" t="n"/>
      <c r="F367" s="11" t="n"/>
      <c r="G367" s="12" t="n"/>
      <c r="H367" s="6">
        <f>IF(G367="","",YEAR(G367))</f>
        <v/>
      </c>
      <c r="I367" s="11" t="n"/>
      <c r="J367" s="13" t="n"/>
      <c r="K367" s="14">
        <f>IF(F367="股票期权",IF(G367="","",IF(G367&lt;DATE(2025,1,10),14.56,IF(G367&lt;DATE(2025,4,29),14.32,IF(G367&lt;DATE(2025,9,26),14.18,14.04)))),IF(F367="限制性股票",8.68,""))</f>
        <v/>
      </c>
      <c r="L367" s="14">
        <f>IF(F367="限制性股票",13.06,"")</f>
        <v/>
      </c>
      <c r="M367" s="11" t="n"/>
      <c r="N367" s="13" t="n"/>
      <c r="O367" s="13" t="n"/>
      <c r="P367" s="12" t="n"/>
      <c r="Q367" s="11" t="n"/>
      <c r="R367" s="12" t="n"/>
      <c r="S367" s="14">
        <f>IF(OR(A367="",C367="",F367="",G367="",I367="",J367=""),"",IF(F367="股票期权",MAX(0,(J367-K367)*I367),IF(F367="限制性股票",IF(OR(L367="",M367="",M367&lt;=0,N367=""),"",MAX(0,((L367+J367)/2)*I367-N367*I367/M367)),MAX(0,O367))))</f>
        <v/>
      </c>
      <c r="T367" s="14">
        <f>IF(S367="","",SUMIFS($S$2:$S$501,$C$2:$C$501,C367,$H$2:$H$501,H367,$G$2:$G$501,"&lt;"&amp;G367)+SUMIFS($S$2:$S$501,$C$2:$C$501,C367,$H$2:$H$501,H367,$G$2:$G$501,G367,$A$2:$A$501,"&lt;"&amp;A367))</f>
        <v/>
      </c>
      <c r="U367" s="14">
        <f>IF(S367="","",T367+S367)</f>
        <v/>
      </c>
      <c r="V367" s="15">
        <f>IF(U367="","",VLOOKUP(U367,'税率及规则'!$A$2:$C$8,2,TRUE))</f>
        <v/>
      </c>
      <c r="W367" s="14">
        <f>IF(U367="","",VLOOKUP(U367,'税率及规则'!$A$2:$C$8,3,TRUE))</f>
        <v/>
      </c>
      <c r="X367" s="14">
        <f>IF(U367="","",MAX(0,U367*V367-W367))</f>
        <v/>
      </c>
      <c r="Y367" s="14">
        <f>IF(T367="","",MAX(0,T367*VLOOKUP(T367,'税率及规则'!$A$2:$C$8,2,TRUE)-VLOOKUP(T367,'税率及规则'!$A$2:$C$8,3,TRUE)))</f>
        <v/>
      </c>
      <c r="Z367" s="14">
        <f>IF(X367="","",MAX(0,X367-Y367))</f>
        <v/>
      </c>
      <c r="AA367" s="16">
        <f>IF(G367="","",G367)</f>
        <v/>
      </c>
      <c r="AB367" s="16">
        <f>IF(AA367="","",EDATE(AA367,36))</f>
        <v/>
      </c>
      <c r="AC367" s="6">
        <f>IF(A367="","",IF(COUNTIF($A$2:$A$501,A367)&gt;1,"异常：事件编号重复",IF(OR(C367="",D367="",E367="",F367="",G367="",I367="",J367=""),"异常：必填项缺失",IF(OR(I367&lt;=0,J367&lt;0),"异常：数量或价格无效",IF(AND(F367="限制性股票",OR(M367&lt;=0,N367&lt;0,I367&gt;M367)),"异常：个人获授或出资数据无效",IF(AND(F367="股票期权",K367&lt;&gt;IF(G367&lt;DATE(2025,1,10),14.56,IF(G367&lt;DATE(2025,4,29),14.32,IF(G367&lt;DATE(2025,9,26),14.18,14.04)))),"异常：行权价格区间不符",IF(Q367&lt;&gt;"已备案","提示：未确认备案","正常")))))))</f>
        <v/>
      </c>
      <c r="AD367" s="11" t="n"/>
    </row>
    <row r="368">
      <c r="A368" s="11" t="n"/>
      <c r="B368" s="6">
        <f>IF(A368="","",A368&amp;"-TAX")</f>
        <v/>
      </c>
      <c r="C368" s="11" t="n"/>
      <c r="D368" s="11" t="n"/>
      <c r="E368" s="11" t="n"/>
      <c r="F368" s="11" t="n"/>
      <c r="G368" s="12" t="n"/>
      <c r="H368" s="6">
        <f>IF(G368="","",YEAR(G368))</f>
        <v/>
      </c>
      <c r="I368" s="11" t="n"/>
      <c r="J368" s="13" t="n"/>
      <c r="K368" s="14">
        <f>IF(F368="股票期权",IF(G368="","",IF(G368&lt;DATE(2025,1,10),14.56,IF(G368&lt;DATE(2025,4,29),14.32,IF(G368&lt;DATE(2025,9,26),14.18,14.04)))),IF(F368="限制性股票",8.68,""))</f>
        <v/>
      </c>
      <c r="L368" s="14">
        <f>IF(F368="限制性股票",13.06,"")</f>
        <v/>
      </c>
      <c r="M368" s="11" t="n"/>
      <c r="N368" s="13" t="n"/>
      <c r="O368" s="13" t="n"/>
      <c r="P368" s="12" t="n"/>
      <c r="Q368" s="11" t="n"/>
      <c r="R368" s="12" t="n"/>
      <c r="S368" s="14">
        <f>IF(OR(A368="",C368="",F368="",G368="",I368="",J368=""),"",IF(F368="股票期权",MAX(0,(J368-K368)*I368),IF(F368="限制性股票",IF(OR(L368="",M368="",M368&lt;=0,N368=""),"",MAX(0,((L368+J368)/2)*I368-N368*I368/M368)),MAX(0,O368))))</f>
        <v/>
      </c>
      <c r="T368" s="14">
        <f>IF(S368="","",SUMIFS($S$2:$S$501,$C$2:$C$501,C368,$H$2:$H$501,H368,$G$2:$G$501,"&lt;"&amp;G368)+SUMIFS($S$2:$S$501,$C$2:$C$501,C368,$H$2:$H$501,H368,$G$2:$G$501,G368,$A$2:$A$501,"&lt;"&amp;A368))</f>
        <v/>
      </c>
      <c r="U368" s="14">
        <f>IF(S368="","",T368+S368)</f>
        <v/>
      </c>
      <c r="V368" s="15">
        <f>IF(U368="","",VLOOKUP(U368,'税率及规则'!$A$2:$C$8,2,TRUE))</f>
        <v/>
      </c>
      <c r="W368" s="14">
        <f>IF(U368="","",VLOOKUP(U368,'税率及规则'!$A$2:$C$8,3,TRUE))</f>
        <v/>
      </c>
      <c r="X368" s="14">
        <f>IF(U368="","",MAX(0,U368*V368-W368))</f>
        <v/>
      </c>
      <c r="Y368" s="14">
        <f>IF(T368="","",MAX(0,T368*VLOOKUP(T368,'税率及规则'!$A$2:$C$8,2,TRUE)-VLOOKUP(T368,'税率及规则'!$A$2:$C$8,3,TRUE)))</f>
        <v/>
      </c>
      <c r="Z368" s="14">
        <f>IF(X368="","",MAX(0,X368-Y368))</f>
        <v/>
      </c>
      <c r="AA368" s="16">
        <f>IF(G368="","",G368)</f>
        <v/>
      </c>
      <c r="AB368" s="16">
        <f>IF(AA368="","",EDATE(AA368,36))</f>
        <v/>
      </c>
      <c r="AC368" s="6">
        <f>IF(A368="","",IF(COUNTIF($A$2:$A$501,A368)&gt;1,"异常：事件编号重复",IF(OR(C368="",D368="",E368="",F368="",G368="",I368="",J368=""),"异常：必填项缺失",IF(OR(I368&lt;=0,J368&lt;0),"异常：数量或价格无效",IF(AND(F368="限制性股票",OR(M368&lt;=0,N368&lt;0,I368&gt;M368)),"异常：个人获授或出资数据无效",IF(AND(F368="股票期权",K368&lt;&gt;IF(G368&lt;DATE(2025,1,10),14.56,IF(G368&lt;DATE(2025,4,29),14.32,IF(G368&lt;DATE(2025,9,26),14.18,14.04)))),"异常：行权价格区间不符",IF(Q368&lt;&gt;"已备案","提示：未确认备案","正常")))))))</f>
        <v/>
      </c>
      <c r="AD368" s="11" t="n"/>
    </row>
    <row r="369">
      <c r="A369" s="11" t="n"/>
      <c r="B369" s="6">
        <f>IF(A369="","",A369&amp;"-TAX")</f>
        <v/>
      </c>
      <c r="C369" s="11" t="n"/>
      <c r="D369" s="11" t="n"/>
      <c r="E369" s="11" t="n"/>
      <c r="F369" s="11" t="n"/>
      <c r="G369" s="12" t="n"/>
      <c r="H369" s="6">
        <f>IF(G369="","",YEAR(G369))</f>
        <v/>
      </c>
      <c r="I369" s="11" t="n"/>
      <c r="J369" s="13" t="n"/>
      <c r="K369" s="14">
        <f>IF(F369="股票期权",IF(G369="","",IF(G369&lt;DATE(2025,1,10),14.56,IF(G369&lt;DATE(2025,4,29),14.32,IF(G369&lt;DATE(2025,9,26),14.18,14.04)))),IF(F369="限制性股票",8.68,""))</f>
        <v/>
      </c>
      <c r="L369" s="14">
        <f>IF(F369="限制性股票",13.06,"")</f>
        <v/>
      </c>
      <c r="M369" s="11" t="n"/>
      <c r="N369" s="13" t="n"/>
      <c r="O369" s="13" t="n"/>
      <c r="P369" s="12" t="n"/>
      <c r="Q369" s="11" t="n"/>
      <c r="R369" s="12" t="n"/>
      <c r="S369" s="14">
        <f>IF(OR(A369="",C369="",F369="",G369="",I369="",J369=""),"",IF(F369="股票期权",MAX(0,(J369-K369)*I369),IF(F369="限制性股票",IF(OR(L369="",M369="",M369&lt;=0,N369=""),"",MAX(0,((L369+J369)/2)*I369-N369*I369/M369)),MAX(0,O369))))</f>
        <v/>
      </c>
      <c r="T369" s="14">
        <f>IF(S369="","",SUMIFS($S$2:$S$501,$C$2:$C$501,C369,$H$2:$H$501,H369,$G$2:$G$501,"&lt;"&amp;G369)+SUMIFS($S$2:$S$501,$C$2:$C$501,C369,$H$2:$H$501,H369,$G$2:$G$501,G369,$A$2:$A$501,"&lt;"&amp;A369))</f>
        <v/>
      </c>
      <c r="U369" s="14">
        <f>IF(S369="","",T369+S369)</f>
        <v/>
      </c>
      <c r="V369" s="15">
        <f>IF(U369="","",VLOOKUP(U369,'税率及规则'!$A$2:$C$8,2,TRUE))</f>
        <v/>
      </c>
      <c r="W369" s="14">
        <f>IF(U369="","",VLOOKUP(U369,'税率及规则'!$A$2:$C$8,3,TRUE))</f>
        <v/>
      </c>
      <c r="X369" s="14">
        <f>IF(U369="","",MAX(0,U369*V369-W369))</f>
        <v/>
      </c>
      <c r="Y369" s="14">
        <f>IF(T369="","",MAX(0,T369*VLOOKUP(T369,'税率及规则'!$A$2:$C$8,2,TRUE)-VLOOKUP(T369,'税率及规则'!$A$2:$C$8,3,TRUE)))</f>
        <v/>
      </c>
      <c r="Z369" s="14">
        <f>IF(X369="","",MAX(0,X369-Y369))</f>
        <v/>
      </c>
      <c r="AA369" s="16">
        <f>IF(G369="","",G369)</f>
        <v/>
      </c>
      <c r="AB369" s="16">
        <f>IF(AA369="","",EDATE(AA369,36))</f>
        <v/>
      </c>
      <c r="AC369" s="6">
        <f>IF(A369="","",IF(COUNTIF($A$2:$A$501,A369)&gt;1,"异常：事件编号重复",IF(OR(C369="",D369="",E369="",F369="",G369="",I369="",J369=""),"异常：必填项缺失",IF(OR(I369&lt;=0,J369&lt;0),"异常：数量或价格无效",IF(AND(F369="限制性股票",OR(M369&lt;=0,N369&lt;0,I369&gt;M369)),"异常：个人获授或出资数据无效",IF(AND(F369="股票期权",K369&lt;&gt;IF(G369&lt;DATE(2025,1,10),14.56,IF(G369&lt;DATE(2025,4,29),14.32,IF(G369&lt;DATE(2025,9,26),14.18,14.04)))),"异常：行权价格区间不符",IF(Q369&lt;&gt;"已备案","提示：未确认备案","正常")))))))</f>
        <v/>
      </c>
      <c r="AD369" s="11" t="n"/>
    </row>
    <row r="370">
      <c r="A370" s="11" t="n"/>
      <c r="B370" s="6">
        <f>IF(A370="","",A370&amp;"-TAX")</f>
        <v/>
      </c>
      <c r="C370" s="11" t="n"/>
      <c r="D370" s="11" t="n"/>
      <c r="E370" s="11" t="n"/>
      <c r="F370" s="11" t="n"/>
      <c r="G370" s="12" t="n"/>
      <c r="H370" s="6">
        <f>IF(G370="","",YEAR(G370))</f>
        <v/>
      </c>
      <c r="I370" s="11" t="n"/>
      <c r="J370" s="13" t="n"/>
      <c r="K370" s="14">
        <f>IF(F370="股票期权",IF(G370="","",IF(G370&lt;DATE(2025,1,10),14.56,IF(G370&lt;DATE(2025,4,29),14.32,IF(G370&lt;DATE(2025,9,26),14.18,14.04)))),IF(F370="限制性股票",8.68,""))</f>
        <v/>
      </c>
      <c r="L370" s="14">
        <f>IF(F370="限制性股票",13.06,"")</f>
        <v/>
      </c>
      <c r="M370" s="11" t="n"/>
      <c r="N370" s="13" t="n"/>
      <c r="O370" s="13" t="n"/>
      <c r="P370" s="12" t="n"/>
      <c r="Q370" s="11" t="n"/>
      <c r="R370" s="12" t="n"/>
      <c r="S370" s="14">
        <f>IF(OR(A370="",C370="",F370="",G370="",I370="",J370=""),"",IF(F370="股票期权",MAX(0,(J370-K370)*I370),IF(F370="限制性股票",IF(OR(L370="",M370="",M370&lt;=0,N370=""),"",MAX(0,((L370+J370)/2)*I370-N370*I370/M370)),MAX(0,O370))))</f>
        <v/>
      </c>
      <c r="T370" s="14">
        <f>IF(S370="","",SUMIFS($S$2:$S$501,$C$2:$C$501,C370,$H$2:$H$501,H370,$G$2:$G$501,"&lt;"&amp;G370)+SUMIFS($S$2:$S$501,$C$2:$C$501,C370,$H$2:$H$501,H370,$G$2:$G$501,G370,$A$2:$A$501,"&lt;"&amp;A370))</f>
        <v/>
      </c>
      <c r="U370" s="14">
        <f>IF(S370="","",T370+S370)</f>
        <v/>
      </c>
      <c r="V370" s="15">
        <f>IF(U370="","",VLOOKUP(U370,'税率及规则'!$A$2:$C$8,2,TRUE))</f>
        <v/>
      </c>
      <c r="W370" s="14">
        <f>IF(U370="","",VLOOKUP(U370,'税率及规则'!$A$2:$C$8,3,TRUE))</f>
        <v/>
      </c>
      <c r="X370" s="14">
        <f>IF(U370="","",MAX(0,U370*V370-W370))</f>
        <v/>
      </c>
      <c r="Y370" s="14">
        <f>IF(T370="","",MAX(0,T370*VLOOKUP(T370,'税率及规则'!$A$2:$C$8,2,TRUE)-VLOOKUP(T370,'税率及规则'!$A$2:$C$8,3,TRUE)))</f>
        <v/>
      </c>
      <c r="Z370" s="14">
        <f>IF(X370="","",MAX(0,X370-Y370))</f>
        <v/>
      </c>
      <c r="AA370" s="16">
        <f>IF(G370="","",G370)</f>
        <v/>
      </c>
      <c r="AB370" s="16">
        <f>IF(AA370="","",EDATE(AA370,36))</f>
        <v/>
      </c>
      <c r="AC370" s="6">
        <f>IF(A370="","",IF(COUNTIF($A$2:$A$501,A370)&gt;1,"异常：事件编号重复",IF(OR(C370="",D370="",E370="",F370="",G370="",I370="",J370=""),"异常：必填项缺失",IF(OR(I370&lt;=0,J370&lt;0),"异常：数量或价格无效",IF(AND(F370="限制性股票",OR(M370&lt;=0,N370&lt;0,I370&gt;M370)),"异常：个人获授或出资数据无效",IF(AND(F370="股票期权",K370&lt;&gt;IF(G370&lt;DATE(2025,1,10),14.56,IF(G370&lt;DATE(2025,4,29),14.32,IF(G370&lt;DATE(2025,9,26),14.18,14.04)))),"异常：行权价格区间不符",IF(Q370&lt;&gt;"已备案","提示：未确认备案","正常")))))))</f>
        <v/>
      </c>
      <c r="AD370" s="11" t="n"/>
    </row>
    <row r="371">
      <c r="A371" s="11" t="n"/>
      <c r="B371" s="6">
        <f>IF(A371="","",A371&amp;"-TAX")</f>
        <v/>
      </c>
      <c r="C371" s="11" t="n"/>
      <c r="D371" s="11" t="n"/>
      <c r="E371" s="11" t="n"/>
      <c r="F371" s="11" t="n"/>
      <c r="G371" s="12" t="n"/>
      <c r="H371" s="6">
        <f>IF(G371="","",YEAR(G371))</f>
        <v/>
      </c>
      <c r="I371" s="11" t="n"/>
      <c r="J371" s="13" t="n"/>
      <c r="K371" s="14">
        <f>IF(F371="股票期权",IF(G371="","",IF(G371&lt;DATE(2025,1,10),14.56,IF(G371&lt;DATE(2025,4,29),14.32,IF(G371&lt;DATE(2025,9,26),14.18,14.04)))),IF(F371="限制性股票",8.68,""))</f>
        <v/>
      </c>
      <c r="L371" s="14">
        <f>IF(F371="限制性股票",13.06,"")</f>
        <v/>
      </c>
      <c r="M371" s="11" t="n"/>
      <c r="N371" s="13" t="n"/>
      <c r="O371" s="13" t="n"/>
      <c r="P371" s="12" t="n"/>
      <c r="Q371" s="11" t="n"/>
      <c r="R371" s="12" t="n"/>
      <c r="S371" s="14">
        <f>IF(OR(A371="",C371="",F371="",G371="",I371="",J371=""),"",IF(F371="股票期权",MAX(0,(J371-K371)*I371),IF(F371="限制性股票",IF(OR(L371="",M371="",M371&lt;=0,N371=""),"",MAX(0,((L371+J371)/2)*I371-N371*I371/M371)),MAX(0,O371))))</f>
        <v/>
      </c>
      <c r="T371" s="14">
        <f>IF(S371="","",SUMIFS($S$2:$S$501,$C$2:$C$501,C371,$H$2:$H$501,H371,$G$2:$G$501,"&lt;"&amp;G371)+SUMIFS($S$2:$S$501,$C$2:$C$501,C371,$H$2:$H$501,H371,$G$2:$G$501,G371,$A$2:$A$501,"&lt;"&amp;A371))</f>
        <v/>
      </c>
      <c r="U371" s="14">
        <f>IF(S371="","",T371+S371)</f>
        <v/>
      </c>
      <c r="V371" s="15">
        <f>IF(U371="","",VLOOKUP(U371,'税率及规则'!$A$2:$C$8,2,TRUE))</f>
        <v/>
      </c>
      <c r="W371" s="14">
        <f>IF(U371="","",VLOOKUP(U371,'税率及规则'!$A$2:$C$8,3,TRUE))</f>
        <v/>
      </c>
      <c r="X371" s="14">
        <f>IF(U371="","",MAX(0,U371*V371-W371))</f>
        <v/>
      </c>
      <c r="Y371" s="14">
        <f>IF(T371="","",MAX(0,T371*VLOOKUP(T371,'税率及规则'!$A$2:$C$8,2,TRUE)-VLOOKUP(T371,'税率及规则'!$A$2:$C$8,3,TRUE)))</f>
        <v/>
      </c>
      <c r="Z371" s="14">
        <f>IF(X371="","",MAX(0,X371-Y371))</f>
        <v/>
      </c>
      <c r="AA371" s="16">
        <f>IF(G371="","",G371)</f>
        <v/>
      </c>
      <c r="AB371" s="16">
        <f>IF(AA371="","",EDATE(AA371,36))</f>
        <v/>
      </c>
      <c r="AC371" s="6">
        <f>IF(A371="","",IF(COUNTIF($A$2:$A$501,A371)&gt;1,"异常：事件编号重复",IF(OR(C371="",D371="",E371="",F371="",G371="",I371="",J371=""),"异常：必填项缺失",IF(OR(I371&lt;=0,J371&lt;0),"异常：数量或价格无效",IF(AND(F371="限制性股票",OR(M371&lt;=0,N371&lt;0,I371&gt;M371)),"异常：个人获授或出资数据无效",IF(AND(F371="股票期权",K371&lt;&gt;IF(G371&lt;DATE(2025,1,10),14.56,IF(G371&lt;DATE(2025,4,29),14.32,IF(G371&lt;DATE(2025,9,26),14.18,14.04)))),"异常：行权价格区间不符",IF(Q371&lt;&gt;"已备案","提示：未确认备案","正常")))))))</f>
        <v/>
      </c>
      <c r="AD371" s="11" t="n"/>
    </row>
    <row r="372">
      <c r="A372" s="11" t="n"/>
      <c r="B372" s="6">
        <f>IF(A372="","",A372&amp;"-TAX")</f>
        <v/>
      </c>
      <c r="C372" s="11" t="n"/>
      <c r="D372" s="11" t="n"/>
      <c r="E372" s="11" t="n"/>
      <c r="F372" s="11" t="n"/>
      <c r="G372" s="12" t="n"/>
      <c r="H372" s="6">
        <f>IF(G372="","",YEAR(G372))</f>
        <v/>
      </c>
      <c r="I372" s="11" t="n"/>
      <c r="J372" s="13" t="n"/>
      <c r="K372" s="14">
        <f>IF(F372="股票期权",IF(G372="","",IF(G372&lt;DATE(2025,1,10),14.56,IF(G372&lt;DATE(2025,4,29),14.32,IF(G372&lt;DATE(2025,9,26),14.18,14.04)))),IF(F372="限制性股票",8.68,""))</f>
        <v/>
      </c>
      <c r="L372" s="14">
        <f>IF(F372="限制性股票",13.06,"")</f>
        <v/>
      </c>
      <c r="M372" s="11" t="n"/>
      <c r="N372" s="13" t="n"/>
      <c r="O372" s="13" t="n"/>
      <c r="P372" s="12" t="n"/>
      <c r="Q372" s="11" t="n"/>
      <c r="R372" s="12" t="n"/>
      <c r="S372" s="14">
        <f>IF(OR(A372="",C372="",F372="",G372="",I372="",J372=""),"",IF(F372="股票期权",MAX(0,(J372-K372)*I372),IF(F372="限制性股票",IF(OR(L372="",M372="",M372&lt;=0,N372=""),"",MAX(0,((L372+J372)/2)*I372-N372*I372/M372)),MAX(0,O372))))</f>
        <v/>
      </c>
      <c r="T372" s="14">
        <f>IF(S372="","",SUMIFS($S$2:$S$501,$C$2:$C$501,C372,$H$2:$H$501,H372,$G$2:$G$501,"&lt;"&amp;G372)+SUMIFS($S$2:$S$501,$C$2:$C$501,C372,$H$2:$H$501,H372,$G$2:$G$501,G372,$A$2:$A$501,"&lt;"&amp;A372))</f>
        <v/>
      </c>
      <c r="U372" s="14">
        <f>IF(S372="","",T372+S372)</f>
        <v/>
      </c>
      <c r="V372" s="15">
        <f>IF(U372="","",VLOOKUP(U372,'税率及规则'!$A$2:$C$8,2,TRUE))</f>
        <v/>
      </c>
      <c r="W372" s="14">
        <f>IF(U372="","",VLOOKUP(U372,'税率及规则'!$A$2:$C$8,3,TRUE))</f>
        <v/>
      </c>
      <c r="X372" s="14">
        <f>IF(U372="","",MAX(0,U372*V372-W372))</f>
        <v/>
      </c>
      <c r="Y372" s="14">
        <f>IF(T372="","",MAX(0,T372*VLOOKUP(T372,'税率及规则'!$A$2:$C$8,2,TRUE)-VLOOKUP(T372,'税率及规则'!$A$2:$C$8,3,TRUE)))</f>
        <v/>
      </c>
      <c r="Z372" s="14">
        <f>IF(X372="","",MAX(0,X372-Y372))</f>
        <v/>
      </c>
      <c r="AA372" s="16">
        <f>IF(G372="","",G372)</f>
        <v/>
      </c>
      <c r="AB372" s="16">
        <f>IF(AA372="","",EDATE(AA372,36))</f>
        <v/>
      </c>
      <c r="AC372" s="6">
        <f>IF(A372="","",IF(COUNTIF($A$2:$A$501,A372)&gt;1,"异常：事件编号重复",IF(OR(C372="",D372="",E372="",F372="",G372="",I372="",J372=""),"异常：必填项缺失",IF(OR(I372&lt;=0,J372&lt;0),"异常：数量或价格无效",IF(AND(F372="限制性股票",OR(M372&lt;=0,N372&lt;0,I372&gt;M372)),"异常：个人获授或出资数据无效",IF(AND(F372="股票期权",K372&lt;&gt;IF(G372&lt;DATE(2025,1,10),14.56,IF(G372&lt;DATE(2025,4,29),14.32,IF(G372&lt;DATE(2025,9,26),14.18,14.04)))),"异常：行权价格区间不符",IF(Q372&lt;&gt;"已备案","提示：未确认备案","正常")))))))</f>
        <v/>
      </c>
      <c r="AD372" s="11" t="n"/>
    </row>
    <row r="373">
      <c r="A373" s="11" t="n"/>
      <c r="B373" s="6">
        <f>IF(A373="","",A373&amp;"-TAX")</f>
        <v/>
      </c>
      <c r="C373" s="11" t="n"/>
      <c r="D373" s="11" t="n"/>
      <c r="E373" s="11" t="n"/>
      <c r="F373" s="11" t="n"/>
      <c r="G373" s="12" t="n"/>
      <c r="H373" s="6">
        <f>IF(G373="","",YEAR(G373))</f>
        <v/>
      </c>
      <c r="I373" s="11" t="n"/>
      <c r="J373" s="13" t="n"/>
      <c r="K373" s="14">
        <f>IF(F373="股票期权",IF(G373="","",IF(G373&lt;DATE(2025,1,10),14.56,IF(G373&lt;DATE(2025,4,29),14.32,IF(G373&lt;DATE(2025,9,26),14.18,14.04)))),IF(F373="限制性股票",8.68,""))</f>
        <v/>
      </c>
      <c r="L373" s="14">
        <f>IF(F373="限制性股票",13.06,"")</f>
        <v/>
      </c>
      <c r="M373" s="11" t="n"/>
      <c r="N373" s="13" t="n"/>
      <c r="O373" s="13" t="n"/>
      <c r="P373" s="12" t="n"/>
      <c r="Q373" s="11" t="n"/>
      <c r="R373" s="12" t="n"/>
      <c r="S373" s="14">
        <f>IF(OR(A373="",C373="",F373="",G373="",I373="",J373=""),"",IF(F373="股票期权",MAX(0,(J373-K373)*I373),IF(F373="限制性股票",IF(OR(L373="",M373="",M373&lt;=0,N373=""),"",MAX(0,((L373+J373)/2)*I373-N373*I373/M373)),MAX(0,O373))))</f>
        <v/>
      </c>
      <c r="T373" s="14">
        <f>IF(S373="","",SUMIFS($S$2:$S$501,$C$2:$C$501,C373,$H$2:$H$501,H373,$G$2:$G$501,"&lt;"&amp;G373)+SUMIFS($S$2:$S$501,$C$2:$C$501,C373,$H$2:$H$501,H373,$G$2:$G$501,G373,$A$2:$A$501,"&lt;"&amp;A373))</f>
        <v/>
      </c>
      <c r="U373" s="14">
        <f>IF(S373="","",T373+S373)</f>
        <v/>
      </c>
      <c r="V373" s="15">
        <f>IF(U373="","",VLOOKUP(U373,'税率及规则'!$A$2:$C$8,2,TRUE))</f>
        <v/>
      </c>
      <c r="W373" s="14">
        <f>IF(U373="","",VLOOKUP(U373,'税率及规则'!$A$2:$C$8,3,TRUE))</f>
        <v/>
      </c>
      <c r="X373" s="14">
        <f>IF(U373="","",MAX(0,U373*V373-W373))</f>
        <v/>
      </c>
      <c r="Y373" s="14">
        <f>IF(T373="","",MAX(0,T373*VLOOKUP(T373,'税率及规则'!$A$2:$C$8,2,TRUE)-VLOOKUP(T373,'税率及规则'!$A$2:$C$8,3,TRUE)))</f>
        <v/>
      </c>
      <c r="Z373" s="14">
        <f>IF(X373="","",MAX(0,X373-Y373))</f>
        <v/>
      </c>
      <c r="AA373" s="16">
        <f>IF(G373="","",G373)</f>
        <v/>
      </c>
      <c r="AB373" s="16">
        <f>IF(AA373="","",EDATE(AA373,36))</f>
        <v/>
      </c>
      <c r="AC373" s="6">
        <f>IF(A373="","",IF(COUNTIF($A$2:$A$501,A373)&gt;1,"异常：事件编号重复",IF(OR(C373="",D373="",E373="",F373="",G373="",I373="",J373=""),"异常：必填项缺失",IF(OR(I373&lt;=0,J373&lt;0),"异常：数量或价格无效",IF(AND(F373="限制性股票",OR(M373&lt;=0,N373&lt;0,I373&gt;M373)),"异常：个人获授或出资数据无效",IF(AND(F373="股票期权",K373&lt;&gt;IF(G373&lt;DATE(2025,1,10),14.56,IF(G373&lt;DATE(2025,4,29),14.32,IF(G373&lt;DATE(2025,9,26),14.18,14.04)))),"异常：行权价格区间不符",IF(Q373&lt;&gt;"已备案","提示：未确认备案","正常")))))))</f>
        <v/>
      </c>
      <c r="AD373" s="11" t="n"/>
    </row>
    <row r="374">
      <c r="A374" s="11" t="n"/>
      <c r="B374" s="6">
        <f>IF(A374="","",A374&amp;"-TAX")</f>
        <v/>
      </c>
      <c r="C374" s="11" t="n"/>
      <c r="D374" s="11" t="n"/>
      <c r="E374" s="11" t="n"/>
      <c r="F374" s="11" t="n"/>
      <c r="G374" s="12" t="n"/>
      <c r="H374" s="6">
        <f>IF(G374="","",YEAR(G374))</f>
        <v/>
      </c>
      <c r="I374" s="11" t="n"/>
      <c r="J374" s="13" t="n"/>
      <c r="K374" s="14">
        <f>IF(F374="股票期权",IF(G374="","",IF(G374&lt;DATE(2025,1,10),14.56,IF(G374&lt;DATE(2025,4,29),14.32,IF(G374&lt;DATE(2025,9,26),14.18,14.04)))),IF(F374="限制性股票",8.68,""))</f>
        <v/>
      </c>
      <c r="L374" s="14">
        <f>IF(F374="限制性股票",13.06,"")</f>
        <v/>
      </c>
      <c r="M374" s="11" t="n"/>
      <c r="N374" s="13" t="n"/>
      <c r="O374" s="13" t="n"/>
      <c r="P374" s="12" t="n"/>
      <c r="Q374" s="11" t="n"/>
      <c r="R374" s="12" t="n"/>
      <c r="S374" s="14">
        <f>IF(OR(A374="",C374="",F374="",G374="",I374="",J374=""),"",IF(F374="股票期权",MAX(0,(J374-K374)*I374),IF(F374="限制性股票",IF(OR(L374="",M374="",M374&lt;=0,N374=""),"",MAX(0,((L374+J374)/2)*I374-N374*I374/M374)),MAX(0,O374))))</f>
        <v/>
      </c>
      <c r="T374" s="14">
        <f>IF(S374="","",SUMIFS($S$2:$S$501,$C$2:$C$501,C374,$H$2:$H$501,H374,$G$2:$G$501,"&lt;"&amp;G374)+SUMIFS($S$2:$S$501,$C$2:$C$501,C374,$H$2:$H$501,H374,$G$2:$G$501,G374,$A$2:$A$501,"&lt;"&amp;A374))</f>
        <v/>
      </c>
      <c r="U374" s="14">
        <f>IF(S374="","",T374+S374)</f>
        <v/>
      </c>
      <c r="V374" s="15">
        <f>IF(U374="","",VLOOKUP(U374,'税率及规则'!$A$2:$C$8,2,TRUE))</f>
        <v/>
      </c>
      <c r="W374" s="14">
        <f>IF(U374="","",VLOOKUP(U374,'税率及规则'!$A$2:$C$8,3,TRUE))</f>
        <v/>
      </c>
      <c r="X374" s="14">
        <f>IF(U374="","",MAX(0,U374*V374-W374))</f>
        <v/>
      </c>
      <c r="Y374" s="14">
        <f>IF(T374="","",MAX(0,T374*VLOOKUP(T374,'税率及规则'!$A$2:$C$8,2,TRUE)-VLOOKUP(T374,'税率及规则'!$A$2:$C$8,3,TRUE)))</f>
        <v/>
      </c>
      <c r="Z374" s="14">
        <f>IF(X374="","",MAX(0,X374-Y374))</f>
        <v/>
      </c>
      <c r="AA374" s="16">
        <f>IF(G374="","",G374)</f>
        <v/>
      </c>
      <c r="AB374" s="16">
        <f>IF(AA374="","",EDATE(AA374,36))</f>
        <v/>
      </c>
      <c r="AC374" s="6">
        <f>IF(A374="","",IF(COUNTIF($A$2:$A$501,A374)&gt;1,"异常：事件编号重复",IF(OR(C374="",D374="",E374="",F374="",G374="",I374="",J374=""),"异常：必填项缺失",IF(OR(I374&lt;=0,J374&lt;0),"异常：数量或价格无效",IF(AND(F374="限制性股票",OR(M374&lt;=0,N374&lt;0,I374&gt;M374)),"异常：个人获授或出资数据无效",IF(AND(F374="股票期权",K374&lt;&gt;IF(G374&lt;DATE(2025,1,10),14.56,IF(G374&lt;DATE(2025,4,29),14.32,IF(G374&lt;DATE(2025,9,26),14.18,14.04)))),"异常：行权价格区间不符",IF(Q374&lt;&gt;"已备案","提示：未确认备案","正常")))))))</f>
        <v/>
      </c>
      <c r="AD374" s="11" t="n"/>
    </row>
    <row r="375">
      <c r="A375" s="11" t="n"/>
      <c r="B375" s="6">
        <f>IF(A375="","",A375&amp;"-TAX")</f>
        <v/>
      </c>
      <c r="C375" s="11" t="n"/>
      <c r="D375" s="11" t="n"/>
      <c r="E375" s="11" t="n"/>
      <c r="F375" s="11" t="n"/>
      <c r="G375" s="12" t="n"/>
      <c r="H375" s="6">
        <f>IF(G375="","",YEAR(G375))</f>
        <v/>
      </c>
      <c r="I375" s="11" t="n"/>
      <c r="J375" s="13" t="n"/>
      <c r="K375" s="14">
        <f>IF(F375="股票期权",IF(G375="","",IF(G375&lt;DATE(2025,1,10),14.56,IF(G375&lt;DATE(2025,4,29),14.32,IF(G375&lt;DATE(2025,9,26),14.18,14.04)))),IF(F375="限制性股票",8.68,""))</f>
        <v/>
      </c>
      <c r="L375" s="14">
        <f>IF(F375="限制性股票",13.06,"")</f>
        <v/>
      </c>
      <c r="M375" s="11" t="n"/>
      <c r="N375" s="13" t="n"/>
      <c r="O375" s="13" t="n"/>
      <c r="P375" s="12" t="n"/>
      <c r="Q375" s="11" t="n"/>
      <c r="R375" s="12" t="n"/>
      <c r="S375" s="14">
        <f>IF(OR(A375="",C375="",F375="",G375="",I375="",J375=""),"",IF(F375="股票期权",MAX(0,(J375-K375)*I375),IF(F375="限制性股票",IF(OR(L375="",M375="",M375&lt;=0,N375=""),"",MAX(0,((L375+J375)/2)*I375-N375*I375/M375)),MAX(0,O375))))</f>
        <v/>
      </c>
      <c r="T375" s="14">
        <f>IF(S375="","",SUMIFS($S$2:$S$501,$C$2:$C$501,C375,$H$2:$H$501,H375,$G$2:$G$501,"&lt;"&amp;G375)+SUMIFS($S$2:$S$501,$C$2:$C$501,C375,$H$2:$H$501,H375,$G$2:$G$501,G375,$A$2:$A$501,"&lt;"&amp;A375))</f>
        <v/>
      </c>
      <c r="U375" s="14">
        <f>IF(S375="","",T375+S375)</f>
        <v/>
      </c>
      <c r="V375" s="15">
        <f>IF(U375="","",VLOOKUP(U375,'税率及规则'!$A$2:$C$8,2,TRUE))</f>
        <v/>
      </c>
      <c r="W375" s="14">
        <f>IF(U375="","",VLOOKUP(U375,'税率及规则'!$A$2:$C$8,3,TRUE))</f>
        <v/>
      </c>
      <c r="X375" s="14">
        <f>IF(U375="","",MAX(0,U375*V375-W375))</f>
        <v/>
      </c>
      <c r="Y375" s="14">
        <f>IF(T375="","",MAX(0,T375*VLOOKUP(T375,'税率及规则'!$A$2:$C$8,2,TRUE)-VLOOKUP(T375,'税率及规则'!$A$2:$C$8,3,TRUE)))</f>
        <v/>
      </c>
      <c r="Z375" s="14">
        <f>IF(X375="","",MAX(0,X375-Y375))</f>
        <v/>
      </c>
      <c r="AA375" s="16">
        <f>IF(G375="","",G375)</f>
        <v/>
      </c>
      <c r="AB375" s="16">
        <f>IF(AA375="","",EDATE(AA375,36))</f>
        <v/>
      </c>
      <c r="AC375" s="6">
        <f>IF(A375="","",IF(COUNTIF($A$2:$A$501,A375)&gt;1,"异常：事件编号重复",IF(OR(C375="",D375="",E375="",F375="",G375="",I375="",J375=""),"异常：必填项缺失",IF(OR(I375&lt;=0,J375&lt;0),"异常：数量或价格无效",IF(AND(F375="限制性股票",OR(M375&lt;=0,N375&lt;0,I375&gt;M375)),"异常：个人获授或出资数据无效",IF(AND(F375="股票期权",K375&lt;&gt;IF(G375&lt;DATE(2025,1,10),14.56,IF(G375&lt;DATE(2025,4,29),14.32,IF(G375&lt;DATE(2025,9,26),14.18,14.04)))),"异常：行权价格区间不符",IF(Q375&lt;&gt;"已备案","提示：未确认备案","正常")))))))</f>
        <v/>
      </c>
      <c r="AD375" s="11" t="n"/>
    </row>
    <row r="376">
      <c r="A376" s="11" t="n"/>
      <c r="B376" s="6">
        <f>IF(A376="","",A376&amp;"-TAX")</f>
        <v/>
      </c>
      <c r="C376" s="11" t="n"/>
      <c r="D376" s="11" t="n"/>
      <c r="E376" s="11" t="n"/>
      <c r="F376" s="11" t="n"/>
      <c r="G376" s="12" t="n"/>
      <c r="H376" s="6">
        <f>IF(G376="","",YEAR(G376))</f>
        <v/>
      </c>
      <c r="I376" s="11" t="n"/>
      <c r="J376" s="13" t="n"/>
      <c r="K376" s="14">
        <f>IF(F376="股票期权",IF(G376="","",IF(G376&lt;DATE(2025,1,10),14.56,IF(G376&lt;DATE(2025,4,29),14.32,IF(G376&lt;DATE(2025,9,26),14.18,14.04)))),IF(F376="限制性股票",8.68,""))</f>
        <v/>
      </c>
      <c r="L376" s="14">
        <f>IF(F376="限制性股票",13.06,"")</f>
        <v/>
      </c>
      <c r="M376" s="11" t="n"/>
      <c r="N376" s="13" t="n"/>
      <c r="O376" s="13" t="n"/>
      <c r="P376" s="12" t="n"/>
      <c r="Q376" s="11" t="n"/>
      <c r="R376" s="12" t="n"/>
      <c r="S376" s="14">
        <f>IF(OR(A376="",C376="",F376="",G376="",I376="",J376=""),"",IF(F376="股票期权",MAX(0,(J376-K376)*I376),IF(F376="限制性股票",IF(OR(L376="",M376="",M376&lt;=0,N376=""),"",MAX(0,((L376+J376)/2)*I376-N376*I376/M376)),MAX(0,O376))))</f>
        <v/>
      </c>
      <c r="T376" s="14">
        <f>IF(S376="","",SUMIFS($S$2:$S$501,$C$2:$C$501,C376,$H$2:$H$501,H376,$G$2:$G$501,"&lt;"&amp;G376)+SUMIFS($S$2:$S$501,$C$2:$C$501,C376,$H$2:$H$501,H376,$G$2:$G$501,G376,$A$2:$A$501,"&lt;"&amp;A376))</f>
        <v/>
      </c>
      <c r="U376" s="14">
        <f>IF(S376="","",T376+S376)</f>
        <v/>
      </c>
      <c r="V376" s="15">
        <f>IF(U376="","",VLOOKUP(U376,'税率及规则'!$A$2:$C$8,2,TRUE))</f>
        <v/>
      </c>
      <c r="W376" s="14">
        <f>IF(U376="","",VLOOKUP(U376,'税率及规则'!$A$2:$C$8,3,TRUE))</f>
        <v/>
      </c>
      <c r="X376" s="14">
        <f>IF(U376="","",MAX(0,U376*V376-W376))</f>
        <v/>
      </c>
      <c r="Y376" s="14">
        <f>IF(T376="","",MAX(0,T376*VLOOKUP(T376,'税率及规则'!$A$2:$C$8,2,TRUE)-VLOOKUP(T376,'税率及规则'!$A$2:$C$8,3,TRUE)))</f>
        <v/>
      </c>
      <c r="Z376" s="14">
        <f>IF(X376="","",MAX(0,X376-Y376))</f>
        <v/>
      </c>
      <c r="AA376" s="16">
        <f>IF(G376="","",G376)</f>
        <v/>
      </c>
      <c r="AB376" s="16">
        <f>IF(AA376="","",EDATE(AA376,36))</f>
        <v/>
      </c>
      <c r="AC376" s="6">
        <f>IF(A376="","",IF(COUNTIF($A$2:$A$501,A376)&gt;1,"异常：事件编号重复",IF(OR(C376="",D376="",E376="",F376="",G376="",I376="",J376=""),"异常：必填项缺失",IF(OR(I376&lt;=0,J376&lt;0),"异常：数量或价格无效",IF(AND(F376="限制性股票",OR(M376&lt;=0,N376&lt;0,I376&gt;M376)),"异常：个人获授或出资数据无效",IF(AND(F376="股票期权",K376&lt;&gt;IF(G376&lt;DATE(2025,1,10),14.56,IF(G376&lt;DATE(2025,4,29),14.32,IF(G376&lt;DATE(2025,9,26),14.18,14.04)))),"异常：行权价格区间不符",IF(Q376&lt;&gt;"已备案","提示：未确认备案","正常")))))))</f>
        <v/>
      </c>
      <c r="AD376" s="11" t="n"/>
    </row>
    <row r="377">
      <c r="A377" s="11" t="n"/>
      <c r="B377" s="6">
        <f>IF(A377="","",A377&amp;"-TAX")</f>
        <v/>
      </c>
      <c r="C377" s="11" t="n"/>
      <c r="D377" s="11" t="n"/>
      <c r="E377" s="11" t="n"/>
      <c r="F377" s="11" t="n"/>
      <c r="G377" s="12" t="n"/>
      <c r="H377" s="6">
        <f>IF(G377="","",YEAR(G377))</f>
        <v/>
      </c>
      <c r="I377" s="11" t="n"/>
      <c r="J377" s="13" t="n"/>
      <c r="K377" s="14">
        <f>IF(F377="股票期权",IF(G377="","",IF(G377&lt;DATE(2025,1,10),14.56,IF(G377&lt;DATE(2025,4,29),14.32,IF(G377&lt;DATE(2025,9,26),14.18,14.04)))),IF(F377="限制性股票",8.68,""))</f>
        <v/>
      </c>
      <c r="L377" s="14">
        <f>IF(F377="限制性股票",13.06,"")</f>
        <v/>
      </c>
      <c r="M377" s="11" t="n"/>
      <c r="N377" s="13" t="n"/>
      <c r="O377" s="13" t="n"/>
      <c r="P377" s="12" t="n"/>
      <c r="Q377" s="11" t="n"/>
      <c r="R377" s="12" t="n"/>
      <c r="S377" s="14">
        <f>IF(OR(A377="",C377="",F377="",G377="",I377="",J377=""),"",IF(F377="股票期权",MAX(0,(J377-K377)*I377),IF(F377="限制性股票",IF(OR(L377="",M377="",M377&lt;=0,N377=""),"",MAX(0,((L377+J377)/2)*I377-N377*I377/M377)),MAX(0,O377))))</f>
        <v/>
      </c>
      <c r="T377" s="14">
        <f>IF(S377="","",SUMIFS($S$2:$S$501,$C$2:$C$501,C377,$H$2:$H$501,H377,$G$2:$G$501,"&lt;"&amp;G377)+SUMIFS($S$2:$S$501,$C$2:$C$501,C377,$H$2:$H$501,H377,$G$2:$G$501,G377,$A$2:$A$501,"&lt;"&amp;A377))</f>
        <v/>
      </c>
      <c r="U377" s="14">
        <f>IF(S377="","",T377+S377)</f>
        <v/>
      </c>
      <c r="V377" s="15">
        <f>IF(U377="","",VLOOKUP(U377,'税率及规则'!$A$2:$C$8,2,TRUE))</f>
        <v/>
      </c>
      <c r="W377" s="14">
        <f>IF(U377="","",VLOOKUP(U377,'税率及规则'!$A$2:$C$8,3,TRUE))</f>
        <v/>
      </c>
      <c r="X377" s="14">
        <f>IF(U377="","",MAX(0,U377*V377-W377))</f>
        <v/>
      </c>
      <c r="Y377" s="14">
        <f>IF(T377="","",MAX(0,T377*VLOOKUP(T377,'税率及规则'!$A$2:$C$8,2,TRUE)-VLOOKUP(T377,'税率及规则'!$A$2:$C$8,3,TRUE)))</f>
        <v/>
      </c>
      <c r="Z377" s="14">
        <f>IF(X377="","",MAX(0,X377-Y377))</f>
        <v/>
      </c>
      <c r="AA377" s="16">
        <f>IF(G377="","",G377)</f>
        <v/>
      </c>
      <c r="AB377" s="16">
        <f>IF(AA377="","",EDATE(AA377,36))</f>
        <v/>
      </c>
      <c r="AC377" s="6">
        <f>IF(A377="","",IF(COUNTIF($A$2:$A$501,A377)&gt;1,"异常：事件编号重复",IF(OR(C377="",D377="",E377="",F377="",G377="",I377="",J377=""),"异常：必填项缺失",IF(OR(I377&lt;=0,J377&lt;0),"异常：数量或价格无效",IF(AND(F377="限制性股票",OR(M377&lt;=0,N377&lt;0,I377&gt;M377)),"异常：个人获授或出资数据无效",IF(AND(F377="股票期权",K377&lt;&gt;IF(G377&lt;DATE(2025,1,10),14.56,IF(G377&lt;DATE(2025,4,29),14.32,IF(G377&lt;DATE(2025,9,26),14.18,14.04)))),"异常：行权价格区间不符",IF(Q377&lt;&gt;"已备案","提示：未确认备案","正常")))))))</f>
        <v/>
      </c>
      <c r="AD377" s="11" t="n"/>
    </row>
    <row r="378">
      <c r="A378" s="11" t="n"/>
      <c r="B378" s="6">
        <f>IF(A378="","",A378&amp;"-TAX")</f>
        <v/>
      </c>
      <c r="C378" s="11" t="n"/>
      <c r="D378" s="11" t="n"/>
      <c r="E378" s="11" t="n"/>
      <c r="F378" s="11" t="n"/>
      <c r="G378" s="12" t="n"/>
      <c r="H378" s="6">
        <f>IF(G378="","",YEAR(G378))</f>
        <v/>
      </c>
      <c r="I378" s="11" t="n"/>
      <c r="J378" s="13" t="n"/>
      <c r="K378" s="14">
        <f>IF(F378="股票期权",IF(G378="","",IF(G378&lt;DATE(2025,1,10),14.56,IF(G378&lt;DATE(2025,4,29),14.32,IF(G378&lt;DATE(2025,9,26),14.18,14.04)))),IF(F378="限制性股票",8.68,""))</f>
        <v/>
      </c>
      <c r="L378" s="14">
        <f>IF(F378="限制性股票",13.06,"")</f>
        <v/>
      </c>
      <c r="M378" s="11" t="n"/>
      <c r="N378" s="13" t="n"/>
      <c r="O378" s="13" t="n"/>
      <c r="P378" s="12" t="n"/>
      <c r="Q378" s="11" t="n"/>
      <c r="R378" s="12" t="n"/>
      <c r="S378" s="14">
        <f>IF(OR(A378="",C378="",F378="",G378="",I378="",J378=""),"",IF(F378="股票期权",MAX(0,(J378-K378)*I378),IF(F378="限制性股票",IF(OR(L378="",M378="",M378&lt;=0,N378=""),"",MAX(0,((L378+J378)/2)*I378-N378*I378/M378)),MAX(0,O378))))</f>
        <v/>
      </c>
      <c r="T378" s="14">
        <f>IF(S378="","",SUMIFS($S$2:$S$501,$C$2:$C$501,C378,$H$2:$H$501,H378,$G$2:$G$501,"&lt;"&amp;G378)+SUMIFS($S$2:$S$501,$C$2:$C$501,C378,$H$2:$H$501,H378,$G$2:$G$501,G378,$A$2:$A$501,"&lt;"&amp;A378))</f>
        <v/>
      </c>
      <c r="U378" s="14">
        <f>IF(S378="","",T378+S378)</f>
        <v/>
      </c>
      <c r="V378" s="15">
        <f>IF(U378="","",VLOOKUP(U378,'税率及规则'!$A$2:$C$8,2,TRUE))</f>
        <v/>
      </c>
      <c r="W378" s="14">
        <f>IF(U378="","",VLOOKUP(U378,'税率及规则'!$A$2:$C$8,3,TRUE))</f>
        <v/>
      </c>
      <c r="X378" s="14">
        <f>IF(U378="","",MAX(0,U378*V378-W378))</f>
        <v/>
      </c>
      <c r="Y378" s="14">
        <f>IF(T378="","",MAX(0,T378*VLOOKUP(T378,'税率及规则'!$A$2:$C$8,2,TRUE)-VLOOKUP(T378,'税率及规则'!$A$2:$C$8,3,TRUE)))</f>
        <v/>
      </c>
      <c r="Z378" s="14">
        <f>IF(X378="","",MAX(0,X378-Y378))</f>
        <v/>
      </c>
      <c r="AA378" s="16">
        <f>IF(G378="","",G378)</f>
        <v/>
      </c>
      <c r="AB378" s="16">
        <f>IF(AA378="","",EDATE(AA378,36))</f>
        <v/>
      </c>
      <c r="AC378" s="6">
        <f>IF(A378="","",IF(COUNTIF($A$2:$A$501,A378)&gt;1,"异常：事件编号重复",IF(OR(C378="",D378="",E378="",F378="",G378="",I378="",J378=""),"异常：必填项缺失",IF(OR(I378&lt;=0,J378&lt;0),"异常：数量或价格无效",IF(AND(F378="限制性股票",OR(M378&lt;=0,N378&lt;0,I378&gt;M378)),"异常：个人获授或出资数据无效",IF(AND(F378="股票期权",K378&lt;&gt;IF(G378&lt;DATE(2025,1,10),14.56,IF(G378&lt;DATE(2025,4,29),14.32,IF(G378&lt;DATE(2025,9,26),14.18,14.04)))),"异常：行权价格区间不符",IF(Q378&lt;&gt;"已备案","提示：未确认备案","正常")))))))</f>
        <v/>
      </c>
      <c r="AD378" s="11" t="n"/>
    </row>
    <row r="379">
      <c r="A379" s="11" t="n"/>
      <c r="B379" s="6">
        <f>IF(A379="","",A379&amp;"-TAX")</f>
        <v/>
      </c>
      <c r="C379" s="11" t="n"/>
      <c r="D379" s="11" t="n"/>
      <c r="E379" s="11" t="n"/>
      <c r="F379" s="11" t="n"/>
      <c r="G379" s="12" t="n"/>
      <c r="H379" s="6">
        <f>IF(G379="","",YEAR(G379))</f>
        <v/>
      </c>
      <c r="I379" s="11" t="n"/>
      <c r="J379" s="13" t="n"/>
      <c r="K379" s="14">
        <f>IF(F379="股票期权",IF(G379="","",IF(G379&lt;DATE(2025,1,10),14.56,IF(G379&lt;DATE(2025,4,29),14.32,IF(G379&lt;DATE(2025,9,26),14.18,14.04)))),IF(F379="限制性股票",8.68,""))</f>
        <v/>
      </c>
      <c r="L379" s="14">
        <f>IF(F379="限制性股票",13.06,"")</f>
        <v/>
      </c>
      <c r="M379" s="11" t="n"/>
      <c r="N379" s="13" t="n"/>
      <c r="O379" s="13" t="n"/>
      <c r="P379" s="12" t="n"/>
      <c r="Q379" s="11" t="n"/>
      <c r="R379" s="12" t="n"/>
      <c r="S379" s="14">
        <f>IF(OR(A379="",C379="",F379="",G379="",I379="",J379=""),"",IF(F379="股票期权",MAX(0,(J379-K379)*I379),IF(F379="限制性股票",IF(OR(L379="",M379="",M379&lt;=0,N379=""),"",MAX(0,((L379+J379)/2)*I379-N379*I379/M379)),MAX(0,O379))))</f>
        <v/>
      </c>
      <c r="T379" s="14">
        <f>IF(S379="","",SUMIFS($S$2:$S$501,$C$2:$C$501,C379,$H$2:$H$501,H379,$G$2:$G$501,"&lt;"&amp;G379)+SUMIFS($S$2:$S$501,$C$2:$C$501,C379,$H$2:$H$501,H379,$G$2:$G$501,G379,$A$2:$A$501,"&lt;"&amp;A379))</f>
        <v/>
      </c>
      <c r="U379" s="14">
        <f>IF(S379="","",T379+S379)</f>
        <v/>
      </c>
      <c r="V379" s="15">
        <f>IF(U379="","",VLOOKUP(U379,'税率及规则'!$A$2:$C$8,2,TRUE))</f>
        <v/>
      </c>
      <c r="W379" s="14">
        <f>IF(U379="","",VLOOKUP(U379,'税率及规则'!$A$2:$C$8,3,TRUE))</f>
        <v/>
      </c>
      <c r="X379" s="14">
        <f>IF(U379="","",MAX(0,U379*V379-W379))</f>
        <v/>
      </c>
      <c r="Y379" s="14">
        <f>IF(T379="","",MAX(0,T379*VLOOKUP(T379,'税率及规则'!$A$2:$C$8,2,TRUE)-VLOOKUP(T379,'税率及规则'!$A$2:$C$8,3,TRUE)))</f>
        <v/>
      </c>
      <c r="Z379" s="14">
        <f>IF(X379="","",MAX(0,X379-Y379))</f>
        <v/>
      </c>
      <c r="AA379" s="16">
        <f>IF(G379="","",G379)</f>
        <v/>
      </c>
      <c r="AB379" s="16">
        <f>IF(AA379="","",EDATE(AA379,36))</f>
        <v/>
      </c>
      <c r="AC379" s="6">
        <f>IF(A379="","",IF(COUNTIF($A$2:$A$501,A379)&gt;1,"异常：事件编号重复",IF(OR(C379="",D379="",E379="",F379="",G379="",I379="",J379=""),"异常：必填项缺失",IF(OR(I379&lt;=0,J379&lt;0),"异常：数量或价格无效",IF(AND(F379="限制性股票",OR(M379&lt;=0,N379&lt;0,I379&gt;M379)),"异常：个人获授或出资数据无效",IF(AND(F379="股票期权",K379&lt;&gt;IF(G379&lt;DATE(2025,1,10),14.56,IF(G379&lt;DATE(2025,4,29),14.32,IF(G379&lt;DATE(2025,9,26),14.18,14.04)))),"异常：行权价格区间不符",IF(Q379&lt;&gt;"已备案","提示：未确认备案","正常")))))))</f>
        <v/>
      </c>
      <c r="AD379" s="11" t="n"/>
    </row>
    <row r="380">
      <c r="A380" s="11" t="n"/>
      <c r="B380" s="6">
        <f>IF(A380="","",A380&amp;"-TAX")</f>
        <v/>
      </c>
      <c r="C380" s="11" t="n"/>
      <c r="D380" s="11" t="n"/>
      <c r="E380" s="11" t="n"/>
      <c r="F380" s="11" t="n"/>
      <c r="G380" s="12" t="n"/>
      <c r="H380" s="6">
        <f>IF(G380="","",YEAR(G380))</f>
        <v/>
      </c>
      <c r="I380" s="11" t="n"/>
      <c r="J380" s="13" t="n"/>
      <c r="K380" s="14">
        <f>IF(F380="股票期权",IF(G380="","",IF(G380&lt;DATE(2025,1,10),14.56,IF(G380&lt;DATE(2025,4,29),14.32,IF(G380&lt;DATE(2025,9,26),14.18,14.04)))),IF(F380="限制性股票",8.68,""))</f>
        <v/>
      </c>
      <c r="L380" s="14">
        <f>IF(F380="限制性股票",13.06,"")</f>
        <v/>
      </c>
      <c r="M380" s="11" t="n"/>
      <c r="N380" s="13" t="n"/>
      <c r="O380" s="13" t="n"/>
      <c r="P380" s="12" t="n"/>
      <c r="Q380" s="11" t="n"/>
      <c r="R380" s="12" t="n"/>
      <c r="S380" s="14">
        <f>IF(OR(A380="",C380="",F380="",G380="",I380="",J380=""),"",IF(F380="股票期权",MAX(0,(J380-K380)*I380),IF(F380="限制性股票",IF(OR(L380="",M380="",M380&lt;=0,N380=""),"",MAX(0,((L380+J380)/2)*I380-N380*I380/M380)),MAX(0,O380))))</f>
        <v/>
      </c>
      <c r="T380" s="14">
        <f>IF(S380="","",SUMIFS($S$2:$S$501,$C$2:$C$501,C380,$H$2:$H$501,H380,$G$2:$G$501,"&lt;"&amp;G380)+SUMIFS($S$2:$S$501,$C$2:$C$501,C380,$H$2:$H$501,H380,$G$2:$G$501,G380,$A$2:$A$501,"&lt;"&amp;A380))</f>
        <v/>
      </c>
      <c r="U380" s="14">
        <f>IF(S380="","",T380+S380)</f>
        <v/>
      </c>
      <c r="V380" s="15">
        <f>IF(U380="","",VLOOKUP(U380,'税率及规则'!$A$2:$C$8,2,TRUE))</f>
        <v/>
      </c>
      <c r="W380" s="14">
        <f>IF(U380="","",VLOOKUP(U380,'税率及规则'!$A$2:$C$8,3,TRUE))</f>
        <v/>
      </c>
      <c r="X380" s="14">
        <f>IF(U380="","",MAX(0,U380*V380-W380))</f>
        <v/>
      </c>
      <c r="Y380" s="14">
        <f>IF(T380="","",MAX(0,T380*VLOOKUP(T380,'税率及规则'!$A$2:$C$8,2,TRUE)-VLOOKUP(T380,'税率及规则'!$A$2:$C$8,3,TRUE)))</f>
        <v/>
      </c>
      <c r="Z380" s="14">
        <f>IF(X380="","",MAX(0,X380-Y380))</f>
        <v/>
      </c>
      <c r="AA380" s="16">
        <f>IF(G380="","",G380)</f>
        <v/>
      </c>
      <c r="AB380" s="16">
        <f>IF(AA380="","",EDATE(AA380,36))</f>
        <v/>
      </c>
      <c r="AC380" s="6">
        <f>IF(A380="","",IF(COUNTIF($A$2:$A$501,A380)&gt;1,"异常：事件编号重复",IF(OR(C380="",D380="",E380="",F380="",G380="",I380="",J380=""),"异常：必填项缺失",IF(OR(I380&lt;=0,J380&lt;0),"异常：数量或价格无效",IF(AND(F380="限制性股票",OR(M380&lt;=0,N380&lt;0,I380&gt;M380)),"异常：个人获授或出资数据无效",IF(AND(F380="股票期权",K380&lt;&gt;IF(G380&lt;DATE(2025,1,10),14.56,IF(G380&lt;DATE(2025,4,29),14.32,IF(G380&lt;DATE(2025,9,26),14.18,14.04)))),"异常：行权价格区间不符",IF(Q380&lt;&gt;"已备案","提示：未确认备案","正常")))))))</f>
        <v/>
      </c>
      <c r="AD380" s="11" t="n"/>
    </row>
    <row r="381">
      <c r="A381" s="11" t="n"/>
      <c r="B381" s="6">
        <f>IF(A381="","",A381&amp;"-TAX")</f>
        <v/>
      </c>
      <c r="C381" s="11" t="n"/>
      <c r="D381" s="11" t="n"/>
      <c r="E381" s="11" t="n"/>
      <c r="F381" s="11" t="n"/>
      <c r="G381" s="12" t="n"/>
      <c r="H381" s="6">
        <f>IF(G381="","",YEAR(G381))</f>
        <v/>
      </c>
      <c r="I381" s="11" t="n"/>
      <c r="J381" s="13" t="n"/>
      <c r="K381" s="14">
        <f>IF(F381="股票期权",IF(G381="","",IF(G381&lt;DATE(2025,1,10),14.56,IF(G381&lt;DATE(2025,4,29),14.32,IF(G381&lt;DATE(2025,9,26),14.18,14.04)))),IF(F381="限制性股票",8.68,""))</f>
        <v/>
      </c>
      <c r="L381" s="14">
        <f>IF(F381="限制性股票",13.06,"")</f>
        <v/>
      </c>
      <c r="M381" s="11" t="n"/>
      <c r="N381" s="13" t="n"/>
      <c r="O381" s="13" t="n"/>
      <c r="P381" s="12" t="n"/>
      <c r="Q381" s="11" t="n"/>
      <c r="R381" s="12" t="n"/>
      <c r="S381" s="14">
        <f>IF(OR(A381="",C381="",F381="",G381="",I381="",J381=""),"",IF(F381="股票期权",MAX(0,(J381-K381)*I381),IF(F381="限制性股票",IF(OR(L381="",M381="",M381&lt;=0,N381=""),"",MAX(0,((L381+J381)/2)*I381-N381*I381/M381)),MAX(0,O381))))</f>
        <v/>
      </c>
      <c r="T381" s="14">
        <f>IF(S381="","",SUMIFS($S$2:$S$501,$C$2:$C$501,C381,$H$2:$H$501,H381,$G$2:$G$501,"&lt;"&amp;G381)+SUMIFS($S$2:$S$501,$C$2:$C$501,C381,$H$2:$H$501,H381,$G$2:$G$501,G381,$A$2:$A$501,"&lt;"&amp;A381))</f>
        <v/>
      </c>
      <c r="U381" s="14">
        <f>IF(S381="","",T381+S381)</f>
        <v/>
      </c>
      <c r="V381" s="15">
        <f>IF(U381="","",VLOOKUP(U381,'税率及规则'!$A$2:$C$8,2,TRUE))</f>
        <v/>
      </c>
      <c r="W381" s="14">
        <f>IF(U381="","",VLOOKUP(U381,'税率及规则'!$A$2:$C$8,3,TRUE))</f>
        <v/>
      </c>
      <c r="X381" s="14">
        <f>IF(U381="","",MAX(0,U381*V381-W381))</f>
        <v/>
      </c>
      <c r="Y381" s="14">
        <f>IF(T381="","",MAX(0,T381*VLOOKUP(T381,'税率及规则'!$A$2:$C$8,2,TRUE)-VLOOKUP(T381,'税率及规则'!$A$2:$C$8,3,TRUE)))</f>
        <v/>
      </c>
      <c r="Z381" s="14">
        <f>IF(X381="","",MAX(0,X381-Y381))</f>
        <v/>
      </c>
      <c r="AA381" s="16">
        <f>IF(G381="","",G381)</f>
        <v/>
      </c>
      <c r="AB381" s="16">
        <f>IF(AA381="","",EDATE(AA381,36))</f>
        <v/>
      </c>
      <c r="AC381" s="6">
        <f>IF(A381="","",IF(COUNTIF($A$2:$A$501,A381)&gt;1,"异常：事件编号重复",IF(OR(C381="",D381="",E381="",F381="",G381="",I381="",J381=""),"异常：必填项缺失",IF(OR(I381&lt;=0,J381&lt;0),"异常：数量或价格无效",IF(AND(F381="限制性股票",OR(M381&lt;=0,N381&lt;0,I381&gt;M381)),"异常：个人获授或出资数据无效",IF(AND(F381="股票期权",K381&lt;&gt;IF(G381&lt;DATE(2025,1,10),14.56,IF(G381&lt;DATE(2025,4,29),14.32,IF(G381&lt;DATE(2025,9,26),14.18,14.04)))),"异常：行权价格区间不符",IF(Q381&lt;&gt;"已备案","提示：未确认备案","正常")))))))</f>
        <v/>
      </c>
      <c r="AD381" s="11" t="n"/>
    </row>
    <row r="382">
      <c r="A382" s="11" t="n"/>
      <c r="B382" s="6">
        <f>IF(A382="","",A382&amp;"-TAX")</f>
        <v/>
      </c>
      <c r="C382" s="11" t="n"/>
      <c r="D382" s="11" t="n"/>
      <c r="E382" s="11" t="n"/>
      <c r="F382" s="11" t="n"/>
      <c r="G382" s="12" t="n"/>
      <c r="H382" s="6">
        <f>IF(G382="","",YEAR(G382))</f>
        <v/>
      </c>
      <c r="I382" s="11" t="n"/>
      <c r="J382" s="13" t="n"/>
      <c r="K382" s="14">
        <f>IF(F382="股票期权",IF(G382="","",IF(G382&lt;DATE(2025,1,10),14.56,IF(G382&lt;DATE(2025,4,29),14.32,IF(G382&lt;DATE(2025,9,26),14.18,14.04)))),IF(F382="限制性股票",8.68,""))</f>
        <v/>
      </c>
      <c r="L382" s="14">
        <f>IF(F382="限制性股票",13.06,"")</f>
        <v/>
      </c>
      <c r="M382" s="11" t="n"/>
      <c r="N382" s="13" t="n"/>
      <c r="O382" s="13" t="n"/>
      <c r="P382" s="12" t="n"/>
      <c r="Q382" s="11" t="n"/>
      <c r="R382" s="12" t="n"/>
      <c r="S382" s="14">
        <f>IF(OR(A382="",C382="",F382="",G382="",I382="",J382=""),"",IF(F382="股票期权",MAX(0,(J382-K382)*I382),IF(F382="限制性股票",IF(OR(L382="",M382="",M382&lt;=0,N382=""),"",MAX(0,((L382+J382)/2)*I382-N382*I382/M382)),MAX(0,O382))))</f>
        <v/>
      </c>
      <c r="T382" s="14">
        <f>IF(S382="","",SUMIFS($S$2:$S$501,$C$2:$C$501,C382,$H$2:$H$501,H382,$G$2:$G$501,"&lt;"&amp;G382)+SUMIFS($S$2:$S$501,$C$2:$C$501,C382,$H$2:$H$501,H382,$G$2:$G$501,G382,$A$2:$A$501,"&lt;"&amp;A382))</f>
        <v/>
      </c>
      <c r="U382" s="14">
        <f>IF(S382="","",T382+S382)</f>
        <v/>
      </c>
      <c r="V382" s="15">
        <f>IF(U382="","",VLOOKUP(U382,'税率及规则'!$A$2:$C$8,2,TRUE))</f>
        <v/>
      </c>
      <c r="W382" s="14">
        <f>IF(U382="","",VLOOKUP(U382,'税率及规则'!$A$2:$C$8,3,TRUE))</f>
        <v/>
      </c>
      <c r="X382" s="14">
        <f>IF(U382="","",MAX(0,U382*V382-W382))</f>
        <v/>
      </c>
      <c r="Y382" s="14">
        <f>IF(T382="","",MAX(0,T382*VLOOKUP(T382,'税率及规则'!$A$2:$C$8,2,TRUE)-VLOOKUP(T382,'税率及规则'!$A$2:$C$8,3,TRUE)))</f>
        <v/>
      </c>
      <c r="Z382" s="14">
        <f>IF(X382="","",MAX(0,X382-Y382))</f>
        <v/>
      </c>
      <c r="AA382" s="16">
        <f>IF(G382="","",G382)</f>
        <v/>
      </c>
      <c r="AB382" s="16">
        <f>IF(AA382="","",EDATE(AA382,36))</f>
        <v/>
      </c>
      <c r="AC382" s="6">
        <f>IF(A382="","",IF(COUNTIF($A$2:$A$501,A382)&gt;1,"异常：事件编号重复",IF(OR(C382="",D382="",E382="",F382="",G382="",I382="",J382=""),"异常：必填项缺失",IF(OR(I382&lt;=0,J382&lt;0),"异常：数量或价格无效",IF(AND(F382="限制性股票",OR(M382&lt;=0,N382&lt;0,I382&gt;M382)),"异常：个人获授或出资数据无效",IF(AND(F382="股票期权",K382&lt;&gt;IF(G382&lt;DATE(2025,1,10),14.56,IF(G382&lt;DATE(2025,4,29),14.32,IF(G382&lt;DATE(2025,9,26),14.18,14.04)))),"异常：行权价格区间不符",IF(Q382&lt;&gt;"已备案","提示：未确认备案","正常")))))))</f>
        <v/>
      </c>
      <c r="AD382" s="11" t="n"/>
    </row>
    <row r="383">
      <c r="A383" s="11" t="n"/>
      <c r="B383" s="6">
        <f>IF(A383="","",A383&amp;"-TAX")</f>
        <v/>
      </c>
      <c r="C383" s="11" t="n"/>
      <c r="D383" s="11" t="n"/>
      <c r="E383" s="11" t="n"/>
      <c r="F383" s="11" t="n"/>
      <c r="G383" s="12" t="n"/>
      <c r="H383" s="6">
        <f>IF(G383="","",YEAR(G383))</f>
        <v/>
      </c>
      <c r="I383" s="11" t="n"/>
      <c r="J383" s="13" t="n"/>
      <c r="K383" s="14">
        <f>IF(F383="股票期权",IF(G383="","",IF(G383&lt;DATE(2025,1,10),14.56,IF(G383&lt;DATE(2025,4,29),14.32,IF(G383&lt;DATE(2025,9,26),14.18,14.04)))),IF(F383="限制性股票",8.68,""))</f>
        <v/>
      </c>
      <c r="L383" s="14">
        <f>IF(F383="限制性股票",13.06,"")</f>
        <v/>
      </c>
      <c r="M383" s="11" t="n"/>
      <c r="N383" s="13" t="n"/>
      <c r="O383" s="13" t="n"/>
      <c r="P383" s="12" t="n"/>
      <c r="Q383" s="11" t="n"/>
      <c r="R383" s="12" t="n"/>
      <c r="S383" s="14">
        <f>IF(OR(A383="",C383="",F383="",G383="",I383="",J383=""),"",IF(F383="股票期权",MAX(0,(J383-K383)*I383),IF(F383="限制性股票",IF(OR(L383="",M383="",M383&lt;=0,N383=""),"",MAX(0,((L383+J383)/2)*I383-N383*I383/M383)),MAX(0,O383))))</f>
        <v/>
      </c>
      <c r="T383" s="14">
        <f>IF(S383="","",SUMIFS($S$2:$S$501,$C$2:$C$501,C383,$H$2:$H$501,H383,$G$2:$G$501,"&lt;"&amp;G383)+SUMIFS($S$2:$S$501,$C$2:$C$501,C383,$H$2:$H$501,H383,$G$2:$G$501,G383,$A$2:$A$501,"&lt;"&amp;A383))</f>
        <v/>
      </c>
      <c r="U383" s="14">
        <f>IF(S383="","",T383+S383)</f>
        <v/>
      </c>
      <c r="V383" s="15">
        <f>IF(U383="","",VLOOKUP(U383,'税率及规则'!$A$2:$C$8,2,TRUE))</f>
        <v/>
      </c>
      <c r="W383" s="14">
        <f>IF(U383="","",VLOOKUP(U383,'税率及规则'!$A$2:$C$8,3,TRUE))</f>
        <v/>
      </c>
      <c r="X383" s="14">
        <f>IF(U383="","",MAX(0,U383*V383-W383))</f>
        <v/>
      </c>
      <c r="Y383" s="14">
        <f>IF(T383="","",MAX(0,T383*VLOOKUP(T383,'税率及规则'!$A$2:$C$8,2,TRUE)-VLOOKUP(T383,'税率及规则'!$A$2:$C$8,3,TRUE)))</f>
        <v/>
      </c>
      <c r="Z383" s="14">
        <f>IF(X383="","",MAX(0,X383-Y383))</f>
        <v/>
      </c>
      <c r="AA383" s="16">
        <f>IF(G383="","",G383)</f>
        <v/>
      </c>
      <c r="AB383" s="16">
        <f>IF(AA383="","",EDATE(AA383,36))</f>
        <v/>
      </c>
      <c r="AC383" s="6">
        <f>IF(A383="","",IF(COUNTIF($A$2:$A$501,A383)&gt;1,"异常：事件编号重复",IF(OR(C383="",D383="",E383="",F383="",G383="",I383="",J383=""),"异常：必填项缺失",IF(OR(I383&lt;=0,J383&lt;0),"异常：数量或价格无效",IF(AND(F383="限制性股票",OR(M383&lt;=0,N383&lt;0,I383&gt;M383)),"异常：个人获授或出资数据无效",IF(AND(F383="股票期权",K383&lt;&gt;IF(G383&lt;DATE(2025,1,10),14.56,IF(G383&lt;DATE(2025,4,29),14.32,IF(G383&lt;DATE(2025,9,26),14.18,14.04)))),"异常：行权价格区间不符",IF(Q383&lt;&gt;"已备案","提示：未确认备案","正常")))))))</f>
        <v/>
      </c>
      <c r="AD383" s="11" t="n"/>
    </row>
    <row r="384">
      <c r="A384" s="11" t="n"/>
      <c r="B384" s="6">
        <f>IF(A384="","",A384&amp;"-TAX")</f>
        <v/>
      </c>
      <c r="C384" s="11" t="n"/>
      <c r="D384" s="11" t="n"/>
      <c r="E384" s="11" t="n"/>
      <c r="F384" s="11" t="n"/>
      <c r="G384" s="12" t="n"/>
      <c r="H384" s="6">
        <f>IF(G384="","",YEAR(G384))</f>
        <v/>
      </c>
      <c r="I384" s="11" t="n"/>
      <c r="J384" s="13" t="n"/>
      <c r="K384" s="14">
        <f>IF(F384="股票期权",IF(G384="","",IF(G384&lt;DATE(2025,1,10),14.56,IF(G384&lt;DATE(2025,4,29),14.32,IF(G384&lt;DATE(2025,9,26),14.18,14.04)))),IF(F384="限制性股票",8.68,""))</f>
        <v/>
      </c>
      <c r="L384" s="14">
        <f>IF(F384="限制性股票",13.06,"")</f>
        <v/>
      </c>
      <c r="M384" s="11" t="n"/>
      <c r="N384" s="13" t="n"/>
      <c r="O384" s="13" t="n"/>
      <c r="P384" s="12" t="n"/>
      <c r="Q384" s="11" t="n"/>
      <c r="R384" s="12" t="n"/>
      <c r="S384" s="14">
        <f>IF(OR(A384="",C384="",F384="",G384="",I384="",J384=""),"",IF(F384="股票期权",MAX(0,(J384-K384)*I384),IF(F384="限制性股票",IF(OR(L384="",M384="",M384&lt;=0,N384=""),"",MAX(0,((L384+J384)/2)*I384-N384*I384/M384)),MAX(0,O384))))</f>
        <v/>
      </c>
      <c r="T384" s="14">
        <f>IF(S384="","",SUMIFS($S$2:$S$501,$C$2:$C$501,C384,$H$2:$H$501,H384,$G$2:$G$501,"&lt;"&amp;G384)+SUMIFS($S$2:$S$501,$C$2:$C$501,C384,$H$2:$H$501,H384,$G$2:$G$501,G384,$A$2:$A$501,"&lt;"&amp;A384))</f>
        <v/>
      </c>
      <c r="U384" s="14">
        <f>IF(S384="","",T384+S384)</f>
        <v/>
      </c>
      <c r="V384" s="15">
        <f>IF(U384="","",VLOOKUP(U384,'税率及规则'!$A$2:$C$8,2,TRUE))</f>
        <v/>
      </c>
      <c r="W384" s="14">
        <f>IF(U384="","",VLOOKUP(U384,'税率及规则'!$A$2:$C$8,3,TRUE))</f>
        <v/>
      </c>
      <c r="X384" s="14">
        <f>IF(U384="","",MAX(0,U384*V384-W384))</f>
        <v/>
      </c>
      <c r="Y384" s="14">
        <f>IF(T384="","",MAX(0,T384*VLOOKUP(T384,'税率及规则'!$A$2:$C$8,2,TRUE)-VLOOKUP(T384,'税率及规则'!$A$2:$C$8,3,TRUE)))</f>
        <v/>
      </c>
      <c r="Z384" s="14">
        <f>IF(X384="","",MAX(0,X384-Y384))</f>
        <v/>
      </c>
      <c r="AA384" s="16">
        <f>IF(G384="","",G384)</f>
        <v/>
      </c>
      <c r="AB384" s="16">
        <f>IF(AA384="","",EDATE(AA384,36))</f>
        <v/>
      </c>
      <c r="AC384" s="6">
        <f>IF(A384="","",IF(COUNTIF($A$2:$A$501,A384)&gt;1,"异常：事件编号重复",IF(OR(C384="",D384="",E384="",F384="",G384="",I384="",J384=""),"异常：必填项缺失",IF(OR(I384&lt;=0,J384&lt;0),"异常：数量或价格无效",IF(AND(F384="限制性股票",OR(M384&lt;=0,N384&lt;0,I384&gt;M384)),"异常：个人获授或出资数据无效",IF(AND(F384="股票期权",K384&lt;&gt;IF(G384&lt;DATE(2025,1,10),14.56,IF(G384&lt;DATE(2025,4,29),14.32,IF(G384&lt;DATE(2025,9,26),14.18,14.04)))),"异常：行权价格区间不符",IF(Q384&lt;&gt;"已备案","提示：未确认备案","正常")))))))</f>
        <v/>
      </c>
      <c r="AD384" s="11" t="n"/>
    </row>
    <row r="385">
      <c r="A385" s="11" t="n"/>
      <c r="B385" s="6">
        <f>IF(A385="","",A385&amp;"-TAX")</f>
        <v/>
      </c>
      <c r="C385" s="11" t="n"/>
      <c r="D385" s="11" t="n"/>
      <c r="E385" s="11" t="n"/>
      <c r="F385" s="11" t="n"/>
      <c r="G385" s="12" t="n"/>
      <c r="H385" s="6">
        <f>IF(G385="","",YEAR(G385))</f>
        <v/>
      </c>
      <c r="I385" s="11" t="n"/>
      <c r="J385" s="13" t="n"/>
      <c r="K385" s="14">
        <f>IF(F385="股票期权",IF(G385="","",IF(G385&lt;DATE(2025,1,10),14.56,IF(G385&lt;DATE(2025,4,29),14.32,IF(G385&lt;DATE(2025,9,26),14.18,14.04)))),IF(F385="限制性股票",8.68,""))</f>
        <v/>
      </c>
      <c r="L385" s="14">
        <f>IF(F385="限制性股票",13.06,"")</f>
        <v/>
      </c>
      <c r="M385" s="11" t="n"/>
      <c r="N385" s="13" t="n"/>
      <c r="O385" s="13" t="n"/>
      <c r="P385" s="12" t="n"/>
      <c r="Q385" s="11" t="n"/>
      <c r="R385" s="12" t="n"/>
      <c r="S385" s="14">
        <f>IF(OR(A385="",C385="",F385="",G385="",I385="",J385=""),"",IF(F385="股票期权",MAX(0,(J385-K385)*I385),IF(F385="限制性股票",IF(OR(L385="",M385="",M385&lt;=0,N385=""),"",MAX(0,((L385+J385)/2)*I385-N385*I385/M385)),MAX(0,O385))))</f>
        <v/>
      </c>
      <c r="T385" s="14">
        <f>IF(S385="","",SUMIFS($S$2:$S$501,$C$2:$C$501,C385,$H$2:$H$501,H385,$G$2:$G$501,"&lt;"&amp;G385)+SUMIFS($S$2:$S$501,$C$2:$C$501,C385,$H$2:$H$501,H385,$G$2:$G$501,G385,$A$2:$A$501,"&lt;"&amp;A385))</f>
        <v/>
      </c>
      <c r="U385" s="14">
        <f>IF(S385="","",T385+S385)</f>
        <v/>
      </c>
      <c r="V385" s="15">
        <f>IF(U385="","",VLOOKUP(U385,'税率及规则'!$A$2:$C$8,2,TRUE))</f>
        <v/>
      </c>
      <c r="W385" s="14">
        <f>IF(U385="","",VLOOKUP(U385,'税率及规则'!$A$2:$C$8,3,TRUE))</f>
        <v/>
      </c>
      <c r="X385" s="14">
        <f>IF(U385="","",MAX(0,U385*V385-W385))</f>
        <v/>
      </c>
      <c r="Y385" s="14">
        <f>IF(T385="","",MAX(0,T385*VLOOKUP(T385,'税率及规则'!$A$2:$C$8,2,TRUE)-VLOOKUP(T385,'税率及规则'!$A$2:$C$8,3,TRUE)))</f>
        <v/>
      </c>
      <c r="Z385" s="14">
        <f>IF(X385="","",MAX(0,X385-Y385))</f>
        <v/>
      </c>
      <c r="AA385" s="16">
        <f>IF(G385="","",G385)</f>
        <v/>
      </c>
      <c r="AB385" s="16">
        <f>IF(AA385="","",EDATE(AA385,36))</f>
        <v/>
      </c>
      <c r="AC385" s="6">
        <f>IF(A385="","",IF(COUNTIF($A$2:$A$501,A385)&gt;1,"异常：事件编号重复",IF(OR(C385="",D385="",E385="",F385="",G385="",I385="",J385=""),"异常：必填项缺失",IF(OR(I385&lt;=0,J385&lt;0),"异常：数量或价格无效",IF(AND(F385="限制性股票",OR(M385&lt;=0,N385&lt;0,I385&gt;M385)),"异常：个人获授或出资数据无效",IF(AND(F385="股票期权",K385&lt;&gt;IF(G385&lt;DATE(2025,1,10),14.56,IF(G385&lt;DATE(2025,4,29),14.32,IF(G385&lt;DATE(2025,9,26),14.18,14.04)))),"异常：行权价格区间不符",IF(Q385&lt;&gt;"已备案","提示：未确认备案","正常")))))))</f>
        <v/>
      </c>
      <c r="AD385" s="11" t="n"/>
    </row>
    <row r="386">
      <c r="A386" s="11" t="n"/>
      <c r="B386" s="6">
        <f>IF(A386="","",A386&amp;"-TAX")</f>
        <v/>
      </c>
      <c r="C386" s="11" t="n"/>
      <c r="D386" s="11" t="n"/>
      <c r="E386" s="11" t="n"/>
      <c r="F386" s="11" t="n"/>
      <c r="G386" s="12" t="n"/>
      <c r="H386" s="6">
        <f>IF(G386="","",YEAR(G386))</f>
        <v/>
      </c>
      <c r="I386" s="11" t="n"/>
      <c r="J386" s="13" t="n"/>
      <c r="K386" s="14">
        <f>IF(F386="股票期权",IF(G386="","",IF(G386&lt;DATE(2025,1,10),14.56,IF(G386&lt;DATE(2025,4,29),14.32,IF(G386&lt;DATE(2025,9,26),14.18,14.04)))),IF(F386="限制性股票",8.68,""))</f>
        <v/>
      </c>
      <c r="L386" s="14">
        <f>IF(F386="限制性股票",13.06,"")</f>
        <v/>
      </c>
      <c r="M386" s="11" t="n"/>
      <c r="N386" s="13" t="n"/>
      <c r="O386" s="13" t="n"/>
      <c r="P386" s="12" t="n"/>
      <c r="Q386" s="11" t="n"/>
      <c r="R386" s="12" t="n"/>
      <c r="S386" s="14">
        <f>IF(OR(A386="",C386="",F386="",G386="",I386="",J386=""),"",IF(F386="股票期权",MAX(0,(J386-K386)*I386),IF(F386="限制性股票",IF(OR(L386="",M386="",M386&lt;=0,N386=""),"",MAX(0,((L386+J386)/2)*I386-N386*I386/M386)),MAX(0,O386))))</f>
        <v/>
      </c>
      <c r="T386" s="14">
        <f>IF(S386="","",SUMIFS($S$2:$S$501,$C$2:$C$501,C386,$H$2:$H$501,H386,$G$2:$G$501,"&lt;"&amp;G386)+SUMIFS($S$2:$S$501,$C$2:$C$501,C386,$H$2:$H$501,H386,$G$2:$G$501,G386,$A$2:$A$501,"&lt;"&amp;A386))</f>
        <v/>
      </c>
      <c r="U386" s="14">
        <f>IF(S386="","",T386+S386)</f>
        <v/>
      </c>
      <c r="V386" s="15">
        <f>IF(U386="","",VLOOKUP(U386,'税率及规则'!$A$2:$C$8,2,TRUE))</f>
        <v/>
      </c>
      <c r="W386" s="14">
        <f>IF(U386="","",VLOOKUP(U386,'税率及规则'!$A$2:$C$8,3,TRUE))</f>
        <v/>
      </c>
      <c r="X386" s="14">
        <f>IF(U386="","",MAX(0,U386*V386-W386))</f>
        <v/>
      </c>
      <c r="Y386" s="14">
        <f>IF(T386="","",MAX(0,T386*VLOOKUP(T386,'税率及规则'!$A$2:$C$8,2,TRUE)-VLOOKUP(T386,'税率及规则'!$A$2:$C$8,3,TRUE)))</f>
        <v/>
      </c>
      <c r="Z386" s="14">
        <f>IF(X386="","",MAX(0,X386-Y386))</f>
        <v/>
      </c>
      <c r="AA386" s="16">
        <f>IF(G386="","",G386)</f>
        <v/>
      </c>
      <c r="AB386" s="16">
        <f>IF(AA386="","",EDATE(AA386,36))</f>
        <v/>
      </c>
      <c r="AC386" s="6">
        <f>IF(A386="","",IF(COUNTIF($A$2:$A$501,A386)&gt;1,"异常：事件编号重复",IF(OR(C386="",D386="",E386="",F386="",G386="",I386="",J386=""),"异常：必填项缺失",IF(OR(I386&lt;=0,J386&lt;0),"异常：数量或价格无效",IF(AND(F386="限制性股票",OR(M386&lt;=0,N386&lt;0,I386&gt;M386)),"异常：个人获授或出资数据无效",IF(AND(F386="股票期权",K386&lt;&gt;IF(G386&lt;DATE(2025,1,10),14.56,IF(G386&lt;DATE(2025,4,29),14.32,IF(G386&lt;DATE(2025,9,26),14.18,14.04)))),"异常：行权价格区间不符",IF(Q386&lt;&gt;"已备案","提示：未确认备案","正常")))))))</f>
        <v/>
      </c>
      <c r="AD386" s="11" t="n"/>
    </row>
    <row r="387">
      <c r="A387" s="11" t="n"/>
      <c r="B387" s="6">
        <f>IF(A387="","",A387&amp;"-TAX")</f>
        <v/>
      </c>
      <c r="C387" s="11" t="n"/>
      <c r="D387" s="11" t="n"/>
      <c r="E387" s="11" t="n"/>
      <c r="F387" s="11" t="n"/>
      <c r="G387" s="12" t="n"/>
      <c r="H387" s="6">
        <f>IF(G387="","",YEAR(G387))</f>
        <v/>
      </c>
      <c r="I387" s="11" t="n"/>
      <c r="J387" s="13" t="n"/>
      <c r="K387" s="14">
        <f>IF(F387="股票期权",IF(G387="","",IF(G387&lt;DATE(2025,1,10),14.56,IF(G387&lt;DATE(2025,4,29),14.32,IF(G387&lt;DATE(2025,9,26),14.18,14.04)))),IF(F387="限制性股票",8.68,""))</f>
        <v/>
      </c>
      <c r="L387" s="14">
        <f>IF(F387="限制性股票",13.06,"")</f>
        <v/>
      </c>
      <c r="M387" s="11" t="n"/>
      <c r="N387" s="13" t="n"/>
      <c r="O387" s="13" t="n"/>
      <c r="P387" s="12" t="n"/>
      <c r="Q387" s="11" t="n"/>
      <c r="R387" s="12" t="n"/>
      <c r="S387" s="14">
        <f>IF(OR(A387="",C387="",F387="",G387="",I387="",J387=""),"",IF(F387="股票期权",MAX(0,(J387-K387)*I387),IF(F387="限制性股票",IF(OR(L387="",M387="",M387&lt;=0,N387=""),"",MAX(0,((L387+J387)/2)*I387-N387*I387/M387)),MAX(0,O387))))</f>
        <v/>
      </c>
      <c r="T387" s="14">
        <f>IF(S387="","",SUMIFS($S$2:$S$501,$C$2:$C$501,C387,$H$2:$H$501,H387,$G$2:$G$501,"&lt;"&amp;G387)+SUMIFS($S$2:$S$501,$C$2:$C$501,C387,$H$2:$H$501,H387,$G$2:$G$501,G387,$A$2:$A$501,"&lt;"&amp;A387))</f>
        <v/>
      </c>
      <c r="U387" s="14">
        <f>IF(S387="","",T387+S387)</f>
        <v/>
      </c>
      <c r="V387" s="15">
        <f>IF(U387="","",VLOOKUP(U387,'税率及规则'!$A$2:$C$8,2,TRUE))</f>
        <v/>
      </c>
      <c r="W387" s="14">
        <f>IF(U387="","",VLOOKUP(U387,'税率及规则'!$A$2:$C$8,3,TRUE))</f>
        <v/>
      </c>
      <c r="X387" s="14">
        <f>IF(U387="","",MAX(0,U387*V387-W387))</f>
        <v/>
      </c>
      <c r="Y387" s="14">
        <f>IF(T387="","",MAX(0,T387*VLOOKUP(T387,'税率及规则'!$A$2:$C$8,2,TRUE)-VLOOKUP(T387,'税率及规则'!$A$2:$C$8,3,TRUE)))</f>
        <v/>
      </c>
      <c r="Z387" s="14">
        <f>IF(X387="","",MAX(0,X387-Y387))</f>
        <v/>
      </c>
      <c r="AA387" s="16">
        <f>IF(G387="","",G387)</f>
        <v/>
      </c>
      <c r="AB387" s="16">
        <f>IF(AA387="","",EDATE(AA387,36))</f>
        <v/>
      </c>
      <c r="AC387" s="6">
        <f>IF(A387="","",IF(COUNTIF($A$2:$A$501,A387)&gt;1,"异常：事件编号重复",IF(OR(C387="",D387="",E387="",F387="",G387="",I387="",J387=""),"异常：必填项缺失",IF(OR(I387&lt;=0,J387&lt;0),"异常：数量或价格无效",IF(AND(F387="限制性股票",OR(M387&lt;=0,N387&lt;0,I387&gt;M387)),"异常：个人获授或出资数据无效",IF(AND(F387="股票期权",K387&lt;&gt;IF(G387&lt;DATE(2025,1,10),14.56,IF(G387&lt;DATE(2025,4,29),14.32,IF(G387&lt;DATE(2025,9,26),14.18,14.04)))),"异常：行权价格区间不符",IF(Q387&lt;&gt;"已备案","提示：未确认备案","正常")))))))</f>
        <v/>
      </c>
      <c r="AD387" s="11" t="n"/>
    </row>
    <row r="388">
      <c r="A388" s="11" t="n"/>
      <c r="B388" s="6">
        <f>IF(A388="","",A388&amp;"-TAX")</f>
        <v/>
      </c>
      <c r="C388" s="11" t="n"/>
      <c r="D388" s="11" t="n"/>
      <c r="E388" s="11" t="n"/>
      <c r="F388" s="11" t="n"/>
      <c r="G388" s="12" t="n"/>
      <c r="H388" s="6">
        <f>IF(G388="","",YEAR(G388))</f>
        <v/>
      </c>
      <c r="I388" s="11" t="n"/>
      <c r="J388" s="13" t="n"/>
      <c r="K388" s="14">
        <f>IF(F388="股票期权",IF(G388="","",IF(G388&lt;DATE(2025,1,10),14.56,IF(G388&lt;DATE(2025,4,29),14.32,IF(G388&lt;DATE(2025,9,26),14.18,14.04)))),IF(F388="限制性股票",8.68,""))</f>
        <v/>
      </c>
      <c r="L388" s="14">
        <f>IF(F388="限制性股票",13.06,"")</f>
        <v/>
      </c>
      <c r="M388" s="11" t="n"/>
      <c r="N388" s="13" t="n"/>
      <c r="O388" s="13" t="n"/>
      <c r="P388" s="12" t="n"/>
      <c r="Q388" s="11" t="n"/>
      <c r="R388" s="12" t="n"/>
      <c r="S388" s="14">
        <f>IF(OR(A388="",C388="",F388="",G388="",I388="",J388=""),"",IF(F388="股票期权",MAX(0,(J388-K388)*I388),IF(F388="限制性股票",IF(OR(L388="",M388="",M388&lt;=0,N388=""),"",MAX(0,((L388+J388)/2)*I388-N388*I388/M388)),MAX(0,O388))))</f>
        <v/>
      </c>
      <c r="T388" s="14">
        <f>IF(S388="","",SUMIFS($S$2:$S$501,$C$2:$C$501,C388,$H$2:$H$501,H388,$G$2:$G$501,"&lt;"&amp;G388)+SUMIFS($S$2:$S$501,$C$2:$C$501,C388,$H$2:$H$501,H388,$G$2:$G$501,G388,$A$2:$A$501,"&lt;"&amp;A388))</f>
        <v/>
      </c>
      <c r="U388" s="14">
        <f>IF(S388="","",T388+S388)</f>
        <v/>
      </c>
      <c r="V388" s="15">
        <f>IF(U388="","",VLOOKUP(U388,'税率及规则'!$A$2:$C$8,2,TRUE))</f>
        <v/>
      </c>
      <c r="W388" s="14">
        <f>IF(U388="","",VLOOKUP(U388,'税率及规则'!$A$2:$C$8,3,TRUE))</f>
        <v/>
      </c>
      <c r="X388" s="14">
        <f>IF(U388="","",MAX(0,U388*V388-W388))</f>
        <v/>
      </c>
      <c r="Y388" s="14">
        <f>IF(T388="","",MAX(0,T388*VLOOKUP(T388,'税率及规则'!$A$2:$C$8,2,TRUE)-VLOOKUP(T388,'税率及规则'!$A$2:$C$8,3,TRUE)))</f>
        <v/>
      </c>
      <c r="Z388" s="14">
        <f>IF(X388="","",MAX(0,X388-Y388))</f>
        <v/>
      </c>
      <c r="AA388" s="16">
        <f>IF(G388="","",G388)</f>
        <v/>
      </c>
      <c r="AB388" s="16">
        <f>IF(AA388="","",EDATE(AA388,36))</f>
        <v/>
      </c>
      <c r="AC388" s="6">
        <f>IF(A388="","",IF(COUNTIF($A$2:$A$501,A388)&gt;1,"异常：事件编号重复",IF(OR(C388="",D388="",E388="",F388="",G388="",I388="",J388=""),"异常：必填项缺失",IF(OR(I388&lt;=0,J388&lt;0),"异常：数量或价格无效",IF(AND(F388="限制性股票",OR(M388&lt;=0,N388&lt;0,I388&gt;M388)),"异常：个人获授或出资数据无效",IF(AND(F388="股票期权",K388&lt;&gt;IF(G388&lt;DATE(2025,1,10),14.56,IF(G388&lt;DATE(2025,4,29),14.32,IF(G388&lt;DATE(2025,9,26),14.18,14.04)))),"异常：行权价格区间不符",IF(Q388&lt;&gt;"已备案","提示：未确认备案","正常")))))))</f>
        <v/>
      </c>
      <c r="AD388" s="11" t="n"/>
    </row>
    <row r="389">
      <c r="A389" s="11" t="n"/>
      <c r="B389" s="6">
        <f>IF(A389="","",A389&amp;"-TAX")</f>
        <v/>
      </c>
      <c r="C389" s="11" t="n"/>
      <c r="D389" s="11" t="n"/>
      <c r="E389" s="11" t="n"/>
      <c r="F389" s="11" t="n"/>
      <c r="G389" s="12" t="n"/>
      <c r="H389" s="6">
        <f>IF(G389="","",YEAR(G389))</f>
        <v/>
      </c>
      <c r="I389" s="11" t="n"/>
      <c r="J389" s="13" t="n"/>
      <c r="K389" s="14">
        <f>IF(F389="股票期权",IF(G389="","",IF(G389&lt;DATE(2025,1,10),14.56,IF(G389&lt;DATE(2025,4,29),14.32,IF(G389&lt;DATE(2025,9,26),14.18,14.04)))),IF(F389="限制性股票",8.68,""))</f>
        <v/>
      </c>
      <c r="L389" s="14">
        <f>IF(F389="限制性股票",13.06,"")</f>
        <v/>
      </c>
      <c r="M389" s="11" t="n"/>
      <c r="N389" s="13" t="n"/>
      <c r="O389" s="13" t="n"/>
      <c r="P389" s="12" t="n"/>
      <c r="Q389" s="11" t="n"/>
      <c r="R389" s="12" t="n"/>
      <c r="S389" s="14">
        <f>IF(OR(A389="",C389="",F389="",G389="",I389="",J389=""),"",IF(F389="股票期权",MAX(0,(J389-K389)*I389),IF(F389="限制性股票",IF(OR(L389="",M389="",M389&lt;=0,N389=""),"",MAX(0,((L389+J389)/2)*I389-N389*I389/M389)),MAX(0,O389))))</f>
        <v/>
      </c>
      <c r="T389" s="14">
        <f>IF(S389="","",SUMIFS($S$2:$S$501,$C$2:$C$501,C389,$H$2:$H$501,H389,$G$2:$G$501,"&lt;"&amp;G389)+SUMIFS($S$2:$S$501,$C$2:$C$501,C389,$H$2:$H$501,H389,$G$2:$G$501,G389,$A$2:$A$501,"&lt;"&amp;A389))</f>
        <v/>
      </c>
      <c r="U389" s="14">
        <f>IF(S389="","",T389+S389)</f>
        <v/>
      </c>
      <c r="V389" s="15">
        <f>IF(U389="","",VLOOKUP(U389,'税率及规则'!$A$2:$C$8,2,TRUE))</f>
        <v/>
      </c>
      <c r="W389" s="14">
        <f>IF(U389="","",VLOOKUP(U389,'税率及规则'!$A$2:$C$8,3,TRUE))</f>
        <v/>
      </c>
      <c r="X389" s="14">
        <f>IF(U389="","",MAX(0,U389*V389-W389))</f>
        <v/>
      </c>
      <c r="Y389" s="14">
        <f>IF(T389="","",MAX(0,T389*VLOOKUP(T389,'税率及规则'!$A$2:$C$8,2,TRUE)-VLOOKUP(T389,'税率及规则'!$A$2:$C$8,3,TRUE)))</f>
        <v/>
      </c>
      <c r="Z389" s="14">
        <f>IF(X389="","",MAX(0,X389-Y389))</f>
        <v/>
      </c>
      <c r="AA389" s="16">
        <f>IF(G389="","",G389)</f>
        <v/>
      </c>
      <c r="AB389" s="16">
        <f>IF(AA389="","",EDATE(AA389,36))</f>
        <v/>
      </c>
      <c r="AC389" s="6">
        <f>IF(A389="","",IF(COUNTIF($A$2:$A$501,A389)&gt;1,"异常：事件编号重复",IF(OR(C389="",D389="",E389="",F389="",G389="",I389="",J389=""),"异常：必填项缺失",IF(OR(I389&lt;=0,J389&lt;0),"异常：数量或价格无效",IF(AND(F389="限制性股票",OR(M389&lt;=0,N389&lt;0,I389&gt;M389)),"异常：个人获授或出资数据无效",IF(AND(F389="股票期权",K389&lt;&gt;IF(G389&lt;DATE(2025,1,10),14.56,IF(G389&lt;DATE(2025,4,29),14.32,IF(G389&lt;DATE(2025,9,26),14.18,14.04)))),"异常：行权价格区间不符",IF(Q389&lt;&gt;"已备案","提示：未确认备案","正常")))))))</f>
        <v/>
      </c>
      <c r="AD389" s="11" t="n"/>
    </row>
    <row r="390">
      <c r="A390" s="11" t="n"/>
      <c r="B390" s="6">
        <f>IF(A390="","",A390&amp;"-TAX")</f>
        <v/>
      </c>
      <c r="C390" s="11" t="n"/>
      <c r="D390" s="11" t="n"/>
      <c r="E390" s="11" t="n"/>
      <c r="F390" s="11" t="n"/>
      <c r="G390" s="12" t="n"/>
      <c r="H390" s="6">
        <f>IF(G390="","",YEAR(G390))</f>
        <v/>
      </c>
      <c r="I390" s="11" t="n"/>
      <c r="J390" s="13" t="n"/>
      <c r="K390" s="14">
        <f>IF(F390="股票期权",IF(G390="","",IF(G390&lt;DATE(2025,1,10),14.56,IF(G390&lt;DATE(2025,4,29),14.32,IF(G390&lt;DATE(2025,9,26),14.18,14.04)))),IF(F390="限制性股票",8.68,""))</f>
        <v/>
      </c>
      <c r="L390" s="14">
        <f>IF(F390="限制性股票",13.06,"")</f>
        <v/>
      </c>
      <c r="M390" s="11" t="n"/>
      <c r="N390" s="13" t="n"/>
      <c r="O390" s="13" t="n"/>
      <c r="P390" s="12" t="n"/>
      <c r="Q390" s="11" t="n"/>
      <c r="R390" s="12" t="n"/>
      <c r="S390" s="14">
        <f>IF(OR(A390="",C390="",F390="",G390="",I390="",J390=""),"",IF(F390="股票期权",MAX(0,(J390-K390)*I390),IF(F390="限制性股票",IF(OR(L390="",M390="",M390&lt;=0,N390=""),"",MAX(0,((L390+J390)/2)*I390-N390*I390/M390)),MAX(0,O390))))</f>
        <v/>
      </c>
      <c r="T390" s="14">
        <f>IF(S390="","",SUMIFS($S$2:$S$501,$C$2:$C$501,C390,$H$2:$H$501,H390,$G$2:$G$501,"&lt;"&amp;G390)+SUMIFS($S$2:$S$501,$C$2:$C$501,C390,$H$2:$H$501,H390,$G$2:$G$501,G390,$A$2:$A$501,"&lt;"&amp;A390))</f>
        <v/>
      </c>
      <c r="U390" s="14">
        <f>IF(S390="","",T390+S390)</f>
        <v/>
      </c>
      <c r="V390" s="15">
        <f>IF(U390="","",VLOOKUP(U390,'税率及规则'!$A$2:$C$8,2,TRUE))</f>
        <v/>
      </c>
      <c r="W390" s="14">
        <f>IF(U390="","",VLOOKUP(U390,'税率及规则'!$A$2:$C$8,3,TRUE))</f>
        <v/>
      </c>
      <c r="X390" s="14">
        <f>IF(U390="","",MAX(0,U390*V390-W390))</f>
        <v/>
      </c>
      <c r="Y390" s="14">
        <f>IF(T390="","",MAX(0,T390*VLOOKUP(T390,'税率及规则'!$A$2:$C$8,2,TRUE)-VLOOKUP(T390,'税率及规则'!$A$2:$C$8,3,TRUE)))</f>
        <v/>
      </c>
      <c r="Z390" s="14">
        <f>IF(X390="","",MAX(0,X390-Y390))</f>
        <v/>
      </c>
      <c r="AA390" s="16">
        <f>IF(G390="","",G390)</f>
        <v/>
      </c>
      <c r="AB390" s="16">
        <f>IF(AA390="","",EDATE(AA390,36))</f>
        <v/>
      </c>
      <c r="AC390" s="6">
        <f>IF(A390="","",IF(COUNTIF($A$2:$A$501,A390)&gt;1,"异常：事件编号重复",IF(OR(C390="",D390="",E390="",F390="",G390="",I390="",J390=""),"异常：必填项缺失",IF(OR(I390&lt;=0,J390&lt;0),"异常：数量或价格无效",IF(AND(F390="限制性股票",OR(M390&lt;=0,N390&lt;0,I390&gt;M390)),"异常：个人获授或出资数据无效",IF(AND(F390="股票期权",K390&lt;&gt;IF(G390&lt;DATE(2025,1,10),14.56,IF(G390&lt;DATE(2025,4,29),14.32,IF(G390&lt;DATE(2025,9,26),14.18,14.04)))),"异常：行权价格区间不符",IF(Q390&lt;&gt;"已备案","提示：未确认备案","正常")))))))</f>
        <v/>
      </c>
      <c r="AD390" s="11" t="n"/>
    </row>
    <row r="391">
      <c r="A391" s="11" t="n"/>
      <c r="B391" s="6">
        <f>IF(A391="","",A391&amp;"-TAX")</f>
        <v/>
      </c>
      <c r="C391" s="11" t="n"/>
      <c r="D391" s="11" t="n"/>
      <c r="E391" s="11" t="n"/>
      <c r="F391" s="11" t="n"/>
      <c r="G391" s="12" t="n"/>
      <c r="H391" s="6">
        <f>IF(G391="","",YEAR(G391))</f>
        <v/>
      </c>
      <c r="I391" s="11" t="n"/>
      <c r="J391" s="13" t="n"/>
      <c r="K391" s="14">
        <f>IF(F391="股票期权",IF(G391="","",IF(G391&lt;DATE(2025,1,10),14.56,IF(G391&lt;DATE(2025,4,29),14.32,IF(G391&lt;DATE(2025,9,26),14.18,14.04)))),IF(F391="限制性股票",8.68,""))</f>
        <v/>
      </c>
      <c r="L391" s="14">
        <f>IF(F391="限制性股票",13.06,"")</f>
        <v/>
      </c>
      <c r="M391" s="11" t="n"/>
      <c r="N391" s="13" t="n"/>
      <c r="O391" s="13" t="n"/>
      <c r="P391" s="12" t="n"/>
      <c r="Q391" s="11" t="n"/>
      <c r="R391" s="12" t="n"/>
      <c r="S391" s="14">
        <f>IF(OR(A391="",C391="",F391="",G391="",I391="",J391=""),"",IF(F391="股票期权",MAX(0,(J391-K391)*I391),IF(F391="限制性股票",IF(OR(L391="",M391="",M391&lt;=0,N391=""),"",MAX(0,((L391+J391)/2)*I391-N391*I391/M391)),MAX(0,O391))))</f>
        <v/>
      </c>
      <c r="T391" s="14">
        <f>IF(S391="","",SUMIFS($S$2:$S$501,$C$2:$C$501,C391,$H$2:$H$501,H391,$G$2:$G$501,"&lt;"&amp;G391)+SUMIFS($S$2:$S$501,$C$2:$C$501,C391,$H$2:$H$501,H391,$G$2:$G$501,G391,$A$2:$A$501,"&lt;"&amp;A391))</f>
        <v/>
      </c>
      <c r="U391" s="14">
        <f>IF(S391="","",T391+S391)</f>
        <v/>
      </c>
      <c r="V391" s="15">
        <f>IF(U391="","",VLOOKUP(U391,'税率及规则'!$A$2:$C$8,2,TRUE))</f>
        <v/>
      </c>
      <c r="W391" s="14">
        <f>IF(U391="","",VLOOKUP(U391,'税率及规则'!$A$2:$C$8,3,TRUE))</f>
        <v/>
      </c>
      <c r="X391" s="14">
        <f>IF(U391="","",MAX(0,U391*V391-W391))</f>
        <v/>
      </c>
      <c r="Y391" s="14">
        <f>IF(T391="","",MAX(0,T391*VLOOKUP(T391,'税率及规则'!$A$2:$C$8,2,TRUE)-VLOOKUP(T391,'税率及规则'!$A$2:$C$8,3,TRUE)))</f>
        <v/>
      </c>
      <c r="Z391" s="14">
        <f>IF(X391="","",MAX(0,X391-Y391))</f>
        <v/>
      </c>
      <c r="AA391" s="16">
        <f>IF(G391="","",G391)</f>
        <v/>
      </c>
      <c r="AB391" s="16">
        <f>IF(AA391="","",EDATE(AA391,36))</f>
        <v/>
      </c>
      <c r="AC391" s="6">
        <f>IF(A391="","",IF(COUNTIF($A$2:$A$501,A391)&gt;1,"异常：事件编号重复",IF(OR(C391="",D391="",E391="",F391="",G391="",I391="",J391=""),"异常：必填项缺失",IF(OR(I391&lt;=0,J391&lt;0),"异常：数量或价格无效",IF(AND(F391="限制性股票",OR(M391&lt;=0,N391&lt;0,I391&gt;M391)),"异常：个人获授或出资数据无效",IF(AND(F391="股票期权",K391&lt;&gt;IF(G391&lt;DATE(2025,1,10),14.56,IF(G391&lt;DATE(2025,4,29),14.32,IF(G391&lt;DATE(2025,9,26),14.18,14.04)))),"异常：行权价格区间不符",IF(Q391&lt;&gt;"已备案","提示：未确认备案","正常")))))))</f>
        <v/>
      </c>
      <c r="AD391" s="11" t="n"/>
    </row>
    <row r="392">
      <c r="A392" s="11" t="n"/>
      <c r="B392" s="6">
        <f>IF(A392="","",A392&amp;"-TAX")</f>
        <v/>
      </c>
      <c r="C392" s="11" t="n"/>
      <c r="D392" s="11" t="n"/>
      <c r="E392" s="11" t="n"/>
      <c r="F392" s="11" t="n"/>
      <c r="G392" s="12" t="n"/>
      <c r="H392" s="6">
        <f>IF(G392="","",YEAR(G392))</f>
        <v/>
      </c>
      <c r="I392" s="11" t="n"/>
      <c r="J392" s="13" t="n"/>
      <c r="K392" s="14">
        <f>IF(F392="股票期权",IF(G392="","",IF(G392&lt;DATE(2025,1,10),14.56,IF(G392&lt;DATE(2025,4,29),14.32,IF(G392&lt;DATE(2025,9,26),14.18,14.04)))),IF(F392="限制性股票",8.68,""))</f>
        <v/>
      </c>
      <c r="L392" s="14">
        <f>IF(F392="限制性股票",13.06,"")</f>
        <v/>
      </c>
      <c r="M392" s="11" t="n"/>
      <c r="N392" s="13" t="n"/>
      <c r="O392" s="13" t="n"/>
      <c r="P392" s="12" t="n"/>
      <c r="Q392" s="11" t="n"/>
      <c r="R392" s="12" t="n"/>
      <c r="S392" s="14">
        <f>IF(OR(A392="",C392="",F392="",G392="",I392="",J392=""),"",IF(F392="股票期权",MAX(0,(J392-K392)*I392),IF(F392="限制性股票",IF(OR(L392="",M392="",M392&lt;=0,N392=""),"",MAX(0,((L392+J392)/2)*I392-N392*I392/M392)),MAX(0,O392))))</f>
        <v/>
      </c>
      <c r="T392" s="14">
        <f>IF(S392="","",SUMIFS($S$2:$S$501,$C$2:$C$501,C392,$H$2:$H$501,H392,$G$2:$G$501,"&lt;"&amp;G392)+SUMIFS($S$2:$S$501,$C$2:$C$501,C392,$H$2:$H$501,H392,$G$2:$G$501,G392,$A$2:$A$501,"&lt;"&amp;A392))</f>
        <v/>
      </c>
      <c r="U392" s="14">
        <f>IF(S392="","",T392+S392)</f>
        <v/>
      </c>
      <c r="V392" s="15">
        <f>IF(U392="","",VLOOKUP(U392,'税率及规则'!$A$2:$C$8,2,TRUE))</f>
        <v/>
      </c>
      <c r="W392" s="14">
        <f>IF(U392="","",VLOOKUP(U392,'税率及规则'!$A$2:$C$8,3,TRUE))</f>
        <v/>
      </c>
      <c r="X392" s="14">
        <f>IF(U392="","",MAX(0,U392*V392-W392))</f>
        <v/>
      </c>
      <c r="Y392" s="14">
        <f>IF(T392="","",MAX(0,T392*VLOOKUP(T392,'税率及规则'!$A$2:$C$8,2,TRUE)-VLOOKUP(T392,'税率及规则'!$A$2:$C$8,3,TRUE)))</f>
        <v/>
      </c>
      <c r="Z392" s="14">
        <f>IF(X392="","",MAX(0,X392-Y392))</f>
        <v/>
      </c>
      <c r="AA392" s="16">
        <f>IF(G392="","",G392)</f>
        <v/>
      </c>
      <c r="AB392" s="16">
        <f>IF(AA392="","",EDATE(AA392,36))</f>
        <v/>
      </c>
      <c r="AC392" s="6">
        <f>IF(A392="","",IF(COUNTIF($A$2:$A$501,A392)&gt;1,"异常：事件编号重复",IF(OR(C392="",D392="",E392="",F392="",G392="",I392="",J392=""),"异常：必填项缺失",IF(OR(I392&lt;=0,J392&lt;0),"异常：数量或价格无效",IF(AND(F392="限制性股票",OR(M392&lt;=0,N392&lt;0,I392&gt;M392)),"异常：个人获授或出资数据无效",IF(AND(F392="股票期权",K392&lt;&gt;IF(G392&lt;DATE(2025,1,10),14.56,IF(G392&lt;DATE(2025,4,29),14.32,IF(G392&lt;DATE(2025,9,26),14.18,14.04)))),"异常：行权价格区间不符",IF(Q392&lt;&gt;"已备案","提示：未确认备案","正常")))))))</f>
        <v/>
      </c>
      <c r="AD392" s="11" t="n"/>
    </row>
    <row r="393">
      <c r="A393" s="11" t="n"/>
      <c r="B393" s="6">
        <f>IF(A393="","",A393&amp;"-TAX")</f>
        <v/>
      </c>
      <c r="C393" s="11" t="n"/>
      <c r="D393" s="11" t="n"/>
      <c r="E393" s="11" t="n"/>
      <c r="F393" s="11" t="n"/>
      <c r="G393" s="12" t="n"/>
      <c r="H393" s="6">
        <f>IF(G393="","",YEAR(G393))</f>
        <v/>
      </c>
      <c r="I393" s="11" t="n"/>
      <c r="J393" s="13" t="n"/>
      <c r="K393" s="14">
        <f>IF(F393="股票期权",IF(G393="","",IF(G393&lt;DATE(2025,1,10),14.56,IF(G393&lt;DATE(2025,4,29),14.32,IF(G393&lt;DATE(2025,9,26),14.18,14.04)))),IF(F393="限制性股票",8.68,""))</f>
        <v/>
      </c>
      <c r="L393" s="14">
        <f>IF(F393="限制性股票",13.06,"")</f>
        <v/>
      </c>
      <c r="M393" s="11" t="n"/>
      <c r="N393" s="13" t="n"/>
      <c r="O393" s="13" t="n"/>
      <c r="P393" s="12" t="n"/>
      <c r="Q393" s="11" t="n"/>
      <c r="R393" s="12" t="n"/>
      <c r="S393" s="14">
        <f>IF(OR(A393="",C393="",F393="",G393="",I393="",J393=""),"",IF(F393="股票期权",MAX(0,(J393-K393)*I393),IF(F393="限制性股票",IF(OR(L393="",M393="",M393&lt;=0,N393=""),"",MAX(0,((L393+J393)/2)*I393-N393*I393/M393)),MAX(0,O393))))</f>
        <v/>
      </c>
      <c r="T393" s="14">
        <f>IF(S393="","",SUMIFS($S$2:$S$501,$C$2:$C$501,C393,$H$2:$H$501,H393,$G$2:$G$501,"&lt;"&amp;G393)+SUMIFS($S$2:$S$501,$C$2:$C$501,C393,$H$2:$H$501,H393,$G$2:$G$501,G393,$A$2:$A$501,"&lt;"&amp;A393))</f>
        <v/>
      </c>
      <c r="U393" s="14">
        <f>IF(S393="","",T393+S393)</f>
        <v/>
      </c>
      <c r="V393" s="15">
        <f>IF(U393="","",VLOOKUP(U393,'税率及规则'!$A$2:$C$8,2,TRUE))</f>
        <v/>
      </c>
      <c r="W393" s="14">
        <f>IF(U393="","",VLOOKUP(U393,'税率及规则'!$A$2:$C$8,3,TRUE))</f>
        <v/>
      </c>
      <c r="X393" s="14">
        <f>IF(U393="","",MAX(0,U393*V393-W393))</f>
        <v/>
      </c>
      <c r="Y393" s="14">
        <f>IF(T393="","",MAX(0,T393*VLOOKUP(T393,'税率及规则'!$A$2:$C$8,2,TRUE)-VLOOKUP(T393,'税率及规则'!$A$2:$C$8,3,TRUE)))</f>
        <v/>
      </c>
      <c r="Z393" s="14">
        <f>IF(X393="","",MAX(0,X393-Y393))</f>
        <v/>
      </c>
      <c r="AA393" s="16">
        <f>IF(G393="","",G393)</f>
        <v/>
      </c>
      <c r="AB393" s="16">
        <f>IF(AA393="","",EDATE(AA393,36))</f>
        <v/>
      </c>
      <c r="AC393" s="6">
        <f>IF(A393="","",IF(COUNTIF($A$2:$A$501,A393)&gt;1,"异常：事件编号重复",IF(OR(C393="",D393="",E393="",F393="",G393="",I393="",J393=""),"异常：必填项缺失",IF(OR(I393&lt;=0,J393&lt;0),"异常：数量或价格无效",IF(AND(F393="限制性股票",OR(M393&lt;=0,N393&lt;0,I393&gt;M393)),"异常：个人获授或出资数据无效",IF(AND(F393="股票期权",K393&lt;&gt;IF(G393&lt;DATE(2025,1,10),14.56,IF(G393&lt;DATE(2025,4,29),14.32,IF(G393&lt;DATE(2025,9,26),14.18,14.04)))),"异常：行权价格区间不符",IF(Q393&lt;&gt;"已备案","提示：未确认备案","正常")))))))</f>
        <v/>
      </c>
      <c r="AD393" s="11" t="n"/>
    </row>
    <row r="394">
      <c r="A394" s="11" t="n"/>
      <c r="B394" s="6">
        <f>IF(A394="","",A394&amp;"-TAX")</f>
        <v/>
      </c>
      <c r="C394" s="11" t="n"/>
      <c r="D394" s="11" t="n"/>
      <c r="E394" s="11" t="n"/>
      <c r="F394" s="11" t="n"/>
      <c r="G394" s="12" t="n"/>
      <c r="H394" s="6">
        <f>IF(G394="","",YEAR(G394))</f>
        <v/>
      </c>
      <c r="I394" s="11" t="n"/>
      <c r="J394" s="13" t="n"/>
      <c r="K394" s="14">
        <f>IF(F394="股票期权",IF(G394="","",IF(G394&lt;DATE(2025,1,10),14.56,IF(G394&lt;DATE(2025,4,29),14.32,IF(G394&lt;DATE(2025,9,26),14.18,14.04)))),IF(F394="限制性股票",8.68,""))</f>
        <v/>
      </c>
      <c r="L394" s="14">
        <f>IF(F394="限制性股票",13.06,"")</f>
        <v/>
      </c>
      <c r="M394" s="11" t="n"/>
      <c r="N394" s="13" t="n"/>
      <c r="O394" s="13" t="n"/>
      <c r="P394" s="12" t="n"/>
      <c r="Q394" s="11" t="n"/>
      <c r="R394" s="12" t="n"/>
      <c r="S394" s="14">
        <f>IF(OR(A394="",C394="",F394="",G394="",I394="",J394=""),"",IF(F394="股票期权",MAX(0,(J394-K394)*I394),IF(F394="限制性股票",IF(OR(L394="",M394="",M394&lt;=0,N394=""),"",MAX(0,((L394+J394)/2)*I394-N394*I394/M394)),MAX(0,O394))))</f>
        <v/>
      </c>
      <c r="T394" s="14">
        <f>IF(S394="","",SUMIFS($S$2:$S$501,$C$2:$C$501,C394,$H$2:$H$501,H394,$G$2:$G$501,"&lt;"&amp;G394)+SUMIFS($S$2:$S$501,$C$2:$C$501,C394,$H$2:$H$501,H394,$G$2:$G$501,G394,$A$2:$A$501,"&lt;"&amp;A394))</f>
        <v/>
      </c>
      <c r="U394" s="14">
        <f>IF(S394="","",T394+S394)</f>
        <v/>
      </c>
      <c r="V394" s="15">
        <f>IF(U394="","",VLOOKUP(U394,'税率及规则'!$A$2:$C$8,2,TRUE))</f>
        <v/>
      </c>
      <c r="W394" s="14">
        <f>IF(U394="","",VLOOKUP(U394,'税率及规则'!$A$2:$C$8,3,TRUE))</f>
        <v/>
      </c>
      <c r="X394" s="14">
        <f>IF(U394="","",MAX(0,U394*V394-W394))</f>
        <v/>
      </c>
      <c r="Y394" s="14">
        <f>IF(T394="","",MAX(0,T394*VLOOKUP(T394,'税率及规则'!$A$2:$C$8,2,TRUE)-VLOOKUP(T394,'税率及规则'!$A$2:$C$8,3,TRUE)))</f>
        <v/>
      </c>
      <c r="Z394" s="14">
        <f>IF(X394="","",MAX(0,X394-Y394))</f>
        <v/>
      </c>
      <c r="AA394" s="16">
        <f>IF(G394="","",G394)</f>
        <v/>
      </c>
      <c r="AB394" s="16">
        <f>IF(AA394="","",EDATE(AA394,36))</f>
        <v/>
      </c>
      <c r="AC394" s="6">
        <f>IF(A394="","",IF(COUNTIF($A$2:$A$501,A394)&gt;1,"异常：事件编号重复",IF(OR(C394="",D394="",E394="",F394="",G394="",I394="",J394=""),"异常：必填项缺失",IF(OR(I394&lt;=0,J394&lt;0),"异常：数量或价格无效",IF(AND(F394="限制性股票",OR(M394&lt;=0,N394&lt;0,I394&gt;M394)),"异常：个人获授或出资数据无效",IF(AND(F394="股票期权",K394&lt;&gt;IF(G394&lt;DATE(2025,1,10),14.56,IF(G394&lt;DATE(2025,4,29),14.32,IF(G394&lt;DATE(2025,9,26),14.18,14.04)))),"异常：行权价格区间不符",IF(Q394&lt;&gt;"已备案","提示：未确认备案","正常")))))))</f>
        <v/>
      </c>
      <c r="AD394" s="11" t="n"/>
    </row>
    <row r="395">
      <c r="A395" s="11" t="n"/>
      <c r="B395" s="6">
        <f>IF(A395="","",A395&amp;"-TAX")</f>
        <v/>
      </c>
      <c r="C395" s="11" t="n"/>
      <c r="D395" s="11" t="n"/>
      <c r="E395" s="11" t="n"/>
      <c r="F395" s="11" t="n"/>
      <c r="G395" s="12" t="n"/>
      <c r="H395" s="6">
        <f>IF(G395="","",YEAR(G395))</f>
        <v/>
      </c>
      <c r="I395" s="11" t="n"/>
      <c r="J395" s="13" t="n"/>
      <c r="K395" s="14">
        <f>IF(F395="股票期权",IF(G395="","",IF(G395&lt;DATE(2025,1,10),14.56,IF(G395&lt;DATE(2025,4,29),14.32,IF(G395&lt;DATE(2025,9,26),14.18,14.04)))),IF(F395="限制性股票",8.68,""))</f>
        <v/>
      </c>
      <c r="L395" s="14">
        <f>IF(F395="限制性股票",13.06,"")</f>
        <v/>
      </c>
      <c r="M395" s="11" t="n"/>
      <c r="N395" s="13" t="n"/>
      <c r="O395" s="13" t="n"/>
      <c r="P395" s="12" t="n"/>
      <c r="Q395" s="11" t="n"/>
      <c r="R395" s="12" t="n"/>
      <c r="S395" s="14">
        <f>IF(OR(A395="",C395="",F395="",G395="",I395="",J395=""),"",IF(F395="股票期权",MAX(0,(J395-K395)*I395),IF(F395="限制性股票",IF(OR(L395="",M395="",M395&lt;=0,N395=""),"",MAX(0,((L395+J395)/2)*I395-N395*I395/M395)),MAX(0,O395))))</f>
        <v/>
      </c>
      <c r="T395" s="14">
        <f>IF(S395="","",SUMIFS($S$2:$S$501,$C$2:$C$501,C395,$H$2:$H$501,H395,$G$2:$G$501,"&lt;"&amp;G395)+SUMIFS($S$2:$S$501,$C$2:$C$501,C395,$H$2:$H$501,H395,$G$2:$G$501,G395,$A$2:$A$501,"&lt;"&amp;A395))</f>
        <v/>
      </c>
      <c r="U395" s="14">
        <f>IF(S395="","",T395+S395)</f>
        <v/>
      </c>
      <c r="V395" s="15">
        <f>IF(U395="","",VLOOKUP(U395,'税率及规则'!$A$2:$C$8,2,TRUE))</f>
        <v/>
      </c>
      <c r="W395" s="14">
        <f>IF(U395="","",VLOOKUP(U395,'税率及规则'!$A$2:$C$8,3,TRUE))</f>
        <v/>
      </c>
      <c r="X395" s="14">
        <f>IF(U395="","",MAX(0,U395*V395-W395))</f>
        <v/>
      </c>
      <c r="Y395" s="14">
        <f>IF(T395="","",MAX(0,T395*VLOOKUP(T395,'税率及规则'!$A$2:$C$8,2,TRUE)-VLOOKUP(T395,'税率及规则'!$A$2:$C$8,3,TRUE)))</f>
        <v/>
      </c>
      <c r="Z395" s="14">
        <f>IF(X395="","",MAX(0,X395-Y395))</f>
        <v/>
      </c>
      <c r="AA395" s="16">
        <f>IF(G395="","",G395)</f>
        <v/>
      </c>
      <c r="AB395" s="16">
        <f>IF(AA395="","",EDATE(AA395,36))</f>
        <v/>
      </c>
      <c r="AC395" s="6">
        <f>IF(A395="","",IF(COUNTIF($A$2:$A$501,A395)&gt;1,"异常：事件编号重复",IF(OR(C395="",D395="",E395="",F395="",G395="",I395="",J395=""),"异常：必填项缺失",IF(OR(I395&lt;=0,J395&lt;0),"异常：数量或价格无效",IF(AND(F395="限制性股票",OR(M395&lt;=0,N395&lt;0,I395&gt;M395)),"异常：个人获授或出资数据无效",IF(AND(F395="股票期权",K395&lt;&gt;IF(G395&lt;DATE(2025,1,10),14.56,IF(G395&lt;DATE(2025,4,29),14.32,IF(G395&lt;DATE(2025,9,26),14.18,14.04)))),"异常：行权价格区间不符",IF(Q395&lt;&gt;"已备案","提示：未确认备案","正常")))))))</f>
        <v/>
      </c>
      <c r="AD395" s="11" t="n"/>
    </row>
    <row r="396">
      <c r="A396" s="11" t="n"/>
      <c r="B396" s="6">
        <f>IF(A396="","",A396&amp;"-TAX")</f>
        <v/>
      </c>
      <c r="C396" s="11" t="n"/>
      <c r="D396" s="11" t="n"/>
      <c r="E396" s="11" t="n"/>
      <c r="F396" s="11" t="n"/>
      <c r="G396" s="12" t="n"/>
      <c r="H396" s="6">
        <f>IF(G396="","",YEAR(G396))</f>
        <v/>
      </c>
      <c r="I396" s="11" t="n"/>
      <c r="J396" s="13" t="n"/>
      <c r="K396" s="14">
        <f>IF(F396="股票期权",IF(G396="","",IF(G396&lt;DATE(2025,1,10),14.56,IF(G396&lt;DATE(2025,4,29),14.32,IF(G396&lt;DATE(2025,9,26),14.18,14.04)))),IF(F396="限制性股票",8.68,""))</f>
        <v/>
      </c>
      <c r="L396" s="14">
        <f>IF(F396="限制性股票",13.06,"")</f>
        <v/>
      </c>
      <c r="M396" s="11" t="n"/>
      <c r="N396" s="13" t="n"/>
      <c r="O396" s="13" t="n"/>
      <c r="P396" s="12" t="n"/>
      <c r="Q396" s="11" t="n"/>
      <c r="R396" s="12" t="n"/>
      <c r="S396" s="14">
        <f>IF(OR(A396="",C396="",F396="",G396="",I396="",J396=""),"",IF(F396="股票期权",MAX(0,(J396-K396)*I396),IF(F396="限制性股票",IF(OR(L396="",M396="",M396&lt;=0,N396=""),"",MAX(0,((L396+J396)/2)*I396-N396*I396/M396)),MAX(0,O396))))</f>
        <v/>
      </c>
      <c r="T396" s="14">
        <f>IF(S396="","",SUMIFS($S$2:$S$501,$C$2:$C$501,C396,$H$2:$H$501,H396,$G$2:$G$501,"&lt;"&amp;G396)+SUMIFS($S$2:$S$501,$C$2:$C$501,C396,$H$2:$H$501,H396,$G$2:$G$501,G396,$A$2:$A$501,"&lt;"&amp;A396))</f>
        <v/>
      </c>
      <c r="U396" s="14">
        <f>IF(S396="","",T396+S396)</f>
        <v/>
      </c>
      <c r="V396" s="15">
        <f>IF(U396="","",VLOOKUP(U396,'税率及规则'!$A$2:$C$8,2,TRUE))</f>
        <v/>
      </c>
      <c r="W396" s="14">
        <f>IF(U396="","",VLOOKUP(U396,'税率及规则'!$A$2:$C$8,3,TRUE))</f>
        <v/>
      </c>
      <c r="X396" s="14">
        <f>IF(U396="","",MAX(0,U396*V396-W396))</f>
        <v/>
      </c>
      <c r="Y396" s="14">
        <f>IF(T396="","",MAX(0,T396*VLOOKUP(T396,'税率及规则'!$A$2:$C$8,2,TRUE)-VLOOKUP(T396,'税率及规则'!$A$2:$C$8,3,TRUE)))</f>
        <v/>
      </c>
      <c r="Z396" s="14">
        <f>IF(X396="","",MAX(0,X396-Y396))</f>
        <v/>
      </c>
      <c r="AA396" s="16">
        <f>IF(G396="","",G396)</f>
        <v/>
      </c>
      <c r="AB396" s="16">
        <f>IF(AA396="","",EDATE(AA396,36))</f>
        <v/>
      </c>
      <c r="AC396" s="6">
        <f>IF(A396="","",IF(COUNTIF($A$2:$A$501,A396)&gt;1,"异常：事件编号重复",IF(OR(C396="",D396="",E396="",F396="",G396="",I396="",J396=""),"异常：必填项缺失",IF(OR(I396&lt;=0,J396&lt;0),"异常：数量或价格无效",IF(AND(F396="限制性股票",OR(M396&lt;=0,N396&lt;0,I396&gt;M396)),"异常：个人获授或出资数据无效",IF(AND(F396="股票期权",K396&lt;&gt;IF(G396&lt;DATE(2025,1,10),14.56,IF(G396&lt;DATE(2025,4,29),14.32,IF(G396&lt;DATE(2025,9,26),14.18,14.04)))),"异常：行权价格区间不符",IF(Q396&lt;&gt;"已备案","提示：未确认备案","正常")))))))</f>
        <v/>
      </c>
      <c r="AD396" s="11" t="n"/>
    </row>
    <row r="397">
      <c r="A397" s="11" t="n"/>
      <c r="B397" s="6">
        <f>IF(A397="","",A397&amp;"-TAX")</f>
        <v/>
      </c>
      <c r="C397" s="11" t="n"/>
      <c r="D397" s="11" t="n"/>
      <c r="E397" s="11" t="n"/>
      <c r="F397" s="11" t="n"/>
      <c r="G397" s="12" t="n"/>
      <c r="H397" s="6">
        <f>IF(G397="","",YEAR(G397))</f>
        <v/>
      </c>
      <c r="I397" s="11" t="n"/>
      <c r="J397" s="13" t="n"/>
      <c r="K397" s="14">
        <f>IF(F397="股票期权",IF(G397="","",IF(G397&lt;DATE(2025,1,10),14.56,IF(G397&lt;DATE(2025,4,29),14.32,IF(G397&lt;DATE(2025,9,26),14.18,14.04)))),IF(F397="限制性股票",8.68,""))</f>
        <v/>
      </c>
      <c r="L397" s="14">
        <f>IF(F397="限制性股票",13.06,"")</f>
        <v/>
      </c>
      <c r="M397" s="11" t="n"/>
      <c r="N397" s="13" t="n"/>
      <c r="O397" s="13" t="n"/>
      <c r="P397" s="12" t="n"/>
      <c r="Q397" s="11" t="n"/>
      <c r="R397" s="12" t="n"/>
      <c r="S397" s="14">
        <f>IF(OR(A397="",C397="",F397="",G397="",I397="",J397=""),"",IF(F397="股票期权",MAX(0,(J397-K397)*I397),IF(F397="限制性股票",IF(OR(L397="",M397="",M397&lt;=0,N397=""),"",MAX(0,((L397+J397)/2)*I397-N397*I397/M397)),MAX(0,O397))))</f>
        <v/>
      </c>
      <c r="T397" s="14">
        <f>IF(S397="","",SUMIFS($S$2:$S$501,$C$2:$C$501,C397,$H$2:$H$501,H397,$G$2:$G$501,"&lt;"&amp;G397)+SUMIFS($S$2:$S$501,$C$2:$C$501,C397,$H$2:$H$501,H397,$G$2:$G$501,G397,$A$2:$A$501,"&lt;"&amp;A397))</f>
        <v/>
      </c>
      <c r="U397" s="14">
        <f>IF(S397="","",T397+S397)</f>
        <v/>
      </c>
      <c r="V397" s="15">
        <f>IF(U397="","",VLOOKUP(U397,'税率及规则'!$A$2:$C$8,2,TRUE))</f>
        <v/>
      </c>
      <c r="W397" s="14">
        <f>IF(U397="","",VLOOKUP(U397,'税率及规则'!$A$2:$C$8,3,TRUE))</f>
        <v/>
      </c>
      <c r="X397" s="14">
        <f>IF(U397="","",MAX(0,U397*V397-W397))</f>
        <v/>
      </c>
      <c r="Y397" s="14">
        <f>IF(T397="","",MAX(0,T397*VLOOKUP(T397,'税率及规则'!$A$2:$C$8,2,TRUE)-VLOOKUP(T397,'税率及规则'!$A$2:$C$8,3,TRUE)))</f>
        <v/>
      </c>
      <c r="Z397" s="14">
        <f>IF(X397="","",MAX(0,X397-Y397))</f>
        <v/>
      </c>
      <c r="AA397" s="16">
        <f>IF(G397="","",G397)</f>
        <v/>
      </c>
      <c r="AB397" s="16">
        <f>IF(AA397="","",EDATE(AA397,36))</f>
        <v/>
      </c>
      <c r="AC397" s="6">
        <f>IF(A397="","",IF(COUNTIF($A$2:$A$501,A397)&gt;1,"异常：事件编号重复",IF(OR(C397="",D397="",E397="",F397="",G397="",I397="",J397=""),"异常：必填项缺失",IF(OR(I397&lt;=0,J397&lt;0),"异常：数量或价格无效",IF(AND(F397="限制性股票",OR(M397&lt;=0,N397&lt;0,I397&gt;M397)),"异常：个人获授或出资数据无效",IF(AND(F397="股票期权",K397&lt;&gt;IF(G397&lt;DATE(2025,1,10),14.56,IF(G397&lt;DATE(2025,4,29),14.32,IF(G397&lt;DATE(2025,9,26),14.18,14.04)))),"异常：行权价格区间不符",IF(Q397&lt;&gt;"已备案","提示：未确认备案","正常")))))))</f>
        <v/>
      </c>
      <c r="AD397" s="11" t="n"/>
    </row>
    <row r="398">
      <c r="A398" s="11" t="n"/>
      <c r="B398" s="6">
        <f>IF(A398="","",A398&amp;"-TAX")</f>
        <v/>
      </c>
      <c r="C398" s="11" t="n"/>
      <c r="D398" s="11" t="n"/>
      <c r="E398" s="11" t="n"/>
      <c r="F398" s="11" t="n"/>
      <c r="G398" s="12" t="n"/>
      <c r="H398" s="6">
        <f>IF(G398="","",YEAR(G398))</f>
        <v/>
      </c>
      <c r="I398" s="11" t="n"/>
      <c r="J398" s="13" t="n"/>
      <c r="K398" s="14">
        <f>IF(F398="股票期权",IF(G398="","",IF(G398&lt;DATE(2025,1,10),14.56,IF(G398&lt;DATE(2025,4,29),14.32,IF(G398&lt;DATE(2025,9,26),14.18,14.04)))),IF(F398="限制性股票",8.68,""))</f>
        <v/>
      </c>
      <c r="L398" s="14">
        <f>IF(F398="限制性股票",13.06,"")</f>
        <v/>
      </c>
      <c r="M398" s="11" t="n"/>
      <c r="N398" s="13" t="n"/>
      <c r="O398" s="13" t="n"/>
      <c r="P398" s="12" t="n"/>
      <c r="Q398" s="11" t="n"/>
      <c r="R398" s="12" t="n"/>
      <c r="S398" s="14">
        <f>IF(OR(A398="",C398="",F398="",G398="",I398="",J398=""),"",IF(F398="股票期权",MAX(0,(J398-K398)*I398),IF(F398="限制性股票",IF(OR(L398="",M398="",M398&lt;=0,N398=""),"",MAX(0,((L398+J398)/2)*I398-N398*I398/M398)),MAX(0,O398))))</f>
        <v/>
      </c>
      <c r="T398" s="14">
        <f>IF(S398="","",SUMIFS($S$2:$S$501,$C$2:$C$501,C398,$H$2:$H$501,H398,$G$2:$G$501,"&lt;"&amp;G398)+SUMIFS($S$2:$S$501,$C$2:$C$501,C398,$H$2:$H$501,H398,$G$2:$G$501,G398,$A$2:$A$501,"&lt;"&amp;A398))</f>
        <v/>
      </c>
      <c r="U398" s="14">
        <f>IF(S398="","",T398+S398)</f>
        <v/>
      </c>
      <c r="V398" s="15">
        <f>IF(U398="","",VLOOKUP(U398,'税率及规则'!$A$2:$C$8,2,TRUE))</f>
        <v/>
      </c>
      <c r="W398" s="14">
        <f>IF(U398="","",VLOOKUP(U398,'税率及规则'!$A$2:$C$8,3,TRUE))</f>
        <v/>
      </c>
      <c r="X398" s="14">
        <f>IF(U398="","",MAX(0,U398*V398-W398))</f>
        <v/>
      </c>
      <c r="Y398" s="14">
        <f>IF(T398="","",MAX(0,T398*VLOOKUP(T398,'税率及规则'!$A$2:$C$8,2,TRUE)-VLOOKUP(T398,'税率及规则'!$A$2:$C$8,3,TRUE)))</f>
        <v/>
      </c>
      <c r="Z398" s="14">
        <f>IF(X398="","",MAX(0,X398-Y398))</f>
        <v/>
      </c>
      <c r="AA398" s="16">
        <f>IF(G398="","",G398)</f>
        <v/>
      </c>
      <c r="AB398" s="16">
        <f>IF(AA398="","",EDATE(AA398,36))</f>
        <v/>
      </c>
      <c r="AC398" s="6">
        <f>IF(A398="","",IF(COUNTIF($A$2:$A$501,A398)&gt;1,"异常：事件编号重复",IF(OR(C398="",D398="",E398="",F398="",G398="",I398="",J398=""),"异常：必填项缺失",IF(OR(I398&lt;=0,J398&lt;0),"异常：数量或价格无效",IF(AND(F398="限制性股票",OR(M398&lt;=0,N398&lt;0,I398&gt;M398)),"异常：个人获授或出资数据无效",IF(AND(F398="股票期权",K398&lt;&gt;IF(G398&lt;DATE(2025,1,10),14.56,IF(G398&lt;DATE(2025,4,29),14.32,IF(G398&lt;DATE(2025,9,26),14.18,14.04)))),"异常：行权价格区间不符",IF(Q398&lt;&gt;"已备案","提示：未确认备案","正常")))))))</f>
        <v/>
      </c>
      <c r="AD398" s="11" t="n"/>
    </row>
    <row r="399">
      <c r="A399" s="11" t="n"/>
      <c r="B399" s="6">
        <f>IF(A399="","",A399&amp;"-TAX")</f>
        <v/>
      </c>
      <c r="C399" s="11" t="n"/>
      <c r="D399" s="11" t="n"/>
      <c r="E399" s="11" t="n"/>
      <c r="F399" s="11" t="n"/>
      <c r="G399" s="12" t="n"/>
      <c r="H399" s="6">
        <f>IF(G399="","",YEAR(G399))</f>
        <v/>
      </c>
      <c r="I399" s="11" t="n"/>
      <c r="J399" s="13" t="n"/>
      <c r="K399" s="14">
        <f>IF(F399="股票期权",IF(G399="","",IF(G399&lt;DATE(2025,1,10),14.56,IF(G399&lt;DATE(2025,4,29),14.32,IF(G399&lt;DATE(2025,9,26),14.18,14.04)))),IF(F399="限制性股票",8.68,""))</f>
        <v/>
      </c>
      <c r="L399" s="14">
        <f>IF(F399="限制性股票",13.06,"")</f>
        <v/>
      </c>
      <c r="M399" s="11" t="n"/>
      <c r="N399" s="13" t="n"/>
      <c r="O399" s="13" t="n"/>
      <c r="P399" s="12" t="n"/>
      <c r="Q399" s="11" t="n"/>
      <c r="R399" s="12" t="n"/>
      <c r="S399" s="14">
        <f>IF(OR(A399="",C399="",F399="",G399="",I399="",J399=""),"",IF(F399="股票期权",MAX(0,(J399-K399)*I399),IF(F399="限制性股票",IF(OR(L399="",M399="",M399&lt;=0,N399=""),"",MAX(0,((L399+J399)/2)*I399-N399*I399/M399)),MAX(0,O399))))</f>
        <v/>
      </c>
      <c r="T399" s="14">
        <f>IF(S399="","",SUMIFS($S$2:$S$501,$C$2:$C$501,C399,$H$2:$H$501,H399,$G$2:$G$501,"&lt;"&amp;G399)+SUMIFS($S$2:$S$501,$C$2:$C$501,C399,$H$2:$H$501,H399,$G$2:$G$501,G399,$A$2:$A$501,"&lt;"&amp;A399))</f>
        <v/>
      </c>
      <c r="U399" s="14">
        <f>IF(S399="","",T399+S399)</f>
        <v/>
      </c>
      <c r="V399" s="15">
        <f>IF(U399="","",VLOOKUP(U399,'税率及规则'!$A$2:$C$8,2,TRUE))</f>
        <v/>
      </c>
      <c r="W399" s="14">
        <f>IF(U399="","",VLOOKUP(U399,'税率及规则'!$A$2:$C$8,3,TRUE))</f>
        <v/>
      </c>
      <c r="X399" s="14">
        <f>IF(U399="","",MAX(0,U399*V399-W399))</f>
        <v/>
      </c>
      <c r="Y399" s="14">
        <f>IF(T399="","",MAX(0,T399*VLOOKUP(T399,'税率及规则'!$A$2:$C$8,2,TRUE)-VLOOKUP(T399,'税率及规则'!$A$2:$C$8,3,TRUE)))</f>
        <v/>
      </c>
      <c r="Z399" s="14">
        <f>IF(X399="","",MAX(0,X399-Y399))</f>
        <v/>
      </c>
      <c r="AA399" s="16">
        <f>IF(G399="","",G399)</f>
        <v/>
      </c>
      <c r="AB399" s="16">
        <f>IF(AA399="","",EDATE(AA399,36))</f>
        <v/>
      </c>
      <c r="AC399" s="6">
        <f>IF(A399="","",IF(COUNTIF($A$2:$A$501,A399)&gt;1,"异常：事件编号重复",IF(OR(C399="",D399="",E399="",F399="",G399="",I399="",J399=""),"异常：必填项缺失",IF(OR(I399&lt;=0,J399&lt;0),"异常：数量或价格无效",IF(AND(F399="限制性股票",OR(M399&lt;=0,N399&lt;0,I399&gt;M399)),"异常：个人获授或出资数据无效",IF(AND(F399="股票期权",K399&lt;&gt;IF(G399&lt;DATE(2025,1,10),14.56,IF(G399&lt;DATE(2025,4,29),14.32,IF(G399&lt;DATE(2025,9,26),14.18,14.04)))),"异常：行权价格区间不符",IF(Q399&lt;&gt;"已备案","提示：未确认备案","正常")))))))</f>
        <v/>
      </c>
      <c r="AD399" s="11" t="n"/>
    </row>
    <row r="400">
      <c r="A400" s="11" t="n"/>
      <c r="B400" s="6">
        <f>IF(A400="","",A400&amp;"-TAX")</f>
        <v/>
      </c>
      <c r="C400" s="11" t="n"/>
      <c r="D400" s="11" t="n"/>
      <c r="E400" s="11" t="n"/>
      <c r="F400" s="11" t="n"/>
      <c r="G400" s="12" t="n"/>
      <c r="H400" s="6">
        <f>IF(G400="","",YEAR(G400))</f>
        <v/>
      </c>
      <c r="I400" s="11" t="n"/>
      <c r="J400" s="13" t="n"/>
      <c r="K400" s="14">
        <f>IF(F400="股票期权",IF(G400="","",IF(G400&lt;DATE(2025,1,10),14.56,IF(G400&lt;DATE(2025,4,29),14.32,IF(G400&lt;DATE(2025,9,26),14.18,14.04)))),IF(F400="限制性股票",8.68,""))</f>
        <v/>
      </c>
      <c r="L400" s="14">
        <f>IF(F400="限制性股票",13.06,"")</f>
        <v/>
      </c>
      <c r="M400" s="11" t="n"/>
      <c r="N400" s="13" t="n"/>
      <c r="O400" s="13" t="n"/>
      <c r="P400" s="12" t="n"/>
      <c r="Q400" s="11" t="n"/>
      <c r="R400" s="12" t="n"/>
      <c r="S400" s="14">
        <f>IF(OR(A400="",C400="",F400="",G400="",I400="",J400=""),"",IF(F400="股票期权",MAX(0,(J400-K400)*I400),IF(F400="限制性股票",IF(OR(L400="",M400="",M400&lt;=0,N400=""),"",MAX(0,((L400+J400)/2)*I400-N400*I400/M400)),MAX(0,O400))))</f>
        <v/>
      </c>
      <c r="T400" s="14">
        <f>IF(S400="","",SUMIFS($S$2:$S$501,$C$2:$C$501,C400,$H$2:$H$501,H400,$G$2:$G$501,"&lt;"&amp;G400)+SUMIFS($S$2:$S$501,$C$2:$C$501,C400,$H$2:$H$501,H400,$G$2:$G$501,G400,$A$2:$A$501,"&lt;"&amp;A400))</f>
        <v/>
      </c>
      <c r="U400" s="14">
        <f>IF(S400="","",T400+S400)</f>
        <v/>
      </c>
      <c r="V400" s="15">
        <f>IF(U400="","",VLOOKUP(U400,'税率及规则'!$A$2:$C$8,2,TRUE))</f>
        <v/>
      </c>
      <c r="W400" s="14">
        <f>IF(U400="","",VLOOKUP(U400,'税率及规则'!$A$2:$C$8,3,TRUE))</f>
        <v/>
      </c>
      <c r="X400" s="14">
        <f>IF(U400="","",MAX(0,U400*V400-W400))</f>
        <v/>
      </c>
      <c r="Y400" s="14">
        <f>IF(T400="","",MAX(0,T400*VLOOKUP(T400,'税率及规则'!$A$2:$C$8,2,TRUE)-VLOOKUP(T400,'税率及规则'!$A$2:$C$8,3,TRUE)))</f>
        <v/>
      </c>
      <c r="Z400" s="14">
        <f>IF(X400="","",MAX(0,X400-Y400))</f>
        <v/>
      </c>
      <c r="AA400" s="16">
        <f>IF(G400="","",G400)</f>
        <v/>
      </c>
      <c r="AB400" s="16">
        <f>IF(AA400="","",EDATE(AA400,36))</f>
        <v/>
      </c>
      <c r="AC400" s="6">
        <f>IF(A400="","",IF(COUNTIF($A$2:$A$501,A400)&gt;1,"异常：事件编号重复",IF(OR(C400="",D400="",E400="",F400="",G400="",I400="",J400=""),"异常：必填项缺失",IF(OR(I400&lt;=0,J400&lt;0),"异常：数量或价格无效",IF(AND(F400="限制性股票",OR(M400&lt;=0,N400&lt;0,I400&gt;M400)),"异常：个人获授或出资数据无效",IF(AND(F400="股票期权",K400&lt;&gt;IF(G400&lt;DATE(2025,1,10),14.56,IF(G400&lt;DATE(2025,4,29),14.32,IF(G400&lt;DATE(2025,9,26),14.18,14.04)))),"异常：行权价格区间不符",IF(Q400&lt;&gt;"已备案","提示：未确认备案","正常")))))))</f>
        <v/>
      </c>
      <c r="AD400" s="11" t="n"/>
    </row>
    <row r="401">
      <c r="A401" s="11" t="n"/>
      <c r="B401" s="6">
        <f>IF(A401="","",A401&amp;"-TAX")</f>
        <v/>
      </c>
      <c r="C401" s="11" t="n"/>
      <c r="D401" s="11" t="n"/>
      <c r="E401" s="11" t="n"/>
      <c r="F401" s="11" t="n"/>
      <c r="G401" s="12" t="n"/>
      <c r="H401" s="6">
        <f>IF(G401="","",YEAR(G401))</f>
        <v/>
      </c>
      <c r="I401" s="11" t="n"/>
      <c r="J401" s="13" t="n"/>
      <c r="K401" s="14">
        <f>IF(F401="股票期权",IF(G401="","",IF(G401&lt;DATE(2025,1,10),14.56,IF(G401&lt;DATE(2025,4,29),14.32,IF(G401&lt;DATE(2025,9,26),14.18,14.04)))),IF(F401="限制性股票",8.68,""))</f>
        <v/>
      </c>
      <c r="L401" s="14">
        <f>IF(F401="限制性股票",13.06,"")</f>
        <v/>
      </c>
      <c r="M401" s="11" t="n"/>
      <c r="N401" s="13" t="n"/>
      <c r="O401" s="13" t="n"/>
      <c r="P401" s="12" t="n"/>
      <c r="Q401" s="11" t="n"/>
      <c r="R401" s="12" t="n"/>
      <c r="S401" s="14">
        <f>IF(OR(A401="",C401="",F401="",G401="",I401="",J401=""),"",IF(F401="股票期权",MAX(0,(J401-K401)*I401),IF(F401="限制性股票",IF(OR(L401="",M401="",M401&lt;=0,N401=""),"",MAX(0,((L401+J401)/2)*I401-N401*I401/M401)),MAX(0,O401))))</f>
        <v/>
      </c>
      <c r="T401" s="14">
        <f>IF(S401="","",SUMIFS($S$2:$S$501,$C$2:$C$501,C401,$H$2:$H$501,H401,$G$2:$G$501,"&lt;"&amp;G401)+SUMIFS($S$2:$S$501,$C$2:$C$501,C401,$H$2:$H$501,H401,$G$2:$G$501,G401,$A$2:$A$501,"&lt;"&amp;A401))</f>
        <v/>
      </c>
      <c r="U401" s="14">
        <f>IF(S401="","",T401+S401)</f>
        <v/>
      </c>
      <c r="V401" s="15">
        <f>IF(U401="","",VLOOKUP(U401,'税率及规则'!$A$2:$C$8,2,TRUE))</f>
        <v/>
      </c>
      <c r="W401" s="14">
        <f>IF(U401="","",VLOOKUP(U401,'税率及规则'!$A$2:$C$8,3,TRUE))</f>
        <v/>
      </c>
      <c r="X401" s="14">
        <f>IF(U401="","",MAX(0,U401*V401-W401))</f>
        <v/>
      </c>
      <c r="Y401" s="14">
        <f>IF(T401="","",MAX(0,T401*VLOOKUP(T401,'税率及规则'!$A$2:$C$8,2,TRUE)-VLOOKUP(T401,'税率及规则'!$A$2:$C$8,3,TRUE)))</f>
        <v/>
      </c>
      <c r="Z401" s="14">
        <f>IF(X401="","",MAX(0,X401-Y401))</f>
        <v/>
      </c>
      <c r="AA401" s="16">
        <f>IF(G401="","",G401)</f>
        <v/>
      </c>
      <c r="AB401" s="16">
        <f>IF(AA401="","",EDATE(AA401,36))</f>
        <v/>
      </c>
      <c r="AC401" s="6">
        <f>IF(A401="","",IF(COUNTIF($A$2:$A$501,A401)&gt;1,"异常：事件编号重复",IF(OR(C401="",D401="",E401="",F401="",G401="",I401="",J401=""),"异常：必填项缺失",IF(OR(I401&lt;=0,J401&lt;0),"异常：数量或价格无效",IF(AND(F401="限制性股票",OR(M401&lt;=0,N401&lt;0,I401&gt;M401)),"异常：个人获授或出资数据无效",IF(AND(F401="股票期权",K401&lt;&gt;IF(G401&lt;DATE(2025,1,10),14.56,IF(G401&lt;DATE(2025,4,29),14.32,IF(G401&lt;DATE(2025,9,26),14.18,14.04)))),"异常：行权价格区间不符",IF(Q401&lt;&gt;"已备案","提示：未确认备案","正常")))))))</f>
        <v/>
      </c>
      <c r="AD401" s="11" t="n"/>
    </row>
    <row r="402">
      <c r="A402" s="11" t="n"/>
      <c r="B402" s="6">
        <f>IF(A402="","",A402&amp;"-TAX")</f>
        <v/>
      </c>
      <c r="C402" s="11" t="n"/>
      <c r="D402" s="11" t="n"/>
      <c r="E402" s="11" t="n"/>
      <c r="F402" s="11" t="n"/>
      <c r="G402" s="12" t="n"/>
      <c r="H402" s="6">
        <f>IF(G402="","",YEAR(G402))</f>
        <v/>
      </c>
      <c r="I402" s="11" t="n"/>
      <c r="J402" s="13" t="n"/>
      <c r="K402" s="14">
        <f>IF(F402="股票期权",IF(G402="","",IF(G402&lt;DATE(2025,1,10),14.56,IF(G402&lt;DATE(2025,4,29),14.32,IF(G402&lt;DATE(2025,9,26),14.18,14.04)))),IF(F402="限制性股票",8.68,""))</f>
        <v/>
      </c>
      <c r="L402" s="14">
        <f>IF(F402="限制性股票",13.06,"")</f>
        <v/>
      </c>
      <c r="M402" s="11" t="n"/>
      <c r="N402" s="13" t="n"/>
      <c r="O402" s="13" t="n"/>
      <c r="P402" s="12" t="n"/>
      <c r="Q402" s="11" t="n"/>
      <c r="R402" s="12" t="n"/>
      <c r="S402" s="14">
        <f>IF(OR(A402="",C402="",F402="",G402="",I402="",J402=""),"",IF(F402="股票期权",MAX(0,(J402-K402)*I402),IF(F402="限制性股票",IF(OR(L402="",M402="",M402&lt;=0,N402=""),"",MAX(0,((L402+J402)/2)*I402-N402*I402/M402)),MAX(0,O402))))</f>
        <v/>
      </c>
      <c r="T402" s="14">
        <f>IF(S402="","",SUMIFS($S$2:$S$501,$C$2:$C$501,C402,$H$2:$H$501,H402,$G$2:$G$501,"&lt;"&amp;G402)+SUMIFS($S$2:$S$501,$C$2:$C$501,C402,$H$2:$H$501,H402,$G$2:$G$501,G402,$A$2:$A$501,"&lt;"&amp;A402))</f>
        <v/>
      </c>
      <c r="U402" s="14">
        <f>IF(S402="","",T402+S402)</f>
        <v/>
      </c>
      <c r="V402" s="15">
        <f>IF(U402="","",VLOOKUP(U402,'税率及规则'!$A$2:$C$8,2,TRUE))</f>
        <v/>
      </c>
      <c r="W402" s="14">
        <f>IF(U402="","",VLOOKUP(U402,'税率及规则'!$A$2:$C$8,3,TRUE))</f>
        <v/>
      </c>
      <c r="X402" s="14">
        <f>IF(U402="","",MAX(0,U402*V402-W402))</f>
        <v/>
      </c>
      <c r="Y402" s="14">
        <f>IF(T402="","",MAX(0,T402*VLOOKUP(T402,'税率及规则'!$A$2:$C$8,2,TRUE)-VLOOKUP(T402,'税率及规则'!$A$2:$C$8,3,TRUE)))</f>
        <v/>
      </c>
      <c r="Z402" s="14">
        <f>IF(X402="","",MAX(0,X402-Y402))</f>
        <v/>
      </c>
      <c r="AA402" s="16">
        <f>IF(G402="","",G402)</f>
        <v/>
      </c>
      <c r="AB402" s="16">
        <f>IF(AA402="","",EDATE(AA402,36))</f>
        <v/>
      </c>
      <c r="AC402" s="6">
        <f>IF(A402="","",IF(COUNTIF($A$2:$A$501,A402)&gt;1,"异常：事件编号重复",IF(OR(C402="",D402="",E402="",F402="",G402="",I402="",J402=""),"异常：必填项缺失",IF(OR(I402&lt;=0,J402&lt;0),"异常：数量或价格无效",IF(AND(F402="限制性股票",OR(M402&lt;=0,N402&lt;0,I402&gt;M402)),"异常：个人获授或出资数据无效",IF(AND(F402="股票期权",K402&lt;&gt;IF(G402&lt;DATE(2025,1,10),14.56,IF(G402&lt;DATE(2025,4,29),14.32,IF(G402&lt;DATE(2025,9,26),14.18,14.04)))),"异常：行权价格区间不符",IF(Q402&lt;&gt;"已备案","提示：未确认备案","正常")))))))</f>
        <v/>
      </c>
      <c r="AD402" s="11" t="n"/>
    </row>
    <row r="403">
      <c r="A403" s="11" t="n"/>
      <c r="B403" s="6">
        <f>IF(A403="","",A403&amp;"-TAX")</f>
        <v/>
      </c>
      <c r="C403" s="11" t="n"/>
      <c r="D403" s="11" t="n"/>
      <c r="E403" s="11" t="n"/>
      <c r="F403" s="11" t="n"/>
      <c r="G403" s="12" t="n"/>
      <c r="H403" s="6">
        <f>IF(G403="","",YEAR(G403))</f>
        <v/>
      </c>
      <c r="I403" s="11" t="n"/>
      <c r="J403" s="13" t="n"/>
      <c r="K403" s="14">
        <f>IF(F403="股票期权",IF(G403="","",IF(G403&lt;DATE(2025,1,10),14.56,IF(G403&lt;DATE(2025,4,29),14.32,IF(G403&lt;DATE(2025,9,26),14.18,14.04)))),IF(F403="限制性股票",8.68,""))</f>
        <v/>
      </c>
      <c r="L403" s="14">
        <f>IF(F403="限制性股票",13.06,"")</f>
        <v/>
      </c>
      <c r="M403" s="11" t="n"/>
      <c r="N403" s="13" t="n"/>
      <c r="O403" s="13" t="n"/>
      <c r="P403" s="12" t="n"/>
      <c r="Q403" s="11" t="n"/>
      <c r="R403" s="12" t="n"/>
      <c r="S403" s="14">
        <f>IF(OR(A403="",C403="",F403="",G403="",I403="",J403=""),"",IF(F403="股票期权",MAX(0,(J403-K403)*I403),IF(F403="限制性股票",IF(OR(L403="",M403="",M403&lt;=0,N403=""),"",MAX(0,((L403+J403)/2)*I403-N403*I403/M403)),MAX(0,O403))))</f>
        <v/>
      </c>
      <c r="T403" s="14">
        <f>IF(S403="","",SUMIFS($S$2:$S$501,$C$2:$C$501,C403,$H$2:$H$501,H403,$G$2:$G$501,"&lt;"&amp;G403)+SUMIFS($S$2:$S$501,$C$2:$C$501,C403,$H$2:$H$501,H403,$G$2:$G$501,G403,$A$2:$A$501,"&lt;"&amp;A403))</f>
        <v/>
      </c>
      <c r="U403" s="14">
        <f>IF(S403="","",T403+S403)</f>
        <v/>
      </c>
      <c r="V403" s="15">
        <f>IF(U403="","",VLOOKUP(U403,'税率及规则'!$A$2:$C$8,2,TRUE))</f>
        <v/>
      </c>
      <c r="W403" s="14">
        <f>IF(U403="","",VLOOKUP(U403,'税率及规则'!$A$2:$C$8,3,TRUE))</f>
        <v/>
      </c>
      <c r="X403" s="14">
        <f>IF(U403="","",MAX(0,U403*V403-W403))</f>
        <v/>
      </c>
      <c r="Y403" s="14">
        <f>IF(T403="","",MAX(0,T403*VLOOKUP(T403,'税率及规则'!$A$2:$C$8,2,TRUE)-VLOOKUP(T403,'税率及规则'!$A$2:$C$8,3,TRUE)))</f>
        <v/>
      </c>
      <c r="Z403" s="14">
        <f>IF(X403="","",MAX(0,X403-Y403))</f>
        <v/>
      </c>
      <c r="AA403" s="16">
        <f>IF(G403="","",G403)</f>
        <v/>
      </c>
      <c r="AB403" s="16">
        <f>IF(AA403="","",EDATE(AA403,36))</f>
        <v/>
      </c>
      <c r="AC403" s="6">
        <f>IF(A403="","",IF(COUNTIF($A$2:$A$501,A403)&gt;1,"异常：事件编号重复",IF(OR(C403="",D403="",E403="",F403="",G403="",I403="",J403=""),"异常：必填项缺失",IF(OR(I403&lt;=0,J403&lt;0),"异常：数量或价格无效",IF(AND(F403="限制性股票",OR(M403&lt;=0,N403&lt;0,I403&gt;M403)),"异常：个人获授或出资数据无效",IF(AND(F403="股票期权",K403&lt;&gt;IF(G403&lt;DATE(2025,1,10),14.56,IF(G403&lt;DATE(2025,4,29),14.32,IF(G403&lt;DATE(2025,9,26),14.18,14.04)))),"异常：行权价格区间不符",IF(Q403&lt;&gt;"已备案","提示：未确认备案","正常")))))))</f>
        <v/>
      </c>
      <c r="AD403" s="11" t="n"/>
    </row>
    <row r="404">
      <c r="A404" s="11" t="n"/>
      <c r="B404" s="6">
        <f>IF(A404="","",A404&amp;"-TAX")</f>
        <v/>
      </c>
      <c r="C404" s="11" t="n"/>
      <c r="D404" s="11" t="n"/>
      <c r="E404" s="11" t="n"/>
      <c r="F404" s="11" t="n"/>
      <c r="G404" s="12" t="n"/>
      <c r="H404" s="6">
        <f>IF(G404="","",YEAR(G404))</f>
        <v/>
      </c>
      <c r="I404" s="11" t="n"/>
      <c r="J404" s="13" t="n"/>
      <c r="K404" s="14">
        <f>IF(F404="股票期权",IF(G404="","",IF(G404&lt;DATE(2025,1,10),14.56,IF(G404&lt;DATE(2025,4,29),14.32,IF(G404&lt;DATE(2025,9,26),14.18,14.04)))),IF(F404="限制性股票",8.68,""))</f>
        <v/>
      </c>
      <c r="L404" s="14">
        <f>IF(F404="限制性股票",13.06,"")</f>
        <v/>
      </c>
      <c r="M404" s="11" t="n"/>
      <c r="N404" s="13" t="n"/>
      <c r="O404" s="13" t="n"/>
      <c r="P404" s="12" t="n"/>
      <c r="Q404" s="11" t="n"/>
      <c r="R404" s="12" t="n"/>
      <c r="S404" s="14">
        <f>IF(OR(A404="",C404="",F404="",G404="",I404="",J404=""),"",IF(F404="股票期权",MAX(0,(J404-K404)*I404),IF(F404="限制性股票",IF(OR(L404="",M404="",M404&lt;=0,N404=""),"",MAX(0,((L404+J404)/2)*I404-N404*I404/M404)),MAX(0,O404))))</f>
        <v/>
      </c>
      <c r="T404" s="14">
        <f>IF(S404="","",SUMIFS($S$2:$S$501,$C$2:$C$501,C404,$H$2:$H$501,H404,$G$2:$G$501,"&lt;"&amp;G404)+SUMIFS($S$2:$S$501,$C$2:$C$501,C404,$H$2:$H$501,H404,$G$2:$G$501,G404,$A$2:$A$501,"&lt;"&amp;A404))</f>
        <v/>
      </c>
      <c r="U404" s="14">
        <f>IF(S404="","",T404+S404)</f>
        <v/>
      </c>
      <c r="V404" s="15">
        <f>IF(U404="","",VLOOKUP(U404,'税率及规则'!$A$2:$C$8,2,TRUE))</f>
        <v/>
      </c>
      <c r="W404" s="14">
        <f>IF(U404="","",VLOOKUP(U404,'税率及规则'!$A$2:$C$8,3,TRUE))</f>
        <v/>
      </c>
      <c r="X404" s="14">
        <f>IF(U404="","",MAX(0,U404*V404-W404))</f>
        <v/>
      </c>
      <c r="Y404" s="14">
        <f>IF(T404="","",MAX(0,T404*VLOOKUP(T404,'税率及规则'!$A$2:$C$8,2,TRUE)-VLOOKUP(T404,'税率及规则'!$A$2:$C$8,3,TRUE)))</f>
        <v/>
      </c>
      <c r="Z404" s="14">
        <f>IF(X404="","",MAX(0,X404-Y404))</f>
        <v/>
      </c>
      <c r="AA404" s="16">
        <f>IF(G404="","",G404)</f>
        <v/>
      </c>
      <c r="AB404" s="16">
        <f>IF(AA404="","",EDATE(AA404,36))</f>
        <v/>
      </c>
      <c r="AC404" s="6">
        <f>IF(A404="","",IF(COUNTIF($A$2:$A$501,A404)&gt;1,"异常：事件编号重复",IF(OR(C404="",D404="",E404="",F404="",G404="",I404="",J404=""),"异常：必填项缺失",IF(OR(I404&lt;=0,J404&lt;0),"异常：数量或价格无效",IF(AND(F404="限制性股票",OR(M404&lt;=0,N404&lt;0,I404&gt;M404)),"异常：个人获授或出资数据无效",IF(AND(F404="股票期权",K404&lt;&gt;IF(G404&lt;DATE(2025,1,10),14.56,IF(G404&lt;DATE(2025,4,29),14.32,IF(G404&lt;DATE(2025,9,26),14.18,14.04)))),"异常：行权价格区间不符",IF(Q404&lt;&gt;"已备案","提示：未确认备案","正常")))))))</f>
        <v/>
      </c>
      <c r="AD404" s="11" t="n"/>
    </row>
    <row r="405">
      <c r="A405" s="11" t="n"/>
      <c r="B405" s="6">
        <f>IF(A405="","",A405&amp;"-TAX")</f>
        <v/>
      </c>
      <c r="C405" s="11" t="n"/>
      <c r="D405" s="11" t="n"/>
      <c r="E405" s="11" t="n"/>
      <c r="F405" s="11" t="n"/>
      <c r="G405" s="12" t="n"/>
      <c r="H405" s="6">
        <f>IF(G405="","",YEAR(G405))</f>
        <v/>
      </c>
      <c r="I405" s="11" t="n"/>
      <c r="J405" s="13" t="n"/>
      <c r="K405" s="14">
        <f>IF(F405="股票期权",IF(G405="","",IF(G405&lt;DATE(2025,1,10),14.56,IF(G405&lt;DATE(2025,4,29),14.32,IF(G405&lt;DATE(2025,9,26),14.18,14.04)))),IF(F405="限制性股票",8.68,""))</f>
        <v/>
      </c>
      <c r="L405" s="14">
        <f>IF(F405="限制性股票",13.06,"")</f>
        <v/>
      </c>
      <c r="M405" s="11" t="n"/>
      <c r="N405" s="13" t="n"/>
      <c r="O405" s="13" t="n"/>
      <c r="P405" s="12" t="n"/>
      <c r="Q405" s="11" t="n"/>
      <c r="R405" s="12" t="n"/>
      <c r="S405" s="14">
        <f>IF(OR(A405="",C405="",F405="",G405="",I405="",J405=""),"",IF(F405="股票期权",MAX(0,(J405-K405)*I405),IF(F405="限制性股票",IF(OR(L405="",M405="",M405&lt;=0,N405=""),"",MAX(0,((L405+J405)/2)*I405-N405*I405/M405)),MAX(0,O405))))</f>
        <v/>
      </c>
      <c r="T405" s="14">
        <f>IF(S405="","",SUMIFS($S$2:$S$501,$C$2:$C$501,C405,$H$2:$H$501,H405,$G$2:$G$501,"&lt;"&amp;G405)+SUMIFS($S$2:$S$501,$C$2:$C$501,C405,$H$2:$H$501,H405,$G$2:$G$501,G405,$A$2:$A$501,"&lt;"&amp;A405))</f>
        <v/>
      </c>
      <c r="U405" s="14">
        <f>IF(S405="","",T405+S405)</f>
        <v/>
      </c>
      <c r="V405" s="15">
        <f>IF(U405="","",VLOOKUP(U405,'税率及规则'!$A$2:$C$8,2,TRUE))</f>
        <v/>
      </c>
      <c r="W405" s="14">
        <f>IF(U405="","",VLOOKUP(U405,'税率及规则'!$A$2:$C$8,3,TRUE))</f>
        <v/>
      </c>
      <c r="X405" s="14">
        <f>IF(U405="","",MAX(0,U405*V405-W405))</f>
        <v/>
      </c>
      <c r="Y405" s="14">
        <f>IF(T405="","",MAX(0,T405*VLOOKUP(T405,'税率及规则'!$A$2:$C$8,2,TRUE)-VLOOKUP(T405,'税率及规则'!$A$2:$C$8,3,TRUE)))</f>
        <v/>
      </c>
      <c r="Z405" s="14">
        <f>IF(X405="","",MAX(0,X405-Y405))</f>
        <v/>
      </c>
      <c r="AA405" s="16">
        <f>IF(G405="","",G405)</f>
        <v/>
      </c>
      <c r="AB405" s="16">
        <f>IF(AA405="","",EDATE(AA405,36))</f>
        <v/>
      </c>
      <c r="AC405" s="6">
        <f>IF(A405="","",IF(COUNTIF($A$2:$A$501,A405)&gt;1,"异常：事件编号重复",IF(OR(C405="",D405="",E405="",F405="",G405="",I405="",J405=""),"异常：必填项缺失",IF(OR(I405&lt;=0,J405&lt;0),"异常：数量或价格无效",IF(AND(F405="限制性股票",OR(M405&lt;=0,N405&lt;0,I405&gt;M405)),"异常：个人获授或出资数据无效",IF(AND(F405="股票期权",K405&lt;&gt;IF(G405&lt;DATE(2025,1,10),14.56,IF(G405&lt;DATE(2025,4,29),14.32,IF(G405&lt;DATE(2025,9,26),14.18,14.04)))),"异常：行权价格区间不符",IF(Q405&lt;&gt;"已备案","提示：未确认备案","正常")))))))</f>
        <v/>
      </c>
      <c r="AD405" s="11" t="n"/>
    </row>
    <row r="406">
      <c r="A406" s="11" t="n"/>
      <c r="B406" s="6">
        <f>IF(A406="","",A406&amp;"-TAX")</f>
        <v/>
      </c>
      <c r="C406" s="11" t="n"/>
      <c r="D406" s="11" t="n"/>
      <c r="E406" s="11" t="n"/>
      <c r="F406" s="11" t="n"/>
      <c r="G406" s="12" t="n"/>
      <c r="H406" s="6">
        <f>IF(G406="","",YEAR(G406))</f>
        <v/>
      </c>
      <c r="I406" s="11" t="n"/>
      <c r="J406" s="13" t="n"/>
      <c r="K406" s="14">
        <f>IF(F406="股票期权",IF(G406="","",IF(G406&lt;DATE(2025,1,10),14.56,IF(G406&lt;DATE(2025,4,29),14.32,IF(G406&lt;DATE(2025,9,26),14.18,14.04)))),IF(F406="限制性股票",8.68,""))</f>
        <v/>
      </c>
      <c r="L406" s="14">
        <f>IF(F406="限制性股票",13.06,"")</f>
        <v/>
      </c>
      <c r="M406" s="11" t="n"/>
      <c r="N406" s="13" t="n"/>
      <c r="O406" s="13" t="n"/>
      <c r="P406" s="12" t="n"/>
      <c r="Q406" s="11" t="n"/>
      <c r="R406" s="12" t="n"/>
      <c r="S406" s="14">
        <f>IF(OR(A406="",C406="",F406="",G406="",I406="",J406=""),"",IF(F406="股票期权",MAX(0,(J406-K406)*I406),IF(F406="限制性股票",IF(OR(L406="",M406="",M406&lt;=0,N406=""),"",MAX(0,((L406+J406)/2)*I406-N406*I406/M406)),MAX(0,O406))))</f>
        <v/>
      </c>
      <c r="T406" s="14">
        <f>IF(S406="","",SUMIFS($S$2:$S$501,$C$2:$C$501,C406,$H$2:$H$501,H406,$G$2:$G$501,"&lt;"&amp;G406)+SUMIFS($S$2:$S$501,$C$2:$C$501,C406,$H$2:$H$501,H406,$G$2:$G$501,G406,$A$2:$A$501,"&lt;"&amp;A406))</f>
        <v/>
      </c>
      <c r="U406" s="14">
        <f>IF(S406="","",T406+S406)</f>
        <v/>
      </c>
      <c r="V406" s="15">
        <f>IF(U406="","",VLOOKUP(U406,'税率及规则'!$A$2:$C$8,2,TRUE))</f>
        <v/>
      </c>
      <c r="W406" s="14">
        <f>IF(U406="","",VLOOKUP(U406,'税率及规则'!$A$2:$C$8,3,TRUE))</f>
        <v/>
      </c>
      <c r="X406" s="14">
        <f>IF(U406="","",MAX(0,U406*V406-W406))</f>
        <v/>
      </c>
      <c r="Y406" s="14">
        <f>IF(T406="","",MAX(0,T406*VLOOKUP(T406,'税率及规则'!$A$2:$C$8,2,TRUE)-VLOOKUP(T406,'税率及规则'!$A$2:$C$8,3,TRUE)))</f>
        <v/>
      </c>
      <c r="Z406" s="14">
        <f>IF(X406="","",MAX(0,X406-Y406))</f>
        <v/>
      </c>
      <c r="AA406" s="16">
        <f>IF(G406="","",G406)</f>
        <v/>
      </c>
      <c r="AB406" s="16">
        <f>IF(AA406="","",EDATE(AA406,36))</f>
        <v/>
      </c>
      <c r="AC406" s="6">
        <f>IF(A406="","",IF(COUNTIF($A$2:$A$501,A406)&gt;1,"异常：事件编号重复",IF(OR(C406="",D406="",E406="",F406="",G406="",I406="",J406=""),"异常：必填项缺失",IF(OR(I406&lt;=0,J406&lt;0),"异常：数量或价格无效",IF(AND(F406="限制性股票",OR(M406&lt;=0,N406&lt;0,I406&gt;M406)),"异常：个人获授或出资数据无效",IF(AND(F406="股票期权",K406&lt;&gt;IF(G406&lt;DATE(2025,1,10),14.56,IF(G406&lt;DATE(2025,4,29),14.32,IF(G406&lt;DATE(2025,9,26),14.18,14.04)))),"异常：行权价格区间不符",IF(Q406&lt;&gt;"已备案","提示：未确认备案","正常")))))))</f>
        <v/>
      </c>
      <c r="AD406" s="11" t="n"/>
    </row>
    <row r="407">
      <c r="A407" s="11" t="n"/>
      <c r="B407" s="6">
        <f>IF(A407="","",A407&amp;"-TAX")</f>
        <v/>
      </c>
      <c r="C407" s="11" t="n"/>
      <c r="D407" s="11" t="n"/>
      <c r="E407" s="11" t="n"/>
      <c r="F407" s="11" t="n"/>
      <c r="G407" s="12" t="n"/>
      <c r="H407" s="6">
        <f>IF(G407="","",YEAR(G407))</f>
        <v/>
      </c>
      <c r="I407" s="11" t="n"/>
      <c r="J407" s="13" t="n"/>
      <c r="K407" s="14">
        <f>IF(F407="股票期权",IF(G407="","",IF(G407&lt;DATE(2025,1,10),14.56,IF(G407&lt;DATE(2025,4,29),14.32,IF(G407&lt;DATE(2025,9,26),14.18,14.04)))),IF(F407="限制性股票",8.68,""))</f>
        <v/>
      </c>
      <c r="L407" s="14">
        <f>IF(F407="限制性股票",13.06,"")</f>
        <v/>
      </c>
      <c r="M407" s="11" t="n"/>
      <c r="N407" s="13" t="n"/>
      <c r="O407" s="13" t="n"/>
      <c r="P407" s="12" t="n"/>
      <c r="Q407" s="11" t="n"/>
      <c r="R407" s="12" t="n"/>
      <c r="S407" s="14">
        <f>IF(OR(A407="",C407="",F407="",G407="",I407="",J407=""),"",IF(F407="股票期权",MAX(0,(J407-K407)*I407),IF(F407="限制性股票",IF(OR(L407="",M407="",M407&lt;=0,N407=""),"",MAX(0,((L407+J407)/2)*I407-N407*I407/M407)),MAX(0,O407))))</f>
        <v/>
      </c>
      <c r="T407" s="14">
        <f>IF(S407="","",SUMIFS($S$2:$S$501,$C$2:$C$501,C407,$H$2:$H$501,H407,$G$2:$G$501,"&lt;"&amp;G407)+SUMIFS($S$2:$S$501,$C$2:$C$501,C407,$H$2:$H$501,H407,$G$2:$G$501,G407,$A$2:$A$501,"&lt;"&amp;A407))</f>
        <v/>
      </c>
      <c r="U407" s="14">
        <f>IF(S407="","",T407+S407)</f>
        <v/>
      </c>
      <c r="V407" s="15">
        <f>IF(U407="","",VLOOKUP(U407,'税率及规则'!$A$2:$C$8,2,TRUE))</f>
        <v/>
      </c>
      <c r="W407" s="14">
        <f>IF(U407="","",VLOOKUP(U407,'税率及规则'!$A$2:$C$8,3,TRUE))</f>
        <v/>
      </c>
      <c r="X407" s="14">
        <f>IF(U407="","",MAX(0,U407*V407-W407))</f>
        <v/>
      </c>
      <c r="Y407" s="14">
        <f>IF(T407="","",MAX(0,T407*VLOOKUP(T407,'税率及规则'!$A$2:$C$8,2,TRUE)-VLOOKUP(T407,'税率及规则'!$A$2:$C$8,3,TRUE)))</f>
        <v/>
      </c>
      <c r="Z407" s="14">
        <f>IF(X407="","",MAX(0,X407-Y407))</f>
        <v/>
      </c>
      <c r="AA407" s="16">
        <f>IF(G407="","",G407)</f>
        <v/>
      </c>
      <c r="AB407" s="16">
        <f>IF(AA407="","",EDATE(AA407,36))</f>
        <v/>
      </c>
      <c r="AC407" s="6">
        <f>IF(A407="","",IF(COUNTIF($A$2:$A$501,A407)&gt;1,"异常：事件编号重复",IF(OR(C407="",D407="",E407="",F407="",G407="",I407="",J407=""),"异常：必填项缺失",IF(OR(I407&lt;=0,J407&lt;0),"异常：数量或价格无效",IF(AND(F407="限制性股票",OR(M407&lt;=0,N407&lt;0,I407&gt;M407)),"异常：个人获授或出资数据无效",IF(AND(F407="股票期权",K407&lt;&gt;IF(G407&lt;DATE(2025,1,10),14.56,IF(G407&lt;DATE(2025,4,29),14.32,IF(G407&lt;DATE(2025,9,26),14.18,14.04)))),"异常：行权价格区间不符",IF(Q407&lt;&gt;"已备案","提示：未确认备案","正常")))))))</f>
        <v/>
      </c>
      <c r="AD407" s="11" t="n"/>
    </row>
    <row r="408">
      <c r="A408" s="11" t="n"/>
      <c r="B408" s="6">
        <f>IF(A408="","",A408&amp;"-TAX")</f>
        <v/>
      </c>
      <c r="C408" s="11" t="n"/>
      <c r="D408" s="11" t="n"/>
      <c r="E408" s="11" t="n"/>
      <c r="F408" s="11" t="n"/>
      <c r="G408" s="12" t="n"/>
      <c r="H408" s="6">
        <f>IF(G408="","",YEAR(G408))</f>
        <v/>
      </c>
      <c r="I408" s="11" t="n"/>
      <c r="J408" s="13" t="n"/>
      <c r="K408" s="14">
        <f>IF(F408="股票期权",IF(G408="","",IF(G408&lt;DATE(2025,1,10),14.56,IF(G408&lt;DATE(2025,4,29),14.32,IF(G408&lt;DATE(2025,9,26),14.18,14.04)))),IF(F408="限制性股票",8.68,""))</f>
        <v/>
      </c>
      <c r="L408" s="14">
        <f>IF(F408="限制性股票",13.06,"")</f>
        <v/>
      </c>
      <c r="M408" s="11" t="n"/>
      <c r="N408" s="13" t="n"/>
      <c r="O408" s="13" t="n"/>
      <c r="P408" s="12" t="n"/>
      <c r="Q408" s="11" t="n"/>
      <c r="R408" s="12" t="n"/>
      <c r="S408" s="14">
        <f>IF(OR(A408="",C408="",F408="",G408="",I408="",J408=""),"",IF(F408="股票期权",MAX(0,(J408-K408)*I408),IF(F408="限制性股票",IF(OR(L408="",M408="",M408&lt;=0,N408=""),"",MAX(0,((L408+J408)/2)*I408-N408*I408/M408)),MAX(0,O408))))</f>
        <v/>
      </c>
      <c r="T408" s="14">
        <f>IF(S408="","",SUMIFS($S$2:$S$501,$C$2:$C$501,C408,$H$2:$H$501,H408,$G$2:$G$501,"&lt;"&amp;G408)+SUMIFS($S$2:$S$501,$C$2:$C$501,C408,$H$2:$H$501,H408,$G$2:$G$501,G408,$A$2:$A$501,"&lt;"&amp;A408))</f>
        <v/>
      </c>
      <c r="U408" s="14">
        <f>IF(S408="","",T408+S408)</f>
        <v/>
      </c>
      <c r="V408" s="15">
        <f>IF(U408="","",VLOOKUP(U408,'税率及规则'!$A$2:$C$8,2,TRUE))</f>
        <v/>
      </c>
      <c r="W408" s="14">
        <f>IF(U408="","",VLOOKUP(U408,'税率及规则'!$A$2:$C$8,3,TRUE))</f>
        <v/>
      </c>
      <c r="X408" s="14">
        <f>IF(U408="","",MAX(0,U408*V408-W408))</f>
        <v/>
      </c>
      <c r="Y408" s="14">
        <f>IF(T408="","",MAX(0,T408*VLOOKUP(T408,'税率及规则'!$A$2:$C$8,2,TRUE)-VLOOKUP(T408,'税率及规则'!$A$2:$C$8,3,TRUE)))</f>
        <v/>
      </c>
      <c r="Z408" s="14">
        <f>IF(X408="","",MAX(0,X408-Y408))</f>
        <v/>
      </c>
      <c r="AA408" s="16">
        <f>IF(G408="","",G408)</f>
        <v/>
      </c>
      <c r="AB408" s="16">
        <f>IF(AA408="","",EDATE(AA408,36))</f>
        <v/>
      </c>
      <c r="AC408" s="6">
        <f>IF(A408="","",IF(COUNTIF($A$2:$A$501,A408)&gt;1,"异常：事件编号重复",IF(OR(C408="",D408="",E408="",F408="",G408="",I408="",J408=""),"异常：必填项缺失",IF(OR(I408&lt;=0,J408&lt;0),"异常：数量或价格无效",IF(AND(F408="限制性股票",OR(M408&lt;=0,N408&lt;0,I408&gt;M408)),"异常：个人获授或出资数据无效",IF(AND(F408="股票期权",K408&lt;&gt;IF(G408&lt;DATE(2025,1,10),14.56,IF(G408&lt;DATE(2025,4,29),14.32,IF(G408&lt;DATE(2025,9,26),14.18,14.04)))),"异常：行权价格区间不符",IF(Q408&lt;&gt;"已备案","提示：未确认备案","正常")))))))</f>
        <v/>
      </c>
      <c r="AD408" s="11" t="n"/>
    </row>
    <row r="409">
      <c r="A409" s="11" t="n"/>
      <c r="B409" s="6">
        <f>IF(A409="","",A409&amp;"-TAX")</f>
        <v/>
      </c>
      <c r="C409" s="11" t="n"/>
      <c r="D409" s="11" t="n"/>
      <c r="E409" s="11" t="n"/>
      <c r="F409" s="11" t="n"/>
      <c r="G409" s="12" t="n"/>
      <c r="H409" s="6">
        <f>IF(G409="","",YEAR(G409))</f>
        <v/>
      </c>
      <c r="I409" s="11" t="n"/>
      <c r="J409" s="13" t="n"/>
      <c r="K409" s="14">
        <f>IF(F409="股票期权",IF(G409="","",IF(G409&lt;DATE(2025,1,10),14.56,IF(G409&lt;DATE(2025,4,29),14.32,IF(G409&lt;DATE(2025,9,26),14.18,14.04)))),IF(F409="限制性股票",8.68,""))</f>
        <v/>
      </c>
      <c r="L409" s="14">
        <f>IF(F409="限制性股票",13.06,"")</f>
        <v/>
      </c>
      <c r="M409" s="11" t="n"/>
      <c r="N409" s="13" t="n"/>
      <c r="O409" s="13" t="n"/>
      <c r="P409" s="12" t="n"/>
      <c r="Q409" s="11" t="n"/>
      <c r="R409" s="12" t="n"/>
      <c r="S409" s="14">
        <f>IF(OR(A409="",C409="",F409="",G409="",I409="",J409=""),"",IF(F409="股票期权",MAX(0,(J409-K409)*I409),IF(F409="限制性股票",IF(OR(L409="",M409="",M409&lt;=0,N409=""),"",MAX(0,((L409+J409)/2)*I409-N409*I409/M409)),MAX(0,O409))))</f>
        <v/>
      </c>
      <c r="T409" s="14">
        <f>IF(S409="","",SUMIFS($S$2:$S$501,$C$2:$C$501,C409,$H$2:$H$501,H409,$G$2:$G$501,"&lt;"&amp;G409)+SUMIFS($S$2:$S$501,$C$2:$C$501,C409,$H$2:$H$501,H409,$G$2:$G$501,G409,$A$2:$A$501,"&lt;"&amp;A409))</f>
        <v/>
      </c>
      <c r="U409" s="14">
        <f>IF(S409="","",T409+S409)</f>
        <v/>
      </c>
      <c r="V409" s="15">
        <f>IF(U409="","",VLOOKUP(U409,'税率及规则'!$A$2:$C$8,2,TRUE))</f>
        <v/>
      </c>
      <c r="W409" s="14">
        <f>IF(U409="","",VLOOKUP(U409,'税率及规则'!$A$2:$C$8,3,TRUE))</f>
        <v/>
      </c>
      <c r="X409" s="14">
        <f>IF(U409="","",MAX(0,U409*V409-W409))</f>
        <v/>
      </c>
      <c r="Y409" s="14">
        <f>IF(T409="","",MAX(0,T409*VLOOKUP(T409,'税率及规则'!$A$2:$C$8,2,TRUE)-VLOOKUP(T409,'税率及规则'!$A$2:$C$8,3,TRUE)))</f>
        <v/>
      </c>
      <c r="Z409" s="14">
        <f>IF(X409="","",MAX(0,X409-Y409))</f>
        <v/>
      </c>
      <c r="AA409" s="16">
        <f>IF(G409="","",G409)</f>
        <v/>
      </c>
      <c r="AB409" s="16">
        <f>IF(AA409="","",EDATE(AA409,36))</f>
        <v/>
      </c>
      <c r="AC409" s="6">
        <f>IF(A409="","",IF(COUNTIF($A$2:$A$501,A409)&gt;1,"异常：事件编号重复",IF(OR(C409="",D409="",E409="",F409="",G409="",I409="",J409=""),"异常：必填项缺失",IF(OR(I409&lt;=0,J409&lt;0),"异常：数量或价格无效",IF(AND(F409="限制性股票",OR(M409&lt;=0,N409&lt;0,I409&gt;M409)),"异常：个人获授或出资数据无效",IF(AND(F409="股票期权",K409&lt;&gt;IF(G409&lt;DATE(2025,1,10),14.56,IF(G409&lt;DATE(2025,4,29),14.32,IF(G409&lt;DATE(2025,9,26),14.18,14.04)))),"异常：行权价格区间不符",IF(Q409&lt;&gt;"已备案","提示：未确认备案","正常")))))))</f>
        <v/>
      </c>
      <c r="AD409" s="11" t="n"/>
    </row>
    <row r="410">
      <c r="A410" s="11" t="n"/>
      <c r="B410" s="6">
        <f>IF(A410="","",A410&amp;"-TAX")</f>
        <v/>
      </c>
      <c r="C410" s="11" t="n"/>
      <c r="D410" s="11" t="n"/>
      <c r="E410" s="11" t="n"/>
      <c r="F410" s="11" t="n"/>
      <c r="G410" s="12" t="n"/>
      <c r="H410" s="6">
        <f>IF(G410="","",YEAR(G410))</f>
        <v/>
      </c>
      <c r="I410" s="11" t="n"/>
      <c r="J410" s="13" t="n"/>
      <c r="K410" s="14">
        <f>IF(F410="股票期权",IF(G410="","",IF(G410&lt;DATE(2025,1,10),14.56,IF(G410&lt;DATE(2025,4,29),14.32,IF(G410&lt;DATE(2025,9,26),14.18,14.04)))),IF(F410="限制性股票",8.68,""))</f>
        <v/>
      </c>
      <c r="L410" s="14">
        <f>IF(F410="限制性股票",13.06,"")</f>
        <v/>
      </c>
      <c r="M410" s="11" t="n"/>
      <c r="N410" s="13" t="n"/>
      <c r="O410" s="13" t="n"/>
      <c r="P410" s="12" t="n"/>
      <c r="Q410" s="11" t="n"/>
      <c r="R410" s="12" t="n"/>
      <c r="S410" s="14">
        <f>IF(OR(A410="",C410="",F410="",G410="",I410="",J410=""),"",IF(F410="股票期权",MAX(0,(J410-K410)*I410),IF(F410="限制性股票",IF(OR(L410="",M410="",M410&lt;=0,N410=""),"",MAX(0,((L410+J410)/2)*I410-N410*I410/M410)),MAX(0,O410))))</f>
        <v/>
      </c>
      <c r="T410" s="14">
        <f>IF(S410="","",SUMIFS($S$2:$S$501,$C$2:$C$501,C410,$H$2:$H$501,H410,$G$2:$G$501,"&lt;"&amp;G410)+SUMIFS($S$2:$S$501,$C$2:$C$501,C410,$H$2:$H$501,H410,$G$2:$G$501,G410,$A$2:$A$501,"&lt;"&amp;A410))</f>
        <v/>
      </c>
      <c r="U410" s="14">
        <f>IF(S410="","",T410+S410)</f>
        <v/>
      </c>
      <c r="V410" s="15">
        <f>IF(U410="","",VLOOKUP(U410,'税率及规则'!$A$2:$C$8,2,TRUE))</f>
        <v/>
      </c>
      <c r="W410" s="14">
        <f>IF(U410="","",VLOOKUP(U410,'税率及规则'!$A$2:$C$8,3,TRUE))</f>
        <v/>
      </c>
      <c r="X410" s="14">
        <f>IF(U410="","",MAX(0,U410*V410-W410))</f>
        <v/>
      </c>
      <c r="Y410" s="14">
        <f>IF(T410="","",MAX(0,T410*VLOOKUP(T410,'税率及规则'!$A$2:$C$8,2,TRUE)-VLOOKUP(T410,'税率及规则'!$A$2:$C$8,3,TRUE)))</f>
        <v/>
      </c>
      <c r="Z410" s="14">
        <f>IF(X410="","",MAX(0,X410-Y410))</f>
        <v/>
      </c>
      <c r="AA410" s="16">
        <f>IF(G410="","",G410)</f>
        <v/>
      </c>
      <c r="AB410" s="16">
        <f>IF(AA410="","",EDATE(AA410,36))</f>
        <v/>
      </c>
      <c r="AC410" s="6">
        <f>IF(A410="","",IF(COUNTIF($A$2:$A$501,A410)&gt;1,"异常：事件编号重复",IF(OR(C410="",D410="",E410="",F410="",G410="",I410="",J410=""),"异常：必填项缺失",IF(OR(I410&lt;=0,J410&lt;0),"异常：数量或价格无效",IF(AND(F410="限制性股票",OR(M410&lt;=0,N410&lt;0,I410&gt;M410)),"异常：个人获授或出资数据无效",IF(AND(F410="股票期权",K410&lt;&gt;IF(G410&lt;DATE(2025,1,10),14.56,IF(G410&lt;DATE(2025,4,29),14.32,IF(G410&lt;DATE(2025,9,26),14.18,14.04)))),"异常：行权价格区间不符",IF(Q410&lt;&gt;"已备案","提示：未确认备案","正常")))))))</f>
        <v/>
      </c>
      <c r="AD410" s="11" t="n"/>
    </row>
    <row r="411">
      <c r="A411" s="11" t="n"/>
      <c r="B411" s="6">
        <f>IF(A411="","",A411&amp;"-TAX")</f>
        <v/>
      </c>
      <c r="C411" s="11" t="n"/>
      <c r="D411" s="11" t="n"/>
      <c r="E411" s="11" t="n"/>
      <c r="F411" s="11" t="n"/>
      <c r="G411" s="12" t="n"/>
      <c r="H411" s="6">
        <f>IF(G411="","",YEAR(G411))</f>
        <v/>
      </c>
      <c r="I411" s="11" t="n"/>
      <c r="J411" s="13" t="n"/>
      <c r="K411" s="14">
        <f>IF(F411="股票期权",IF(G411="","",IF(G411&lt;DATE(2025,1,10),14.56,IF(G411&lt;DATE(2025,4,29),14.32,IF(G411&lt;DATE(2025,9,26),14.18,14.04)))),IF(F411="限制性股票",8.68,""))</f>
        <v/>
      </c>
      <c r="L411" s="14">
        <f>IF(F411="限制性股票",13.06,"")</f>
        <v/>
      </c>
      <c r="M411" s="11" t="n"/>
      <c r="N411" s="13" t="n"/>
      <c r="O411" s="13" t="n"/>
      <c r="P411" s="12" t="n"/>
      <c r="Q411" s="11" t="n"/>
      <c r="R411" s="12" t="n"/>
      <c r="S411" s="14">
        <f>IF(OR(A411="",C411="",F411="",G411="",I411="",J411=""),"",IF(F411="股票期权",MAX(0,(J411-K411)*I411),IF(F411="限制性股票",IF(OR(L411="",M411="",M411&lt;=0,N411=""),"",MAX(0,((L411+J411)/2)*I411-N411*I411/M411)),MAX(0,O411))))</f>
        <v/>
      </c>
      <c r="T411" s="14">
        <f>IF(S411="","",SUMIFS($S$2:$S$501,$C$2:$C$501,C411,$H$2:$H$501,H411,$G$2:$G$501,"&lt;"&amp;G411)+SUMIFS($S$2:$S$501,$C$2:$C$501,C411,$H$2:$H$501,H411,$G$2:$G$501,G411,$A$2:$A$501,"&lt;"&amp;A411))</f>
        <v/>
      </c>
      <c r="U411" s="14">
        <f>IF(S411="","",T411+S411)</f>
        <v/>
      </c>
      <c r="V411" s="15">
        <f>IF(U411="","",VLOOKUP(U411,'税率及规则'!$A$2:$C$8,2,TRUE))</f>
        <v/>
      </c>
      <c r="W411" s="14">
        <f>IF(U411="","",VLOOKUP(U411,'税率及规则'!$A$2:$C$8,3,TRUE))</f>
        <v/>
      </c>
      <c r="X411" s="14">
        <f>IF(U411="","",MAX(0,U411*V411-W411))</f>
        <v/>
      </c>
      <c r="Y411" s="14">
        <f>IF(T411="","",MAX(0,T411*VLOOKUP(T411,'税率及规则'!$A$2:$C$8,2,TRUE)-VLOOKUP(T411,'税率及规则'!$A$2:$C$8,3,TRUE)))</f>
        <v/>
      </c>
      <c r="Z411" s="14">
        <f>IF(X411="","",MAX(0,X411-Y411))</f>
        <v/>
      </c>
      <c r="AA411" s="16">
        <f>IF(G411="","",G411)</f>
        <v/>
      </c>
      <c r="AB411" s="16">
        <f>IF(AA411="","",EDATE(AA411,36))</f>
        <v/>
      </c>
      <c r="AC411" s="6">
        <f>IF(A411="","",IF(COUNTIF($A$2:$A$501,A411)&gt;1,"异常：事件编号重复",IF(OR(C411="",D411="",E411="",F411="",G411="",I411="",J411=""),"异常：必填项缺失",IF(OR(I411&lt;=0,J411&lt;0),"异常：数量或价格无效",IF(AND(F411="限制性股票",OR(M411&lt;=0,N411&lt;0,I411&gt;M411)),"异常：个人获授或出资数据无效",IF(AND(F411="股票期权",K411&lt;&gt;IF(G411&lt;DATE(2025,1,10),14.56,IF(G411&lt;DATE(2025,4,29),14.32,IF(G411&lt;DATE(2025,9,26),14.18,14.04)))),"异常：行权价格区间不符",IF(Q411&lt;&gt;"已备案","提示：未确认备案","正常")))))))</f>
        <v/>
      </c>
      <c r="AD411" s="11" t="n"/>
    </row>
    <row r="412">
      <c r="A412" s="11" t="n"/>
      <c r="B412" s="6">
        <f>IF(A412="","",A412&amp;"-TAX")</f>
        <v/>
      </c>
      <c r="C412" s="11" t="n"/>
      <c r="D412" s="11" t="n"/>
      <c r="E412" s="11" t="n"/>
      <c r="F412" s="11" t="n"/>
      <c r="G412" s="12" t="n"/>
      <c r="H412" s="6">
        <f>IF(G412="","",YEAR(G412))</f>
        <v/>
      </c>
      <c r="I412" s="11" t="n"/>
      <c r="J412" s="13" t="n"/>
      <c r="K412" s="14">
        <f>IF(F412="股票期权",IF(G412="","",IF(G412&lt;DATE(2025,1,10),14.56,IF(G412&lt;DATE(2025,4,29),14.32,IF(G412&lt;DATE(2025,9,26),14.18,14.04)))),IF(F412="限制性股票",8.68,""))</f>
        <v/>
      </c>
      <c r="L412" s="14">
        <f>IF(F412="限制性股票",13.06,"")</f>
        <v/>
      </c>
      <c r="M412" s="11" t="n"/>
      <c r="N412" s="13" t="n"/>
      <c r="O412" s="13" t="n"/>
      <c r="P412" s="12" t="n"/>
      <c r="Q412" s="11" t="n"/>
      <c r="R412" s="12" t="n"/>
      <c r="S412" s="14">
        <f>IF(OR(A412="",C412="",F412="",G412="",I412="",J412=""),"",IF(F412="股票期权",MAX(0,(J412-K412)*I412),IF(F412="限制性股票",IF(OR(L412="",M412="",M412&lt;=0,N412=""),"",MAX(0,((L412+J412)/2)*I412-N412*I412/M412)),MAX(0,O412))))</f>
        <v/>
      </c>
      <c r="T412" s="14">
        <f>IF(S412="","",SUMIFS($S$2:$S$501,$C$2:$C$501,C412,$H$2:$H$501,H412,$G$2:$G$501,"&lt;"&amp;G412)+SUMIFS($S$2:$S$501,$C$2:$C$501,C412,$H$2:$H$501,H412,$G$2:$G$501,G412,$A$2:$A$501,"&lt;"&amp;A412))</f>
        <v/>
      </c>
      <c r="U412" s="14">
        <f>IF(S412="","",T412+S412)</f>
        <v/>
      </c>
      <c r="V412" s="15">
        <f>IF(U412="","",VLOOKUP(U412,'税率及规则'!$A$2:$C$8,2,TRUE))</f>
        <v/>
      </c>
      <c r="W412" s="14">
        <f>IF(U412="","",VLOOKUP(U412,'税率及规则'!$A$2:$C$8,3,TRUE))</f>
        <v/>
      </c>
      <c r="X412" s="14">
        <f>IF(U412="","",MAX(0,U412*V412-W412))</f>
        <v/>
      </c>
      <c r="Y412" s="14">
        <f>IF(T412="","",MAX(0,T412*VLOOKUP(T412,'税率及规则'!$A$2:$C$8,2,TRUE)-VLOOKUP(T412,'税率及规则'!$A$2:$C$8,3,TRUE)))</f>
        <v/>
      </c>
      <c r="Z412" s="14">
        <f>IF(X412="","",MAX(0,X412-Y412))</f>
        <v/>
      </c>
      <c r="AA412" s="16">
        <f>IF(G412="","",G412)</f>
        <v/>
      </c>
      <c r="AB412" s="16">
        <f>IF(AA412="","",EDATE(AA412,36))</f>
        <v/>
      </c>
      <c r="AC412" s="6">
        <f>IF(A412="","",IF(COUNTIF($A$2:$A$501,A412)&gt;1,"异常：事件编号重复",IF(OR(C412="",D412="",E412="",F412="",G412="",I412="",J412=""),"异常：必填项缺失",IF(OR(I412&lt;=0,J412&lt;0),"异常：数量或价格无效",IF(AND(F412="限制性股票",OR(M412&lt;=0,N412&lt;0,I412&gt;M412)),"异常：个人获授或出资数据无效",IF(AND(F412="股票期权",K412&lt;&gt;IF(G412&lt;DATE(2025,1,10),14.56,IF(G412&lt;DATE(2025,4,29),14.32,IF(G412&lt;DATE(2025,9,26),14.18,14.04)))),"异常：行权价格区间不符",IF(Q412&lt;&gt;"已备案","提示：未确认备案","正常")))))))</f>
        <v/>
      </c>
      <c r="AD412" s="11" t="n"/>
    </row>
    <row r="413">
      <c r="A413" s="11" t="n"/>
      <c r="B413" s="6">
        <f>IF(A413="","",A413&amp;"-TAX")</f>
        <v/>
      </c>
      <c r="C413" s="11" t="n"/>
      <c r="D413" s="11" t="n"/>
      <c r="E413" s="11" t="n"/>
      <c r="F413" s="11" t="n"/>
      <c r="G413" s="12" t="n"/>
      <c r="H413" s="6">
        <f>IF(G413="","",YEAR(G413))</f>
        <v/>
      </c>
      <c r="I413" s="11" t="n"/>
      <c r="J413" s="13" t="n"/>
      <c r="K413" s="14">
        <f>IF(F413="股票期权",IF(G413="","",IF(G413&lt;DATE(2025,1,10),14.56,IF(G413&lt;DATE(2025,4,29),14.32,IF(G413&lt;DATE(2025,9,26),14.18,14.04)))),IF(F413="限制性股票",8.68,""))</f>
        <v/>
      </c>
      <c r="L413" s="14">
        <f>IF(F413="限制性股票",13.06,"")</f>
        <v/>
      </c>
      <c r="M413" s="11" t="n"/>
      <c r="N413" s="13" t="n"/>
      <c r="O413" s="13" t="n"/>
      <c r="P413" s="12" t="n"/>
      <c r="Q413" s="11" t="n"/>
      <c r="R413" s="12" t="n"/>
      <c r="S413" s="14">
        <f>IF(OR(A413="",C413="",F413="",G413="",I413="",J413=""),"",IF(F413="股票期权",MAX(0,(J413-K413)*I413),IF(F413="限制性股票",IF(OR(L413="",M413="",M413&lt;=0,N413=""),"",MAX(0,((L413+J413)/2)*I413-N413*I413/M413)),MAX(0,O413))))</f>
        <v/>
      </c>
      <c r="T413" s="14">
        <f>IF(S413="","",SUMIFS($S$2:$S$501,$C$2:$C$501,C413,$H$2:$H$501,H413,$G$2:$G$501,"&lt;"&amp;G413)+SUMIFS($S$2:$S$501,$C$2:$C$501,C413,$H$2:$H$501,H413,$G$2:$G$501,G413,$A$2:$A$501,"&lt;"&amp;A413))</f>
        <v/>
      </c>
      <c r="U413" s="14">
        <f>IF(S413="","",T413+S413)</f>
        <v/>
      </c>
      <c r="V413" s="15">
        <f>IF(U413="","",VLOOKUP(U413,'税率及规则'!$A$2:$C$8,2,TRUE))</f>
        <v/>
      </c>
      <c r="W413" s="14">
        <f>IF(U413="","",VLOOKUP(U413,'税率及规则'!$A$2:$C$8,3,TRUE))</f>
        <v/>
      </c>
      <c r="X413" s="14">
        <f>IF(U413="","",MAX(0,U413*V413-W413))</f>
        <v/>
      </c>
      <c r="Y413" s="14">
        <f>IF(T413="","",MAX(0,T413*VLOOKUP(T413,'税率及规则'!$A$2:$C$8,2,TRUE)-VLOOKUP(T413,'税率及规则'!$A$2:$C$8,3,TRUE)))</f>
        <v/>
      </c>
      <c r="Z413" s="14">
        <f>IF(X413="","",MAX(0,X413-Y413))</f>
        <v/>
      </c>
      <c r="AA413" s="16">
        <f>IF(G413="","",G413)</f>
        <v/>
      </c>
      <c r="AB413" s="16">
        <f>IF(AA413="","",EDATE(AA413,36))</f>
        <v/>
      </c>
      <c r="AC413" s="6">
        <f>IF(A413="","",IF(COUNTIF($A$2:$A$501,A413)&gt;1,"异常：事件编号重复",IF(OR(C413="",D413="",E413="",F413="",G413="",I413="",J413=""),"异常：必填项缺失",IF(OR(I413&lt;=0,J413&lt;0),"异常：数量或价格无效",IF(AND(F413="限制性股票",OR(M413&lt;=0,N413&lt;0,I413&gt;M413)),"异常：个人获授或出资数据无效",IF(AND(F413="股票期权",K413&lt;&gt;IF(G413&lt;DATE(2025,1,10),14.56,IF(G413&lt;DATE(2025,4,29),14.32,IF(G413&lt;DATE(2025,9,26),14.18,14.04)))),"异常：行权价格区间不符",IF(Q413&lt;&gt;"已备案","提示：未确认备案","正常")))))))</f>
        <v/>
      </c>
      <c r="AD413" s="11" t="n"/>
    </row>
    <row r="414">
      <c r="A414" s="11" t="n"/>
      <c r="B414" s="6">
        <f>IF(A414="","",A414&amp;"-TAX")</f>
        <v/>
      </c>
      <c r="C414" s="11" t="n"/>
      <c r="D414" s="11" t="n"/>
      <c r="E414" s="11" t="n"/>
      <c r="F414" s="11" t="n"/>
      <c r="G414" s="12" t="n"/>
      <c r="H414" s="6">
        <f>IF(G414="","",YEAR(G414))</f>
        <v/>
      </c>
      <c r="I414" s="11" t="n"/>
      <c r="J414" s="13" t="n"/>
      <c r="K414" s="14">
        <f>IF(F414="股票期权",IF(G414="","",IF(G414&lt;DATE(2025,1,10),14.56,IF(G414&lt;DATE(2025,4,29),14.32,IF(G414&lt;DATE(2025,9,26),14.18,14.04)))),IF(F414="限制性股票",8.68,""))</f>
        <v/>
      </c>
      <c r="L414" s="14">
        <f>IF(F414="限制性股票",13.06,"")</f>
        <v/>
      </c>
      <c r="M414" s="11" t="n"/>
      <c r="N414" s="13" t="n"/>
      <c r="O414" s="13" t="n"/>
      <c r="P414" s="12" t="n"/>
      <c r="Q414" s="11" t="n"/>
      <c r="R414" s="12" t="n"/>
      <c r="S414" s="14">
        <f>IF(OR(A414="",C414="",F414="",G414="",I414="",J414=""),"",IF(F414="股票期权",MAX(0,(J414-K414)*I414),IF(F414="限制性股票",IF(OR(L414="",M414="",M414&lt;=0,N414=""),"",MAX(0,((L414+J414)/2)*I414-N414*I414/M414)),MAX(0,O414))))</f>
        <v/>
      </c>
      <c r="T414" s="14">
        <f>IF(S414="","",SUMIFS($S$2:$S$501,$C$2:$C$501,C414,$H$2:$H$501,H414,$G$2:$G$501,"&lt;"&amp;G414)+SUMIFS($S$2:$S$501,$C$2:$C$501,C414,$H$2:$H$501,H414,$G$2:$G$501,G414,$A$2:$A$501,"&lt;"&amp;A414))</f>
        <v/>
      </c>
      <c r="U414" s="14">
        <f>IF(S414="","",T414+S414)</f>
        <v/>
      </c>
      <c r="V414" s="15">
        <f>IF(U414="","",VLOOKUP(U414,'税率及规则'!$A$2:$C$8,2,TRUE))</f>
        <v/>
      </c>
      <c r="W414" s="14">
        <f>IF(U414="","",VLOOKUP(U414,'税率及规则'!$A$2:$C$8,3,TRUE))</f>
        <v/>
      </c>
      <c r="X414" s="14">
        <f>IF(U414="","",MAX(0,U414*V414-W414))</f>
        <v/>
      </c>
      <c r="Y414" s="14">
        <f>IF(T414="","",MAX(0,T414*VLOOKUP(T414,'税率及规则'!$A$2:$C$8,2,TRUE)-VLOOKUP(T414,'税率及规则'!$A$2:$C$8,3,TRUE)))</f>
        <v/>
      </c>
      <c r="Z414" s="14">
        <f>IF(X414="","",MAX(0,X414-Y414))</f>
        <v/>
      </c>
      <c r="AA414" s="16">
        <f>IF(G414="","",G414)</f>
        <v/>
      </c>
      <c r="AB414" s="16">
        <f>IF(AA414="","",EDATE(AA414,36))</f>
        <v/>
      </c>
      <c r="AC414" s="6">
        <f>IF(A414="","",IF(COUNTIF($A$2:$A$501,A414)&gt;1,"异常：事件编号重复",IF(OR(C414="",D414="",E414="",F414="",G414="",I414="",J414=""),"异常：必填项缺失",IF(OR(I414&lt;=0,J414&lt;0),"异常：数量或价格无效",IF(AND(F414="限制性股票",OR(M414&lt;=0,N414&lt;0,I414&gt;M414)),"异常：个人获授或出资数据无效",IF(AND(F414="股票期权",K414&lt;&gt;IF(G414&lt;DATE(2025,1,10),14.56,IF(G414&lt;DATE(2025,4,29),14.32,IF(G414&lt;DATE(2025,9,26),14.18,14.04)))),"异常：行权价格区间不符",IF(Q414&lt;&gt;"已备案","提示：未确认备案","正常")))))))</f>
        <v/>
      </c>
      <c r="AD414" s="11" t="n"/>
    </row>
    <row r="415">
      <c r="A415" s="11" t="n"/>
      <c r="B415" s="6">
        <f>IF(A415="","",A415&amp;"-TAX")</f>
        <v/>
      </c>
      <c r="C415" s="11" t="n"/>
      <c r="D415" s="11" t="n"/>
      <c r="E415" s="11" t="n"/>
      <c r="F415" s="11" t="n"/>
      <c r="G415" s="12" t="n"/>
      <c r="H415" s="6">
        <f>IF(G415="","",YEAR(G415))</f>
        <v/>
      </c>
      <c r="I415" s="11" t="n"/>
      <c r="J415" s="13" t="n"/>
      <c r="K415" s="14">
        <f>IF(F415="股票期权",IF(G415="","",IF(G415&lt;DATE(2025,1,10),14.56,IF(G415&lt;DATE(2025,4,29),14.32,IF(G415&lt;DATE(2025,9,26),14.18,14.04)))),IF(F415="限制性股票",8.68,""))</f>
        <v/>
      </c>
      <c r="L415" s="14">
        <f>IF(F415="限制性股票",13.06,"")</f>
        <v/>
      </c>
      <c r="M415" s="11" t="n"/>
      <c r="N415" s="13" t="n"/>
      <c r="O415" s="13" t="n"/>
      <c r="P415" s="12" t="n"/>
      <c r="Q415" s="11" t="n"/>
      <c r="R415" s="12" t="n"/>
      <c r="S415" s="14">
        <f>IF(OR(A415="",C415="",F415="",G415="",I415="",J415=""),"",IF(F415="股票期权",MAX(0,(J415-K415)*I415),IF(F415="限制性股票",IF(OR(L415="",M415="",M415&lt;=0,N415=""),"",MAX(0,((L415+J415)/2)*I415-N415*I415/M415)),MAX(0,O415))))</f>
        <v/>
      </c>
      <c r="T415" s="14">
        <f>IF(S415="","",SUMIFS($S$2:$S$501,$C$2:$C$501,C415,$H$2:$H$501,H415,$G$2:$G$501,"&lt;"&amp;G415)+SUMIFS($S$2:$S$501,$C$2:$C$501,C415,$H$2:$H$501,H415,$G$2:$G$501,G415,$A$2:$A$501,"&lt;"&amp;A415))</f>
        <v/>
      </c>
      <c r="U415" s="14">
        <f>IF(S415="","",T415+S415)</f>
        <v/>
      </c>
      <c r="V415" s="15">
        <f>IF(U415="","",VLOOKUP(U415,'税率及规则'!$A$2:$C$8,2,TRUE))</f>
        <v/>
      </c>
      <c r="W415" s="14">
        <f>IF(U415="","",VLOOKUP(U415,'税率及规则'!$A$2:$C$8,3,TRUE))</f>
        <v/>
      </c>
      <c r="X415" s="14">
        <f>IF(U415="","",MAX(0,U415*V415-W415))</f>
        <v/>
      </c>
      <c r="Y415" s="14">
        <f>IF(T415="","",MAX(0,T415*VLOOKUP(T415,'税率及规则'!$A$2:$C$8,2,TRUE)-VLOOKUP(T415,'税率及规则'!$A$2:$C$8,3,TRUE)))</f>
        <v/>
      </c>
      <c r="Z415" s="14">
        <f>IF(X415="","",MAX(0,X415-Y415))</f>
        <v/>
      </c>
      <c r="AA415" s="16">
        <f>IF(G415="","",G415)</f>
        <v/>
      </c>
      <c r="AB415" s="16">
        <f>IF(AA415="","",EDATE(AA415,36))</f>
        <v/>
      </c>
      <c r="AC415" s="6">
        <f>IF(A415="","",IF(COUNTIF($A$2:$A$501,A415)&gt;1,"异常：事件编号重复",IF(OR(C415="",D415="",E415="",F415="",G415="",I415="",J415=""),"异常：必填项缺失",IF(OR(I415&lt;=0,J415&lt;0),"异常：数量或价格无效",IF(AND(F415="限制性股票",OR(M415&lt;=0,N415&lt;0,I415&gt;M415)),"异常：个人获授或出资数据无效",IF(AND(F415="股票期权",K415&lt;&gt;IF(G415&lt;DATE(2025,1,10),14.56,IF(G415&lt;DATE(2025,4,29),14.32,IF(G415&lt;DATE(2025,9,26),14.18,14.04)))),"异常：行权价格区间不符",IF(Q415&lt;&gt;"已备案","提示：未确认备案","正常")))))))</f>
        <v/>
      </c>
      <c r="AD415" s="11" t="n"/>
    </row>
    <row r="416">
      <c r="A416" s="11" t="n"/>
      <c r="B416" s="6">
        <f>IF(A416="","",A416&amp;"-TAX")</f>
        <v/>
      </c>
      <c r="C416" s="11" t="n"/>
      <c r="D416" s="11" t="n"/>
      <c r="E416" s="11" t="n"/>
      <c r="F416" s="11" t="n"/>
      <c r="G416" s="12" t="n"/>
      <c r="H416" s="6">
        <f>IF(G416="","",YEAR(G416))</f>
        <v/>
      </c>
      <c r="I416" s="11" t="n"/>
      <c r="J416" s="13" t="n"/>
      <c r="K416" s="14">
        <f>IF(F416="股票期权",IF(G416="","",IF(G416&lt;DATE(2025,1,10),14.56,IF(G416&lt;DATE(2025,4,29),14.32,IF(G416&lt;DATE(2025,9,26),14.18,14.04)))),IF(F416="限制性股票",8.68,""))</f>
        <v/>
      </c>
      <c r="L416" s="14">
        <f>IF(F416="限制性股票",13.06,"")</f>
        <v/>
      </c>
      <c r="M416" s="11" t="n"/>
      <c r="N416" s="13" t="n"/>
      <c r="O416" s="13" t="n"/>
      <c r="P416" s="12" t="n"/>
      <c r="Q416" s="11" t="n"/>
      <c r="R416" s="12" t="n"/>
      <c r="S416" s="14">
        <f>IF(OR(A416="",C416="",F416="",G416="",I416="",J416=""),"",IF(F416="股票期权",MAX(0,(J416-K416)*I416),IF(F416="限制性股票",IF(OR(L416="",M416="",M416&lt;=0,N416=""),"",MAX(0,((L416+J416)/2)*I416-N416*I416/M416)),MAX(0,O416))))</f>
        <v/>
      </c>
      <c r="T416" s="14">
        <f>IF(S416="","",SUMIFS($S$2:$S$501,$C$2:$C$501,C416,$H$2:$H$501,H416,$G$2:$G$501,"&lt;"&amp;G416)+SUMIFS($S$2:$S$501,$C$2:$C$501,C416,$H$2:$H$501,H416,$G$2:$G$501,G416,$A$2:$A$501,"&lt;"&amp;A416))</f>
        <v/>
      </c>
      <c r="U416" s="14">
        <f>IF(S416="","",T416+S416)</f>
        <v/>
      </c>
      <c r="V416" s="15">
        <f>IF(U416="","",VLOOKUP(U416,'税率及规则'!$A$2:$C$8,2,TRUE))</f>
        <v/>
      </c>
      <c r="W416" s="14">
        <f>IF(U416="","",VLOOKUP(U416,'税率及规则'!$A$2:$C$8,3,TRUE))</f>
        <v/>
      </c>
      <c r="X416" s="14">
        <f>IF(U416="","",MAX(0,U416*V416-W416))</f>
        <v/>
      </c>
      <c r="Y416" s="14">
        <f>IF(T416="","",MAX(0,T416*VLOOKUP(T416,'税率及规则'!$A$2:$C$8,2,TRUE)-VLOOKUP(T416,'税率及规则'!$A$2:$C$8,3,TRUE)))</f>
        <v/>
      </c>
      <c r="Z416" s="14">
        <f>IF(X416="","",MAX(0,X416-Y416))</f>
        <v/>
      </c>
      <c r="AA416" s="16">
        <f>IF(G416="","",G416)</f>
        <v/>
      </c>
      <c r="AB416" s="16">
        <f>IF(AA416="","",EDATE(AA416,36))</f>
        <v/>
      </c>
      <c r="AC416" s="6">
        <f>IF(A416="","",IF(COUNTIF($A$2:$A$501,A416)&gt;1,"异常：事件编号重复",IF(OR(C416="",D416="",E416="",F416="",G416="",I416="",J416=""),"异常：必填项缺失",IF(OR(I416&lt;=0,J416&lt;0),"异常：数量或价格无效",IF(AND(F416="限制性股票",OR(M416&lt;=0,N416&lt;0,I416&gt;M416)),"异常：个人获授或出资数据无效",IF(AND(F416="股票期权",K416&lt;&gt;IF(G416&lt;DATE(2025,1,10),14.56,IF(G416&lt;DATE(2025,4,29),14.32,IF(G416&lt;DATE(2025,9,26),14.18,14.04)))),"异常：行权价格区间不符",IF(Q416&lt;&gt;"已备案","提示：未确认备案","正常")))))))</f>
        <v/>
      </c>
      <c r="AD416" s="11" t="n"/>
    </row>
    <row r="417">
      <c r="A417" s="11" t="n"/>
      <c r="B417" s="6">
        <f>IF(A417="","",A417&amp;"-TAX")</f>
        <v/>
      </c>
      <c r="C417" s="11" t="n"/>
      <c r="D417" s="11" t="n"/>
      <c r="E417" s="11" t="n"/>
      <c r="F417" s="11" t="n"/>
      <c r="G417" s="12" t="n"/>
      <c r="H417" s="6">
        <f>IF(G417="","",YEAR(G417))</f>
        <v/>
      </c>
      <c r="I417" s="11" t="n"/>
      <c r="J417" s="13" t="n"/>
      <c r="K417" s="14">
        <f>IF(F417="股票期权",IF(G417="","",IF(G417&lt;DATE(2025,1,10),14.56,IF(G417&lt;DATE(2025,4,29),14.32,IF(G417&lt;DATE(2025,9,26),14.18,14.04)))),IF(F417="限制性股票",8.68,""))</f>
        <v/>
      </c>
      <c r="L417" s="14">
        <f>IF(F417="限制性股票",13.06,"")</f>
        <v/>
      </c>
      <c r="M417" s="11" t="n"/>
      <c r="N417" s="13" t="n"/>
      <c r="O417" s="13" t="n"/>
      <c r="P417" s="12" t="n"/>
      <c r="Q417" s="11" t="n"/>
      <c r="R417" s="12" t="n"/>
      <c r="S417" s="14">
        <f>IF(OR(A417="",C417="",F417="",G417="",I417="",J417=""),"",IF(F417="股票期权",MAX(0,(J417-K417)*I417),IF(F417="限制性股票",IF(OR(L417="",M417="",M417&lt;=0,N417=""),"",MAX(0,((L417+J417)/2)*I417-N417*I417/M417)),MAX(0,O417))))</f>
        <v/>
      </c>
      <c r="T417" s="14">
        <f>IF(S417="","",SUMIFS($S$2:$S$501,$C$2:$C$501,C417,$H$2:$H$501,H417,$G$2:$G$501,"&lt;"&amp;G417)+SUMIFS($S$2:$S$501,$C$2:$C$501,C417,$H$2:$H$501,H417,$G$2:$G$501,G417,$A$2:$A$501,"&lt;"&amp;A417))</f>
        <v/>
      </c>
      <c r="U417" s="14">
        <f>IF(S417="","",T417+S417)</f>
        <v/>
      </c>
      <c r="V417" s="15">
        <f>IF(U417="","",VLOOKUP(U417,'税率及规则'!$A$2:$C$8,2,TRUE))</f>
        <v/>
      </c>
      <c r="W417" s="14">
        <f>IF(U417="","",VLOOKUP(U417,'税率及规则'!$A$2:$C$8,3,TRUE))</f>
        <v/>
      </c>
      <c r="X417" s="14">
        <f>IF(U417="","",MAX(0,U417*V417-W417))</f>
        <v/>
      </c>
      <c r="Y417" s="14">
        <f>IF(T417="","",MAX(0,T417*VLOOKUP(T417,'税率及规则'!$A$2:$C$8,2,TRUE)-VLOOKUP(T417,'税率及规则'!$A$2:$C$8,3,TRUE)))</f>
        <v/>
      </c>
      <c r="Z417" s="14">
        <f>IF(X417="","",MAX(0,X417-Y417))</f>
        <v/>
      </c>
      <c r="AA417" s="16">
        <f>IF(G417="","",G417)</f>
        <v/>
      </c>
      <c r="AB417" s="16">
        <f>IF(AA417="","",EDATE(AA417,36))</f>
        <v/>
      </c>
      <c r="AC417" s="6">
        <f>IF(A417="","",IF(COUNTIF($A$2:$A$501,A417)&gt;1,"异常：事件编号重复",IF(OR(C417="",D417="",E417="",F417="",G417="",I417="",J417=""),"异常：必填项缺失",IF(OR(I417&lt;=0,J417&lt;0),"异常：数量或价格无效",IF(AND(F417="限制性股票",OR(M417&lt;=0,N417&lt;0,I417&gt;M417)),"异常：个人获授或出资数据无效",IF(AND(F417="股票期权",K417&lt;&gt;IF(G417&lt;DATE(2025,1,10),14.56,IF(G417&lt;DATE(2025,4,29),14.32,IF(G417&lt;DATE(2025,9,26),14.18,14.04)))),"异常：行权价格区间不符",IF(Q417&lt;&gt;"已备案","提示：未确认备案","正常")))))))</f>
        <v/>
      </c>
      <c r="AD417" s="11" t="n"/>
    </row>
    <row r="418">
      <c r="A418" s="11" t="n"/>
      <c r="B418" s="6">
        <f>IF(A418="","",A418&amp;"-TAX")</f>
        <v/>
      </c>
      <c r="C418" s="11" t="n"/>
      <c r="D418" s="11" t="n"/>
      <c r="E418" s="11" t="n"/>
      <c r="F418" s="11" t="n"/>
      <c r="G418" s="12" t="n"/>
      <c r="H418" s="6">
        <f>IF(G418="","",YEAR(G418))</f>
        <v/>
      </c>
      <c r="I418" s="11" t="n"/>
      <c r="J418" s="13" t="n"/>
      <c r="K418" s="14">
        <f>IF(F418="股票期权",IF(G418="","",IF(G418&lt;DATE(2025,1,10),14.56,IF(G418&lt;DATE(2025,4,29),14.32,IF(G418&lt;DATE(2025,9,26),14.18,14.04)))),IF(F418="限制性股票",8.68,""))</f>
        <v/>
      </c>
      <c r="L418" s="14">
        <f>IF(F418="限制性股票",13.06,"")</f>
        <v/>
      </c>
      <c r="M418" s="11" t="n"/>
      <c r="N418" s="13" t="n"/>
      <c r="O418" s="13" t="n"/>
      <c r="P418" s="12" t="n"/>
      <c r="Q418" s="11" t="n"/>
      <c r="R418" s="12" t="n"/>
      <c r="S418" s="14">
        <f>IF(OR(A418="",C418="",F418="",G418="",I418="",J418=""),"",IF(F418="股票期权",MAX(0,(J418-K418)*I418),IF(F418="限制性股票",IF(OR(L418="",M418="",M418&lt;=0,N418=""),"",MAX(0,((L418+J418)/2)*I418-N418*I418/M418)),MAX(0,O418))))</f>
        <v/>
      </c>
      <c r="T418" s="14">
        <f>IF(S418="","",SUMIFS($S$2:$S$501,$C$2:$C$501,C418,$H$2:$H$501,H418,$G$2:$G$501,"&lt;"&amp;G418)+SUMIFS($S$2:$S$501,$C$2:$C$501,C418,$H$2:$H$501,H418,$G$2:$G$501,G418,$A$2:$A$501,"&lt;"&amp;A418))</f>
        <v/>
      </c>
      <c r="U418" s="14">
        <f>IF(S418="","",T418+S418)</f>
        <v/>
      </c>
      <c r="V418" s="15">
        <f>IF(U418="","",VLOOKUP(U418,'税率及规则'!$A$2:$C$8,2,TRUE))</f>
        <v/>
      </c>
      <c r="W418" s="14">
        <f>IF(U418="","",VLOOKUP(U418,'税率及规则'!$A$2:$C$8,3,TRUE))</f>
        <v/>
      </c>
      <c r="X418" s="14">
        <f>IF(U418="","",MAX(0,U418*V418-W418))</f>
        <v/>
      </c>
      <c r="Y418" s="14">
        <f>IF(T418="","",MAX(0,T418*VLOOKUP(T418,'税率及规则'!$A$2:$C$8,2,TRUE)-VLOOKUP(T418,'税率及规则'!$A$2:$C$8,3,TRUE)))</f>
        <v/>
      </c>
      <c r="Z418" s="14">
        <f>IF(X418="","",MAX(0,X418-Y418))</f>
        <v/>
      </c>
      <c r="AA418" s="16">
        <f>IF(G418="","",G418)</f>
        <v/>
      </c>
      <c r="AB418" s="16">
        <f>IF(AA418="","",EDATE(AA418,36))</f>
        <v/>
      </c>
      <c r="AC418" s="6">
        <f>IF(A418="","",IF(COUNTIF($A$2:$A$501,A418)&gt;1,"异常：事件编号重复",IF(OR(C418="",D418="",E418="",F418="",G418="",I418="",J418=""),"异常：必填项缺失",IF(OR(I418&lt;=0,J418&lt;0),"异常：数量或价格无效",IF(AND(F418="限制性股票",OR(M418&lt;=0,N418&lt;0,I418&gt;M418)),"异常：个人获授或出资数据无效",IF(AND(F418="股票期权",K418&lt;&gt;IF(G418&lt;DATE(2025,1,10),14.56,IF(G418&lt;DATE(2025,4,29),14.32,IF(G418&lt;DATE(2025,9,26),14.18,14.04)))),"异常：行权价格区间不符",IF(Q418&lt;&gt;"已备案","提示：未确认备案","正常")))))))</f>
        <v/>
      </c>
      <c r="AD418" s="11" t="n"/>
    </row>
    <row r="419">
      <c r="A419" s="11" t="n"/>
      <c r="B419" s="6">
        <f>IF(A419="","",A419&amp;"-TAX")</f>
        <v/>
      </c>
      <c r="C419" s="11" t="n"/>
      <c r="D419" s="11" t="n"/>
      <c r="E419" s="11" t="n"/>
      <c r="F419" s="11" t="n"/>
      <c r="G419" s="12" t="n"/>
      <c r="H419" s="6">
        <f>IF(G419="","",YEAR(G419))</f>
        <v/>
      </c>
      <c r="I419" s="11" t="n"/>
      <c r="J419" s="13" t="n"/>
      <c r="K419" s="14">
        <f>IF(F419="股票期权",IF(G419="","",IF(G419&lt;DATE(2025,1,10),14.56,IF(G419&lt;DATE(2025,4,29),14.32,IF(G419&lt;DATE(2025,9,26),14.18,14.04)))),IF(F419="限制性股票",8.68,""))</f>
        <v/>
      </c>
      <c r="L419" s="14">
        <f>IF(F419="限制性股票",13.06,"")</f>
        <v/>
      </c>
      <c r="M419" s="11" t="n"/>
      <c r="N419" s="13" t="n"/>
      <c r="O419" s="13" t="n"/>
      <c r="P419" s="12" t="n"/>
      <c r="Q419" s="11" t="n"/>
      <c r="R419" s="12" t="n"/>
      <c r="S419" s="14">
        <f>IF(OR(A419="",C419="",F419="",G419="",I419="",J419=""),"",IF(F419="股票期权",MAX(0,(J419-K419)*I419),IF(F419="限制性股票",IF(OR(L419="",M419="",M419&lt;=0,N419=""),"",MAX(0,((L419+J419)/2)*I419-N419*I419/M419)),MAX(0,O419))))</f>
        <v/>
      </c>
      <c r="T419" s="14">
        <f>IF(S419="","",SUMIFS($S$2:$S$501,$C$2:$C$501,C419,$H$2:$H$501,H419,$G$2:$G$501,"&lt;"&amp;G419)+SUMIFS($S$2:$S$501,$C$2:$C$501,C419,$H$2:$H$501,H419,$G$2:$G$501,G419,$A$2:$A$501,"&lt;"&amp;A419))</f>
        <v/>
      </c>
      <c r="U419" s="14">
        <f>IF(S419="","",T419+S419)</f>
        <v/>
      </c>
      <c r="V419" s="15">
        <f>IF(U419="","",VLOOKUP(U419,'税率及规则'!$A$2:$C$8,2,TRUE))</f>
        <v/>
      </c>
      <c r="W419" s="14">
        <f>IF(U419="","",VLOOKUP(U419,'税率及规则'!$A$2:$C$8,3,TRUE))</f>
        <v/>
      </c>
      <c r="X419" s="14">
        <f>IF(U419="","",MAX(0,U419*V419-W419))</f>
        <v/>
      </c>
      <c r="Y419" s="14">
        <f>IF(T419="","",MAX(0,T419*VLOOKUP(T419,'税率及规则'!$A$2:$C$8,2,TRUE)-VLOOKUP(T419,'税率及规则'!$A$2:$C$8,3,TRUE)))</f>
        <v/>
      </c>
      <c r="Z419" s="14">
        <f>IF(X419="","",MAX(0,X419-Y419))</f>
        <v/>
      </c>
      <c r="AA419" s="16">
        <f>IF(G419="","",G419)</f>
        <v/>
      </c>
      <c r="AB419" s="16">
        <f>IF(AA419="","",EDATE(AA419,36))</f>
        <v/>
      </c>
      <c r="AC419" s="6">
        <f>IF(A419="","",IF(COUNTIF($A$2:$A$501,A419)&gt;1,"异常：事件编号重复",IF(OR(C419="",D419="",E419="",F419="",G419="",I419="",J419=""),"异常：必填项缺失",IF(OR(I419&lt;=0,J419&lt;0),"异常：数量或价格无效",IF(AND(F419="限制性股票",OR(M419&lt;=0,N419&lt;0,I419&gt;M419)),"异常：个人获授或出资数据无效",IF(AND(F419="股票期权",K419&lt;&gt;IF(G419&lt;DATE(2025,1,10),14.56,IF(G419&lt;DATE(2025,4,29),14.32,IF(G419&lt;DATE(2025,9,26),14.18,14.04)))),"异常：行权价格区间不符",IF(Q419&lt;&gt;"已备案","提示：未确认备案","正常")))))))</f>
        <v/>
      </c>
      <c r="AD419" s="11" t="n"/>
    </row>
    <row r="420">
      <c r="A420" s="11" t="n"/>
      <c r="B420" s="6">
        <f>IF(A420="","",A420&amp;"-TAX")</f>
        <v/>
      </c>
      <c r="C420" s="11" t="n"/>
      <c r="D420" s="11" t="n"/>
      <c r="E420" s="11" t="n"/>
      <c r="F420" s="11" t="n"/>
      <c r="G420" s="12" t="n"/>
      <c r="H420" s="6">
        <f>IF(G420="","",YEAR(G420))</f>
        <v/>
      </c>
      <c r="I420" s="11" t="n"/>
      <c r="J420" s="13" t="n"/>
      <c r="K420" s="14">
        <f>IF(F420="股票期权",IF(G420="","",IF(G420&lt;DATE(2025,1,10),14.56,IF(G420&lt;DATE(2025,4,29),14.32,IF(G420&lt;DATE(2025,9,26),14.18,14.04)))),IF(F420="限制性股票",8.68,""))</f>
        <v/>
      </c>
      <c r="L420" s="14">
        <f>IF(F420="限制性股票",13.06,"")</f>
        <v/>
      </c>
      <c r="M420" s="11" t="n"/>
      <c r="N420" s="13" t="n"/>
      <c r="O420" s="13" t="n"/>
      <c r="P420" s="12" t="n"/>
      <c r="Q420" s="11" t="n"/>
      <c r="R420" s="12" t="n"/>
      <c r="S420" s="14">
        <f>IF(OR(A420="",C420="",F420="",G420="",I420="",J420=""),"",IF(F420="股票期权",MAX(0,(J420-K420)*I420),IF(F420="限制性股票",IF(OR(L420="",M420="",M420&lt;=0,N420=""),"",MAX(0,((L420+J420)/2)*I420-N420*I420/M420)),MAX(0,O420))))</f>
        <v/>
      </c>
      <c r="T420" s="14">
        <f>IF(S420="","",SUMIFS($S$2:$S$501,$C$2:$C$501,C420,$H$2:$H$501,H420,$G$2:$G$501,"&lt;"&amp;G420)+SUMIFS($S$2:$S$501,$C$2:$C$501,C420,$H$2:$H$501,H420,$G$2:$G$501,G420,$A$2:$A$501,"&lt;"&amp;A420))</f>
        <v/>
      </c>
      <c r="U420" s="14">
        <f>IF(S420="","",T420+S420)</f>
        <v/>
      </c>
      <c r="V420" s="15">
        <f>IF(U420="","",VLOOKUP(U420,'税率及规则'!$A$2:$C$8,2,TRUE))</f>
        <v/>
      </c>
      <c r="W420" s="14">
        <f>IF(U420="","",VLOOKUP(U420,'税率及规则'!$A$2:$C$8,3,TRUE))</f>
        <v/>
      </c>
      <c r="X420" s="14">
        <f>IF(U420="","",MAX(0,U420*V420-W420))</f>
        <v/>
      </c>
      <c r="Y420" s="14">
        <f>IF(T420="","",MAX(0,T420*VLOOKUP(T420,'税率及规则'!$A$2:$C$8,2,TRUE)-VLOOKUP(T420,'税率及规则'!$A$2:$C$8,3,TRUE)))</f>
        <v/>
      </c>
      <c r="Z420" s="14">
        <f>IF(X420="","",MAX(0,X420-Y420))</f>
        <v/>
      </c>
      <c r="AA420" s="16">
        <f>IF(G420="","",G420)</f>
        <v/>
      </c>
      <c r="AB420" s="16">
        <f>IF(AA420="","",EDATE(AA420,36))</f>
        <v/>
      </c>
      <c r="AC420" s="6">
        <f>IF(A420="","",IF(COUNTIF($A$2:$A$501,A420)&gt;1,"异常：事件编号重复",IF(OR(C420="",D420="",E420="",F420="",G420="",I420="",J420=""),"异常：必填项缺失",IF(OR(I420&lt;=0,J420&lt;0),"异常：数量或价格无效",IF(AND(F420="限制性股票",OR(M420&lt;=0,N420&lt;0,I420&gt;M420)),"异常：个人获授或出资数据无效",IF(AND(F420="股票期权",K420&lt;&gt;IF(G420&lt;DATE(2025,1,10),14.56,IF(G420&lt;DATE(2025,4,29),14.32,IF(G420&lt;DATE(2025,9,26),14.18,14.04)))),"异常：行权价格区间不符",IF(Q420&lt;&gt;"已备案","提示：未确认备案","正常")))))))</f>
        <v/>
      </c>
      <c r="AD420" s="11" t="n"/>
    </row>
    <row r="421">
      <c r="A421" s="11" t="n"/>
      <c r="B421" s="6">
        <f>IF(A421="","",A421&amp;"-TAX")</f>
        <v/>
      </c>
      <c r="C421" s="11" t="n"/>
      <c r="D421" s="11" t="n"/>
      <c r="E421" s="11" t="n"/>
      <c r="F421" s="11" t="n"/>
      <c r="G421" s="12" t="n"/>
      <c r="H421" s="6">
        <f>IF(G421="","",YEAR(G421))</f>
        <v/>
      </c>
      <c r="I421" s="11" t="n"/>
      <c r="J421" s="13" t="n"/>
      <c r="K421" s="14">
        <f>IF(F421="股票期权",IF(G421="","",IF(G421&lt;DATE(2025,1,10),14.56,IF(G421&lt;DATE(2025,4,29),14.32,IF(G421&lt;DATE(2025,9,26),14.18,14.04)))),IF(F421="限制性股票",8.68,""))</f>
        <v/>
      </c>
      <c r="L421" s="14">
        <f>IF(F421="限制性股票",13.06,"")</f>
        <v/>
      </c>
      <c r="M421" s="11" t="n"/>
      <c r="N421" s="13" t="n"/>
      <c r="O421" s="13" t="n"/>
      <c r="P421" s="12" t="n"/>
      <c r="Q421" s="11" t="n"/>
      <c r="R421" s="12" t="n"/>
      <c r="S421" s="14">
        <f>IF(OR(A421="",C421="",F421="",G421="",I421="",J421=""),"",IF(F421="股票期权",MAX(0,(J421-K421)*I421),IF(F421="限制性股票",IF(OR(L421="",M421="",M421&lt;=0,N421=""),"",MAX(0,((L421+J421)/2)*I421-N421*I421/M421)),MAX(0,O421))))</f>
        <v/>
      </c>
      <c r="T421" s="14">
        <f>IF(S421="","",SUMIFS($S$2:$S$501,$C$2:$C$501,C421,$H$2:$H$501,H421,$G$2:$G$501,"&lt;"&amp;G421)+SUMIFS($S$2:$S$501,$C$2:$C$501,C421,$H$2:$H$501,H421,$G$2:$G$501,G421,$A$2:$A$501,"&lt;"&amp;A421))</f>
        <v/>
      </c>
      <c r="U421" s="14">
        <f>IF(S421="","",T421+S421)</f>
        <v/>
      </c>
      <c r="V421" s="15">
        <f>IF(U421="","",VLOOKUP(U421,'税率及规则'!$A$2:$C$8,2,TRUE))</f>
        <v/>
      </c>
      <c r="W421" s="14">
        <f>IF(U421="","",VLOOKUP(U421,'税率及规则'!$A$2:$C$8,3,TRUE))</f>
        <v/>
      </c>
      <c r="X421" s="14">
        <f>IF(U421="","",MAX(0,U421*V421-W421))</f>
        <v/>
      </c>
      <c r="Y421" s="14">
        <f>IF(T421="","",MAX(0,T421*VLOOKUP(T421,'税率及规则'!$A$2:$C$8,2,TRUE)-VLOOKUP(T421,'税率及规则'!$A$2:$C$8,3,TRUE)))</f>
        <v/>
      </c>
      <c r="Z421" s="14">
        <f>IF(X421="","",MAX(0,X421-Y421))</f>
        <v/>
      </c>
      <c r="AA421" s="16">
        <f>IF(G421="","",G421)</f>
        <v/>
      </c>
      <c r="AB421" s="16">
        <f>IF(AA421="","",EDATE(AA421,36))</f>
        <v/>
      </c>
      <c r="AC421" s="6">
        <f>IF(A421="","",IF(COUNTIF($A$2:$A$501,A421)&gt;1,"异常：事件编号重复",IF(OR(C421="",D421="",E421="",F421="",G421="",I421="",J421=""),"异常：必填项缺失",IF(OR(I421&lt;=0,J421&lt;0),"异常：数量或价格无效",IF(AND(F421="限制性股票",OR(M421&lt;=0,N421&lt;0,I421&gt;M421)),"异常：个人获授或出资数据无效",IF(AND(F421="股票期权",K421&lt;&gt;IF(G421&lt;DATE(2025,1,10),14.56,IF(G421&lt;DATE(2025,4,29),14.32,IF(G421&lt;DATE(2025,9,26),14.18,14.04)))),"异常：行权价格区间不符",IF(Q421&lt;&gt;"已备案","提示：未确认备案","正常")))))))</f>
        <v/>
      </c>
      <c r="AD421" s="11" t="n"/>
    </row>
    <row r="422">
      <c r="A422" s="11" t="n"/>
      <c r="B422" s="6">
        <f>IF(A422="","",A422&amp;"-TAX")</f>
        <v/>
      </c>
      <c r="C422" s="11" t="n"/>
      <c r="D422" s="11" t="n"/>
      <c r="E422" s="11" t="n"/>
      <c r="F422" s="11" t="n"/>
      <c r="G422" s="12" t="n"/>
      <c r="H422" s="6">
        <f>IF(G422="","",YEAR(G422))</f>
        <v/>
      </c>
      <c r="I422" s="11" t="n"/>
      <c r="J422" s="13" t="n"/>
      <c r="K422" s="14">
        <f>IF(F422="股票期权",IF(G422="","",IF(G422&lt;DATE(2025,1,10),14.56,IF(G422&lt;DATE(2025,4,29),14.32,IF(G422&lt;DATE(2025,9,26),14.18,14.04)))),IF(F422="限制性股票",8.68,""))</f>
        <v/>
      </c>
      <c r="L422" s="14">
        <f>IF(F422="限制性股票",13.06,"")</f>
        <v/>
      </c>
      <c r="M422" s="11" t="n"/>
      <c r="N422" s="13" t="n"/>
      <c r="O422" s="13" t="n"/>
      <c r="P422" s="12" t="n"/>
      <c r="Q422" s="11" t="n"/>
      <c r="R422" s="12" t="n"/>
      <c r="S422" s="14">
        <f>IF(OR(A422="",C422="",F422="",G422="",I422="",J422=""),"",IF(F422="股票期权",MAX(0,(J422-K422)*I422),IF(F422="限制性股票",IF(OR(L422="",M422="",M422&lt;=0,N422=""),"",MAX(0,((L422+J422)/2)*I422-N422*I422/M422)),MAX(0,O422))))</f>
        <v/>
      </c>
      <c r="T422" s="14">
        <f>IF(S422="","",SUMIFS($S$2:$S$501,$C$2:$C$501,C422,$H$2:$H$501,H422,$G$2:$G$501,"&lt;"&amp;G422)+SUMIFS($S$2:$S$501,$C$2:$C$501,C422,$H$2:$H$501,H422,$G$2:$G$501,G422,$A$2:$A$501,"&lt;"&amp;A422))</f>
        <v/>
      </c>
      <c r="U422" s="14">
        <f>IF(S422="","",T422+S422)</f>
        <v/>
      </c>
      <c r="V422" s="15">
        <f>IF(U422="","",VLOOKUP(U422,'税率及规则'!$A$2:$C$8,2,TRUE))</f>
        <v/>
      </c>
      <c r="W422" s="14">
        <f>IF(U422="","",VLOOKUP(U422,'税率及规则'!$A$2:$C$8,3,TRUE))</f>
        <v/>
      </c>
      <c r="X422" s="14">
        <f>IF(U422="","",MAX(0,U422*V422-W422))</f>
        <v/>
      </c>
      <c r="Y422" s="14">
        <f>IF(T422="","",MAX(0,T422*VLOOKUP(T422,'税率及规则'!$A$2:$C$8,2,TRUE)-VLOOKUP(T422,'税率及规则'!$A$2:$C$8,3,TRUE)))</f>
        <v/>
      </c>
      <c r="Z422" s="14">
        <f>IF(X422="","",MAX(0,X422-Y422))</f>
        <v/>
      </c>
      <c r="AA422" s="16">
        <f>IF(G422="","",G422)</f>
        <v/>
      </c>
      <c r="AB422" s="16">
        <f>IF(AA422="","",EDATE(AA422,36))</f>
        <v/>
      </c>
      <c r="AC422" s="6">
        <f>IF(A422="","",IF(COUNTIF($A$2:$A$501,A422)&gt;1,"异常：事件编号重复",IF(OR(C422="",D422="",E422="",F422="",G422="",I422="",J422=""),"异常：必填项缺失",IF(OR(I422&lt;=0,J422&lt;0),"异常：数量或价格无效",IF(AND(F422="限制性股票",OR(M422&lt;=0,N422&lt;0,I422&gt;M422)),"异常：个人获授或出资数据无效",IF(AND(F422="股票期权",K422&lt;&gt;IF(G422&lt;DATE(2025,1,10),14.56,IF(G422&lt;DATE(2025,4,29),14.32,IF(G422&lt;DATE(2025,9,26),14.18,14.04)))),"异常：行权价格区间不符",IF(Q422&lt;&gt;"已备案","提示：未确认备案","正常")))))))</f>
        <v/>
      </c>
      <c r="AD422" s="11" t="n"/>
    </row>
    <row r="423">
      <c r="A423" s="11" t="n"/>
      <c r="B423" s="6">
        <f>IF(A423="","",A423&amp;"-TAX")</f>
        <v/>
      </c>
      <c r="C423" s="11" t="n"/>
      <c r="D423" s="11" t="n"/>
      <c r="E423" s="11" t="n"/>
      <c r="F423" s="11" t="n"/>
      <c r="G423" s="12" t="n"/>
      <c r="H423" s="6">
        <f>IF(G423="","",YEAR(G423))</f>
        <v/>
      </c>
      <c r="I423" s="11" t="n"/>
      <c r="J423" s="13" t="n"/>
      <c r="K423" s="14">
        <f>IF(F423="股票期权",IF(G423="","",IF(G423&lt;DATE(2025,1,10),14.56,IF(G423&lt;DATE(2025,4,29),14.32,IF(G423&lt;DATE(2025,9,26),14.18,14.04)))),IF(F423="限制性股票",8.68,""))</f>
        <v/>
      </c>
      <c r="L423" s="14">
        <f>IF(F423="限制性股票",13.06,"")</f>
        <v/>
      </c>
      <c r="M423" s="11" t="n"/>
      <c r="N423" s="13" t="n"/>
      <c r="O423" s="13" t="n"/>
      <c r="P423" s="12" t="n"/>
      <c r="Q423" s="11" t="n"/>
      <c r="R423" s="12" t="n"/>
      <c r="S423" s="14">
        <f>IF(OR(A423="",C423="",F423="",G423="",I423="",J423=""),"",IF(F423="股票期权",MAX(0,(J423-K423)*I423),IF(F423="限制性股票",IF(OR(L423="",M423="",M423&lt;=0,N423=""),"",MAX(0,((L423+J423)/2)*I423-N423*I423/M423)),MAX(0,O423))))</f>
        <v/>
      </c>
      <c r="T423" s="14">
        <f>IF(S423="","",SUMIFS($S$2:$S$501,$C$2:$C$501,C423,$H$2:$H$501,H423,$G$2:$G$501,"&lt;"&amp;G423)+SUMIFS($S$2:$S$501,$C$2:$C$501,C423,$H$2:$H$501,H423,$G$2:$G$501,G423,$A$2:$A$501,"&lt;"&amp;A423))</f>
        <v/>
      </c>
      <c r="U423" s="14">
        <f>IF(S423="","",T423+S423)</f>
        <v/>
      </c>
      <c r="V423" s="15">
        <f>IF(U423="","",VLOOKUP(U423,'税率及规则'!$A$2:$C$8,2,TRUE))</f>
        <v/>
      </c>
      <c r="W423" s="14">
        <f>IF(U423="","",VLOOKUP(U423,'税率及规则'!$A$2:$C$8,3,TRUE))</f>
        <v/>
      </c>
      <c r="X423" s="14">
        <f>IF(U423="","",MAX(0,U423*V423-W423))</f>
        <v/>
      </c>
      <c r="Y423" s="14">
        <f>IF(T423="","",MAX(0,T423*VLOOKUP(T423,'税率及规则'!$A$2:$C$8,2,TRUE)-VLOOKUP(T423,'税率及规则'!$A$2:$C$8,3,TRUE)))</f>
        <v/>
      </c>
      <c r="Z423" s="14">
        <f>IF(X423="","",MAX(0,X423-Y423))</f>
        <v/>
      </c>
      <c r="AA423" s="16">
        <f>IF(G423="","",G423)</f>
        <v/>
      </c>
      <c r="AB423" s="16">
        <f>IF(AA423="","",EDATE(AA423,36))</f>
        <v/>
      </c>
      <c r="AC423" s="6">
        <f>IF(A423="","",IF(COUNTIF($A$2:$A$501,A423)&gt;1,"异常：事件编号重复",IF(OR(C423="",D423="",E423="",F423="",G423="",I423="",J423=""),"异常：必填项缺失",IF(OR(I423&lt;=0,J423&lt;0),"异常：数量或价格无效",IF(AND(F423="限制性股票",OR(M423&lt;=0,N423&lt;0,I423&gt;M423)),"异常：个人获授或出资数据无效",IF(AND(F423="股票期权",K423&lt;&gt;IF(G423&lt;DATE(2025,1,10),14.56,IF(G423&lt;DATE(2025,4,29),14.32,IF(G423&lt;DATE(2025,9,26),14.18,14.04)))),"异常：行权价格区间不符",IF(Q423&lt;&gt;"已备案","提示：未确认备案","正常")))))))</f>
        <v/>
      </c>
      <c r="AD423" s="11" t="n"/>
    </row>
    <row r="424">
      <c r="A424" s="11" t="n"/>
      <c r="B424" s="6">
        <f>IF(A424="","",A424&amp;"-TAX")</f>
        <v/>
      </c>
      <c r="C424" s="11" t="n"/>
      <c r="D424" s="11" t="n"/>
      <c r="E424" s="11" t="n"/>
      <c r="F424" s="11" t="n"/>
      <c r="G424" s="12" t="n"/>
      <c r="H424" s="6">
        <f>IF(G424="","",YEAR(G424))</f>
        <v/>
      </c>
      <c r="I424" s="11" t="n"/>
      <c r="J424" s="13" t="n"/>
      <c r="K424" s="14">
        <f>IF(F424="股票期权",IF(G424="","",IF(G424&lt;DATE(2025,1,10),14.56,IF(G424&lt;DATE(2025,4,29),14.32,IF(G424&lt;DATE(2025,9,26),14.18,14.04)))),IF(F424="限制性股票",8.68,""))</f>
        <v/>
      </c>
      <c r="L424" s="14">
        <f>IF(F424="限制性股票",13.06,"")</f>
        <v/>
      </c>
      <c r="M424" s="11" t="n"/>
      <c r="N424" s="13" t="n"/>
      <c r="O424" s="13" t="n"/>
      <c r="P424" s="12" t="n"/>
      <c r="Q424" s="11" t="n"/>
      <c r="R424" s="12" t="n"/>
      <c r="S424" s="14">
        <f>IF(OR(A424="",C424="",F424="",G424="",I424="",J424=""),"",IF(F424="股票期权",MAX(0,(J424-K424)*I424),IF(F424="限制性股票",IF(OR(L424="",M424="",M424&lt;=0,N424=""),"",MAX(0,((L424+J424)/2)*I424-N424*I424/M424)),MAX(0,O424))))</f>
        <v/>
      </c>
      <c r="T424" s="14">
        <f>IF(S424="","",SUMIFS($S$2:$S$501,$C$2:$C$501,C424,$H$2:$H$501,H424,$G$2:$G$501,"&lt;"&amp;G424)+SUMIFS($S$2:$S$501,$C$2:$C$501,C424,$H$2:$H$501,H424,$G$2:$G$501,G424,$A$2:$A$501,"&lt;"&amp;A424))</f>
        <v/>
      </c>
      <c r="U424" s="14">
        <f>IF(S424="","",T424+S424)</f>
        <v/>
      </c>
      <c r="V424" s="15">
        <f>IF(U424="","",VLOOKUP(U424,'税率及规则'!$A$2:$C$8,2,TRUE))</f>
        <v/>
      </c>
      <c r="W424" s="14">
        <f>IF(U424="","",VLOOKUP(U424,'税率及规则'!$A$2:$C$8,3,TRUE))</f>
        <v/>
      </c>
      <c r="X424" s="14">
        <f>IF(U424="","",MAX(0,U424*V424-W424))</f>
        <v/>
      </c>
      <c r="Y424" s="14">
        <f>IF(T424="","",MAX(0,T424*VLOOKUP(T424,'税率及规则'!$A$2:$C$8,2,TRUE)-VLOOKUP(T424,'税率及规则'!$A$2:$C$8,3,TRUE)))</f>
        <v/>
      </c>
      <c r="Z424" s="14">
        <f>IF(X424="","",MAX(0,X424-Y424))</f>
        <v/>
      </c>
      <c r="AA424" s="16">
        <f>IF(G424="","",G424)</f>
        <v/>
      </c>
      <c r="AB424" s="16">
        <f>IF(AA424="","",EDATE(AA424,36))</f>
        <v/>
      </c>
      <c r="AC424" s="6">
        <f>IF(A424="","",IF(COUNTIF($A$2:$A$501,A424)&gt;1,"异常：事件编号重复",IF(OR(C424="",D424="",E424="",F424="",G424="",I424="",J424=""),"异常：必填项缺失",IF(OR(I424&lt;=0,J424&lt;0),"异常：数量或价格无效",IF(AND(F424="限制性股票",OR(M424&lt;=0,N424&lt;0,I424&gt;M424)),"异常：个人获授或出资数据无效",IF(AND(F424="股票期权",K424&lt;&gt;IF(G424&lt;DATE(2025,1,10),14.56,IF(G424&lt;DATE(2025,4,29),14.32,IF(G424&lt;DATE(2025,9,26),14.18,14.04)))),"异常：行权价格区间不符",IF(Q424&lt;&gt;"已备案","提示：未确认备案","正常")))))))</f>
        <v/>
      </c>
      <c r="AD424" s="11" t="n"/>
    </row>
    <row r="425">
      <c r="A425" s="11" t="n"/>
      <c r="B425" s="6">
        <f>IF(A425="","",A425&amp;"-TAX")</f>
        <v/>
      </c>
      <c r="C425" s="11" t="n"/>
      <c r="D425" s="11" t="n"/>
      <c r="E425" s="11" t="n"/>
      <c r="F425" s="11" t="n"/>
      <c r="G425" s="12" t="n"/>
      <c r="H425" s="6">
        <f>IF(G425="","",YEAR(G425))</f>
        <v/>
      </c>
      <c r="I425" s="11" t="n"/>
      <c r="J425" s="13" t="n"/>
      <c r="K425" s="14">
        <f>IF(F425="股票期权",IF(G425="","",IF(G425&lt;DATE(2025,1,10),14.56,IF(G425&lt;DATE(2025,4,29),14.32,IF(G425&lt;DATE(2025,9,26),14.18,14.04)))),IF(F425="限制性股票",8.68,""))</f>
        <v/>
      </c>
      <c r="L425" s="14">
        <f>IF(F425="限制性股票",13.06,"")</f>
        <v/>
      </c>
      <c r="M425" s="11" t="n"/>
      <c r="N425" s="13" t="n"/>
      <c r="O425" s="13" t="n"/>
      <c r="P425" s="12" t="n"/>
      <c r="Q425" s="11" t="n"/>
      <c r="R425" s="12" t="n"/>
      <c r="S425" s="14">
        <f>IF(OR(A425="",C425="",F425="",G425="",I425="",J425=""),"",IF(F425="股票期权",MAX(0,(J425-K425)*I425),IF(F425="限制性股票",IF(OR(L425="",M425="",M425&lt;=0,N425=""),"",MAX(0,((L425+J425)/2)*I425-N425*I425/M425)),MAX(0,O425))))</f>
        <v/>
      </c>
      <c r="T425" s="14">
        <f>IF(S425="","",SUMIFS($S$2:$S$501,$C$2:$C$501,C425,$H$2:$H$501,H425,$G$2:$G$501,"&lt;"&amp;G425)+SUMIFS($S$2:$S$501,$C$2:$C$501,C425,$H$2:$H$501,H425,$G$2:$G$501,G425,$A$2:$A$501,"&lt;"&amp;A425))</f>
        <v/>
      </c>
      <c r="U425" s="14">
        <f>IF(S425="","",T425+S425)</f>
        <v/>
      </c>
      <c r="V425" s="15">
        <f>IF(U425="","",VLOOKUP(U425,'税率及规则'!$A$2:$C$8,2,TRUE))</f>
        <v/>
      </c>
      <c r="W425" s="14">
        <f>IF(U425="","",VLOOKUP(U425,'税率及规则'!$A$2:$C$8,3,TRUE))</f>
        <v/>
      </c>
      <c r="X425" s="14">
        <f>IF(U425="","",MAX(0,U425*V425-W425))</f>
        <v/>
      </c>
      <c r="Y425" s="14">
        <f>IF(T425="","",MAX(0,T425*VLOOKUP(T425,'税率及规则'!$A$2:$C$8,2,TRUE)-VLOOKUP(T425,'税率及规则'!$A$2:$C$8,3,TRUE)))</f>
        <v/>
      </c>
      <c r="Z425" s="14">
        <f>IF(X425="","",MAX(0,X425-Y425))</f>
        <v/>
      </c>
      <c r="AA425" s="16">
        <f>IF(G425="","",G425)</f>
        <v/>
      </c>
      <c r="AB425" s="16">
        <f>IF(AA425="","",EDATE(AA425,36))</f>
        <v/>
      </c>
      <c r="AC425" s="6">
        <f>IF(A425="","",IF(COUNTIF($A$2:$A$501,A425)&gt;1,"异常：事件编号重复",IF(OR(C425="",D425="",E425="",F425="",G425="",I425="",J425=""),"异常：必填项缺失",IF(OR(I425&lt;=0,J425&lt;0),"异常：数量或价格无效",IF(AND(F425="限制性股票",OR(M425&lt;=0,N425&lt;0,I425&gt;M425)),"异常：个人获授或出资数据无效",IF(AND(F425="股票期权",K425&lt;&gt;IF(G425&lt;DATE(2025,1,10),14.56,IF(G425&lt;DATE(2025,4,29),14.32,IF(G425&lt;DATE(2025,9,26),14.18,14.04)))),"异常：行权价格区间不符",IF(Q425&lt;&gt;"已备案","提示：未确认备案","正常")))))))</f>
        <v/>
      </c>
      <c r="AD425" s="11" t="n"/>
    </row>
    <row r="426">
      <c r="A426" s="11" t="n"/>
      <c r="B426" s="6">
        <f>IF(A426="","",A426&amp;"-TAX")</f>
        <v/>
      </c>
      <c r="C426" s="11" t="n"/>
      <c r="D426" s="11" t="n"/>
      <c r="E426" s="11" t="n"/>
      <c r="F426" s="11" t="n"/>
      <c r="G426" s="12" t="n"/>
      <c r="H426" s="6">
        <f>IF(G426="","",YEAR(G426))</f>
        <v/>
      </c>
      <c r="I426" s="11" t="n"/>
      <c r="J426" s="13" t="n"/>
      <c r="K426" s="14">
        <f>IF(F426="股票期权",IF(G426="","",IF(G426&lt;DATE(2025,1,10),14.56,IF(G426&lt;DATE(2025,4,29),14.32,IF(G426&lt;DATE(2025,9,26),14.18,14.04)))),IF(F426="限制性股票",8.68,""))</f>
        <v/>
      </c>
      <c r="L426" s="14">
        <f>IF(F426="限制性股票",13.06,"")</f>
        <v/>
      </c>
      <c r="M426" s="11" t="n"/>
      <c r="N426" s="13" t="n"/>
      <c r="O426" s="13" t="n"/>
      <c r="P426" s="12" t="n"/>
      <c r="Q426" s="11" t="n"/>
      <c r="R426" s="12" t="n"/>
      <c r="S426" s="14">
        <f>IF(OR(A426="",C426="",F426="",G426="",I426="",J426=""),"",IF(F426="股票期权",MAX(0,(J426-K426)*I426),IF(F426="限制性股票",IF(OR(L426="",M426="",M426&lt;=0,N426=""),"",MAX(0,((L426+J426)/2)*I426-N426*I426/M426)),MAX(0,O426))))</f>
        <v/>
      </c>
      <c r="T426" s="14">
        <f>IF(S426="","",SUMIFS($S$2:$S$501,$C$2:$C$501,C426,$H$2:$H$501,H426,$G$2:$G$501,"&lt;"&amp;G426)+SUMIFS($S$2:$S$501,$C$2:$C$501,C426,$H$2:$H$501,H426,$G$2:$G$501,G426,$A$2:$A$501,"&lt;"&amp;A426))</f>
        <v/>
      </c>
      <c r="U426" s="14">
        <f>IF(S426="","",T426+S426)</f>
        <v/>
      </c>
      <c r="V426" s="15">
        <f>IF(U426="","",VLOOKUP(U426,'税率及规则'!$A$2:$C$8,2,TRUE))</f>
        <v/>
      </c>
      <c r="W426" s="14">
        <f>IF(U426="","",VLOOKUP(U426,'税率及规则'!$A$2:$C$8,3,TRUE))</f>
        <v/>
      </c>
      <c r="X426" s="14">
        <f>IF(U426="","",MAX(0,U426*V426-W426))</f>
        <v/>
      </c>
      <c r="Y426" s="14">
        <f>IF(T426="","",MAX(0,T426*VLOOKUP(T426,'税率及规则'!$A$2:$C$8,2,TRUE)-VLOOKUP(T426,'税率及规则'!$A$2:$C$8,3,TRUE)))</f>
        <v/>
      </c>
      <c r="Z426" s="14">
        <f>IF(X426="","",MAX(0,X426-Y426))</f>
        <v/>
      </c>
      <c r="AA426" s="16">
        <f>IF(G426="","",G426)</f>
        <v/>
      </c>
      <c r="AB426" s="16">
        <f>IF(AA426="","",EDATE(AA426,36))</f>
        <v/>
      </c>
      <c r="AC426" s="6">
        <f>IF(A426="","",IF(COUNTIF($A$2:$A$501,A426)&gt;1,"异常：事件编号重复",IF(OR(C426="",D426="",E426="",F426="",G426="",I426="",J426=""),"异常：必填项缺失",IF(OR(I426&lt;=0,J426&lt;0),"异常：数量或价格无效",IF(AND(F426="限制性股票",OR(M426&lt;=0,N426&lt;0,I426&gt;M426)),"异常：个人获授或出资数据无效",IF(AND(F426="股票期权",K426&lt;&gt;IF(G426&lt;DATE(2025,1,10),14.56,IF(G426&lt;DATE(2025,4,29),14.32,IF(G426&lt;DATE(2025,9,26),14.18,14.04)))),"异常：行权价格区间不符",IF(Q426&lt;&gt;"已备案","提示：未确认备案","正常")))))))</f>
        <v/>
      </c>
      <c r="AD426" s="11" t="n"/>
    </row>
    <row r="427">
      <c r="A427" s="11" t="n"/>
      <c r="B427" s="6">
        <f>IF(A427="","",A427&amp;"-TAX")</f>
        <v/>
      </c>
      <c r="C427" s="11" t="n"/>
      <c r="D427" s="11" t="n"/>
      <c r="E427" s="11" t="n"/>
      <c r="F427" s="11" t="n"/>
      <c r="G427" s="12" t="n"/>
      <c r="H427" s="6">
        <f>IF(G427="","",YEAR(G427))</f>
        <v/>
      </c>
      <c r="I427" s="11" t="n"/>
      <c r="J427" s="13" t="n"/>
      <c r="K427" s="14">
        <f>IF(F427="股票期权",IF(G427="","",IF(G427&lt;DATE(2025,1,10),14.56,IF(G427&lt;DATE(2025,4,29),14.32,IF(G427&lt;DATE(2025,9,26),14.18,14.04)))),IF(F427="限制性股票",8.68,""))</f>
        <v/>
      </c>
      <c r="L427" s="14">
        <f>IF(F427="限制性股票",13.06,"")</f>
        <v/>
      </c>
      <c r="M427" s="11" t="n"/>
      <c r="N427" s="13" t="n"/>
      <c r="O427" s="13" t="n"/>
      <c r="P427" s="12" t="n"/>
      <c r="Q427" s="11" t="n"/>
      <c r="R427" s="12" t="n"/>
      <c r="S427" s="14">
        <f>IF(OR(A427="",C427="",F427="",G427="",I427="",J427=""),"",IF(F427="股票期权",MAX(0,(J427-K427)*I427),IF(F427="限制性股票",IF(OR(L427="",M427="",M427&lt;=0,N427=""),"",MAX(0,((L427+J427)/2)*I427-N427*I427/M427)),MAX(0,O427))))</f>
        <v/>
      </c>
      <c r="T427" s="14">
        <f>IF(S427="","",SUMIFS($S$2:$S$501,$C$2:$C$501,C427,$H$2:$H$501,H427,$G$2:$G$501,"&lt;"&amp;G427)+SUMIFS($S$2:$S$501,$C$2:$C$501,C427,$H$2:$H$501,H427,$G$2:$G$501,G427,$A$2:$A$501,"&lt;"&amp;A427))</f>
        <v/>
      </c>
      <c r="U427" s="14">
        <f>IF(S427="","",T427+S427)</f>
        <v/>
      </c>
      <c r="V427" s="15">
        <f>IF(U427="","",VLOOKUP(U427,'税率及规则'!$A$2:$C$8,2,TRUE))</f>
        <v/>
      </c>
      <c r="W427" s="14">
        <f>IF(U427="","",VLOOKUP(U427,'税率及规则'!$A$2:$C$8,3,TRUE))</f>
        <v/>
      </c>
      <c r="X427" s="14">
        <f>IF(U427="","",MAX(0,U427*V427-W427))</f>
        <v/>
      </c>
      <c r="Y427" s="14">
        <f>IF(T427="","",MAX(0,T427*VLOOKUP(T427,'税率及规则'!$A$2:$C$8,2,TRUE)-VLOOKUP(T427,'税率及规则'!$A$2:$C$8,3,TRUE)))</f>
        <v/>
      </c>
      <c r="Z427" s="14">
        <f>IF(X427="","",MAX(0,X427-Y427))</f>
        <v/>
      </c>
      <c r="AA427" s="16">
        <f>IF(G427="","",G427)</f>
        <v/>
      </c>
      <c r="AB427" s="16">
        <f>IF(AA427="","",EDATE(AA427,36))</f>
        <v/>
      </c>
      <c r="AC427" s="6">
        <f>IF(A427="","",IF(COUNTIF($A$2:$A$501,A427)&gt;1,"异常：事件编号重复",IF(OR(C427="",D427="",E427="",F427="",G427="",I427="",J427=""),"异常：必填项缺失",IF(OR(I427&lt;=0,J427&lt;0),"异常：数量或价格无效",IF(AND(F427="限制性股票",OR(M427&lt;=0,N427&lt;0,I427&gt;M427)),"异常：个人获授或出资数据无效",IF(AND(F427="股票期权",K427&lt;&gt;IF(G427&lt;DATE(2025,1,10),14.56,IF(G427&lt;DATE(2025,4,29),14.32,IF(G427&lt;DATE(2025,9,26),14.18,14.04)))),"异常：行权价格区间不符",IF(Q427&lt;&gt;"已备案","提示：未确认备案","正常")))))))</f>
        <v/>
      </c>
      <c r="AD427" s="11" t="n"/>
    </row>
    <row r="428">
      <c r="A428" s="11" t="n"/>
      <c r="B428" s="6">
        <f>IF(A428="","",A428&amp;"-TAX")</f>
        <v/>
      </c>
      <c r="C428" s="11" t="n"/>
      <c r="D428" s="11" t="n"/>
      <c r="E428" s="11" t="n"/>
      <c r="F428" s="11" t="n"/>
      <c r="G428" s="12" t="n"/>
      <c r="H428" s="6">
        <f>IF(G428="","",YEAR(G428))</f>
        <v/>
      </c>
      <c r="I428" s="11" t="n"/>
      <c r="J428" s="13" t="n"/>
      <c r="K428" s="14">
        <f>IF(F428="股票期权",IF(G428="","",IF(G428&lt;DATE(2025,1,10),14.56,IF(G428&lt;DATE(2025,4,29),14.32,IF(G428&lt;DATE(2025,9,26),14.18,14.04)))),IF(F428="限制性股票",8.68,""))</f>
        <v/>
      </c>
      <c r="L428" s="14">
        <f>IF(F428="限制性股票",13.06,"")</f>
        <v/>
      </c>
      <c r="M428" s="11" t="n"/>
      <c r="N428" s="13" t="n"/>
      <c r="O428" s="13" t="n"/>
      <c r="P428" s="12" t="n"/>
      <c r="Q428" s="11" t="n"/>
      <c r="R428" s="12" t="n"/>
      <c r="S428" s="14">
        <f>IF(OR(A428="",C428="",F428="",G428="",I428="",J428=""),"",IF(F428="股票期权",MAX(0,(J428-K428)*I428),IF(F428="限制性股票",IF(OR(L428="",M428="",M428&lt;=0,N428=""),"",MAX(0,((L428+J428)/2)*I428-N428*I428/M428)),MAX(0,O428))))</f>
        <v/>
      </c>
      <c r="T428" s="14">
        <f>IF(S428="","",SUMIFS($S$2:$S$501,$C$2:$C$501,C428,$H$2:$H$501,H428,$G$2:$G$501,"&lt;"&amp;G428)+SUMIFS($S$2:$S$501,$C$2:$C$501,C428,$H$2:$H$501,H428,$G$2:$G$501,G428,$A$2:$A$501,"&lt;"&amp;A428))</f>
        <v/>
      </c>
      <c r="U428" s="14">
        <f>IF(S428="","",T428+S428)</f>
        <v/>
      </c>
      <c r="V428" s="15">
        <f>IF(U428="","",VLOOKUP(U428,'税率及规则'!$A$2:$C$8,2,TRUE))</f>
        <v/>
      </c>
      <c r="W428" s="14">
        <f>IF(U428="","",VLOOKUP(U428,'税率及规则'!$A$2:$C$8,3,TRUE))</f>
        <v/>
      </c>
      <c r="X428" s="14">
        <f>IF(U428="","",MAX(0,U428*V428-W428))</f>
        <v/>
      </c>
      <c r="Y428" s="14">
        <f>IF(T428="","",MAX(0,T428*VLOOKUP(T428,'税率及规则'!$A$2:$C$8,2,TRUE)-VLOOKUP(T428,'税率及规则'!$A$2:$C$8,3,TRUE)))</f>
        <v/>
      </c>
      <c r="Z428" s="14">
        <f>IF(X428="","",MAX(0,X428-Y428))</f>
        <v/>
      </c>
      <c r="AA428" s="16">
        <f>IF(G428="","",G428)</f>
        <v/>
      </c>
      <c r="AB428" s="16">
        <f>IF(AA428="","",EDATE(AA428,36))</f>
        <v/>
      </c>
      <c r="AC428" s="6">
        <f>IF(A428="","",IF(COUNTIF($A$2:$A$501,A428)&gt;1,"异常：事件编号重复",IF(OR(C428="",D428="",E428="",F428="",G428="",I428="",J428=""),"异常：必填项缺失",IF(OR(I428&lt;=0,J428&lt;0),"异常：数量或价格无效",IF(AND(F428="限制性股票",OR(M428&lt;=0,N428&lt;0,I428&gt;M428)),"异常：个人获授或出资数据无效",IF(AND(F428="股票期权",K428&lt;&gt;IF(G428&lt;DATE(2025,1,10),14.56,IF(G428&lt;DATE(2025,4,29),14.32,IF(G428&lt;DATE(2025,9,26),14.18,14.04)))),"异常：行权价格区间不符",IF(Q428&lt;&gt;"已备案","提示：未确认备案","正常")))))))</f>
        <v/>
      </c>
      <c r="AD428" s="11" t="n"/>
    </row>
    <row r="429">
      <c r="A429" s="11" t="n"/>
      <c r="B429" s="6">
        <f>IF(A429="","",A429&amp;"-TAX")</f>
        <v/>
      </c>
      <c r="C429" s="11" t="n"/>
      <c r="D429" s="11" t="n"/>
      <c r="E429" s="11" t="n"/>
      <c r="F429" s="11" t="n"/>
      <c r="G429" s="12" t="n"/>
      <c r="H429" s="6">
        <f>IF(G429="","",YEAR(G429))</f>
        <v/>
      </c>
      <c r="I429" s="11" t="n"/>
      <c r="J429" s="13" t="n"/>
      <c r="K429" s="14">
        <f>IF(F429="股票期权",IF(G429="","",IF(G429&lt;DATE(2025,1,10),14.56,IF(G429&lt;DATE(2025,4,29),14.32,IF(G429&lt;DATE(2025,9,26),14.18,14.04)))),IF(F429="限制性股票",8.68,""))</f>
        <v/>
      </c>
      <c r="L429" s="14">
        <f>IF(F429="限制性股票",13.06,"")</f>
        <v/>
      </c>
      <c r="M429" s="11" t="n"/>
      <c r="N429" s="13" t="n"/>
      <c r="O429" s="13" t="n"/>
      <c r="P429" s="12" t="n"/>
      <c r="Q429" s="11" t="n"/>
      <c r="R429" s="12" t="n"/>
      <c r="S429" s="14">
        <f>IF(OR(A429="",C429="",F429="",G429="",I429="",J429=""),"",IF(F429="股票期权",MAX(0,(J429-K429)*I429),IF(F429="限制性股票",IF(OR(L429="",M429="",M429&lt;=0,N429=""),"",MAX(0,((L429+J429)/2)*I429-N429*I429/M429)),MAX(0,O429))))</f>
        <v/>
      </c>
      <c r="T429" s="14">
        <f>IF(S429="","",SUMIFS($S$2:$S$501,$C$2:$C$501,C429,$H$2:$H$501,H429,$G$2:$G$501,"&lt;"&amp;G429)+SUMIFS($S$2:$S$501,$C$2:$C$501,C429,$H$2:$H$501,H429,$G$2:$G$501,G429,$A$2:$A$501,"&lt;"&amp;A429))</f>
        <v/>
      </c>
      <c r="U429" s="14">
        <f>IF(S429="","",T429+S429)</f>
        <v/>
      </c>
      <c r="V429" s="15">
        <f>IF(U429="","",VLOOKUP(U429,'税率及规则'!$A$2:$C$8,2,TRUE))</f>
        <v/>
      </c>
      <c r="W429" s="14">
        <f>IF(U429="","",VLOOKUP(U429,'税率及规则'!$A$2:$C$8,3,TRUE))</f>
        <v/>
      </c>
      <c r="X429" s="14">
        <f>IF(U429="","",MAX(0,U429*V429-W429))</f>
        <v/>
      </c>
      <c r="Y429" s="14">
        <f>IF(T429="","",MAX(0,T429*VLOOKUP(T429,'税率及规则'!$A$2:$C$8,2,TRUE)-VLOOKUP(T429,'税率及规则'!$A$2:$C$8,3,TRUE)))</f>
        <v/>
      </c>
      <c r="Z429" s="14">
        <f>IF(X429="","",MAX(0,X429-Y429))</f>
        <v/>
      </c>
      <c r="AA429" s="16">
        <f>IF(G429="","",G429)</f>
        <v/>
      </c>
      <c r="AB429" s="16">
        <f>IF(AA429="","",EDATE(AA429,36))</f>
        <v/>
      </c>
      <c r="AC429" s="6">
        <f>IF(A429="","",IF(COUNTIF($A$2:$A$501,A429)&gt;1,"异常：事件编号重复",IF(OR(C429="",D429="",E429="",F429="",G429="",I429="",J429=""),"异常：必填项缺失",IF(OR(I429&lt;=0,J429&lt;0),"异常：数量或价格无效",IF(AND(F429="限制性股票",OR(M429&lt;=0,N429&lt;0,I429&gt;M429)),"异常：个人获授或出资数据无效",IF(AND(F429="股票期权",K429&lt;&gt;IF(G429&lt;DATE(2025,1,10),14.56,IF(G429&lt;DATE(2025,4,29),14.32,IF(G429&lt;DATE(2025,9,26),14.18,14.04)))),"异常：行权价格区间不符",IF(Q429&lt;&gt;"已备案","提示：未确认备案","正常")))))))</f>
        <v/>
      </c>
      <c r="AD429" s="11" t="n"/>
    </row>
    <row r="430">
      <c r="A430" s="11" t="n"/>
      <c r="B430" s="6">
        <f>IF(A430="","",A430&amp;"-TAX")</f>
        <v/>
      </c>
      <c r="C430" s="11" t="n"/>
      <c r="D430" s="11" t="n"/>
      <c r="E430" s="11" t="n"/>
      <c r="F430" s="11" t="n"/>
      <c r="G430" s="12" t="n"/>
      <c r="H430" s="6">
        <f>IF(G430="","",YEAR(G430))</f>
        <v/>
      </c>
      <c r="I430" s="11" t="n"/>
      <c r="J430" s="13" t="n"/>
      <c r="K430" s="14">
        <f>IF(F430="股票期权",IF(G430="","",IF(G430&lt;DATE(2025,1,10),14.56,IF(G430&lt;DATE(2025,4,29),14.32,IF(G430&lt;DATE(2025,9,26),14.18,14.04)))),IF(F430="限制性股票",8.68,""))</f>
        <v/>
      </c>
      <c r="L430" s="14">
        <f>IF(F430="限制性股票",13.06,"")</f>
        <v/>
      </c>
      <c r="M430" s="11" t="n"/>
      <c r="N430" s="13" t="n"/>
      <c r="O430" s="13" t="n"/>
      <c r="P430" s="12" t="n"/>
      <c r="Q430" s="11" t="n"/>
      <c r="R430" s="12" t="n"/>
      <c r="S430" s="14">
        <f>IF(OR(A430="",C430="",F430="",G430="",I430="",J430=""),"",IF(F430="股票期权",MAX(0,(J430-K430)*I430),IF(F430="限制性股票",IF(OR(L430="",M430="",M430&lt;=0,N430=""),"",MAX(0,((L430+J430)/2)*I430-N430*I430/M430)),MAX(0,O430))))</f>
        <v/>
      </c>
      <c r="T430" s="14">
        <f>IF(S430="","",SUMIFS($S$2:$S$501,$C$2:$C$501,C430,$H$2:$H$501,H430,$G$2:$G$501,"&lt;"&amp;G430)+SUMIFS($S$2:$S$501,$C$2:$C$501,C430,$H$2:$H$501,H430,$G$2:$G$501,G430,$A$2:$A$501,"&lt;"&amp;A430))</f>
        <v/>
      </c>
      <c r="U430" s="14">
        <f>IF(S430="","",T430+S430)</f>
        <v/>
      </c>
      <c r="V430" s="15">
        <f>IF(U430="","",VLOOKUP(U430,'税率及规则'!$A$2:$C$8,2,TRUE))</f>
        <v/>
      </c>
      <c r="W430" s="14">
        <f>IF(U430="","",VLOOKUP(U430,'税率及规则'!$A$2:$C$8,3,TRUE))</f>
        <v/>
      </c>
      <c r="X430" s="14">
        <f>IF(U430="","",MAX(0,U430*V430-W430))</f>
        <v/>
      </c>
      <c r="Y430" s="14">
        <f>IF(T430="","",MAX(0,T430*VLOOKUP(T430,'税率及规则'!$A$2:$C$8,2,TRUE)-VLOOKUP(T430,'税率及规则'!$A$2:$C$8,3,TRUE)))</f>
        <v/>
      </c>
      <c r="Z430" s="14">
        <f>IF(X430="","",MAX(0,X430-Y430))</f>
        <v/>
      </c>
      <c r="AA430" s="16">
        <f>IF(G430="","",G430)</f>
        <v/>
      </c>
      <c r="AB430" s="16">
        <f>IF(AA430="","",EDATE(AA430,36))</f>
        <v/>
      </c>
      <c r="AC430" s="6">
        <f>IF(A430="","",IF(COUNTIF($A$2:$A$501,A430)&gt;1,"异常：事件编号重复",IF(OR(C430="",D430="",E430="",F430="",G430="",I430="",J430=""),"异常：必填项缺失",IF(OR(I430&lt;=0,J430&lt;0),"异常：数量或价格无效",IF(AND(F430="限制性股票",OR(M430&lt;=0,N430&lt;0,I430&gt;M430)),"异常：个人获授或出资数据无效",IF(AND(F430="股票期权",K430&lt;&gt;IF(G430&lt;DATE(2025,1,10),14.56,IF(G430&lt;DATE(2025,4,29),14.32,IF(G430&lt;DATE(2025,9,26),14.18,14.04)))),"异常：行权价格区间不符",IF(Q430&lt;&gt;"已备案","提示：未确认备案","正常")))))))</f>
        <v/>
      </c>
      <c r="AD430" s="11" t="n"/>
    </row>
    <row r="431">
      <c r="A431" s="11" t="n"/>
      <c r="B431" s="6">
        <f>IF(A431="","",A431&amp;"-TAX")</f>
        <v/>
      </c>
      <c r="C431" s="11" t="n"/>
      <c r="D431" s="11" t="n"/>
      <c r="E431" s="11" t="n"/>
      <c r="F431" s="11" t="n"/>
      <c r="G431" s="12" t="n"/>
      <c r="H431" s="6">
        <f>IF(G431="","",YEAR(G431))</f>
        <v/>
      </c>
      <c r="I431" s="11" t="n"/>
      <c r="J431" s="13" t="n"/>
      <c r="K431" s="14">
        <f>IF(F431="股票期权",IF(G431="","",IF(G431&lt;DATE(2025,1,10),14.56,IF(G431&lt;DATE(2025,4,29),14.32,IF(G431&lt;DATE(2025,9,26),14.18,14.04)))),IF(F431="限制性股票",8.68,""))</f>
        <v/>
      </c>
      <c r="L431" s="14">
        <f>IF(F431="限制性股票",13.06,"")</f>
        <v/>
      </c>
      <c r="M431" s="11" t="n"/>
      <c r="N431" s="13" t="n"/>
      <c r="O431" s="13" t="n"/>
      <c r="P431" s="12" t="n"/>
      <c r="Q431" s="11" t="n"/>
      <c r="R431" s="12" t="n"/>
      <c r="S431" s="14">
        <f>IF(OR(A431="",C431="",F431="",G431="",I431="",J431=""),"",IF(F431="股票期权",MAX(0,(J431-K431)*I431),IF(F431="限制性股票",IF(OR(L431="",M431="",M431&lt;=0,N431=""),"",MAX(0,((L431+J431)/2)*I431-N431*I431/M431)),MAX(0,O431))))</f>
        <v/>
      </c>
      <c r="T431" s="14">
        <f>IF(S431="","",SUMIFS($S$2:$S$501,$C$2:$C$501,C431,$H$2:$H$501,H431,$G$2:$G$501,"&lt;"&amp;G431)+SUMIFS($S$2:$S$501,$C$2:$C$501,C431,$H$2:$H$501,H431,$G$2:$G$501,G431,$A$2:$A$501,"&lt;"&amp;A431))</f>
        <v/>
      </c>
      <c r="U431" s="14">
        <f>IF(S431="","",T431+S431)</f>
        <v/>
      </c>
      <c r="V431" s="15">
        <f>IF(U431="","",VLOOKUP(U431,'税率及规则'!$A$2:$C$8,2,TRUE))</f>
        <v/>
      </c>
      <c r="W431" s="14">
        <f>IF(U431="","",VLOOKUP(U431,'税率及规则'!$A$2:$C$8,3,TRUE))</f>
        <v/>
      </c>
      <c r="X431" s="14">
        <f>IF(U431="","",MAX(0,U431*V431-W431))</f>
        <v/>
      </c>
      <c r="Y431" s="14">
        <f>IF(T431="","",MAX(0,T431*VLOOKUP(T431,'税率及规则'!$A$2:$C$8,2,TRUE)-VLOOKUP(T431,'税率及规则'!$A$2:$C$8,3,TRUE)))</f>
        <v/>
      </c>
      <c r="Z431" s="14">
        <f>IF(X431="","",MAX(0,X431-Y431))</f>
        <v/>
      </c>
      <c r="AA431" s="16">
        <f>IF(G431="","",G431)</f>
        <v/>
      </c>
      <c r="AB431" s="16">
        <f>IF(AA431="","",EDATE(AA431,36))</f>
        <v/>
      </c>
      <c r="AC431" s="6">
        <f>IF(A431="","",IF(COUNTIF($A$2:$A$501,A431)&gt;1,"异常：事件编号重复",IF(OR(C431="",D431="",E431="",F431="",G431="",I431="",J431=""),"异常：必填项缺失",IF(OR(I431&lt;=0,J431&lt;0),"异常：数量或价格无效",IF(AND(F431="限制性股票",OR(M431&lt;=0,N431&lt;0,I431&gt;M431)),"异常：个人获授或出资数据无效",IF(AND(F431="股票期权",K431&lt;&gt;IF(G431&lt;DATE(2025,1,10),14.56,IF(G431&lt;DATE(2025,4,29),14.32,IF(G431&lt;DATE(2025,9,26),14.18,14.04)))),"异常：行权价格区间不符",IF(Q431&lt;&gt;"已备案","提示：未确认备案","正常")))))))</f>
        <v/>
      </c>
      <c r="AD431" s="11" t="n"/>
    </row>
    <row r="432">
      <c r="A432" s="11" t="n"/>
      <c r="B432" s="6">
        <f>IF(A432="","",A432&amp;"-TAX")</f>
        <v/>
      </c>
      <c r="C432" s="11" t="n"/>
      <c r="D432" s="11" t="n"/>
      <c r="E432" s="11" t="n"/>
      <c r="F432" s="11" t="n"/>
      <c r="G432" s="12" t="n"/>
      <c r="H432" s="6">
        <f>IF(G432="","",YEAR(G432))</f>
        <v/>
      </c>
      <c r="I432" s="11" t="n"/>
      <c r="J432" s="13" t="n"/>
      <c r="K432" s="14">
        <f>IF(F432="股票期权",IF(G432="","",IF(G432&lt;DATE(2025,1,10),14.56,IF(G432&lt;DATE(2025,4,29),14.32,IF(G432&lt;DATE(2025,9,26),14.18,14.04)))),IF(F432="限制性股票",8.68,""))</f>
        <v/>
      </c>
      <c r="L432" s="14">
        <f>IF(F432="限制性股票",13.06,"")</f>
        <v/>
      </c>
      <c r="M432" s="11" t="n"/>
      <c r="N432" s="13" t="n"/>
      <c r="O432" s="13" t="n"/>
      <c r="P432" s="12" t="n"/>
      <c r="Q432" s="11" t="n"/>
      <c r="R432" s="12" t="n"/>
      <c r="S432" s="14">
        <f>IF(OR(A432="",C432="",F432="",G432="",I432="",J432=""),"",IF(F432="股票期权",MAX(0,(J432-K432)*I432),IF(F432="限制性股票",IF(OR(L432="",M432="",M432&lt;=0,N432=""),"",MAX(0,((L432+J432)/2)*I432-N432*I432/M432)),MAX(0,O432))))</f>
        <v/>
      </c>
      <c r="T432" s="14">
        <f>IF(S432="","",SUMIFS($S$2:$S$501,$C$2:$C$501,C432,$H$2:$H$501,H432,$G$2:$G$501,"&lt;"&amp;G432)+SUMIFS($S$2:$S$501,$C$2:$C$501,C432,$H$2:$H$501,H432,$G$2:$G$501,G432,$A$2:$A$501,"&lt;"&amp;A432))</f>
        <v/>
      </c>
      <c r="U432" s="14">
        <f>IF(S432="","",T432+S432)</f>
        <v/>
      </c>
      <c r="V432" s="15">
        <f>IF(U432="","",VLOOKUP(U432,'税率及规则'!$A$2:$C$8,2,TRUE))</f>
        <v/>
      </c>
      <c r="W432" s="14">
        <f>IF(U432="","",VLOOKUP(U432,'税率及规则'!$A$2:$C$8,3,TRUE))</f>
        <v/>
      </c>
      <c r="X432" s="14">
        <f>IF(U432="","",MAX(0,U432*V432-W432))</f>
        <v/>
      </c>
      <c r="Y432" s="14">
        <f>IF(T432="","",MAX(0,T432*VLOOKUP(T432,'税率及规则'!$A$2:$C$8,2,TRUE)-VLOOKUP(T432,'税率及规则'!$A$2:$C$8,3,TRUE)))</f>
        <v/>
      </c>
      <c r="Z432" s="14">
        <f>IF(X432="","",MAX(0,X432-Y432))</f>
        <v/>
      </c>
      <c r="AA432" s="16">
        <f>IF(G432="","",G432)</f>
        <v/>
      </c>
      <c r="AB432" s="16">
        <f>IF(AA432="","",EDATE(AA432,36))</f>
        <v/>
      </c>
      <c r="AC432" s="6">
        <f>IF(A432="","",IF(COUNTIF($A$2:$A$501,A432)&gt;1,"异常：事件编号重复",IF(OR(C432="",D432="",E432="",F432="",G432="",I432="",J432=""),"异常：必填项缺失",IF(OR(I432&lt;=0,J432&lt;0),"异常：数量或价格无效",IF(AND(F432="限制性股票",OR(M432&lt;=0,N432&lt;0,I432&gt;M432)),"异常：个人获授或出资数据无效",IF(AND(F432="股票期权",K432&lt;&gt;IF(G432&lt;DATE(2025,1,10),14.56,IF(G432&lt;DATE(2025,4,29),14.32,IF(G432&lt;DATE(2025,9,26),14.18,14.04)))),"异常：行权价格区间不符",IF(Q432&lt;&gt;"已备案","提示：未确认备案","正常")))))))</f>
        <v/>
      </c>
      <c r="AD432" s="11" t="n"/>
    </row>
    <row r="433">
      <c r="A433" s="11" t="n"/>
      <c r="B433" s="6">
        <f>IF(A433="","",A433&amp;"-TAX")</f>
        <v/>
      </c>
      <c r="C433" s="11" t="n"/>
      <c r="D433" s="11" t="n"/>
      <c r="E433" s="11" t="n"/>
      <c r="F433" s="11" t="n"/>
      <c r="G433" s="12" t="n"/>
      <c r="H433" s="6">
        <f>IF(G433="","",YEAR(G433))</f>
        <v/>
      </c>
      <c r="I433" s="11" t="n"/>
      <c r="J433" s="13" t="n"/>
      <c r="K433" s="14">
        <f>IF(F433="股票期权",IF(G433="","",IF(G433&lt;DATE(2025,1,10),14.56,IF(G433&lt;DATE(2025,4,29),14.32,IF(G433&lt;DATE(2025,9,26),14.18,14.04)))),IF(F433="限制性股票",8.68,""))</f>
        <v/>
      </c>
      <c r="L433" s="14">
        <f>IF(F433="限制性股票",13.06,"")</f>
        <v/>
      </c>
      <c r="M433" s="11" t="n"/>
      <c r="N433" s="13" t="n"/>
      <c r="O433" s="13" t="n"/>
      <c r="P433" s="12" t="n"/>
      <c r="Q433" s="11" t="n"/>
      <c r="R433" s="12" t="n"/>
      <c r="S433" s="14">
        <f>IF(OR(A433="",C433="",F433="",G433="",I433="",J433=""),"",IF(F433="股票期权",MAX(0,(J433-K433)*I433),IF(F433="限制性股票",IF(OR(L433="",M433="",M433&lt;=0,N433=""),"",MAX(0,((L433+J433)/2)*I433-N433*I433/M433)),MAX(0,O433))))</f>
        <v/>
      </c>
      <c r="T433" s="14">
        <f>IF(S433="","",SUMIFS($S$2:$S$501,$C$2:$C$501,C433,$H$2:$H$501,H433,$G$2:$G$501,"&lt;"&amp;G433)+SUMIFS($S$2:$S$501,$C$2:$C$501,C433,$H$2:$H$501,H433,$G$2:$G$501,G433,$A$2:$A$501,"&lt;"&amp;A433))</f>
        <v/>
      </c>
      <c r="U433" s="14">
        <f>IF(S433="","",T433+S433)</f>
        <v/>
      </c>
      <c r="V433" s="15">
        <f>IF(U433="","",VLOOKUP(U433,'税率及规则'!$A$2:$C$8,2,TRUE))</f>
        <v/>
      </c>
      <c r="W433" s="14">
        <f>IF(U433="","",VLOOKUP(U433,'税率及规则'!$A$2:$C$8,3,TRUE))</f>
        <v/>
      </c>
      <c r="X433" s="14">
        <f>IF(U433="","",MAX(0,U433*V433-W433))</f>
        <v/>
      </c>
      <c r="Y433" s="14">
        <f>IF(T433="","",MAX(0,T433*VLOOKUP(T433,'税率及规则'!$A$2:$C$8,2,TRUE)-VLOOKUP(T433,'税率及规则'!$A$2:$C$8,3,TRUE)))</f>
        <v/>
      </c>
      <c r="Z433" s="14">
        <f>IF(X433="","",MAX(0,X433-Y433))</f>
        <v/>
      </c>
      <c r="AA433" s="16">
        <f>IF(G433="","",G433)</f>
        <v/>
      </c>
      <c r="AB433" s="16">
        <f>IF(AA433="","",EDATE(AA433,36))</f>
        <v/>
      </c>
      <c r="AC433" s="6">
        <f>IF(A433="","",IF(COUNTIF($A$2:$A$501,A433)&gt;1,"异常：事件编号重复",IF(OR(C433="",D433="",E433="",F433="",G433="",I433="",J433=""),"异常：必填项缺失",IF(OR(I433&lt;=0,J433&lt;0),"异常：数量或价格无效",IF(AND(F433="限制性股票",OR(M433&lt;=0,N433&lt;0,I433&gt;M433)),"异常：个人获授或出资数据无效",IF(AND(F433="股票期权",K433&lt;&gt;IF(G433&lt;DATE(2025,1,10),14.56,IF(G433&lt;DATE(2025,4,29),14.32,IF(G433&lt;DATE(2025,9,26),14.18,14.04)))),"异常：行权价格区间不符",IF(Q433&lt;&gt;"已备案","提示：未确认备案","正常")))))))</f>
        <v/>
      </c>
      <c r="AD433" s="11" t="n"/>
    </row>
    <row r="434">
      <c r="A434" s="11" t="n"/>
      <c r="B434" s="6">
        <f>IF(A434="","",A434&amp;"-TAX")</f>
        <v/>
      </c>
      <c r="C434" s="11" t="n"/>
      <c r="D434" s="11" t="n"/>
      <c r="E434" s="11" t="n"/>
      <c r="F434" s="11" t="n"/>
      <c r="G434" s="12" t="n"/>
      <c r="H434" s="6">
        <f>IF(G434="","",YEAR(G434))</f>
        <v/>
      </c>
      <c r="I434" s="11" t="n"/>
      <c r="J434" s="13" t="n"/>
      <c r="K434" s="14">
        <f>IF(F434="股票期权",IF(G434="","",IF(G434&lt;DATE(2025,1,10),14.56,IF(G434&lt;DATE(2025,4,29),14.32,IF(G434&lt;DATE(2025,9,26),14.18,14.04)))),IF(F434="限制性股票",8.68,""))</f>
        <v/>
      </c>
      <c r="L434" s="14">
        <f>IF(F434="限制性股票",13.06,"")</f>
        <v/>
      </c>
      <c r="M434" s="11" t="n"/>
      <c r="N434" s="13" t="n"/>
      <c r="O434" s="13" t="n"/>
      <c r="P434" s="12" t="n"/>
      <c r="Q434" s="11" t="n"/>
      <c r="R434" s="12" t="n"/>
      <c r="S434" s="14">
        <f>IF(OR(A434="",C434="",F434="",G434="",I434="",J434=""),"",IF(F434="股票期权",MAX(0,(J434-K434)*I434),IF(F434="限制性股票",IF(OR(L434="",M434="",M434&lt;=0,N434=""),"",MAX(0,((L434+J434)/2)*I434-N434*I434/M434)),MAX(0,O434))))</f>
        <v/>
      </c>
      <c r="T434" s="14">
        <f>IF(S434="","",SUMIFS($S$2:$S$501,$C$2:$C$501,C434,$H$2:$H$501,H434,$G$2:$G$501,"&lt;"&amp;G434)+SUMIFS($S$2:$S$501,$C$2:$C$501,C434,$H$2:$H$501,H434,$G$2:$G$501,G434,$A$2:$A$501,"&lt;"&amp;A434))</f>
        <v/>
      </c>
      <c r="U434" s="14">
        <f>IF(S434="","",T434+S434)</f>
        <v/>
      </c>
      <c r="V434" s="15">
        <f>IF(U434="","",VLOOKUP(U434,'税率及规则'!$A$2:$C$8,2,TRUE))</f>
        <v/>
      </c>
      <c r="W434" s="14">
        <f>IF(U434="","",VLOOKUP(U434,'税率及规则'!$A$2:$C$8,3,TRUE))</f>
        <v/>
      </c>
      <c r="X434" s="14">
        <f>IF(U434="","",MAX(0,U434*V434-W434))</f>
        <v/>
      </c>
      <c r="Y434" s="14">
        <f>IF(T434="","",MAX(0,T434*VLOOKUP(T434,'税率及规则'!$A$2:$C$8,2,TRUE)-VLOOKUP(T434,'税率及规则'!$A$2:$C$8,3,TRUE)))</f>
        <v/>
      </c>
      <c r="Z434" s="14">
        <f>IF(X434="","",MAX(0,X434-Y434))</f>
        <v/>
      </c>
      <c r="AA434" s="16">
        <f>IF(G434="","",G434)</f>
        <v/>
      </c>
      <c r="AB434" s="16">
        <f>IF(AA434="","",EDATE(AA434,36))</f>
        <v/>
      </c>
      <c r="AC434" s="6">
        <f>IF(A434="","",IF(COUNTIF($A$2:$A$501,A434)&gt;1,"异常：事件编号重复",IF(OR(C434="",D434="",E434="",F434="",G434="",I434="",J434=""),"异常：必填项缺失",IF(OR(I434&lt;=0,J434&lt;0),"异常：数量或价格无效",IF(AND(F434="限制性股票",OR(M434&lt;=0,N434&lt;0,I434&gt;M434)),"异常：个人获授或出资数据无效",IF(AND(F434="股票期权",K434&lt;&gt;IF(G434&lt;DATE(2025,1,10),14.56,IF(G434&lt;DATE(2025,4,29),14.32,IF(G434&lt;DATE(2025,9,26),14.18,14.04)))),"异常：行权价格区间不符",IF(Q434&lt;&gt;"已备案","提示：未确认备案","正常")))))))</f>
        <v/>
      </c>
      <c r="AD434" s="11" t="n"/>
    </row>
    <row r="435">
      <c r="A435" s="11" t="n"/>
      <c r="B435" s="6">
        <f>IF(A435="","",A435&amp;"-TAX")</f>
        <v/>
      </c>
      <c r="C435" s="11" t="n"/>
      <c r="D435" s="11" t="n"/>
      <c r="E435" s="11" t="n"/>
      <c r="F435" s="11" t="n"/>
      <c r="G435" s="12" t="n"/>
      <c r="H435" s="6">
        <f>IF(G435="","",YEAR(G435))</f>
        <v/>
      </c>
      <c r="I435" s="11" t="n"/>
      <c r="J435" s="13" t="n"/>
      <c r="K435" s="14">
        <f>IF(F435="股票期权",IF(G435="","",IF(G435&lt;DATE(2025,1,10),14.56,IF(G435&lt;DATE(2025,4,29),14.32,IF(G435&lt;DATE(2025,9,26),14.18,14.04)))),IF(F435="限制性股票",8.68,""))</f>
        <v/>
      </c>
      <c r="L435" s="14">
        <f>IF(F435="限制性股票",13.06,"")</f>
        <v/>
      </c>
      <c r="M435" s="11" t="n"/>
      <c r="N435" s="13" t="n"/>
      <c r="O435" s="13" t="n"/>
      <c r="P435" s="12" t="n"/>
      <c r="Q435" s="11" t="n"/>
      <c r="R435" s="12" t="n"/>
      <c r="S435" s="14">
        <f>IF(OR(A435="",C435="",F435="",G435="",I435="",J435=""),"",IF(F435="股票期权",MAX(0,(J435-K435)*I435),IF(F435="限制性股票",IF(OR(L435="",M435="",M435&lt;=0,N435=""),"",MAX(0,((L435+J435)/2)*I435-N435*I435/M435)),MAX(0,O435))))</f>
        <v/>
      </c>
      <c r="T435" s="14">
        <f>IF(S435="","",SUMIFS($S$2:$S$501,$C$2:$C$501,C435,$H$2:$H$501,H435,$G$2:$G$501,"&lt;"&amp;G435)+SUMIFS($S$2:$S$501,$C$2:$C$501,C435,$H$2:$H$501,H435,$G$2:$G$501,G435,$A$2:$A$501,"&lt;"&amp;A435))</f>
        <v/>
      </c>
      <c r="U435" s="14">
        <f>IF(S435="","",T435+S435)</f>
        <v/>
      </c>
      <c r="V435" s="15">
        <f>IF(U435="","",VLOOKUP(U435,'税率及规则'!$A$2:$C$8,2,TRUE))</f>
        <v/>
      </c>
      <c r="W435" s="14">
        <f>IF(U435="","",VLOOKUP(U435,'税率及规则'!$A$2:$C$8,3,TRUE))</f>
        <v/>
      </c>
      <c r="X435" s="14">
        <f>IF(U435="","",MAX(0,U435*V435-W435))</f>
        <v/>
      </c>
      <c r="Y435" s="14">
        <f>IF(T435="","",MAX(0,T435*VLOOKUP(T435,'税率及规则'!$A$2:$C$8,2,TRUE)-VLOOKUP(T435,'税率及规则'!$A$2:$C$8,3,TRUE)))</f>
        <v/>
      </c>
      <c r="Z435" s="14">
        <f>IF(X435="","",MAX(0,X435-Y435))</f>
        <v/>
      </c>
      <c r="AA435" s="16">
        <f>IF(G435="","",G435)</f>
        <v/>
      </c>
      <c r="AB435" s="16">
        <f>IF(AA435="","",EDATE(AA435,36))</f>
        <v/>
      </c>
      <c r="AC435" s="6">
        <f>IF(A435="","",IF(COUNTIF($A$2:$A$501,A435)&gt;1,"异常：事件编号重复",IF(OR(C435="",D435="",E435="",F435="",G435="",I435="",J435=""),"异常：必填项缺失",IF(OR(I435&lt;=0,J435&lt;0),"异常：数量或价格无效",IF(AND(F435="限制性股票",OR(M435&lt;=0,N435&lt;0,I435&gt;M435)),"异常：个人获授或出资数据无效",IF(AND(F435="股票期权",K435&lt;&gt;IF(G435&lt;DATE(2025,1,10),14.56,IF(G435&lt;DATE(2025,4,29),14.32,IF(G435&lt;DATE(2025,9,26),14.18,14.04)))),"异常：行权价格区间不符",IF(Q435&lt;&gt;"已备案","提示：未确认备案","正常")))))))</f>
        <v/>
      </c>
      <c r="AD435" s="11" t="n"/>
    </row>
    <row r="436">
      <c r="A436" s="11" t="n"/>
      <c r="B436" s="6">
        <f>IF(A436="","",A436&amp;"-TAX")</f>
        <v/>
      </c>
      <c r="C436" s="11" t="n"/>
      <c r="D436" s="11" t="n"/>
      <c r="E436" s="11" t="n"/>
      <c r="F436" s="11" t="n"/>
      <c r="G436" s="12" t="n"/>
      <c r="H436" s="6">
        <f>IF(G436="","",YEAR(G436))</f>
        <v/>
      </c>
      <c r="I436" s="11" t="n"/>
      <c r="J436" s="13" t="n"/>
      <c r="K436" s="14">
        <f>IF(F436="股票期权",IF(G436="","",IF(G436&lt;DATE(2025,1,10),14.56,IF(G436&lt;DATE(2025,4,29),14.32,IF(G436&lt;DATE(2025,9,26),14.18,14.04)))),IF(F436="限制性股票",8.68,""))</f>
        <v/>
      </c>
      <c r="L436" s="14">
        <f>IF(F436="限制性股票",13.06,"")</f>
        <v/>
      </c>
      <c r="M436" s="11" t="n"/>
      <c r="N436" s="13" t="n"/>
      <c r="O436" s="13" t="n"/>
      <c r="P436" s="12" t="n"/>
      <c r="Q436" s="11" t="n"/>
      <c r="R436" s="12" t="n"/>
      <c r="S436" s="14">
        <f>IF(OR(A436="",C436="",F436="",G436="",I436="",J436=""),"",IF(F436="股票期权",MAX(0,(J436-K436)*I436),IF(F436="限制性股票",IF(OR(L436="",M436="",M436&lt;=0,N436=""),"",MAX(0,((L436+J436)/2)*I436-N436*I436/M436)),MAX(0,O436))))</f>
        <v/>
      </c>
      <c r="T436" s="14">
        <f>IF(S436="","",SUMIFS($S$2:$S$501,$C$2:$C$501,C436,$H$2:$H$501,H436,$G$2:$G$501,"&lt;"&amp;G436)+SUMIFS($S$2:$S$501,$C$2:$C$501,C436,$H$2:$H$501,H436,$G$2:$G$501,G436,$A$2:$A$501,"&lt;"&amp;A436))</f>
        <v/>
      </c>
      <c r="U436" s="14">
        <f>IF(S436="","",T436+S436)</f>
        <v/>
      </c>
      <c r="V436" s="15">
        <f>IF(U436="","",VLOOKUP(U436,'税率及规则'!$A$2:$C$8,2,TRUE))</f>
        <v/>
      </c>
      <c r="W436" s="14">
        <f>IF(U436="","",VLOOKUP(U436,'税率及规则'!$A$2:$C$8,3,TRUE))</f>
        <v/>
      </c>
      <c r="X436" s="14">
        <f>IF(U436="","",MAX(0,U436*V436-W436))</f>
        <v/>
      </c>
      <c r="Y436" s="14">
        <f>IF(T436="","",MAX(0,T436*VLOOKUP(T436,'税率及规则'!$A$2:$C$8,2,TRUE)-VLOOKUP(T436,'税率及规则'!$A$2:$C$8,3,TRUE)))</f>
        <v/>
      </c>
      <c r="Z436" s="14">
        <f>IF(X436="","",MAX(0,X436-Y436))</f>
        <v/>
      </c>
      <c r="AA436" s="16">
        <f>IF(G436="","",G436)</f>
        <v/>
      </c>
      <c r="AB436" s="16">
        <f>IF(AA436="","",EDATE(AA436,36))</f>
        <v/>
      </c>
      <c r="AC436" s="6">
        <f>IF(A436="","",IF(COUNTIF($A$2:$A$501,A436)&gt;1,"异常：事件编号重复",IF(OR(C436="",D436="",E436="",F436="",G436="",I436="",J436=""),"异常：必填项缺失",IF(OR(I436&lt;=0,J436&lt;0),"异常：数量或价格无效",IF(AND(F436="限制性股票",OR(M436&lt;=0,N436&lt;0,I436&gt;M436)),"异常：个人获授或出资数据无效",IF(AND(F436="股票期权",K436&lt;&gt;IF(G436&lt;DATE(2025,1,10),14.56,IF(G436&lt;DATE(2025,4,29),14.32,IF(G436&lt;DATE(2025,9,26),14.18,14.04)))),"异常：行权价格区间不符",IF(Q436&lt;&gt;"已备案","提示：未确认备案","正常")))))))</f>
        <v/>
      </c>
      <c r="AD436" s="11" t="n"/>
    </row>
    <row r="437">
      <c r="A437" s="11" t="n"/>
      <c r="B437" s="6">
        <f>IF(A437="","",A437&amp;"-TAX")</f>
        <v/>
      </c>
      <c r="C437" s="11" t="n"/>
      <c r="D437" s="11" t="n"/>
      <c r="E437" s="11" t="n"/>
      <c r="F437" s="11" t="n"/>
      <c r="G437" s="12" t="n"/>
      <c r="H437" s="6">
        <f>IF(G437="","",YEAR(G437))</f>
        <v/>
      </c>
      <c r="I437" s="11" t="n"/>
      <c r="J437" s="13" t="n"/>
      <c r="K437" s="14">
        <f>IF(F437="股票期权",IF(G437="","",IF(G437&lt;DATE(2025,1,10),14.56,IF(G437&lt;DATE(2025,4,29),14.32,IF(G437&lt;DATE(2025,9,26),14.18,14.04)))),IF(F437="限制性股票",8.68,""))</f>
        <v/>
      </c>
      <c r="L437" s="14">
        <f>IF(F437="限制性股票",13.06,"")</f>
        <v/>
      </c>
      <c r="M437" s="11" t="n"/>
      <c r="N437" s="13" t="n"/>
      <c r="O437" s="13" t="n"/>
      <c r="P437" s="12" t="n"/>
      <c r="Q437" s="11" t="n"/>
      <c r="R437" s="12" t="n"/>
      <c r="S437" s="14">
        <f>IF(OR(A437="",C437="",F437="",G437="",I437="",J437=""),"",IF(F437="股票期权",MAX(0,(J437-K437)*I437),IF(F437="限制性股票",IF(OR(L437="",M437="",M437&lt;=0,N437=""),"",MAX(0,((L437+J437)/2)*I437-N437*I437/M437)),MAX(0,O437))))</f>
        <v/>
      </c>
      <c r="T437" s="14">
        <f>IF(S437="","",SUMIFS($S$2:$S$501,$C$2:$C$501,C437,$H$2:$H$501,H437,$G$2:$G$501,"&lt;"&amp;G437)+SUMIFS($S$2:$S$501,$C$2:$C$501,C437,$H$2:$H$501,H437,$G$2:$G$501,G437,$A$2:$A$501,"&lt;"&amp;A437))</f>
        <v/>
      </c>
      <c r="U437" s="14">
        <f>IF(S437="","",T437+S437)</f>
        <v/>
      </c>
      <c r="V437" s="15">
        <f>IF(U437="","",VLOOKUP(U437,'税率及规则'!$A$2:$C$8,2,TRUE))</f>
        <v/>
      </c>
      <c r="W437" s="14">
        <f>IF(U437="","",VLOOKUP(U437,'税率及规则'!$A$2:$C$8,3,TRUE))</f>
        <v/>
      </c>
      <c r="X437" s="14">
        <f>IF(U437="","",MAX(0,U437*V437-W437))</f>
        <v/>
      </c>
      <c r="Y437" s="14">
        <f>IF(T437="","",MAX(0,T437*VLOOKUP(T437,'税率及规则'!$A$2:$C$8,2,TRUE)-VLOOKUP(T437,'税率及规则'!$A$2:$C$8,3,TRUE)))</f>
        <v/>
      </c>
      <c r="Z437" s="14">
        <f>IF(X437="","",MAX(0,X437-Y437))</f>
        <v/>
      </c>
      <c r="AA437" s="16">
        <f>IF(G437="","",G437)</f>
        <v/>
      </c>
      <c r="AB437" s="16">
        <f>IF(AA437="","",EDATE(AA437,36))</f>
        <v/>
      </c>
      <c r="AC437" s="6">
        <f>IF(A437="","",IF(COUNTIF($A$2:$A$501,A437)&gt;1,"异常：事件编号重复",IF(OR(C437="",D437="",E437="",F437="",G437="",I437="",J437=""),"异常：必填项缺失",IF(OR(I437&lt;=0,J437&lt;0),"异常：数量或价格无效",IF(AND(F437="限制性股票",OR(M437&lt;=0,N437&lt;0,I437&gt;M437)),"异常：个人获授或出资数据无效",IF(AND(F437="股票期权",K437&lt;&gt;IF(G437&lt;DATE(2025,1,10),14.56,IF(G437&lt;DATE(2025,4,29),14.32,IF(G437&lt;DATE(2025,9,26),14.18,14.04)))),"异常：行权价格区间不符",IF(Q437&lt;&gt;"已备案","提示：未确认备案","正常")))))))</f>
        <v/>
      </c>
      <c r="AD437" s="11" t="n"/>
    </row>
    <row r="438">
      <c r="A438" s="11" t="n"/>
      <c r="B438" s="6">
        <f>IF(A438="","",A438&amp;"-TAX")</f>
        <v/>
      </c>
      <c r="C438" s="11" t="n"/>
      <c r="D438" s="11" t="n"/>
      <c r="E438" s="11" t="n"/>
      <c r="F438" s="11" t="n"/>
      <c r="G438" s="12" t="n"/>
      <c r="H438" s="6">
        <f>IF(G438="","",YEAR(G438))</f>
        <v/>
      </c>
      <c r="I438" s="11" t="n"/>
      <c r="J438" s="13" t="n"/>
      <c r="K438" s="14">
        <f>IF(F438="股票期权",IF(G438="","",IF(G438&lt;DATE(2025,1,10),14.56,IF(G438&lt;DATE(2025,4,29),14.32,IF(G438&lt;DATE(2025,9,26),14.18,14.04)))),IF(F438="限制性股票",8.68,""))</f>
        <v/>
      </c>
      <c r="L438" s="14">
        <f>IF(F438="限制性股票",13.06,"")</f>
        <v/>
      </c>
      <c r="M438" s="11" t="n"/>
      <c r="N438" s="13" t="n"/>
      <c r="O438" s="13" t="n"/>
      <c r="P438" s="12" t="n"/>
      <c r="Q438" s="11" t="n"/>
      <c r="R438" s="12" t="n"/>
      <c r="S438" s="14">
        <f>IF(OR(A438="",C438="",F438="",G438="",I438="",J438=""),"",IF(F438="股票期权",MAX(0,(J438-K438)*I438),IF(F438="限制性股票",IF(OR(L438="",M438="",M438&lt;=0,N438=""),"",MAX(0,((L438+J438)/2)*I438-N438*I438/M438)),MAX(0,O438))))</f>
        <v/>
      </c>
      <c r="T438" s="14">
        <f>IF(S438="","",SUMIFS($S$2:$S$501,$C$2:$C$501,C438,$H$2:$H$501,H438,$G$2:$G$501,"&lt;"&amp;G438)+SUMIFS($S$2:$S$501,$C$2:$C$501,C438,$H$2:$H$501,H438,$G$2:$G$501,G438,$A$2:$A$501,"&lt;"&amp;A438))</f>
        <v/>
      </c>
      <c r="U438" s="14">
        <f>IF(S438="","",T438+S438)</f>
        <v/>
      </c>
      <c r="V438" s="15">
        <f>IF(U438="","",VLOOKUP(U438,'税率及规则'!$A$2:$C$8,2,TRUE))</f>
        <v/>
      </c>
      <c r="W438" s="14">
        <f>IF(U438="","",VLOOKUP(U438,'税率及规则'!$A$2:$C$8,3,TRUE))</f>
        <v/>
      </c>
      <c r="X438" s="14">
        <f>IF(U438="","",MAX(0,U438*V438-W438))</f>
        <v/>
      </c>
      <c r="Y438" s="14">
        <f>IF(T438="","",MAX(0,T438*VLOOKUP(T438,'税率及规则'!$A$2:$C$8,2,TRUE)-VLOOKUP(T438,'税率及规则'!$A$2:$C$8,3,TRUE)))</f>
        <v/>
      </c>
      <c r="Z438" s="14">
        <f>IF(X438="","",MAX(0,X438-Y438))</f>
        <v/>
      </c>
      <c r="AA438" s="16">
        <f>IF(G438="","",G438)</f>
        <v/>
      </c>
      <c r="AB438" s="16">
        <f>IF(AA438="","",EDATE(AA438,36))</f>
        <v/>
      </c>
      <c r="AC438" s="6">
        <f>IF(A438="","",IF(COUNTIF($A$2:$A$501,A438)&gt;1,"异常：事件编号重复",IF(OR(C438="",D438="",E438="",F438="",G438="",I438="",J438=""),"异常：必填项缺失",IF(OR(I438&lt;=0,J438&lt;0),"异常：数量或价格无效",IF(AND(F438="限制性股票",OR(M438&lt;=0,N438&lt;0,I438&gt;M438)),"异常：个人获授或出资数据无效",IF(AND(F438="股票期权",K438&lt;&gt;IF(G438&lt;DATE(2025,1,10),14.56,IF(G438&lt;DATE(2025,4,29),14.32,IF(G438&lt;DATE(2025,9,26),14.18,14.04)))),"异常：行权价格区间不符",IF(Q438&lt;&gt;"已备案","提示：未确认备案","正常")))))))</f>
        <v/>
      </c>
      <c r="AD438" s="11" t="n"/>
    </row>
    <row r="439">
      <c r="A439" s="11" t="n"/>
      <c r="B439" s="6">
        <f>IF(A439="","",A439&amp;"-TAX")</f>
        <v/>
      </c>
      <c r="C439" s="11" t="n"/>
      <c r="D439" s="11" t="n"/>
      <c r="E439" s="11" t="n"/>
      <c r="F439" s="11" t="n"/>
      <c r="G439" s="12" t="n"/>
      <c r="H439" s="6">
        <f>IF(G439="","",YEAR(G439))</f>
        <v/>
      </c>
      <c r="I439" s="11" t="n"/>
      <c r="J439" s="13" t="n"/>
      <c r="K439" s="14">
        <f>IF(F439="股票期权",IF(G439="","",IF(G439&lt;DATE(2025,1,10),14.56,IF(G439&lt;DATE(2025,4,29),14.32,IF(G439&lt;DATE(2025,9,26),14.18,14.04)))),IF(F439="限制性股票",8.68,""))</f>
        <v/>
      </c>
      <c r="L439" s="14">
        <f>IF(F439="限制性股票",13.06,"")</f>
        <v/>
      </c>
      <c r="M439" s="11" t="n"/>
      <c r="N439" s="13" t="n"/>
      <c r="O439" s="13" t="n"/>
      <c r="P439" s="12" t="n"/>
      <c r="Q439" s="11" t="n"/>
      <c r="R439" s="12" t="n"/>
      <c r="S439" s="14">
        <f>IF(OR(A439="",C439="",F439="",G439="",I439="",J439=""),"",IF(F439="股票期权",MAX(0,(J439-K439)*I439),IF(F439="限制性股票",IF(OR(L439="",M439="",M439&lt;=0,N439=""),"",MAX(0,((L439+J439)/2)*I439-N439*I439/M439)),MAX(0,O439))))</f>
        <v/>
      </c>
      <c r="T439" s="14">
        <f>IF(S439="","",SUMIFS($S$2:$S$501,$C$2:$C$501,C439,$H$2:$H$501,H439,$G$2:$G$501,"&lt;"&amp;G439)+SUMIFS($S$2:$S$501,$C$2:$C$501,C439,$H$2:$H$501,H439,$G$2:$G$501,G439,$A$2:$A$501,"&lt;"&amp;A439))</f>
        <v/>
      </c>
      <c r="U439" s="14">
        <f>IF(S439="","",T439+S439)</f>
        <v/>
      </c>
      <c r="V439" s="15">
        <f>IF(U439="","",VLOOKUP(U439,'税率及规则'!$A$2:$C$8,2,TRUE))</f>
        <v/>
      </c>
      <c r="W439" s="14">
        <f>IF(U439="","",VLOOKUP(U439,'税率及规则'!$A$2:$C$8,3,TRUE))</f>
        <v/>
      </c>
      <c r="X439" s="14">
        <f>IF(U439="","",MAX(0,U439*V439-W439))</f>
        <v/>
      </c>
      <c r="Y439" s="14">
        <f>IF(T439="","",MAX(0,T439*VLOOKUP(T439,'税率及规则'!$A$2:$C$8,2,TRUE)-VLOOKUP(T439,'税率及规则'!$A$2:$C$8,3,TRUE)))</f>
        <v/>
      </c>
      <c r="Z439" s="14">
        <f>IF(X439="","",MAX(0,X439-Y439))</f>
        <v/>
      </c>
      <c r="AA439" s="16">
        <f>IF(G439="","",G439)</f>
        <v/>
      </c>
      <c r="AB439" s="16">
        <f>IF(AA439="","",EDATE(AA439,36))</f>
        <v/>
      </c>
      <c r="AC439" s="6">
        <f>IF(A439="","",IF(COUNTIF($A$2:$A$501,A439)&gt;1,"异常：事件编号重复",IF(OR(C439="",D439="",E439="",F439="",G439="",I439="",J439=""),"异常：必填项缺失",IF(OR(I439&lt;=0,J439&lt;0),"异常：数量或价格无效",IF(AND(F439="限制性股票",OR(M439&lt;=0,N439&lt;0,I439&gt;M439)),"异常：个人获授或出资数据无效",IF(AND(F439="股票期权",K439&lt;&gt;IF(G439&lt;DATE(2025,1,10),14.56,IF(G439&lt;DATE(2025,4,29),14.32,IF(G439&lt;DATE(2025,9,26),14.18,14.04)))),"异常：行权价格区间不符",IF(Q439&lt;&gt;"已备案","提示：未确认备案","正常")))))))</f>
        <v/>
      </c>
      <c r="AD439" s="11" t="n"/>
    </row>
    <row r="440">
      <c r="A440" s="11" t="n"/>
      <c r="B440" s="6">
        <f>IF(A440="","",A440&amp;"-TAX")</f>
        <v/>
      </c>
      <c r="C440" s="11" t="n"/>
      <c r="D440" s="11" t="n"/>
      <c r="E440" s="11" t="n"/>
      <c r="F440" s="11" t="n"/>
      <c r="G440" s="12" t="n"/>
      <c r="H440" s="6">
        <f>IF(G440="","",YEAR(G440))</f>
        <v/>
      </c>
      <c r="I440" s="11" t="n"/>
      <c r="J440" s="13" t="n"/>
      <c r="K440" s="14">
        <f>IF(F440="股票期权",IF(G440="","",IF(G440&lt;DATE(2025,1,10),14.56,IF(G440&lt;DATE(2025,4,29),14.32,IF(G440&lt;DATE(2025,9,26),14.18,14.04)))),IF(F440="限制性股票",8.68,""))</f>
        <v/>
      </c>
      <c r="L440" s="14">
        <f>IF(F440="限制性股票",13.06,"")</f>
        <v/>
      </c>
      <c r="M440" s="11" t="n"/>
      <c r="N440" s="13" t="n"/>
      <c r="O440" s="13" t="n"/>
      <c r="P440" s="12" t="n"/>
      <c r="Q440" s="11" t="n"/>
      <c r="R440" s="12" t="n"/>
      <c r="S440" s="14">
        <f>IF(OR(A440="",C440="",F440="",G440="",I440="",J440=""),"",IF(F440="股票期权",MAX(0,(J440-K440)*I440),IF(F440="限制性股票",IF(OR(L440="",M440="",M440&lt;=0,N440=""),"",MAX(0,((L440+J440)/2)*I440-N440*I440/M440)),MAX(0,O440))))</f>
        <v/>
      </c>
      <c r="T440" s="14">
        <f>IF(S440="","",SUMIFS($S$2:$S$501,$C$2:$C$501,C440,$H$2:$H$501,H440,$G$2:$G$501,"&lt;"&amp;G440)+SUMIFS($S$2:$S$501,$C$2:$C$501,C440,$H$2:$H$501,H440,$G$2:$G$501,G440,$A$2:$A$501,"&lt;"&amp;A440))</f>
        <v/>
      </c>
      <c r="U440" s="14">
        <f>IF(S440="","",T440+S440)</f>
        <v/>
      </c>
      <c r="V440" s="15">
        <f>IF(U440="","",VLOOKUP(U440,'税率及规则'!$A$2:$C$8,2,TRUE))</f>
        <v/>
      </c>
      <c r="W440" s="14">
        <f>IF(U440="","",VLOOKUP(U440,'税率及规则'!$A$2:$C$8,3,TRUE))</f>
        <v/>
      </c>
      <c r="X440" s="14">
        <f>IF(U440="","",MAX(0,U440*V440-W440))</f>
        <v/>
      </c>
      <c r="Y440" s="14">
        <f>IF(T440="","",MAX(0,T440*VLOOKUP(T440,'税率及规则'!$A$2:$C$8,2,TRUE)-VLOOKUP(T440,'税率及规则'!$A$2:$C$8,3,TRUE)))</f>
        <v/>
      </c>
      <c r="Z440" s="14">
        <f>IF(X440="","",MAX(0,X440-Y440))</f>
        <v/>
      </c>
      <c r="AA440" s="16">
        <f>IF(G440="","",G440)</f>
        <v/>
      </c>
      <c r="AB440" s="16">
        <f>IF(AA440="","",EDATE(AA440,36))</f>
        <v/>
      </c>
      <c r="AC440" s="6">
        <f>IF(A440="","",IF(COUNTIF($A$2:$A$501,A440)&gt;1,"异常：事件编号重复",IF(OR(C440="",D440="",E440="",F440="",G440="",I440="",J440=""),"异常：必填项缺失",IF(OR(I440&lt;=0,J440&lt;0),"异常：数量或价格无效",IF(AND(F440="限制性股票",OR(M440&lt;=0,N440&lt;0,I440&gt;M440)),"异常：个人获授或出资数据无效",IF(AND(F440="股票期权",K440&lt;&gt;IF(G440&lt;DATE(2025,1,10),14.56,IF(G440&lt;DATE(2025,4,29),14.32,IF(G440&lt;DATE(2025,9,26),14.18,14.04)))),"异常：行权价格区间不符",IF(Q440&lt;&gt;"已备案","提示：未确认备案","正常")))))))</f>
        <v/>
      </c>
      <c r="AD440" s="11" t="n"/>
    </row>
    <row r="441">
      <c r="A441" s="11" t="n"/>
      <c r="B441" s="6">
        <f>IF(A441="","",A441&amp;"-TAX")</f>
        <v/>
      </c>
      <c r="C441" s="11" t="n"/>
      <c r="D441" s="11" t="n"/>
      <c r="E441" s="11" t="n"/>
      <c r="F441" s="11" t="n"/>
      <c r="G441" s="12" t="n"/>
      <c r="H441" s="6">
        <f>IF(G441="","",YEAR(G441))</f>
        <v/>
      </c>
      <c r="I441" s="11" t="n"/>
      <c r="J441" s="13" t="n"/>
      <c r="K441" s="14">
        <f>IF(F441="股票期权",IF(G441="","",IF(G441&lt;DATE(2025,1,10),14.56,IF(G441&lt;DATE(2025,4,29),14.32,IF(G441&lt;DATE(2025,9,26),14.18,14.04)))),IF(F441="限制性股票",8.68,""))</f>
        <v/>
      </c>
      <c r="L441" s="14">
        <f>IF(F441="限制性股票",13.06,"")</f>
        <v/>
      </c>
      <c r="M441" s="11" t="n"/>
      <c r="N441" s="13" t="n"/>
      <c r="O441" s="13" t="n"/>
      <c r="P441" s="12" t="n"/>
      <c r="Q441" s="11" t="n"/>
      <c r="R441" s="12" t="n"/>
      <c r="S441" s="14">
        <f>IF(OR(A441="",C441="",F441="",G441="",I441="",J441=""),"",IF(F441="股票期权",MAX(0,(J441-K441)*I441),IF(F441="限制性股票",IF(OR(L441="",M441="",M441&lt;=0,N441=""),"",MAX(0,((L441+J441)/2)*I441-N441*I441/M441)),MAX(0,O441))))</f>
        <v/>
      </c>
      <c r="T441" s="14">
        <f>IF(S441="","",SUMIFS($S$2:$S$501,$C$2:$C$501,C441,$H$2:$H$501,H441,$G$2:$G$501,"&lt;"&amp;G441)+SUMIFS($S$2:$S$501,$C$2:$C$501,C441,$H$2:$H$501,H441,$G$2:$G$501,G441,$A$2:$A$501,"&lt;"&amp;A441))</f>
        <v/>
      </c>
      <c r="U441" s="14">
        <f>IF(S441="","",T441+S441)</f>
        <v/>
      </c>
      <c r="V441" s="15">
        <f>IF(U441="","",VLOOKUP(U441,'税率及规则'!$A$2:$C$8,2,TRUE))</f>
        <v/>
      </c>
      <c r="W441" s="14">
        <f>IF(U441="","",VLOOKUP(U441,'税率及规则'!$A$2:$C$8,3,TRUE))</f>
        <v/>
      </c>
      <c r="X441" s="14">
        <f>IF(U441="","",MAX(0,U441*V441-W441))</f>
        <v/>
      </c>
      <c r="Y441" s="14">
        <f>IF(T441="","",MAX(0,T441*VLOOKUP(T441,'税率及规则'!$A$2:$C$8,2,TRUE)-VLOOKUP(T441,'税率及规则'!$A$2:$C$8,3,TRUE)))</f>
        <v/>
      </c>
      <c r="Z441" s="14">
        <f>IF(X441="","",MAX(0,X441-Y441))</f>
        <v/>
      </c>
      <c r="AA441" s="16">
        <f>IF(G441="","",G441)</f>
        <v/>
      </c>
      <c r="AB441" s="16">
        <f>IF(AA441="","",EDATE(AA441,36))</f>
        <v/>
      </c>
      <c r="AC441" s="6">
        <f>IF(A441="","",IF(COUNTIF($A$2:$A$501,A441)&gt;1,"异常：事件编号重复",IF(OR(C441="",D441="",E441="",F441="",G441="",I441="",J441=""),"异常：必填项缺失",IF(OR(I441&lt;=0,J441&lt;0),"异常：数量或价格无效",IF(AND(F441="限制性股票",OR(M441&lt;=0,N441&lt;0,I441&gt;M441)),"异常：个人获授或出资数据无效",IF(AND(F441="股票期权",K441&lt;&gt;IF(G441&lt;DATE(2025,1,10),14.56,IF(G441&lt;DATE(2025,4,29),14.32,IF(G441&lt;DATE(2025,9,26),14.18,14.04)))),"异常：行权价格区间不符",IF(Q441&lt;&gt;"已备案","提示：未确认备案","正常")))))))</f>
        <v/>
      </c>
      <c r="AD441" s="11" t="n"/>
    </row>
    <row r="442">
      <c r="A442" s="11" t="n"/>
      <c r="B442" s="6">
        <f>IF(A442="","",A442&amp;"-TAX")</f>
        <v/>
      </c>
      <c r="C442" s="11" t="n"/>
      <c r="D442" s="11" t="n"/>
      <c r="E442" s="11" t="n"/>
      <c r="F442" s="11" t="n"/>
      <c r="G442" s="12" t="n"/>
      <c r="H442" s="6">
        <f>IF(G442="","",YEAR(G442))</f>
        <v/>
      </c>
      <c r="I442" s="11" t="n"/>
      <c r="J442" s="13" t="n"/>
      <c r="K442" s="14">
        <f>IF(F442="股票期权",IF(G442="","",IF(G442&lt;DATE(2025,1,10),14.56,IF(G442&lt;DATE(2025,4,29),14.32,IF(G442&lt;DATE(2025,9,26),14.18,14.04)))),IF(F442="限制性股票",8.68,""))</f>
        <v/>
      </c>
      <c r="L442" s="14">
        <f>IF(F442="限制性股票",13.06,"")</f>
        <v/>
      </c>
      <c r="M442" s="11" t="n"/>
      <c r="N442" s="13" t="n"/>
      <c r="O442" s="13" t="n"/>
      <c r="P442" s="12" t="n"/>
      <c r="Q442" s="11" t="n"/>
      <c r="R442" s="12" t="n"/>
      <c r="S442" s="14">
        <f>IF(OR(A442="",C442="",F442="",G442="",I442="",J442=""),"",IF(F442="股票期权",MAX(0,(J442-K442)*I442),IF(F442="限制性股票",IF(OR(L442="",M442="",M442&lt;=0,N442=""),"",MAX(0,((L442+J442)/2)*I442-N442*I442/M442)),MAX(0,O442))))</f>
        <v/>
      </c>
      <c r="T442" s="14">
        <f>IF(S442="","",SUMIFS($S$2:$S$501,$C$2:$C$501,C442,$H$2:$H$501,H442,$G$2:$G$501,"&lt;"&amp;G442)+SUMIFS($S$2:$S$501,$C$2:$C$501,C442,$H$2:$H$501,H442,$G$2:$G$501,G442,$A$2:$A$501,"&lt;"&amp;A442))</f>
        <v/>
      </c>
      <c r="U442" s="14">
        <f>IF(S442="","",T442+S442)</f>
        <v/>
      </c>
      <c r="V442" s="15">
        <f>IF(U442="","",VLOOKUP(U442,'税率及规则'!$A$2:$C$8,2,TRUE))</f>
        <v/>
      </c>
      <c r="W442" s="14">
        <f>IF(U442="","",VLOOKUP(U442,'税率及规则'!$A$2:$C$8,3,TRUE))</f>
        <v/>
      </c>
      <c r="X442" s="14">
        <f>IF(U442="","",MAX(0,U442*V442-W442))</f>
        <v/>
      </c>
      <c r="Y442" s="14">
        <f>IF(T442="","",MAX(0,T442*VLOOKUP(T442,'税率及规则'!$A$2:$C$8,2,TRUE)-VLOOKUP(T442,'税率及规则'!$A$2:$C$8,3,TRUE)))</f>
        <v/>
      </c>
      <c r="Z442" s="14">
        <f>IF(X442="","",MAX(0,X442-Y442))</f>
        <v/>
      </c>
      <c r="AA442" s="16">
        <f>IF(G442="","",G442)</f>
        <v/>
      </c>
      <c r="AB442" s="16">
        <f>IF(AA442="","",EDATE(AA442,36))</f>
        <v/>
      </c>
      <c r="AC442" s="6">
        <f>IF(A442="","",IF(COUNTIF($A$2:$A$501,A442)&gt;1,"异常：事件编号重复",IF(OR(C442="",D442="",E442="",F442="",G442="",I442="",J442=""),"异常：必填项缺失",IF(OR(I442&lt;=0,J442&lt;0),"异常：数量或价格无效",IF(AND(F442="限制性股票",OR(M442&lt;=0,N442&lt;0,I442&gt;M442)),"异常：个人获授或出资数据无效",IF(AND(F442="股票期权",K442&lt;&gt;IF(G442&lt;DATE(2025,1,10),14.56,IF(G442&lt;DATE(2025,4,29),14.32,IF(G442&lt;DATE(2025,9,26),14.18,14.04)))),"异常：行权价格区间不符",IF(Q442&lt;&gt;"已备案","提示：未确认备案","正常")))))))</f>
        <v/>
      </c>
      <c r="AD442" s="11" t="n"/>
    </row>
    <row r="443">
      <c r="A443" s="11" t="n"/>
      <c r="B443" s="6">
        <f>IF(A443="","",A443&amp;"-TAX")</f>
        <v/>
      </c>
      <c r="C443" s="11" t="n"/>
      <c r="D443" s="11" t="n"/>
      <c r="E443" s="11" t="n"/>
      <c r="F443" s="11" t="n"/>
      <c r="G443" s="12" t="n"/>
      <c r="H443" s="6">
        <f>IF(G443="","",YEAR(G443))</f>
        <v/>
      </c>
      <c r="I443" s="11" t="n"/>
      <c r="J443" s="13" t="n"/>
      <c r="K443" s="14">
        <f>IF(F443="股票期权",IF(G443="","",IF(G443&lt;DATE(2025,1,10),14.56,IF(G443&lt;DATE(2025,4,29),14.32,IF(G443&lt;DATE(2025,9,26),14.18,14.04)))),IF(F443="限制性股票",8.68,""))</f>
        <v/>
      </c>
      <c r="L443" s="14">
        <f>IF(F443="限制性股票",13.06,"")</f>
        <v/>
      </c>
      <c r="M443" s="11" t="n"/>
      <c r="N443" s="13" t="n"/>
      <c r="O443" s="13" t="n"/>
      <c r="P443" s="12" t="n"/>
      <c r="Q443" s="11" t="n"/>
      <c r="R443" s="12" t="n"/>
      <c r="S443" s="14">
        <f>IF(OR(A443="",C443="",F443="",G443="",I443="",J443=""),"",IF(F443="股票期权",MAX(0,(J443-K443)*I443),IF(F443="限制性股票",IF(OR(L443="",M443="",M443&lt;=0,N443=""),"",MAX(0,((L443+J443)/2)*I443-N443*I443/M443)),MAX(0,O443))))</f>
        <v/>
      </c>
      <c r="T443" s="14">
        <f>IF(S443="","",SUMIFS($S$2:$S$501,$C$2:$C$501,C443,$H$2:$H$501,H443,$G$2:$G$501,"&lt;"&amp;G443)+SUMIFS($S$2:$S$501,$C$2:$C$501,C443,$H$2:$H$501,H443,$G$2:$G$501,G443,$A$2:$A$501,"&lt;"&amp;A443))</f>
        <v/>
      </c>
      <c r="U443" s="14">
        <f>IF(S443="","",T443+S443)</f>
        <v/>
      </c>
      <c r="V443" s="15">
        <f>IF(U443="","",VLOOKUP(U443,'税率及规则'!$A$2:$C$8,2,TRUE))</f>
        <v/>
      </c>
      <c r="W443" s="14">
        <f>IF(U443="","",VLOOKUP(U443,'税率及规则'!$A$2:$C$8,3,TRUE))</f>
        <v/>
      </c>
      <c r="X443" s="14">
        <f>IF(U443="","",MAX(0,U443*V443-W443))</f>
        <v/>
      </c>
      <c r="Y443" s="14">
        <f>IF(T443="","",MAX(0,T443*VLOOKUP(T443,'税率及规则'!$A$2:$C$8,2,TRUE)-VLOOKUP(T443,'税率及规则'!$A$2:$C$8,3,TRUE)))</f>
        <v/>
      </c>
      <c r="Z443" s="14">
        <f>IF(X443="","",MAX(0,X443-Y443))</f>
        <v/>
      </c>
      <c r="AA443" s="16">
        <f>IF(G443="","",G443)</f>
        <v/>
      </c>
      <c r="AB443" s="16">
        <f>IF(AA443="","",EDATE(AA443,36))</f>
        <v/>
      </c>
      <c r="AC443" s="6">
        <f>IF(A443="","",IF(COUNTIF($A$2:$A$501,A443)&gt;1,"异常：事件编号重复",IF(OR(C443="",D443="",E443="",F443="",G443="",I443="",J443=""),"异常：必填项缺失",IF(OR(I443&lt;=0,J443&lt;0),"异常：数量或价格无效",IF(AND(F443="限制性股票",OR(M443&lt;=0,N443&lt;0,I443&gt;M443)),"异常：个人获授或出资数据无效",IF(AND(F443="股票期权",K443&lt;&gt;IF(G443&lt;DATE(2025,1,10),14.56,IF(G443&lt;DATE(2025,4,29),14.32,IF(G443&lt;DATE(2025,9,26),14.18,14.04)))),"异常：行权价格区间不符",IF(Q443&lt;&gt;"已备案","提示：未确认备案","正常")))))))</f>
        <v/>
      </c>
      <c r="AD443" s="11" t="n"/>
    </row>
    <row r="444">
      <c r="A444" s="11" t="n"/>
      <c r="B444" s="6">
        <f>IF(A444="","",A444&amp;"-TAX")</f>
        <v/>
      </c>
      <c r="C444" s="11" t="n"/>
      <c r="D444" s="11" t="n"/>
      <c r="E444" s="11" t="n"/>
      <c r="F444" s="11" t="n"/>
      <c r="G444" s="12" t="n"/>
      <c r="H444" s="6">
        <f>IF(G444="","",YEAR(G444))</f>
        <v/>
      </c>
      <c r="I444" s="11" t="n"/>
      <c r="J444" s="13" t="n"/>
      <c r="K444" s="14">
        <f>IF(F444="股票期权",IF(G444="","",IF(G444&lt;DATE(2025,1,10),14.56,IF(G444&lt;DATE(2025,4,29),14.32,IF(G444&lt;DATE(2025,9,26),14.18,14.04)))),IF(F444="限制性股票",8.68,""))</f>
        <v/>
      </c>
      <c r="L444" s="14">
        <f>IF(F444="限制性股票",13.06,"")</f>
        <v/>
      </c>
      <c r="M444" s="11" t="n"/>
      <c r="N444" s="13" t="n"/>
      <c r="O444" s="13" t="n"/>
      <c r="P444" s="12" t="n"/>
      <c r="Q444" s="11" t="n"/>
      <c r="R444" s="12" t="n"/>
      <c r="S444" s="14">
        <f>IF(OR(A444="",C444="",F444="",G444="",I444="",J444=""),"",IF(F444="股票期权",MAX(0,(J444-K444)*I444),IF(F444="限制性股票",IF(OR(L444="",M444="",M444&lt;=0,N444=""),"",MAX(0,((L444+J444)/2)*I444-N444*I444/M444)),MAX(0,O444))))</f>
        <v/>
      </c>
      <c r="T444" s="14">
        <f>IF(S444="","",SUMIFS($S$2:$S$501,$C$2:$C$501,C444,$H$2:$H$501,H444,$G$2:$G$501,"&lt;"&amp;G444)+SUMIFS($S$2:$S$501,$C$2:$C$501,C444,$H$2:$H$501,H444,$G$2:$G$501,G444,$A$2:$A$501,"&lt;"&amp;A444))</f>
        <v/>
      </c>
      <c r="U444" s="14">
        <f>IF(S444="","",T444+S444)</f>
        <v/>
      </c>
      <c r="V444" s="15">
        <f>IF(U444="","",VLOOKUP(U444,'税率及规则'!$A$2:$C$8,2,TRUE))</f>
        <v/>
      </c>
      <c r="W444" s="14">
        <f>IF(U444="","",VLOOKUP(U444,'税率及规则'!$A$2:$C$8,3,TRUE))</f>
        <v/>
      </c>
      <c r="X444" s="14">
        <f>IF(U444="","",MAX(0,U444*V444-W444))</f>
        <v/>
      </c>
      <c r="Y444" s="14">
        <f>IF(T444="","",MAX(0,T444*VLOOKUP(T444,'税率及规则'!$A$2:$C$8,2,TRUE)-VLOOKUP(T444,'税率及规则'!$A$2:$C$8,3,TRUE)))</f>
        <v/>
      </c>
      <c r="Z444" s="14">
        <f>IF(X444="","",MAX(0,X444-Y444))</f>
        <v/>
      </c>
      <c r="AA444" s="16">
        <f>IF(G444="","",G444)</f>
        <v/>
      </c>
      <c r="AB444" s="16">
        <f>IF(AA444="","",EDATE(AA444,36))</f>
        <v/>
      </c>
      <c r="AC444" s="6">
        <f>IF(A444="","",IF(COUNTIF($A$2:$A$501,A444)&gt;1,"异常：事件编号重复",IF(OR(C444="",D444="",E444="",F444="",G444="",I444="",J444=""),"异常：必填项缺失",IF(OR(I444&lt;=0,J444&lt;0),"异常：数量或价格无效",IF(AND(F444="限制性股票",OR(M444&lt;=0,N444&lt;0,I444&gt;M444)),"异常：个人获授或出资数据无效",IF(AND(F444="股票期权",K444&lt;&gt;IF(G444&lt;DATE(2025,1,10),14.56,IF(G444&lt;DATE(2025,4,29),14.32,IF(G444&lt;DATE(2025,9,26),14.18,14.04)))),"异常：行权价格区间不符",IF(Q444&lt;&gt;"已备案","提示：未确认备案","正常")))))))</f>
        <v/>
      </c>
      <c r="AD444" s="11" t="n"/>
    </row>
    <row r="445">
      <c r="A445" s="11" t="n"/>
      <c r="B445" s="6">
        <f>IF(A445="","",A445&amp;"-TAX")</f>
        <v/>
      </c>
      <c r="C445" s="11" t="n"/>
      <c r="D445" s="11" t="n"/>
      <c r="E445" s="11" t="n"/>
      <c r="F445" s="11" t="n"/>
      <c r="G445" s="12" t="n"/>
      <c r="H445" s="6">
        <f>IF(G445="","",YEAR(G445))</f>
        <v/>
      </c>
      <c r="I445" s="11" t="n"/>
      <c r="J445" s="13" t="n"/>
      <c r="K445" s="14">
        <f>IF(F445="股票期权",IF(G445="","",IF(G445&lt;DATE(2025,1,10),14.56,IF(G445&lt;DATE(2025,4,29),14.32,IF(G445&lt;DATE(2025,9,26),14.18,14.04)))),IF(F445="限制性股票",8.68,""))</f>
        <v/>
      </c>
      <c r="L445" s="14">
        <f>IF(F445="限制性股票",13.06,"")</f>
        <v/>
      </c>
      <c r="M445" s="11" t="n"/>
      <c r="N445" s="13" t="n"/>
      <c r="O445" s="13" t="n"/>
      <c r="P445" s="12" t="n"/>
      <c r="Q445" s="11" t="n"/>
      <c r="R445" s="12" t="n"/>
      <c r="S445" s="14">
        <f>IF(OR(A445="",C445="",F445="",G445="",I445="",J445=""),"",IF(F445="股票期权",MAX(0,(J445-K445)*I445),IF(F445="限制性股票",IF(OR(L445="",M445="",M445&lt;=0,N445=""),"",MAX(0,((L445+J445)/2)*I445-N445*I445/M445)),MAX(0,O445))))</f>
        <v/>
      </c>
      <c r="T445" s="14">
        <f>IF(S445="","",SUMIFS($S$2:$S$501,$C$2:$C$501,C445,$H$2:$H$501,H445,$G$2:$G$501,"&lt;"&amp;G445)+SUMIFS($S$2:$S$501,$C$2:$C$501,C445,$H$2:$H$501,H445,$G$2:$G$501,G445,$A$2:$A$501,"&lt;"&amp;A445))</f>
        <v/>
      </c>
      <c r="U445" s="14">
        <f>IF(S445="","",T445+S445)</f>
        <v/>
      </c>
      <c r="V445" s="15">
        <f>IF(U445="","",VLOOKUP(U445,'税率及规则'!$A$2:$C$8,2,TRUE))</f>
        <v/>
      </c>
      <c r="W445" s="14">
        <f>IF(U445="","",VLOOKUP(U445,'税率及规则'!$A$2:$C$8,3,TRUE))</f>
        <v/>
      </c>
      <c r="X445" s="14">
        <f>IF(U445="","",MAX(0,U445*V445-W445))</f>
        <v/>
      </c>
      <c r="Y445" s="14">
        <f>IF(T445="","",MAX(0,T445*VLOOKUP(T445,'税率及规则'!$A$2:$C$8,2,TRUE)-VLOOKUP(T445,'税率及规则'!$A$2:$C$8,3,TRUE)))</f>
        <v/>
      </c>
      <c r="Z445" s="14">
        <f>IF(X445="","",MAX(0,X445-Y445))</f>
        <v/>
      </c>
      <c r="AA445" s="16">
        <f>IF(G445="","",G445)</f>
        <v/>
      </c>
      <c r="AB445" s="16">
        <f>IF(AA445="","",EDATE(AA445,36))</f>
        <v/>
      </c>
      <c r="AC445" s="6">
        <f>IF(A445="","",IF(COUNTIF($A$2:$A$501,A445)&gt;1,"异常：事件编号重复",IF(OR(C445="",D445="",E445="",F445="",G445="",I445="",J445=""),"异常：必填项缺失",IF(OR(I445&lt;=0,J445&lt;0),"异常：数量或价格无效",IF(AND(F445="限制性股票",OR(M445&lt;=0,N445&lt;0,I445&gt;M445)),"异常：个人获授或出资数据无效",IF(AND(F445="股票期权",K445&lt;&gt;IF(G445&lt;DATE(2025,1,10),14.56,IF(G445&lt;DATE(2025,4,29),14.32,IF(G445&lt;DATE(2025,9,26),14.18,14.04)))),"异常：行权价格区间不符",IF(Q445&lt;&gt;"已备案","提示：未确认备案","正常")))))))</f>
        <v/>
      </c>
      <c r="AD445" s="11" t="n"/>
    </row>
    <row r="446">
      <c r="A446" s="11" t="n"/>
      <c r="B446" s="6">
        <f>IF(A446="","",A446&amp;"-TAX")</f>
        <v/>
      </c>
      <c r="C446" s="11" t="n"/>
      <c r="D446" s="11" t="n"/>
      <c r="E446" s="11" t="n"/>
      <c r="F446" s="11" t="n"/>
      <c r="G446" s="12" t="n"/>
      <c r="H446" s="6">
        <f>IF(G446="","",YEAR(G446))</f>
        <v/>
      </c>
      <c r="I446" s="11" t="n"/>
      <c r="J446" s="13" t="n"/>
      <c r="K446" s="14">
        <f>IF(F446="股票期权",IF(G446="","",IF(G446&lt;DATE(2025,1,10),14.56,IF(G446&lt;DATE(2025,4,29),14.32,IF(G446&lt;DATE(2025,9,26),14.18,14.04)))),IF(F446="限制性股票",8.68,""))</f>
        <v/>
      </c>
      <c r="L446" s="14">
        <f>IF(F446="限制性股票",13.06,"")</f>
        <v/>
      </c>
      <c r="M446" s="11" t="n"/>
      <c r="N446" s="13" t="n"/>
      <c r="O446" s="13" t="n"/>
      <c r="P446" s="12" t="n"/>
      <c r="Q446" s="11" t="n"/>
      <c r="R446" s="12" t="n"/>
      <c r="S446" s="14">
        <f>IF(OR(A446="",C446="",F446="",G446="",I446="",J446=""),"",IF(F446="股票期权",MAX(0,(J446-K446)*I446),IF(F446="限制性股票",IF(OR(L446="",M446="",M446&lt;=0,N446=""),"",MAX(0,((L446+J446)/2)*I446-N446*I446/M446)),MAX(0,O446))))</f>
        <v/>
      </c>
      <c r="T446" s="14">
        <f>IF(S446="","",SUMIFS($S$2:$S$501,$C$2:$C$501,C446,$H$2:$H$501,H446,$G$2:$G$501,"&lt;"&amp;G446)+SUMIFS($S$2:$S$501,$C$2:$C$501,C446,$H$2:$H$501,H446,$G$2:$G$501,G446,$A$2:$A$501,"&lt;"&amp;A446))</f>
        <v/>
      </c>
      <c r="U446" s="14">
        <f>IF(S446="","",T446+S446)</f>
        <v/>
      </c>
      <c r="V446" s="15">
        <f>IF(U446="","",VLOOKUP(U446,'税率及规则'!$A$2:$C$8,2,TRUE))</f>
        <v/>
      </c>
      <c r="W446" s="14">
        <f>IF(U446="","",VLOOKUP(U446,'税率及规则'!$A$2:$C$8,3,TRUE))</f>
        <v/>
      </c>
      <c r="X446" s="14">
        <f>IF(U446="","",MAX(0,U446*V446-W446))</f>
        <v/>
      </c>
      <c r="Y446" s="14">
        <f>IF(T446="","",MAX(0,T446*VLOOKUP(T446,'税率及规则'!$A$2:$C$8,2,TRUE)-VLOOKUP(T446,'税率及规则'!$A$2:$C$8,3,TRUE)))</f>
        <v/>
      </c>
      <c r="Z446" s="14">
        <f>IF(X446="","",MAX(0,X446-Y446))</f>
        <v/>
      </c>
      <c r="AA446" s="16">
        <f>IF(G446="","",G446)</f>
        <v/>
      </c>
      <c r="AB446" s="16">
        <f>IF(AA446="","",EDATE(AA446,36))</f>
        <v/>
      </c>
      <c r="AC446" s="6">
        <f>IF(A446="","",IF(COUNTIF($A$2:$A$501,A446)&gt;1,"异常：事件编号重复",IF(OR(C446="",D446="",E446="",F446="",G446="",I446="",J446=""),"异常：必填项缺失",IF(OR(I446&lt;=0,J446&lt;0),"异常：数量或价格无效",IF(AND(F446="限制性股票",OR(M446&lt;=0,N446&lt;0,I446&gt;M446)),"异常：个人获授或出资数据无效",IF(AND(F446="股票期权",K446&lt;&gt;IF(G446&lt;DATE(2025,1,10),14.56,IF(G446&lt;DATE(2025,4,29),14.32,IF(G446&lt;DATE(2025,9,26),14.18,14.04)))),"异常：行权价格区间不符",IF(Q446&lt;&gt;"已备案","提示：未确认备案","正常")))))))</f>
        <v/>
      </c>
      <c r="AD446" s="11" t="n"/>
    </row>
    <row r="447">
      <c r="A447" s="11" t="n"/>
      <c r="B447" s="6">
        <f>IF(A447="","",A447&amp;"-TAX")</f>
        <v/>
      </c>
      <c r="C447" s="11" t="n"/>
      <c r="D447" s="11" t="n"/>
      <c r="E447" s="11" t="n"/>
      <c r="F447" s="11" t="n"/>
      <c r="G447" s="12" t="n"/>
      <c r="H447" s="6">
        <f>IF(G447="","",YEAR(G447))</f>
        <v/>
      </c>
      <c r="I447" s="11" t="n"/>
      <c r="J447" s="13" t="n"/>
      <c r="K447" s="14">
        <f>IF(F447="股票期权",IF(G447="","",IF(G447&lt;DATE(2025,1,10),14.56,IF(G447&lt;DATE(2025,4,29),14.32,IF(G447&lt;DATE(2025,9,26),14.18,14.04)))),IF(F447="限制性股票",8.68,""))</f>
        <v/>
      </c>
      <c r="L447" s="14">
        <f>IF(F447="限制性股票",13.06,"")</f>
        <v/>
      </c>
      <c r="M447" s="11" t="n"/>
      <c r="N447" s="13" t="n"/>
      <c r="O447" s="13" t="n"/>
      <c r="P447" s="12" t="n"/>
      <c r="Q447" s="11" t="n"/>
      <c r="R447" s="12" t="n"/>
      <c r="S447" s="14">
        <f>IF(OR(A447="",C447="",F447="",G447="",I447="",J447=""),"",IF(F447="股票期权",MAX(0,(J447-K447)*I447),IF(F447="限制性股票",IF(OR(L447="",M447="",M447&lt;=0,N447=""),"",MAX(0,((L447+J447)/2)*I447-N447*I447/M447)),MAX(0,O447))))</f>
        <v/>
      </c>
      <c r="T447" s="14">
        <f>IF(S447="","",SUMIFS($S$2:$S$501,$C$2:$C$501,C447,$H$2:$H$501,H447,$G$2:$G$501,"&lt;"&amp;G447)+SUMIFS($S$2:$S$501,$C$2:$C$501,C447,$H$2:$H$501,H447,$G$2:$G$501,G447,$A$2:$A$501,"&lt;"&amp;A447))</f>
        <v/>
      </c>
      <c r="U447" s="14">
        <f>IF(S447="","",T447+S447)</f>
        <v/>
      </c>
      <c r="V447" s="15">
        <f>IF(U447="","",VLOOKUP(U447,'税率及规则'!$A$2:$C$8,2,TRUE))</f>
        <v/>
      </c>
      <c r="W447" s="14">
        <f>IF(U447="","",VLOOKUP(U447,'税率及规则'!$A$2:$C$8,3,TRUE))</f>
        <v/>
      </c>
      <c r="X447" s="14">
        <f>IF(U447="","",MAX(0,U447*V447-W447))</f>
        <v/>
      </c>
      <c r="Y447" s="14">
        <f>IF(T447="","",MAX(0,T447*VLOOKUP(T447,'税率及规则'!$A$2:$C$8,2,TRUE)-VLOOKUP(T447,'税率及规则'!$A$2:$C$8,3,TRUE)))</f>
        <v/>
      </c>
      <c r="Z447" s="14">
        <f>IF(X447="","",MAX(0,X447-Y447))</f>
        <v/>
      </c>
      <c r="AA447" s="16">
        <f>IF(G447="","",G447)</f>
        <v/>
      </c>
      <c r="AB447" s="16">
        <f>IF(AA447="","",EDATE(AA447,36))</f>
        <v/>
      </c>
      <c r="AC447" s="6">
        <f>IF(A447="","",IF(COUNTIF($A$2:$A$501,A447)&gt;1,"异常：事件编号重复",IF(OR(C447="",D447="",E447="",F447="",G447="",I447="",J447=""),"异常：必填项缺失",IF(OR(I447&lt;=0,J447&lt;0),"异常：数量或价格无效",IF(AND(F447="限制性股票",OR(M447&lt;=0,N447&lt;0,I447&gt;M447)),"异常：个人获授或出资数据无效",IF(AND(F447="股票期权",K447&lt;&gt;IF(G447&lt;DATE(2025,1,10),14.56,IF(G447&lt;DATE(2025,4,29),14.32,IF(G447&lt;DATE(2025,9,26),14.18,14.04)))),"异常：行权价格区间不符",IF(Q447&lt;&gt;"已备案","提示：未确认备案","正常")))))))</f>
        <v/>
      </c>
      <c r="AD447" s="11" t="n"/>
    </row>
    <row r="448">
      <c r="A448" s="11" t="n"/>
      <c r="B448" s="6">
        <f>IF(A448="","",A448&amp;"-TAX")</f>
        <v/>
      </c>
      <c r="C448" s="11" t="n"/>
      <c r="D448" s="11" t="n"/>
      <c r="E448" s="11" t="n"/>
      <c r="F448" s="11" t="n"/>
      <c r="G448" s="12" t="n"/>
      <c r="H448" s="6">
        <f>IF(G448="","",YEAR(G448))</f>
        <v/>
      </c>
      <c r="I448" s="11" t="n"/>
      <c r="J448" s="13" t="n"/>
      <c r="K448" s="14">
        <f>IF(F448="股票期权",IF(G448="","",IF(G448&lt;DATE(2025,1,10),14.56,IF(G448&lt;DATE(2025,4,29),14.32,IF(G448&lt;DATE(2025,9,26),14.18,14.04)))),IF(F448="限制性股票",8.68,""))</f>
        <v/>
      </c>
      <c r="L448" s="14">
        <f>IF(F448="限制性股票",13.06,"")</f>
        <v/>
      </c>
      <c r="M448" s="11" t="n"/>
      <c r="N448" s="13" t="n"/>
      <c r="O448" s="13" t="n"/>
      <c r="P448" s="12" t="n"/>
      <c r="Q448" s="11" t="n"/>
      <c r="R448" s="12" t="n"/>
      <c r="S448" s="14">
        <f>IF(OR(A448="",C448="",F448="",G448="",I448="",J448=""),"",IF(F448="股票期权",MAX(0,(J448-K448)*I448),IF(F448="限制性股票",IF(OR(L448="",M448="",M448&lt;=0,N448=""),"",MAX(0,((L448+J448)/2)*I448-N448*I448/M448)),MAX(0,O448))))</f>
        <v/>
      </c>
      <c r="T448" s="14">
        <f>IF(S448="","",SUMIFS($S$2:$S$501,$C$2:$C$501,C448,$H$2:$H$501,H448,$G$2:$G$501,"&lt;"&amp;G448)+SUMIFS($S$2:$S$501,$C$2:$C$501,C448,$H$2:$H$501,H448,$G$2:$G$501,G448,$A$2:$A$501,"&lt;"&amp;A448))</f>
        <v/>
      </c>
      <c r="U448" s="14">
        <f>IF(S448="","",T448+S448)</f>
        <v/>
      </c>
      <c r="V448" s="15">
        <f>IF(U448="","",VLOOKUP(U448,'税率及规则'!$A$2:$C$8,2,TRUE))</f>
        <v/>
      </c>
      <c r="W448" s="14">
        <f>IF(U448="","",VLOOKUP(U448,'税率及规则'!$A$2:$C$8,3,TRUE))</f>
        <v/>
      </c>
      <c r="X448" s="14">
        <f>IF(U448="","",MAX(0,U448*V448-W448))</f>
        <v/>
      </c>
      <c r="Y448" s="14">
        <f>IF(T448="","",MAX(0,T448*VLOOKUP(T448,'税率及规则'!$A$2:$C$8,2,TRUE)-VLOOKUP(T448,'税率及规则'!$A$2:$C$8,3,TRUE)))</f>
        <v/>
      </c>
      <c r="Z448" s="14">
        <f>IF(X448="","",MAX(0,X448-Y448))</f>
        <v/>
      </c>
      <c r="AA448" s="16">
        <f>IF(G448="","",G448)</f>
        <v/>
      </c>
      <c r="AB448" s="16">
        <f>IF(AA448="","",EDATE(AA448,36))</f>
        <v/>
      </c>
      <c r="AC448" s="6">
        <f>IF(A448="","",IF(COUNTIF($A$2:$A$501,A448)&gt;1,"异常：事件编号重复",IF(OR(C448="",D448="",E448="",F448="",G448="",I448="",J448=""),"异常：必填项缺失",IF(OR(I448&lt;=0,J448&lt;0),"异常：数量或价格无效",IF(AND(F448="限制性股票",OR(M448&lt;=0,N448&lt;0,I448&gt;M448)),"异常：个人获授或出资数据无效",IF(AND(F448="股票期权",K448&lt;&gt;IF(G448&lt;DATE(2025,1,10),14.56,IF(G448&lt;DATE(2025,4,29),14.32,IF(G448&lt;DATE(2025,9,26),14.18,14.04)))),"异常：行权价格区间不符",IF(Q448&lt;&gt;"已备案","提示：未确认备案","正常")))))))</f>
        <v/>
      </c>
      <c r="AD448" s="11" t="n"/>
    </row>
    <row r="449">
      <c r="A449" s="11" t="n"/>
      <c r="B449" s="6">
        <f>IF(A449="","",A449&amp;"-TAX")</f>
        <v/>
      </c>
      <c r="C449" s="11" t="n"/>
      <c r="D449" s="11" t="n"/>
      <c r="E449" s="11" t="n"/>
      <c r="F449" s="11" t="n"/>
      <c r="G449" s="12" t="n"/>
      <c r="H449" s="6">
        <f>IF(G449="","",YEAR(G449))</f>
        <v/>
      </c>
      <c r="I449" s="11" t="n"/>
      <c r="J449" s="13" t="n"/>
      <c r="K449" s="14">
        <f>IF(F449="股票期权",IF(G449="","",IF(G449&lt;DATE(2025,1,10),14.56,IF(G449&lt;DATE(2025,4,29),14.32,IF(G449&lt;DATE(2025,9,26),14.18,14.04)))),IF(F449="限制性股票",8.68,""))</f>
        <v/>
      </c>
      <c r="L449" s="14">
        <f>IF(F449="限制性股票",13.06,"")</f>
        <v/>
      </c>
      <c r="M449" s="11" t="n"/>
      <c r="N449" s="13" t="n"/>
      <c r="O449" s="13" t="n"/>
      <c r="P449" s="12" t="n"/>
      <c r="Q449" s="11" t="n"/>
      <c r="R449" s="12" t="n"/>
      <c r="S449" s="14">
        <f>IF(OR(A449="",C449="",F449="",G449="",I449="",J449=""),"",IF(F449="股票期权",MAX(0,(J449-K449)*I449),IF(F449="限制性股票",IF(OR(L449="",M449="",M449&lt;=0,N449=""),"",MAX(0,((L449+J449)/2)*I449-N449*I449/M449)),MAX(0,O449))))</f>
        <v/>
      </c>
      <c r="T449" s="14">
        <f>IF(S449="","",SUMIFS($S$2:$S$501,$C$2:$C$501,C449,$H$2:$H$501,H449,$G$2:$G$501,"&lt;"&amp;G449)+SUMIFS($S$2:$S$501,$C$2:$C$501,C449,$H$2:$H$501,H449,$G$2:$G$501,G449,$A$2:$A$501,"&lt;"&amp;A449))</f>
        <v/>
      </c>
      <c r="U449" s="14">
        <f>IF(S449="","",T449+S449)</f>
        <v/>
      </c>
      <c r="V449" s="15">
        <f>IF(U449="","",VLOOKUP(U449,'税率及规则'!$A$2:$C$8,2,TRUE))</f>
        <v/>
      </c>
      <c r="W449" s="14">
        <f>IF(U449="","",VLOOKUP(U449,'税率及规则'!$A$2:$C$8,3,TRUE))</f>
        <v/>
      </c>
      <c r="X449" s="14">
        <f>IF(U449="","",MAX(0,U449*V449-W449))</f>
        <v/>
      </c>
      <c r="Y449" s="14">
        <f>IF(T449="","",MAX(0,T449*VLOOKUP(T449,'税率及规则'!$A$2:$C$8,2,TRUE)-VLOOKUP(T449,'税率及规则'!$A$2:$C$8,3,TRUE)))</f>
        <v/>
      </c>
      <c r="Z449" s="14">
        <f>IF(X449="","",MAX(0,X449-Y449))</f>
        <v/>
      </c>
      <c r="AA449" s="16">
        <f>IF(G449="","",G449)</f>
        <v/>
      </c>
      <c r="AB449" s="16">
        <f>IF(AA449="","",EDATE(AA449,36))</f>
        <v/>
      </c>
      <c r="AC449" s="6">
        <f>IF(A449="","",IF(COUNTIF($A$2:$A$501,A449)&gt;1,"异常：事件编号重复",IF(OR(C449="",D449="",E449="",F449="",G449="",I449="",J449=""),"异常：必填项缺失",IF(OR(I449&lt;=0,J449&lt;0),"异常：数量或价格无效",IF(AND(F449="限制性股票",OR(M449&lt;=0,N449&lt;0,I449&gt;M449)),"异常：个人获授或出资数据无效",IF(AND(F449="股票期权",K449&lt;&gt;IF(G449&lt;DATE(2025,1,10),14.56,IF(G449&lt;DATE(2025,4,29),14.32,IF(G449&lt;DATE(2025,9,26),14.18,14.04)))),"异常：行权价格区间不符",IF(Q449&lt;&gt;"已备案","提示：未确认备案","正常")))))))</f>
        <v/>
      </c>
      <c r="AD449" s="11" t="n"/>
    </row>
    <row r="450">
      <c r="A450" s="11" t="n"/>
      <c r="B450" s="6">
        <f>IF(A450="","",A450&amp;"-TAX")</f>
        <v/>
      </c>
      <c r="C450" s="11" t="n"/>
      <c r="D450" s="11" t="n"/>
      <c r="E450" s="11" t="n"/>
      <c r="F450" s="11" t="n"/>
      <c r="G450" s="12" t="n"/>
      <c r="H450" s="6">
        <f>IF(G450="","",YEAR(G450))</f>
        <v/>
      </c>
      <c r="I450" s="11" t="n"/>
      <c r="J450" s="13" t="n"/>
      <c r="K450" s="14">
        <f>IF(F450="股票期权",IF(G450="","",IF(G450&lt;DATE(2025,1,10),14.56,IF(G450&lt;DATE(2025,4,29),14.32,IF(G450&lt;DATE(2025,9,26),14.18,14.04)))),IF(F450="限制性股票",8.68,""))</f>
        <v/>
      </c>
      <c r="L450" s="14">
        <f>IF(F450="限制性股票",13.06,"")</f>
        <v/>
      </c>
      <c r="M450" s="11" t="n"/>
      <c r="N450" s="13" t="n"/>
      <c r="O450" s="13" t="n"/>
      <c r="P450" s="12" t="n"/>
      <c r="Q450" s="11" t="n"/>
      <c r="R450" s="12" t="n"/>
      <c r="S450" s="14">
        <f>IF(OR(A450="",C450="",F450="",G450="",I450="",J450=""),"",IF(F450="股票期权",MAX(0,(J450-K450)*I450),IF(F450="限制性股票",IF(OR(L450="",M450="",M450&lt;=0,N450=""),"",MAX(0,((L450+J450)/2)*I450-N450*I450/M450)),MAX(0,O450))))</f>
        <v/>
      </c>
      <c r="T450" s="14">
        <f>IF(S450="","",SUMIFS($S$2:$S$501,$C$2:$C$501,C450,$H$2:$H$501,H450,$G$2:$G$501,"&lt;"&amp;G450)+SUMIFS($S$2:$S$501,$C$2:$C$501,C450,$H$2:$H$501,H450,$G$2:$G$501,G450,$A$2:$A$501,"&lt;"&amp;A450))</f>
        <v/>
      </c>
      <c r="U450" s="14">
        <f>IF(S450="","",T450+S450)</f>
        <v/>
      </c>
      <c r="V450" s="15">
        <f>IF(U450="","",VLOOKUP(U450,'税率及规则'!$A$2:$C$8,2,TRUE))</f>
        <v/>
      </c>
      <c r="W450" s="14">
        <f>IF(U450="","",VLOOKUP(U450,'税率及规则'!$A$2:$C$8,3,TRUE))</f>
        <v/>
      </c>
      <c r="X450" s="14">
        <f>IF(U450="","",MAX(0,U450*V450-W450))</f>
        <v/>
      </c>
      <c r="Y450" s="14">
        <f>IF(T450="","",MAX(0,T450*VLOOKUP(T450,'税率及规则'!$A$2:$C$8,2,TRUE)-VLOOKUP(T450,'税率及规则'!$A$2:$C$8,3,TRUE)))</f>
        <v/>
      </c>
      <c r="Z450" s="14">
        <f>IF(X450="","",MAX(0,X450-Y450))</f>
        <v/>
      </c>
      <c r="AA450" s="16">
        <f>IF(G450="","",G450)</f>
        <v/>
      </c>
      <c r="AB450" s="16">
        <f>IF(AA450="","",EDATE(AA450,36))</f>
        <v/>
      </c>
      <c r="AC450" s="6">
        <f>IF(A450="","",IF(COUNTIF($A$2:$A$501,A450)&gt;1,"异常：事件编号重复",IF(OR(C450="",D450="",E450="",F450="",G450="",I450="",J450=""),"异常：必填项缺失",IF(OR(I450&lt;=0,J450&lt;0),"异常：数量或价格无效",IF(AND(F450="限制性股票",OR(M450&lt;=0,N450&lt;0,I450&gt;M450)),"异常：个人获授或出资数据无效",IF(AND(F450="股票期权",K450&lt;&gt;IF(G450&lt;DATE(2025,1,10),14.56,IF(G450&lt;DATE(2025,4,29),14.32,IF(G450&lt;DATE(2025,9,26),14.18,14.04)))),"异常：行权价格区间不符",IF(Q450&lt;&gt;"已备案","提示：未确认备案","正常")))))))</f>
        <v/>
      </c>
      <c r="AD450" s="11" t="n"/>
    </row>
    <row r="451">
      <c r="A451" s="11" t="n"/>
      <c r="B451" s="6">
        <f>IF(A451="","",A451&amp;"-TAX")</f>
        <v/>
      </c>
      <c r="C451" s="11" t="n"/>
      <c r="D451" s="11" t="n"/>
      <c r="E451" s="11" t="n"/>
      <c r="F451" s="11" t="n"/>
      <c r="G451" s="12" t="n"/>
      <c r="H451" s="6">
        <f>IF(G451="","",YEAR(G451))</f>
        <v/>
      </c>
      <c r="I451" s="11" t="n"/>
      <c r="J451" s="13" t="n"/>
      <c r="K451" s="14">
        <f>IF(F451="股票期权",IF(G451="","",IF(G451&lt;DATE(2025,1,10),14.56,IF(G451&lt;DATE(2025,4,29),14.32,IF(G451&lt;DATE(2025,9,26),14.18,14.04)))),IF(F451="限制性股票",8.68,""))</f>
        <v/>
      </c>
      <c r="L451" s="14">
        <f>IF(F451="限制性股票",13.06,"")</f>
        <v/>
      </c>
      <c r="M451" s="11" t="n"/>
      <c r="N451" s="13" t="n"/>
      <c r="O451" s="13" t="n"/>
      <c r="P451" s="12" t="n"/>
      <c r="Q451" s="11" t="n"/>
      <c r="R451" s="12" t="n"/>
      <c r="S451" s="14">
        <f>IF(OR(A451="",C451="",F451="",G451="",I451="",J451=""),"",IF(F451="股票期权",MAX(0,(J451-K451)*I451),IF(F451="限制性股票",IF(OR(L451="",M451="",M451&lt;=0,N451=""),"",MAX(0,((L451+J451)/2)*I451-N451*I451/M451)),MAX(0,O451))))</f>
        <v/>
      </c>
      <c r="T451" s="14">
        <f>IF(S451="","",SUMIFS($S$2:$S$501,$C$2:$C$501,C451,$H$2:$H$501,H451,$G$2:$G$501,"&lt;"&amp;G451)+SUMIFS($S$2:$S$501,$C$2:$C$501,C451,$H$2:$H$501,H451,$G$2:$G$501,G451,$A$2:$A$501,"&lt;"&amp;A451))</f>
        <v/>
      </c>
      <c r="U451" s="14">
        <f>IF(S451="","",T451+S451)</f>
        <v/>
      </c>
      <c r="V451" s="15">
        <f>IF(U451="","",VLOOKUP(U451,'税率及规则'!$A$2:$C$8,2,TRUE))</f>
        <v/>
      </c>
      <c r="W451" s="14">
        <f>IF(U451="","",VLOOKUP(U451,'税率及规则'!$A$2:$C$8,3,TRUE))</f>
        <v/>
      </c>
      <c r="X451" s="14">
        <f>IF(U451="","",MAX(0,U451*V451-W451))</f>
        <v/>
      </c>
      <c r="Y451" s="14">
        <f>IF(T451="","",MAX(0,T451*VLOOKUP(T451,'税率及规则'!$A$2:$C$8,2,TRUE)-VLOOKUP(T451,'税率及规则'!$A$2:$C$8,3,TRUE)))</f>
        <v/>
      </c>
      <c r="Z451" s="14">
        <f>IF(X451="","",MAX(0,X451-Y451))</f>
        <v/>
      </c>
      <c r="AA451" s="16">
        <f>IF(G451="","",G451)</f>
        <v/>
      </c>
      <c r="AB451" s="16">
        <f>IF(AA451="","",EDATE(AA451,36))</f>
        <v/>
      </c>
      <c r="AC451" s="6">
        <f>IF(A451="","",IF(COUNTIF($A$2:$A$501,A451)&gt;1,"异常：事件编号重复",IF(OR(C451="",D451="",E451="",F451="",G451="",I451="",J451=""),"异常：必填项缺失",IF(OR(I451&lt;=0,J451&lt;0),"异常：数量或价格无效",IF(AND(F451="限制性股票",OR(M451&lt;=0,N451&lt;0,I451&gt;M451)),"异常：个人获授或出资数据无效",IF(AND(F451="股票期权",K451&lt;&gt;IF(G451&lt;DATE(2025,1,10),14.56,IF(G451&lt;DATE(2025,4,29),14.32,IF(G451&lt;DATE(2025,9,26),14.18,14.04)))),"异常：行权价格区间不符",IF(Q451&lt;&gt;"已备案","提示：未确认备案","正常")))))))</f>
        <v/>
      </c>
      <c r="AD451" s="11" t="n"/>
    </row>
    <row r="452">
      <c r="A452" s="11" t="n"/>
      <c r="B452" s="6">
        <f>IF(A452="","",A452&amp;"-TAX")</f>
        <v/>
      </c>
      <c r="C452" s="11" t="n"/>
      <c r="D452" s="11" t="n"/>
      <c r="E452" s="11" t="n"/>
      <c r="F452" s="11" t="n"/>
      <c r="G452" s="12" t="n"/>
      <c r="H452" s="6">
        <f>IF(G452="","",YEAR(G452))</f>
        <v/>
      </c>
      <c r="I452" s="11" t="n"/>
      <c r="J452" s="13" t="n"/>
      <c r="K452" s="14">
        <f>IF(F452="股票期权",IF(G452="","",IF(G452&lt;DATE(2025,1,10),14.56,IF(G452&lt;DATE(2025,4,29),14.32,IF(G452&lt;DATE(2025,9,26),14.18,14.04)))),IF(F452="限制性股票",8.68,""))</f>
        <v/>
      </c>
      <c r="L452" s="14">
        <f>IF(F452="限制性股票",13.06,"")</f>
        <v/>
      </c>
      <c r="M452" s="11" t="n"/>
      <c r="N452" s="13" t="n"/>
      <c r="O452" s="13" t="n"/>
      <c r="P452" s="12" t="n"/>
      <c r="Q452" s="11" t="n"/>
      <c r="R452" s="12" t="n"/>
      <c r="S452" s="14">
        <f>IF(OR(A452="",C452="",F452="",G452="",I452="",J452=""),"",IF(F452="股票期权",MAX(0,(J452-K452)*I452),IF(F452="限制性股票",IF(OR(L452="",M452="",M452&lt;=0,N452=""),"",MAX(0,((L452+J452)/2)*I452-N452*I452/M452)),MAX(0,O452))))</f>
        <v/>
      </c>
      <c r="T452" s="14">
        <f>IF(S452="","",SUMIFS($S$2:$S$501,$C$2:$C$501,C452,$H$2:$H$501,H452,$G$2:$G$501,"&lt;"&amp;G452)+SUMIFS($S$2:$S$501,$C$2:$C$501,C452,$H$2:$H$501,H452,$G$2:$G$501,G452,$A$2:$A$501,"&lt;"&amp;A452))</f>
        <v/>
      </c>
      <c r="U452" s="14">
        <f>IF(S452="","",T452+S452)</f>
        <v/>
      </c>
      <c r="V452" s="15">
        <f>IF(U452="","",VLOOKUP(U452,'税率及规则'!$A$2:$C$8,2,TRUE))</f>
        <v/>
      </c>
      <c r="W452" s="14">
        <f>IF(U452="","",VLOOKUP(U452,'税率及规则'!$A$2:$C$8,3,TRUE))</f>
        <v/>
      </c>
      <c r="X452" s="14">
        <f>IF(U452="","",MAX(0,U452*V452-W452))</f>
        <v/>
      </c>
      <c r="Y452" s="14">
        <f>IF(T452="","",MAX(0,T452*VLOOKUP(T452,'税率及规则'!$A$2:$C$8,2,TRUE)-VLOOKUP(T452,'税率及规则'!$A$2:$C$8,3,TRUE)))</f>
        <v/>
      </c>
      <c r="Z452" s="14">
        <f>IF(X452="","",MAX(0,X452-Y452))</f>
        <v/>
      </c>
      <c r="AA452" s="16">
        <f>IF(G452="","",G452)</f>
        <v/>
      </c>
      <c r="AB452" s="16">
        <f>IF(AA452="","",EDATE(AA452,36))</f>
        <v/>
      </c>
      <c r="AC452" s="6">
        <f>IF(A452="","",IF(COUNTIF($A$2:$A$501,A452)&gt;1,"异常：事件编号重复",IF(OR(C452="",D452="",E452="",F452="",G452="",I452="",J452=""),"异常：必填项缺失",IF(OR(I452&lt;=0,J452&lt;0),"异常：数量或价格无效",IF(AND(F452="限制性股票",OR(M452&lt;=0,N452&lt;0,I452&gt;M452)),"异常：个人获授或出资数据无效",IF(AND(F452="股票期权",K452&lt;&gt;IF(G452&lt;DATE(2025,1,10),14.56,IF(G452&lt;DATE(2025,4,29),14.32,IF(G452&lt;DATE(2025,9,26),14.18,14.04)))),"异常：行权价格区间不符",IF(Q452&lt;&gt;"已备案","提示：未确认备案","正常")))))))</f>
        <v/>
      </c>
      <c r="AD452" s="11" t="n"/>
    </row>
    <row r="453">
      <c r="A453" s="11" t="n"/>
      <c r="B453" s="6">
        <f>IF(A453="","",A453&amp;"-TAX")</f>
        <v/>
      </c>
      <c r="C453" s="11" t="n"/>
      <c r="D453" s="11" t="n"/>
      <c r="E453" s="11" t="n"/>
      <c r="F453" s="11" t="n"/>
      <c r="G453" s="12" t="n"/>
      <c r="H453" s="6">
        <f>IF(G453="","",YEAR(G453))</f>
        <v/>
      </c>
      <c r="I453" s="11" t="n"/>
      <c r="J453" s="13" t="n"/>
      <c r="K453" s="14">
        <f>IF(F453="股票期权",IF(G453="","",IF(G453&lt;DATE(2025,1,10),14.56,IF(G453&lt;DATE(2025,4,29),14.32,IF(G453&lt;DATE(2025,9,26),14.18,14.04)))),IF(F453="限制性股票",8.68,""))</f>
        <v/>
      </c>
      <c r="L453" s="14">
        <f>IF(F453="限制性股票",13.06,"")</f>
        <v/>
      </c>
      <c r="M453" s="11" t="n"/>
      <c r="N453" s="13" t="n"/>
      <c r="O453" s="13" t="n"/>
      <c r="P453" s="12" t="n"/>
      <c r="Q453" s="11" t="n"/>
      <c r="R453" s="12" t="n"/>
      <c r="S453" s="14">
        <f>IF(OR(A453="",C453="",F453="",G453="",I453="",J453=""),"",IF(F453="股票期权",MAX(0,(J453-K453)*I453),IF(F453="限制性股票",IF(OR(L453="",M453="",M453&lt;=0,N453=""),"",MAX(0,((L453+J453)/2)*I453-N453*I453/M453)),MAX(0,O453))))</f>
        <v/>
      </c>
      <c r="T453" s="14">
        <f>IF(S453="","",SUMIFS($S$2:$S$501,$C$2:$C$501,C453,$H$2:$H$501,H453,$G$2:$G$501,"&lt;"&amp;G453)+SUMIFS($S$2:$S$501,$C$2:$C$501,C453,$H$2:$H$501,H453,$G$2:$G$501,G453,$A$2:$A$501,"&lt;"&amp;A453))</f>
        <v/>
      </c>
      <c r="U453" s="14">
        <f>IF(S453="","",T453+S453)</f>
        <v/>
      </c>
      <c r="V453" s="15">
        <f>IF(U453="","",VLOOKUP(U453,'税率及规则'!$A$2:$C$8,2,TRUE))</f>
        <v/>
      </c>
      <c r="W453" s="14">
        <f>IF(U453="","",VLOOKUP(U453,'税率及规则'!$A$2:$C$8,3,TRUE))</f>
        <v/>
      </c>
      <c r="X453" s="14">
        <f>IF(U453="","",MAX(0,U453*V453-W453))</f>
        <v/>
      </c>
      <c r="Y453" s="14">
        <f>IF(T453="","",MAX(0,T453*VLOOKUP(T453,'税率及规则'!$A$2:$C$8,2,TRUE)-VLOOKUP(T453,'税率及规则'!$A$2:$C$8,3,TRUE)))</f>
        <v/>
      </c>
      <c r="Z453" s="14">
        <f>IF(X453="","",MAX(0,X453-Y453))</f>
        <v/>
      </c>
      <c r="AA453" s="16">
        <f>IF(G453="","",G453)</f>
        <v/>
      </c>
      <c r="AB453" s="16">
        <f>IF(AA453="","",EDATE(AA453,36))</f>
        <v/>
      </c>
      <c r="AC453" s="6">
        <f>IF(A453="","",IF(COUNTIF($A$2:$A$501,A453)&gt;1,"异常：事件编号重复",IF(OR(C453="",D453="",E453="",F453="",G453="",I453="",J453=""),"异常：必填项缺失",IF(OR(I453&lt;=0,J453&lt;0),"异常：数量或价格无效",IF(AND(F453="限制性股票",OR(M453&lt;=0,N453&lt;0,I453&gt;M453)),"异常：个人获授或出资数据无效",IF(AND(F453="股票期权",K453&lt;&gt;IF(G453&lt;DATE(2025,1,10),14.56,IF(G453&lt;DATE(2025,4,29),14.32,IF(G453&lt;DATE(2025,9,26),14.18,14.04)))),"异常：行权价格区间不符",IF(Q453&lt;&gt;"已备案","提示：未确认备案","正常")))))))</f>
        <v/>
      </c>
      <c r="AD453" s="11" t="n"/>
    </row>
    <row r="454">
      <c r="A454" s="11" t="n"/>
      <c r="B454" s="6">
        <f>IF(A454="","",A454&amp;"-TAX")</f>
        <v/>
      </c>
      <c r="C454" s="11" t="n"/>
      <c r="D454" s="11" t="n"/>
      <c r="E454" s="11" t="n"/>
      <c r="F454" s="11" t="n"/>
      <c r="G454" s="12" t="n"/>
      <c r="H454" s="6">
        <f>IF(G454="","",YEAR(G454))</f>
        <v/>
      </c>
      <c r="I454" s="11" t="n"/>
      <c r="J454" s="13" t="n"/>
      <c r="K454" s="14">
        <f>IF(F454="股票期权",IF(G454="","",IF(G454&lt;DATE(2025,1,10),14.56,IF(G454&lt;DATE(2025,4,29),14.32,IF(G454&lt;DATE(2025,9,26),14.18,14.04)))),IF(F454="限制性股票",8.68,""))</f>
        <v/>
      </c>
      <c r="L454" s="14">
        <f>IF(F454="限制性股票",13.06,"")</f>
        <v/>
      </c>
      <c r="M454" s="11" t="n"/>
      <c r="N454" s="13" t="n"/>
      <c r="O454" s="13" t="n"/>
      <c r="P454" s="12" t="n"/>
      <c r="Q454" s="11" t="n"/>
      <c r="R454" s="12" t="n"/>
      <c r="S454" s="14">
        <f>IF(OR(A454="",C454="",F454="",G454="",I454="",J454=""),"",IF(F454="股票期权",MAX(0,(J454-K454)*I454),IF(F454="限制性股票",IF(OR(L454="",M454="",M454&lt;=0,N454=""),"",MAX(0,((L454+J454)/2)*I454-N454*I454/M454)),MAX(0,O454))))</f>
        <v/>
      </c>
      <c r="T454" s="14">
        <f>IF(S454="","",SUMIFS($S$2:$S$501,$C$2:$C$501,C454,$H$2:$H$501,H454,$G$2:$G$501,"&lt;"&amp;G454)+SUMIFS($S$2:$S$501,$C$2:$C$501,C454,$H$2:$H$501,H454,$G$2:$G$501,G454,$A$2:$A$501,"&lt;"&amp;A454))</f>
        <v/>
      </c>
      <c r="U454" s="14">
        <f>IF(S454="","",T454+S454)</f>
        <v/>
      </c>
      <c r="V454" s="15">
        <f>IF(U454="","",VLOOKUP(U454,'税率及规则'!$A$2:$C$8,2,TRUE))</f>
        <v/>
      </c>
      <c r="W454" s="14">
        <f>IF(U454="","",VLOOKUP(U454,'税率及规则'!$A$2:$C$8,3,TRUE))</f>
        <v/>
      </c>
      <c r="X454" s="14">
        <f>IF(U454="","",MAX(0,U454*V454-W454))</f>
        <v/>
      </c>
      <c r="Y454" s="14">
        <f>IF(T454="","",MAX(0,T454*VLOOKUP(T454,'税率及规则'!$A$2:$C$8,2,TRUE)-VLOOKUP(T454,'税率及规则'!$A$2:$C$8,3,TRUE)))</f>
        <v/>
      </c>
      <c r="Z454" s="14">
        <f>IF(X454="","",MAX(0,X454-Y454))</f>
        <v/>
      </c>
      <c r="AA454" s="16">
        <f>IF(G454="","",G454)</f>
        <v/>
      </c>
      <c r="AB454" s="16">
        <f>IF(AA454="","",EDATE(AA454,36))</f>
        <v/>
      </c>
      <c r="AC454" s="6">
        <f>IF(A454="","",IF(COUNTIF($A$2:$A$501,A454)&gt;1,"异常：事件编号重复",IF(OR(C454="",D454="",E454="",F454="",G454="",I454="",J454=""),"异常：必填项缺失",IF(OR(I454&lt;=0,J454&lt;0),"异常：数量或价格无效",IF(AND(F454="限制性股票",OR(M454&lt;=0,N454&lt;0,I454&gt;M454)),"异常：个人获授或出资数据无效",IF(AND(F454="股票期权",K454&lt;&gt;IF(G454&lt;DATE(2025,1,10),14.56,IF(G454&lt;DATE(2025,4,29),14.32,IF(G454&lt;DATE(2025,9,26),14.18,14.04)))),"异常：行权价格区间不符",IF(Q454&lt;&gt;"已备案","提示：未确认备案","正常")))))))</f>
        <v/>
      </c>
      <c r="AD454" s="11" t="n"/>
    </row>
    <row r="455">
      <c r="A455" s="11" t="n"/>
      <c r="B455" s="6">
        <f>IF(A455="","",A455&amp;"-TAX")</f>
        <v/>
      </c>
      <c r="C455" s="11" t="n"/>
      <c r="D455" s="11" t="n"/>
      <c r="E455" s="11" t="n"/>
      <c r="F455" s="11" t="n"/>
      <c r="G455" s="12" t="n"/>
      <c r="H455" s="6">
        <f>IF(G455="","",YEAR(G455))</f>
        <v/>
      </c>
      <c r="I455" s="11" t="n"/>
      <c r="J455" s="13" t="n"/>
      <c r="K455" s="14">
        <f>IF(F455="股票期权",IF(G455="","",IF(G455&lt;DATE(2025,1,10),14.56,IF(G455&lt;DATE(2025,4,29),14.32,IF(G455&lt;DATE(2025,9,26),14.18,14.04)))),IF(F455="限制性股票",8.68,""))</f>
        <v/>
      </c>
      <c r="L455" s="14">
        <f>IF(F455="限制性股票",13.06,"")</f>
        <v/>
      </c>
      <c r="M455" s="11" t="n"/>
      <c r="N455" s="13" t="n"/>
      <c r="O455" s="13" t="n"/>
      <c r="P455" s="12" t="n"/>
      <c r="Q455" s="11" t="n"/>
      <c r="R455" s="12" t="n"/>
      <c r="S455" s="14">
        <f>IF(OR(A455="",C455="",F455="",G455="",I455="",J455=""),"",IF(F455="股票期权",MAX(0,(J455-K455)*I455),IF(F455="限制性股票",IF(OR(L455="",M455="",M455&lt;=0,N455=""),"",MAX(0,((L455+J455)/2)*I455-N455*I455/M455)),MAX(0,O455))))</f>
        <v/>
      </c>
      <c r="T455" s="14">
        <f>IF(S455="","",SUMIFS($S$2:$S$501,$C$2:$C$501,C455,$H$2:$H$501,H455,$G$2:$G$501,"&lt;"&amp;G455)+SUMIFS($S$2:$S$501,$C$2:$C$501,C455,$H$2:$H$501,H455,$G$2:$G$501,G455,$A$2:$A$501,"&lt;"&amp;A455))</f>
        <v/>
      </c>
      <c r="U455" s="14">
        <f>IF(S455="","",T455+S455)</f>
        <v/>
      </c>
      <c r="V455" s="15">
        <f>IF(U455="","",VLOOKUP(U455,'税率及规则'!$A$2:$C$8,2,TRUE))</f>
        <v/>
      </c>
      <c r="W455" s="14">
        <f>IF(U455="","",VLOOKUP(U455,'税率及规则'!$A$2:$C$8,3,TRUE))</f>
        <v/>
      </c>
      <c r="X455" s="14">
        <f>IF(U455="","",MAX(0,U455*V455-W455))</f>
        <v/>
      </c>
      <c r="Y455" s="14">
        <f>IF(T455="","",MAX(0,T455*VLOOKUP(T455,'税率及规则'!$A$2:$C$8,2,TRUE)-VLOOKUP(T455,'税率及规则'!$A$2:$C$8,3,TRUE)))</f>
        <v/>
      </c>
      <c r="Z455" s="14">
        <f>IF(X455="","",MAX(0,X455-Y455))</f>
        <v/>
      </c>
      <c r="AA455" s="16">
        <f>IF(G455="","",G455)</f>
        <v/>
      </c>
      <c r="AB455" s="16">
        <f>IF(AA455="","",EDATE(AA455,36))</f>
        <v/>
      </c>
      <c r="AC455" s="6">
        <f>IF(A455="","",IF(COUNTIF($A$2:$A$501,A455)&gt;1,"异常：事件编号重复",IF(OR(C455="",D455="",E455="",F455="",G455="",I455="",J455=""),"异常：必填项缺失",IF(OR(I455&lt;=0,J455&lt;0),"异常：数量或价格无效",IF(AND(F455="限制性股票",OR(M455&lt;=0,N455&lt;0,I455&gt;M455)),"异常：个人获授或出资数据无效",IF(AND(F455="股票期权",K455&lt;&gt;IF(G455&lt;DATE(2025,1,10),14.56,IF(G455&lt;DATE(2025,4,29),14.32,IF(G455&lt;DATE(2025,9,26),14.18,14.04)))),"异常：行权价格区间不符",IF(Q455&lt;&gt;"已备案","提示：未确认备案","正常")))))))</f>
        <v/>
      </c>
      <c r="AD455" s="11" t="n"/>
    </row>
    <row r="456">
      <c r="A456" s="11" t="n"/>
      <c r="B456" s="6">
        <f>IF(A456="","",A456&amp;"-TAX")</f>
        <v/>
      </c>
      <c r="C456" s="11" t="n"/>
      <c r="D456" s="11" t="n"/>
      <c r="E456" s="11" t="n"/>
      <c r="F456" s="11" t="n"/>
      <c r="G456" s="12" t="n"/>
      <c r="H456" s="6">
        <f>IF(G456="","",YEAR(G456))</f>
        <v/>
      </c>
      <c r="I456" s="11" t="n"/>
      <c r="J456" s="13" t="n"/>
      <c r="K456" s="14">
        <f>IF(F456="股票期权",IF(G456="","",IF(G456&lt;DATE(2025,1,10),14.56,IF(G456&lt;DATE(2025,4,29),14.32,IF(G456&lt;DATE(2025,9,26),14.18,14.04)))),IF(F456="限制性股票",8.68,""))</f>
        <v/>
      </c>
      <c r="L456" s="14">
        <f>IF(F456="限制性股票",13.06,"")</f>
        <v/>
      </c>
      <c r="M456" s="11" t="n"/>
      <c r="N456" s="13" t="n"/>
      <c r="O456" s="13" t="n"/>
      <c r="P456" s="12" t="n"/>
      <c r="Q456" s="11" t="n"/>
      <c r="R456" s="12" t="n"/>
      <c r="S456" s="14">
        <f>IF(OR(A456="",C456="",F456="",G456="",I456="",J456=""),"",IF(F456="股票期权",MAX(0,(J456-K456)*I456),IF(F456="限制性股票",IF(OR(L456="",M456="",M456&lt;=0,N456=""),"",MAX(0,((L456+J456)/2)*I456-N456*I456/M456)),MAX(0,O456))))</f>
        <v/>
      </c>
      <c r="T456" s="14">
        <f>IF(S456="","",SUMIFS($S$2:$S$501,$C$2:$C$501,C456,$H$2:$H$501,H456,$G$2:$G$501,"&lt;"&amp;G456)+SUMIFS($S$2:$S$501,$C$2:$C$501,C456,$H$2:$H$501,H456,$G$2:$G$501,G456,$A$2:$A$501,"&lt;"&amp;A456))</f>
        <v/>
      </c>
      <c r="U456" s="14">
        <f>IF(S456="","",T456+S456)</f>
        <v/>
      </c>
      <c r="V456" s="15">
        <f>IF(U456="","",VLOOKUP(U456,'税率及规则'!$A$2:$C$8,2,TRUE))</f>
        <v/>
      </c>
      <c r="W456" s="14">
        <f>IF(U456="","",VLOOKUP(U456,'税率及规则'!$A$2:$C$8,3,TRUE))</f>
        <v/>
      </c>
      <c r="X456" s="14">
        <f>IF(U456="","",MAX(0,U456*V456-W456))</f>
        <v/>
      </c>
      <c r="Y456" s="14">
        <f>IF(T456="","",MAX(0,T456*VLOOKUP(T456,'税率及规则'!$A$2:$C$8,2,TRUE)-VLOOKUP(T456,'税率及规则'!$A$2:$C$8,3,TRUE)))</f>
        <v/>
      </c>
      <c r="Z456" s="14">
        <f>IF(X456="","",MAX(0,X456-Y456))</f>
        <v/>
      </c>
      <c r="AA456" s="16">
        <f>IF(G456="","",G456)</f>
        <v/>
      </c>
      <c r="AB456" s="16">
        <f>IF(AA456="","",EDATE(AA456,36))</f>
        <v/>
      </c>
      <c r="AC456" s="6">
        <f>IF(A456="","",IF(COUNTIF($A$2:$A$501,A456)&gt;1,"异常：事件编号重复",IF(OR(C456="",D456="",E456="",F456="",G456="",I456="",J456=""),"异常：必填项缺失",IF(OR(I456&lt;=0,J456&lt;0),"异常：数量或价格无效",IF(AND(F456="限制性股票",OR(M456&lt;=0,N456&lt;0,I456&gt;M456)),"异常：个人获授或出资数据无效",IF(AND(F456="股票期权",K456&lt;&gt;IF(G456&lt;DATE(2025,1,10),14.56,IF(G456&lt;DATE(2025,4,29),14.32,IF(G456&lt;DATE(2025,9,26),14.18,14.04)))),"异常：行权价格区间不符",IF(Q456&lt;&gt;"已备案","提示：未确认备案","正常")))))))</f>
        <v/>
      </c>
      <c r="AD456" s="11" t="n"/>
    </row>
    <row r="457">
      <c r="A457" s="11" t="n"/>
      <c r="B457" s="6">
        <f>IF(A457="","",A457&amp;"-TAX")</f>
        <v/>
      </c>
      <c r="C457" s="11" t="n"/>
      <c r="D457" s="11" t="n"/>
      <c r="E457" s="11" t="n"/>
      <c r="F457" s="11" t="n"/>
      <c r="G457" s="12" t="n"/>
      <c r="H457" s="6">
        <f>IF(G457="","",YEAR(G457))</f>
        <v/>
      </c>
      <c r="I457" s="11" t="n"/>
      <c r="J457" s="13" t="n"/>
      <c r="K457" s="14">
        <f>IF(F457="股票期权",IF(G457="","",IF(G457&lt;DATE(2025,1,10),14.56,IF(G457&lt;DATE(2025,4,29),14.32,IF(G457&lt;DATE(2025,9,26),14.18,14.04)))),IF(F457="限制性股票",8.68,""))</f>
        <v/>
      </c>
      <c r="L457" s="14">
        <f>IF(F457="限制性股票",13.06,"")</f>
        <v/>
      </c>
      <c r="M457" s="11" t="n"/>
      <c r="N457" s="13" t="n"/>
      <c r="O457" s="13" t="n"/>
      <c r="P457" s="12" t="n"/>
      <c r="Q457" s="11" t="n"/>
      <c r="R457" s="12" t="n"/>
      <c r="S457" s="14">
        <f>IF(OR(A457="",C457="",F457="",G457="",I457="",J457=""),"",IF(F457="股票期权",MAX(0,(J457-K457)*I457),IF(F457="限制性股票",IF(OR(L457="",M457="",M457&lt;=0,N457=""),"",MAX(0,((L457+J457)/2)*I457-N457*I457/M457)),MAX(0,O457))))</f>
        <v/>
      </c>
      <c r="T457" s="14">
        <f>IF(S457="","",SUMIFS($S$2:$S$501,$C$2:$C$501,C457,$H$2:$H$501,H457,$G$2:$G$501,"&lt;"&amp;G457)+SUMIFS($S$2:$S$501,$C$2:$C$501,C457,$H$2:$H$501,H457,$G$2:$G$501,G457,$A$2:$A$501,"&lt;"&amp;A457))</f>
        <v/>
      </c>
      <c r="U457" s="14">
        <f>IF(S457="","",T457+S457)</f>
        <v/>
      </c>
      <c r="V457" s="15">
        <f>IF(U457="","",VLOOKUP(U457,'税率及规则'!$A$2:$C$8,2,TRUE))</f>
        <v/>
      </c>
      <c r="W457" s="14">
        <f>IF(U457="","",VLOOKUP(U457,'税率及规则'!$A$2:$C$8,3,TRUE))</f>
        <v/>
      </c>
      <c r="X457" s="14">
        <f>IF(U457="","",MAX(0,U457*V457-W457))</f>
        <v/>
      </c>
      <c r="Y457" s="14">
        <f>IF(T457="","",MAX(0,T457*VLOOKUP(T457,'税率及规则'!$A$2:$C$8,2,TRUE)-VLOOKUP(T457,'税率及规则'!$A$2:$C$8,3,TRUE)))</f>
        <v/>
      </c>
      <c r="Z457" s="14">
        <f>IF(X457="","",MAX(0,X457-Y457))</f>
        <v/>
      </c>
      <c r="AA457" s="16">
        <f>IF(G457="","",G457)</f>
        <v/>
      </c>
      <c r="AB457" s="16">
        <f>IF(AA457="","",EDATE(AA457,36))</f>
        <v/>
      </c>
      <c r="AC457" s="6">
        <f>IF(A457="","",IF(COUNTIF($A$2:$A$501,A457)&gt;1,"异常：事件编号重复",IF(OR(C457="",D457="",E457="",F457="",G457="",I457="",J457=""),"异常：必填项缺失",IF(OR(I457&lt;=0,J457&lt;0),"异常：数量或价格无效",IF(AND(F457="限制性股票",OR(M457&lt;=0,N457&lt;0,I457&gt;M457)),"异常：个人获授或出资数据无效",IF(AND(F457="股票期权",K457&lt;&gt;IF(G457&lt;DATE(2025,1,10),14.56,IF(G457&lt;DATE(2025,4,29),14.32,IF(G457&lt;DATE(2025,9,26),14.18,14.04)))),"异常：行权价格区间不符",IF(Q457&lt;&gt;"已备案","提示：未确认备案","正常")))))))</f>
        <v/>
      </c>
      <c r="AD457" s="11" t="n"/>
    </row>
    <row r="458">
      <c r="A458" s="11" t="n"/>
      <c r="B458" s="6">
        <f>IF(A458="","",A458&amp;"-TAX")</f>
        <v/>
      </c>
      <c r="C458" s="11" t="n"/>
      <c r="D458" s="11" t="n"/>
      <c r="E458" s="11" t="n"/>
      <c r="F458" s="11" t="n"/>
      <c r="G458" s="12" t="n"/>
      <c r="H458" s="6">
        <f>IF(G458="","",YEAR(G458))</f>
        <v/>
      </c>
      <c r="I458" s="11" t="n"/>
      <c r="J458" s="13" t="n"/>
      <c r="K458" s="14">
        <f>IF(F458="股票期权",IF(G458="","",IF(G458&lt;DATE(2025,1,10),14.56,IF(G458&lt;DATE(2025,4,29),14.32,IF(G458&lt;DATE(2025,9,26),14.18,14.04)))),IF(F458="限制性股票",8.68,""))</f>
        <v/>
      </c>
      <c r="L458" s="14">
        <f>IF(F458="限制性股票",13.06,"")</f>
        <v/>
      </c>
      <c r="M458" s="11" t="n"/>
      <c r="N458" s="13" t="n"/>
      <c r="O458" s="13" t="n"/>
      <c r="P458" s="12" t="n"/>
      <c r="Q458" s="11" t="n"/>
      <c r="R458" s="12" t="n"/>
      <c r="S458" s="14">
        <f>IF(OR(A458="",C458="",F458="",G458="",I458="",J458=""),"",IF(F458="股票期权",MAX(0,(J458-K458)*I458),IF(F458="限制性股票",IF(OR(L458="",M458="",M458&lt;=0,N458=""),"",MAX(0,((L458+J458)/2)*I458-N458*I458/M458)),MAX(0,O458))))</f>
        <v/>
      </c>
      <c r="T458" s="14">
        <f>IF(S458="","",SUMIFS($S$2:$S$501,$C$2:$C$501,C458,$H$2:$H$501,H458,$G$2:$G$501,"&lt;"&amp;G458)+SUMIFS($S$2:$S$501,$C$2:$C$501,C458,$H$2:$H$501,H458,$G$2:$G$501,G458,$A$2:$A$501,"&lt;"&amp;A458))</f>
        <v/>
      </c>
      <c r="U458" s="14">
        <f>IF(S458="","",T458+S458)</f>
        <v/>
      </c>
      <c r="V458" s="15">
        <f>IF(U458="","",VLOOKUP(U458,'税率及规则'!$A$2:$C$8,2,TRUE))</f>
        <v/>
      </c>
      <c r="W458" s="14">
        <f>IF(U458="","",VLOOKUP(U458,'税率及规则'!$A$2:$C$8,3,TRUE))</f>
        <v/>
      </c>
      <c r="X458" s="14">
        <f>IF(U458="","",MAX(0,U458*V458-W458))</f>
        <v/>
      </c>
      <c r="Y458" s="14">
        <f>IF(T458="","",MAX(0,T458*VLOOKUP(T458,'税率及规则'!$A$2:$C$8,2,TRUE)-VLOOKUP(T458,'税率及规则'!$A$2:$C$8,3,TRUE)))</f>
        <v/>
      </c>
      <c r="Z458" s="14">
        <f>IF(X458="","",MAX(0,X458-Y458))</f>
        <v/>
      </c>
      <c r="AA458" s="16">
        <f>IF(G458="","",G458)</f>
        <v/>
      </c>
      <c r="AB458" s="16">
        <f>IF(AA458="","",EDATE(AA458,36))</f>
        <v/>
      </c>
      <c r="AC458" s="6">
        <f>IF(A458="","",IF(COUNTIF($A$2:$A$501,A458)&gt;1,"异常：事件编号重复",IF(OR(C458="",D458="",E458="",F458="",G458="",I458="",J458=""),"异常：必填项缺失",IF(OR(I458&lt;=0,J458&lt;0),"异常：数量或价格无效",IF(AND(F458="限制性股票",OR(M458&lt;=0,N458&lt;0,I458&gt;M458)),"异常：个人获授或出资数据无效",IF(AND(F458="股票期权",K458&lt;&gt;IF(G458&lt;DATE(2025,1,10),14.56,IF(G458&lt;DATE(2025,4,29),14.32,IF(G458&lt;DATE(2025,9,26),14.18,14.04)))),"异常：行权价格区间不符",IF(Q458&lt;&gt;"已备案","提示：未确认备案","正常")))))))</f>
        <v/>
      </c>
      <c r="AD458" s="11" t="n"/>
    </row>
    <row r="459">
      <c r="A459" s="11" t="n"/>
      <c r="B459" s="6">
        <f>IF(A459="","",A459&amp;"-TAX")</f>
        <v/>
      </c>
      <c r="C459" s="11" t="n"/>
      <c r="D459" s="11" t="n"/>
      <c r="E459" s="11" t="n"/>
      <c r="F459" s="11" t="n"/>
      <c r="G459" s="12" t="n"/>
      <c r="H459" s="6">
        <f>IF(G459="","",YEAR(G459))</f>
        <v/>
      </c>
      <c r="I459" s="11" t="n"/>
      <c r="J459" s="13" t="n"/>
      <c r="K459" s="14">
        <f>IF(F459="股票期权",IF(G459="","",IF(G459&lt;DATE(2025,1,10),14.56,IF(G459&lt;DATE(2025,4,29),14.32,IF(G459&lt;DATE(2025,9,26),14.18,14.04)))),IF(F459="限制性股票",8.68,""))</f>
        <v/>
      </c>
      <c r="L459" s="14">
        <f>IF(F459="限制性股票",13.06,"")</f>
        <v/>
      </c>
      <c r="M459" s="11" t="n"/>
      <c r="N459" s="13" t="n"/>
      <c r="O459" s="13" t="n"/>
      <c r="P459" s="12" t="n"/>
      <c r="Q459" s="11" t="n"/>
      <c r="R459" s="12" t="n"/>
      <c r="S459" s="14">
        <f>IF(OR(A459="",C459="",F459="",G459="",I459="",J459=""),"",IF(F459="股票期权",MAX(0,(J459-K459)*I459),IF(F459="限制性股票",IF(OR(L459="",M459="",M459&lt;=0,N459=""),"",MAX(0,((L459+J459)/2)*I459-N459*I459/M459)),MAX(0,O459))))</f>
        <v/>
      </c>
      <c r="T459" s="14">
        <f>IF(S459="","",SUMIFS($S$2:$S$501,$C$2:$C$501,C459,$H$2:$H$501,H459,$G$2:$G$501,"&lt;"&amp;G459)+SUMIFS($S$2:$S$501,$C$2:$C$501,C459,$H$2:$H$501,H459,$G$2:$G$501,G459,$A$2:$A$501,"&lt;"&amp;A459))</f>
        <v/>
      </c>
      <c r="U459" s="14">
        <f>IF(S459="","",T459+S459)</f>
        <v/>
      </c>
      <c r="V459" s="15">
        <f>IF(U459="","",VLOOKUP(U459,'税率及规则'!$A$2:$C$8,2,TRUE))</f>
        <v/>
      </c>
      <c r="W459" s="14">
        <f>IF(U459="","",VLOOKUP(U459,'税率及规则'!$A$2:$C$8,3,TRUE))</f>
        <v/>
      </c>
      <c r="X459" s="14">
        <f>IF(U459="","",MAX(0,U459*V459-W459))</f>
        <v/>
      </c>
      <c r="Y459" s="14">
        <f>IF(T459="","",MAX(0,T459*VLOOKUP(T459,'税率及规则'!$A$2:$C$8,2,TRUE)-VLOOKUP(T459,'税率及规则'!$A$2:$C$8,3,TRUE)))</f>
        <v/>
      </c>
      <c r="Z459" s="14">
        <f>IF(X459="","",MAX(0,X459-Y459))</f>
        <v/>
      </c>
      <c r="AA459" s="16">
        <f>IF(G459="","",G459)</f>
        <v/>
      </c>
      <c r="AB459" s="16">
        <f>IF(AA459="","",EDATE(AA459,36))</f>
        <v/>
      </c>
      <c r="AC459" s="6">
        <f>IF(A459="","",IF(COUNTIF($A$2:$A$501,A459)&gt;1,"异常：事件编号重复",IF(OR(C459="",D459="",E459="",F459="",G459="",I459="",J459=""),"异常：必填项缺失",IF(OR(I459&lt;=0,J459&lt;0),"异常：数量或价格无效",IF(AND(F459="限制性股票",OR(M459&lt;=0,N459&lt;0,I459&gt;M459)),"异常：个人获授或出资数据无效",IF(AND(F459="股票期权",K459&lt;&gt;IF(G459&lt;DATE(2025,1,10),14.56,IF(G459&lt;DATE(2025,4,29),14.32,IF(G459&lt;DATE(2025,9,26),14.18,14.04)))),"异常：行权价格区间不符",IF(Q459&lt;&gt;"已备案","提示：未确认备案","正常")))))))</f>
        <v/>
      </c>
      <c r="AD459" s="11" t="n"/>
    </row>
    <row r="460">
      <c r="A460" s="11" t="n"/>
      <c r="B460" s="6">
        <f>IF(A460="","",A460&amp;"-TAX")</f>
        <v/>
      </c>
      <c r="C460" s="11" t="n"/>
      <c r="D460" s="11" t="n"/>
      <c r="E460" s="11" t="n"/>
      <c r="F460" s="11" t="n"/>
      <c r="G460" s="12" t="n"/>
      <c r="H460" s="6">
        <f>IF(G460="","",YEAR(G460))</f>
        <v/>
      </c>
      <c r="I460" s="11" t="n"/>
      <c r="J460" s="13" t="n"/>
      <c r="K460" s="14">
        <f>IF(F460="股票期权",IF(G460="","",IF(G460&lt;DATE(2025,1,10),14.56,IF(G460&lt;DATE(2025,4,29),14.32,IF(G460&lt;DATE(2025,9,26),14.18,14.04)))),IF(F460="限制性股票",8.68,""))</f>
        <v/>
      </c>
      <c r="L460" s="14">
        <f>IF(F460="限制性股票",13.06,"")</f>
        <v/>
      </c>
      <c r="M460" s="11" t="n"/>
      <c r="N460" s="13" t="n"/>
      <c r="O460" s="13" t="n"/>
      <c r="P460" s="12" t="n"/>
      <c r="Q460" s="11" t="n"/>
      <c r="R460" s="12" t="n"/>
      <c r="S460" s="14">
        <f>IF(OR(A460="",C460="",F460="",G460="",I460="",J460=""),"",IF(F460="股票期权",MAX(0,(J460-K460)*I460),IF(F460="限制性股票",IF(OR(L460="",M460="",M460&lt;=0,N460=""),"",MAX(0,((L460+J460)/2)*I460-N460*I460/M460)),MAX(0,O460))))</f>
        <v/>
      </c>
      <c r="T460" s="14">
        <f>IF(S460="","",SUMIFS($S$2:$S$501,$C$2:$C$501,C460,$H$2:$H$501,H460,$G$2:$G$501,"&lt;"&amp;G460)+SUMIFS($S$2:$S$501,$C$2:$C$501,C460,$H$2:$H$501,H460,$G$2:$G$501,G460,$A$2:$A$501,"&lt;"&amp;A460))</f>
        <v/>
      </c>
      <c r="U460" s="14">
        <f>IF(S460="","",T460+S460)</f>
        <v/>
      </c>
      <c r="V460" s="15">
        <f>IF(U460="","",VLOOKUP(U460,'税率及规则'!$A$2:$C$8,2,TRUE))</f>
        <v/>
      </c>
      <c r="W460" s="14">
        <f>IF(U460="","",VLOOKUP(U460,'税率及规则'!$A$2:$C$8,3,TRUE))</f>
        <v/>
      </c>
      <c r="X460" s="14">
        <f>IF(U460="","",MAX(0,U460*V460-W460))</f>
        <v/>
      </c>
      <c r="Y460" s="14">
        <f>IF(T460="","",MAX(0,T460*VLOOKUP(T460,'税率及规则'!$A$2:$C$8,2,TRUE)-VLOOKUP(T460,'税率及规则'!$A$2:$C$8,3,TRUE)))</f>
        <v/>
      </c>
      <c r="Z460" s="14">
        <f>IF(X460="","",MAX(0,X460-Y460))</f>
        <v/>
      </c>
      <c r="AA460" s="16">
        <f>IF(G460="","",G460)</f>
        <v/>
      </c>
      <c r="AB460" s="16">
        <f>IF(AA460="","",EDATE(AA460,36))</f>
        <v/>
      </c>
      <c r="AC460" s="6">
        <f>IF(A460="","",IF(COUNTIF($A$2:$A$501,A460)&gt;1,"异常：事件编号重复",IF(OR(C460="",D460="",E460="",F460="",G460="",I460="",J460=""),"异常：必填项缺失",IF(OR(I460&lt;=0,J460&lt;0),"异常：数量或价格无效",IF(AND(F460="限制性股票",OR(M460&lt;=0,N460&lt;0,I460&gt;M460)),"异常：个人获授或出资数据无效",IF(AND(F460="股票期权",K460&lt;&gt;IF(G460&lt;DATE(2025,1,10),14.56,IF(G460&lt;DATE(2025,4,29),14.32,IF(G460&lt;DATE(2025,9,26),14.18,14.04)))),"异常：行权价格区间不符",IF(Q460&lt;&gt;"已备案","提示：未确认备案","正常")))))))</f>
        <v/>
      </c>
      <c r="AD460" s="11" t="n"/>
    </row>
    <row r="461">
      <c r="A461" s="11" t="n"/>
      <c r="B461" s="6">
        <f>IF(A461="","",A461&amp;"-TAX")</f>
        <v/>
      </c>
      <c r="C461" s="11" t="n"/>
      <c r="D461" s="11" t="n"/>
      <c r="E461" s="11" t="n"/>
      <c r="F461" s="11" t="n"/>
      <c r="G461" s="12" t="n"/>
      <c r="H461" s="6">
        <f>IF(G461="","",YEAR(G461))</f>
        <v/>
      </c>
      <c r="I461" s="11" t="n"/>
      <c r="J461" s="13" t="n"/>
      <c r="K461" s="14">
        <f>IF(F461="股票期权",IF(G461="","",IF(G461&lt;DATE(2025,1,10),14.56,IF(G461&lt;DATE(2025,4,29),14.32,IF(G461&lt;DATE(2025,9,26),14.18,14.04)))),IF(F461="限制性股票",8.68,""))</f>
        <v/>
      </c>
      <c r="L461" s="14">
        <f>IF(F461="限制性股票",13.06,"")</f>
        <v/>
      </c>
      <c r="M461" s="11" t="n"/>
      <c r="N461" s="13" t="n"/>
      <c r="O461" s="13" t="n"/>
      <c r="P461" s="12" t="n"/>
      <c r="Q461" s="11" t="n"/>
      <c r="R461" s="12" t="n"/>
      <c r="S461" s="14">
        <f>IF(OR(A461="",C461="",F461="",G461="",I461="",J461=""),"",IF(F461="股票期权",MAX(0,(J461-K461)*I461),IF(F461="限制性股票",IF(OR(L461="",M461="",M461&lt;=0,N461=""),"",MAX(0,((L461+J461)/2)*I461-N461*I461/M461)),MAX(0,O461))))</f>
        <v/>
      </c>
      <c r="T461" s="14">
        <f>IF(S461="","",SUMIFS($S$2:$S$501,$C$2:$C$501,C461,$H$2:$H$501,H461,$G$2:$G$501,"&lt;"&amp;G461)+SUMIFS($S$2:$S$501,$C$2:$C$501,C461,$H$2:$H$501,H461,$G$2:$G$501,G461,$A$2:$A$501,"&lt;"&amp;A461))</f>
        <v/>
      </c>
      <c r="U461" s="14">
        <f>IF(S461="","",T461+S461)</f>
        <v/>
      </c>
      <c r="V461" s="15">
        <f>IF(U461="","",VLOOKUP(U461,'税率及规则'!$A$2:$C$8,2,TRUE))</f>
        <v/>
      </c>
      <c r="W461" s="14">
        <f>IF(U461="","",VLOOKUP(U461,'税率及规则'!$A$2:$C$8,3,TRUE))</f>
        <v/>
      </c>
      <c r="X461" s="14">
        <f>IF(U461="","",MAX(0,U461*V461-W461))</f>
        <v/>
      </c>
      <c r="Y461" s="14">
        <f>IF(T461="","",MAX(0,T461*VLOOKUP(T461,'税率及规则'!$A$2:$C$8,2,TRUE)-VLOOKUP(T461,'税率及规则'!$A$2:$C$8,3,TRUE)))</f>
        <v/>
      </c>
      <c r="Z461" s="14">
        <f>IF(X461="","",MAX(0,X461-Y461))</f>
        <v/>
      </c>
      <c r="AA461" s="16">
        <f>IF(G461="","",G461)</f>
        <v/>
      </c>
      <c r="AB461" s="16">
        <f>IF(AA461="","",EDATE(AA461,36))</f>
        <v/>
      </c>
      <c r="AC461" s="6">
        <f>IF(A461="","",IF(COUNTIF($A$2:$A$501,A461)&gt;1,"异常：事件编号重复",IF(OR(C461="",D461="",E461="",F461="",G461="",I461="",J461=""),"异常：必填项缺失",IF(OR(I461&lt;=0,J461&lt;0),"异常：数量或价格无效",IF(AND(F461="限制性股票",OR(M461&lt;=0,N461&lt;0,I461&gt;M461)),"异常：个人获授或出资数据无效",IF(AND(F461="股票期权",K461&lt;&gt;IF(G461&lt;DATE(2025,1,10),14.56,IF(G461&lt;DATE(2025,4,29),14.32,IF(G461&lt;DATE(2025,9,26),14.18,14.04)))),"异常：行权价格区间不符",IF(Q461&lt;&gt;"已备案","提示：未确认备案","正常")))))))</f>
        <v/>
      </c>
      <c r="AD461" s="11" t="n"/>
    </row>
    <row r="462">
      <c r="A462" s="11" t="n"/>
      <c r="B462" s="6">
        <f>IF(A462="","",A462&amp;"-TAX")</f>
        <v/>
      </c>
      <c r="C462" s="11" t="n"/>
      <c r="D462" s="11" t="n"/>
      <c r="E462" s="11" t="n"/>
      <c r="F462" s="11" t="n"/>
      <c r="G462" s="12" t="n"/>
      <c r="H462" s="6">
        <f>IF(G462="","",YEAR(G462))</f>
        <v/>
      </c>
      <c r="I462" s="11" t="n"/>
      <c r="J462" s="13" t="n"/>
      <c r="K462" s="14">
        <f>IF(F462="股票期权",IF(G462="","",IF(G462&lt;DATE(2025,1,10),14.56,IF(G462&lt;DATE(2025,4,29),14.32,IF(G462&lt;DATE(2025,9,26),14.18,14.04)))),IF(F462="限制性股票",8.68,""))</f>
        <v/>
      </c>
      <c r="L462" s="14">
        <f>IF(F462="限制性股票",13.06,"")</f>
        <v/>
      </c>
      <c r="M462" s="11" t="n"/>
      <c r="N462" s="13" t="n"/>
      <c r="O462" s="13" t="n"/>
      <c r="P462" s="12" t="n"/>
      <c r="Q462" s="11" t="n"/>
      <c r="R462" s="12" t="n"/>
      <c r="S462" s="14">
        <f>IF(OR(A462="",C462="",F462="",G462="",I462="",J462=""),"",IF(F462="股票期权",MAX(0,(J462-K462)*I462),IF(F462="限制性股票",IF(OR(L462="",M462="",M462&lt;=0,N462=""),"",MAX(0,((L462+J462)/2)*I462-N462*I462/M462)),MAX(0,O462))))</f>
        <v/>
      </c>
      <c r="T462" s="14">
        <f>IF(S462="","",SUMIFS($S$2:$S$501,$C$2:$C$501,C462,$H$2:$H$501,H462,$G$2:$G$501,"&lt;"&amp;G462)+SUMIFS($S$2:$S$501,$C$2:$C$501,C462,$H$2:$H$501,H462,$G$2:$G$501,G462,$A$2:$A$501,"&lt;"&amp;A462))</f>
        <v/>
      </c>
      <c r="U462" s="14">
        <f>IF(S462="","",T462+S462)</f>
        <v/>
      </c>
      <c r="V462" s="15">
        <f>IF(U462="","",VLOOKUP(U462,'税率及规则'!$A$2:$C$8,2,TRUE))</f>
        <v/>
      </c>
      <c r="W462" s="14">
        <f>IF(U462="","",VLOOKUP(U462,'税率及规则'!$A$2:$C$8,3,TRUE))</f>
        <v/>
      </c>
      <c r="X462" s="14">
        <f>IF(U462="","",MAX(0,U462*V462-W462))</f>
        <v/>
      </c>
      <c r="Y462" s="14">
        <f>IF(T462="","",MAX(0,T462*VLOOKUP(T462,'税率及规则'!$A$2:$C$8,2,TRUE)-VLOOKUP(T462,'税率及规则'!$A$2:$C$8,3,TRUE)))</f>
        <v/>
      </c>
      <c r="Z462" s="14">
        <f>IF(X462="","",MAX(0,X462-Y462))</f>
        <v/>
      </c>
      <c r="AA462" s="16">
        <f>IF(G462="","",G462)</f>
        <v/>
      </c>
      <c r="AB462" s="16">
        <f>IF(AA462="","",EDATE(AA462,36))</f>
        <v/>
      </c>
      <c r="AC462" s="6">
        <f>IF(A462="","",IF(COUNTIF($A$2:$A$501,A462)&gt;1,"异常：事件编号重复",IF(OR(C462="",D462="",E462="",F462="",G462="",I462="",J462=""),"异常：必填项缺失",IF(OR(I462&lt;=0,J462&lt;0),"异常：数量或价格无效",IF(AND(F462="限制性股票",OR(M462&lt;=0,N462&lt;0,I462&gt;M462)),"异常：个人获授或出资数据无效",IF(AND(F462="股票期权",K462&lt;&gt;IF(G462&lt;DATE(2025,1,10),14.56,IF(G462&lt;DATE(2025,4,29),14.32,IF(G462&lt;DATE(2025,9,26),14.18,14.04)))),"异常：行权价格区间不符",IF(Q462&lt;&gt;"已备案","提示：未确认备案","正常")))))))</f>
        <v/>
      </c>
      <c r="AD462" s="11" t="n"/>
    </row>
    <row r="463">
      <c r="A463" s="11" t="n"/>
      <c r="B463" s="6">
        <f>IF(A463="","",A463&amp;"-TAX")</f>
        <v/>
      </c>
      <c r="C463" s="11" t="n"/>
      <c r="D463" s="11" t="n"/>
      <c r="E463" s="11" t="n"/>
      <c r="F463" s="11" t="n"/>
      <c r="G463" s="12" t="n"/>
      <c r="H463" s="6">
        <f>IF(G463="","",YEAR(G463))</f>
        <v/>
      </c>
      <c r="I463" s="11" t="n"/>
      <c r="J463" s="13" t="n"/>
      <c r="K463" s="14">
        <f>IF(F463="股票期权",IF(G463="","",IF(G463&lt;DATE(2025,1,10),14.56,IF(G463&lt;DATE(2025,4,29),14.32,IF(G463&lt;DATE(2025,9,26),14.18,14.04)))),IF(F463="限制性股票",8.68,""))</f>
        <v/>
      </c>
      <c r="L463" s="14">
        <f>IF(F463="限制性股票",13.06,"")</f>
        <v/>
      </c>
      <c r="M463" s="11" t="n"/>
      <c r="N463" s="13" t="n"/>
      <c r="O463" s="13" t="n"/>
      <c r="P463" s="12" t="n"/>
      <c r="Q463" s="11" t="n"/>
      <c r="R463" s="12" t="n"/>
      <c r="S463" s="14">
        <f>IF(OR(A463="",C463="",F463="",G463="",I463="",J463=""),"",IF(F463="股票期权",MAX(0,(J463-K463)*I463),IF(F463="限制性股票",IF(OR(L463="",M463="",M463&lt;=0,N463=""),"",MAX(0,((L463+J463)/2)*I463-N463*I463/M463)),MAX(0,O463))))</f>
        <v/>
      </c>
      <c r="T463" s="14">
        <f>IF(S463="","",SUMIFS($S$2:$S$501,$C$2:$C$501,C463,$H$2:$H$501,H463,$G$2:$G$501,"&lt;"&amp;G463)+SUMIFS($S$2:$S$501,$C$2:$C$501,C463,$H$2:$H$501,H463,$G$2:$G$501,G463,$A$2:$A$501,"&lt;"&amp;A463))</f>
        <v/>
      </c>
      <c r="U463" s="14">
        <f>IF(S463="","",T463+S463)</f>
        <v/>
      </c>
      <c r="V463" s="15">
        <f>IF(U463="","",VLOOKUP(U463,'税率及规则'!$A$2:$C$8,2,TRUE))</f>
        <v/>
      </c>
      <c r="W463" s="14">
        <f>IF(U463="","",VLOOKUP(U463,'税率及规则'!$A$2:$C$8,3,TRUE))</f>
        <v/>
      </c>
      <c r="X463" s="14">
        <f>IF(U463="","",MAX(0,U463*V463-W463))</f>
        <v/>
      </c>
      <c r="Y463" s="14">
        <f>IF(T463="","",MAX(0,T463*VLOOKUP(T463,'税率及规则'!$A$2:$C$8,2,TRUE)-VLOOKUP(T463,'税率及规则'!$A$2:$C$8,3,TRUE)))</f>
        <v/>
      </c>
      <c r="Z463" s="14">
        <f>IF(X463="","",MAX(0,X463-Y463))</f>
        <v/>
      </c>
      <c r="AA463" s="16">
        <f>IF(G463="","",G463)</f>
        <v/>
      </c>
      <c r="AB463" s="16">
        <f>IF(AA463="","",EDATE(AA463,36))</f>
        <v/>
      </c>
      <c r="AC463" s="6">
        <f>IF(A463="","",IF(COUNTIF($A$2:$A$501,A463)&gt;1,"异常：事件编号重复",IF(OR(C463="",D463="",E463="",F463="",G463="",I463="",J463=""),"异常：必填项缺失",IF(OR(I463&lt;=0,J463&lt;0),"异常：数量或价格无效",IF(AND(F463="限制性股票",OR(M463&lt;=0,N463&lt;0,I463&gt;M463)),"异常：个人获授或出资数据无效",IF(AND(F463="股票期权",K463&lt;&gt;IF(G463&lt;DATE(2025,1,10),14.56,IF(G463&lt;DATE(2025,4,29),14.32,IF(G463&lt;DATE(2025,9,26),14.18,14.04)))),"异常：行权价格区间不符",IF(Q463&lt;&gt;"已备案","提示：未确认备案","正常")))))))</f>
        <v/>
      </c>
      <c r="AD463" s="11" t="n"/>
    </row>
    <row r="464">
      <c r="A464" s="11" t="n"/>
      <c r="B464" s="6">
        <f>IF(A464="","",A464&amp;"-TAX")</f>
        <v/>
      </c>
      <c r="C464" s="11" t="n"/>
      <c r="D464" s="11" t="n"/>
      <c r="E464" s="11" t="n"/>
      <c r="F464" s="11" t="n"/>
      <c r="G464" s="12" t="n"/>
      <c r="H464" s="6">
        <f>IF(G464="","",YEAR(G464))</f>
        <v/>
      </c>
      <c r="I464" s="11" t="n"/>
      <c r="J464" s="13" t="n"/>
      <c r="K464" s="14">
        <f>IF(F464="股票期权",IF(G464="","",IF(G464&lt;DATE(2025,1,10),14.56,IF(G464&lt;DATE(2025,4,29),14.32,IF(G464&lt;DATE(2025,9,26),14.18,14.04)))),IF(F464="限制性股票",8.68,""))</f>
        <v/>
      </c>
      <c r="L464" s="14">
        <f>IF(F464="限制性股票",13.06,"")</f>
        <v/>
      </c>
      <c r="M464" s="11" t="n"/>
      <c r="N464" s="13" t="n"/>
      <c r="O464" s="13" t="n"/>
      <c r="P464" s="12" t="n"/>
      <c r="Q464" s="11" t="n"/>
      <c r="R464" s="12" t="n"/>
      <c r="S464" s="14">
        <f>IF(OR(A464="",C464="",F464="",G464="",I464="",J464=""),"",IF(F464="股票期权",MAX(0,(J464-K464)*I464),IF(F464="限制性股票",IF(OR(L464="",M464="",M464&lt;=0,N464=""),"",MAX(0,((L464+J464)/2)*I464-N464*I464/M464)),MAX(0,O464))))</f>
        <v/>
      </c>
      <c r="T464" s="14">
        <f>IF(S464="","",SUMIFS($S$2:$S$501,$C$2:$C$501,C464,$H$2:$H$501,H464,$G$2:$G$501,"&lt;"&amp;G464)+SUMIFS($S$2:$S$501,$C$2:$C$501,C464,$H$2:$H$501,H464,$G$2:$G$501,G464,$A$2:$A$501,"&lt;"&amp;A464))</f>
        <v/>
      </c>
      <c r="U464" s="14">
        <f>IF(S464="","",T464+S464)</f>
        <v/>
      </c>
      <c r="V464" s="15">
        <f>IF(U464="","",VLOOKUP(U464,'税率及规则'!$A$2:$C$8,2,TRUE))</f>
        <v/>
      </c>
      <c r="W464" s="14">
        <f>IF(U464="","",VLOOKUP(U464,'税率及规则'!$A$2:$C$8,3,TRUE))</f>
        <v/>
      </c>
      <c r="X464" s="14">
        <f>IF(U464="","",MAX(0,U464*V464-W464))</f>
        <v/>
      </c>
      <c r="Y464" s="14">
        <f>IF(T464="","",MAX(0,T464*VLOOKUP(T464,'税率及规则'!$A$2:$C$8,2,TRUE)-VLOOKUP(T464,'税率及规则'!$A$2:$C$8,3,TRUE)))</f>
        <v/>
      </c>
      <c r="Z464" s="14">
        <f>IF(X464="","",MAX(0,X464-Y464))</f>
        <v/>
      </c>
      <c r="AA464" s="16">
        <f>IF(G464="","",G464)</f>
        <v/>
      </c>
      <c r="AB464" s="16">
        <f>IF(AA464="","",EDATE(AA464,36))</f>
        <v/>
      </c>
      <c r="AC464" s="6">
        <f>IF(A464="","",IF(COUNTIF($A$2:$A$501,A464)&gt;1,"异常：事件编号重复",IF(OR(C464="",D464="",E464="",F464="",G464="",I464="",J464=""),"异常：必填项缺失",IF(OR(I464&lt;=0,J464&lt;0),"异常：数量或价格无效",IF(AND(F464="限制性股票",OR(M464&lt;=0,N464&lt;0,I464&gt;M464)),"异常：个人获授或出资数据无效",IF(AND(F464="股票期权",K464&lt;&gt;IF(G464&lt;DATE(2025,1,10),14.56,IF(G464&lt;DATE(2025,4,29),14.32,IF(G464&lt;DATE(2025,9,26),14.18,14.04)))),"异常：行权价格区间不符",IF(Q464&lt;&gt;"已备案","提示：未确认备案","正常")))))))</f>
        <v/>
      </c>
      <c r="AD464" s="11" t="n"/>
    </row>
    <row r="465">
      <c r="A465" s="11" t="n"/>
      <c r="B465" s="6">
        <f>IF(A465="","",A465&amp;"-TAX")</f>
        <v/>
      </c>
      <c r="C465" s="11" t="n"/>
      <c r="D465" s="11" t="n"/>
      <c r="E465" s="11" t="n"/>
      <c r="F465" s="11" t="n"/>
      <c r="G465" s="12" t="n"/>
      <c r="H465" s="6">
        <f>IF(G465="","",YEAR(G465))</f>
        <v/>
      </c>
      <c r="I465" s="11" t="n"/>
      <c r="J465" s="13" t="n"/>
      <c r="K465" s="14">
        <f>IF(F465="股票期权",IF(G465="","",IF(G465&lt;DATE(2025,1,10),14.56,IF(G465&lt;DATE(2025,4,29),14.32,IF(G465&lt;DATE(2025,9,26),14.18,14.04)))),IF(F465="限制性股票",8.68,""))</f>
        <v/>
      </c>
      <c r="L465" s="14">
        <f>IF(F465="限制性股票",13.06,"")</f>
        <v/>
      </c>
      <c r="M465" s="11" t="n"/>
      <c r="N465" s="13" t="n"/>
      <c r="O465" s="13" t="n"/>
      <c r="P465" s="12" t="n"/>
      <c r="Q465" s="11" t="n"/>
      <c r="R465" s="12" t="n"/>
      <c r="S465" s="14">
        <f>IF(OR(A465="",C465="",F465="",G465="",I465="",J465=""),"",IF(F465="股票期权",MAX(0,(J465-K465)*I465),IF(F465="限制性股票",IF(OR(L465="",M465="",M465&lt;=0,N465=""),"",MAX(0,((L465+J465)/2)*I465-N465*I465/M465)),MAX(0,O465))))</f>
        <v/>
      </c>
      <c r="T465" s="14">
        <f>IF(S465="","",SUMIFS($S$2:$S$501,$C$2:$C$501,C465,$H$2:$H$501,H465,$G$2:$G$501,"&lt;"&amp;G465)+SUMIFS($S$2:$S$501,$C$2:$C$501,C465,$H$2:$H$501,H465,$G$2:$G$501,G465,$A$2:$A$501,"&lt;"&amp;A465))</f>
        <v/>
      </c>
      <c r="U465" s="14">
        <f>IF(S465="","",T465+S465)</f>
        <v/>
      </c>
      <c r="V465" s="15">
        <f>IF(U465="","",VLOOKUP(U465,'税率及规则'!$A$2:$C$8,2,TRUE))</f>
        <v/>
      </c>
      <c r="W465" s="14">
        <f>IF(U465="","",VLOOKUP(U465,'税率及规则'!$A$2:$C$8,3,TRUE))</f>
        <v/>
      </c>
      <c r="X465" s="14">
        <f>IF(U465="","",MAX(0,U465*V465-W465))</f>
        <v/>
      </c>
      <c r="Y465" s="14">
        <f>IF(T465="","",MAX(0,T465*VLOOKUP(T465,'税率及规则'!$A$2:$C$8,2,TRUE)-VLOOKUP(T465,'税率及规则'!$A$2:$C$8,3,TRUE)))</f>
        <v/>
      </c>
      <c r="Z465" s="14">
        <f>IF(X465="","",MAX(0,X465-Y465))</f>
        <v/>
      </c>
      <c r="AA465" s="16">
        <f>IF(G465="","",G465)</f>
        <v/>
      </c>
      <c r="AB465" s="16">
        <f>IF(AA465="","",EDATE(AA465,36))</f>
        <v/>
      </c>
      <c r="AC465" s="6">
        <f>IF(A465="","",IF(COUNTIF($A$2:$A$501,A465)&gt;1,"异常：事件编号重复",IF(OR(C465="",D465="",E465="",F465="",G465="",I465="",J465=""),"异常：必填项缺失",IF(OR(I465&lt;=0,J465&lt;0),"异常：数量或价格无效",IF(AND(F465="限制性股票",OR(M465&lt;=0,N465&lt;0,I465&gt;M465)),"异常：个人获授或出资数据无效",IF(AND(F465="股票期权",K465&lt;&gt;IF(G465&lt;DATE(2025,1,10),14.56,IF(G465&lt;DATE(2025,4,29),14.32,IF(G465&lt;DATE(2025,9,26),14.18,14.04)))),"异常：行权价格区间不符",IF(Q465&lt;&gt;"已备案","提示：未确认备案","正常")))))))</f>
        <v/>
      </c>
      <c r="AD465" s="11" t="n"/>
    </row>
    <row r="466">
      <c r="A466" s="11" t="n"/>
      <c r="B466" s="6">
        <f>IF(A466="","",A466&amp;"-TAX")</f>
        <v/>
      </c>
      <c r="C466" s="11" t="n"/>
      <c r="D466" s="11" t="n"/>
      <c r="E466" s="11" t="n"/>
      <c r="F466" s="11" t="n"/>
      <c r="G466" s="12" t="n"/>
      <c r="H466" s="6">
        <f>IF(G466="","",YEAR(G466))</f>
        <v/>
      </c>
      <c r="I466" s="11" t="n"/>
      <c r="J466" s="13" t="n"/>
      <c r="K466" s="14">
        <f>IF(F466="股票期权",IF(G466="","",IF(G466&lt;DATE(2025,1,10),14.56,IF(G466&lt;DATE(2025,4,29),14.32,IF(G466&lt;DATE(2025,9,26),14.18,14.04)))),IF(F466="限制性股票",8.68,""))</f>
        <v/>
      </c>
      <c r="L466" s="14">
        <f>IF(F466="限制性股票",13.06,"")</f>
        <v/>
      </c>
      <c r="M466" s="11" t="n"/>
      <c r="N466" s="13" t="n"/>
      <c r="O466" s="13" t="n"/>
      <c r="P466" s="12" t="n"/>
      <c r="Q466" s="11" t="n"/>
      <c r="R466" s="12" t="n"/>
      <c r="S466" s="14">
        <f>IF(OR(A466="",C466="",F466="",G466="",I466="",J466=""),"",IF(F466="股票期权",MAX(0,(J466-K466)*I466),IF(F466="限制性股票",IF(OR(L466="",M466="",M466&lt;=0,N466=""),"",MAX(0,((L466+J466)/2)*I466-N466*I466/M466)),MAX(0,O466))))</f>
        <v/>
      </c>
      <c r="T466" s="14">
        <f>IF(S466="","",SUMIFS($S$2:$S$501,$C$2:$C$501,C466,$H$2:$H$501,H466,$G$2:$G$501,"&lt;"&amp;G466)+SUMIFS($S$2:$S$501,$C$2:$C$501,C466,$H$2:$H$501,H466,$G$2:$G$501,G466,$A$2:$A$501,"&lt;"&amp;A466))</f>
        <v/>
      </c>
      <c r="U466" s="14">
        <f>IF(S466="","",T466+S466)</f>
        <v/>
      </c>
      <c r="V466" s="15">
        <f>IF(U466="","",VLOOKUP(U466,'税率及规则'!$A$2:$C$8,2,TRUE))</f>
        <v/>
      </c>
      <c r="W466" s="14">
        <f>IF(U466="","",VLOOKUP(U466,'税率及规则'!$A$2:$C$8,3,TRUE))</f>
        <v/>
      </c>
      <c r="X466" s="14">
        <f>IF(U466="","",MAX(0,U466*V466-W466))</f>
        <v/>
      </c>
      <c r="Y466" s="14">
        <f>IF(T466="","",MAX(0,T466*VLOOKUP(T466,'税率及规则'!$A$2:$C$8,2,TRUE)-VLOOKUP(T466,'税率及规则'!$A$2:$C$8,3,TRUE)))</f>
        <v/>
      </c>
      <c r="Z466" s="14">
        <f>IF(X466="","",MAX(0,X466-Y466))</f>
        <v/>
      </c>
      <c r="AA466" s="16">
        <f>IF(G466="","",G466)</f>
        <v/>
      </c>
      <c r="AB466" s="16">
        <f>IF(AA466="","",EDATE(AA466,36))</f>
        <v/>
      </c>
      <c r="AC466" s="6">
        <f>IF(A466="","",IF(COUNTIF($A$2:$A$501,A466)&gt;1,"异常：事件编号重复",IF(OR(C466="",D466="",E466="",F466="",G466="",I466="",J466=""),"异常：必填项缺失",IF(OR(I466&lt;=0,J466&lt;0),"异常：数量或价格无效",IF(AND(F466="限制性股票",OR(M466&lt;=0,N466&lt;0,I466&gt;M466)),"异常：个人获授或出资数据无效",IF(AND(F466="股票期权",K466&lt;&gt;IF(G466&lt;DATE(2025,1,10),14.56,IF(G466&lt;DATE(2025,4,29),14.32,IF(G466&lt;DATE(2025,9,26),14.18,14.04)))),"异常：行权价格区间不符",IF(Q466&lt;&gt;"已备案","提示：未确认备案","正常")))))))</f>
        <v/>
      </c>
      <c r="AD466" s="11" t="n"/>
    </row>
    <row r="467">
      <c r="A467" s="11" t="n"/>
      <c r="B467" s="6">
        <f>IF(A467="","",A467&amp;"-TAX")</f>
        <v/>
      </c>
      <c r="C467" s="11" t="n"/>
      <c r="D467" s="11" t="n"/>
      <c r="E467" s="11" t="n"/>
      <c r="F467" s="11" t="n"/>
      <c r="G467" s="12" t="n"/>
      <c r="H467" s="6">
        <f>IF(G467="","",YEAR(G467))</f>
        <v/>
      </c>
      <c r="I467" s="11" t="n"/>
      <c r="J467" s="13" t="n"/>
      <c r="K467" s="14">
        <f>IF(F467="股票期权",IF(G467="","",IF(G467&lt;DATE(2025,1,10),14.56,IF(G467&lt;DATE(2025,4,29),14.32,IF(G467&lt;DATE(2025,9,26),14.18,14.04)))),IF(F467="限制性股票",8.68,""))</f>
        <v/>
      </c>
      <c r="L467" s="14">
        <f>IF(F467="限制性股票",13.06,"")</f>
        <v/>
      </c>
      <c r="M467" s="11" t="n"/>
      <c r="N467" s="13" t="n"/>
      <c r="O467" s="13" t="n"/>
      <c r="P467" s="12" t="n"/>
      <c r="Q467" s="11" t="n"/>
      <c r="R467" s="12" t="n"/>
      <c r="S467" s="14">
        <f>IF(OR(A467="",C467="",F467="",G467="",I467="",J467=""),"",IF(F467="股票期权",MAX(0,(J467-K467)*I467),IF(F467="限制性股票",IF(OR(L467="",M467="",M467&lt;=0,N467=""),"",MAX(0,((L467+J467)/2)*I467-N467*I467/M467)),MAX(0,O467))))</f>
        <v/>
      </c>
      <c r="T467" s="14">
        <f>IF(S467="","",SUMIFS($S$2:$S$501,$C$2:$C$501,C467,$H$2:$H$501,H467,$G$2:$G$501,"&lt;"&amp;G467)+SUMIFS($S$2:$S$501,$C$2:$C$501,C467,$H$2:$H$501,H467,$G$2:$G$501,G467,$A$2:$A$501,"&lt;"&amp;A467))</f>
        <v/>
      </c>
      <c r="U467" s="14">
        <f>IF(S467="","",T467+S467)</f>
        <v/>
      </c>
      <c r="V467" s="15">
        <f>IF(U467="","",VLOOKUP(U467,'税率及规则'!$A$2:$C$8,2,TRUE))</f>
        <v/>
      </c>
      <c r="W467" s="14">
        <f>IF(U467="","",VLOOKUP(U467,'税率及规则'!$A$2:$C$8,3,TRUE))</f>
        <v/>
      </c>
      <c r="X467" s="14">
        <f>IF(U467="","",MAX(0,U467*V467-W467))</f>
        <v/>
      </c>
      <c r="Y467" s="14">
        <f>IF(T467="","",MAX(0,T467*VLOOKUP(T467,'税率及规则'!$A$2:$C$8,2,TRUE)-VLOOKUP(T467,'税率及规则'!$A$2:$C$8,3,TRUE)))</f>
        <v/>
      </c>
      <c r="Z467" s="14">
        <f>IF(X467="","",MAX(0,X467-Y467))</f>
        <v/>
      </c>
      <c r="AA467" s="16">
        <f>IF(G467="","",G467)</f>
        <v/>
      </c>
      <c r="AB467" s="16">
        <f>IF(AA467="","",EDATE(AA467,36))</f>
        <v/>
      </c>
      <c r="AC467" s="6">
        <f>IF(A467="","",IF(COUNTIF($A$2:$A$501,A467)&gt;1,"异常：事件编号重复",IF(OR(C467="",D467="",E467="",F467="",G467="",I467="",J467=""),"异常：必填项缺失",IF(OR(I467&lt;=0,J467&lt;0),"异常：数量或价格无效",IF(AND(F467="限制性股票",OR(M467&lt;=0,N467&lt;0,I467&gt;M467)),"异常：个人获授或出资数据无效",IF(AND(F467="股票期权",K467&lt;&gt;IF(G467&lt;DATE(2025,1,10),14.56,IF(G467&lt;DATE(2025,4,29),14.32,IF(G467&lt;DATE(2025,9,26),14.18,14.04)))),"异常：行权价格区间不符",IF(Q467&lt;&gt;"已备案","提示：未确认备案","正常")))))))</f>
        <v/>
      </c>
      <c r="AD467" s="11" t="n"/>
    </row>
    <row r="468">
      <c r="A468" s="11" t="n"/>
      <c r="B468" s="6">
        <f>IF(A468="","",A468&amp;"-TAX")</f>
        <v/>
      </c>
      <c r="C468" s="11" t="n"/>
      <c r="D468" s="11" t="n"/>
      <c r="E468" s="11" t="n"/>
      <c r="F468" s="11" t="n"/>
      <c r="G468" s="12" t="n"/>
      <c r="H468" s="6">
        <f>IF(G468="","",YEAR(G468))</f>
        <v/>
      </c>
      <c r="I468" s="11" t="n"/>
      <c r="J468" s="13" t="n"/>
      <c r="K468" s="14">
        <f>IF(F468="股票期权",IF(G468="","",IF(G468&lt;DATE(2025,1,10),14.56,IF(G468&lt;DATE(2025,4,29),14.32,IF(G468&lt;DATE(2025,9,26),14.18,14.04)))),IF(F468="限制性股票",8.68,""))</f>
        <v/>
      </c>
      <c r="L468" s="14">
        <f>IF(F468="限制性股票",13.06,"")</f>
        <v/>
      </c>
      <c r="M468" s="11" t="n"/>
      <c r="N468" s="13" t="n"/>
      <c r="O468" s="13" t="n"/>
      <c r="P468" s="12" t="n"/>
      <c r="Q468" s="11" t="n"/>
      <c r="R468" s="12" t="n"/>
      <c r="S468" s="14">
        <f>IF(OR(A468="",C468="",F468="",G468="",I468="",J468=""),"",IF(F468="股票期权",MAX(0,(J468-K468)*I468),IF(F468="限制性股票",IF(OR(L468="",M468="",M468&lt;=0,N468=""),"",MAX(0,((L468+J468)/2)*I468-N468*I468/M468)),MAX(0,O468))))</f>
        <v/>
      </c>
      <c r="T468" s="14">
        <f>IF(S468="","",SUMIFS($S$2:$S$501,$C$2:$C$501,C468,$H$2:$H$501,H468,$G$2:$G$501,"&lt;"&amp;G468)+SUMIFS($S$2:$S$501,$C$2:$C$501,C468,$H$2:$H$501,H468,$G$2:$G$501,G468,$A$2:$A$501,"&lt;"&amp;A468))</f>
        <v/>
      </c>
      <c r="U468" s="14">
        <f>IF(S468="","",T468+S468)</f>
        <v/>
      </c>
      <c r="V468" s="15">
        <f>IF(U468="","",VLOOKUP(U468,'税率及规则'!$A$2:$C$8,2,TRUE))</f>
        <v/>
      </c>
      <c r="W468" s="14">
        <f>IF(U468="","",VLOOKUP(U468,'税率及规则'!$A$2:$C$8,3,TRUE))</f>
        <v/>
      </c>
      <c r="X468" s="14">
        <f>IF(U468="","",MAX(0,U468*V468-W468))</f>
        <v/>
      </c>
      <c r="Y468" s="14">
        <f>IF(T468="","",MAX(0,T468*VLOOKUP(T468,'税率及规则'!$A$2:$C$8,2,TRUE)-VLOOKUP(T468,'税率及规则'!$A$2:$C$8,3,TRUE)))</f>
        <v/>
      </c>
      <c r="Z468" s="14">
        <f>IF(X468="","",MAX(0,X468-Y468))</f>
        <v/>
      </c>
      <c r="AA468" s="16">
        <f>IF(G468="","",G468)</f>
        <v/>
      </c>
      <c r="AB468" s="16">
        <f>IF(AA468="","",EDATE(AA468,36))</f>
        <v/>
      </c>
      <c r="AC468" s="6">
        <f>IF(A468="","",IF(COUNTIF($A$2:$A$501,A468)&gt;1,"异常：事件编号重复",IF(OR(C468="",D468="",E468="",F468="",G468="",I468="",J468=""),"异常：必填项缺失",IF(OR(I468&lt;=0,J468&lt;0),"异常：数量或价格无效",IF(AND(F468="限制性股票",OR(M468&lt;=0,N468&lt;0,I468&gt;M468)),"异常：个人获授或出资数据无效",IF(AND(F468="股票期权",K468&lt;&gt;IF(G468&lt;DATE(2025,1,10),14.56,IF(G468&lt;DATE(2025,4,29),14.32,IF(G468&lt;DATE(2025,9,26),14.18,14.04)))),"异常：行权价格区间不符",IF(Q468&lt;&gt;"已备案","提示：未确认备案","正常")))))))</f>
        <v/>
      </c>
      <c r="AD468" s="11" t="n"/>
    </row>
    <row r="469">
      <c r="A469" s="11" t="n"/>
      <c r="B469" s="6">
        <f>IF(A469="","",A469&amp;"-TAX")</f>
        <v/>
      </c>
      <c r="C469" s="11" t="n"/>
      <c r="D469" s="11" t="n"/>
      <c r="E469" s="11" t="n"/>
      <c r="F469" s="11" t="n"/>
      <c r="G469" s="12" t="n"/>
      <c r="H469" s="6">
        <f>IF(G469="","",YEAR(G469))</f>
        <v/>
      </c>
      <c r="I469" s="11" t="n"/>
      <c r="J469" s="13" t="n"/>
      <c r="K469" s="14">
        <f>IF(F469="股票期权",IF(G469="","",IF(G469&lt;DATE(2025,1,10),14.56,IF(G469&lt;DATE(2025,4,29),14.32,IF(G469&lt;DATE(2025,9,26),14.18,14.04)))),IF(F469="限制性股票",8.68,""))</f>
        <v/>
      </c>
      <c r="L469" s="14">
        <f>IF(F469="限制性股票",13.06,"")</f>
        <v/>
      </c>
      <c r="M469" s="11" t="n"/>
      <c r="N469" s="13" t="n"/>
      <c r="O469" s="13" t="n"/>
      <c r="P469" s="12" t="n"/>
      <c r="Q469" s="11" t="n"/>
      <c r="R469" s="12" t="n"/>
      <c r="S469" s="14">
        <f>IF(OR(A469="",C469="",F469="",G469="",I469="",J469=""),"",IF(F469="股票期权",MAX(0,(J469-K469)*I469),IF(F469="限制性股票",IF(OR(L469="",M469="",M469&lt;=0,N469=""),"",MAX(0,((L469+J469)/2)*I469-N469*I469/M469)),MAX(0,O469))))</f>
        <v/>
      </c>
      <c r="T469" s="14">
        <f>IF(S469="","",SUMIFS($S$2:$S$501,$C$2:$C$501,C469,$H$2:$H$501,H469,$G$2:$G$501,"&lt;"&amp;G469)+SUMIFS($S$2:$S$501,$C$2:$C$501,C469,$H$2:$H$501,H469,$G$2:$G$501,G469,$A$2:$A$501,"&lt;"&amp;A469))</f>
        <v/>
      </c>
      <c r="U469" s="14">
        <f>IF(S469="","",T469+S469)</f>
        <v/>
      </c>
      <c r="V469" s="15">
        <f>IF(U469="","",VLOOKUP(U469,'税率及规则'!$A$2:$C$8,2,TRUE))</f>
        <v/>
      </c>
      <c r="W469" s="14">
        <f>IF(U469="","",VLOOKUP(U469,'税率及规则'!$A$2:$C$8,3,TRUE))</f>
        <v/>
      </c>
      <c r="X469" s="14">
        <f>IF(U469="","",MAX(0,U469*V469-W469))</f>
        <v/>
      </c>
      <c r="Y469" s="14">
        <f>IF(T469="","",MAX(0,T469*VLOOKUP(T469,'税率及规则'!$A$2:$C$8,2,TRUE)-VLOOKUP(T469,'税率及规则'!$A$2:$C$8,3,TRUE)))</f>
        <v/>
      </c>
      <c r="Z469" s="14">
        <f>IF(X469="","",MAX(0,X469-Y469))</f>
        <v/>
      </c>
      <c r="AA469" s="16">
        <f>IF(G469="","",G469)</f>
        <v/>
      </c>
      <c r="AB469" s="16">
        <f>IF(AA469="","",EDATE(AA469,36))</f>
        <v/>
      </c>
      <c r="AC469" s="6">
        <f>IF(A469="","",IF(COUNTIF($A$2:$A$501,A469)&gt;1,"异常：事件编号重复",IF(OR(C469="",D469="",E469="",F469="",G469="",I469="",J469=""),"异常：必填项缺失",IF(OR(I469&lt;=0,J469&lt;0),"异常：数量或价格无效",IF(AND(F469="限制性股票",OR(M469&lt;=0,N469&lt;0,I469&gt;M469)),"异常：个人获授或出资数据无效",IF(AND(F469="股票期权",K469&lt;&gt;IF(G469&lt;DATE(2025,1,10),14.56,IF(G469&lt;DATE(2025,4,29),14.32,IF(G469&lt;DATE(2025,9,26),14.18,14.04)))),"异常：行权价格区间不符",IF(Q469&lt;&gt;"已备案","提示：未确认备案","正常")))))))</f>
        <v/>
      </c>
      <c r="AD469" s="11" t="n"/>
    </row>
    <row r="470">
      <c r="A470" s="11" t="n"/>
      <c r="B470" s="6">
        <f>IF(A470="","",A470&amp;"-TAX")</f>
        <v/>
      </c>
      <c r="C470" s="11" t="n"/>
      <c r="D470" s="11" t="n"/>
      <c r="E470" s="11" t="n"/>
      <c r="F470" s="11" t="n"/>
      <c r="G470" s="12" t="n"/>
      <c r="H470" s="6">
        <f>IF(G470="","",YEAR(G470))</f>
        <v/>
      </c>
      <c r="I470" s="11" t="n"/>
      <c r="J470" s="13" t="n"/>
      <c r="K470" s="14">
        <f>IF(F470="股票期权",IF(G470="","",IF(G470&lt;DATE(2025,1,10),14.56,IF(G470&lt;DATE(2025,4,29),14.32,IF(G470&lt;DATE(2025,9,26),14.18,14.04)))),IF(F470="限制性股票",8.68,""))</f>
        <v/>
      </c>
      <c r="L470" s="14">
        <f>IF(F470="限制性股票",13.06,"")</f>
        <v/>
      </c>
      <c r="M470" s="11" t="n"/>
      <c r="N470" s="13" t="n"/>
      <c r="O470" s="13" t="n"/>
      <c r="P470" s="12" t="n"/>
      <c r="Q470" s="11" t="n"/>
      <c r="R470" s="12" t="n"/>
      <c r="S470" s="14">
        <f>IF(OR(A470="",C470="",F470="",G470="",I470="",J470=""),"",IF(F470="股票期权",MAX(0,(J470-K470)*I470),IF(F470="限制性股票",IF(OR(L470="",M470="",M470&lt;=0,N470=""),"",MAX(0,((L470+J470)/2)*I470-N470*I470/M470)),MAX(0,O470))))</f>
        <v/>
      </c>
      <c r="T470" s="14">
        <f>IF(S470="","",SUMIFS($S$2:$S$501,$C$2:$C$501,C470,$H$2:$H$501,H470,$G$2:$G$501,"&lt;"&amp;G470)+SUMIFS($S$2:$S$501,$C$2:$C$501,C470,$H$2:$H$501,H470,$G$2:$G$501,G470,$A$2:$A$501,"&lt;"&amp;A470))</f>
        <v/>
      </c>
      <c r="U470" s="14">
        <f>IF(S470="","",T470+S470)</f>
        <v/>
      </c>
      <c r="V470" s="15">
        <f>IF(U470="","",VLOOKUP(U470,'税率及规则'!$A$2:$C$8,2,TRUE))</f>
        <v/>
      </c>
      <c r="W470" s="14">
        <f>IF(U470="","",VLOOKUP(U470,'税率及规则'!$A$2:$C$8,3,TRUE))</f>
        <v/>
      </c>
      <c r="X470" s="14">
        <f>IF(U470="","",MAX(0,U470*V470-W470))</f>
        <v/>
      </c>
      <c r="Y470" s="14">
        <f>IF(T470="","",MAX(0,T470*VLOOKUP(T470,'税率及规则'!$A$2:$C$8,2,TRUE)-VLOOKUP(T470,'税率及规则'!$A$2:$C$8,3,TRUE)))</f>
        <v/>
      </c>
      <c r="Z470" s="14">
        <f>IF(X470="","",MAX(0,X470-Y470))</f>
        <v/>
      </c>
      <c r="AA470" s="16">
        <f>IF(G470="","",G470)</f>
        <v/>
      </c>
      <c r="AB470" s="16">
        <f>IF(AA470="","",EDATE(AA470,36))</f>
        <v/>
      </c>
      <c r="AC470" s="6">
        <f>IF(A470="","",IF(COUNTIF($A$2:$A$501,A470)&gt;1,"异常：事件编号重复",IF(OR(C470="",D470="",E470="",F470="",G470="",I470="",J470=""),"异常：必填项缺失",IF(OR(I470&lt;=0,J470&lt;0),"异常：数量或价格无效",IF(AND(F470="限制性股票",OR(M470&lt;=0,N470&lt;0,I470&gt;M470)),"异常：个人获授或出资数据无效",IF(AND(F470="股票期权",K470&lt;&gt;IF(G470&lt;DATE(2025,1,10),14.56,IF(G470&lt;DATE(2025,4,29),14.32,IF(G470&lt;DATE(2025,9,26),14.18,14.04)))),"异常：行权价格区间不符",IF(Q470&lt;&gt;"已备案","提示：未确认备案","正常")))))))</f>
        <v/>
      </c>
      <c r="AD470" s="11" t="n"/>
    </row>
    <row r="471">
      <c r="A471" s="11" t="n"/>
      <c r="B471" s="6">
        <f>IF(A471="","",A471&amp;"-TAX")</f>
        <v/>
      </c>
      <c r="C471" s="11" t="n"/>
      <c r="D471" s="11" t="n"/>
      <c r="E471" s="11" t="n"/>
      <c r="F471" s="11" t="n"/>
      <c r="G471" s="12" t="n"/>
      <c r="H471" s="6">
        <f>IF(G471="","",YEAR(G471))</f>
        <v/>
      </c>
      <c r="I471" s="11" t="n"/>
      <c r="J471" s="13" t="n"/>
      <c r="K471" s="14">
        <f>IF(F471="股票期权",IF(G471="","",IF(G471&lt;DATE(2025,1,10),14.56,IF(G471&lt;DATE(2025,4,29),14.32,IF(G471&lt;DATE(2025,9,26),14.18,14.04)))),IF(F471="限制性股票",8.68,""))</f>
        <v/>
      </c>
      <c r="L471" s="14">
        <f>IF(F471="限制性股票",13.06,"")</f>
        <v/>
      </c>
      <c r="M471" s="11" t="n"/>
      <c r="N471" s="13" t="n"/>
      <c r="O471" s="13" t="n"/>
      <c r="P471" s="12" t="n"/>
      <c r="Q471" s="11" t="n"/>
      <c r="R471" s="12" t="n"/>
      <c r="S471" s="14">
        <f>IF(OR(A471="",C471="",F471="",G471="",I471="",J471=""),"",IF(F471="股票期权",MAX(0,(J471-K471)*I471),IF(F471="限制性股票",IF(OR(L471="",M471="",M471&lt;=0,N471=""),"",MAX(0,((L471+J471)/2)*I471-N471*I471/M471)),MAX(0,O471))))</f>
        <v/>
      </c>
      <c r="T471" s="14">
        <f>IF(S471="","",SUMIFS($S$2:$S$501,$C$2:$C$501,C471,$H$2:$H$501,H471,$G$2:$G$501,"&lt;"&amp;G471)+SUMIFS($S$2:$S$501,$C$2:$C$501,C471,$H$2:$H$501,H471,$G$2:$G$501,G471,$A$2:$A$501,"&lt;"&amp;A471))</f>
        <v/>
      </c>
      <c r="U471" s="14">
        <f>IF(S471="","",T471+S471)</f>
        <v/>
      </c>
      <c r="V471" s="15">
        <f>IF(U471="","",VLOOKUP(U471,'税率及规则'!$A$2:$C$8,2,TRUE))</f>
        <v/>
      </c>
      <c r="W471" s="14">
        <f>IF(U471="","",VLOOKUP(U471,'税率及规则'!$A$2:$C$8,3,TRUE))</f>
        <v/>
      </c>
      <c r="X471" s="14">
        <f>IF(U471="","",MAX(0,U471*V471-W471))</f>
        <v/>
      </c>
      <c r="Y471" s="14">
        <f>IF(T471="","",MAX(0,T471*VLOOKUP(T471,'税率及规则'!$A$2:$C$8,2,TRUE)-VLOOKUP(T471,'税率及规则'!$A$2:$C$8,3,TRUE)))</f>
        <v/>
      </c>
      <c r="Z471" s="14">
        <f>IF(X471="","",MAX(0,X471-Y471))</f>
        <v/>
      </c>
      <c r="AA471" s="16">
        <f>IF(G471="","",G471)</f>
        <v/>
      </c>
      <c r="AB471" s="16">
        <f>IF(AA471="","",EDATE(AA471,36))</f>
        <v/>
      </c>
      <c r="AC471" s="6">
        <f>IF(A471="","",IF(COUNTIF($A$2:$A$501,A471)&gt;1,"异常：事件编号重复",IF(OR(C471="",D471="",E471="",F471="",G471="",I471="",J471=""),"异常：必填项缺失",IF(OR(I471&lt;=0,J471&lt;0),"异常：数量或价格无效",IF(AND(F471="限制性股票",OR(M471&lt;=0,N471&lt;0,I471&gt;M471)),"异常：个人获授或出资数据无效",IF(AND(F471="股票期权",K471&lt;&gt;IF(G471&lt;DATE(2025,1,10),14.56,IF(G471&lt;DATE(2025,4,29),14.32,IF(G471&lt;DATE(2025,9,26),14.18,14.04)))),"异常：行权价格区间不符",IF(Q471&lt;&gt;"已备案","提示：未确认备案","正常")))))))</f>
        <v/>
      </c>
      <c r="AD471" s="11" t="n"/>
    </row>
    <row r="472">
      <c r="A472" s="11" t="n"/>
      <c r="B472" s="6">
        <f>IF(A472="","",A472&amp;"-TAX")</f>
        <v/>
      </c>
      <c r="C472" s="11" t="n"/>
      <c r="D472" s="11" t="n"/>
      <c r="E472" s="11" t="n"/>
      <c r="F472" s="11" t="n"/>
      <c r="G472" s="12" t="n"/>
      <c r="H472" s="6">
        <f>IF(G472="","",YEAR(G472))</f>
        <v/>
      </c>
      <c r="I472" s="11" t="n"/>
      <c r="J472" s="13" t="n"/>
      <c r="K472" s="14">
        <f>IF(F472="股票期权",IF(G472="","",IF(G472&lt;DATE(2025,1,10),14.56,IF(G472&lt;DATE(2025,4,29),14.32,IF(G472&lt;DATE(2025,9,26),14.18,14.04)))),IF(F472="限制性股票",8.68,""))</f>
        <v/>
      </c>
      <c r="L472" s="14">
        <f>IF(F472="限制性股票",13.06,"")</f>
        <v/>
      </c>
      <c r="M472" s="11" t="n"/>
      <c r="N472" s="13" t="n"/>
      <c r="O472" s="13" t="n"/>
      <c r="P472" s="12" t="n"/>
      <c r="Q472" s="11" t="n"/>
      <c r="R472" s="12" t="n"/>
      <c r="S472" s="14">
        <f>IF(OR(A472="",C472="",F472="",G472="",I472="",J472=""),"",IF(F472="股票期权",MAX(0,(J472-K472)*I472),IF(F472="限制性股票",IF(OR(L472="",M472="",M472&lt;=0,N472=""),"",MAX(0,((L472+J472)/2)*I472-N472*I472/M472)),MAX(0,O472))))</f>
        <v/>
      </c>
      <c r="T472" s="14">
        <f>IF(S472="","",SUMIFS($S$2:$S$501,$C$2:$C$501,C472,$H$2:$H$501,H472,$G$2:$G$501,"&lt;"&amp;G472)+SUMIFS($S$2:$S$501,$C$2:$C$501,C472,$H$2:$H$501,H472,$G$2:$G$501,G472,$A$2:$A$501,"&lt;"&amp;A472))</f>
        <v/>
      </c>
      <c r="U472" s="14">
        <f>IF(S472="","",T472+S472)</f>
        <v/>
      </c>
      <c r="V472" s="15">
        <f>IF(U472="","",VLOOKUP(U472,'税率及规则'!$A$2:$C$8,2,TRUE))</f>
        <v/>
      </c>
      <c r="W472" s="14">
        <f>IF(U472="","",VLOOKUP(U472,'税率及规则'!$A$2:$C$8,3,TRUE))</f>
        <v/>
      </c>
      <c r="X472" s="14">
        <f>IF(U472="","",MAX(0,U472*V472-W472))</f>
        <v/>
      </c>
      <c r="Y472" s="14">
        <f>IF(T472="","",MAX(0,T472*VLOOKUP(T472,'税率及规则'!$A$2:$C$8,2,TRUE)-VLOOKUP(T472,'税率及规则'!$A$2:$C$8,3,TRUE)))</f>
        <v/>
      </c>
      <c r="Z472" s="14">
        <f>IF(X472="","",MAX(0,X472-Y472))</f>
        <v/>
      </c>
      <c r="AA472" s="16">
        <f>IF(G472="","",G472)</f>
        <v/>
      </c>
      <c r="AB472" s="16">
        <f>IF(AA472="","",EDATE(AA472,36))</f>
        <v/>
      </c>
      <c r="AC472" s="6">
        <f>IF(A472="","",IF(COUNTIF($A$2:$A$501,A472)&gt;1,"异常：事件编号重复",IF(OR(C472="",D472="",E472="",F472="",G472="",I472="",J472=""),"异常：必填项缺失",IF(OR(I472&lt;=0,J472&lt;0),"异常：数量或价格无效",IF(AND(F472="限制性股票",OR(M472&lt;=0,N472&lt;0,I472&gt;M472)),"异常：个人获授或出资数据无效",IF(AND(F472="股票期权",K472&lt;&gt;IF(G472&lt;DATE(2025,1,10),14.56,IF(G472&lt;DATE(2025,4,29),14.32,IF(G472&lt;DATE(2025,9,26),14.18,14.04)))),"异常：行权价格区间不符",IF(Q472&lt;&gt;"已备案","提示：未确认备案","正常")))))))</f>
        <v/>
      </c>
      <c r="AD472" s="11" t="n"/>
    </row>
    <row r="473">
      <c r="A473" s="11" t="n"/>
      <c r="B473" s="6">
        <f>IF(A473="","",A473&amp;"-TAX")</f>
        <v/>
      </c>
      <c r="C473" s="11" t="n"/>
      <c r="D473" s="11" t="n"/>
      <c r="E473" s="11" t="n"/>
      <c r="F473" s="11" t="n"/>
      <c r="G473" s="12" t="n"/>
      <c r="H473" s="6">
        <f>IF(G473="","",YEAR(G473))</f>
        <v/>
      </c>
      <c r="I473" s="11" t="n"/>
      <c r="J473" s="13" t="n"/>
      <c r="K473" s="14">
        <f>IF(F473="股票期权",IF(G473="","",IF(G473&lt;DATE(2025,1,10),14.56,IF(G473&lt;DATE(2025,4,29),14.32,IF(G473&lt;DATE(2025,9,26),14.18,14.04)))),IF(F473="限制性股票",8.68,""))</f>
        <v/>
      </c>
      <c r="L473" s="14">
        <f>IF(F473="限制性股票",13.06,"")</f>
        <v/>
      </c>
      <c r="M473" s="11" t="n"/>
      <c r="N473" s="13" t="n"/>
      <c r="O473" s="13" t="n"/>
      <c r="P473" s="12" t="n"/>
      <c r="Q473" s="11" t="n"/>
      <c r="R473" s="12" t="n"/>
      <c r="S473" s="14">
        <f>IF(OR(A473="",C473="",F473="",G473="",I473="",J473=""),"",IF(F473="股票期权",MAX(0,(J473-K473)*I473),IF(F473="限制性股票",IF(OR(L473="",M473="",M473&lt;=0,N473=""),"",MAX(0,((L473+J473)/2)*I473-N473*I473/M473)),MAX(0,O473))))</f>
        <v/>
      </c>
      <c r="T473" s="14">
        <f>IF(S473="","",SUMIFS($S$2:$S$501,$C$2:$C$501,C473,$H$2:$H$501,H473,$G$2:$G$501,"&lt;"&amp;G473)+SUMIFS($S$2:$S$501,$C$2:$C$501,C473,$H$2:$H$501,H473,$G$2:$G$501,G473,$A$2:$A$501,"&lt;"&amp;A473))</f>
        <v/>
      </c>
      <c r="U473" s="14">
        <f>IF(S473="","",T473+S473)</f>
        <v/>
      </c>
      <c r="V473" s="15">
        <f>IF(U473="","",VLOOKUP(U473,'税率及规则'!$A$2:$C$8,2,TRUE))</f>
        <v/>
      </c>
      <c r="W473" s="14">
        <f>IF(U473="","",VLOOKUP(U473,'税率及规则'!$A$2:$C$8,3,TRUE))</f>
        <v/>
      </c>
      <c r="X473" s="14">
        <f>IF(U473="","",MAX(0,U473*V473-W473))</f>
        <v/>
      </c>
      <c r="Y473" s="14">
        <f>IF(T473="","",MAX(0,T473*VLOOKUP(T473,'税率及规则'!$A$2:$C$8,2,TRUE)-VLOOKUP(T473,'税率及规则'!$A$2:$C$8,3,TRUE)))</f>
        <v/>
      </c>
      <c r="Z473" s="14">
        <f>IF(X473="","",MAX(0,X473-Y473))</f>
        <v/>
      </c>
      <c r="AA473" s="16">
        <f>IF(G473="","",G473)</f>
        <v/>
      </c>
      <c r="AB473" s="16">
        <f>IF(AA473="","",EDATE(AA473,36))</f>
        <v/>
      </c>
      <c r="AC473" s="6">
        <f>IF(A473="","",IF(COUNTIF($A$2:$A$501,A473)&gt;1,"异常：事件编号重复",IF(OR(C473="",D473="",E473="",F473="",G473="",I473="",J473=""),"异常：必填项缺失",IF(OR(I473&lt;=0,J473&lt;0),"异常：数量或价格无效",IF(AND(F473="限制性股票",OR(M473&lt;=0,N473&lt;0,I473&gt;M473)),"异常：个人获授或出资数据无效",IF(AND(F473="股票期权",K473&lt;&gt;IF(G473&lt;DATE(2025,1,10),14.56,IF(G473&lt;DATE(2025,4,29),14.32,IF(G473&lt;DATE(2025,9,26),14.18,14.04)))),"异常：行权价格区间不符",IF(Q473&lt;&gt;"已备案","提示：未确认备案","正常")))))))</f>
        <v/>
      </c>
      <c r="AD473" s="11" t="n"/>
    </row>
    <row r="474">
      <c r="A474" s="11" t="n"/>
      <c r="B474" s="6">
        <f>IF(A474="","",A474&amp;"-TAX")</f>
        <v/>
      </c>
      <c r="C474" s="11" t="n"/>
      <c r="D474" s="11" t="n"/>
      <c r="E474" s="11" t="n"/>
      <c r="F474" s="11" t="n"/>
      <c r="G474" s="12" t="n"/>
      <c r="H474" s="6">
        <f>IF(G474="","",YEAR(G474))</f>
        <v/>
      </c>
      <c r="I474" s="11" t="n"/>
      <c r="J474" s="13" t="n"/>
      <c r="K474" s="14">
        <f>IF(F474="股票期权",IF(G474="","",IF(G474&lt;DATE(2025,1,10),14.56,IF(G474&lt;DATE(2025,4,29),14.32,IF(G474&lt;DATE(2025,9,26),14.18,14.04)))),IF(F474="限制性股票",8.68,""))</f>
        <v/>
      </c>
      <c r="L474" s="14">
        <f>IF(F474="限制性股票",13.06,"")</f>
        <v/>
      </c>
      <c r="M474" s="11" t="n"/>
      <c r="N474" s="13" t="n"/>
      <c r="O474" s="13" t="n"/>
      <c r="P474" s="12" t="n"/>
      <c r="Q474" s="11" t="n"/>
      <c r="R474" s="12" t="n"/>
      <c r="S474" s="14">
        <f>IF(OR(A474="",C474="",F474="",G474="",I474="",J474=""),"",IF(F474="股票期权",MAX(0,(J474-K474)*I474),IF(F474="限制性股票",IF(OR(L474="",M474="",M474&lt;=0,N474=""),"",MAX(0,((L474+J474)/2)*I474-N474*I474/M474)),MAX(0,O474))))</f>
        <v/>
      </c>
      <c r="T474" s="14">
        <f>IF(S474="","",SUMIFS($S$2:$S$501,$C$2:$C$501,C474,$H$2:$H$501,H474,$G$2:$G$501,"&lt;"&amp;G474)+SUMIFS($S$2:$S$501,$C$2:$C$501,C474,$H$2:$H$501,H474,$G$2:$G$501,G474,$A$2:$A$501,"&lt;"&amp;A474))</f>
        <v/>
      </c>
      <c r="U474" s="14">
        <f>IF(S474="","",T474+S474)</f>
        <v/>
      </c>
      <c r="V474" s="15">
        <f>IF(U474="","",VLOOKUP(U474,'税率及规则'!$A$2:$C$8,2,TRUE))</f>
        <v/>
      </c>
      <c r="W474" s="14">
        <f>IF(U474="","",VLOOKUP(U474,'税率及规则'!$A$2:$C$8,3,TRUE))</f>
        <v/>
      </c>
      <c r="X474" s="14">
        <f>IF(U474="","",MAX(0,U474*V474-W474))</f>
        <v/>
      </c>
      <c r="Y474" s="14">
        <f>IF(T474="","",MAX(0,T474*VLOOKUP(T474,'税率及规则'!$A$2:$C$8,2,TRUE)-VLOOKUP(T474,'税率及规则'!$A$2:$C$8,3,TRUE)))</f>
        <v/>
      </c>
      <c r="Z474" s="14">
        <f>IF(X474="","",MAX(0,X474-Y474))</f>
        <v/>
      </c>
      <c r="AA474" s="16">
        <f>IF(G474="","",G474)</f>
        <v/>
      </c>
      <c r="AB474" s="16">
        <f>IF(AA474="","",EDATE(AA474,36))</f>
        <v/>
      </c>
      <c r="AC474" s="6">
        <f>IF(A474="","",IF(COUNTIF($A$2:$A$501,A474)&gt;1,"异常：事件编号重复",IF(OR(C474="",D474="",E474="",F474="",G474="",I474="",J474=""),"异常：必填项缺失",IF(OR(I474&lt;=0,J474&lt;0),"异常：数量或价格无效",IF(AND(F474="限制性股票",OR(M474&lt;=0,N474&lt;0,I474&gt;M474)),"异常：个人获授或出资数据无效",IF(AND(F474="股票期权",K474&lt;&gt;IF(G474&lt;DATE(2025,1,10),14.56,IF(G474&lt;DATE(2025,4,29),14.32,IF(G474&lt;DATE(2025,9,26),14.18,14.04)))),"异常：行权价格区间不符",IF(Q474&lt;&gt;"已备案","提示：未确认备案","正常")))))))</f>
        <v/>
      </c>
      <c r="AD474" s="11" t="n"/>
    </row>
    <row r="475">
      <c r="A475" s="11" t="n"/>
      <c r="B475" s="6">
        <f>IF(A475="","",A475&amp;"-TAX")</f>
        <v/>
      </c>
      <c r="C475" s="11" t="n"/>
      <c r="D475" s="11" t="n"/>
      <c r="E475" s="11" t="n"/>
      <c r="F475" s="11" t="n"/>
      <c r="G475" s="12" t="n"/>
      <c r="H475" s="6">
        <f>IF(G475="","",YEAR(G475))</f>
        <v/>
      </c>
      <c r="I475" s="11" t="n"/>
      <c r="J475" s="13" t="n"/>
      <c r="K475" s="14">
        <f>IF(F475="股票期权",IF(G475="","",IF(G475&lt;DATE(2025,1,10),14.56,IF(G475&lt;DATE(2025,4,29),14.32,IF(G475&lt;DATE(2025,9,26),14.18,14.04)))),IF(F475="限制性股票",8.68,""))</f>
        <v/>
      </c>
      <c r="L475" s="14">
        <f>IF(F475="限制性股票",13.06,"")</f>
        <v/>
      </c>
      <c r="M475" s="11" t="n"/>
      <c r="N475" s="13" t="n"/>
      <c r="O475" s="13" t="n"/>
      <c r="P475" s="12" t="n"/>
      <c r="Q475" s="11" t="n"/>
      <c r="R475" s="12" t="n"/>
      <c r="S475" s="14">
        <f>IF(OR(A475="",C475="",F475="",G475="",I475="",J475=""),"",IF(F475="股票期权",MAX(0,(J475-K475)*I475),IF(F475="限制性股票",IF(OR(L475="",M475="",M475&lt;=0,N475=""),"",MAX(0,((L475+J475)/2)*I475-N475*I475/M475)),MAX(0,O475))))</f>
        <v/>
      </c>
      <c r="T475" s="14">
        <f>IF(S475="","",SUMIFS($S$2:$S$501,$C$2:$C$501,C475,$H$2:$H$501,H475,$G$2:$G$501,"&lt;"&amp;G475)+SUMIFS($S$2:$S$501,$C$2:$C$501,C475,$H$2:$H$501,H475,$G$2:$G$501,G475,$A$2:$A$501,"&lt;"&amp;A475))</f>
        <v/>
      </c>
      <c r="U475" s="14">
        <f>IF(S475="","",T475+S475)</f>
        <v/>
      </c>
      <c r="V475" s="15">
        <f>IF(U475="","",VLOOKUP(U475,'税率及规则'!$A$2:$C$8,2,TRUE))</f>
        <v/>
      </c>
      <c r="W475" s="14">
        <f>IF(U475="","",VLOOKUP(U475,'税率及规则'!$A$2:$C$8,3,TRUE))</f>
        <v/>
      </c>
      <c r="X475" s="14">
        <f>IF(U475="","",MAX(0,U475*V475-W475))</f>
        <v/>
      </c>
      <c r="Y475" s="14">
        <f>IF(T475="","",MAX(0,T475*VLOOKUP(T475,'税率及规则'!$A$2:$C$8,2,TRUE)-VLOOKUP(T475,'税率及规则'!$A$2:$C$8,3,TRUE)))</f>
        <v/>
      </c>
      <c r="Z475" s="14">
        <f>IF(X475="","",MAX(0,X475-Y475))</f>
        <v/>
      </c>
      <c r="AA475" s="16">
        <f>IF(G475="","",G475)</f>
        <v/>
      </c>
      <c r="AB475" s="16">
        <f>IF(AA475="","",EDATE(AA475,36))</f>
        <v/>
      </c>
      <c r="AC475" s="6">
        <f>IF(A475="","",IF(COUNTIF($A$2:$A$501,A475)&gt;1,"异常：事件编号重复",IF(OR(C475="",D475="",E475="",F475="",G475="",I475="",J475=""),"异常：必填项缺失",IF(OR(I475&lt;=0,J475&lt;0),"异常：数量或价格无效",IF(AND(F475="限制性股票",OR(M475&lt;=0,N475&lt;0,I475&gt;M475)),"异常：个人获授或出资数据无效",IF(AND(F475="股票期权",K475&lt;&gt;IF(G475&lt;DATE(2025,1,10),14.56,IF(G475&lt;DATE(2025,4,29),14.32,IF(G475&lt;DATE(2025,9,26),14.18,14.04)))),"异常：行权价格区间不符",IF(Q475&lt;&gt;"已备案","提示：未确认备案","正常")))))))</f>
        <v/>
      </c>
      <c r="AD475" s="11" t="n"/>
    </row>
    <row r="476">
      <c r="A476" s="11" t="n"/>
      <c r="B476" s="6">
        <f>IF(A476="","",A476&amp;"-TAX")</f>
        <v/>
      </c>
      <c r="C476" s="11" t="n"/>
      <c r="D476" s="11" t="n"/>
      <c r="E476" s="11" t="n"/>
      <c r="F476" s="11" t="n"/>
      <c r="G476" s="12" t="n"/>
      <c r="H476" s="6">
        <f>IF(G476="","",YEAR(G476))</f>
        <v/>
      </c>
      <c r="I476" s="11" t="n"/>
      <c r="J476" s="13" t="n"/>
      <c r="K476" s="14">
        <f>IF(F476="股票期权",IF(G476="","",IF(G476&lt;DATE(2025,1,10),14.56,IF(G476&lt;DATE(2025,4,29),14.32,IF(G476&lt;DATE(2025,9,26),14.18,14.04)))),IF(F476="限制性股票",8.68,""))</f>
        <v/>
      </c>
      <c r="L476" s="14">
        <f>IF(F476="限制性股票",13.06,"")</f>
        <v/>
      </c>
      <c r="M476" s="11" t="n"/>
      <c r="N476" s="13" t="n"/>
      <c r="O476" s="13" t="n"/>
      <c r="P476" s="12" t="n"/>
      <c r="Q476" s="11" t="n"/>
      <c r="R476" s="12" t="n"/>
      <c r="S476" s="14">
        <f>IF(OR(A476="",C476="",F476="",G476="",I476="",J476=""),"",IF(F476="股票期权",MAX(0,(J476-K476)*I476),IF(F476="限制性股票",IF(OR(L476="",M476="",M476&lt;=0,N476=""),"",MAX(0,((L476+J476)/2)*I476-N476*I476/M476)),MAX(0,O476))))</f>
        <v/>
      </c>
      <c r="T476" s="14">
        <f>IF(S476="","",SUMIFS($S$2:$S$501,$C$2:$C$501,C476,$H$2:$H$501,H476,$G$2:$G$501,"&lt;"&amp;G476)+SUMIFS($S$2:$S$501,$C$2:$C$501,C476,$H$2:$H$501,H476,$G$2:$G$501,G476,$A$2:$A$501,"&lt;"&amp;A476))</f>
        <v/>
      </c>
      <c r="U476" s="14">
        <f>IF(S476="","",T476+S476)</f>
        <v/>
      </c>
      <c r="V476" s="15">
        <f>IF(U476="","",VLOOKUP(U476,'税率及规则'!$A$2:$C$8,2,TRUE))</f>
        <v/>
      </c>
      <c r="W476" s="14">
        <f>IF(U476="","",VLOOKUP(U476,'税率及规则'!$A$2:$C$8,3,TRUE))</f>
        <v/>
      </c>
      <c r="X476" s="14">
        <f>IF(U476="","",MAX(0,U476*V476-W476))</f>
        <v/>
      </c>
      <c r="Y476" s="14">
        <f>IF(T476="","",MAX(0,T476*VLOOKUP(T476,'税率及规则'!$A$2:$C$8,2,TRUE)-VLOOKUP(T476,'税率及规则'!$A$2:$C$8,3,TRUE)))</f>
        <v/>
      </c>
      <c r="Z476" s="14">
        <f>IF(X476="","",MAX(0,X476-Y476))</f>
        <v/>
      </c>
      <c r="AA476" s="16">
        <f>IF(G476="","",G476)</f>
        <v/>
      </c>
      <c r="AB476" s="16">
        <f>IF(AA476="","",EDATE(AA476,36))</f>
        <v/>
      </c>
      <c r="AC476" s="6">
        <f>IF(A476="","",IF(COUNTIF($A$2:$A$501,A476)&gt;1,"异常：事件编号重复",IF(OR(C476="",D476="",E476="",F476="",G476="",I476="",J476=""),"异常：必填项缺失",IF(OR(I476&lt;=0,J476&lt;0),"异常：数量或价格无效",IF(AND(F476="限制性股票",OR(M476&lt;=0,N476&lt;0,I476&gt;M476)),"异常：个人获授或出资数据无效",IF(AND(F476="股票期权",K476&lt;&gt;IF(G476&lt;DATE(2025,1,10),14.56,IF(G476&lt;DATE(2025,4,29),14.32,IF(G476&lt;DATE(2025,9,26),14.18,14.04)))),"异常：行权价格区间不符",IF(Q476&lt;&gt;"已备案","提示：未确认备案","正常")))))))</f>
        <v/>
      </c>
      <c r="AD476" s="11" t="n"/>
    </row>
    <row r="477">
      <c r="A477" s="11" t="n"/>
      <c r="B477" s="6">
        <f>IF(A477="","",A477&amp;"-TAX")</f>
        <v/>
      </c>
      <c r="C477" s="11" t="n"/>
      <c r="D477" s="11" t="n"/>
      <c r="E477" s="11" t="n"/>
      <c r="F477" s="11" t="n"/>
      <c r="G477" s="12" t="n"/>
      <c r="H477" s="6">
        <f>IF(G477="","",YEAR(G477))</f>
        <v/>
      </c>
      <c r="I477" s="11" t="n"/>
      <c r="J477" s="13" t="n"/>
      <c r="K477" s="14">
        <f>IF(F477="股票期权",IF(G477="","",IF(G477&lt;DATE(2025,1,10),14.56,IF(G477&lt;DATE(2025,4,29),14.32,IF(G477&lt;DATE(2025,9,26),14.18,14.04)))),IF(F477="限制性股票",8.68,""))</f>
        <v/>
      </c>
      <c r="L477" s="14">
        <f>IF(F477="限制性股票",13.06,"")</f>
        <v/>
      </c>
      <c r="M477" s="11" t="n"/>
      <c r="N477" s="13" t="n"/>
      <c r="O477" s="13" t="n"/>
      <c r="P477" s="12" t="n"/>
      <c r="Q477" s="11" t="n"/>
      <c r="R477" s="12" t="n"/>
      <c r="S477" s="14">
        <f>IF(OR(A477="",C477="",F477="",G477="",I477="",J477=""),"",IF(F477="股票期权",MAX(0,(J477-K477)*I477),IF(F477="限制性股票",IF(OR(L477="",M477="",M477&lt;=0,N477=""),"",MAX(0,((L477+J477)/2)*I477-N477*I477/M477)),MAX(0,O477))))</f>
        <v/>
      </c>
      <c r="T477" s="14">
        <f>IF(S477="","",SUMIFS($S$2:$S$501,$C$2:$C$501,C477,$H$2:$H$501,H477,$G$2:$G$501,"&lt;"&amp;G477)+SUMIFS($S$2:$S$501,$C$2:$C$501,C477,$H$2:$H$501,H477,$G$2:$G$501,G477,$A$2:$A$501,"&lt;"&amp;A477))</f>
        <v/>
      </c>
      <c r="U477" s="14">
        <f>IF(S477="","",T477+S477)</f>
        <v/>
      </c>
      <c r="V477" s="15">
        <f>IF(U477="","",VLOOKUP(U477,'税率及规则'!$A$2:$C$8,2,TRUE))</f>
        <v/>
      </c>
      <c r="W477" s="14">
        <f>IF(U477="","",VLOOKUP(U477,'税率及规则'!$A$2:$C$8,3,TRUE))</f>
        <v/>
      </c>
      <c r="X477" s="14">
        <f>IF(U477="","",MAX(0,U477*V477-W477))</f>
        <v/>
      </c>
      <c r="Y477" s="14">
        <f>IF(T477="","",MAX(0,T477*VLOOKUP(T477,'税率及规则'!$A$2:$C$8,2,TRUE)-VLOOKUP(T477,'税率及规则'!$A$2:$C$8,3,TRUE)))</f>
        <v/>
      </c>
      <c r="Z477" s="14">
        <f>IF(X477="","",MAX(0,X477-Y477))</f>
        <v/>
      </c>
      <c r="AA477" s="16">
        <f>IF(G477="","",G477)</f>
        <v/>
      </c>
      <c r="AB477" s="16">
        <f>IF(AA477="","",EDATE(AA477,36))</f>
        <v/>
      </c>
      <c r="AC477" s="6">
        <f>IF(A477="","",IF(COUNTIF($A$2:$A$501,A477)&gt;1,"异常：事件编号重复",IF(OR(C477="",D477="",E477="",F477="",G477="",I477="",J477=""),"异常：必填项缺失",IF(OR(I477&lt;=0,J477&lt;0),"异常：数量或价格无效",IF(AND(F477="限制性股票",OR(M477&lt;=0,N477&lt;0,I477&gt;M477)),"异常：个人获授或出资数据无效",IF(AND(F477="股票期权",K477&lt;&gt;IF(G477&lt;DATE(2025,1,10),14.56,IF(G477&lt;DATE(2025,4,29),14.32,IF(G477&lt;DATE(2025,9,26),14.18,14.04)))),"异常：行权价格区间不符",IF(Q477&lt;&gt;"已备案","提示：未确认备案","正常")))))))</f>
        <v/>
      </c>
      <c r="AD477" s="11" t="n"/>
    </row>
    <row r="478">
      <c r="A478" s="11" t="n"/>
      <c r="B478" s="6">
        <f>IF(A478="","",A478&amp;"-TAX")</f>
        <v/>
      </c>
      <c r="C478" s="11" t="n"/>
      <c r="D478" s="11" t="n"/>
      <c r="E478" s="11" t="n"/>
      <c r="F478" s="11" t="n"/>
      <c r="G478" s="12" t="n"/>
      <c r="H478" s="6">
        <f>IF(G478="","",YEAR(G478))</f>
        <v/>
      </c>
      <c r="I478" s="11" t="n"/>
      <c r="J478" s="13" t="n"/>
      <c r="K478" s="14">
        <f>IF(F478="股票期权",IF(G478="","",IF(G478&lt;DATE(2025,1,10),14.56,IF(G478&lt;DATE(2025,4,29),14.32,IF(G478&lt;DATE(2025,9,26),14.18,14.04)))),IF(F478="限制性股票",8.68,""))</f>
        <v/>
      </c>
      <c r="L478" s="14">
        <f>IF(F478="限制性股票",13.06,"")</f>
        <v/>
      </c>
      <c r="M478" s="11" t="n"/>
      <c r="N478" s="13" t="n"/>
      <c r="O478" s="13" t="n"/>
      <c r="P478" s="12" t="n"/>
      <c r="Q478" s="11" t="n"/>
      <c r="R478" s="12" t="n"/>
      <c r="S478" s="14">
        <f>IF(OR(A478="",C478="",F478="",G478="",I478="",J478=""),"",IF(F478="股票期权",MAX(0,(J478-K478)*I478),IF(F478="限制性股票",IF(OR(L478="",M478="",M478&lt;=0,N478=""),"",MAX(0,((L478+J478)/2)*I478-N478*I478/M478)),MAX(0,O478))))</f>
        <v/>
      </c>
      <c r="T478" s="14">
        <f>IF(S478="","",SUMIFS($S$2:$S$501,$C$2:$C$501,C478,$H$2:$H$501,H478,$G$2:$G$501,"&lt;"&amp;G478)+SUMIFS($S$2:$S$501,$C$2:$C$501,C478,$H$2:$H$501,H478,$G$2:$G$501,G478,$A$2:$A$501,"&lt;"&amp;A478))</f>
        <v/>
      </c>
      <c r="U478" s="14">
        <f>IF(S478="","",T478+S478)</f>
        <v/>
      </c>
      <c r="V478" s="15">
        <f>IF(U478="","",VLOOKUP(U478,'税率及规则'!$A$2:$C$8,2,TRUE))</f>
        <v/>
      </c>
      <c r="W478" s="14">
        <f>IF(U478="","",VLOOKUP(U478,'税率及规则'!$A$2:$C$8,3,TRUE))</f>
        <v/>
      </c>
      <c r="X478" s="14">
        <f>IF(U478="","",MAX(0,U478*V478-W478))</f>
        <v/>
      </c>
      <c r="Y478" s="14">
        <f>IF(T478="","",MAX(0,T478*VLOOKUP(T478,'税率及规则'!$A$2:$C$8,2,TRUE)-VLOOKUP(T478,'税率及规则'!$A$2:$C$8,3,TRUE)))</f>
        <v/>
      </c>
      <c r="Z478" s="14">
        <f>IF(X478="","",MAX(0,X478-Y478))</f>
        <v/>
      </c>
      <c r="AA478" s="16">
        <f>IF(G478="","",G478)</f>
        <v/>
      </c>
      <c r="AB478" s="16">
        <f>IF(AA478="","",EDATE(AA478,36))</f>
        <v/>
      </c>
      <c r="AC478" s="6">
        <f>IF(A478="","",IF(COUNTIF($A$2:$A$501,A478)&gt;1,"异常：事件编号重复",IF(OR(C478="",D478="",E478="",F478="",G478="",I478="",J478=""),"异常：必填项缺失",IF(OR(I478&lt;=0,J478&lt;0),"异常：数量或价格无效",IF(AND(F478="限制性股票",OR(M478&lt;=0,N478&lt;0,I478&gt;M478)),"异常：个人获授或出资数据无效",IF(AND(F478="股票期权",K478&lt;&gt;IF(G478&lt;DATE(2025,1,10),14.56,IF(G478&lt;DATE(2025,4,29),14.32,IF(G478&lt;DATE(2025,9,26),14.18,14.04)))),"异常：行权价格区间不符",IF(Q478&lt;&gt;"已备案","提示：未确认备案","正常")))))))</f>
        <v/>
      </c>
      <c r="AD478" s="11" t="n"/>
    </row>
    <row r="479">
      <c r="A479" s="11" t="n"/>
      <c r="B479" s="6">
        <f>IF(A479="","",A479&amp;"-TAX")</f>
        <v/>
      </c>
      <c r="C479" s="11" t="n"/>
      <c r="D479" s="11" t="n"/>
      <c r="E479" s="11" t="n"/>
      <c r="F479" s="11" t="n"/>
      <c r="G479" s="12" t="n"/>
      <c r="H479" s="6">
        <f>IF(G479="","",YEAR(G479))</f>
        <v/>
      </c>
      <c r="I479" s="11" t="n"/>
      <c r="J479" s="13" t="n"/>
      <c r="K479" s="14">
        <f>IF(F479="股票期权",IF(G479="","",IF(G479&lt;DATE(2025,1,10),14.56,IF(G479&lt;DATE(2025,4,29),14.32,IF(G479&lt;DATE(2025,9,26),14.18,14.04)))),IF(F479="限制性股票",8.68,""))</f>
        <v/>
      </c>
      <c r="L479" s="14">
        <f>IF(F479="限制性股票",13.06,"")</f>
        <v/>
      </c>
      <c r="M479" s="11" t="n"/>
      <c r="N479" s="13" t="n"/>
      <c r="O479" s="13" t="n"/>
      <c r="P479" s="12" t="n"/>
      <c r="Q479" s="11" t="n"/>
      <c r="R479" s="12" t="n"/>
      <c r="S479" s="14">
        <f>IF(OR(A479="",C479="",F479="",G479="",I479="",J479=""),"",IF(F479="股票期权",MAX(0,(J479-K479)*I479),IF(F479="限制性股票",IF(OR(L479="",M479="",M479&lt;=0,N479=""),"",MAX(0,((L479+J479)/2)*I479-N479*I479/M479)),MAX(0,O479))))</f>
        <v/>
      </c>
      <c r="T479" s="14">
        <f>IF(S479="","",SUMIFS($S$2:$S$501,$C$2:$C$501,C479,$H$2:$H$501,H479,$G$2:$G$501,"&lt;"&amp;G479)+SUMIFS($S$2:$S$501,$C$2:$C$501,C479,$H$2:$H$501,H479,$G$2:$G$501,G479,$A$2:$A$501,"&lt;"&amp;A479))</f>
        <v/>
      </c>
      <c r="U479" s="14">
        <f>IF(S479="","",T479+S479)</f>
        <v/>
      </c>
      <c r="V479" s="15">
        <f>IF(U479="","",VLOOKUP(U479,'税率及规则'!$A$2:$C$8,2,TRUE))</f>
        <v/>
      </c>
      <c r="W479" s="14">
        <f>IF(U479="","",VLOOKUP(U479,'税率及规则'!$A$2:$C$8,3,TRUE))</f>
        <v/>
      </c>
      <c r="X479" s="14">
        <f>IF(U479="","",MAX(0,U479*V479-W479))</f>
        <v/>
      </c>
      <c r="Y479" s="14">
        <f>IF(T479="","",MAX(0,T479*VLOOKUP(T479,'税率及规则'!$A$2:$C$8,2,TRUE)-VLOOKUP(T479,'税率及规则'!$A$2:$C$8,3,TRUE)))</f>
        <v/>
      </c>
      <c r="Z479" s="14">
        <f>IF(X479="","",MAX(0,X479-Y479))</f>
        <v/>
      </c>
      <c r="AA479" s="16">
        <f>IF(G479="","",G479)</f>
        <v/>
      </c>
      <c r="AB479" s="16">
        <f>IF(AA479="","",EDATE(AA479,36))</f>
        <v/>
      </c>
      <c r="AC479" s="6">
        <f>IF(A479="","",IF(COUNTIF($A$2:$A$501,A479)&gt;1,"异常：事件编号重复",IF(OR(C479="",D479="",E479="",F479="",G479="",I479="",J479=""),"异常：必填项缺失",IF(OR(I479&lt;=0,J479&lt;0),"异常：数量或价格无效",IF(AND(F479="限制性股票",OR(M479&lt;=0,N479&lt;0,I479&gt;M479)),"异常：个人获授或出资数据无效",IF(AND(F479="股票期权",K479&lt;&gt;IF(G479&lt;DATE(2025,1,10),14.56,IF(G479&lt;DATE(2025,4,29),14.32,IF(G479&lt;DATE(2025,9,26),14.18,14.04)))),"异常：行权价格区间不符",IF(Q479&lt;&gt;"已备案","提示：未确认备案","正常")))))))</f>
        <v/>
      </c>
      <c r="AD479" s="11" t="n"/>
    </row>
    <row r="480">
      <c r="A480" s="11" t="n"/>
      <c r="B480" s="6">
        <f>IF(A480="","",A480&amp;"-TAX")</f>
        <v/>
      </c>
      <c r="C480" s="11" t="n"/>
      <c r="D480" s="11" t="n"/>
      <c r="E480" s="11" t="n"/>
      <c r="F480" s="11" t="n"/>
      <c r="G480" s="12" t="n"/>
      <c r="H480" s="6">
        <f>IF(G480="","",YEAR(G480))</f>
        <v/>
      </c>
      <c r="I480" s="11" t="n"/>
      <c r="J480" s="13" t="n"/>
      <c r="K480" s="14">
        <f>IF(F480="股票期权",IF(G480="","",IF(G480&lt;DATE(2025,1,10),14.56,IF(G480&lt;DATE(2025,4,29),14.32,IF(G480&lt;DATE(2025,9,26),14.18,14.04)))),IF(F480="限制性股票",8.68,""))</f>
        <v/>
      </c>
      <c r="L480" s="14">
        <f>IF(F480="限制性股票",13.06,"")</f>
        <v/>
      </c>
      <c r="M480" s="11" t="n"/>
      <c r="N480" s="13" t="n"/>
      <c r="O480" s="13" t="n"/>
      <c r="P480" s="12" t="n"/>
      <c r="Q480" s="11" t="n"/>
      <c r="R480" s="12" t="n"/>
      <c r="S480" s="14">
        <f>IF(OR(A480="",C480="",F480="",G480="",I480="",J480=""),"",IF(F480="股票期权",MAX(0,(J480-K480)*I480),IF(F480="限制性股票",IF(OR(L480="",M480="",M480&lt;=0,N480=""),"",MAX(0,((L480+J480)/2)*I480-N480*I480/M480)),MAX(0,O480))))</f>
        <v/>
      </c>
      <c r="T480" s="14">
        <f>IF(S480="","",SUMIFS($S$2:$S$501,$C$2:$C$501,C480,$H$2:$H$501,H480,$G$2:$G$501,"&lt;"&amp;G480)+SUMIFS($S$2:$S$501,$C$2:$C$501,C480,$H$2:$H$501,H480,$G$2:$G$501,G480,$A$2:$A$501,"&lt;"&amp;A480))</f>
        <v/>
      </c>
      <c r="U480" s="14">
        <f>IF(S480="","",T480+S480)</f>
        <v/>
      </c>
      <c r="V480" s="15">
        <f>IF(U480="","",VLOOKUP(U480,'税率及规则'!$A$2:$C$8,2,TRUE))</f>
        <v/>
      </c>
      <c r="W480" s="14">
        <f>IF(U480="","",VLOOKUP(U480,'税率及规则'!$A$2:$C$8,3,TRUE))</f>
        <v/>
      </c>
      <c r="X480" s="14">
        <f>IF(U480="","",MAX(0,U480*V480-W480))</f>
        <v/>
      </c>
      <c r="Y480" s="14">
        <f>IF(T480="","",MAX(0,T480*VLOOKUP(T480,'税率及规则'!$A$2:$C$8,2,TRUE)-VLOOKUP(T480,'税率及规则'!$A$2:$C$8,3,TRUE)))</f>
        <v/>
      </c>
      <c r="Z480" s="14">
        <f>IF(X480="","",MAX(0,X480-Y480))</f>
        <v/>
      </c>
      <c r="AA480" s="16">
        <f>IF(G480="","",G480)</f>
        <v/>
      </c>
      <c r="AB480" s="16">
        <f>IF(AA480="","",EDATE(AA480,36))</f>
        <v/>
      </c>
      <c r="AC480" s="6">
        <f>IF(A480="","",IF(COUNTIF($A$2:$A$501,A480)&gt;1,"异常：事件编号重复",IF(OR(C480="",D480="",E480="",F480="",G480="",I480="",J480=""),"异常：必填项缺失",IF(OR(I480&lt;=0,J480&lt;0),"异常：数量或价格无效",IF(AND(F480="限制性股票",OR(M480&lt;=0,N480&lt;0,I480&gt;M480)),"异常：个人获授或出资数据无效",IF(AND(F480="股票期权",K480&lt;&gt;IF(G480&lt;DATE(2025,1,10),14.56,IF(G480&lt;DATE(2025,4,29),14.32,IF(G480&lt;DATE(2025,9,26),14.18,14.04)))),"异常：行权价格区间不符",IF(Q480&lt;&gt;"已备案","提示：未确认备案","正常")))))))</f>
        <v/>
      </c>
      <c r="AD480" s="11" t="n"/>
    </row>
    <row r="481">
      <c r="A481" s="11" t="n"/>
      <c r="B481" s="6">
        <f>IF(A481="","",A481&amp;"-TAX")</f>
        <v/>
      </c>
      <c r="C481" s="11" t="n"/>
      <c r="D481" s="11" t="n"/>
      <c r="E481" s="11" t="n"/>
      <c r="F481" s="11" t="n"/>
      <c r="G481" s="12" t="n"/>
      <c r="H481" s="6">
        <f>IF(G481="","",YEAR(G481))</f>
        <v/>
      </c>
      <c r="I481" s="11" t="n"/>
      <c r="J481" s="13" t="n"/>
      <c r="K481" s="14">
        <f>IF(F481="股票期权",IF(G481="","",IF(G481&lt;DATE(2025,1,10),14.56,IF(G481&lt;DATE(2025,4,29),14.32,IF(G481&lt;DATE(2025,9,26),14.18,14.04)))),IF(F481="限制性股票",8.68,""))</f>
        <v/>
      </c>
      <c r="L481" s="14">
        <f>IF(F481="限制性股票",13.06,"")</f>
        <v/>
      </c>
      <c r="M481" s="11" t="n"/>
      <c r="N481" s="13" t="n"/>
      <c r="O481" s="13" t="n"/>
      <c r="P481" s="12" t="n"/>
      <c r="Q481" s="11" t="n"/>
      <c r="R481" s="12" t="n"/>
      <c r="S481" s="14">
        <f>IF(OR(A481="",C481="",F481="",G481="",I481="",J481=""),"",IF(F481="股票期权",MAX(0,(J481-K481)*I481),IF(F481="限制性股票",IF(OR(L481="",M481="",M481&lt;=0,N481=""),"",MAX(0,((L481+J481)/2)*I481-N481*I481/M481)),MAX(0,O481))))</f>
        <v/>
      </c>
      <c r="T481" s="14">
        <f>IF(S481="","",SUMIFS($S$2:$S$501,$C$2:$C$501,C481,$H$2:$H$501,H481,$G$2:$G$501,"&lt;"&amp;G481)+SUMIFS($S$2:$S$501,$C$2:$C$501,C481,$H$2:$H$501,H481,$G$2:$G$501,G481,$A$2:$A$501,"&lt;"&amp;A481))</f>
        <v/>
      </c>
      <c r="U481" s="14">
        <f>IF(S481="","",T481+S481)</f>
        <v/>
      </c>
      <c r="V481" s="15">
        <f>IF(U481="","",VLOOKUP(U481,'税率及规则'!$A$2:$C$8,2,TRUE))</f>
        <v/>
      </c>
      <c r="W481" s="14">
        <f>IF(U481="","",VLOOKUP(U481,'税率及规则'!$A$2:$C$8,3,TRUE))</f>
        <v/>
      </c>
      <c r="X481" s="14">
        <f>IF(U481="","",MAX(0,U481*V481-W481))</f>
        <v/>
      </c>
      <c r="Y481" s="14">
        <f>IF(T481="","",MAX(0,T481*VLOOKUP(T481,'税率及规则'!$A$2:$C$8,2,TRUE)-VLOOKUP(T481,'税率及规则'!$A$2:$C$8,3,TRUE)))</f>
        <v/>
      </c>
      <c r="Z481" s="14">
        <f>IF(X481="","",MAX(0,X481-Y481))</f>
        <v/>
      </c>
      <c r="AA481" s="16">
        <f>IF(G481="","",G481)</f>
        <v/>
      </c>
      <c r="AB481" s="16">
        <f>IF(AA481="","",EDATE(AA481,36))</f>
        <v/>
      </c>
      <c r="AC481" s="6">
        <f>IF(A481="","",IF(COUNTIF($A$2:$A$501,A481)&gt;1,"异常：事件编号重复",IF(OR(C481="",D481="",E481="",F481="",G481="",I481="",J481=""),"异常：必填项缺失",IF(OR(I481&lt;=0,J481&lt;0),"异常：数量或价格无效",IF(AND(F481="限制性股票",OR(M481&lt;=0,N481&lt;0,I481&gt;M481)),"异常：个人获授或出资数据无效",IF(AND(F481="股票期权",K481&lt;&gt;IF(G481&lt;DATE(2025,1,10),14.56,IF(G481&lt;DATE(2025,4,29),14.32,IF(G481&lt;DATE(2025,9,26),14.18,14.04)))),"异常：行权价格区间不符",IF(Q481&lt;&gt;"已备案","提示：未确认备案","正常")))))))</f>
        <v/>
      </c>
      <c r="AD481" s="11" t="n"/>
    </row>
    <row r="482">
      <c r="A482" s="11" t="n"/>
      <c r="B482" s="6">
        <f>IF(A482="","",A482&amp;"-TAX")</f>
        <v/>
      </c>
      <c r="C482" s="11" t="n"/>
      <c r="D482" s="11" t="n"/>
      <c r="E482" s="11" t="n"/>
      <c r="F482" s="11" t="n"/>
      <c r="G482" s="12" t="n"/>
      <c r="H482" s="6">
        <f>IF(G482="","",YEAR(G482))</f>
        <v/>
      </c>
      <c r="I482" s="11" t="n"/>
      <c r="J482" s="13" t="n"/>
      <c r="K482" s="14">
        <f>IF(F482="股票期权",IF(G482="","",IF(G482&lt;DATE(2025,1,10),14.56,IF(G482&lt;DATE(2025,4,29),14.32,IF(G482&lt;DATE(2025,9,26),14.18,14.04)))),IF(F482="限制性股票",8.68,""))</f>
        <v/>
      </c>
      <c r="L482" s="14">
        <f>IF(F482="限制性股票",13.06,"")</f>
        <v/>
      </c>
      <c r="M482" s="11" t="n"/>
      <c r="N482" s="13" t="n"/>
      <c r="O482" s="13" t="n"/>
      <c r="P482" s="12" t="n"/>
      <c r="Q482" s="11" t="n"/>
      <c r="R482" s="12" t="n"/>
      <c r="S482" s="14">
        <f>IF(OR(A482="",C482="",F482="",G482="",I482="",J482=""),"",IF(F482="股票期权",MAX(0,(J482-K482)*I482),IF(F482="限制性股票",IF(OR(L482="",M482="",M482&lt;=0,N482=""),"",MAX(0,((L482+J482)/2)*I482-N482*I482/M482)),MAX(0,O482))))</f>
        <v/>
      </c>
      <c r="T482" s="14">
        <f>IF(S482="","",SUMIFS($S$2:$S$501,$C$2:$C$501,C482,$H$2:$H$501,H482,$G$2:$G$501,"&lt;"&amp;G482)+SUMIFS($S$2:$S$501,$C$2:$C$501,C482,$H$2:$H$501,H482,$G$2:$G$501,G482,$A$2:$A$501,"&lt;"&amp;A482))</f>
        <v/>
      </c>
      <c r="U482" s="14">
        <f>IF(S482="","",T482+S482)</f>
        <v/>
      </c>
      <c r="V482" s="15">
        <f>IF(U482="","",VLOOKUP(U482,'税率及规则'!$A$2:$C$8,2,TRUE))</f>
        <v/>
      </c>
      <c r="W482" s="14">
        <f>IF(U482="","",VLOOKUP(U482,'税率及规则'!$A$2:$C$8,3,TRUE))</f>
        <v/>
      </c>
      <c r="X482" s="14">
        <f>IF(U482="","",MAX(0,U482*V482-W482))</f>
        <v/>
      </c>
      <c r="Y482" s="14">
        <f>IF(T482="","",MAX(0,T482*VLOOKUP(T482,'税率及规则'!$A$2:$C$8,2,TRUE)-VLOOKUP(T482,'税率及规则'!$A$2:$C$8,3,TRUE)))</f>
        <v/>
      </c>
      <c r="Z482" s="14">
        <f>IF(X482="","",MAX(0,X482-Y482))</f>
        <v/>
      </c>
      <c r="AA482" s="16">
        <f>IF(G482="","",G482)</f>
        <v/>
      </c>
      <c r="AB482" s="16">
        <f>IF(AA482="","",EDATE(AA482,36))</f>
        <v/>
      </c>
      <c r="AC482" s="6">
        <f>IF(A482="","",IF(COUNTIF($A$2:$A$501,A482)&gt;1,"异常：事件编号重复",IF(OR(C482="",D482="",E482="",F482="",G482="",I482="",J482=""),"异常：必填项缺失",IF(OR(I482&lt;=0,J482&lt;0),"异常：数量或价格无效",IF(AND(F482="限制性股票",OR(M482&lt;=0,N482&lt;0,I482&gt;M482)),"异常：个人获授或出资数据无效",IF(AND(F482="股票期权",K482&lt;&gt;IF(G482&lt;DATE(2025,1,10),14.56,IF(G482&lt;DATE(2025,4,29),14.32,IF(G482&lt;DATE(2025,9,26),14.18,14.04)))),"异常：行权价格区间不符",IF(Q482&lt;&gt;"已备案","提示：未确认备案","正常")))))))</f>
        <v/>
      </c>
      <c r="AD482" s="11" t="n"/>
    </row>
    <row r="483">
      <c r="A483" s="11" t="n"/>
      <c r="B483" s="6">
        <f>IF(A483="","",A483&amp;"-TAX")</f>
        <v/>
      </c>
      <c r="C483" s="11" t="n"/>
      <c r="D483" s="11" t="n"/>
      <c r="E483" s="11" t="n"/>
      <c r="F483" s="11" t="n"/>
      <c r="G483" s="12" t="n"/>
      <c r="H483" s="6">
        <f>IF(G483="","",YEAR(G483))</f>
        <v/>
      </c>
      <c r="I483" s="11" t="n"/>
      <c r="J483" s="13" t="n"/>
      <c r="K483" s="14">
        <f>IF(F483="股票期权",IF(G483="","",IF(G483&lt;DATE(2025,1,10),14.56,IF(G483&lt;DATE(2025,4,29),14.32,IF(G483&lt;DATE(2025,9,26),14.18,14.04)))),IF(F483="限制性股票",8.68,""))</f>
        <v/>
      </c>
      <c r="L483" s="14">
        <f>IF(F483="限制性股票",13.06,"")</f>
        <v/>
      </c>
      <c r="M483" s="11" t="n"/>
      <c r="N483" s="13" t="n"/>
      <c r="O483" s="13" t="n"/>
      <c r="P483" s="12" t="n"/>
      <c r="Q483" s="11" t="n"/>
      <c r="R483" s="12" t="n"/>
      <c r="S483" s="14">
        <f>IF(OR(A483="",C483="",F483="",G483="",I483="",J483=""),"",IF(F483="股票期权",MAX(0,(J483-K483)*I483),IF(F483="限制性股票",IF(OR(L483="",M483="",M483&lt;=0,N483=""),"",MAX(0,((L483+J483)/2)*I483-N483*I483/M483)),MAX(0,O483))))</f>
        <v/>
      </c>
      <c r="T483" s="14">
        <f>IF(S483="","",SUMIFS($S$2:$S$501,$C$2:$C$501,C483,$H$2:$H$501,H483,$G$2:$G$501,"&lt;"&amp;G483)+SUMIFS($S$2:$S$501,$C$2:$C$501,C483,$H$2:$H$501,H483,$G$2:$G$501,G483,$A$2:$A$501,"&lt;"&amp;A483))</f>
        <v/>
      </c>
      <c r="U483" s="14">
        <f>IF(S483="","",T483+S483)</f>
        <v/>
      </c>
      <c r="V483" s="15">
        <f>IF(U483="","",VLOOKUP(U483,'税率及规则'!$A$2:$C$8,2,TRUE))</f>
        <v/>
      </c>
      <c r="W483" s="14">
        <f>IF(U483="","",VLOOKUP(U483,'税率及规则'!$A$2:$C$8,3,TRUE))</f>
        <v/>
      </c>
      <c r="X483" s="14">
        <f>IF(U483="","",MAX(0,U483*V483-W483))</f>
        <v/>
      </c>
      <c r="Y483" s="14">
        <f>IF(T483="","",MAX(0,T483*VLOOKUP(T483,'税率及规则'!$A$2:$C$8,2,TRUE)-VLOOKUP(T483,'税率及规则'!$A$2:$C$8,3,TRUE)))</f>
        <v/>
      </c>
      <c r="Z483" s="14">
        <f>IF(X483="","",MAX(0,X483-Y483))</f>
        <v/>
      </c>
      <c r="AA483" s="16">
        <f>IF(G483="","",G483)</f>
        <v/>
      </c>
      <c r="AB483" s="16">
        <f>IF(AA483="","",EDATE(AA483,36))</f>
        <v/>
      </c>
      <c r="AC483" s="6">
        <f>IF(A483="","",IF(COUNTIF($A$2:$A$501,A483)&gt;1,"异常：事件编号重复",IF(OR(C483="",D483="",E483="",F483="",G483="",I483="",J483=""),"异常：必填项缺失",IF(OR(I483&lt;=0,J483&lt;0),"异常：数量或价格无效",IF(AND(F483="限制性股票",OR(M483&lt;=0,N483&lt;0,I483&gt;M483)),"异常：个人获授或出资数据无效",IF(AND(F483="股票期权",K483&lt;&gt;IF(G483&lt;DATE(2025,1,10),14.56,IF(G483&lt;DATE(2025,4,29),14.32,IF(G483&lt;DATE(2025,9,26),14.18,14.04)))),"异常：行权价格区间不符",IF(Q483&lt;&gt;"已备案","提示：未确认备案","正常")))))))</f>
        <v/>
      </c>
      <c r="AD483" s="11" t="n"/>
    </row>
    <row r="484">
      <c r="A484" s="11" t="n"/>
      <c r="B484" s="6">
        <f>IF(A484="","",A484&amp;"-TAX")</f>
        <v/>
      </c>
      <c r="C484" s="11" t="n"/>
      <c r="D484" s="11" t="n"/>
      <c r="E484" s="11" t="n"/>
      <c r="F484" s="11" t="n"/>
      <c r="G484" s="12" t="n"/>
      <c r="H484" s="6">
        <f>IF(G484="","",YEAR(G484))</f>
        <v/>
      </c>
      <c r="I484" s="11" t="n"/>
      <c r="J484" s="13" t="n"/>
      <c r="K484" s="14">
        <f>IF(F484="股票期权",IF(G484="","",IF(G484&lt;DATE(2025,1,10),14.56,IF(G484&lt;DATE(2025,4,29),14.32,IF(G484&lt;DATE(2025,9,26),14.18,14.04)))),IF(F484="限制性股票",8.68,""))</f>
        <v/>
      </c>
      <c r="L484" s="14">
        <f>IF(F484="限制性股票",13.06,"")</f>
        <v/>
      </c>
      <c r="M484" s="11" t="n"/>
      <c r="N484" s="13" t="n"/>
      <c r="O484" s="13" t="n"/>
      <c r="P484" s="12" t="n"/>
      <c r="Q484" s="11" t="n"/>
      <c r="R484" s="12" t="n"/>
      <c r="S484" s="14">
        <f>IF(OR(A484="",C484="",F484="",G484="",I484="",J484=""),"",IF(F484="股票期权",MAX(0,(J484-K484)*I484),IF(F484="限制性股票",IF(OR(L484="",M484="",M484&lt;=0,N484=""),"",MAX(0,((L484+J484)/2)*I484-N484*I484/M484)),MAX(0,O484))))</f>
        <v/>
      </c>
      <c r="T484" s="14">
        <f>IF(S484="","",SUMIFS($S$2:$S$501,$C$2:$C$501,C484,$H$2:$H$501,H484,$G$2:$G$501,"&lt;"&amp;G484)+SUMIFS($S$2:$S$501,$C$2:$C$501,C484,$H$2:$H$501,H484,$G$2:$G$501,G484,$A$2:$A$501,"&lt;"&amp;A484))</f>
        <v/>
      </c>
      <c r="U484" s="14">
        <f>IF(S484="","",T484+S484)</f>
        <v/>
      </c>
      <c r="V484" s="15">
        <f>IF(U484="","",VLOOKUP(U484,'税率及规则'!$A$2:$C$8,2,TRUE))</f>
        <v/>
      </c>
      <c r="W484" s="14">
        <f>IF(U484="","",VLOOKUP(U484,'税率及规则'!$A$2:$C$8,3,TRUE))</f>
        <v/>
      </c>
      <c r="X484" s="14">
        <f>IF(U484="","",MAX(0,U484*V484-W484))</f>
        <v/>
      </c>
      <c r="Y484" s="14">
        <f>IF(T484="","",MAX(0,T484*VLOOKUP(T484,'税率及规则'!$A$2:$C$8,2,TRUE)-VLOOKUP(T484,'税率及规则'!$A$2:$C$8,3,TRUE)))</f>
        <v/>
      </c>
      <c r="Z484" s="14">
        <f>IF(X484="","",MAX(0,X484-Y484))</f>
        <v/>
      </c>
      <c r="AA484" s="16">
        <f>IF(G484="","",G484)</f>
        <v/>
      </c>
      <c r="AB484" s="16">
        <f>IF(AA484="","",EDATE(AA484,36))</f>
        <v/>
      </c>
      <c r="AC484" s="6">
        <f>IF(A484="","",IF(COUNTIF($A$2:$A$501,A484)&gt;1,"异常：事件编号重复",IF(OR(C484="",D484="",E484="",F484="",G484="",I484="",J484=""),"异常：必填项缺失",IF(OR(I484&lt;=0,J484&lt;0),"异常：数量或价格无效",IF(AND(F484="限制性股票",OR(M484&lt;=0,N484&lt;0,I484&gt;M484)),"异常：个人获授或出资数据无效",IF(AND(F484="股票期权",K484&lt;&gt;IF(G484&lt;DATE(2025,1,10),14.56,IF(G484&lt;DATE(2025,4,29),14.32,IF(G484&lt;DATE(2025,9,26),14.18,14.04)))),"异常：行权价格区间不符",IF(Q484&lt;&gt;"已备案","提示：未确认备案","正常")))))))</f>
        <v/>
      </c>
      <c r="AD484" s="11" t="n"/>
    </row>
    <row r="485">
      <c r="A485" s="11" t="n"/>
      <c r="B485" s="6">
        <f>IF(A485="","",A485&amp;"-TAX")</f>
        <v/>
      </c>
      <c r="C485" s="11" t="n"/>
      <c r="D485" s="11" t="n"/>
      <c r="E485" s="11" t="n"/>
      <c r="F485" s="11" t="n"/>
      <c r="G485" s="12" t="n"/>
      <c r="H485" s="6">
        <f>IF(G485="","",YEAR(G485))</f>
        <v/>
      </c>
      <c r="I485" s="11" t="n"/>
      <c r="J485" s="13" t="n"/>
      <c r="K485" s="14">
        <f>IF(F485="股票期权",IF(G485="","",IF(G485&lt;DATE(2025,1,10),14.56,IF(G485&lt;DATE(2025,4,29),14.32,IF(G485&lt;DATE(2025,9,26),14.18,14.04)))),IF(F485="限制性股票",8.68,""))</f>
        <v/>
      </c>
      <c r="L485" s="14">
        <f>IF(F485="限制性股票",13.06,"")</f>
        <v/>
      </c>
      <c r="M485" s="11" t="n"/>
      <c r="N485" s="13" t="n"/>
      <c r="O485" s="13" t="n"/>
      <c r="P485" s="12" t="n"/>
      <c r="Q485" s="11" t="n"/>
      <c r="R485" s="12" t="n"/>
      <c r="S485" s="14">
        <f>IF(OR(A485="",C485="",F485="",G485="",I485="",J485=""),"",IF(F485="股票期权",MAX(0,(J485-K485)*I485),IF(F485="限制性股票",IF(OR(L485="",M485="",M485&lt;=0,N485=""),"",MAX(0,((L485+J485)/2)*I485-N485*I485/M485)),MAX(0,O485))))</f>
        <v/>
      </c>
      <c r="T485" s="14">
        <f>IF(S485="","",SUMIFS($S$2:$S$501,$C$2:$C$501,C485,$H$2:$H$501,H485,$G$2:$G$501,"&lt;"&amp;G485)+SUMIFS($S$2:$S$501,$C$2:$C$501,C485,$H$2:$H$501,H485,$G$2:$G$501,G485,$A$2:$A$501,"&lt;"&amp;A485))</f>
        <v/>
      </c>
      <c r="U485" s="14">
        <f>IF(S485="","",T485+S485)</f>
        <v/>
      </c>
      <c r="V485" s="15">
        <f>IF(U485="","",VLOOKUP(U485,'税率及规则'!$A$2:$C$8,2,TRUE))</f>
        <v/>
      </c>
      <c r="W485" s="14">
        <f>IF(U485="","",VLOOKUP(U485,'税率及规则'!$A$2:$C$8,3,TRUE))</f>
        <v/>
      </c>
      <c r="X485" s="14">
        <f>IF(U485="","",MAX(0,U485*V485-W485))</f>
        <v/>
      </c>
      <c r="Y485" s="14">
        <f>IF(T485="","",MAX(0,T485*VLOOKUP(T485,'税率及规则'!$A$2:$C$8,2,TRUE)-VLOOKUP(T485,'税率及规则'!$A$2:$C$8,3,TRUE)))</f>
        <v/>
      </c>
      <c r="Z485" s="14">
        <f>IF(X485="","",MAX(0,X485-Y485))</f>
        <v/>
      </c>
      <c r="AA485" s="16">
        <f>IF(G485="","",G485)</f>
        <v/>
      </c>
      <c r="AB485" s="16">
        <f>IF(AA485="","",EDATE(AA485,36))</f>
        <v/>
      </c>
      <c r="AC485" s="6">
        <f>IF(A485="","",IF(COUNTIF($A$2:$A$501,A485)&gt;1,"异常：事件编号重复",IF(OR(C485="",D485="",E485="",F485="",G485="",I485="",J485=""),"异常：必填项缺失",IF(OR(I485&lt;=0,J485&lt;0),"异常：数量或价格无效",IF(AND(F485="限制性股票",OR(M485&lt;=0,N485&lt;0,I485&gt;M485)),"异常：个人获授或出资数据无效",IF(AND(F485="股票期权",K485&lt;&gt;IF(G485&lt;DATE(2025,1,10),14.56,IF(G485&lt;DATE(2025,4,29),14.32,IF(G485&lt;DATE(2025,9,26),14.18,14.04)))),"异常：行权价格区间不符",IF(Q485&lt;&gt;"已备案","提示：未确认备案","正常")))))))</f>
        <v/>
      </c>
      <c r="AD485" s="11" t="n"/>
    </row>
    <row r="486">
      <c r="A486" s="11" t="n"/>
      <c r="B486" s="6">
        <f>IF(A486="","",A486&amp;"-TAX")</f>
        <v/>
      </c>
      <c r="C486" s="11" t="n"/>
      <c r="D486" s="11" t="n"/>
      <c r="E486" s="11" t="n"/>
      <c r="F486" s="11" t="n"/>
      <c r="G486" s="12" t="n"/>
      <c r="H486" s="6">
        <f>IF(G486="","",YEAR(G486))</f>
        <v/>
      </c>
      <c r="I486" s="11" t="n"/>
      <c r="J486" s="13" t="n"/>
      <c r="K486" s="14">
        <f>IF(F486="股票期权",IF(G486="","",IF(G486&lt;DATE(2025,1,10),14.56,IF(G486&lt;DATE(2025,4,29),14.32,IF(G486&lt;DATE(2025,9,26),14.18,14.04)))),IF(F486="限制性股票",8.68,""))</f>
        <v/>
      </c>
      <c r="L486" s="14">
        <f>IF(F486="限制性股票",13.06,"")</f>
        <v/>
      </c>
      <c r="M486" s="11" t="n"/>
      <c r="N486" s="13" t="n"/>
      <c r="O486" s="13" t="n"/>
      <c r="P486" s="12" t="n"/>
      <c r="Q486" s="11" t="n"/>
      <c r="R486" s="12" t="n"/>
      <c r="S486" s="14">
        <f>IF(OR(A486="",C486="",F486="",G486="",I486="",J486=""),"",IF(F486="股票期权",MAX(0,(J486-K486)*I486),IF(F486="限制性股票",IF(OR(L486="",M486="",M486&lt;=0,N486=""),"",MAX(0,((L486+J486)/2)*I486-N486*I486/M486)),MAX(0,O486))))</f>
        <v/>
      </c>
      <c r="T486" s="14">
        <f>IF(S486="","",SUMIFS($S$2:$S$501,$C$2:$C$501,C486,$H$2:$H$501,H486,$G$2:$G$501,"&lt;"&amp;G486)+SUMIFS($S$2:$S$501,$C$2:$C$501,C486,$H$2:$H$501,H486,$G$2:$G$501,G486,$A$2:$A$501,"&lt;"&amp;A486))</f>
        <v/>
      </c>
      <c r="U486" s="14">
        <f>IF(S486="","",T486+S486)</f>
        <v/>
      </c>
      <c r="V486" s="15">
        <f>IF(U486="","",VLOOKUP(U486,'税率及规则'!$A$2:$C$8,2,TRUE))</f>
        <v/>
      </c>
      <c r="W486" s="14">
        <f>IF(U486="","",VLOOKUP(U486,'税率及规则'!$A$2:$C$8,3,TRUE))</f>
        <v/>
      </c>
      <c r="X486" s="14">
        <f>IF(U486="","",MAX(0,U486*V486-W486))</f>
        <v/>
      </c>
      <c r="Y486" s="14">
        <f>IF(T486="","",MAX(0,T486*VLOOKUP(T486,'税率及规则'!$A$2:$C$8,2,TRUE)-VLOOKUP(T486,'税率及规则'!$A$2:$C$8,3,TRUE)))</f>
        <v/>
      </c>
      <c r="Z486" s="14">
        <f>IF(X486="","",MAX(0,X486-Y486))</f>
        <v/>
      </c>
      <c r="AA486" s="16">
        <f>IF(G486="","",G486)</f>
        <v/>
      </c>
      <c r="AB486" s="16">
        <f>IF(AA486="","",EDATE(AA486,36))</f>
        <v/>
      </c>
      <c r="AC486" s="6">
        <f>IF(A486="","",IF(COUNTIF($A$2:$A$501,A486)&gt;1,"异常：事件编号重复",IF(OR(C486="",D486="",E486="",F486="",G486="",I486="",J486=""),"异常：必填项缺失",IF(OR(I486&lt;=0,J486&lt;0),"异常：数量或价格无效",IF(AND(F486="限制性股票",OR(M486&lt;=0,N486&lt;0,I486&gt;M486)),"异常：个人获授或出资数据无效",IF(AND(F486="股票期权",K486&lt;&gt;IF(G486&lt;DATE(2025,1,10),14.56,IF(G486&lt;DATE(2025,4,29),14.32,IF(G486&lt;DATE(2025,9,26),14.18,14.04)))),"异常：行权价格区间不符",IF(Q486&lt;&gt;"已备案","提示：未确认备案","正常")))))))</f>
        <v/>
      </c>
      <c r="AD486" s="11" t="n"/>
    </row>
    <row r="487">
      <c r="A487" s="11" t="n"/>
      <c r="B487" s="6">
        <f>IF(A487="","",A487&amp;"-TAX")</f>
        <v/>
      </c>
      <c r="C487" s="11" t="n"/>
      <c r="D487" s="11" t="n"/>
      <c r="E487" s="11" t="n"/>
      <c r="F487" s="11" t="n"/>
      <c r="G487" s="12" t="n"/>
      <c r="H487" s="6">
        <f>IF(G487="","",YEAR(G487))</f>
        <v/>
      </c>
      <c r="I487" s="11" t="n"/>
      <c r="J487" s="13" t="n"/>
      <c r="K487" s="14">
        <f>IF(F487="股票期权",IF(G487="","",IF(G487&lt;DATE(2025,1,10),14.56,IF(G487&lt;DATE(2025,4,29),14.32,IF(G487&lt;DATE(2025,9,26),14.18,14.04)))),IF(F487="限制性股票",8.68,""))</f>
        <v/>
      </c>
      <c r="L487" s="14">
        <f>IF(F487="限制性股票",13.06,"")</f>
        <v/>
      </c>
      <c r="M487" s="11" t="n"/>
      <c r="N487" s="13" t="n"/>
      <c r="O487" s="13" t="n"/>
      <c r="P487" s="12" t="n"/>
      <c r="Q487" s="11" t="n"/>
      <c r="R487" s="12" t="n"/>
      <c r="S487" s="14">
        <f>IF(OR(A487="",C487="",F487="",G487="",I487="",J487=""),"",IF(F487="股票期权",MAX(0,(J487-K487)*I487),IF(F487="限制性股票",IF(OR(L487="",M487="",M487&lt;=0,N487=""),"",MAX(0,((L487+J487)/2)*I487-N487*I487/M487)),MAX(0,O487))))</f>
        <v/>
      </c>
      <c r="T487" s="14">
        <f>IF(S487="","",SUMIFS($S$2:$S$501,$C$2:$C$501,C487,$H$2:$H$501,H487,$G$2:$G$501,"&lt;"&amp;G487)+SUMIFS($S$2:$S$501,$C$2:$C$501,C487,$H$2:$H$501,H487,$G$2:$G$501,G487,$A$2:$A$501,"&lt;"&amp;A487))</f>
        <v/>
      </c>
      <c r="U487" s="14">
        <f>IF(S487="","",T487+S487)</f>
        <v/>
      </c>
      <c r="V487" s="15">
        <f>IF(U487="","",VLOOKUP(U487,'税率及规则'!$A$2:$C$8,2,TRUE))</f>
        <v/>
      </c>
      <c r="W487" s="14">
        <f>IF(U487="","",VLOOKUP(U487,'税率及规则'!$A$2:$C$8,3,TRUE))</f>
        <v/>
      </c>
      <c r="X487" s="14">
        <f>IF(U487="","",MAX(0,U487*V487-W487))</f>
        <v/>
      </c>
      <c r="Y487" s="14">
        <f>IF(T487="","",MAX(0,T487*VLOOKUP(T487,'税率及规则'!$A$2:$C$8,2,TRUE)-VLOOKUP(T487,'税率及规则'!$A$2:$C$8,3,TRUE)))</f>
        <v/>
      </c>
      <c r="Z487" s="14">
        <f>IF(X487="","",MAX(0,X487-Y487))</f>
        <v/>
      </c>
      <c r="AA487" s="16">
        <f>IF(G487="","",G487)</f>
        <v/>
      </c>
      <c r="AB487" s="16">
        <f>IF(AA487="","",EDATE(AA487,36))</f>
        <v/>
      </c>
      <c r="AC487" s="6">
        <f>IF(A487="","",IF(COUNTIF($A$2:$A$501,A487)&gt;1,"异常：事件编号重复",IF(OR(C487="",D487="",E487="",F487="",G487="",I487="",J487=""),"异常：必填项缺失",IF(OR(I487&lt;=0,J487&lt;0),"异常：数量或价格无效",IF(AND(F487="限制性股票",OR(M487&lt;=0,N487&lt;0,I487&gt;M487)),"异常：个人获授或出资数据无效",IF(AND(F487="股票期权",K487&lt;&gt;IF(G487&lt;DATE(2025,1,10),14.56,IF(G487&lt;DATE(2025,4,29),14.32,IF(G487&lt;DATE(2025,9,26),14.18,14.04)))),"异常：行权价格区间不符",IF(Q487&lt;&gt;"已备案","提示：未确认备案","正常")))))))</f>
        <v/>
      </c>
      <c r="AD487" s="11" t="n"/>
    </row>
    <row r="488">
      <c r="A488" s="11" t="n"/>
      <c r="B488" s="6">
        <f>IF(A488="","",A488&amp;"-TAX")</f>
        <v/>
      </c>
      <c r="C488" s="11" t="n"/>
      <c r="D488" s="11" t="n"/>
      <c r="E488" s="11" t="n"/>
      <c r="F488" s="11" t="n"/>
      <c r="G488" s="12" t="n"/>
      <c r="H488" s="6">
        <f>IF(G488="","",YEAR(G488))</f>
        <v/>
      </c>
      <c r="I488" s="11" t="n"/>
      <c r="J488" s="13" t="n"/>
      <c r="K488" s="14">
        <f>IF(F488="股票期权",IF(G488="","",IF(G488&lt;DATE(2025,1,10),14.56,IF(G488&lt;DATE(2025,4,29),14.32,IF(G488&lt;DATE(2025,9,26),14.18,14.04)))),IF(F488="限制性股票",8.68,""))</f>
        <v/>
      </c>
      <c r="L488" s="14">
        <f>IF(F488="限制性股票",13.06,"")</f>
        <v/>
      </c>
      <c r="M488" s="11" t="n"/>
      <c r="N488" s="13" t="n"/>
      <c r="O488" s="13" t="n"/>
      <c r="P488" s="12" t="n"/>
      <c r="Q488" s="11" t="n"/>
      <c r="R488" s="12" t="n"/>
      <c r="S488" s="14">
        <f>IF(OR(A488="",C488="",F488="",G488="",I488="",J488=""),"",IF(F488="股票期权",MAX(0,(J488-K488)*I488),IF(F488="限制性股票",IF(OR(L488="",M488="",M488&lt;=0,N488=""),"",MAX(0,((L488+J488)/2)*I488-N488*I488/M488)),MAX(0,O488))))</f>
        <v/>
      </c>
      <c r="T488" s="14">
        <f>IF(S488="","",SUMIFS($S$2:$S$501,$C$2:$C$501,C488,$H$2:$H$501,H488,$G$2:$G$501,"&lt;"&amp;G488)+SUMIFS($S$2:$S$501,$C$2:$C$501,C488,$H$2:$H$501,H488,$G$2:$G$501,G488,$A$2:$A$501,"&lt;"&amp;A488))</f>
        <v/>
      </c>
      <c r="U488" s="14">
        <f>IF(S488="","",T488+S488)</f>
        <v/>
      </c>
      <c r="V488" s="15">
        <f>IF(U488="","",VLOOKUP(U488,'税率及规则'!$A$2:$C$8,2,TRUE))</f>
        <v/>
      </c>
      <c r="W488" s="14">
        <f>IF(U488="","",VLOOKUP(U488,'税率及规则'!$A$2:$C$8,3,TRUE))</f>
        <v/>
      </c>
      <c r="X488" s="14">
        <f>IF(U488="","",MAX(0,U488*V488-W488))</f>
        <v/>
      </c>
      <c r="Y488" s="14">
        <f>IF(T488="","",MAX(0,T488*VLOOKUP(T488,'税率及规则'!$A$2:$C$8,2,TRUE)-VLOOKUP(T488,'税率及规则'!$A$2:$C$8,3,TRUE)))</f>
        <v/>
      </c>
      <c r="Z488" s="14">
        <f>IF(X488="","",MAX(0,X488-Y488))</f>
        <v/>
      </c>
      <c r="AA488" s="16">
        <f>IF(G488="","",G488)</f>
        <v/>
      </c>
      <c r="AB488" s="16">
        <f>IF(AA488="","",EDATE(AA488,36))</f>
        <v/>
      </c>
      <c r="AC488" s="6">
        <f>IF(A488="","",IF(COUNTIF($A$2:$A$501,A488)&gt;1,"异常：事件编号重复",IF(OR(C488="",D488="",E488="",F488="",G488="",I488="",J488=""),"异常：必填项缺失",IF(OR(I488&lt;=0,J488&lt;0),"异常：数量或价格无效",IF(AND(F488="限制性股票",OR(M488&lt;=0,N488&lt;0,I488&gt;M488)),"异常：个人获授或出资数据无效",IF(AND(F488="股票期权",K488&lt;&gt;IF(G488&lt;DATE(2025,1,10),14.56,IF(G488&lt;DATE(2025,4,29),14.32,IF(G488&lt;DATE(2025,9,26),14.18,14.04)))),"异常：行权价格区间不符",IF(Q488&lt;&gt;"已备案","提示：未确认备案","正常")))))))</f>
        <v/>
      </c>
      <c r="AD488" s="11" t="n"/>
    </row>
    <row r="489">
      <c r="A489" s="11" t="n"/>
      <c r="B489" s="6">
        <f>IF(A489="","",A489&amp;"-TAX")</f>
        <v/>
      </c>
      <c r="C489" s="11" t="n"/>
      <c r="D489" s="11" t="n"/>
      <c r="E489" s="11" t="n"/>
      <c r="F489" s="11" t="n"/>
      <c r="G489" s="12" t="n"/>
      <c r="H489" s="6">
        <f>IF(G489="","",YEAR(G489))</f>
        <v/>
      </c>
      <c r="I489" s="11" t="n"/>
      <c r="J489" s="13" t="n"/>
      <c r="K489" s="14">
        <f>IF(F489="股票期权",IF(G489="","",IF(G489&lt;DATE(2025,1,10),14.56,IF(G489&lt;DATE(2025,4,29),14.32,IF(G489&lt;DATE(2025,9,26),14.18,14.04)))),IF(F489="限制性股票",8.68,""))</f>
        <v/>
      </c>
      <c r="L489" s="14">
        <f>IF(F489="限制性股票",13.06,"")</f>
        <v/>
      </c>
      <c r="M489" s="11" t="n"/>
      <c r="N489" s="13" t="n"/>
      <c r="O489" s="13" t="n"/>
      <c r="P489" s="12" t="n"/>
      <c r="Q489" s="11" t="n"/>
      <c r="R489" s="12" t="n"/>
      <c r="S489" s="14">
        <f>IF(OR(A489="",C489="",F489="",G489="",I489="",J489=""),"",IF(F489="股票期权",MAX(0,(J489-K489)*I489),IF(F489="限制性股票",IF(OR(L489="",M489="",M489&lt;=0,N489=""),"",MAX(0,((L489+J489)/2)*I489-N489*I489/M489)),MAX(0,O489))))</f>
        <v/>
      </c>
      <c r="T489" s="14">
        <f>IF(S489="","",SUMIFS($S$2:$S$501,$C$2:$C$501,C489,$H$2:$H$501,H489,$G$2:$G$501,"&lt;"&amp;G489)+SUMIFS($S$2:$S$501,$C$2:$C$501,C489,$H$2:$H$501,H489,$G$2:$G$501,G489,$A$2:$A$501,"&lt;"&amp;A489))</f>
        <v/>
      </c>
      <c r="U489" s="14">
        <f>IF(S489="","",T489+S489)</f>
        <v/>
      </c>
      <c r="V489" s="15">
        <f>IF(U489="","",VLOOKUP(U489,'税率及规则'!$A$2:$C$8,2,TRUE))</f>
        <v/>
      </c>
      <c r="W489" s="14">
        <f>IF(U489="","",VLOOKUP(U489,'税率及规则'!$A$2:$C$8,3,TRUE))</f>
        <v/>
      </c>
      <c r="X489" s="14">
        <f>IF(U489="","",MAX(0,U489*V489-W489))</f>
        <v/>
      </c>
      <c r="Y489" s="14">
        <f>IF(T489="","",MAX(0,T489*VLOOKUP(T489,'税率及规则'!$A$2:$C$8,2,TRUE)-VLOOKUP(T489,'税率及规则'!$A$2:$C$8,3,TRUE)))</f>
        <v/>
      </c>
      <c r="Z489" s="14">
        <f>IF(X489="","",MAX(0,X489-Y489))</f>
        <v/>
      </c>
      <c r="AA489" s="16">
        <f>IF(G489="","",G489)</f>
        <v/>
      </c>
      <c r="AB489" s="16">
        <f>IF(AA489="","",EDATE(AA489,36))</f>
        <v/>
      </c>
      <c r="AC489" s="6">
        <f>IF(A489="","",IF(COUNTIF($A$2:$A$501,A489)&gt;1,"异常：事件编号重复",IF(OR(C489="",D489="",E489="",F489="",G489="",I489="",J489=""),"异常：必填项缺失",IF(OR(I489&lt;=0,J489&lt;0),"异常：数量或价格无效",IF(AND(F489="限制性股票",OR(M489&lt;=0,N489&lt;0,I489&gt;M489)),"异常：个人获授或出资数据无效",IF(AND(F489="股票期权",K489&lt;&gt;IF(G489&lt;DATE(2025,1,10),14.56,IF(G489&lt;DATE(2025,4,29),14.32,IF(G489&lt;DATE(2025,9,26),14.18,14.04)))),"异常：行权价格区间不符",IF(Q489&lt;&gt;"已备案","提示：未确认备案","正常")))))))</f>
        <v/>
      </c>
      <c r="AD489" s="11" t="n"/>
    </row>
    <row r="490">
      <c r="A490" s="11" t="n"/>
      <c r="B490" s="6">
        <f>IF(A490="","",A490&amp;"-TAX")</f>
        <v/>
      </c>
      <c r="C490" s="11" t="n"/>
      <c r="D490" s="11" t="n"/>
      <c r="E490" s="11" t="n"/>
      <c r="F490" s="11" t="n"/>
      <c r="G490" s="12" t="n"/>
      <c r="H490" s="6">
        <f>IF(G490="","",YEAR(G490))</f>
        <v/>
      </c>
      <c r="I490" s="11" t="n"/>
      <c r="J490" s="13" t="n"/>
      <c r="K490" s="14">
        <f>IF(F490="股票期权",IF(G490="","",IF(G490&lt;DATE(2025,1,10),14.56,IF(G490&lt;DATE(2025,4,29),14.32,IF(G490&lt;DATE(2025,9,26),14.18,14.04)))),IF(F490="限制性股票",8.68,""))</f>
        <v/>
      </c>
      <c r="L490" s="14">
        <f>IF(F490="限制性股票",13.06,"")</f>
        <v/>
      </c>
      <c r="M490" s="11" t="n"/>
      <c r="N490" s="13" t="n"/>
      <c r="O490" s="13" t="n"/>
      <c r="P490" s="12" t="n"/>
      <c r="Q490" s="11" t="n"/>
      <c r="R490" s="12" t="n"/>
      <c r="S490" s="14">
        <f>IF(OR(A490="",C490="",F490="",G490="",I490="",J490=""),"",IF(F490="股票期权",MAX(0,(J490-K490)*I490),IF(F490="限制性股票",IF(OR(L490="",M490="",M490&lt;=0,N490=""),"",MAX(0,((L490+J490)/2)*I490-N490*I490/M490)),MAX(0,O490))))</f>
        <v/>
      </c>
      <c r="T490" s="14">
        <f>IF(S490="","",SUMIFS($S$2:$S$501,$C$2:$C$501,C490,$H$2:$H$501,H490,$G$2:$G$501,"&lt;"&amp;G490)+SUMIFS($S$2:$S$501,$C$2:$C$501,C490,$H$2:$H$501,H490,$G$2:$G$501,G490,$A$2:$A$501,"&lt;"&amp;A490))</f>
        <v/>
      </c>
      <c r="U490" s="14">
        <f>IF(S490="","",T490+S490)</f>
        <v/>
      </c>
      <c r="V490" s="15">
        <f>IF(U490="","",VLOOKUP(U490,'税率及规则'!$A$2:$C$8,2,TRUE))</f>
        <v/>
      </c>
      <c r="W490" s="14">
        <f>IF(U490="","",VLOOKUP(U490,'税率及规则'!$A$2:$C$8,3,TRUE))</f>
        <v/>
      </c>
      <c r="X490" s="14">
        <f>IF(U490="","",MAX(0,U490*V490-W490))</f>
        <v/>
      </c>
      <c r="Y490" s="14">
        <f>IF(T490="","",MAX(0,T490*VLOOKUP(T490,'税率及规则'!$A$2:$C$8,2,TRUE)-VLOOKUP(T490,'税率及规则'!$A$2:$C$8,3,TRUE)))</f>
        <v/>
      </c>
      <c r="Z490" s="14">
        <f>IF(X490="","",MAX(0,X490-Y490))</f>
        <v/>
      </c>
      <c r="AA490" s="16">
        <f>IF(G490="","",G490)</f>
        <v/>
      </c>
      <c r="AB490" s="16">
        <f>IF(AA490="","",EDATE(AA490,36))</f>
        <v/>
      </c>
      <c r="AC490" s="6">
        <f>IF(A490="","",IF(COUNTIF($A$2:$A$501,A490)&gt;1,"异常：事件编号重复",IF(OR(C490="",D490="",E490="",F490="",G490="",I490="",J490=""),"异常：必填项缺失",IF(OR(I490&lt;=0,J490&lt;0),"异常：数量或价格无效",IF(AND(F490="限制性股票",OR(M490&lt;=0,N490&lt;0,I490&gt;M490)),"异常：个人获授或出资数据无效",IF(AND(F490="股票期权",K490&lt;&gt;IF(G490&lt;DATE(2025,1,10),14.56,IF(G490&lt;DATE(2025,4,29),14.32,IF(G490&lt;DATE(2025,9,26),14.18,14.04)))),"异常：行权价格区间不符",IF(Q490&lt;&gt;"已备案","提示：未确认备案","正常")))))))</f>
        <v/>
      </c>
      <c r="AD490" s="11" t="n"/>
    </row>
    <row r="491">
      <c r="A491" s="11" t="n"/>
      <c r="B491" s="6">
        <f>IF(A491="","",A491&amp;"-TAX")</f>
        <v/>
      </c>
      <c r="C491" s="11" t="n"/>
      <c r="D491" s="11" t="n"/>
      <c r="E491" s="11" t="n"/>
      <c r="F491" s="11" t="n"/>
      <c r="G491" s="12" t="n"/>
      <c r="H491" s="6">
        <f>IF(G491="","",YEAR(G491))</f>
        <v/>
      </c>
      <c r="I491" s="11" t="n"/>
      <c r="J491" s="13" t="n"/>
      <c r="K491" s="14">
        <f>IF(F491="股票期权",IF(G491="","",IF(G491&lt;DATE(2025,1,10),14.56,IF(G491&lt;DATE(2025,4,29),14.32,IF(G491&lt;DATE(2025,9,26),14.18,14.04)))),IF(F491="限制性股票",8.68,""))</f>
        <v/>
      </c>
      <c r="L491" s="14">
        <f>IF(F491="限制性股票",13.06,"")</f>
        <v/>
      </c>
      <c r="M491" s="11" t="n"/>
      <c r="N491" s="13" t="n"/>
      <c r="O491" s="13" t="n"/>
      <c r="P491" s="12" t="n"/>
      <c r="Q491" s="11" t="n"/>
      <c r="R491" s="12" t="n"/>
      <c r="S491" s="14">
        <f>IF(OR(A491="",C491="",F491="",G491="",I491="",J491=""),"",IF(F491="股票期权",MAX(0,(J491-K491)*I491),IF(F491="限制性股票",IF(OR(L491="",M491="",M491&lt;=0,N491=""),"",MAX(0,((L491+J491)/2)*I491-N491*I491/M491)),MAX(0,O491))))</f>
        <v/>
      </c>
      <c r="T491" s="14">
        <f>IF(S491="","",SUMIFS($S$2:$S$501,$C$2:$C$501,C491,$H$2:$H$501,H491,$G$2:$G$501,"&lt;"&amp;G491)+SUMIFS($S$2:$S$501,$C$2:$C$501,C491,$H$2:$H$501,H491,$G$2:$G$501,G491,$A$2:$A$501,"&lt;"&amp;A491))</f>
        <v/>
      </c>
      <c r="U491" s="14">
        <f>IF(S491="","",T491+S491)</f>
        <v/>
      </c>
      <c r="V491" s="15">
        <f>IF(U491="","",VLOOKUP(U491,'税率及规则'!$A$2:$C$8,2,TRUE))</f>
        <v/>
      </c>
      <c r="W491" s="14">
        <f>IF(U491="","",VLOOKUP(U491,'税率及规则'!$A$2:$C$8,3,TRUE))</f>
        <v/>
      </c>
      <c r="X491" s="14">
        <f>IF(U491="","",MAX(0,U491*V491-W491))</f>
        <v/>
      </c>
      <c r="Y491" s="14">
        <f>IF(T491="","",MAX(0,T491*VLOOKUP(T491,'税率及规则'!$A$2:$C$8,2,TRUE)-VLOOKUP(T491,'税率及规则'!$A$2:$C$8,3,TRUE)))</f>
        <v/>
      </c>
      <c r="Z491" s="14">
        <f>IF(X491="","",MAX(0,X491-Y491))</f>
        <v/>
      </c>
      <c r="AA491" s="16">
        <f>IF(G491="","",G491)</f>
        <v/>
      </c>
      <c r="AB491" s="16">
        <f>IF(AA491="","",EDATE(AA491,36))</f>
        <v/>
      </c>
      <c r="AC491" s="6">
        <f>IF(A491="","",IF(COUNTIF($A$2:$A$501,A491)&gt;1,"异常：事件编号重复",IF(OR(C491="",D491="",E491="",F491="",G491="",I491="",J491=""),"异常：必填项缺失",IF(OR(I491&lt;=0,J491&lt;0),"异常：数量或价格无效",IF(AND(F491="限制性股票",OR(M491&lt;=0,N491&lt;0,I491&gt;M491)),"异常：个人获授或出资数据无效",IF(AND(F491="股票期权",K491&lt;&gt;IF(G491&lt;DATE(2025,1,10),14.56,IF(G491&lt;DATE(2025,4,29),14.32,IF(G491&lt;DATE(2025,9,26),14.18,14.04)))),"异常：行权价格区间不符",IF(Q491&lt;&gt;"已备案","提示：未确认备案","正常")))))))</f>
        <v/>
      </c>
      <c r="AD491" s="11" t="n"/>
    </row>
    <row r="492">
      <c r="A492" s="11" t="n"/>
      <c r="B492" s="6">
        <f>IF(A492="","",A492&amp;"-TAX")</f>
        <v/>
      </c>
      <c r="C492" s="11" t="n"/>
      <c r="D492" s="11" t="n"/>
      <c r="E492" s="11" t="n"/>
      <c r="F492" s="11" t="n"/>
      <c r="G492" s="12" t="n"/>
      <c r="H492" s="6">
        <f>IF(G492="","",YEAR(G492))</f>
        <v/>
      </c>
      <c r="I492" s="11" t="n"/>
      <c r="J492" s="13" t="n"/>
      <c r="K492" s="14">
        <f>IF(F492="股票期权",IF(G492="","",IF(G492&lt;DATE(2025,1,10),14.56,IF(G492&lt;DATE(2025,4,29),14.32,IF(G492&lt;DATE(2025,9,26),14.18,14.04)))),IF(F492="限制性股票",8.68,""))</f>
        <v/>
      </c>
      <c r="L492" s="14">
        <f>IF(F492="限制性股票",13.06,"")</f>
        <v/>
      </c>
      <c r="M492" s="11" t="n"/>
      <c r="N492" s="13" t="n"/>
      <c r="O492" s="13" t="n"/>
      <c r="P492" s="12" t="n"/>
      <c r="Q492" s="11" t="n"/>
      <c r="R492" s="12" t="n"/>
      <c r="S492" s="14">
        <f>IF(OR(A492="",C492="",F492="",G492="",I492="",J492=""),"",IF(F492="股票期权",MAX(0,(J492-K492)*I492),IF(F492="限制性股票",IF(OR(L492="",M492="",M492&lt;=0,N492=""),"",MAX(0,((L492+J492)/2)*I492-N492*I492/M492)),MAX(0,O492))))</f>
        <v/>
      </c>
      <c r="T492" s="14">
        <f>IF(S492="","",SUMIFS($S$2:$S$501,$C$2:$C$501,C492,$H$2:$H$501,H492,$G$2:$G$501,"&lt;"&amp;G492)+SUMIFS($S$2:$S$501,$C$2:$C$501,C492,$H$2:$H$501,H492,$G$2:$G$501,G492,$A$2:$A$501,"&lt;"&amp;A492))</f>
        <v/>
      </c>
      <c r="U492" s="14">
        <f>IF(S492="","",T492+S492)</f>
        <v/>
      </c>
      <c r="V492" s="15">
        <f>IF(U492="","",VLOOKUP(U492,'税率及规则'!$A$2:$C$8,2,TRUE))</f>
        <v/>
      </c>
      <c r="W492" s="14">
        <f>IF(U492="","",VLOOKUP(U492,'税率及规则'!$A$2:$C$8,3,TRUE))</f>
        <v/>
      </c>
      <c r="X492" s="14">
        <f>IF(U492="","",MAX(0,U492*V492-W492))</f>
        <v/>
      </c>
      <c r="Y492" s="14">
        <f>IF(T492="","",MAX(0,T492*VLOOKUP(T492,'税率及规则'!$A$2:$C$8,2,TRUE)-VLOOKUP(T492,'税率及规则'!$A$2:$C$8,3,TRUE)))</f>
        <v/>
      </c>
      <c r="Z492" s="14">
        <f>IF(X492="","",MAX(0,X492-Y492))</f>
        <v/>
      </c>
      <c r="AA492" s="16">
        <f>IF(G492="","",G492)</f>
        <v/>
      </c>
      <c r="AB492" s="16">
        <f>IF(AA492="","",EDATE(AA492,36))</f>
        <v/>
      </c>
      <c r="AC492" s="6">
        <f>IF(A492="","",IF(COUNTIF($A$2:$A$501,A492)&gt;1,"异常：事件编号重复",IF(OR(C492="",D492="",E492="",F492="",G492="",I492="",J492=""),"异常：必填项缺失",IF(OR(I492&lt;=0,J492&lt;0),"异常：数量或价格无效",IF(AND(F492="限制性股票",OR(M492&lt;=0,N492&lt;0,I492&gt;M492)),"异常：个人获授或出资数据无效",IF(AND(F492="股票期权",K492&lt;&gt;IF(G492&lt;DATE(2025,1,10),14.56,IF(G492&lt;DATE(2025,4,29),14.32,IF(G492&lt;DATE(2025,9,26),14.18,14.04)))),"异常：行权价格区间不符",IF(Q492&lt;&gt;"已备案","提示：未确认备案","正常")))))))</f>
        <v/>
      </c>
      <c r="AD492" s="11" t="n"/>
    </row>
    <row r="493">
      <c r="A493" s="11" t="n"/>
      <c r="B493" s="6">
        <f>IF(A493="","",A493&amp;"-TAX")</f>
        <v/>
      </c>
      <c r="C493" s="11" t="n"/>
      <c r="D493" s="11" t="n"/>
      <c r="E493" s="11" t="n"/>
      <c r="F493" s="11" t="n"/>
      <c r="G493" s="12" t="n"/>
      <c r="H493" s="6">
        <f>IF(G493="","",YEAR(G493))</f>
        <v/>
      </c>
      <c r="I493" s="11" t="n"/>
      <c r="J493" s="13" t="n"/>
      <c r="K493" s="14">
        <f>IF(F493="股票期权",IF(G493="","",IF(G493&lt;DATE(2025,1,10),14.56,IF(G493&lt;DATE(2025,4,29),14.32,IF(G493&lt;DATE(2025,9,26),14.18,14.04)))),IF(F493="限制性股票",8.68,""))</f>
        <v/>
      </c>
      <c r="L493" s="14">
        <f>IF(F493="限制性股票",13.06,"")</f>
        <v/>
      </c>
      <c r="M493" s="11" t="n"/>
      <c r="N493" s="13" t="n"/>
      <c r="O493" s="13" t="n"/>
      <c r="P493" s="12" t="n"/>
      <c r="Q493" s="11" t="n"/>
      <c r="R493" s="12" t="n"/>
      <c r="S493" s="14">
        <f>IF(OR(A493="",C493="",F493="",G493="",I493="",J493=""),"",IF(F493="股票期权",MAX(0,(J493-K493)*I493),IF(F493="限制性股票",IF(OR(L493="",M493="",M493&lt;=0,N493=""),"",MAX(0,((L493+J493)/2)*I493-N493*I493/M493)),MAX(0,O493))))</f>
        <v/>
      </c>
      <c r="T493" s="14">
        <f>IF(S493="","",SUMIFS($S$2:$S$501,$C$2:$C$501,C493,$H$2:$H$501,H493,$G$2:$G$501,"&lt;"&amp;G493)+SUMIFS($S$2:$S$501,$C$2:$C$501,C493,$H$2:$H$501,H493,$G$2:$G$501,G493,$A$2:$A$501,"&lt;"&amp;A493))</f>
        <v/>
      </c>
      <c r="U493" s="14">
        <f>IF(S493="","",T493+S493)</f>
        <v/>
      </c>
      <c r="V493" s="15">
        <f>IF(U493="","",VLOOKUP(U493,'税率及规则'!$A$2:$C$8,2,TRUE))</f>
        <v/>
      </c>
      <c r="W493" s="14">
        <f>IF(U493="","",VLOOKUP(U493,'税率及规则'!$A$2:$C$8,3,TRUE))</f>
        <v/>
      </c>
      <c r="X493" s="14">
        <f>IF(U493="","",MAX(0,U493*V493-W493))</f>
        <v/>
      </c>
      <c r="Y493" s="14">
        <f>IF(T493="","",MAX(0,T493*VLOOKUP(T493,'税率及规则'!$A$2:$C$8,2,TRUE)-VLOOKUP(T493,'税率及规则'!$A$2:$C$8,3,TRUE)))</f>
        <v/>
      </c>
      <c r="Z493" s="14">
        <f>IF(X493="","",MAX(0,X493-Y493))</f>
        <v/>
      </c>
      <c r="AA493" s="16">
        <f>IF(G493="","",G493)</f>
        <v/>
      </c>
      <c r="AB493" s="16">
        <f>IF(AA493="","",EDATE(AA493,36))</f>
        <v/>
      </c>
      <c r="AC493" s="6">
        <f>IF(A493="","",IF(COUNTIF($A$2:$A$501,A493)&gt;1,"异常：事件编号重复",IF(OR(C493="",D493="",E493="",F493="",G493="",I493="",J493=""),"异常：必填项缺失",IF(OR(I493&lt;=0,J493&lt;0),"异常：数量或价格无效",IF(AND(F493="限制性股票",OR(M493&lt;=0,N493&lt;0,I493&gt;M493)),"异常：个人获授或出资数据无效",IF(AND(F493="股票期权",K493&lt;&gt;IF(G493&lt;DATE(2025,1,10),14.56,IF(G493&lt;DATE(2025,4,29),14.32,IF(G493&lt;DATE(2025,9,26),14.18,14.04)))),"异常：行权价格区间不符",IF(Q493&lt;&gt;"已备案","提示：未确认备案","正常")))))))</f>
        <v/>
      </c>
      <c r="AD493" s="11" t="n"/>
    </row>
    <row r="494">
      <c r="A494" s="11" t="n"/>
      <c r="B494" s="6">
        <f>IF(A494="","",A494&amp;"-TAX")</f>
        <v/>
      </c>
      <c r="C494" s="11" t="n"/>
      <c r="D494" s="11" t="n"/>
      <c r="E494" s="11" t="n"/>
      <c r="F494" s="11" t="n"/>
      <c r="G494" s="12" t="n"/>
      <c r="H494" s="6">
        <f>IF(G494="","",YEAR(G494))</f>
        <v/>
      </c>
      <c r="I494" s="11" t="n"/>
      <c r="J494" s="13" t="n"/>
      <c r="K494" s="14">
        <f>IF(F494="股票期权",IF(G494="","",IF(G494&lt;DATE(2025,1,10),14.56,IF(G494&lt;DATE(2025,4,29),14.32,IF(G494&lt;DATE(2025,9,26),14.18,14.04)))),IF(F494="限制性股票",8.68,""))</f>
        <v/>
      </c>
      <c r="L494" s="14">
        <f>IF(F494="限制性股票",13.06,"")</f>
        <v/>
      </c>
      <c r="M494" s="11" t="n"/>
      <c r="N494" s="13" t="n"/>
      <c r="O494" s="13" t="n"/>
      <c r="P494" s="12" t="n"/>
      <c r="Q494" s="11" t="n"/>
      <c r="R494" s="12" t="n"/>
      <c r="S494" s="14">
        <f>IF(OR(A494="",C494="",F494="",G494="",I494="",J494=""),"",IF(F494="股票期权",MAX(0,(J494-K494)*I494),IF(F494="限制性股票",IF(OR(L494="",M494="",M494&lt;=0,N494=""),"",MAX(0,((L494+J494)/2)*I494-N494*I494/M494)),MAX(0,O494))))</f>
        <v/>
      </c>
      <c r="T494" s="14">
        <f>IF(S494="","",SUMIFS($S$2:$S$501,$C$2:$C$501,C494,$H$2:$H$501,H494,$G$2:$G$501,"&lt;"&amp;G494)+SUMIFS($S$2:$S$501,$C$2:$C$501,C494,$H$2:$H$501,H494,$G$2:$G$501,G494,$A$2:$A$501,"&lt;"&amp;A494))</f>
        <v/>
      </c>
      <c r="U494" s="14">
        <f>IF(S494="","",T494+S494)</f>
        <v/>
      </c>
      <c r="V494" s="15">
        <f>IF(U494="","",VLOOKUP(U494,'税率及规则'!$A$2:$C$8,2,TRUE))</f>
        <v/>
      </c>
      <c r="W494" s="14">
        <f>IF(U494="","",VLOOKUP(U494,'税率及规则'!$A$2:$C$8,3,TRUE))</f>
        <v/>
      </c>
      <c r="X494" s="14">
        <f>IF(U494="","",MAX(0,U494*V494-W494))</f>
        <v/>
      </c>
      <c r="Y494" s="14">
        <f>IF(T494="","",MAX(0,T494*VLOOKUP(T494,'税率及规则'!$A$2:$C$8,2,TRUE)-VLOOKUP(T494,'税率及规则'!$A$2:$C$8,3,TRUE)))</f>
        <v/>
      </c>
      <c r="Z494" s="14">
        <f>IF(X494="","",MAX(0,X494-Y494))</f>
        <v/>
      </c>
      <c r="AA494" s="16">
        <f>IF(G494="","",G494)</f>
        <v/>
      </c>
      <c r="AB494" s="16">
        <f>IF(AA494="","",EDATE(AA494,36))</f>
        <v/>
      </c>
      <c r="AC494" s="6">
        <f>IF(A494="","",IF(COUNTIF($A$2:$A$501,A494)&gt;1,"异常：事件编号重复",IF(OR(C494="",D494="",E494="",F494="",G494="",I494="",J494=""),"异常：必填项缺失",IF(OR(I494&lt;=0,J494&lt;0),"异常：数量或价格无效",IF(AND(F494="限制性股票",OR(M494&lt;=0,N494&lt;0,I494&gt;M494)),"异常：个人获授或出资数据无效",IF(AND(F494="股票期权",K494&lt;&gt;IF(G494&lt;DATE(2025,1,10),14.56,IF(G494&lt;DATE(2025,4,29),14.32,IF(G494&lt;DATE(2025,9,26),14.18,14.04)))),"异常：行权价格区间不符",IF(Q494&lt;&gt;"已备案","提示：未确认备案","正常")))))))</f>
        <v/>
      </c>
      <c r="AD494" s="11" t="n"/>
    </row>
    <row r="495">
      <c r="A495" s="11" t="n"/>
      <c r="B495" s="6">
        <f>IF(A495="","",A495&amp;"-TAX")</f>
        <v/>
      </c>
      <c r="C495" s="11" t="n"/>
      <c r="D495" s="11" t="n"/>
      <c r="E495" s="11" t="n"/>
      <c r="F495" s="11" t="n"/>
      <c r="G495" s="12" t="n"/>
      <c r="H495" s="6">
        <f>IF(G495="","",YEAR(G495))</f>
        <v/>
      </c>
      <c r="I495" s="11" t="n"/>
      <c r="J495" s="13" t="n"/>
      <c r="K495" s="14">
        <f>IF(F495="股票期权",IF(G495="","",IF(G495&lt;DATE(2025,1,10),14.56,IF(G495&lt;DATE(2025,4,29),14.32,IF(G495&lt;DATE(2025,9,26),14.18,14.04)))),IF(F495="限制性股票",8.68,""))</f>
        <v/>
      </c>
      <c r="L495" s="14">
        <f>IF(F495="限制性股票",13.06,"")</f>
        <v/>
      </c>
      <c r="M495" s="11" t="n"/>
      <c r="N495" s="13" t="n"/>
      <c r="O495" s="13" t="n"/>
      <c r="P495" s="12" t="n"/>
      <c r="Q495" s="11" t="n"/>
      <c r="R495" s="12" t="n"/>
      <c r="S495" s="14">
        <f>IF(OR(A495="",C495="",F495="",G495="",I495="",J495=""),"",IF(F495="股票期权",MAX(0,(J495-K495)*I495),IF(F495="限制性股票",IF(OR(L495="",M495="",M495&lt;=0,N495=""),"",MAX(0,((L495+J495)/2)*I495-N495*I495/M495)),MAX(0,O495))))</f>
        <v/>
      </c>
      <c r="T495" s="14">
        <f>IF(S495="","",SUMIFS($S$2:$S$501,$C$2:$C$501,C495,$H$2:$H$501,H495,$G$2:$G$501,"&lt;"&amp;G495)+SUMIFS($S$2:$S$501,$C$2:$C$501,C495,$H$2:$H$501,H495,$G$2:$G$501,G495,$A$2:$A$501,"&lt;"&amp;A495))</f>
        <v/>
      </c>
      <c r="U495" s="14">
        <f>IF(S495="","",T495+S495)</f>
        <v/>
      </c>
      <c r="V495" s="15">
        <f>IF(U495="","",VLOOKUP(U495,'税率及规则'!$A$2:$C$8,2,TRUE))</f>
        <v/>
      </c>
      <c r="W495" s="14">
        <f>IF(U495="","",VLOOKUP(U495,'税率及规则'!$A$2:$C$8,3,TRUE))</f>
        <v/>
      </c>
      <c r="X495" s="14">
        <f>IF(U495="","",MAX(0,U495*V495-W495))</f>
        <v/>
      </c>
      <c r="Y495" s="14">
        <f>IF(T495="","",MAX(0,T495*VLOOKUP(T495,'税率及规则'!$A$2:$C$8,2,TRUE)-VLOOKUP(T495,'税率及规则'!$A$2:$C$8,3,TRUE)))</f>
        <v/>
      </c>
      <c r="Z495" s="14">
        <f>IF(X495="","",MAX(0,X495-Y495))</f>
        <v/>
      </c>
      <c r="AA495" s="16">
        <f>IF(G495="","",G495)</f>
        <v/>
      </c>
      <c r="AB495" s="16">
        <f>IF(AA495="","",EDATE(AA495,36))</f>
        <v/>
      </c>
      <c r="AC495" s="6">
        <f>IF(A495="","",IF(COUNTIF($A$2:$A$501,A495)&gt;1,"异常：事件编号重复",IF(OR(C495="",D495="",E495="",F495="",G495="",I495="",J495=""),"异常：必填项缺失",IF(OR(I495&lt;=0,J495&lt;0),"异常：数量或价格无效",IF(AND(F495="限制性股票",OR(M495&lt;=0,N495&lt;0,I495&gt;M495)),"异常：个人获授或出资数据无效",IF(AND(F495="股票期权",K495&lt;&gt;IF(G495&lt;DATE(2025,1,10),14.56,IF(G495&lt;DATE(2025,4,29),14.32,IF(G495&lt;DATE(2025,9,26),14.18,14.04)))),"异常：行权价格区间不符",IF(Q495&lt;&gt;"已备案","提示：未确认备案","正常")))))))</f>
        <v/>
      </c>
      <c r="AD495" s="11" t="n"/>
    </row>
    <row r="496">
      <c r="A496" s="11" t="n"/>
      <c r="B496" s="6">
        <f>IF(A496="","",A496&amp;"-TAX")</f>
        <v/>
      </c>
      <c r="C496" s="11" t="n"/>
      <c r="D496" s="11" t="n"/>
      <c r="E496" s="11" t="n"/>
      <c r="F496" s="11" t="n"/>
      <c r="G496" s="12" t="n"/>
      <c r="H496" s="6">
        <f>IF(G496="","",YEAR(G496))</f>
        <v/>
      </c>
      <c r="I496" s="11" t="n"/>
      <c r="J496" s="13" t="n"/>
      <c r="K496" s="14">
        <f>IF(F496="股票期权",IF(G496="","",IF(G496&lt;DATE(2025,1,10),14.56,IF(G496&lt;DATE(2025,4,29),14.32,IF(G496&lt;DATE(2025,9,26),14.18,14.04)))),IF(F496="限制性股票",8.68,""))</f>
        <v/>
      </c>
      <c r="L496" s="14">
        <f>IF(F496="限制性股票",13.06,"")</f>
        <v/>
      </c>
      <c r="M496" s="11" t="n"/>
      <c r="N496" s="13" t="n"/>
      <c r="O496" s="13" t="n"/>
      <c r="P496" s="12" t="n"/>
      <c r="Q496" s="11" t="n"/>
      <c r="R496" s="12" t="n"/>
      <c r="S496" s="14">
        <f>IF(OR(A496="",C496="",F496="",G496="",I496="",J496=""),"",IF(F496="股票期权",MAX(0,(J496-K496)*I496),IF(F496="限制性股票",IF(OR(L496="",M496="",M496&lt;=0,N496=""),"",MAX(0,((L496+J496)/2)*I496-N496*I496/M496)),MAX(0,O496))))</f>
        <v/>
      </c>
      <c r="T496" s="14">
        <f>IF(S496="","",SUMIFS($S$2:$S$501,$C$2:$C$501,C496,$H$2:$H$501,H496,$G$2:$G$501,"&lt;"&amp;G496)+SUMIFS($S$2:$S$501,$C$2:$C$501,C496,$H$2:$H$501,H496,$G$2:$G$501,G496,$A$2:$A$501,"&lt;"&amp;A496))</f>
        <v/>
      </c>
      <c r="U496" s="14">
        <f>IF(S496="","",T496+S496)</f>
        <v/>
      </c>
      <c r="V496" s="15">
        <f>IF(U496="","",VLOOKUP(U496,'税率及规则'!$A$2:$C$8,2,TRUE))</f>
        <v/>
      </c>
      <c r="W496" s="14">
        <f>IF(U496="","",VLOOKUP(U496,'税率及规则'!$A$2:$C$8,3,TRUE))</f>
        <v/>
      </c>
      <c r="X496" s="14">
        <f>IF(U496="","",MAX(0,U496*V496-W496))</f>
        <v/>
      </c>
      <c r="Y496" s="14">
        <f>IF(T496="","",MAX(0,T496*VLOOKUP(T496,'税率及规则'!$A$2:$C$8,2,TRUE)-VLOOKUP(T496,'税率及规则'!$A$2:$C$8,3,TRUE)))</f>
        <v/>
      </c>
      <c r="Z496" s="14">
        <f>IF(X496="","",MAX(0,X496-Y496))</f>
        <v/>
      </c>
      <c r="AA496" s="16">
        <f>IF(G496="","",G496)</f>
        <v/>
      </c>
      <c r="AB496" s="16">
        <f>IF(AA496="","",EDATE(AA496,36))</f>
        <v/>
      </c>
      <c r="AC496" s="6">
        <f>IF(A496="","",IF(COUNTIF($A$2:$A$501,A496)&gt;1,"异常：事件编号重复",IF(OR(C496="",D496="",E496="",F496="",G496="",I496="",J496=""),"异常：必填项缺失",IF(OR(I496&lt;=0,J496&lt;0),"异常：数量或价格无效",IF(AND(F496="限制性股票",OR(M496&lt;=0,N496&lt;0,I496&gt;M496)),"异常：个人获授或出资数据无效",IF(AND(F496="股票期权",K496&lt;&gt;IF(G496&lt;DATE(2025,1,10),14.56,IF(G496&lt;DATE(2025,4,29),14.32,IF(G496&lt;DATE(2025,9,26),14.18,14.04)))),"异常：行权价格区间不符",IF(Q496&lt;&gt;"已备案","提示：未确认备案","正常")))))))</f>
        <v/>
      </c>
      <c r="AD496" s="11" t="n"/>
    </row>
    <row r="497">
      <c r="A497" s="11" t="n"/>
      <c r="B497" s="6">
        <f>IF(A497="","",A497&amp;"-TAX")</f>
        <v/>
      </c>
      <c r="C497" s="11" t="n"/>
      <c r="D497" s="11" t="n"/>
      <c r="E497" s="11" t="n"/>
      <c r="F497" s="11" t="n"/>
      <c r="G497" s="12" t="n"/>
      <c r="H497" s="6">
        <f>IF(G497="","",YEAR(G497))</f>
        <v/>
      </c>
      <c r="I497" s="11" t="n"/>
      <c r="J497" s="13" t="n"/>
      <c r="K497" s="14">
        <f>IF(F497="股票期权",IF(G497="","",IF(G497&lt;DATE(2025,1,10),14.56,IF(G497&lt;DATE(2025,4,29),14.32,IF(G497&lt;DATE(2025,9,26),14.18,14.04)))),IF(F497="限制性股票",8.68,""))</f>
        <v/>
      </c>
      <c r="L497" s="14">
        <f>IF(F497="限制性股票",13.06,"")</f>
        <v/>
      </c>
      <c r="M497" s="11" t="n"/>
      <c r="N497" s="13" t="n"/>
      <c r="O497" s="13" t="n"/>
      <c r="P497" s="12" t="n"/>
      <c r="Q497" s="11" t="n"/>
      <c r="R497" s="12" t="n"/>
      <c r="S497" s="14">
        <f>IF(OR(A497="",C497="",F497="",G497="",I497="",J497=""),"",IF(F497="股票期权",MAX(0,(J497-K497)*I497),IF(F497="限制性股票",IF(OR(L497="",M497="",M497&lt;=0,N497=""),"",MAX(0,((L497+J497)/2)*I497-N497*I497/M497)),MAX(0,O497))))</f>
        <v/>
      </c>
      <c r="T497" s="14">
        <f>IF(S497="","",SUMIFS($S$2:$S$501,$C$2:$C$501,C497,$H$2:$H$501,H497,$G$2:$G$501,"&lt;"&amp;G497)+SUMIFS($S$2:$S$501,$C$2:$C$501,C497,$H$2:$H$501,H497,$G$2:$G$501,G497,$A$2:$A$501,"&lt;"&amp;A497))</f>
        <v/>
      </c>
      <c r="U497" s="14">
        <f>IF(S497="","",T497+S497)</f>
        <v/>
      </c>
      <c r="V497" s="15">
        <f>IF(U497="","",VLOOKUP(U497,'税率及规则'!$A$2:$C$8,2,TRUE))</f>
        <v/>
      </c>
      <c r="W497" s="14">
        <f>IF(U497="","",VLOOKUP(U497,'税率及规则'!$A$2:$C$8,3,TRUE))</f>
        <v/>
      </c>
      <c r="X497" s="14">
        <f>IF(U497="","",MAX(0,U497*V497-W497))</f>
        <v/>
      </c>
      <c r="Y497" s="14">
        <f>IF(T497="","",MAX(0,T497*VLOOKUP(T497,'税率及规则'!$A$2:$C$8,2,TRUE)-VLOOKUP(T497,'税率及规则'!$A$2:$C$8,3,TRUE)))</f>
        <v/>
      </c>
      <c r="Z497" s="14">
        <f>IF(X497="","",MAX(0,X497-Y497))</f>
        <v/>
      </c>
      <c r="AA497" s="16">
        <f>IF(G497="","",G497)</f>
        <v/>
      </c>
      <c r="AB497" s="16">
        <f>IF(AA497="","",EDATE(AA497,36))</f>
        <v/>
      </c>
      <c r="AC497" s="6">
        <f>IF(A497="","",IF(COUNTIF($A$2:$A$501,A497)&gt;1,"异常：事件编号重复",IF(OR(C497="",D497="",E497="",F497="",G497="",I497="",J497=""),"异常：必填项缺失",IF(OR(I497&lt;=0,J497&lt;0),"异常：数量或价格无效",IF(AND(F497="限制性股票",OR(M497&lt;=0,N497&lt;0,I497&gt;M497)),"异常：个人获授或出资数据无效",IF(AND(F497="股票期权",K497&lt;&gt;IF(G497&lt;DATE(2025,1,10),14.56,IF(G497&lt;DATE(2025,4,29),14.32,IF(G497&lt;DATE(2025,9,26),14.18,14.04)))),"异常：行权价格区间不符",IF(Q497&lt;&gt;"已备案","提示：未确认备案","正常")))))))</f>
        <v/>
      </c>
      <c r="AD497" s="11" t="n"/>
    </row>
    <row r="498">
      <c r="A498" s="11" t="n"/>
      <c r="B498" s="6">
        <f>IF(A498="","",A498&amp;"-TAX")</f>
        <v/>
      </c>
      <c r="C498" s="11" t="n"/>
      <c r="D498" s="11" t="n"/>
      <c r="E498" s="11" t="n"/>
      <c r="F498" s="11" t="n"/>
      <c r="G498" s="12" t="n"/>
      <c r="H498" s="6">
        <f>IF(G498="","",YEAR(G498))</f>
        <v/>
      </c>
      <c r="I498" s="11" t="n"/>
      <c r="J498" s="13" t="n"/>
      <c r="K498" s="14">
        <f>IF(F498="股票期权",IF(G498="","",IF(G498&lt;DATE(2025,1,10),14.56,IF(G498&lt;DATE(2025,4,29),14.32,IF(G498&lt;DATE(2025,9,26),14.18,14.04)))),IF(F498="限制性股票",8.68,""))</f>
        <v/>
      </c>
      <c r="L498" s="14">
        <f>IF(F498="限制性股票",13.06,"")</f>
        <v/>
      </c>
      <c r="M498" s="11" t="n"/>
      <c r="N498" s="13" t="n"/>
      <c r="O498" s="13" t="n"/>
      <c r="P498" s="12" t="n"/>
      <c r="Q498" s="11" t="n"/>
      <c r="R498" s="12" t="n"/>
      <c r="S498" s="14">
        <f>IF(OR(A498="",C498="",F498="",G498="",I498="",J498=""),"",IF(F498="股票期权",MAX(0,(J498-K498)*I498),IF(F498="限制性股票",IF(OR(L498="",M498="",M498&lt;=0,N498=""),"",MAX(0,((L498+J498)/2)*I498-N498*I498/M498)),MAX(0,O498))))</f>
        <v/>
      </c>
      <c r="T498" s="14">
        <f>IF(S498="","",SUMIFS($S$2:$S$501,$C$2:$C$501,C498,$H$2:$H$501,H498,$G$2:$G$501,"&lt;"&amp;G498)+SUMIFS($S$2:$S$501,$C$2:$C$501,C498,$H$2:$H$501,H498,$G$2:$G$501,G498,$A$2:$A$501,"&lt;"&amp;A498))</f>
        <v/>
      </c>
      <c r="U498" s="14">
        <f>IF(S498="","",T498+S498)</f>
        <v/>
      </c>
      <c r="V498" s="15">
        <f>IF(U498="","",VLOOKUP(U498,'税率及规则'!$A$2:$C$8,2,TRUE))</f>
        <v/>
      </c>
      <c r="W498" s="14">
        <f>IF(U498="","",VLOOKUP(U498,'税率及规则'!$A$2:$C$8,3,TRUE))</f>
        <v/>
      </c>
      <c r="X498" s="14">
        <f>IF(U498="","",MAX(0,U498*V498-W498))</f>
        <v/>
      </c>
      <c r="Y498" s="14">
        <f>IF(T498="","",MAX(0,T498*VLOOKUP(T498,'税率及规则'!$A$2:$C$8,2,TRUE)-VLOOKUP(T498,'税率及规则'!$A$2:$C$8,3,TRUE)))</f>
        <v/>
      </c>
      <c r="Z498" s="14">
        <f>IF(X498="","",MAX(0,X498-Y498))</f>
        <v/>
      </c>
      <c r="AA498" s="16">
        <f>IF(G498="","",G498)</f>
        <v/>
      </c>
      <c r="AB498" s="16">
        <f>IF(AA498="","",EDATE(AA498,36))</f>
        <v/>
      </c>
      <c r="AC498" s="6">
        <f>IF(A498="","",IF(COUNTIF($A$2:$A$501,A498)&gt;1,"异常：事件编号重复",IF(OR(C498="",D498="",E498="",F498="",G498="",I498="",J498=""),"异常：必填项缺失",IF(OR(I498&lt;=0,J498&lt;0),"异常：数量或价格无效",IF(AND(F498="限制性股票",OR(M498&lt;=0,N498&lt;0,I498&gt;M498)),"异常：个人获授或出资数据无效",IF(AND(F498="股票期权",K498&lt;&gt;IF(G498&lt;DATE(2025,1,10),14.56,IF(G498&lt;DATE(2025,4,29),14.32,IF(G498&lt;DATE(2025,9,26),14.18,14.04)))),"异常：行权价格区间不符",IF(Q498&lt;&gt;"已备案","提示：未确认备案","正常")))))))</f>
        <v/>
      </c>
      <c r="AD498" s="11" t="n"/>
    </row>
    <row r="499">
      <c r="A499" s="11" t="n"/>
      <c r="B499" s="6">
        <f>IF(A499="","",A499&amp;"-TAX")</f>
        <v/>
      </c>
      <c r="C499" s="11" t="n"/>
      <c r="D499" s="11" t="n"/>
      <c r="E499" s="11" t="n"/>
      <c r="F499" s="11" t="n"/>
      <c r="G499" s="12" t="n"/>
      <c r="H499" s="6">
        <f>IF(G499="","",YEAR(G499))</f>
        <v/>
      </c>
      <c r="I499" s="11" t="n"/>
      <c r="J499" s="13" t="n"/>
      <c r="K499" s="14">
        <f>IF(F499="股票期权",IF(G499="","",IF(G499&lt;DATE(2025,1,10),14.56,IF(G499&lt;DATE(2025,4,29),14.32,IF(G499&lt;DATE(2025,9,26),14.18,14.04)))),IF(F499="限制性股票",8.68,""))</f>
        <v/>
      </c>
      <c r="L499" s="14">
        <f>IF(F499="限制性股票",13.06,"")</f>
        <v/>
      </c>
      <c r="M499" s="11" t="n"/>
      <c r="N499" s="13" t="n"/>
      <c r="O499" s="13" t="n"/>
      <c r="P499" s="12" t="n"/>
      <c r="Q499" s="11" t="n"/>
      <c r="R499" s="12" t="n"/>
      <c r="S499" s="14">
        <f>IF(OR(A499="",C499="",F499="",G499="",I499="",J499=""),"",IF(F499="股票期权",MAX(0,(J499-K499)*I499),IF(F499="限制性股票",IF(OR(L499="",M499="",M499&lt;=0,N499=""),"",MAX(0,((L499+J499)/2)*I499-N499*I499/M499)),MAX(0,O499))))</f>
        <v/>
      </c>
      <c r="T499" s="14">
        <f>IF(S499="","",SUMIFS($S$2:$S$501,$C$2:$C$501,C499,$H$2:$H$501,H499,$G$2:$G$501,"&lt;"&amp;G499)+SUMIFS($S$2:$S$501,$C$2:$C$501,C499,$H$2:$H$501,H499,$G$2:$G$501,G499,$A$2:$A$501,"&lt;"&amp;A499))</f>
        <v/>
      </c>
      <c r="U499" s="14">
        <f>IF(S499="","",T499+S499)</f>
        <v/>
      </c>
      <c r="V499" s="15">
        <f>IF(U499="","",VLOOKUP(U499,'税率及规则'!$A$2:$C$8,2,TRUE))</f>
        <v/>
      </c>
      <c r="W499" s="14">
        <f>IF(U499="","",VLOOKUP(U499,'税率及规则'!$A$2:$C$8,3,TRUE))</f>
        <v/>
      </c>
      <c r="X499" s="14">
        <f>IF(U499="","",MAX(0,U499*V499-W499))</f>
        <v/>
      </c>
      <c r="Y499" s="14">
        <f>IF(T499="","",MAX(0,T499*VLOOKUP(T499,'税率及规则'!$A$2:$C$8,2,TRUE)-VLOOKUP(T499,'税率及规则'!$A$2:$C$8,3,TRUE)))</f>
        <v/>
      </c>
      <c r="Z499" s="14">
        <f>IF(X499="","",MAX(0,X499-Y499))</f>
        <v/>
      </c>
      <c r="AA499" s="16">
        <f>IF(G499="","",G499)</f>
        <v/>
      </c>
      <c r="AB499" s="16">
        <f>IF(AA499="","",EDATE(AA499,36))</f>
        <v/>
      </c>
      <c r="AC499" s="6">
        <f>IF(A499="","",IF(COUNTIF($A$2:$A$501,A499)&gt;1,"异常：事件编号重复",IF(OR(C499="",D499="",E499="",F499="",G499="",I499="",J499=""),"异常：必填项缺失",IF(OR(I499&lt;=0,J499&lt;0),"异常：数量或价格无效",IF(AND(F499="限制性股票",OR(M499&lt;=0,N499&lt;0,I499&gt;M499)),"异常：个人获授或出资数据无效",IF(AND(F499="股票期权",K499&lt;&gt;IF(G499&lt;DATE(2025,1,10),14.56,IF(G499&lt;DATE(2025,4,29),14.32,IF(G499&lt;DATE(2025,9,26),14.18,14.04)))),"异常：行权价格区间不符",IF(Q499&lt;&gt;"已备案","提示：未确认备案","正常")))))))</f>
        <v/>
      </c>
      <c r="AD499" s="11" t="n"/>
    </row>
    <row r="500">
      <c r="A500" s="11" t="n"/>
      <c r="B500" s="6">
        <f>IF(A500="","",A500&amp;"-TAX")</f>
        <v/>
      </c>
      <c r="C500" s="11" t="n"/>
      <c r="D500" s="11" t="n"/>
      <c r="E500" s="11" t="n"/>
      <c r="F500" s="11" t="n"/>
      <c r="G500" s="12" t="n"/>
      <c r="H500" s="6">
        <f>IF(G500="","",YEAR(G500))</f>
        <v/>
      </c>
      <c r="I500" s="11" t="n"/>
      <c r="J500" s="13" t="n"/>
      <c r="K500" s="14">
        <f>IF(F500="股票期权",IF(G500="","",IF(G500&lt;DATE(2025,1,10),14.56,IF(G500&lt;DATE(2025,4,29),14.32,IF(G500&lt;DATE(2025,9,26),14.18,14.04)))),IF(F500="限制性股票",8.68,""))</f>
        <v/>
      </c>
      <c r="L500" s="14">
        <f>IF(F500="限制性股票",13.06,"")</f>
        <v/>
      </c>
      <c r="M500" s="11" t="n"/>
      <c r="N500" s="13" t="n"/>
      <c r="O500" s="13" t="n"/>
      <c r="P500" s="12" t="n"/>
      <c r="Q500" s="11" t="n"/>
      <c r="R500" s="12" t="n"/>
      <c r="S500" s="14">
        <f>IF(OR(A500="",C500="",F500="",G500="",I500="",J500=""),"",IF(F500="股票期权",MAX(0,(J500-K500)*I500),IF(F500="限制性股票",IF(OR(L500="",M500="",M500&lt;=0,N500=""),"",MAX(0,((L500+J500)/2)*I500-N500*I500/M500)),MAX(0,O500))))</f>
        <v/>
      </c>
      <c r="T500" s="14">
        <f>IF(S500="","",SUMIFS($S$2:$S$501,$C$2:$C$501,C500,$H$2:$H$501,H500,$G$2:$G$501,"&lt;"&amp;G500)+SUMIFS($S$2:$S$501,$C$2:$C$501,C500,$H$2:$H$501,H500,$G$2:$G$501,G500,$A$2:$A$501,"&lt;"&amp;A500))</f>
        <v/>
      </c>
      <c r="U500" s="14">
        <f>IF(S500="","",T500+S500)</f>
        <v/>
      </c>
      <c r="V500" s="15">
        <f>IF(U500="","",VLOOKUP(U500,'税率及规则'!$A$2:$C$8,2,TRUE))</f>
        <v/>
      </c>
      <c r="W500" s="14">
        <f>IF(U500="","",VLOOKUP(U500,'税率及规则'!$A$2:$C$8,3,TRUE))</f>
        <v/>
      </c>
      <c r="X500" s="14">
        <f>IF(U500="","",MAX(0,U500*V500-W500))</f>
        <v/>
      </c>
      <c r="Y500" s="14">
        <f>IF(T500="","",MAX(0,T500*VLOOKUP(T500,'税率及规则'!$A$2:$C$8,2,TRUE)-VLOOKUP(T500,'税率及规则'!$A$2:$C$8,3,TRUE)))</f>
        <v/>
      </c>
      <c r="Z500" s="14">
        <f>IF(X500="","",MAX(0,X500-Y500))</f>
        <v/>
      </c>
      <c r="AA500" s="16">
        <f>IF(G500="","",G500)</f>
        <v/>
      </c>
      <c r="AB500" s="16">
        <f>IF(AA500="","",EDATE(AA500,36))</f>
        <v/>
      </c>
      <c r="AC500" s="6">
        <f>IF(A500="","",IF(COUNTIF($A$2:$A$501,A500)&gt;1,"异常：事件编号重复",IF(OR(C500="",D500="",E500="",F500="",G500="",I500="",J500=""),"异常：必填项缺失",IF(OR(I500&lt;=0,J500&lt;0),"异常：数量或价格无效",IF(AND(F500="限制性股票",OR(M500&lt;=0,N500&lt;0,I500&gt;M500)),"异常：个人获授或出资数据无效",IF(AND(F500="股票期权",K500&lt;&gt;IF(G500&lt;DATE(2025,1,10),14.56,IF(G500&lt;DATE(2025,4,29),14.32,IF(G500&lt;DATE(2025,9,26),14.18,14.04)))),"异常：行权价格区间不符",IF(Q500&lt;&gt;"已备案","提示：未确认备案","正常")))))))</f>
        <v/>
      </c>
      <c r="AD500" s="11" t="n"/>
    </row>
    <row r="501">
      <c r="A501" s="11" t="n"/>
      <c r="B501" s="6">
        <f>IF(A501="","",A501&amp;"-TAX")</f>
        <v/>
      </c>
      <c r="C501" s="11" t="n"/>
      <c r="D501" s="11" t="n"/>
      <c r="E501" s="11" t="n"/>
      <c r="F501" s="11" t="n"/>
      <c r="G501" s="12" t="n"/>
      <c r="H501" s="6">
        <f>IF(G501="","",YEAR(G501))</f>
        <v/>
      </c>
      <c r="I501" s="11" t="n"/>
      <c r="J501" s="13" t="n"/>
      <c r="K501" s="14">
        <f>IF(F501="股票期权",IF(G501="","",IF(G501&lt;DATE(2025,1,10),14.56,IF(G501&lt;DATE(2025,4,29),14.32,IF(G501&lt;DATE(2025,9,26),14.18,14.04)))),IF(F501="限制性股票",8.68,""))</f>
        <v/>
      </c>
      <c r="L501" s="14">
        <f>IF(F501="限制性股票",13.06,"")</f>
        <v/>
      </c>
      <c r="M501" s="11" t="n"/>
      <c r="N501" s="13" t="n"/>
      <c r="O501" s="13" t="n"/>
      <c r="P501" s="12" t="n"/>
      <c r="Q501" s="11" t="n"/>
      <c r="R501" s="12" t="n"/>
      <c r="S501" s="14">
        <f>IF(OR(A501="",C501="",F501="",G501="",I501="",J501=""),"",IF(F501="股票期权",MAX(0,(J501-K501)*I501),IF(F501="限制性股票",IF(OR(L501="",M501="",M501&lt;=0,N501=""),"",MAX(0,((L501+J501)/2)*I501-N501*I501/M501)),MAX(0,O501))))</f>
        <v/>
      </c>
      <c r="T501" s="14">
        <f>IF(S501="","",SUMIFS($S$2:$S$501,$C$2:$C$501,C501,$H$2:$H$501,H501,$G$2:$G$501,"&lt;"&amp;G501)+SUMIFS($S$2:$S$501,$C$2:$C$501,C501,$H$2:$H$501,H501,$G$2:$G$501,G501,$A$2:$A$501,"&lt;"&amp;A501))</f>
        <v/>
      </c>
      <c r="U501" s="14">
        <f>IF(S501="","",T501+S501)</f>
        <v/>
      </c>
      <c r="V501" s="15">
        <f>IF(U501="","",VLOOKUP(U501,'税率及规则'!$A$2:$C$8,2,TRUE))</f>
        <v/>
      </c>
      <c r="W501" s="14">
        <f>IF(U501="","",VLOOKUP(U501,'税率及规则'!$A$2:$C$8,3,TRUE))</f>
        <v/>
      </c>
      <c r="X501" s="14">
        <f>IF(U501="","",MAX(0,U501*V501-W501))</f>
        <v/>
      </c>
      <c r="Y501" s="14">
        <f>IF(T501="","",MAX(0,T501*VLOOKUP(T501,'税率及规则'!$A$2:$C$8,2,TRUE)-VLOOKUP(T501,'税率及规则'!$A$2:$C$8,3,TRUE)))</f>
        <v/>
      </c>
      <c r="Z501" s="14">
        <f>IF(X501="","",MAX(0,X501-Y501))</f>
        <v/>
      </c>
      <c r="AA501" s="16">
        <f>IF(G501="","",G501)</f>
        <v/>
      </c>
      <c r="AB501" s="16">
        <f>IF(AA501="","",EDATE(AA501,36))</f>
        <v/>
      </c>
      <c r="AC501" s="6">
        <f>IF(A501="","",IF(COUNTIF($A$2:$A$501,A501)&gt;1,"异常：事件编号重复",IF(OR(C501="",D501="",E501="",F501="",G501="",I501="",J501=""),"异常：必填项缺失",IF(OR(I501&lt;=0,J501&lt;0),"异常：数量或价格无效",IF(AND(F501="限制性股票",OR(M501&lt;=0,N501&lt;0,I501&gt;M501)),"异常：个人获授或出资数据无效",IF(AND(F501="股票期权",K501&lt;&gt;IF(G501&lt;DATE(2025,1,10),14.56,IF(G501&lt;DATE(2025,4,29),14.32,IF(G501&lt;DATE(2025,9,26),14.18,14.04)))),"异常：行权价格区间不符",IF(Q501&lt;&gt;"已备案","提示：未确认备案","正常")))))))</f>
        <v/>
      </c>
      <c r="AD501" s="11" t="n"/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AD501"/>
  <conditionalFormatting sqref="AC2:AC501">
    <cfRule type="expression" priority="1" dxfId="0">
      <formula>LEFT(AC2,2)="异常"</formula>
    </cfRule>
  </conditionalFormatting>
  <dataValidations count="7">
    <dataValidation sqref="E2:E501" showDropDown="0" showInputMessage="1" showErrorMessage="1" allowBlank="1" errorTitle="输入无效" error="请选择下拉列表中的有效值。" promptTitle="可选值" prompt="请从下拉列表选择。" type="list">
      <formula1>"2023年股票期权与限制性股票激励计划"</formula1>
    </dataValidation>
    <dataValidation sqref="F2:F501" showDropDown="0" showInputMessage="1" showErrorMessage="1" allowBlank="1" errorTitle="输入无效" error="请选择下拉列表中的有效值。" promptTitle="可选值" prompt="请从下拉列表选择。" type="list">
      <formula1>"股票期权,限制性股票,其他股权激励"</formula1>
    </dataValidation>
    <dataValidation sqref="Q2:Q501" showDropDown="0" showInputMessage="1" showErrorMessage="1" allowBlank="1" errorTitle="输入无效" error="请选择下拉列表中的有效值。" promptTitle="可选值" prompt="请从下拉列表选择。" type="list">
      <formula1>"已备案,未备案,待确认"</formula1>
    </dataValidation>
    <dataValidation sqref="C4:C501" showDropDown="0" showInputMessage="1" showErrorMessage="1" allowBlank="1" errorTitle="输入无效" error="请选择下拉列表中的有效值。" promptTitle="可选值" prompt="请从下拉列表选择。" type="list">
      <formula1>=员工编号列表</formula1>
    </dataValidation>
    <dataValidation sqref="G2:G501 P2:P501 R2:R501" showDropDown="0" showInputMessage="0" showErrorMessage="1" allowBlank="1" errorTitle="日期无效" error="请输入2024-01-01至2035-12-31之间的日期。" type="date" operator="between">
      <formula1>DATE(2024,1,1)</formula1>
      <formula2>DATE(2035,12,31)</formula2>
    </dataValidation>
    <dataValidation sqref="I2:I501" showDropDown="0" showInputMessage="0" showErrorMessage="1" allowBlank="1" errorTitle="数值无效" error="请输入符合条件的非负数字。" type="decimal" operator="greaterThan">
      <formula1>0</formula1>
    </dataValidation>
    <dataValidation sqref="J2:J501 M2:O501" showDropDown="0" showInputMessage="0" showErrorMessage="1" allowBlank="1" errorTitle="数值无效" error="请输入符合条件的非负数字。" type="decimal" operator="greaterThanOrEqual">
      <formula1>0</formula1>
    </dataValidation>
  </dataValidation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8" customWidth="1" min="4" max="4"/>
    <col width="20" customWidth="1" min="5" max="5"/>
    <col width="20" customWidth="1" min="6" max="6"/>
    <col width="24" customWidth="1" min="7" max="7"/>
    <col width="10" customWidth="1" min="8" max="8"/>
    <col width="14" customWidth="1" min="9" max="9"/>
    <col width="18" customWidth="1" min="10" max="10"/>
    <col width="16" customWidth="1" min="11" max="11"/>
    <col width="16" customWidth="1" min="12" max="12"/>
    <col width="18" customWidth="1" min="13" max="13"/>
    <col width="22" customWidth="1" min="14" max="14"/>
    <col width="14" customWidth="1" min="15" max="15"/>
    <col width="18" customWidth="1" min="16" max="16"/>
  </cols>
  <sheetData>
    <row r="1" ht="32" customHeight="1">
      <c r="A1" s="8" t="inlineStr">
        <is>
          <t>员工编号</t>
        </is>
      </c>
      <c r="B1" s="8" t="inlineStr">
        <is>
          <t>姓名</t>
        </is>
      </c>
      <c r="C1" s="8" t="inlineStr">
        <is>
          <t>纳税年度</t>
        </is>
      </c>
      <c r="D1" s="8" t="inlineStr">
        <is>
          <t>股票期权所得</t>
        </is>
      </c>
      <c r="E1" s="8" t="inlineStr">
        <is>
          <t>限制性股票所得</t>
        </is>
      </c>
      <c r="F1" s="8" t="inlineStr">
        <is>
          <t>其他股权激励所得</t>
        </is>
      </c>
      <c r="G1" s="8" t="inlineStr">
        <is>
          <t>年度股权激励应纳税所得额</t>
        </is>
      </c>
      <c r="H1" s="8" t="inlineStr">
        <is>
          <t>税率</t>
        </is>
      </c>
      <c r="I1" s="8" t="inlineStr">
        <is>
          <t>速算扣除数</t>
        </is>
      </c>
      <c r="J1" s="8" t="inlineStr">
        <is>
          <t>年度应纳税额</t>
        </is>
      </c>
      <c r="K1" s="8" t="inlineStr">
        <is>
          <t>已缴金额</t>
        </is>
      </c>
      <c r="L1" s="8" t="inlineStr">
        <is>
          <t>未缴金额</t>
        </is>
      </c>
      <c r="M1" s="8" t="inlineStr">
        <is>
          <t>事件新增税额批次数</t>
        </is>
      </c>
      <c r="N1" s="8" t="inlineStr">
        <is>
          <t>最早到期事件编号</t>
        </is>
      </c>
      <c r="O1" s="8" t="inlineStr">
        <is>
          <t>最早到期日</t>
        </is>
      </c>
      <c r="P1" s="8" t="inlineStr">
        <is>
          <t>状态</t>
        </is>
      </c>
    </row>
    <row r="2">
      <c r="A2" s="11" t="inlineStr">
        <is>
          <t>DEMO001</t>
        </is>
      </c>
      <c r="B2" s="6">
        <f>IF(A2="","",IFERROR(INDEX('激励事件明细'!$D$2:$D$501,MATCH(A2,'激励事件明细'!$C$2:$C$501,0)),""))</f>
        <v/>
      </c>
      <c r="C2" s="11" t="n">
        <v>2025</v>
      </c>
      <c r="D2" s="14">
        <f>IF(OR(A2="",C2=""),"",SUMIFS('激励事件明细'!$S$2:$S$501,'激励事件明细'!$C$2:$C$501,A2,'激励事件明细'!$H$2:$H$501,C2,'激励事件明细'!$F$2:$F$501,"股票期权"))</f>
        <v/>
      </c>
      <c r="E2" s="14">
        <f>IF(OR(A2="",C2=""),"",SUMIFS('激励事件明细'!$S$2:$S$501,'激励事件明细'!$C$2:$C$501,A2,'激励事件明细'!$H$2:$H$501,C2,'激励事件明细'!$F$2:$F$501,"限制性股票"))</f>
        <v/>
      </c>
      <c r="F2" s="14">
        <f>IF(OR(A2="",C2=""),"",SUMIFS('激励事件明细'!$S$2:$S$501,'激励事件明细'!$C$2:$C$501,A2,'激励事件明细'!$H$2:$H$501,C2,'激励事件明细'!$F$2:$F$501,"其他股权激励"))</f>
        <v/>
      </c>
      <c r="G2" s="14">
        <f>IF(A2="","",SUM(D2:F2))</f>
        <v/>
      </c>
      <c r="H2" s="15">
        <f>IF(G2="","",VLOOKUP(G2,'税率及规则'!$A$2:$C$8,2,TRUE))</f>
        <v/>
      </c>
      <c r="I2" s="14">
        <f>IF(G2="","",VLOOKUP(G2,'税率及规则'!$A$2:$C$8,3,TRUE))</f>
        <v/>
      </c>
      <c r="J2" s="14">
        <f>IF(G2="","",MAX(0,G2*H2-I2))</f>
        <v/>
      </c>
      <c r="K2" s="14">
        <f>IF(A2="","",SUMIFS('分期缴税台账'!$K$2:$K$501,'分期缴税台账'!$A$2:$A$501,A2,'分期缴税台账'!$C$2:$C$501,C2))</f>
        <v/>
      </c>
      <c r="L2" s="14">
        <f>IF(J2="","",MAX(0,J2-K2))</f>
        <v/>
      </c>
      <c r="M2" s="6">
        <f>IF(A2="","",COUNTIFS('激励事件明细'!$C$2:$C$501,A2,'激励事件明细'!$H$2:$H$501,C2,'激励事件明细'!$Z$2:$Z$501,"&gt;0"))</f>
        <v/>
      </c>
      <c r="N2" s="6">
        <f>IF(O2="","",IFERROR(INDEX('激励事件明细'!$A$2:$A$501,MATCH(1,('激励事件明细'!$C$2:$C$501=A2)*('激励事件明细'!$H$2:$H$501=C2)*('激励事件明细'!$AB$2:$AB$501=O2),0)),""))</f>
        <v/>
      </c>
      <c r="O2" s="16">
        <f>IF(A2="","",IFERROR(AGGREGATE(15,6,'激励事件明细'!$AB$2:$AB$501/(('激励事件明细'!$C$2:$C$501=A2)*('激励事件明细'!$H$2:$H$501=C2)*('激励事件明细'!$Z$2:$Z$501&gt;0)),1),""))</f>
        <v/>
      </c>
      <c r="P2" s="6">
        <f>IF(A2="","",IF(K2&gt;J2,"异常：超额缴税",IF(L2=0,"已缴清",IF(AND(O2&lt;TODAY(),L2&gt;0),"逾期未缴","未缴清"))))</f>
        <v/>
      </c>
    </row>
    <row r="3">
      <c r="A3" s="11" t="n"/>
      <c r="B3" s="6">
        <f>IF(A3="","",IFERROR(INDEX('激励事件明细'!$D$2:$D$501,MATCH(A3,'激励事件明细'!$C$2:$C$501,0)),""))</f>
        <v/>
      </c>
      <c r="C3" s="11" t="n"/>
      <c r="D3" s="14">
        <f>IF(OR(A3="",C3=""),"",SUMIFS('激励事件明细'!$S$2:$S$501,'激励事件明细'!$C$2:$C$501,A3,'激励事件明细'!$H$2:$H$501,C3,'激励事件明细'!$F$2:$F$501,"股票期权"))</f>
        <v/>
      </c>
      <c r="E3" s="14">
        <f>IF(OR(A3="",C3=""),"",SUMIFS('激励事件明细'!$S$2:$S$501,'激励事件明细'!$C$2:$C$501,A3,'激励事件明细'!$H$2:$H$501,C3,'激励事件明细'!$F$2:$F$501,"限制性股票"))</f>
        <v/>
      </c>
      <c r="F3" s="14">
        <f>IF(OR(A3="",C3=""),"",SUMIFS('激励事件明细'!$S$2:$S$501,'激励事件明细'!$C$2:$C$501,A3,'激励事件明细'!$H$2:$H$501,C3,'激励事件明细'!$F$2:$F$501,"其他股权激励"))</f>
        <v/>
      </c>
      <c r="G3" s="14">
        <f>IF(A3="","",SUM(D3:F3))</f>
        <v/>
      </c>
      <c r="H3" s="15">
        <f>IF(G3="","",VLOOKUP(G3,'税率及规则'!$A$2:$C$8,2,TRUE))</f>
        <v/>
      </c>
      <c r="I3" s="14">
        <f>IF(G3="","",VLOOKUP(G3,'税率及规则'!$A$2:$C$8,3,TRUE))</f>
        <v/>
      </c>
      <c r="J3" s="14">
        <f>IF(G3="","",MAX(0,G3*H3-I3))</f>
        <v/>
      </c>
      <c r="K3" s="14">
        <f>IF(A3="","",SUMIFS('分期缴税台账'!$K$2:$K$501,'分期缴税台账'!$A$2:$A$501,A3,'分期缴税台账'!$C$2:$C$501,C3))</f>
        <v/>
      </c>
      <c r="L3" s="14">
        <f>IF(J3="","",MAX(0,J3-K3))</f>
        <v/>
      </c>
      <c r="M3" s="6">
        <f>IF(A3="","",COUNTIFS('激励事件明细'!$C$2:$C$501,A3,'激励事件明细'!$H$2:$H$501,C3,'激励事件明细'!$Z$2:$Z$501,"&gt;0"))</f>
        <v/>
      </c>
      <c r="N3" s="6">
        <f>IF(O3="","",IFERROR(INDEX('激励事件明细'!$A$2:$A$501,MATCH(1,('激励事件明细'!$C$2:$C$501=A3)*('激励事件明细'!$H$2:$H$501=C3)*('激励事件明细'!$AB$2:$AB$501=O3),0)),""))</f>
        <v/>
      </c>
      <c r="O3" s="16">
        <f>IF(A3="","",IFERROR(AGGREGATE(15,6,'激励事件明细'!$AB$2:$AB$501/(('激励事件明细'!$C$2:$C$501=A3)*('激励事件明细'!$H$2:$H$501=C3)*('激励事件明细'!$Z$2:$Z$501&gt;0)),1),""))</f>
        <v/>
      </c>
      <c r="P3" s="6">
        <f>IF(A3="","",IF(K3&gt;J3,"异常：超额缴税",IF(L3=0,"已缴清",IF(AND(O3&lt;TODAY(),L3&gt;0),"逾期未缴","未缴清"))))</f>
        <v/>
      </c>
    </row>
    <row r="4">
      <c r="A4" s="11" t="n"/>
      <c r="B4" s="6">
        <f>IF(A4="","",IFERROR(INDEX('激励事件明细'!$D$2:$D$501,MATCH(A4,'激励事件明细'!$C$2:$C$501,0)),""))</f>
        <v/>
      </c>
      <c r="C4" s="11" t="n"/>
      <c r="D4" s="14">
        <f>IF(OR(A4="",C4=""),"",SUMIFS('激励事件明细'!$S$2:$S$501,'激励事件明细'!$C$2:$C$501,A4,'激励事件明细'!$H$2:$H$501,C4,'激励事件明细'!$F$2:$F$501,"股票期权"))</f>
        <v/>
      </c>
      <c r="E4" s="14">
        <f>IF(OR(A4="",C4=""),"",SUMIFS('激励事件明细'!$S$2:$S$501,'激励事件明细'!$C$2:$C$501,A4,'激励事件明细'!$H$2:$H$501,C4,'激励事件明细'!$F$2:$F$501,"限制性股票"))</f>
        <v/>
      </c>
      <c r="F4" s="14">
        <f>IF(OR(A4="",C4=""),"",SUMIFS('激励事件明细'!$S$2:$S$501,'激励事件明细'!$C$2:$C$501,A4,'激励事件明细'!$H$2:$H$501,C4,'激励事件明细'!$F$2:$F$501,"其他股权激励"))</f>
        <v/>
      </c>
      <c r="G4" s="14">
        <f>IF(A4="","",SUM(D4:F4))</f>
        <v/>
      </c>
      <c r="H4" s="15">
        <f>IF(G4="","",VLOOKUP(G4,'税率及规则'!$A$2:$C$8,2,TRUE))</f>
        <v/>
      </c>
      <c r="I4" s="14">
        <f>IF(G4="","",VLOOKUP(G4,'税率及规则'!$A$2:$C$8,3,TRUE))</f>
        <v/>
      </c>
      <c r="J4" s="14">
        <f>IF(G4="","",MAX(0,G4*H4-I4))</f>
        <v/>
      </c>
      <c r="K4" s="14">
        <f>IF(A4="","",SUMIFS('分期缴税台账'!$K$2:$K$501,'分期缴税台账'!$A$2:$A$501,A4,'分期缴税台账'!$C$2:$C$501,C4))</f>
        <v/>
      </c>
      <c r="L4" s="14">
        <f>IF(J4="","",MAX(0,J4-K4))</f>
        <v/>
      </c>
      <c r="M4" s="6">
        <f>IF(A4="","",COUNTIFS('激励事件明细'!$C$2:$C$501,A4,'激励事件明细'!$H$2:$H$501,C4,'激励事件明细'!$Z$2:$Z$501,"&gt;0"))</f>
        <v/>
      </c>
      <c r="N4" s="6">
        <f>IF(O4="","",IFERROR(INDEX('激励事件明细'!$A$2:$A$501,MATCH(1,('激励事件明细'!$C$2:$C$501=A4)*('激励事件明细'!$H$2:$H$501=C4)*('激励事件明细'!$AB$2:$AB$501=O4),0)),""))</f>
        <v/>
      </c>
      <c r="O4" s="16">
        <f>IF(A4="","",IFERROR(AGGREGATE(15,6,'激励事件明细'!$AB$2:$AB$501/(('激励事件明细'!$C$2:$C$501=A4)*('激励事件明细'!$H$2:$H$501=C4)*('激励事件明细'!$Z$2:$Z$501&gt;0)),1),""))</f>
        <v/>
      </c>
      <c r="P4" s="6">
        <f>IF(A4="","",IF(K4&gt;J4,"异常：超额缴税",IF(L4=0,"已缴清",IF(AND(O4&lt;TODAY(),L4&gt;0),"逾期未缴","未缴清"))))</f>
        <v/>
      </c>
    </row>
    <row r="5">
      <c r="A5" s="11" t="n"/>
      <c r="B5" s="6">
        <f>IF(A5="","",IFERROR(INDEX('激励事件明细'!$D$2:$D$501,MATCH(A5,'激励事件明细'!$C$2:$C$501,0)),""))</f>
        <v/>
      </c>
      <c r="C5" s="11" t="n"/>
      <c r="D5" s="14">
        <f>IF(OR(A5="",C5=""),"",SUMIFS('激励事件明细'!$S$2:$S$501,'激励事件明细'!$C$2:$C$501,A5,'激励事件明细'!$H$2:$H$501,C5,'激励事件明细'!$F$2:$F$501,"股票期权"))</f>
        <v/>
      </c>
      <c r="E5" s="14">
        <f>IF(OR(A5="",C5=""),"",SUMIFS('激励事件明细'!$S$2:$S$501,'激励事件明细'!$C$2:$C$501,A5,'激励事件明细'!$H$2:$H$501,C5,'激励事件明细'!$F$2:$F$501,"限制性股票"))</f>
        <v/>
      </c>
      <c r="F5" s="14">
        <f>IF(OR(A5="",C5=""),"",SUMIFS('激励事件明细'!$S$2:$S$501,'激励事件明细'!$C$2:$C$501,A5,'激励事件明细'!$H$2:$H$501,C5,'激励事件明细'!$F$2:$F$501,"其他股权激励"))</f>
        <v/>
      </c>
      <c r="G5" s="14">
        <f>IF(A5="","",SUM(D5:F5))</f>
        <v/>
      </c>
      <c r="H5" s="15">
        <f>IF(G5="","",VLOOKUP(G5,'税率及规则'!$A$2:$C$8,2,TRUE))</f>
        <v/>
      </c>
      <c r="I5" s="14">
        <f>IF(G5="","",VLOOKUP(G5,'税率及规则'!$A$2:$C$8,3,TRUE))</f>
        <v/>
      </c>
      <c r="J5" s="14">
        <f>IF(G5="","",MAX(0,G5*H5-I5))</f>
        <v/>
      </c>
      <c r="K5" s="14">
        <f>IF(A5="","",SUMIFS('分期缴税台账'!$K$2:$K$501,'分期缴税台账'!$A$2:$A$501,A5,'分期缴税台账'!$C$2:$C$501,C5))</f>
        <v/>
      </c>
      <c r="L5" s="14">
        <f>IF(J5="","",MAX(0,J5-K5))</f>
        <v/>
      </c>
      <c r="M5" s="6">
        <f>IF(A5="","",COUNTIFS('激励事件明细'!$C$2:$C$501,A5,'激励事件明细'!$H$2:$H$501,C5,'激励事件明细'!$Z$2:$Z$501,"&gt;0"))</f>
        <v/>
      </c>
      <c r="N5" s="6">
        <f>IF(O5="","",IFERROR(INDEX('激励事件明细'!$A$2:$A$501,MATCH(1,('激励事件明细'!$C$2:$C$501=A5)*('激励事件明细'!$H$2:$H$501=C5)*('激励事件明细'!$AB$2:$AB$501=O5),0)),""))</f>
        <v/>
      </c>
      <c r="O5" s="16">
        <f>IF(A5="","",IFERROR(AGGREGATE(15,6,'激励事件明细'!$AB$2:$AB$501/(('激励事件明细'!$C$2:$C$501=A5)*('激励事件明细'!$H$2:$H$501=C5)*('激励事件明细'!$Z$2:$Z$501&gt;0)),1),""))</f>
        <v/>
      </c>
      <c r="P5" s="6">
        <f>IF(A5="","",IF(K5&gt;J5,"异常：超额缴税",IF(L5=0,"已缴清",IF(AND(O5&lt;TODAY(),L5&gt;0),"逾期未缴","未缴清"))))</f>
        <v/>
      </c>
    </row>
    <row r="6">
      <c r="A6" s="11" t="n"/>
      <c r="B6" s="6">
        <f>IF(A6="","",IFERROR(INDEX('激励事件明细'!$D$2:$D$501,MATCH(A6,'激励事件明细'!$C$2:$C$501,0)),""))</f>
        <v/>
      </c>
      <c r="C6" s="11" t="n"/>
      <c r="D6" s="14">
        <f>IF(OR(A6="",C6=""),"",SUMIFS('激励事件明细'!$S$2:$S$501,'激励事件明细'!$C$2:$C$501,A6,'激励事件明细'!$H$2:$H$501,C6,'激励事件明细'!$F$2:$F$501,"股票期权"))</f>
        <v/>
      </c>
      <c r="E6" s="14">
        <f>IF(OR(A6="",C6=""),"",SUMIFS('激励事件明细'!$S$2:$S$501,'激励事件明细'!$C$2:$C$501,A6,'激励事件明细'!$H$2:$H$501,C6,'激励事件明细'!$F$2:$F$501,"限制性股票"))</f>
        <v/>
      </c>
      <c r="F6" s="14">
        <f>IF(OR(A6="",C6=""),"",SUMIFS('激励事件明细'!$S$2:$S$501,'激励事件明细'!$C$2:$C$501,A6,'激励事件明细'!$H$2:$H$501,C6,'激励事件明细'!$F$2:$F$501,"其他股权激励"))</f>
        <v/>
      </c>
      <c r="G6" s="14">
        <f>IF(A6="","",SUM(D6:F6))</f>
        <v/>
      </c>
      <c r="H6" s="15">
        <f>IF(G6="","",VLOOKUP(G6,'税率及规则'!$A$2:$C$8,2,TRUE))</f>
        <v/>
      </c>
      <c r="I6" s="14">
        <f>IF(G6="","",VLOOKUP(G6,'税率及规则'!$A$2:$C$8,3,TRUE))</f>
        <v/>
      </c>
      <c r="J6" s="14">
        <f>IF(G6="","",MAX(0,G6*H6-I6))</f>
        <v/>
      </c>
      <c r="K6" s="14">
        <f>IF(A6="","",SUMIFS('分期缴税台账'!$K$2:$K$501,'分期缴税台账'!$A$2:$A$501,A6,'分期缴税台账'!$C$2:$C$501,C6))</f>
        <v/>
      </c>
      <c r="L6" s="14">
        <f>IF(J6="","",MAX(0,J6-K6))</f>
        <v/>
      </c>
      <c r="M6" s="6">
        <f>IF(A6="","",COUNTIFS('激励事件明细'!$C$2:$C$501,A6,'激励事件明细'!$H$2:$H$501,C6,'激励事件明细'!$Z$2:$Z$501,"&gt;0"))</f>
        <v/>
      </c>
      <c r="N6" s="6">
        <f>IF(O6="","",IFERROR(INDEX('激励事件明细'!$A$2:$A$501,MATCH(1,('激励事件明细'!$C$2:$C$501=A6)*('激励事件明细'!$H$2:$H$501=C6)*('激励事件明细'!$AB$2:$AB$501=O6),0)),""))</f>
        <v/>
      </c>
      <c r="O6" s="16">
        <f>IF(A6="","",IFERROR(AGGREGATE(15,6,'激励事件明细'!$AB$2:$AB$501/(('激励事件明细'!$C$2:$C$501=A6)*('激励事件明细'!$H$2:$H$501=C6)*('激励事件明细'!$Z$2:$Z$501&gt;0)),1),""))</f>
        <v/>
      </c>
      <c r="P6" s="6">
        <f>IF(A6="","",IF(K6&gt;J6,"异常：超额缴税",IF(L6=0,"已缴清",IF(AND(O6&lt;TODAY(),L6&gt;0),"逾期未缴","未缴清"))))</f>
        <v/>
      </c>
    </row>
    <row r="7">
      <c r="A7" s="11" t="n"/>
      <c r="B7" s="6">
        <f>IF(A7="","",IFERROR(INDEX('激励事件明细'!$D$2:$D$501,MATCH(A7,'激励事件明细'!$C$2:$C$501,0)),""))</f>
        <v/>
      </c>
      <c r="C7" s="11" t="n"/>
      <c r="D7" s="14">
        <f>IF(OR(A7="",C7=""),"",SUMIFS('激励事件明细'!$S$2:$S$501,'激励事件明细'!$C$2:$C$501,A7,'激励事件明细'!$H$2:$H$501,C7,'激励事件明细'!$F$2:$F$501,"股票期权"))</f>
        <v/>
      </c>
      <c r="E7" s="14">
        <f>IF(OR(A7="",C7=""),"",SUMIFS('激励事件明细'!$S$2:$S$501,'激励事件明细'!$C$2:$C$501,A7,'激励事件明细'!$H$2:$H$501,C7,'激励事件明细'!$F$2:$F$501,"限制性股票"))</f>
        <v/>
      </c>
      <c r="F7" s="14">
        <f>IF(OR(A7="",C7=""),"",SUMIFS('激励事件明细'!$S$2:$S$501,'激励事件明细'!$C$2:$C$501,A7,'激励事件明细'!$H$2:$H$501,C7,'激励事件明细'!$F$2:$F$501,"其他股权激励"))</f>
        <v/>
      </c>
      <c r="G7" s="14">
        <f>IF(A7="","",SUM(D7:F7))</f>
        <v/>
      </c>
      <c r="H7" s="15">
        <f>IF(G7="","",VLOOKUP(G7,'税率及规则'!$A$2:$C$8,2,TRUE))</f>
        <v/>
      </c>
      <c r="I7" s="14">
        <f>IF(G7="","",VLOOKUP(G7,'税率及规则'!$A$2:$C$8,3,TRUE))</f>
        <v/>
      </c>
      <c r="J7" s="14">
        <f>IF(G7="","",MAX(0,G7*H7-I7))</f>
        <v/>
      </c>
      <c r="K7" s="14">
        <f>IF(A7="","",SUMIFS('分期缴税台账'!$K$2:$K$501,'分期缴税台账'!$A$2:$A$501,A7,'分期缴税台账'!$C$2:$C$501,C7))</f>
        <v/>
      </c>
      <c r="L7" s="14">
        <f>IF(J7="","",MAX(0,J7-K7))</f>
        <v/>
      </c>
      <c r="M7" s="6">
        <f>IF(A7="","",COUNTIFS('激励事件明细'!$C$2:$C$501,A7,'激励事件明细'!$H$2:$H$501,C7,'激励事件明细'!$Z$2:$Z$501,"&gt;0"))</f>
        <v/>
      </c>
      <c r="N7" s="6">
        <f>IF(O7="","",IFERROR(INDEX('激励事件明细'!$A$2:$A$501,MATCH(1,('激励事件明细'!$C$2:$C$501=A7)*('激励事件明细'!$H$2:$H$501=C7)*('激励事件明细'!$AB$2:$AB$501=O7),0)),""))</f>
        <v/>
      </c>
      <c r="O7" s="16">
        <f>IF(A7="","",IFERROR(AGGREGATE(15,6,'激励事件明细'!$AB$2:$AB$501/(('激励事件明细'!$C$2:$C$501=A7)*('激励事件明细'!$H$2:$H$501=C7)*('激励事件明细'!$Z$2:$Z$501&gt;0)),1),""))</f>
        <v/>
      </c>
      <c r="P7" s="6">
        <f>IF(A7="","",IF(K7&gt;J7,"异常：超额缴税",IF(L7=0,"已缴清",IF(AND(O7&lt;TODAY(),L7&gt;0),"逾期未缴","未缴清"))))</f>
        <v/>
      </c>
    </row>
    <row r="8">
      <c r="A8" s="11" t="n"/>
      <c r="B8" s="6">
        <f>IF(A8="","",IFERROR(INDEX('激励事件明细'!$D$2:$D$501,MATCH(A8,'激励事件明细'!$C$2:$C$501,0)),""))</f>
        <v/>
      </c>
      <c r="C8" s="11" t="n"/>
      <c r="D8" s="14">
        <f>IF(OR(A8="",C8=""),"",SUMIFS('激励事件明细'!$S$2:$S$501,'激励事件明细'!$C$2:$C$501,A8,'激励事件明细'!$H$2:$H$501,C8,'激励事件明细'!$F$2:$F$501,"股票期权"))</f>
        <v/>
      </c>
      <c r="E8" s="14">
        <f>IF(OR(A8="",C8=""),"",SUMIFS('激励事件明细'!$S$2:$S$501,'激励事件明细'!$C$2:$C$501,A8,'激励事件明细'!$H$2:$H$501,C8,'激励事件明细'!$F$2:$F$501,"限制性股票"))</f>
        <v/>
      </c>
      <c r="F8" s="14">
        <f>IF(OR(A8="",C8=""),"",SUMIFS('激励事件明细'!$S$2:$S$501,'激励事件明细'!$C$2:$C$501,A8,'激励事件明细'!$H$2:$H$501,C8,'激励事件明细'!$F$2:$F$501,"其他股权激励"))</f>
        <v/>
      </c>
      <c r="G8" s="14">
        <f>IF(A8="","",SUM(D8:F8))</f>
        <v/>
      </c>
      <c r="H8" s="15">
        <f>IF(G8="","",VLOOKUP(G8,'税率及规则'!$A$2:$C$8,2,TRUE))</f>
        <v/>
      </c>
      <c r="I8" s="14">
        <f>IF(G8="","",VLOOKUP(G8,'税率及规则'!$A$2:$C$8,3,TRUE))</f>
        <v/>
      </c>
      <c r="J8" s="14">
        <f>IF(G8="","",MAX(0,G8*H8-I8))</f>
        <v/>
      </c>
      <c r="K8" s="14">
        <f>IF(A8="","",SUMIFS('分期缴税台账'!$K$2:$K$501,'分期缴税台账'!$A$2:$A$501,A8,'分期缴税台账'!$C$2:$C$501,C8))</f>
        <v/>
      </c>
      <c r="L8" s="14">
        <f>IF(J8="","",MAX(0,J8-K8))</f>
        <v/>
      </c>
      <c r="M8" s="6">
        <f>IF(A8="","",COUNTIFS('激励事件明细'!$C$2:$C$501,A8,'激励事件明细'!$H$2:$H$501,C8,'激励事件明细'!$Z$2:$Z$501,"&gt;0"))</f>
        <v/>
      </c>
      <c r="N8" s="6">
        <f>IF(O8="","",IFERROR(INDEX('激励事件明细'!$A$2:$A$501,MATCH(1,('激励事件明细'!$C$2:$C$501=A8)*('激励事件明细'!$H$2:$H$501=C8)*('激励事件明细'!$AB$2:$AB$501=O8),0)),""))</f>
        <v/>
      </c>
      <c r="O8" s="16">
        <f>IF(A8="","",IFERROR(AGGREGATE(15,6,'激励事件明细'!$AB$2:$AB$501/(('激励事件明细'!$C$2:$C$501=A8)*('激励事件明细'!$H$2:$H$501=C8)*('激励事件明细'!$Z$2:$Z$501&gt;0)),1),""))</f>
        <v/>
      </c>
      <c r="P8" s="6">
        <f>IF(A8="","",IF(K8&gt;J8,"异常：超额缴税",IF(L8=0,"已缴清",IF(AND(O8&lt;TODAY(),L8&gt;0),"逾期未缴","未缴清"))))</f>
        <v/>
      </c>
    </row>
    <row r="9">
      <c r="A9" s="11" t="n"/>
      <c r="B9" s="6">
        <f>IF(A9="","",IFERROR(INDEX('激励事件明细'!$D$2:$D$501,MATCH(A9,'激励事件明细'!$C$2:$C$501,0)),""))</f>
        <v/>
      </c>
      <c r="C9" s="11" t="n"/>
      <c r="D9" s="14">
        <f>IF(OR(A9="",C9=""),"",SUMIFS('激励事件明细'!$S$2:$S$501,'激励事件明细'!$C$2:$C$501,A9,'激励事件明细'!$H$2:$H$501,C9,'激励事件明细'!$F$2:$F$501,"股票期权"))</f>
        <v/>
      </c>
      <c r="E9" s="14">
        <f>IF(OR(A9="",C9=""),"",SUMIFS('激励事件明细'!$S$2:$S$501,'激励事件明细'!$C$2:$C$501,A9,'激励事件明细'!$H$2:$H$501,C9,'激励事件明细'!$F$2:$F$501,"限制性股票"))</f>
        <v/>
      </c>
      <c r="F9" s="14">
        <f>IF(OR(A9="",C9=""),"",SUMIFS('激励事件明细'!$S$2:$S$501,'激励事件明细'!$C$2:$C$501,A9,'激励事件明细'!$H$2:$H$501,C9,'激励事件明细'!$F$2:$F$501,"其他股权激励"))</f>
        <v/>
      </c>
      <c r="G9" s="14">
        <f>IF(A9="","",SUM(D9:F9))</f>
        <v/>
      </c>
      <c r="H9" s="15">
        <f>IF(G9="","",VLOOKUP(G9,'税率及规则'!$A$2:$C$8,2,TRUE))</f>
        <v/>
      </c>
      <c r="I9" s="14">
        <f>IF(G9="","",VLOOKUP(G9,'税率及规则'!$A$2:$C$8,3,TRUE))</f>
        <v/>
      </c>
      <c r="J9" s="14">
        <f>IF(G9="","",MAX(0,G9*H9-I9))</f>
        <v/>
      </c>
      <c r="K9" s="14">
        <f>IF(A9="","",SUMIFS('分期缴税台账'!$K$2:$K$501,'分期缴税台账'!$A$2:$A$501,A9,'分期缴税台账'!$C$2:$C$501,C9))</f>
        <v/>
      </c>
      <c r="L9" s="14">
        <f>IF(J9="","",MAX(0,J9-K9))</f>
        <v/>
      </c>
      <c r="M9" s="6">
        <f>IF(A9="","",COUNTIFS('激励事件明细'!$C$2:$C$501,A9,'激励事件明细'!$H$2:$H$501,C9,'激励事件明细'!$Z$2:$Z$501,"&gt;0"))</f>
        <v/>
      </c>
      <c r="N9" s="6">
        <f>IF(O9="","",IFERROR(INDEX('激励事件明细'!$A$2:$A$501,MATCH(1,('激励事件明细'!$C$2:$C$501=A9)*('激励事件明细'!$H$2:$H$501=C9)*('激励事件明细'!$AB$2:$AB$501=O9),0)),""))</f>
        <v/>
      </c>
      <c r="O9" s="16">
        <f>IF(A9="","",IFERROR(AGGREGATE(15,6,'激励事件明细'!$AB$2:$AB$501/(('激励事件明细'!$C$2:$C$501=A9)*('激励事件明细'!$H$2:$H$501=C9)*('激励事件明细'!$Z$2:$Z$501&gt;0)),1),""))</f>
        <v/>
      </c>
      <c r="P9" s="6">
        <f>IF(A9="","",IF(K9&gt;J9,"异常：超额缴税",IF(L9=0,"已缴清",IF(AND(O9&lt;TODAY(),L9&gt;0),"逾期未缴","未缴清"))))</f>
        <v/>
      </c>
    </row>
    <row r="10">
      <c r="A10" s="11" t="n"/>
      <c r="B10" s="6">
        <f>IF(A10="","",IFERROR(INDEX('激励事件明细'!$D$2:$D$501,MATCH(A10,'激励事件明细'!$C$2:$C$501,0)),""))</f>
        <v/>
      </c>
      <c r="C10" s="11" t="n"/>
      <c r="D10" s="14">
        <f>IF(OR(A10="",C10=""),"",SUMIFS('激励事件明细'!$S$2:$S$501,'激励事件明细'!$C$2:$C$501,A10,'激励事件明细'!$H$2:$H$501,C10,'激励事件明细'!$F$2:$F$501,"股票期权"))</f>
        <v/>
      </c>
      <c r="E10" s="14">
        <f>IF(OR(A10="",C10=""),"",SUMIFS('激励事件明细'!$S$2:$S$501,'激励事件明细'!$C$2:$C$501,A10,'激励事件明细'!$H$2:$H$501,C10,'激励事件明细'!$F$2:$F$501,"限制性股票"))</f>
        <v/>
      </c>
      <c r="F10" s="14">
        <f>IF(OR(A10="",C10=""),"",SUMIFS('激励事件明细'!$S$2:$S$501,'激励事件明细'!$C$2:$C$501,A10,'激励事件明细'!$H$2:$H$501,C10,'激励事件明细'!$F$2:$F$501,"其他股权激励"))</f>
        <v/>
      </c>
      <c r="G10" s="14">
        <f>IF(A10="","",SUM(D10:F10))</f>
        <v/>
      </c>
      <c r="H10" s="15">
        <f>IF(G10="","",VLOOKUP(G10,'税率及规则'!$A$2:$C$8,2,TRUE))</f>
        <v/>
      </c>
      <c r="I10" s="14">
        <f>IF(G10="","",VLOOKUP(G10,'税率及规则'!$A$2:$C$8,3,TRUE))</f>
        <v/>
      </c>
      <c r="J10" s="14">
        <f>IF(G10="","",MAX(0,G10*H10-I10))</f>
        <v/>
      </c>
      <c r="K10" s="14">
        <f>IF(A10="","",SUMIFS('分期缴税台账'!$K$2:$K$501,'分期缴税台账'!$A$2:$A$501,A10,'分期缴税台账'!$C$2:$C$501,C10))</f>
        <v/>
      </c>
      <c r="L10" s="14">
        <f>IF(J10="","",MAX(0,J10-K10))</f>
        <v/>
      </c>
      <c r="M10" s="6">
        <f>IF(A10="","",COUNTIFS('激励事件明细'!$C$2:$C$501,A10,'激励事件明细'!$H$2:$H$501,C10,'激励事件明细'!$Z$2:$Z$501,"&gt;0"))</f>
        <v/>
      </c>
      <c r="N10" s="6">
        <f>IF(O10="","",IFERROR(INDEX('激励事件明细'!$A$2:$A$501,MATCH(1,('激励事件明细'!$C$2:$C$501=A10)*('激励事件明细'!$H$2:$H$501=C10)*('激励事件明细'!$AB$2:$AB$501=O10),0)),""))</f>
        <v/>
      </c>
      <c r="O10" s="16">
        <f>IF(A10="","",IFERROR(AGGREGATE(15,6,'激励事件明细'!$AB$2:$AB$501/(('激励事件明细'!$C$2:$C$501=A10)*('激励事件明细'!$H$2:$H$501=C10)*('激励事件明细'!$Z$2:$Z$501&gt;0)),1),""))</f>
        <v/>
      </c>
      <c r="P10" s="6">
        <f>IF(A10="","",IF(K10&gt;J10,"异常：超额缴税",IF(L10=0,"已缴清",IF(AND(O10&lt;TODAY(),L10&gt;0),"逾期未缴","未缴清"))))</f>
        <v/>
      </c>
    </row>
    <row r="11">
      <c r="A11" s="11" t="n"/>
      <c r="B11" s="6">
        <f>IF(A11="","",IFERROR(INDEX('激励事件明细'!$D$2:$D$501,MATCH(A11,'激励事件明细'!$C$2:$C$501,0)),""))</f>
        <v/>
      </c>
      <c r="C11" s="11" t="n"/>
      <c r="D11" s="14">
        <f>IF(OR(A11="",C11=""),"",SUMIFS('激励事件明细'!$S$2:$S$501,'激励事件明细'!$C$2:$C$501,A11,'激励事件明细'!$H$2:$H$501,C11,'激励事件明细'!$F$2:$F$501,"股票期权"))</f>
        <v/>
      </c>
      <c r="E11" s="14">
        <f>IF(OR(A11="",C11=""),"",SUMIFS('激励事件明细'!$S$2:$S$501,'激励事件明细'!$C$2:$C$501,A11,'激励事件明细'!$H$2:$H$501,C11,'激励事件明细'!$F$2:$F$501,"限制性股票"))</f>
        <v/>
      </c>
      <c r="F11" s="14">
        <f>IF(OR(A11="",C11=""),"",SUMIFS('激励事件明细'!$S$2:$S$501,'激励事件明细'!$C$2:$C$501,A11,'激励事件明细'!$H$2:$H$501,C11,'激励事件明细'!$F$2:$F$501,"其他股权激励"))</f>
        <v/>
      </c>
      <c r="G11" s="14">
        <f>IF(A11="","",SUM(D11:F11))</f>
        <v/>
      </c>
      <c r="H11" s="15">
        <f>IF(G11="","",VLOOKUP(G11,'税率及规则'!$A$2:$C$8,2,TRUE))</f>
        <v/>
      </c>
      <c r="I11" s="14">
        <f>IF(G11="","",VLOOKUP(G11,'税率及规则'!$A$2:$C$8,3,TRUE))</f>
        <v/>
      </c>
      <c r="J11" s="14">
        <f>IF(G11="","",MAX(0,G11*H11-I11))</f>
        <v/>
      </c>
      <c r="K11" s="14">
        <f>IF(A11="","",SUMIFS('分期缴税台账'!$K$2:$K$501,'分期缴税台账'!$A$2:$A$501,A11,'分期缴税台账'!$C$2:$C$501,C11))</f>
        <v/>
      </c>
      <c r="L11" s="14">
        <f>IF(J11="","",MAX(0,J11-K11))</f>
        <v/>
      </c>
      <c r="M11" s="6">
        <f>IF(A11="","",COUNTIFS('激励事件明细'!$C$2:$C$501,A11,'激励事件明细'!$H$2:$H$501,C11,'激励事件明细'!$Z$2:$Z$501,"&gt;0"))</f>
        <v/>
      </c>
      <c r="N11" s="6">
        <f>IF(O11="","",IFERROR(INDEX('激励事件明细'!$A$2:$A$501,MATCH(1,('激励事件明细'!$C$2:$C$501=A11)*('激励事件明细'!$H$2:$H$501=C11)*('激励事件明细'!$AB$2:$AB$501=O11),0)),""))</f>
        <v/>
      </c>
      <c r="O11" s="16">
        <f>IF(A11="","",IFERROR(AGGREGATE(15,6,'激励事件明细'!$AB$2:$AB$501/(('激励事件明细'!$C$2:$C$501=A11)*('激励事件明细'!$H$2:$H$501=C11)*('激励事件明细'!$Z$2:$Z$501&gt;0)),1),""))</f>
        <v/>
      </c>
      <c r="P11" s="6">
        <f>IF(A11="","",IF(K11&gt;J11,"异常：超额缴税",IF(L11=0,"已缴清",IF(AND(O11&lt;TODAY(),L11&gt;0),"逾期未缴","未缴清"))))</f>
        <v/>
      </c>
    </row>
    <row r="12">
      <c r="A12" s="11" t="n"/>
      <c r="B12" s="6">
        <f>IF(A12="","",IFERROR(INDEX('激励事件明细'!$D$2:$D$501,MATCH(A12,'激励事件明细'!$C$2:$C$501,0)),""))</f>
        <v/>
      </c>
      <c r="C12" s="11" t="n"/>
      <c r="D12" s="14">
        <f>IF(OR(A12="",C12=""),"",SUMIFS('激励事件明细'!$S$2:$S$501,'激励事件明细'!$C$2:$C$501,A12,'激励事件明细'!$H$2:$H$501,C12,'激励事件明细'!$F$2:$F$501,"股票期权"))</f>
        <v/>
      </c>
      <c r="E12" s="14">
        <f>IF(OR(A12="",C12=""),"",SUMIFS('激励事件明细'!$S$2:$S$501,'激励事件明细'!$C$2:$C$501,A12,'激励事件明细'!$H$2:$H$501,C12,'激励事件明细'!$F$2:$F$501,"限制性股票"))</f>
        <v/>
      </c>
      <c r="F12" s="14">
        <f>IF(OR(A12="",C12=""),"",SUMIFS('激励事件明细'!$S$2:$S$501,'激励事件明细'!$C$2:$C$501,A12,'激励事件明细'!$H$2:$H$501,C12,'激励事件明细'!$F$2:$F$501,"其他股权激励"))</f>
        <v/>
      </c>
      <c r="G12" s="14">
        <f>IF(A12="","",SUM(D12:F12))</f>
        <v/>
      </c>
      <c r="H12" s="15">
        <f>IF(G12="","",VLOOKUP(G12,'税率及规则'!$A$2:$C$8,2,TRUE))</f>
        <v/>
      </c>
      <c r="I12" s="14">
        <f>IF(G12="","",VLOOKUP(G12,'税率及规则'!$A$2:$C$8,3,TRUE))</f>
        <v/>
      </c>
      <c r="J12" s="14">
        <f>IF(G12="","",MAX(0,G12*H12-I12))</f>
        <v/>
      </c>
      <c r="K12" s="14">
        <f>IF(A12="","",SUMIFS('分期缴税台账'!$K$2:$K$501,'分期缴税台账'!$A$2:$A$501,A12,'分期缴税台账'!$C$2:$C$501,C12))</f>
        <v/>
      </c>
      <c r="L12" s="14">
        <f>IF(J12="","",MAX(0,J12-K12))</f>
        <v/>
      </c>
      <c r="M12" s="6">
        <f>IF(A12="","",COUNTIFS('激励事件明细'!$C$2:$C$501,A12,'激励事件明细'!$H$2:$H$501,C12,'激励事件明细'!$Z$2:$Z$501,"&gt;0"))</f>
        <v/>
      </c>
      <c r="N12" s="6">
        <f>IF(O12="","",IFERROR(INDEX('激励事件明细'!$A$2:$A$501,MATCH(1,('激励事件明细'!$C$2:$C$501=A12)*('激励事件明细'!$H$2:$H$501=C12)*('激励事件明细'!$AB$2:$AB$501=O12),0)),""))</f>
        <v/>
      </c>
      <c r="O12" s="16">
        <f>IF(A12="","",IFERROR(AGGREGATE(15,6,'激励事件明细'!$AB$2:$AB$501/(('激励事件明细'!$C$2:$C$501=A12)*('激励事件明细'!$H$2:$H$501=C12)*('激励事件明细'!$Z$2:$Z$501&gt;0)),1),""))</f>
        <v/>
      </c>
      <c r="P12" s="6">
        <f>IF(A12="","",IF(K12&gt;J12,"异常：超额缴税",IF(L12=0,"已缴清",IF(AND(O12&lt;TODAY(),L12&gt;0),"逾期未缴","未缴清"))))</f>
        <v/>
      </c>
    </row>
    <row r="13">
      <c r="A13" s="11" t="n"/>
      <c r="B13" s="6">
        <f>IF(A13="","",IFERROR(INDEX('激励事件明细'!$D$2:$D$501,MATCH(A13,'激励事件明细'!$C$2:$C$501,0)),""))</f>
        <v/>
      </c>
      <c r="C13" s="11" t="n"/>
      <c r="D13" s="14">
        <f>IF(OR(A13="",C13=""),"",SUMIFS('激励事件明细'!$S$2:$S$501,'激励事件明细'!$C$2:$C$501,A13,'激励事件明细'!$H$2:$H$501,C13,'激励事件明细'!$F$2:$F$501,"股票期权"))</f>
        <v/>
      </c>
      <c r="E13" s="14">
        <f>IF(OR(A13="",C13=""),"",SUMIFS('激励事件明细'!$S$2:$S$501,'激励事件明细'!$C$2:$C$501,A13,'激励事件明细'!$H$2:$H$501,C13,'激励事件明细'!$F$2:$F$501,"限制性股票"))</f>
        <v/>
      </c>
      <c r="F13" s="14">
        <f>IF(OR(A13="",C13=""),"",SUMIFS('激励事件明细'!$S$2:$S$501,'激励事件明细'!$C$2:$C$501,A13,'激励事件明细'!$H$2:$H$501,C13,'激励事件明细'!$F$2:$F$501,"其他股权激励"))</f>
        <v/>
      </c>
      <c r="G13" s="14">
        <f>IF(A13="","",SUM(D13:F13))</f>
        <v/>
      </c>
      <c r="H13" s="15">
        <f>IF(G13="","",VLOOKUP(G13,'税率及规则'!$A$2:$C$8,2,TRUE))</f>
        <v/>
      </c>
      <c r="I13" s="14">
        <f>IF(G13="","",VLOOKUP(G13,'税率及规则'!$A$2:$C$8,3,TRUE))</f>
        <v/>
      </c>
      <c r="J13" s="14">
        <f>IF(G13="","",MAX(0,G13*H13-I13))</f>
        <v/>
      </c>
      <c r="K13" s="14">
        <f>IF(A13="","",SUMIFS('分期缴税台账'!$K$2:$K$501,'分期缴税台账'!$A$2:$A$501,A13,'分期缴税台账'!$C$2:$C$501,C13))</f>
        <v/>
      </c>
      <c r="L13" s="14">
        <f>IF(J13="","",MAX(0,J13-K13))</f>
        <v/>
      </c>
      <c r="M13" s="6">
        <f>IF(A13="","",COUNTIFS('激励事件明细'!$C$2:$C$501,A13,'激励事件明细'!$H$2:$H$501,C13,'激励事件明细'!$Z$2:$Z$501,"&gt;0"))</f>
        <v/>
      </c>
      <c r="N13" s="6">
        <f>IF(O13="","",IFERROR(INDEX('激励事件明细'!$A$2:$A$501,MATCH(1,('激励事件明细'!$C$2:$C$501=A13)*('激励事件明细'!$H$2:$H$501=C13)*('激励事件明细'!$AB$2:$AB$501=O13),0)),""))</f>
        <v/>
      </c>
      <c r="O13" s="16">
        <f>IF(A13="","",IFERROR(AGGREGATE(15,6,'激励事件明细'!$AB$2:$AB$501/(('激励事件明细'!$C$2:$C$501=A13)*('激励事件明细'!$H$2:$H$501=C13)*('激励事件明细'!$Z$2:$Z$501&gt;0)),1),""))</f>
        <v/>
      </c>
      <c r="P13" s="6">
        <f>IF(A13="","",IF(K13&gt;J13,"异常：超额缴税",IF(L13=0,"已缴清",IF(AND(O13&lt;TODAY(),L13&gt;0),"逾期未缴","未缴清"))))</f>
        <v/>
      </c>
    </row>
    <row r="14">
      <c r="A14" s="11" t="n"/>
      <c r="B14" s="6">
        <f>IF(A14="","",IFERROR(INDEX('激励事件明细'!$D$2:$D$501,MATCH(A14,'激励事件明细'!$C$2:$C$501,0)),""))</f>
        <v/>
      </c>
      <c r="C14" s="11" t="n"/>
      <c r="D14" s="14">
        <f>IF(OR(A14="",C14=""),"",SUMIFS('激励事件明细'!$S$2:$S$501,'激励事件明细'!$C$2:$C$501,A14,'激励事件明细'!$H$2:$H$501,C14,'激励事件明细'!$F$2:$F$501,"股票期权"))</f>
        <v/>
      </c>
      <c r="E14" s="14">
        <f>IF(OR(A14="",C14=""),"",SUMIFS('激励事件明细'!$S$2:$S$501,'激励事件明细'!$C$2:$C$501,A14,'激励事件明细'!$H$2:$H$501,C14,'激励事件明细'!$F$2:$F$501,"限制性股票"))</f>
        <v/>
      </c>
      <c r="F14" s="14">
        <f>IF(OR(A14="",C14=""),"",SUMIFS('激励事件明细'!$S$2:$S$501,'激励事件明细'!$C$2:$C$501,A14,'激励事件明细'!$H$2:$H$501,C14,'激励事件明细'!$F$2:$F$501,"其他股权激励"))</f>
        <v/>
      </c>
      <c r="G14" s="14">
        <f>IF(A14="","",SUM(D14:F14))</f>
        <v/>
      </c>
      <c r="H14" s="15">
        <f>IF(G14="","",VLOOKUP(G14,'税率及规则'!$A$2:$C$8,2,TRUE))</f>
        <v/>
      </c>
      <c r="I14" s="14">
        <f>IF(G14="","",VLOOKUP(G14,'税率及规则'!$A$2:$C$8,3,TRUE))</f>
        <v/>
      </c>
      <c r="J14" s="14">
        <f>IF(G14="","",MAX(0,G14*H14-I14))</f>
        <v/>
      </c>
      <c r="K14" s="14">
        <f>IF(A14="","",SUMIFS('分期缴税台账'!$K$2:$K$501,'分期缴税台账'!$A$2:$A$501,A14,'分期缴税台账'!$C$2:$C$501,C14))</f>
        <v/>
      </c>
      <c r="L14" s="14">
        <f>IF(J14="","",MAX(0,J14-K14))</f>
        <v/>
      </c>
      <c r="M14" s="6">
        <f>IF(A14="","",COUNTIFS('激励事件明细'!$C$2:$C$501,A14,'激励事件明细'!$H$2:$H$501,C14,'激励事件明细'!$Z$2:$Z$501,"&gt;0"))</f>
        <v/>
      </c>
      <c r="N14" s="6">
        <f>IF(O14="","",IFERROR(INDEX('激励事件明细'!$A$2:$A$501,MATCH(1,('激励事件明细'!$C$2:$C$501=A14)*('激励事件明细'!$H$2:$H$501=C14)*('激励事件明细'!$AB$2:$AB$501=O14),0)),""))</f>
        <v/>
      </c>
      <c r="O14" s="16">
        <f>IF(A14="","",IFERROR(AGGREGATE(15,6,'激励事件明细'!$AB$2:$AB$501/(('激励事件明细'!$C$2:$C$501=A14)*('激励事件明细'!$H$2:$H$501=C14)*('激励事件明细'!$Z$2:$Z$501&gt;0)),1),""))</f>
        <v/>
      </c>
      <c r="P14" s="6">
        <f>IF(A14="","",IF(K14&gt;J14,"异常：超额缴税",IF(L14=0,"已缴清",IF(AND(O14&lt;TODAY(),L14&gt;0),"逾期未缴","未缴清"))))</f>
        <v/>
      </c>
    </row>
    <row r="15">
      <c r="A15" s="11" t="n"/>
      <c r="B15" s="6">
        <f>IF(A15="","",IFERROR(INDEX('激励事件明细'!$D$2:$D$501,MATCH(A15,'激励事件明细'!$C$2:$C$501,0)),""))</f>
        <v/>
      </c>
      <c r="C15" s="11" t="n"/>
      <c r="D15" s="14">
        <f>IF(OR(A15="",C15=""),"",SUMIFS('激励事件明细'!$S$2:$S$501,'激励事件明细'!$C$2:$C$501,A15,'激励事件明细'!$H$2:$H$501,C15,'激励事件明细'!$F$2:$F$501,"股票期权"))</f>
        <v/>
      </c>
      <c r="E15" s="14">
        <f>IF(OR(A15="",C15=""),"",SUMIFS('激励事件明细'!$S$2:$S$501,'激励事件明细'!$C$2:$C$501,A15,'激励事件明细'!$H$2:$H$501,C15,'激励事件明细'!$F$2:$F$501,"限制性股票"))</f>
        <v/>
      </c>
      <c r="F15" s="14">
        <f>IF(OR(A15="",C15=""),"",SUMIFS('激励事件明细'!$S$2:$S$501,'激励事件明细'!$C$2:$C$501,A15,'激励事件明细'!$H$2:$H$501,C15,'激励事件明细'!$F$2:$F$501,"其他股权激励"))</f>
        <v/>
      </c>
      <c r="G15" s="14">
        <f>IF(A15="","",SUM(D15:F15))</f>
        <v/>
      </c>
      <c r="H15" s="15">
        <f>IF(G15="","",VLOOKUP(G15,'税率及规则'!$A$2:$C$8,2,TRUE))</f>
        <v/>
      </c>
      <c r="I15" s="14">
        <f>IF(G15="","",VLOOKUP(G15,'税率及规则'!$A$2:$C$8,3,TRUE))</f>
        <v/>
      </c>
      <c r="J15" s="14">
        <f>IF(G15="","",MAX(0,G15*H15-I15))</f>
        <v/>
      </c>
      <c r="K15" s="14">
        <f>IF(A15="","",SUMIFS('分期缴税台账'!$K$2:$K$501,'分期缴税台账'!$A$2:$A$501,A15,'分期缴税台账'!$C$2:$C$501,C15))</f>
        <v/>
      </c>
      <c r="L15" s="14">
        <f>IF(J15="","",MAX(0,J15-K15))</f>
        <v/>
      </c>
      <c r="M15" s="6">
        <f>IF(A15="","",COUNTIFS('激励事件明细'!$C$2:$C$501,A15,'激励事件明细'!$H$2:$H$501,C15,'激励事件明细'!$Z$2:$Z$501,"&gt;0"))</f>
        <v/>
      </c>
      <c r="N15" s="6">
        <f>IF(O15="","",IFERROR(INDEX('激励事件明细'!$A$2:$A$501,MATCH(1,('激励事件明细'!$C$2:$C$501=A15)*('激励事件明细'!$H$2:$H$501=C15)*('激励事件明细'!$AB$2:$AB$501=O15),0)),""))</f>
        <v/>
      </c>
      <c r="O15" s="16">
        <f>IF(A15="","",IFERROR(AGGREGATE(15,6,'激励事件明细'!$AB$2:$AB$501/(('激励事件明细'!$C$2:$C$501=A15)*('激励事件明细'!$H$2:$H$501=C15)*('激励事件明细'!$Z$2:$Z$501&gt;0)),1),""))</f>
        <v/>
      </c>
      <c r="P15" s="6">
        <f>IF(A15="","",IF(K15&gt;J15,"异常：超额缴税",IF(L15=0,"已缴清",IF(AND(O15&lt;TODAY(),L15&gt;0),"逾期未缴","未缴清"))))</f>
        <v/>
      </c>
    </row>
    <row r="16">
      <c r="A16" s="11" t="n"/>
      <c r="B16" s="6">
        <f>IF(A16="","",IFERROR(INDEX('激励事件明细'!$D$2:$D$501,MATCH(A16,'激励事件明细'!$C$2:$C$501,0)),""))</f>
        <v/>
      </c>
      <c r="C16" s="11" t="n"/>
      <c r="D16" s="14">
        <f>IF(OR(A16="",C16=""),"",SUMIFS('激励事件明细'!$S$2:$S$501,'激励事件明细'!$C$2:$C$501,A16,'激励事件明细'!$H$2:$H$501,C16,'激励事件明细'!$F$2:$F$501,"股票期权"))</f>
        <v/>
      </c>
      <c r="E16" s="14">
        <f>IF(OR(A16="",C16=""),"",SUMIFS('激励事件明细'!$S$2:$S$501,'激励事件明细'!$C$2:$C$501,A16,'激励事件明细'!$H$2:$H$501,C16,'激励事件明细'!$F$2:$F$501,"限制性股票"))</f>
        <v/>
      </c>
      <c r="F16" s="14">
        <f>IF(OR(A16="",C16=""),"",SUMIFS('激励事件明细'!$S$2:$S$501,'激励事件明细'!$C$2:$C$501,A16,'激励事件明细'!$H$2:$H$501,C16,'激励事件明细'!$F$2:$F$501,"其他股权激励"))</f>
        <v/>
      </c>
      <c r="G16" s="14">
        <f>IF(A16="","",SUM(D16:F16))</f>
        <v/>
      </c>
      <c r="H16" s="15">
        <f>IF(G16="","",VLOOKUP(G16,'税率及规则'!$A$2:$C$8,2,TRUE))</f>
        <v/>
      </c>
      <c r="I16" s="14">
        <f>IF(G16="","",VLOOKUP(G16,'税率及规则'!$A$2:$C$8,3,TRUE))</f>
        <v/>
      </c>
      <c r="J16" s="14">
        <f>IF(G16="","",MAX(0,G16*H16-I16))</f>
        <v/>
      </c>
      <c r="K16" s="14">
        <f>IF(A16="","",SUMIFS('分期缴税台账'!$K$2:$K$501,'分期缴税台账'!$A$2:$A$501,A16,'分期缴税台账'!$C$2:$C$501,C16))</f>
        <v/>
      </c>
      <c r="L16" s="14">
        <f>IF(J16="","",MAX(0,J16-K16))</f>
        <v/>
      </c>
      <c r="M16" s="6">
        <f>IF(A16="","",COUNTIFS('激励事件明细'!$C$2:$C$501,A16,'激励事件明细'!$H$2:$H$501,C16,'激励事件明细'!$Z$2:$Z$501,"&gt;0"))</f>
        <v/>
      </c>
      <c r="N16" s="6">
        <f>IF(O16="","",IFERROR(INDEX('激励事件明细'!$A$2:$A$501,MATCH(1,('激励事件明细'!$C$2:$C$501=A16)*('激励事件明细'!$H$2:$H$501=C16)*('激励事件明细'!$AB$2:$AB$501=O16),0)),""))</f>
        <v/>
      </c>
      <c r="O16" s="16">
        <f>IF(A16="","",IFERROR(AGGREGATE(15,6,'激励事件明细'!$AB$2:$AB$501/(('激励事件明细'!$C$2:$C$501=A16)*('激励事件明细'!$H$2:$H$501=C16)*('激励事件明细'!$Z$2:$Z$501&gt;0)),1),""))</f>
        <v/>
      </c>
      <c r="P16" s="6">
        <f>IF(A16="","",IF(K16&gt;J16,"异常：超额缴税",IF(L16=0,"已缴清",IF(AND(O16&lt;TODAY(),L16&gt;0),"逾期未缴","未缴清"))))</f>
        <v/>
      </c>
    </row>
    <row r="17">
      <c r="A17" s="11" t="n"/>
      <c r="B17" s="6">
        <f>IF(A17="","",IFERROR(INDEX('激励事件明细'!$D$2:$D$501,MATCH(A17,'激励事件明细'!$C$2:$C$501,0)),""))</f>
        <v/>
      </c>
      <c r="C17" s="11" t="n"/>
      <c r="D17" s="14">
        <f>IF(OR(A17="",C17=""),"",SUMIFS('激励事件明细'!$S$2:$S$501,'激励事件明细'!$C$2:$C$501,A17,'激励事件明细'!$H$2:$H$501,C17,'激励事件明细'!$F$2:$F$501,"股票期权"))</f>
        <v/>
      </c>
      <c r="E17" s="14">
        <f>IF(OR(A17="",C17=""),"",SUMIFS('激励事件明细'!$S$2:$S$501,'激励事件明细'!$C$2:$C$501,A17,'激励事件明细'!$H$2:$H$501,C17,'激励事件明细'!$F$2:$F$501,"限制性股票"))</f>
        <v/>
      </c>
      <c r="F17" s="14">
        <f>IF(OR(A17="",C17=""),"",SUMIFS('激励事件明细'!$S$2:$S$501,'激励事件明细'!$C$2:$C$501,A17,'激励事件明细'!$H$2:$H$501,C17,'激励事件明细'!$F$2:$F$501,"其他股权激励"))</f>
        <v/>
      </c>
      <c r="G17" s="14">
        <f>IF(A17="","",SUM(D17:F17))</f>
        <v/>
      </c>
      <c r="H17" s="15">
        <f>IF(G17="","",VLOOKUP(G17,'税率及规则'!$A$2:$C$8,2,TRUE))</f>
        <v/>
      </c>
      <c r="I17" s="14">
        <f>IF(G17="","",VLOOKUP(G17,'税率及规则'!$A$2:$C$8,3,TRUE))</f>
        <v/>
      </c>
      <c r="J17" s="14">
        <f>IF(G17="","",MAX(0,G17*H17-I17))</f>
        <v/>
      </c>
      <c r="K17" s="14">
        <f>IF(A17="","",SUMIFS('分期缴税台账'!$K$2:$K$501,'分期缴税台账'!$A$2:$A$501,A17,'分期缴税台账'!$C$2:$C$501,C17))</f>
        <v/>
      </c>
      <c r="L17" s="14">
        <f>IF(J17="","",MAX(0,J17-K17))</f>
        <v/>
      </c>
      <c r="M17" s="6">
        <f>IF(A17="","",COUNTIFS('激励事件明细'!$C$2:$C$501,A17,'激励事件明细'!$H$2:$H$501,C17,'激励事件明细'!$Z$2:$Z$501,"&gt;0"))</f>
        <v/>
      </c>
      <c r="N17" s="6">
        <f>IF(O17="","",IFERROR(INDEX('激励事件明细'!$A$2:$A$501,MATCH(1,('激励事件明细'!$C$2:$C$501=A17)*('激励事件明细'!$H$2:$H$501=C17)*('激励事件明细'!$AB$2:$AB$501=O17),0)),""))</f>
        <v/>
      </c>
      <c r="O17" s="16">
        <f>IF(A17="","",IFERROR(AGGREGATE(15,6,'激励事件明细'!$AB$2:$AB$501/(('激励事件明细'!$C$2:$C$501=A17)*('激励事件明细'!$H$2:$H$501=C17)*('激励事件明细'!$Z$2:$Z$501&gt;0)),1),""))</f>
        <v/>
      </c>
      <c r="P17" s="6">
        <f>IF(A17="","",IF(K17&gt;J17,"异常：超额缴税",IF(L17=0,"已缴清",IF(AND(O17&lt;TODAY(),L17&gt;0),"逾期未缴","未缴清"))))</f>
        <v/>
      </c>
    </row>
    <row r="18">
      <c r="A18" s="11" t="n"/>
      <c r="B18" s="6">
        <f>IF(A18="","",IFERROR(INDEX('激励事件明细'!$D$2:$D$501,MATCH(A18,'激励事件明细'!$C$2:$C$501,0)),""))</f>
        <v/>
      </c>
      <c r="C18" s="11" t="n"/>
      <c r="D18" s="14">
        <f>IF(OR(A18="",C18=""),"",SUMIFS('激励事件明细'!$S$2:$S$501,'激励事件明细'!$C$2:$C$501,A18,'激励事件明细'!$H$2:$H$501,C18,'激励事件明细'!$F$2:$F$501,"股票期权"))</f>
        <v/>
      </c>
      <c r="E18" s="14">
        <f>IF(OR(A18="",C18=""),"",SUMIFS('激励事件明细'!$S$2:$S$501,'激励事件明细'!$C$2:$C$501,A18,'激励事件明细'!$H$2:$H$501,C18,'激励事件明细'!$F$2:$F$501,"限制性股票"))</f>
        <v/>
      </c>
      <c r="F18" s="14">
        <f>IF(OR(A18="",C18=""),"",SUMIFS('激励事件明细'!$S$2:$S$501,'激励事件明细'!$C$2:$C$501,A18,'激励事件明细'!$H$2:$H$501,C18,'激励事件明细'!$F$2:$F$501,"其他股权激励"))</f>
        <v/>
      </c>
      <c r="G18" s="14">
        <f>IF(A18="","",SUM(D18:F18))</f>
        <v/>
      </c>
      <c r="H18" s="15">
        <f>IF(G18="","",VLOOKUP(G18,'税率及规则'!$A$2:$C$8,2,TRUE))</f>
        <v/>
      </c>
      <c r="I18" s="14">
        <f>IF(G18="","",VLOOKUP(G18,'税率及规则'!$A$2:$C$8,3,TRUE))</f>
        <v/>
      </c>
      <c r="J18" s="14">
        <f>IF(G18="","",MAX(0,G18*H18-I18))</f>
        <v/>
      </c>
      <c r="K18" s="14">
        <f>IF(A18="","",SUMIFS('分期缴税台账'!$K$2:$K$501,'分期缴税台账'!$A$2:$A$501,A18,'分期缴税台账'!$C$2:$C$501,C18))</f>
        <v/>
      </c>
      <c r="L18" s="14">
        <f>IF(J18="","",MAX(0,J18-K18))</f>
        <v/>
      </c>
      <c r="M18" s="6">
        <f>IF(A18="","",COUNTIFS('激励事件明细'!$C$2:$C$501,A18,'激励事件明细'!$H$2:$H$501,C18,'激励事件明细'!$Z$2:$Z$501,"&gt;0"))</f>
        <v/>
      </c>
      <c r="N18" s="6">
        <f>IF(O18="","",IFERROR(INDEX('激励事件明细'!$A$2:$A$501,MATCH(1,('激励事件明细'!$C$2:$C$501=A18)*('激励事件明细'!$H$2:$H$501=C18)*('激励事件明细'!$AB$2:$AB$501=O18),0)),""))</f>
        <v/>
      </c>
      <c r="O18" s="16">
        <f>IF(A18="","",IFERROR(AGGREGATE(15,6,'激励事件明细'!$AB$2:$AB$501/(('激励事件明细'!$C$2:$C$501=A18)*('激励事件明细'!$H$2:$H$501=C18)*('激励事件明细'!$Z$2:$Z$501&gt;0)),1),""))</f>
        <v/>
      </c>
      <c r="P18" s="6">
        <f>IF(A18="","",IF(K18&gt;J18,"异常：超额缴税",IF(L18=0,"已缴清",IF(AND(O18&lt;TODAY(),L18&gt;0),"逾期未缴","未缴清"))))</f>
        <v/>
      </c>
    </row>
    <row r="19">
      <c r="A19" s="11" t="n"/>
      <c r="B19" s="6">
        <f>IF(A19="","",IFERROR(INDEX('激励事件明细'!$D$2:$D$501,MATCH(A19,'激励事件明细'!$C$2:$C$501,0)),""))</f>
        <v/>
      </c>
      <c r="C19" s="11" t="n"/>
      <c r="D19" s="14">
        <f>IF(OR(A19="",C19=""),"",SUMIFS('激励事件明细'!$S$2:$S$501,'激励事件明细'!$C$2:$C$501,A19,'激励事件明细'!$H$2:$H$501,C19,'激励事件明细'!$F$2:$F$501,"股票期权"))</f>
        <v/>
      </c>
      <c r="E19" s="14">
        <f>IF(OR(A19="",C19=""),"",SUMIFS('激励事件明细'!$S$2:$S$501,'激励事件明细'!$C$2:$C$501,A19,'激励事件明细'!$H$2:$H$501,C19,'激励事件明细'!$F$2:$F$501,"限制性股票"))</f>
        <v/>
      </c>
      <c r="F19" s="14">
        <f>IF(OR(A19="",C19=""),"",SUMIFS('激励事件明细'!$S$2:$S$501,'激励事件明细'!$C$2:$C$501,A19,'激励事件明细'!$H$2:$H$501,C19,'激励事件明细'!$F$2:$F$501,"其他股权激励"))</f>
        <v/>
      </c>
      <c r="G19" s="14">
        <f>IF(A19="","",SUM(D19:F19))</f>
        <v/>
      </c>
      <c r="H19" s="15">
        <f>IF(G19="","",VLOOKUP(G19,'税率及规则'!$A$2:$C$8,2,TRUE))</f>
        <v/>
      </c>
      <c r="I19" s="14">
        <f>IF(G19="","",VLOOKUP(G19,'税率及规则'!$A$2:$C$8,3,TRUE))</f>
        <v/>
      </c>
      <c r="J19" s="14">
        <f>IF(G19="","",MAX(0,G19*H19-I19))</f>
        <v/>
      </c>
      <c r="K19" s="14">
        <f>IF(A19="","",SUMIFS('分期缴税台账'!$K$2:$K$501,'分期缴税台账'!$A$2:$A$501,A19,'分期缴税台账'!$C$2:$C$501,C19))</f>
        <v/>
      </c>
      <c r="L19" s="14">
        <f>IF(J19="","",MAX(0,J19-K19))</f>
        <v/>
      </c>
      <c r="M19" s="6">
        <f>IF(A19="","",COUNTIFS('激励事件明细'!$C$2:$C$501,A19,'激励事件明细'!$H$2:$H$501,C19,'激励事件明细'!$Z$2:$Z$501,"&gt;0"))</f>
        <v/>
      </c>
      <c r="N19" s="6">
        <f>IF(O19="","",IFERROR(INDEX('激励事件明细'!$A$2:$A$501,MATCH(1,('激励事件明细'!$C$2:$C$501=A19)*('激励事件明细'!$H$2:$H$501=C19)*('激励事件明细'!$AB$2:$AB$501=O19),0)),""))</f>
        <v/>
      </c>
      <c r="O19" s="16">
        <f>IF(A19="","",IFERROR(AGGREGATE(15,6,'激励事件明细'!$AB$2:$AB$501/(('激励事件明细'!$C$2:$C$501=A19)*('激励事件明细'!$H$2:$H$501=C19)*('激励事件明细'!$Z$2:$Z$501&gt;0)),1),""))</f>
        <v/>
      </c>
      <c r="P19" s="6">
        <f>IF(A19="","",IF(K19&gt;J19,"异常：超额缴税",IF(L19=0,"已缴清",IF(AND(O19&lt;TODAY(),L19&gt;0),"逾期未缴","未缴清"))))</f>
        <v/>
      </c>
    </row>
    <row r="20">
      <c r="A20" s="11" t="n"/>
      <c r="B20" s="6">
        <f>IF(A20="","",IFERROR(INDEX('激励事件明细'!$D$2:$D$501,MATCH(A20,'激励事件明细'!$C$2:$C$501,0)),""))</f>
        <v/>
      </c>
      <c r="C20" s="11" t="n"/>
      <c r="D20" s="14">
        <f>IF(OR(A20="",C20=""),"",SUMIFS('激励事件明细'!$S$2:$S$501,'激励事件明细'!$C$2:$C$501,A20,'激励事件明细'!$H$2:$H$501,C20,'激励事件明细'!$F$2:$F$501,"股票期权"))</f>
        <v/>
      </c>
      <c r="E20" s="14">
        <f>IF(OR(A20="",C20=""),"",SUMIFS('激励事件明细'!$S$2:$S$501,'激励事件明细'!$C$2:$C$501,A20,'激励事件明细'!$H$2:$H$501,C20,'激励事件明细'!$F$2:$F$501,"限制性股票"))</f>
        <v/>
      </c>
      <c r="F20" s="14">
        <f>IF(OR(A20="",C20=""),"",SUMIFS('激励事件明细'!$S$2:$S$501,'激励事件明细'!$C$2:$C$501,A20,'激励事件明细'!$H$2:$H$501,C20,'激励事件明细'!$F$2:$F$501,"其他股权激励"))</f>
        <v/>
      </c>
      <c r="G20" s="14">
        <f>IF(A20="","",SUM(D20:F20))</f>
        <v/>
      </c>
      <c r="H20" s="15">
        <f>IF(G20="","",VLOOKUP(G20,'税率及规则'!$A$2:$C$8,2,TRUE))</f>
        <v/>
      </c>
      <c r="I20" s="14">
        <f>IF(G20="","",VLOOKUP(G20,'税率及规则'!$A$2:$C$8,3,TRUE))</f>
        <v/>
      </c>
      <c r="J20" s="14">
        <f>IF(G20="","",MAX(0,G20*H20-I20))</f>
        <v/>
      </c>
      <c r="K20" s="14">
        <f>IF(A20="","",SUMIFS('分期缴税台账'!$K$2:$K$501,'分期缴税台账'!$A$2:$A$501,A20,'分期缴税台账'!$C$2:$C$501,C20))</f>
        <v/>
      </c>
      <c r="L20" s="14">
        <f>IF(J20="","",MAX(0,J20-K20))</f>
        <v/>
      </c>
      <c r="M20" s="6">
        <f>IF(A20="","",COUNTIFS('激励事件明细'!$C$2:$C$501,A20,'激励事件明细'!$H$2:$H$501,C20,'激励事件明细'!$Z$2:$Z$501,"&gt;0"))</f>
        <v/>
      </c>
      <c r="N20" s="6">
        <f>IF(O20="","",IFERROR(INDEX('激励事件明细'!$A$2:$A$501,MATCH(1,('激励事件明细'!$C$2:$C$501=A20)*('激励事件明细'!$H$2:$H$501=C20)*('激励事件明细'!$AB$2:$AB$501=O20),0)),""))</f>
        <v/>
      </c>
      <c r="O20" s="16">
        <f>IF(A20="","",IFERROR(AGGREGATE(15,6,'激励事件明细'!$AB$2:$AB$501/(('激励事件明细'!$C$2:$C$501=A20)*('激励事件明细'!$H$2:$H$501=C20)*('激励事件明细'!$Z$2:$Z$501&gt;0)),1),""))</f>
        <v/>
      </c>
      <c r="P20" s="6">
        <f>IF(A20="","",IF(K20&gt;J20,"异常：超额缴税",IF(L20=0,"已缴清",IF(AND(O20&lt;TODAY(),L20&gt;0),"逾期未缴","未缴清"))))</f>
        <v/>
      </c>
    </row>
    <row r="21">
      <c r="A21" s="11" t="n"/>
      <c r="B21" s="6">
        <f>IF(A21="","",IFERROR(INDEX('激励事件明细'!$D$2:$D$501,MATCH(A21,'激励事件明细'!$C$2:$C$501,0)),""))</f>
        <v/>
      </c>
      <c r="C21" s="11" t="n"/>
      <c r="D21" s="14">
        <f>IF(OR(A21="",C21=""),"",SUMIFS('激励事件明细'!$S$2:$S$501,'激励事件明细'!$C$2:$C$501,A21,'激励事件明细'!$H$2:$H$501,C21,'激励事件明细'!$F$2:$F$501,"股票期权"))</f>
        <v/>
      </c>
      <c r="E21" s="14">
        <f>IF(OR(A21="",C21=""),"",SUMIFS('激励事件明细'!$S$2:$S$501,'激励事件明细'!$C$2:$C$501,A21,'激励事件明细'!$H$2:$H$501,C21,'激励事件明细'!$F$2:$F$501,"限制性股票"))</f>
        <v/>
      </c>
      <c r="F21" s="14">
        <f>IF(OR(A21="",C21=""),"",SUMIFS('激励事件明细'!$S$2:$S$501,'激励事件明细'!$C$2:$C$501,A21,'激励事件明细'!$H$2:$H$501,C21,'激励事件明细'!$F$2:$F$501,"其他股权激励"))</f>
        <v/>
      </c>
      <c r="G21" s="14">
        <f>IF(A21="","",SUM(D21:F21))</f>
        <v/>
      </c>
      <c r="H21" s="15">
        <f>IF(G21="","",VLOOKUP(G21,'税率及规则'!$A$2:$C$8,2,TRUE))</f>
        <v/>
      </c>
      <c r="I21" s="14">
        <f>IF(G21="","",VLOOKUP(G21,'税率及规则'!$A$2:$C$8,3,TRUE))</f>
        <v/>
      </c>
      <c r="J21" s="14">
        <f>IF(G21="","",MAX(0,G21*H21-I21))</f>
        <v/>
      </c>
      <c r="K21" s="14">
        <f>IF(A21="","",SUMIFS('分期缴税台账'!$K$2:$K$501,'分期缴税台账'!$A$2:$A$501,A21,'分期缴税台账'!$C$2:$C$501,C21))</f>
        <v/>
      </c>
      <c r="L21" s="14">
        <f>IF(J21="","",MAX(0,J21-K21))</f>
        <v/>
      </c>
      <c r="M21" s="6">
        <f>IF(A21="","",COUNTIFS('激励事件明细'!$C$2:$C$501,A21,'激励事件明细'!$H$2:$H$501,C21,'激励事件明细'!$Z$2:$Z$501,"&gt;0"))</f>
        <v/>
      </c>
      <c r="N21" s="6">
        <f>IF(O21="","",IFERROR(INDEX('激励事件明细'!$A$2:$A$501,MATCH(1,('激励事件明细'!$C$2:$C$501=A21)*('激励事件明细'!$H$2:$H$501=C21)*('激励事件明细'!$AB$2:$AB$501=O21),0)),""))</f>
        <v/>
      </c>
      <c r="O21" s="16">
        <f>IF(A21="","",IFERROR(AGGREGATE(15,6,'激励事件明细'!$AB$2:$AB$501/(('激励事件明细'!$C$2:$C$501=A21)*('激励事件明细'!$H$2:$H$501=C21)*('激励事件明细'!$Z$2:$Z$501&gt;0)),1),""))</f>
        <v/>
      </c>
      <c r="P21" s="6">
        <f>IF(A21="","",IF(K21&gt;J21,"异常：超额缴税",IF(L21=0,"已缴清",IF(AND(O21&lt;TODAY(),L21&gt;0),"逾期未缴","未缴清"))))</f>
        <v/>
      </c>
    </row>
    <row r="22">
      <c r="A22" s="11" t="n"/>
      <c r="B22" s="6">
        <f>IF(A22="","",IFERROR(INDEX('激励事件明细'!$D$2:$D$501,MATCH(A22,'激励事件明细'!$C$2:$C$501,0)),""))</f>
        <v/>
      </c>
      <c r="C22" s="11" t="n"/>
      <c r="D22" s="14">
        <f>IF(OR(A22="",C22=""),"",SUMIFS('激励事件明细'!$S$2:$S$501,'激励事件明细'!$C$2:$C$501,A22,'激励事件明细'!$H$2:$H$501,C22,'激励事件明细'!$F$2:$F$501,"股票期权"))</f>
        <v/>
      </c>
      <c r="E22" s="14">
        <f>IF(OR(A22="",C22=""),"",SUMIFS('激励事件明细'!$S$2:$S$501,'激励事件明细'!$C$2:$C$501,A22,'激励事件明细'!$H$2:$H$501,C22,'激励事件明细'!$F$2:$F$501,"限制性股票"))</f>
        <v/>
      </c>
      <c r="F22" s="14">
        <f>IF(OR(A22="",C22=""),"",SUMIFS('激励事件明细'!$S$2:$S$501,'激励事件明细'!$C$2:$C$501,A22,'激励事件明细'!$H$2:$H$501,C22,'激励事件明细'!$F$2:$F$501,"其他股权激励"))</f>
        <v/>
      </c>
      <c r="G22" s="14">
        <f>IF(A22="","",SUM(D22:F22))</f>
        <v/>
      </c>
      <c r="H22" s="15">
        <f>IF(G22="","",VLOOKUP(G22,'税率及规则'!$A$2:$C$8,2,TRUE))</f>
        <v/>
      </c>
      <c r="I22" s="14">
        <f>IF(G22="","",VLOOKUP(G22,'税率及规则'!$A$2:$C$8,3,TRUE))</f>
        <v/>
      </c>
      <c r="J22" s="14">
        <f>IF(G22="","",MAX(0,G22*H22-I22))</f>
        <v/>
      </c>
      <c r="K22" s="14">
        <f>IF(A22="","",SUMIFS('分期缴税台账'!$K$2:$K$501,'分期缴税台账'!$A$2:$A$501,A22,'分期缴税台账'!$C$2:$C$501,C22))</f>
        <v/>
      </c>
      <c r="L22" s="14">
        <f>IF(J22="","",MAX(0,J22-K22))</f>
        <v/>
      </c>
      <c r="M22" s="6">
        <f>IF(A22="","",COUNTIFS('激励事件明细'!$C$2:$C$501,A22,'激励事件明细'!$H$2:$H$501,C22,'激励事件明细'!$Z$2:$Z$501,"&gt;0"))</f>
        <v/>
      </c>
      <c r="N22" s="6">
        <f>IF(O22="","",IFERROR(INDEX('激励事件明细'!$A$2:$A$501,MATCH(1,('激励事件明细'!$C$2:$C$501=A22)*('激励事件明细'!$H$2:$H$501=C22)*('激励事件明细'!$AB$2:$AB$501=O22),0)),""))</f>
        <v/>
      </c>
      <c r="O22" s="16">
        <f>IF(A22="","",IFERROR(AGGREGATE(15,6,'激励事件明细'!$AB$2:$AB$501/(('激励事件明细'!$C$2:$C$501=A22)*('激励事件明细'!$H$2:$H$501=C22)*('激励事件明细'!$Z$2:$Z$501&gt;0)),1),""))</f>
        <v/>
      </c>
      <c r="P22" s="6">
        <f>IF(A22="","",IF(K22&gt;J22,"异常：超额缴税",IF(L22=0,"已缴清",IF(AND(O22&lt;TODAY(),L22&gt;0),"逾期未缴","未缴清"))))</f>
        <v/>
      </c>
    </row>
    <row r="23">
      <c r="A23" s="11" t="n"/>
      <c r="B23" s="6">
        <f>IF(A23="","",IFERROR(INDEX('激励事件明细'!$D$2:$D$501,MATCH(A23,'激励事件明细'!$C$2:$C$501,0)),""))</f>
        <v/>
      </c>
      <c r="C23" s="11" t="n"/>
      <c r="D23" s="14">
        <f>IF(OR(A23="",C23=""),"",SUMIFS('激励事件明细'!$S$2:$S$501,'激励事件明细'!$C$2:$C$501,A23,'激励事件明细'!$H$2:$H$501,C23,'激励事件明细'!$F$2:$F$501,"股票期权"))</f>
        <v/>
      </c>
      <c r="E23" s="14">
        <f>IF(OR(A23="",C23=""),"",SUMIFS('激励事件明细'!$S$2:$S$501,'激励事件明细'!$C$2:$C$501,A23,'激励事件明细'!$H$2:$H$501,C23,'激励事件明细'!$F$2:$F$501,"限制性股票"))</f>
        <v/>
      </c>
      <c r="F23" s="14">
        <f>IF(OR(A23="",C23=""),"",SUMIFS('激励事件明细'!$S$2:$S$501,'激励事件明细'!$C$2:$C$501,A23,'激励事件明细'!$H$2:$H$501,C23,'激励事件明细'!$F$2:$F$501,"其他股权激励"))</f>
        <v/>
      </c>
      <c r="G23" s="14">
        <f>IF(A23="","",SUM(D23:F23))</f>
        <v/>
      </c>
      <c r="H23" s="15">
        <f>IF(G23="","",VLOOKUP(G23,'税率及规则'!$A$2:$C$8,2,TRUE))</f>
        <v/>
      </c>
      <c r="I23" s="14">
        <f>IF(G23="","",VLOOKUP(G23,'税率及规则'!$A$2:$C$8,3,TRUE))</f>
        <v/>
      </c>
      <c r="J23" s="14">
        <f>IF(G23="","",MAX(0,G23*H23-I23))</f>
        <v/>
      </c>
      <c r="K23" s="14">
        <f>IF(A23="","",SUMIFS('分期缴税台账'!$K$2:$K$501,'分期缴税台账'!$A$2:$A$501,A23,'分期缴税台账'!$C$2:$C$501,C23))</f>
        <v/>
      </c>
      <c r="L23" s="14">
        <f>IF(J23="","",MAX(0,J23-K23))</f>
        <v/>
      </c>
      <c r="M23" s="6">
        <f>IF(A23="","",COUNTIFS('激励事件明细'!$C$2:$C$501,A23,'激励事件明细'!$H$2:$H$501,C23,'激励事件明细'!$Z$2:$Z$501,"&gt;0"))</f>
        <v/>
      </c>
      <c r="N23" s="6">
        <f>IF(O23="","",IFERROR(INDEX('激励事件明细'!$A$2:$A$501,MATCH(1,('激励事件明细'!$C$2:$C$501=A23)*('激励事件明细'!$H$2:$H$501=C23)*('激励事件明细'!$AB$2:$AB$501=O23),0)),""))</f>
        <v/>
      </c>
      <c r="O23" s="16">
        <f>IF(A23="","",IFERROR(AGGREGATE(15,6,'激励事件明细'!$AB$2:$AB$501/(('激励事件明细'!$C$2:$C$501=A23)*('激励事件明细'!$H$2:$H$501=C23)*('激励事件明细'!$Z$2:$Z$501&gt;0)),1),""))</f>
        <v/>
      </c>
      <c r="P23" s="6">
        <f>IF(A23="","",IF(K23&gt;J23,"异常：超额缴税",IF(L23=0,"已缴清",IF(AND(O23&lt;TODAY(),L23&gt;0),"逾期未缴","未缴清"))))</f>
        <v/>
      </c>
    </row>
    <row r="24">
      <c r="A24" s="11" t="n"/>
      <c r="B24" s="6">
        <f>IF(A24="","",IFERROR(INDEX('激励事件明细'!$D$2:$D$501,MATCH(A24,'激励事件明细'!$C$2:$C$501,0)),""))</f>
        <v/>
      </c>
      <c r="C24" s="11" t="n"/>
      <c r="D24" s="14">
        <f>IF(OR(A24="",C24=""),"",SUMIFS('激励事件明细'!$S$2:$S$501,'激励事件明细'!$C$2:$C$501,A24,'激励事件明细'!$H$2:$H$501,C24,'激励事件明细'!$F$2:$F$501,"股票期权"))</f>
        <v/>
      </c>
      <c r="E24" s="14">
        <f>IF(OR(A24="",C24=""),"",SUMIFS('激励事件明细'!$S$2:$S$501,'激励事件明细'!$C$2:$C$501,A24,'激励事件明细'!$H$2:$H$501,C24,'激励事件明细'!$F$2:$F$501,"限制性股票"))</f>
        <v/>
      </c>
      <c r="F24" s="14">
        <f>IF(OR(A24="",C24=""),"",SUMIFS('激励事件明细'!$S$2:$S$501,'激励事件明细'!$C$2:$C$501,A24,'激励事件明细'!$H$2:$H$501,C24,'激励事件明细'!$F$2:$F$501,"其他股权激励"))</f>
        <v/>
      </c>
      <c r="G24" s="14">
        <f>IF(A24="","",SUM(D24:F24))</f>
        <v/>
      </c>
      <c r="H24" s="15">
        <f>IF(G24="","",VLOOKUP(G24,'税率及规则'!$A$2:$C$8,2,TRUE))</f>
        <v/>
      </c>
      <c r="I24" s="14">
        <f>IF(G24="","",VLOOKUP(G24,'税率及规则'!$A$2:$C$8,3,TRUE))</f>
        <v/>
      </c>
      <c r="J24" s="14">
        <f>IF(G24="","",MAX(0,G24*H24-I24))</f>
        <v/>
      </c>
      <c r="K24" s="14">
        <f>IF(A24="","",SUMIFS('分期缴税台账'!$K$2:$K$501,'分期缴税台账'!$A$2:$A$501,A24,'分期缴税台账'!$C$2:$C$501,C24))</f>
        <v/>
      </c>
      <c r="L24" s="14">
        <f>IF(J24="","",MAX(0,J24-K24))</f>
        <v/>
      </c>
      <c r="M24" s="6">
        <f>IF(A24="","",COUNTIFS('激励事件明细'!$C$2:$C$501,A24,'激励事件明细'!$H$2:$H$501,C24,'激励事件明细'!$Z$2:$Z$501,"&gt;0"))</f>
        <v/>
      </c>
      <c r="N24" s="6">
        <f>IF(O24="","",IFERROR(INDEX('激励事件明细'!$A$2:$A$501,MATCH(1,('激励事件明细'!$C$2:$C$501=A24)*('激励事件明细'!$H$2:$H$501=C24)*('激励事件明细'!$AB$2:$AB$501=O24),0)),""))</f>
        <v/>
      </c>
      <c r="O24" s="16">
        <f>IF(A24="","",IFERROR(AGGREGATE(15,6,'激励事件明细'!$AB$2:$AB$501/(('激励事件明细'!$C$2:$C$501=A24)*('激励事件明细'!$H$2:$H$501=C24)*('激励事件明细'!$Z$2:$Z$501&gt;0)),1),""))</f>
        <v/>
      </c>
      <c r="P24" s="6">
        <f>IF(A24="","",IF(K24&gt;J24,"异常：超额缴税",IF(L24=0,"已缴清",IF(AND(O24&lt;TODAY(),L24&gt;0),"逾期未缴","未缴清"))))</f>
        <v/>
      </c>
    </row>
    <row r="25">
      <c r="A25" s="11" t="n"/>
      <c r="B25" s="6">
        <f>IF(A25="","",IFERROR(INDEX('激励事件明细'!$D$2:$D$501,MATCH(A25,'激励事件明细'!$C$2:$C$501,0)),""))</f>
        <v/>
      </c>
      <c r="C25" s="11" t="n"/>
      <c r="D25" s="14">
        <f>IF(OR(A25="",C25=""),"",SUMIFS('激励事件明细'!$S$2:$S$501,'激励事件明细'!$C$2:$C$501,A25,'激励事件明细'!$H$2:$H$501,C25,'激励事件明细'!$F$2:$F$501,"股票期权"))</f>
        <v/>
      </c>
      <c r="E25" s="14">
        <f>IF(OR(A25="",C25=""),"",SUMIFS('激励事件明细'!$S$2:$S$501,'激励事件明细'!$C$2:$C$501,A25,'激励事件明细'!$H$2:$H$501,C25,'激励事件明细'!$F$2:$F$501,"限制性股票"))</f>
        <v/>
      </c>
      <c r="F25" s="14">
        <f>IF(OR(A25="",C25=""),"",SUMIFS('激励事件明细'!$S$2:$S$501,'激励事件明细'!$C$2:$C$501,A25,'激励事件明细'!$H$2:$H$501,C25,'激励事件明细'!$F$2:$F$501,"其他股权激励"))</f>
        <v/>
      </c>
      <c r="G25" s="14">
        <f>IF(A25="","",SUM(D25:F25))</f>
        <v/>
      </c>
      <c r="H25" s="15">
        <f>IF(G25="","",VLOOKUP(G25,'税率及规则'!$A$2:$C$8,2,TRUE))</f>
        <v/>
      </c>
      <c r="I25" s="14">
        <f>IF(G25="","",VLOOKUP(G25,'税率及规则'!$A$2:$C$8,3,TRUE))</f>
        <v/>
      </c>
      <c r="J25" s="14">
        <f>IF(G25="","",MAX(0,G25*H25-I25))</f>
        <v/>
      </c>
      <c r="K25" s="14">
        <f>IF(A25="","",SUMIFS('分期缴税台账'!$K$2:$K$501,'分期缴税台账'!$A$2:$A$501,A25,'分期缴税台账'!$C$2:$C$501,C25))</f>
        <v/>
      </c>
      <c r="L25" s="14">
        <f>IF(J25="","",MAX(0,J25-K25))</f>
        <v/>
      </c>
      <c r="M25" s="6">
        <f>IF(A25="","",COUNTIFS('激励事件明细'!$C$2:$C$501,A25,'激励事件明细'!$H$2:$H$501,C25,'激励事件明细'!$Z$2:$Z$501,"&gt;0"))</f>
        <v/>
      </c>
      <c r="N25" s="6">
        <f>IF(O25="","",IFERROR(INDEX('激励事件明细'!$A$2:$A$501,MATCH(1,('激励事件明细'!$C$2:$C$501=A25)*('激励事件明细'!$H$2:$H$501=C25)*('激励事件明细'!$AB$2:$AB$501=O25),0)),""))</f>
        <v/>
      </c>
      <c r="O25" s="16">
        <f>IF(A25="","",IFERROR(AGGREGATE(15,6,'激励事件明细'!$AB$2:$AB$501/(('激励事件明细'!$C$2:$C$501=A25)*('激励事件明细'!$H$2:$H$501=C25)*('激励事件明细'!$Z$2:$Z$501&gt;0)),1),""))</f>
        <v/>
      </c>
      <c r="P25" s="6">
        <f>IF(A25="","",IF(K25&gt;J25,"异常：超额缴税",IF(L25=0,"已缴清",IF(AND(O25&lt;TODAY(),L25&gt;0),"逾期未缴","未缴清"))))</f>
        <v/>
      </c>
    </row>
    <row r="26">
      <c r="A26" s="11" t="n"/>
      <c r="B26" s="6">
        <f>IF(A26="","",IFERROR(INDEX('激励事件明细'!$D$2:$D$501,MATCH(A26,'激励事件明细'!$C$2:$C$501,0)),""))</f>
        <v/>
      </c>
      <c r="C26" s="11" t="n"/>
      <c r="D26" s="14">
        <f>IF(OR(A26="",C26=""),"",SUMIFS('激励事件明细'!$S$2:$S$501,'激励事件明细'!$C$2:$C$501,A26,'激励事件明细'!$H$2:$H$501,C26,'激励事件明细'!$F$2:$F$501,"股票期权"))</f>
        <v/>
      </c>
      <c r="E26" s="14">
        <f>IF(OR(A26="",C26=""),"",SUMIFS('激励事件明细'!$S$2:$S$501,'激励事件明细'!$C$2:$C$501,A26,'激励事件明细'!$H$2:$H$501,C26,'激励事件明细'!$F$2:$F$501,"限制性股票"))</f>
        <v/>
      </c>
      <c r="F26" s="14">
        <f>IF(OR(A26="",C26=""),"",SUMIFS('激励事件明细'!$S$2:$S$501,'激励事件明细'!$C$2:$C$501,A26,'激励事件明细'!$H$2:$H$501,C26,'激励事件明细'!$F$2:$F$501,"其他股权激励"))</f>
        <v/>
      </c>
      <c r="G26" s="14">
        <f>IF(A26="","",SUM(D26:F26))</f>
        <v/>
      </c>
      <c r="H26" s="15">
        <f>IF(G26="","",VLOOKUP(G26,'税率及规则'!$A$2:$C$8,2,TRUE))</f>
        <v/>
      </c>
      <c r="I26" s="14">
        <f>IF(G26="","",VLOOKUP(G26,'税率及规则'!$A$2:$C$8,3,TRUE))</f>
        <v/>
      </c>
      <c r="J26" s="14">
        <f>IF(G26="","",MAX(0,G26*H26-I26))</f>
        <v/>
      </c>
      <c r="K26" s="14">
        <f>IF(A26="","",SUMIFS('分期缴税台账'!$K$2:$K$501,'分期缴税台账'!$A$2:$A$501,A26,'分期缴税台账'!$C$2:$C$501,C26))</f>
        <v/>
      </c>
      <c r="L26" s="14">
        <f>IF(J26="","",MAX(0,J26-K26))</f>
        <v/>
      </c>
      <c r="M26" s="6">
        <f>IF(A26="","",COUNTIFS('激励事件明细'!$C$2:$C$501,A26,'激励事件明细'!$H$2:$H$501,C26,'激励事件明细'!$Z$2:$Z$501,"&gt;0"))</f>
        <v/>
      </c>
      <c r="N26" s="6">
        <f>IF(O26="","",IFERROR(INDEX('激励事件明细'!$A$2:$A$501,MATCH(1,('激励事件明细'!$C$2:$C$501=A26)*('激励事件明细'!$H$2:$H$501=C26)*('激励事件明细'!$AB$2:$AB$501=O26),0)),""))</f>
        <v/>
      </c>
      <c r="O26" s="16">
        <f>IF(A26="","",IFERROR(AGGREGATE(15,6,'激励事件明细'!$AB$2:$AB$501/(('激励事件明细'!$C$2:$C$501=A26)*('激励事件明细'!$H$2:$H$501=C26)*('激励事件明细'!$Z$2:$Z$501&gt;0)),1),""))</f>
        <v/>
      </c>
      <c r="P26" s="6">
        <f>IF(A26="","",IF(K26&gt;J26,"异常：超额缴税",IF(L26=0,"已缴清",IF(AND(O26&lt;TODAY(),L26&gt;0),"逾期未缴","未缴清"))))</f>
        <v/>
      </c>
    </row>
    <row r="27">
      <c r="A27" s="11" t="n"/>
      <c r="B27" s="6">
        <f>IF(A27="","",IFERROR(INDEX('激励事件明细'!$D$2:$D$501,MATCH(A27,'激励事件明细'!$C$2:$C$501,0)),""))</f>
        <v/>
      </c>
      <c r="C27" s="11" t="n"/>
      <c r="D27" s="14">
        <f>IF(OR(A27="",C27=""),"",SUMIFS('激励事件明细'!$S$2:$S$501,'激励事件明细'!$C$2:$C$501,A27,'激励事件明细'!$H$2:$H$501,C27,'激励事件明细'!$F$2:$F$501,"股票期权"))</f>
        <v/>
      </c>
      <c r="E27" s="14">
        <f>IF(OR(A27="",C27=""),"",SUMIFS('激励事件明细'!$S$2:$S$501,'激励事件明细'!$C$2:$C$501,A27,'激励事件明细'!$H$2:$H$501,C27,'激励事件明细'!$F$2:$F$501,"限制性股票"))</f>
        <v/>
      </c>
      <c r="F27" s="14">
        <f>IF(OR(A27="",C27=""),"",SUMIFS('激励事件明细'!$S$2:$S$501,'激励事件明细'!$C$2:$C$501,A27,'激励事件明细'!$H$2:$H$501,C27,'激励事件明细'!$F$2:$F$501,"其他股权激励"))</f>
        <v/>
      </c>
      <c r="G27" s="14">
        <f>IF(A27="","",SUM(D27:F27))</f>
        <v/>
      </c>
      <c r="H27" s="15">
        <f>IF(G27="","",VLOOKUP(G27,'税率及规则'!$A$2:$C$8,2,TRUE))</f>
        <v/>
      </c>
      <c r="I27" s="14">
        <f>IF(G27="","",VLOOKUP(G27,'税率及规则'!$A$2:$C$8,3,TRUE))</f>
        <v/>
      </c>
      <c r="J27" s="14">
        <f>IF(G27="","",MAX(0,G27*H27-I27))</f>
        <v/>
      </c>
      <c r="K27" s="14">
        <f>IF(A27="","",SUMIFS('分期缴税台账'!$K$2:$K$501,'分期缴税台账'!$A$2:$A$501,A27,'分期缴税台账'!$C$2:$C$501,C27))</f>
        <v/>
      </c>
      <c r="L27" s="14">
        <f>IF(J27="","",MAX(0,J27-K27))</f>
        <v/>
      </c>
      <c r="M27" s="6">
        <f>IF(A27="","",COUNTIFS('激励事件明细'!$C$2:$C$501,A27,'激励事件明细'!$H$2:$H$501,C27,'激励事件明细'!$Z$2:$Z$501,"&gt;0"))</f>
        <v/>
      </c>
      <c r="N27" s="6">
        <f>IF(O27="","",IFERROR(INDEX('激励事件明细'!$A$2:$A$501,MATCH(1,('激励事件明细'!$C$2:$C$501=A27)*('激励事件明细'!$H$2:$H$501=C27)*('激励事件明细'!$AB$2:$AB$501=O27),0)),""))</f>
        <v/>
      </c>
      <c r="O27" s="16">
        <f>IF(A27="","",IFERROR(AGGREGATE(15,6,'激励事件明细'!$AB$2:$AB$501/(('激励事件明细'!$C$2:$C$501=A27)*('激励事件明细'!$H$2:$H$501=C27)*('激励事件明细'!$Z$2:$Z$501&gt;0)),1),""))</f>
        <v/>
      </c>
      <c r="P27" s="6">
        <f>IF(A27="","",IF(K27&gt;J27,"异常：超额缴税",IF(L27=0,"已缴清",IF(AND(O27&lt;TODAY(),L27&gt;0),"逾期未缴","未缴清"))))</f>
        <v/>
      </c>
    </row>
    <row r="28">
      <c r="A28" s="11" t="n"/>
      <c r="B28" s="6">
        <f>IF(A28="","",IFERROR(INDEX('激励事件明细'!$D$2:$D$501,MATCH(A28,'激励事件明细'!$C$2:$C$501,0)),""))</f>
        <v/>
      </c>
      <c r="C28" s="11" t="n"/>
      <c r="D28" s="14">
        <f>IF(OR(A28="",C28=""),"",SUMIFS('激励事件明细'!$S$2:$S$501,'激励事件明细'!$C$2:$C$501,A28,'激励事件明细'!$H$2:$H$501,C28,'激励事件明细'!$F$2:$F$501,"股票期权"))</f>
        <v/>
      </c>
      <c r="E28" s="14">
        <f>IF(OR(A28="",C28=""),"",SUMIFS('激励事件明细'!$S$2:$S$501,'激励事件明细'!$C$2:$C$501,A28,'激励事件明细'!$H$2:$H$501,C28,'激励事件明细'!$F$2:$F$501,"限制性股票"))</f>
        <v/>
      </c>
      <c r="F28" s="14">
        <f>IF(OR(A28="",C28=""),"",SUMIFS('激励事件明细'!$S$2:$S$501,'激励事件明细'!$C$2:$C$501,A28,'激励事件明细'!$H$2:$H$501,C28,'激励事件明细'!$F$2:$F$501,"其他股权激励"))</f>
        <v/>
      </c>
      <c r="G28" s="14">
        <f>IF(A28="","",SUM(D28:F28))</f>
        <v/>
      </c>
      <c r="H28" s="15">
        <f>IF(G28="","",VLOOKUP(G28,'税率及规则'!$A$2:$C$8,2,TRUE))</f>
        <v/>
      </c>
      <c r="I28" s="14">
        <f>IF(G28="","",VLOOKUP(G28,'税率及规则'!$A$2:$C$8,3,TRUE))</f>
        <v/>
      </c>
      <c r="J28" s="14">
        <f>IF(G28="","",MAX(0,G28*H28-I28))</f>
        <v/>
      </c>
      <c r="K28" s="14">
        <f>IF(A28="","",SUMIFS('分期缴税台账'!$K$2:$K$501,'分期缴税台账'!$A$2:$A$501,A28,'分期缴税台账'!$C$2:$C$501,C28))</f>
        <v/>
      </c>
      <c r="L28" s="14">
        <f>IF(J28="","",MAX(0,J28-K28))</f>
        <v/>
      </c>
      <c r="M28" s="6">
        <f>IF(A28="","",COUNTIFS('激励事件明细'!$C$2:$C$501,A28,'激励事件明细'!$H$2:$H$501,C28,'激励事件明细'!$Z$2:$Z$501,"&gt;0"))</f>
        <v/>
      </c>
      <c r="N28" s="6">
        <f>IF(O28="","",IFERROR(INDEX('激励事件明细'!$A$2:$A$501,MATCH(1,('激励事件明细'!$C$2:$C$501=A28)*('激励事件明细'!$H$2:$H$501=C28)*('激励事件明细'!$AB$2:$AB$501=O28),0)),""))</f>
        <v/>
      </c>
      <c r="O28" s="16">
        <f>IF(A28="","",IFERROR(AGGREGATE(15,6,'激励事件明细'!$AB$2:$AB$501/(('激励事件明细'!$C$2:$C$501=A28)*('激励事件明细'!$H$2:$H$501=C28)*('激励事件明细'!$Z$2:$Z$501&gt;0)),1),""))</f>
        <v/>
      </c>
      <c r="P28" s="6">
        <f>IF(A28="","",IF(K28&gt;J28,"异常：超额缴税",IF(L28=0,"已缴清",IF(AND(O28&lt;TODAY(),L28&gt;0),"逾期未缴","未缴清"))))</f>
        <v/>
      </c>
    </row>
    <row r="29">
      <c r="A29" s="11" t="n"/>
      <c r="B29" s="6">
        <f>IF(A29="","",IFERROR(INDEX('激励事件明细'!$D$2:$D$501,MATCH(A29,'激励事件明细'!$C$2:$C$501,0)),""))</f>
        <v/>
      </c>
      <c r="C29" s="11" t="n"/>
      <c r="D29" s="14">
        <f>IF(OR(A29="",C29=""),"",SUMIFS('激励事件明细'!$S$2:$S$501,'激励事件明细'!$C$2:$C$501,A29,'激励事件明细'!$H$2:$H$501,C29,'激励事件明细'!$F$2:$F$501,"股票期权"))</f>
        <v/>
      </c>
      <c r="E29" s="14">
        <f>IF(OR(A29="",C29=""),"",SUMIFS('激励事件明细'!$S$2:$S$501,'激励事件明细'!$C$2:$C$501,A29,'激励事件明细'!$H$2:$H$501,C29,'激励事件明细'!$F$2:$F$501,"限制性股票"))</f>
        <v/>
      </c>
      <c r="F29" s="14">
        <f>IF(OR(A29="",C29=""),"",SUMIFS('激励事件明细'!$S$2:$S$501,'激励事件明细'!$C$2:$C$501,A29,'激励事件明细'!$H$2:$H$501,C29,'激励事件明细'!$F$2:$F$501,"其他股权激励"))</f>
        <v/>
      </c>
      <c r="G29" s="14">
        <f>IF(A29="","",SUM(D29:F29))</f>
        <v/>
      </c>
      <c r="H29" s="15">
        <f>IF(G29="","",VLOOKUP(G29,'税率及规则'!$A$2:$C$8,2,TRUE))</f>
        <v/>
      </c>
      <c r="I29" s="14">
        <f>IF(G29="","",VLOOKUP(G29,'税率及规则'!$A$2:$C$8,3,TRUE))</f>
        <v/>
      </c>
      <c r="J29" s="14">
        <f>IF(G29="","",MAX(0,G29*H29-I29))</f>
        <v/>
      </c>
      <c r="K29" s="14">
        <f>IF(A29="","",SUMIFS('分期缴税台账'!$K$2:$K$501,'分期缴税台账'!$A$2:$A$501,A29,'分期缴税台账'!$C$2:$C$501,C29))</f>
        <v/>
      </c>
      <c r="L29" s="14">
        <f>IF(J29="","",MAX(0,J29-K29))</f>
        <v/>
      </c>
      <c r="M29" s="6">
        <f>IF(A29="","",COUNTIFS('激励事件明细'!$C$2:$C$501,A29,'激励事件明细'!$H$2:$H$501,C29,'激励事件明细'!$Z$2:$Z$501,"&gt;0"))</f>
        <v/>
      </c>
      <c r="N29" s="6">
        <f>IF(O29="","",IFERROR(INDEX('激励事件明细'!$A$2:$A$501,MATCH(1,('激励事件明细'!$C$2:$C$501=A29)*('激励事件明细'!$H$2:$H$501=C29)*('激励事件明细'!$AB$2:$AB$501=O29),0)),""))</f>
        <v/>
      </c>
      <c r="O29" s="16">
        <f>IF(A29="","",IFERROR(AGGREGATE(15,6,'激励事件明细'!$AB$2:$AB$501/(('激励事件明细'!$C$2:$C$501=A29)*('激励事件明细'!$H$2:$H$501=C29)*('激励事件明细'!$Z$2:$Z$501&gt;0)),1),""))</f>
        <v/>
      </c>
      <c r="P29" s="6">
        <f>IF(A29="","",IF(K29&gt;J29,"异常：超额缴税",IF(L29=0,"已缴清",IF(AND(O29&lt;TODAY(),L29&gt;0),"逾期未缴","未缴清"))))</f>
        <v/>
      </c>
    </row>
    <row r="30">
      <c r="A30" s="11" t="n"/>
      <c r="B30" s="6">
        <f>IF(A30="","",IFERROR(INDEX('激励事件明细'!$D$2:$D$501,MATCH(A30,'激励事件明细'!$C$2:$C$501,0)),""))</f>
        <v/>
      </c>
      <c r="C30" s="11" t="n"/>
      <c r="D30" s="14">
        <f>IF(OR(A30="",C30=""),"",SUMIFS('激励事件明细'!$S$2:$S$501,'激励事件明细'!$C$2:$C$501,A30,'激励事件明细'!$H$2:$H$501,C30,'激励事件明细'!$F$2:$F$501,"股票期权"))</f>
        <v/>
      </c>
      <c r="E30" s="14">
        <f>IF(OR(A30="",C30=""),"",SUMIFS('激励事件明细'!$S$2:$S$501,'激励事件明细'!$C$2:$C$501,A30,'激励事件明细'!$H$2:$H$501,C30,'激励事件明细'!$F$2:$F$501,"限制性股票"))</f>
        <v/>
      </c>
      <c r="F30" s="14">
        <f>IF(OR(A30="",C30=""),"",SUMIFS('激励事件明细'!$S$2:$S$501,'激励事件明细'!$C$2:$C$501,A30,'激励事件明细'!$H$2:$H$501,C30,'激励事件明细'!$F$2:$F$501,"其他股权激励"))</f>
        <v/>
      </c>
      <c r="G30" s="14">
        <f>IF(A30="","",SUM(D30:F30))</f>
        <v/>
      </c>
      <c r="H30" s="15">
        <f>IF(G30="","",VLOOKUP(G30,'税率及规则'!$A$2:$C$8,2,TRUE))</f>
        <v/>
      </c>
      <c r="I30" s="14">
        <f>IF(G30="","",VLOOKUP(G30,'税率及规则'!$A$2:$C$8,3,TRUE))</f>
        <v/>
      </c>
      <c r="J30" s="14">
        <f>IF(G30="","",MAX(0,G30*H30-I30))</f>
        <v/>
      </c>
      <c r="K30" s="14">
        <f>IF(A30="","",SUMIFS('分期缴税台账'!$K$2:$K$501,'分期缴税台账'!$A$2:$A$501,A30,'分期缴税台账'!$C$2:$C$501,C30))</f>
        <v/>
      </c>
      <c r="L30" s="14">
        <f>IF(J30="","",MAX(0,J30-K30))</f>
        <v/>
      </c>
      <c r="M30" s="6">
        <f>IF(A30="","",COUNTIFS('激励事件明细'!$C$2:$C$501,A30,'激励事件明细'!$H$2:$H$501,C30,'激励事件明细'!$Z$2:$Z$501,"&gt;0"))</f>
        <v/>
      </c>
      <c r="N30" s="6">
        <f>IF(O30="","",IFERROR(INDEX('激励事件明细'!$A$2:$A$501,MATCH(1,('激励事件明细'!$C$2:$C$501=A30)*('激励事件明细'!$H$2:$H$501=C30)*('激励事件明细'!$AB$2:$AB$501=O30),0)),""))</f>
        <v/>
      </c>
      <c r="O30" s="16">
        <f>IF(A30="","",IFERROR(AGGREGATE(15,6,'激励事件明细'!$AB$2:$AB$501/(('激励事件明细'!$C$2:$C$501=A30)*('激励事件明细'!$H$2:$H$501=C30)*('激励事件明细'!$Z$2:$Z$501&gt;0)),1),""))</f>
        <v/>
      </c>
      <c r="P30" s="6">
        <f>IF(A30="","",IF(K30&gt;J30,"异常：超额缴税",IF(L30=0,"已缴清",IF(AND(O30&lt;TODAY(),L30&gt;0),"逾期未缴","未缴清"))))</f>
        <v/>
      </c>
    </row>
    <row r="31">
      <c r="A31" s="11" t="n"/>
      <c r="B31" s="6">
        <f>IF(A31="","",IFERROR(INDEX('激励事件明细'!$D$2:$D$501,MATCH(A31,'激励事件明细'!$C$2:$C$501,0)),""))</f>
        <v/>
      </c>
      <c r="C31" s="11" t="n"/>
      <c r="D31" s="14">
        <f>IF(OR(A31="",C31=""),"",SUMIFS('激励事件明细'!$S$2:$S$501,'激励事件明细'!$C$2:$C$501,A31,'激励事件明细'!$H$2:$H$501,C31,'激励事件明细'!$F$2:$F$501,"股票期权"))</f>
        <v/>
      </c>
      <c r="E31" s="14">
        <f>IF(OR(A31="",C31=""),"",SUMIFS('激励事件明细'!$S$2:$S$501,'激励事件明细'!$C$2:$C$501,A31,'激励事件明细'!$H$2:$H$501,C31,'激励事件明细'!$F$2:$F$501,"限制性股票"))</f>
        <v/>
      </c>
      <c r="F31" s="14">
        <f>IF(OR(A31="",C31=""),"",SUMIFS('激励事件明细'!$S$2:$S$501,'激励事件明细'!$C$2:$C$501,A31,'激励事件明细'!$H$2:$H$501,C31,'激励事件明细'!$F$2:$F$501,"其他股权激励"))</f>
        <v/>
      </c>
      <c r="G31" s="14">
        <f>IF(A31="","",SUM(D31:F31))</f>
        <v/>
      </c>
      <c r="H31" s="15">
        <f>IF(G31="","",VLOOKUP(G31,'税率及规则'!$A$2:$C$8,2,TRUE))</f>
        <v/>
      </c>
      <c r="I31" s="14">
        <f>IF(G31="","",VLOOKUP(G31,'税率及规则'!$A$2:$C$8,3,TRUE))</f>
        <v/>
      </c>
      <c r="J31" s="14">
        <f>IF(G31="","",MAX(0,G31*H31-I31))</f>
        <v/>
      </c>
      <c r="K31" s="14">
        <f>IF(A31="","",SUMIFS('分期缴税台账'!$K$2:$K$501,'分期缴税台账'!$A$2:$A$501,A31,'分期缴税台账'!$C$2:$C$501,C31))</f>
        <v/>
      </c>
      <c r="L31" s="14">
        <f>IF(J31="","",MAX(0,J31-K31))</f>
        <v/>
      </c>
      <c r="M31" s="6">
        <f>IF(A31="","",COUNTIFS('激励事件明细'!$C$2:$C$501,A31,'激励事件明细'!$H$2:$H$501,C31,'激励事件明细'!$Z$2:$Z$501,"&gt;0"))</f>
        <v/>
      </c>
      <c r="N31" s="6">
        <f>IF(O31="","",IFERROR(INDEX('激励事件明细'!$A$2:$A$501,MATCH(1,('激励事件明细'!$C$2:$C$501=A31)*('激励事件明细'!$H$2:$H$501=C31)*('激励事件明细'!$AB$2:$AB$501=O31),0)),""))</f>
        <v/>
      </c>
      <c r="O31" s="16">
        <f>IF(A31="","",IFERROR(AGGREGATE(15,6,'激励事件明细'!$AB$2:$AB$501/(('激励事件明细'!$C$2:$C$501=A31)*('激励事件明细'!$H$2:$H$501=C31)*('激励事件明细'!$Z$2:$Z$501&gt;0)),1),""))</f>
        <v/>
      </c>
      <c r="P31" s="6">
        <f>IF(A31="","",IF(K31&gt;J31,"异常：超额缴税",IF(L31=0,"已缴清",IF(AND(O31&lt;TODAY(),L31&gt;0),"逾期未缴","未缴清"))))</f>
        <v/>
      </c>
    </row>
    <row r="32">
      <c r="A32" s="11" t="n"/>
      <c r="B32" s="6">
        <f>IF(A32="","",IFERROR(INDEX('激励事件明细'!$D$2:$D$501,MATCH(A32,'激励事件明细'!$C$2:$C$501,0)),""))</f>
        <v/>
      </c>
      <c r="C32" s="11" t="n"/>
      <c r="D32" s="14">
        <f>IF(OR(A32="",C32=""),"",SUMIFS('激励事件明细'!$S$2:$S$501,'激励事件明细'!$C$2:$C$501,A32,'激励事件明细'!$H$2:$H$501,C32,'激励事件明细'!$F$2:$F$501,"股票期权"))</f>
        <v/>
      </c>
      <c r="E32" s="14">
        <f>IF(OR(A32="",C32=""),"",SUMIFS('激励事件明细'!$S$2:$S$501,'激励事件明细'!$C$2:$C$501,A32,'激励事件明细'!$H$2:$H$501,C32,'激励事件明细'!$F$2:$F$501,"限制性股票"))</f>
        <v/>
      </c>
      <c r="F32" s="14">
        <f>IF(OR(A32="",C32=""),"",SUMIFS('激励事件明细'!$S$2:$S$501,'激励事件明细'!$C$2:$C$501,A32,'激励事件明细'!$H$2:$H$501,C32,'激励事件明细'!$F$2:$F$501,"其他股权激励"))</f>
        <v/>
      </c>
      <c r="G32" s="14">
        <f>IF(A32="","",SUM(D32:F32))</f>
        <v/>
      </c>
      <c r="H32" s="15">
        <f>IF(G32="","",VLOOKUP(G32,'税率及规则'!$A$2:$C$8,2,TRUE))</f>
        <v/>
      </c>
      <c r="I32" s="14">
        <f>IF(G32="","",VLOOKUP(G32,'税率及规则'!$A$2:$C$8,3,TRUE))</f>
        <v/>
      </c>
      <c r="J32" s="14">
        <f>IF(G32="","",MAX(0,G32*H32-I32))</f>
        <v/>
      </c>
      <c r="K32" s="14">
        <f>IF(A32="","",SUMIFS('分期缴税台账'!$K$2:$K$501,'分期缴税台账'!$A$2:$A$501,A32,'分期缴税台账'!$C$2:$C$501,C32))</f>
        <v/>
      </c>
      <c r="L32" s="14">
        <f>IF(J32="","",MAX(0,J32-K32))</f>
        <v/>
      </c>
      <c r="M32" s="6">
        <f>IF(A32="","",COUNTIFS('激励事件明细'!$C$2:$C$501,A32,'激励事件明细'!$H$2:$H$501,C32,'激励事件明细'!$Z$2:$Z$501,"&gt;0"))</f>
        <v/>
      </c>
      <c r="N32" s="6">
        <f>IF(O32="","",IFERROR(INDEX('激励事件明细'!$A$2:$A$501,MATCH(1,('激励事件明细'!$C$2:$C$501=A32)*('激励事件明细'!$H$2:$H$501=C32)*('激励事件明细'!$AB$2:$AB$501=O32),0)),""))</f>
        <v/>
      </c>
      <c r="O32" s="16">
        <f>IF(A32="","",IFERROR(AGGREGATE(15,6,'激励事件明细'!$AB$2:$AB$501/(('激励事件明细'!$C$2:$C$501=A32)*('激励事件明细'!$H$2:$H$501=C32)*('激励事件明细'!$Z$2:$Z$501&gt;0)),1),""))</f>
        <v/>
      </c>
      <c r="P32" s="6">
        <f>IF(A32="","",IF(K32&gt;J32,"异常：超额缴税",IF(L32=0,"已缴清",IF(AND(O32&lt;TODAY(),L32&gt;0),"逾期未缴","未缴清"))))</f>
        <v/>
      </c>
    </row>
    <row r="33">
      <c r="A33" s="11" t="n"/>
      <c r="B33" s="6">
        <f>IF(A33="","",IFERROR(INDEX('激励事件明细'!$D$2:$D$501,MATCH(A33,'激励事件明细'!$C$2:$C$501,0)),""))</f>
        <v/>
      </c>
      <c r="C33" s="11" t="n"/>
      <c r="D33" s="14">
        <f>IF(OR(A33="",C33=""),"",SUMIFS('激励事件明细'!$S$2:$S$501,'激励事件明细'!$C$2:$C$501,A33,'激励事件明细'!$H$2:$H$501,C33,'激励事件明细'!$F$2:$F$501,"股票期权"))</f>
        <v/>
      </c>
      <c r="E33" s="14">
        <f>IF(OR(A33="",C33=""),"",SUMIFS('激励事件明细'!$S$2:$S$501,'激励事件明细'!$C$2:$C$501,A33,'激励事件明细'!$H$2:$H$501,C33,'激励事件明细'!$F$2:$F$501,"限制性股票"))</f>
        <v/>
      </c>
      <c r="F33" s="14">
        <f>IF(OR(A33="",C33=""),"",SUMIFS('激励事件明细'!$S$2:$S$501,'激励事件明细'!$C$2:$C$501,A33,'激励事件明细'!$H$2:$H$501,C33,'激励事件明细'!$F$2:$F$501,"其他股权激励"))</f>
        <v/>
      </c>
      <c r="G33" s="14">
        <f>IF(A33="","",SUM(D33:F33))</f>
        <v/>
      </c>
      <c r="H33" s="15">
        <f>IF(G33="","",VLOOKUP(G33,'税率及规则'!$A$2:$C$8,2,TRUE))</f>
        <v/>
      </c>
      <c r="I33" s="14">
        <f>IF(G33="","",VLOOKUP(G33,'税率及规则'!$A$2:$C$8,3,TRUE))</f>
        <v/>
      </c>
      <c r="J33" s="14">
        <f>IF(G33="","",MAX(0,G33*H33-I33))</f>
        <v/>
      </c>
      <c r="K33" s="14">
        <f>IF(A33="","",SUMIFS('分期缴税台账'!$K$2:$K$501,'分期缴税台账'!$A$2:$A$501,A33,'分期缴税台账'!$C$2:$C$501,C33))</f>
        <v/>
      </c>
      <c r="L33" s="14">
        <f>IF(J33="","",MAX(0,J33-K33))</f>
        <v/>
      </c>
      <c r="M33" s="6">
        <f>IF(A33="","",COUNTIFS('激励事件明细'!$C$2:$C$501,A33,'激励事件明细'!$H$2:$H$501,C33,'激励事件明细'!$Z$2:$Z$501,"&gt;0"))</f>
        <v/>
      </c>
      <c r="N33" s="6">
        <f>IF(O33="","",IFERROR(INDEX('激励事件明细'!$A$2:$A$501,MATCH(1,('激励事件明细'!$C$2:$C$501=A33)*('激励事件明细'!$H$2:$H$501=C33)*('激励事件明细'!$AB$2:$AB$501=O33),0)),""))</f>
        <v/>
      </c>
      <c r="O33" s="16">
        <f>IF(A33="","",IFERROR(AGGREGATE(15,6,'激励事件明细'!$AB$2:$AB$501/(('激励事件明细'!$C$2:$C$501=A33)*('激励事件明细'!$H$2:$H$501=C33)*('激励事件明细'!$Z$2:$Z$501&gt;0)),1),""))</f>
        <v/>
      </c>
      <c r="P33" s="6">
        <f>IF(A33="","",IF(K33&gt;J33,"异常：超额缴税",IF(L33=0,"已缴清",IF(AND(O33&lt;TODAY(),L33&gt;0),"逾期未缴","未缴清"))))</f>
        <v/>
      </c>
    </row>
    <row r="34">
      <c r="A34" s="11" t="n"/>
      <c r="B34" s="6">
        <f>IF(A34="","",IFERROR(INDEX('激励事件明细'!$D$2:$D$501,MATCH(A34,'激励事件明细'!$C$2:$C$501,0)),""))</f>
        <v/>
      </c>
      <c r="C34" s="11" t="n"/>
      <c r="D34" s="14">
        <f>IF(OR(A34="",C34=""),"",SUMIFS('激励事件明细'!$S$2:$S$501,'激励事件明细'!$C$2:$C$501,A34,'激励事件明细'!$H$2:$H$501,C34,'激励事件明细'!$F$2:$F$501,"股票期权"))</f>
        <v/>
      </c>
      <c r="E34" s="14">
        <f>IF(OR(A34="",C34=""),"",SUMIFS('激励事件明细'!$S$2:$S$501,'激励事件明细'!$C$2:$C$501,A34,'激励事件明细'!$H$2:$H$501,C34,'激励事件明细'!$F$2:$F$501,"限制性股票"))</f>
        <v/>
      </c>
      <c r="F34" s="14">
        <f>IF(OR(A34="",C34=""),"",SUMIFS('激励事件明细'!$S$2:$S$501,'激励事件明细'!$C$2:$C$501,A34,'激励事件明细'!$H$2:$H$501,C34,'激励事件明细'!$F$2:$F$501,"其他股权激励"))</f>
        <v/>
      </c>
      <c r="G34" s="14">
        <f>IF(A34="","",SUM(D34:F34))</f>
        <v/>
      </c>
      <c r="H34" s="15">
        <f>IF(G34="","",VLOOKUP(G34,'税率及规则'!$A$2:$C$8,2,TRUE))</f>
        <v/>
      </c>
      <c r="I34" s="14">
        <f>IF(G34="","",VLOOKUP(G34,'税率及规则'!$A$2:$C$8,3,TRUE))</f>
        <v/>
      </c>
      <c r="J34" s="14">
        <f>IF(G34="","",MAX(0,G34*H34-I34))</f>
        <v/>
      </c>
      <c r="K34" s="14">
        <f>IF(A34="","",SUMIFS('分期缴税台账'!$K$2:$K$501,'分期缴税台账'!$A$2:$A$501,A34,'分期缴税台账'!$C$2:$C$501,C34))</f>
        <v/>
      </c>
      <c r="L34" s="14">
        <f>IF(J34="","",MAX(0,J34-K34))</f>
        <v/>
      </c>
      <c r="M34" s="6">
        <f>IF(A34="","",COUNTIFS('激励事件明细'!$C$2:$C$501,A34,'激励事件明细'!$H$2:$H$501,C34,'激励事件明细'!$Z$2:$Z$501,"&gt;0"))</f>
        <v/>
      </c>
      <c r="N34" s="6">
        <f>IF(O34="","",IFERROR(INDEX('激励事件明细'!$A$2:$A$501,MATCH(1,('激励事件明细'!$C$2:$C$501=A34)*('激励事件明细'!$H$2:$H$501=C34)*('激励事件明细'!$AB$2:$AB$501=O34),0)),""))</f>
        <v/>
      </c>
      <c r="O34" s="16">
        <f>IF(A34="","",IFERROR(AGGREGATE(15,6,'激励事件明细'!$AB$2:$AB$501/(('激励事件明细'!$C$2:$C$501=A34)*('激励事件明细'!$H$2:$H$501=C34)*('激励事件明细'!$Z$2:$Z$501&gt;0)),1),""))</f>
        <v/>
      </c>
      <c r="P34" s="6">
        <f>IF(A34="","",IF(K34&gt;J34,"异常：超额缴税",IF(L34=0,"已缴清",IF(AND(O34&lt;TODAY(),L34&gt;0),"逾期未缴","未缴清"))))</f>
        <v/>
      </c>
    </row>
    <row r="35">
      <c r="A35" s="11" t="n"/>
      <c r="B35" s="6">
        <f>IF(A35="","",IFERROR(INDEX('激励事件明细'!$D$2:$D$501,MATCH(A35,'激励事件明细'!$C$2:$C$501,0)),""))</f>
        <v/>
      </c>
      <c r="C35" s="11" t="n"/>
      <c r="D35" s="14">
        <f>IF(OR(A35="",C35=""),"",SUMIFS('激励事件明细'!$S$2:$S$501,'激励事件明细'!$C$2:$C$501,A35,'激励事件明细'!$H$2:$H$501,C35,'激励事件明细'!$F$2:$F$501,"股票期权"))</f>
        <v/>
      </c>
      <c r="E35" s="14">
        <f>IF(OR(A35="",C35=""),"",SUMIFS('激励事件明细'!$S$2:$S$501,'激励事件明细'!$C$2:$C$501,A35,'激励事件明细'!$H$2:$H$501,C35,'激励事件明细'!$F$2:$F$501,"限制性股票"))</f>
        <v/>
      </c>
      <c r="F35" s="14">
        <f>IF(OR(A35="",C35=""),"",SUMIFS('激励事件明细'!$S$2:$S$501,'激励事件明细'!$C$2:$C$501,A35,'激励事件明细'!$H$2:$H$501,C35,'激励事件明细'!$F$2:$F$501,"其他股权激励"))</f>
        <v/>
      </c>
      <c r="G35" s="14">
        <f>IF(A35="","",SUM(D35:F35))</f>
        <v/>
      </c>
      <c r="H35" s="15">
        <f>IF(G35="","",VLOOKUP(G35,'税率及规则'!$A$2:$C$8,2,TRUE))</f>
        <v/>
      </c>
      <c r="I35" s="14">
        <f>IF(G35="","",VLOOKUP(G35,'税率及规则'!$A$2:$C$8,3,TRUE))</f>
        <v/>
      </c>
      <c r="J35" s="14">
        <f>IF(G35="","",MAX(0,G35*H35-I35))</f>
        <v/>
      </c>
      <c r="K35" s="14">
        <f>IF(A35="","",SUMIFS('分期缴税台账'!$K$2:$K$501,'分期缴税台账'!$A$2:$A$501,A35,'分期缴税台账'!$C$2:$C$501,C35))</f>
        <v/>
      </c>
      <c r="L35" s="14">
        <f>IF(J35="","",MAX(0,J35-K35))</f>
        <v/>
      </c>
      <c r="M35" s="6">
        <f>IF(A35="","",COUNTIFS('激励事件明细'!$C$2:$C$501,A35,'激励事件明细'!$H$2:$H$501,C35,'激励事件明细'!$Z$2:$Z$501,"&gt;0"))</f>
        <v/>
      </c>
      <c r="N35" s="6">
        <f>IF(O35="","",IFERROR(INDEX('激励事件明细'!$A$2:$A$501,MATCH(1,('激励事件明细'!$C$2:$C$501=A35)*('激励事件明细'!$H$2:$H$501=C35)*('激励事件明细'!$AB$2:$AB$501=O35),0)),""))</f>
        <v/>
      </c>
      <c r="O35" s="16">
        <f>IF(A35="","",IFERROR(AGGREGATE(15,6,'激励事件明细'!$AB$2:$AB$501/(('激励事件明细'!$C$2:$C$501=A35)*('激励事件明细'!$H$2:$H$501=C35)*('激励事件明细'!$Z$2:$Z$501&gt;0)),1),""))</f>
        <v/>
      </c>
      <c r="P35" s="6">
        <f>IF(A35="","",IF(K35&gt;J35,"异常：超额缴税",IF(L35=0,"已缴清",IF(AND(O35&lt;TODAY(),L35&gt;0),"逾期未缴","未缴清"))))</f>
        <v/>
      </c>
    </row>
    <row r="36">
      <c r="A36" s="11" t="n"/>
      <c r="B36" s="6">
        <f>IF(A36="","",IFERROR(INDEX('激励事件明细'!$D$2:$D$501,MATCH(A36,'激励事件明细'!$C$2:$C$501,0)),""))</f>
        <v/>
      </c>
      <c r="C36" s="11" t="n"/>
      <c r="D36" s="14">
        <f>IF(OR(A36="",C36=""),"",SUMIFS('激励事件明细'!$S$2:$S$501,'激励事件明细'!$C$2:$C$501,A36,'激励事件明细'!$H$2:$H$501,C36,'激励事件明细'!$F$2:$F$501,"股票期权"))</f>
        <v/>
      </c>
      <c r="E36" s="14">
        <f>IF(OR(A36="",C36=""),"",SUMIFS('激励事件明细'!$S$2:$S$501,'激励事件明细'!$C$2:$C$501,A36,'激励事件明细'!$H$2:$H$501,C36,'激励事件明细'!$F$2:$F$501,"限制性股票"))</f>
        <v/>
      </c>
      <c r="F36" s="14">
        <f>IF(OR(A36="",C36=""),"",SUMIFS('激励事件明细'!$S$2:$S$501,'激励事件明细'!$C$2:$C$501,A36,'激励事件明细'!$H$2:$H$501,C36,'激励事件明细'!$F$2:$F$501,"其他股权激励"))</f>
        <v/>
      </c>
      <c r="G36" s="14">
        <f>IF(A36="","",SUM(D36:F36))</f>
        <v/>
      </c>
      <c r="H36" s="15">
        <f>IF(G36="","",VLOOKUP(G36,'税率及规则'!$A$2:$C$8,2,TRUE))</f>
        <v/>
      </c>
      <c r="I36" s="14">
        <f>IF(G36="","",VLOOKUP(G36,'税率及规则'!$A$2:$C$8,3,TRUE))</f>
        <v/>
      </c>
      <c r="J36" s="14">
        <f>IF(G36="","",MAX(0,G36*H36-I36))</f>
        <v/>
      </c>
      <c r="K36" s="14">
        <f>IF(A36="","",SUMIFS('分期缴税台账'!$K$2:$K$501,'分期缴税台账'!$A$2:$A$501,A36,'分期缴税台账'!$C$2:$C$501,C36))</f>
        <v/>
      </c>
      <c r="L36" s="14">
        <f>IF(J36="","",MAX(0,J36-K36))</f>
        <v/>
      </c>
      <c r="M36" s="6">
        <f>IF(A36="","",COUNTIFS('激励事件明细'!$C$2:$C$501,A36,'激励事件明细'!$H$2:$H$501,C36,'激励事件明细'!$Z$2:$Z$501,"&gt;0"))</f>
        <v/>
      </c>
      <c r="N36" s="6">
        <f>IF(O36="","",IFERROR(INDEX('激励事件明细'!$A$2:$A$501,MATCH(1,('激励事件明细'!$C$2:$C$501=A36)*('激励事件明细'!$H$2:$H$501=C36)*('激励事件明细'!$AB$2:$AB$501=O36),0)),""))</f>
        <v/>
      </c>
      <c r="O36" s="16">
        <f>IF(A36="","",IFERROR(AGGREGATE(15,6,'激励事件明细'!$AB$2:$AB$501/(('激励事件明细'!$C$2:$C$501=A36)*('激励事件明细'!$H$2:$H$501=C36)*('激励事件明细'!$Z$2:$Z$501&gt;0)),1),""))</f>
        <v/>
      </c>
      <c r="P36" s="6">
        <f>IF(A36="","",IF(K36&gt;J36,"异常：超额缴税",IF(L36=0,"已缴清",IF(AND(O36&lt;TODAY(),L36&gt;0),"逾期未缴","未缴清"))))</f>
        <v/>
      </c>
    </row>
    <row r="37">
      <c r="A37" s="11" t="n"/>
      <c r="B37" s="6">
        <f>IF(A37="","",IFERROR(INDEX('激励事件明细'!$D$2:$D$501,MATCH(A37,'激励事件明细'!$C$2:$C$501,0)),""))</f>
        <v/>
      </c>
      <c r="C37" s="11" t="n"/>
      <c r="D37" s="14">
        <f>IF(OR(A37="",C37=""),"",SUMIFS('激励事件明细'!$S$2:$S$501,'激励事件明细'!$C$2:$C$501,A37,'激励事件明细'!$H$2:$H$501,C37,'激励事件明细'!$F$2:$F$501,"股票期权"))</f>
        <v/>
      </c>
      <c r="E37" s="14">
        <f>IF(OR(A37="",C37=""),"",SUMIFS('激励事件明细'!$S$2:$S$501,'激励事件明细'!$C$2:$C$501,A37,'激励事件明细'!$H$2:$H$501,C37,'激励事件明细'!$F$2:$F$501,"限制性股票"))</f>
        <v/>
      </c>
      <c r="F37" s="14">
        <f>IF(OR(A37="",C37=""),"",SUMIFS('激励事件明细'!$S$2:$S$501,'激励事件明细'!$C$2:$C$501,A37,'激励事件明细'!$H$2:$H$501,C37,'激励事件明细'!$F$2:$F$501,"其他股权激励"))</f>
        <v/>
      </c>
      <c r="G37" s="14">
        <f>IF(A37="","",SUM(D37:F37))</f>
        <v/>
      </c>
      <c r="H37" s="15">
        <f>IF(G37="","",VLOOKUP(G37,'税率及规则'!$A$2:$C$8,2,TRUE))</f>
        <v/>
      </c>
      <c r="I37" s="14">
        <f>IF(G37="","",VLOOKUP(G37,'税率及规则'!$A$2:$C$8,3,TRUE))</f>
        <v/>
      </c>
      <c r="J37" s="14">
        <f>IF(G37="","",MAX(0,G37*H37-I37))</f>
        <v/>
      </c>
      <c r="K37" s="14">
        <f>IF(A37="","",SUMIFS('分期缴税台账'!$K$2:$K$501,'分期缴税台账'!$A$2:$A$501,A37,'分期缴税台账'!$C$2:$C$501,C37))</f>
        <v/>
      </c>
      <c r="L37" s="14">
        <f>IF(J37="","",MAX(0,J37-K37))</f>
        <v/>
      </c>
      <c r="M37" s="6">
        <f>IF(A37="","",COUNTIFS('激励事件明细'!$C$2:$C$501,A37,'激励事件明细'!$H$2:$H$501,C37,'激励事件明细'!$Z$2:$Z$501,"&gt;0"))</f>
        <v/>
      </c>
      <c r="N37" s="6">
        <f>IF(O37="","",IFERROR(INDEX('激励事件明细'!$A$2:$A$501,MATCH(1,('激励事件明细'!$C$2:$C$501=A37)*('激励事件明细'!$H$2:$H$501=C37)*('激励事件明细'!$AB$2:$AB$501=O37),0)),""))</f>
        <v/>
      </c>
      <c r="O37" s="16">
        <f>IF(A37="","",IFERROR(AGGREGATE(15,6,'激励事件明细'!$AB$2:$AB$501/(('激励事件明细'!$C$2:$C$501=A37)*('激励事件明细'!$H$2:$H$501=C37)*('激励事件明细'!$Z$2:$Z$501&gt;0)),1),""))</f>
        <v/>
      </c>
      <c r="P37" s="6">
        <f>IF(A37="","",IF(K37&gt;J37,"异常：超额缴税",IF(L37=0,"已缴清",IF(AND(O37&lt;TODAY(),L37&gt;0),"逾期未缴","未缴清"))))</f>
        <v/>
      </c>
    </row>
    <row r="38">
      <c r="A38" s="11" t="n"/>
      <c r="B38" s="6">
        <f>IF(A38="","",IFERROR(INDEX('激励事件明细'!$D$2:$D$501,MATCH(A38,'激励事件明细'!$C$2:$C$501,0)),""))</f>
        <v/>
      </c>
      <c r="C38" s="11" t="n"/>
      <c r="D38" s="14">
        <f>IF(OR(A38="",C38=""),"",SUMIFS('激励事件明细'!$S$2:$S$501,'激励事件明细'!$C$2:$C$501,A38,'激励事件明细'!$H$2:$H$501,C38,'激励事件明细'!$F$2:$F$501,"股票期权"))</f>
        <v/>
      </c>
      <c r="E38" s="14">
        <f>IF(OR(A38="",C38=""),"",SUMIFS('激励事件明细'!$S$2:$S$501,'激励事件明细'!$C$2:$C$501,A38,'激励事件明细'!$H$2:$H$501,C38,'激励事件明细'!$F$2:$F$501,"限制性股票"))</f>
        <v/>
      </c>
      <c r="F38" s="14">
        <f>IF(OR(A38="",C38=""),"",SUMIFS('激励事件明细'!$S$2:$S$501,'激励事件明细'!$C$2:$C$501,A38,'激励事件明细'!$H$2:$H$501,C38,'激励事件明细'!$F$2:$F$501,"其他股权激励"))</f>
        <v/>
      </c>
      <c r="G38" s="14">
        <f>IF(A38="","",SUM(D38:F38))</f>
        <v/>
      </c>
      <c r="H38" s="15">
        <f>IF(G38="","",VLOOKUP(G38,'税率及规则'!$A$2:$C$8,2,TRUE))</f>
        <v/>
      </c>
      <c r="I38" s="14">
        <f>IF(G38="","",VLOOKUP(G38,'税率及规则'!$A$2:$C$8,3,TRUE))</f>
        <v/>
      </c>
      <c r="J38" s="14">
        <f>IF(G38="","",MAX(0,G38*H38-I38))</f>
        <v/>
      </c>
      <c r="K38" s="14">
        <f>IF(A38="","",SUMIFS('分期缴税台账'!$K$2:$K$501,'分期缴税台账'!$A$2:$A$501,A38,'分期缴税台账'!$C$2:$C$501,C38))</f>
        <v/>
      </c>
      <c r="L38" s="14">
        <f>IF(J38="","",MAX(0,J38-K38))</f>
        <v/>
      </c>
      <c r="M38" s="6">
        <f>IF(A38="","",COUNTIFS('激励事件明细'!$C$2:$C$501,A38,'激励事件明细'!$H$2:$H$501,C38,'激励事件明细'!$Z$2:$Z$501,"&gt;0"))</f>
        <v/>
      </c>
      <c r="N38" s="6">
        <f>IF(O38="","",IFERROR(INDEX('激励事件明细'!$A$2:$A$501,MATCH(1,('激励事件明细'!$C$2:$C$501=A38)*('激励事件明细'!$H$2:$H$501=C38)*('激励事件明细'!$AB$2:$AB$501=O38),0)),""))</f>
        <v/>
      </c>
      <c r="O38" s="16">
        <f>IF(A38="","",IFERROR(AGGREGATE(15,6,'激励事件明细'!$AB$2:$AB$501/(('激励事件明细'!$C$2:$C$501=A38)*('激励事件明细'!$H$2:$H$501=C38)*('激励事件明细'!$Z$2:$Z$501&gt;0)),1),""))</f>
        <v/>
      </c>
      <c r="P38" s="6">
        <f>IF(A38="","",IF(K38&gt;J38,"异常：超额缴税",IF(L38=0,"已缴清",IF(AND(O38&lt;TODAY(),L38&gt;0),"逾期未缴","未缴清"))))</f>
        <v/>
      </c>
    </row>
    <row r="39">
      <c r="A39" s="11" t="n"/>
      <c r="B39" s="6">
        <f>IF(A39="","",IFERROR(INDEX('激励事件明细'!$D$2:$D$501,MATCH(A39,'激励事件明细'!$C$2:$C$501,0)),""))</f>
        <v/>
      </c>
      <c r="C39" s="11" t="n"/>
      <c r="D39" s="14">
        <f>IF(OR(A39="",C39=""),"",SUMIFS('激励事件明细'!$S$2:$S$501,'激励事件明细'!$C$2:$C$501,A39,'激励事件明细'!$H$2:$H$501,C39,'激励事件明细'!$F$2:$F$501,"股票期权"))</f>
        <v/>
      </c>
      <c r="E39" s="14">
        <f>IF(OR(A39="",C39=""),"",SUMIFS('激励事件明细'!$S$2:$S$501,'激励事件明细'!$C$2:$C$501,A39,'激励事件明细'!$H$2:$H$501,C39,'激励事件明细'!$F$2:$F$501,"限制性股票"))</f>
        <v/>
      </c>
      <c r="F39" s="14">
        <f>IF(OR(A39="",C39=""),"",SUMIFS('激励事件明细'!$S$2:$S$501,'激励事件明细'!$C$2:$C$501,A39,'激励事件明细'!$H$2:$H$501,C39,'激励事件明细'!$F$2:$F$501,"其他股权激励"))</f>
        <v/>
      </c>
      <c r="G39" s="14">
        <f>IF(A39="","",SUM(D39:F39))</f>
        <v/>
      </c>
      <c r="H39" s="15">
        <f>IF(G39="","",VLOOKUP(G39,'税率及规则'!$A$2:$C$8,2,TRUE))</f>
        <v/>
      </c>
      <c r="I39" s="14">
        <f>IF(G39="","",VLOOKUP(G39,'税率及规则'!$A$2:$C$8,3,TRUE))</f>
        <v/>
      </c>
      <c r="J39" s="14">
        <f>IF(G39="","",MAX(0,G39*H39-I39))</f>
        <v/>
      </c>
      <c r="K39" s="14">
        <f>IF(A39="","",SUMIFS('分期缴税台账'!$K$2:$K$501,'分期缴税台账'!$A$2:$A$501,A39,'分期缴税台账'!$C$2:$C$501,C39))</f>
        <v/>
      </c>
      <c r="L39" s="14">
        <f>IF(J39="","",MAX(0,J39-K39))</f>
        <v/>
      </c>
      <c r="M39" s="6">
        <f>IF(A39="","",COUNTIFS('激励事件明细'!$C$2:$C$501,A39,'激励事件明细'!$H$2:$H$501,C39,'激励事件明细'!$Z$2:$Z$501,"&gt;0"))</f>
        <v/>
      </c>
      <c r="N39" s="6">
        <f>IF(O39="","",IFERROR(INDEX('激励事件明细'!$A$2:$A$501,MATCH(1,('激励事件明细'!$C$2:$C$501=A39)*('激励事件明细'!$H$2:$H$501=C39)*('激励事件明细'!$AB$2:$AB$501=O39),0)),""))</f>
        <v/>
      </c>
      <c r="O39" s="16">
        <f>IF(A39="","",IFERROR(AGGREGATE(15,6,'激励事件明细'!$AB$2:$AB$501/(('激励事件明细'!$C$2:$C$501=A39)*('激励事件明细'!$H$2:$H$501=C39)*('激励事件明细'!$Z$2:$Z$501&gt;0)),1),""))</f>
        <v/>
      </c>
      <c r="P39" s="6">
        <f>IF(A39="","",IF(K39&gt;J39,"异常：超额缴税",IF(L39=0,"已缴清",IF(AND(O39&lt;TODAY(),L39&gt;0),"逾期未缴","未缴清"))))</f>
        <v/>
      </c>
    </row>
    <row r="40">
      <c r="A40" s="11" t="n"/>
      <c r="B40" s="6">
        <f>IF(A40="","",IFERROR(INDEX('激励事件明细'!$D$2:$D$501,MATCH(A40,'激励事件明细'!$C$2:$C$501,0)),""))</f>
        <v/>
      </c>
      <c r="C40" s="11" t="n"/>
      <c r="D40" s="14">
        <f>IF(OR(A40="",C40=""),"",SUMIFS('激励事件明细'!$S$2:$S$501,'激励事件明细'!$C$2:$C$501,A40,'激励事件明细'!$H$2:$H$501,C40,'激励事件明细'!$F$2:$F$501,"股票期权"))</f>
        <v/>
      </c>
      <c r="E40" s="14">
        <f>IF(OR(A40="",C40=""),"",SUMIFS('激励事件明细'!$S$2:$S$501,'激励事件明细'!$C$2:$C$501,A40,'激励事件明细'!$H$2:$H$501,C40,'激励事件明细'!$F$2:$F$501,"限制性股票"))</f>
        <v/>
      </c>
      <c r="F40" s="14">
        <f>IF(OR(A40="",C40=""),"",SUMIFS('激励事件明细'!$S$2:$S$501,'激励事件明细'!$C$2:$C$501,A40,'激励事件明细'!$H$2:$H$501,C40,'激励事件明细'!$F$2:$F$501,"其他股权激励"))</f>
        <v/>
      </c>
      <c r="G40" s="14">
        <f>IF(A40="","",SUM(D40:F40))</f>
        <v/>
      </c>
      <c r="H40" s="15">
        <f>IF(G40="","",VLOOKUP(G40,'税率及规则'!$A$2:$C$8,2,TRUE))</f>
        <v/>
      </c>
      <c r="I40" s="14">
        <f>IF(G40="","",VLOOKUP(G40,'税率及规则'!$A$2:$C$8,3,TRUE))</f>
        <v/>
      </c>
      <c r="J40" s="14">
        <f>IF(G40="","",MAX(0,G40*H40-I40))</f>
        <v/>
      </c>
      <c r="K40" s="14">
        <f>IF(A40="","",SUMIFS('分期缴税台账'!$K$2:$K$501,'分期缴税台账'!$A$2:$A$501,A40,'分期缴税台账'!$C$2:$C$501,C40))</f>
        <v/>
      </c>
      <c r="L40" s="14">
        <f>IF(J40="","",MAX(0,J40-K40))</f>
        <v/>
      </c>
      <c r="M40" s="6">
        <f>IF(A40="","",COUNTIFS('激励事件明细'!$C$2:$C$501,A40,'激励事件明细'!$H$2:$H$501,C40,'激励事件明细'!$Z$2:$Z$501,"&gt;0"))</f>
        <v/>
      </c>
      <c r="N40" s="6">
        <f>IF(O40="","",IFERROR(INDEX('激励事件明细'!$A$2:$A$501,MATCH(1,('激励事件明细'!$C$2:$C$501=A40)*('激励事件明细'!$H$2:$H$501=C40)*('激励事件明细'!$AB$2:$AB$501=O40),0)),""))</f>
        <v/>
      </c>
      <c r="O40" s="16">
        <f>IF(A40="","",IFERROR(AGGREGATE(15,6,'激励事件明细'!$AB$2:$AB$501/(('激励事件明细'!$C$2:$C$501=A40)*('激励事件明细'!$H$2:$H$501=C40)*('激励事件明细'!$Z$2:$Z$501&gt;0)),1),""))</f>
        <v/>
      </c>
      <c r="P40" s="6">
        <f>IF(A40="","",IF(K40&gt;J40,"异常：超额缴税",IF(L40=0,"已缴清",IF(AND(O40&lt;TODAY(),L40&gt;0),"逾期未缴","未缴清"))))</f>
        <v/>
      </c>
    </row>
    <row r="41">
      <c r="A41" s="11" t="n"/>
      <c r="B41" s="6">
        <f>IF(A41="","",IFERROR(INDEX('激励事件明细'!$D$2:$D$501,MATCH(A41,'激励事件明细'!$C$2:$C$501,0)),""))</f>
        <v/>
      </c>
      <c r="C41" s="11" t="n"/>
      <c r="D41" s="14">
        <f>IF(OR(A41="",C41=""),"",SUMIFS('激励事件明细'!$S$2:$S$501,'激励事件明细'!$C$2:$C$501,A41,'激励事件明细'!$H$2:$H$501,C41,'激励事件明细'!$F$2:$F$501,"股票期权"))</f>
        <v/>
      </c>
      <c r="E41" s="14">
        <f>IF(OR(A41="",C41=""),"",SUMIFS('激励事件明细'!$S$2:$S$501,'激励事件明细'!$C$2:$C$501,A41,'激励事件明细'!$H$2:$H$501,C41,'激励事件明细'!$F$2:$F$501,"限制性股票"))</f>
        <v/>
      </c>
      <c r="F41" s="14">
        <f>IF(OR(A41="",C41=""),"",SUMIFS('激励事件明细'!$S$2:$S$501,'激励事件明细'!$C$2:$C$501,A41,'激励事件明细'!$H$2:$H$501,C41,'激励事件明细'!$F$2:$F$501,"其他股权激励"))</f>
        <v/>
      </c>
      <c r="G41" s="14">
        <f>IF(A41="","",SUM(D41:F41))</f>
        <v/>
      </c>
      <c r="H41" s="15">
        <f>IF(G41="","",VLOOKUP(G41,'税率及规则'!$A$2:$C$8,2,TRUE))</f>
        <v/>
      </c>
      <c r="I41" s="14">
        <f>IF(G41="","",VLOOKUP(G41,'税率及规则'!$A$2:$C$8,3,TRUE))</f>
        <v/>
      </c>
      <c r="J41" s="14">
        <f>IF(G41="","",MAX(0,G41*H41-I41))</f>
        <v/>
      </c>
      <c r="K41" s="14">
        <f>IF(A41="","",SUMIFS('分期缴税台账'!$K$2:$K$501,'分期缴税台账'!$A$2:$A$501,A41,'分期缴税台账'!$C$2:$C$501,C41))</f>
        <v/>
      </c>
      <c r="L41" s="14">
        <f>IF(J41="","",MAX(0,J41-K41))</f>
        <v/>
      </c>
      <c r="M41" s="6">
        <f>IF(A41="","",COUNTIFS('激励事件明细'!$C$2:$C$501,A41,'激励事件明细'!$H$2:$H$501,C41,'激励事件明细'!$Z$2:$Z$501,"&gt;0"))</f>
        <v/>
      </c>
      <c r="N41" s="6">
        <f>IF(O41="","",IFERROR(INDEX('激励事件明细'!$A$2:$A$501,MATCH(1,('激励事件明细'!$C$2:$C$501=A41)*('激励事件明细'!$H$2:$H$501=C41)*('激励事件明细'!$AB$2:$AB$501=O41),0)),""))</f>
        <v/>
      </c>
      <c r="O41" s="16">
        <f>IF(A41="","",IFERROR(AGGREGATE(15,6,'激励事件明细'!$AB$2:$AB$501/(('激励事件明细'!$C$2:$C$501=A41)*('激励事件明细'!$H$2:$H$501=C41)*('激励事件明细'!$Z$2:$Z$501&gt;0)),1),""))</f>
        <v/>
      </c>
      <c r="P41" s="6">
        <f>IF(A41="","",IF(K41&gt;J41,"异常：超额缴税",IF(L41=0,"已缴清",IF(AND(O41&lt;TODAY(),L41&gt;0),"逾期未缴","未缴清"))))</f>
        <v/>
      </c>
    </row>
    <row r="42">
      <c r="A42" s="11" t="n"/>
      <c r="B42" s="6">
        <f>IF(A42="","",IFERROR(INDEX('激励事件明细'!$D$2:$D$501,MATCH(A42,'激励事件明细'!$C$2:$C$501,0)),""))</f>
        <v/>
      </c>
      <c r="C42" s="11" t="n"/>
      <c r="D42" s="14">
        <f>IF(OR(A42="",C42=""),"",SUMIFS('激励事件明细'!$S$2:$S$501,'激励事件明细'!$C$2:$C$501,A42,'激励事件明细'!$H$2:$H$501,C42,'激励事件明细'!$F$2:$F$501,"股票期权"))</f>
        <v/>
      </c>
      <c r="E42" s="14">
        <f>IF(OR(A42="",C42=""),"",SUMIFS('激励事件明细'!$S$2:$S$501,'激励事件明细'!$C$2:$C$501,A42,'激励事件明细'!$H$2:$H$501,C42,'激励事件明细'!$F$2:$F$501,"限制性股票"))</f>
        <v/>
      </c>
      <c r="F42" s="14">
        <f>IF(OR(A42="",C42=""),"",SUMIFS('激励事件明细'!$S$2:$S$501,'激励事件明细'!$C$2:$C$501,A42,'激励事件明细'!$H$2:$H$501,C42,'激励事件明细'!$F$2:$F$501,"其他股权激励"))</f>
        <v/>
      </c>
      <c r="G42" s="14">
        <f>IF(A42="","",SUM(D42:F42))</f>
        <v/>
      </c>
      <c r="H42" s="15">
        <f>IF(G42="","",VLOOKUP(G42,'税率及规则'!$A$2:$C$8,2,TRUE))</f>
        <v/>
      </c>
      <c r="I42" s="14">
        <f>IF(G42="","",VLOOKUP(G42,'税率及规则'!$A$2:$C$8,3,TRUE))</f>
        <v/>
      </c>
      <c r="J42" s="14">
        <f>IF(G42="","",MAX(0,G42*H42-I42))</f>
        <v/>
      </c>
      <c r="K42" s="14">
        <f>IF(A42="","",SUMIFS('分期缴税台账'!$K$2:$K$501,'分期缴税台账'!$A$2:$A$501,A42,'分期缴税台账'!$C$2:$C$501,C42))</f>
        <v/>
      </c>
      <c r="L42" s="14">
        <f>IF(J42="","",MAX(0,J42-K42))</f>
        <v/>
      </c>
      <c r="M42" s="6">
        <f>IF(A42="","",COUNTIFS('激励事件明细'!$C$2:$C$501,A42,'激励事件明细'!$H$2:$H$501,C42,'激励事件明细'!$Z$2:$Z$501,"&gt;0"))</f>
        <v/>
      </c>
      <c r="N42" s="6">
        <f>IF(O42="","",IFERROR(INDEX('激励事件明细'!$A$2:$A$501,MATCH(1,('激励事件明细'!$C$2:$C$501=A42)*('激励事件明细'!$H$2:$H$501=C42)*('激励事件明细'!$AB$2:$AB$501=O42),0)),""))</f>
        <v/>
      </c>
      <c r="O42" s="16">
        <f>IF(A42="","",IFERROR(AGGREGATE(15,6,'激励事件明细'!$AB$2:$AB$501/(('激励事件明细'!$C$2:$C$501=A42)*('激励事件明细'!$H$2:$H$501=C42)*('激励事件明细'!$Z$2:$Z$501&gt;0)),1),""))</f>
        <v/>
      </c>
      <c r="P42" s="6">
        <f>IF(A42="","",IF(K42&gt;J42,"异常：超额缴税",IF(L42=0,"已缴清",IF(AND(O42&lt;TODAY(),L42&gt;0),"逾期未缴","未缴清"))))</f>
        <v/>
      </c>
    </row>
    <row r="43">
      <c r="A43" s="11" t="n"/>
      <c r="B43" s="6">
        <f>IF(A43="","",IFERROR(INDEX('激励事件明细'!$D$2:$D$501,MATCH(A43,'激励事件明细'!$C$2:$C$501,0)),""))</f>
        <v/>
      </c>
      <c r="C43" s="11" t="n"/>
      <c r="D43" s="14">
        <f>IF(OR(A43="",C43=""),"",SUMIFS('激励事件明细'!$S$2:$S$501,'激励事件明细'!$C$2:$C$501,A43,'激励事件明细'!$H$2:$H$501,C43,'激励事件明细'!$F$2:$F$501,"股票期权"))</f>
        <v/>
      </c>
      <c r="E43" s="14">
        <f>IF(OR(A43="",C43=""),"",SUMIFS('激励事件明细'!$S$2:$S$501,'激励事件明细'!$C$2:$C$501,A43,'激励事件明细'!$H$2:$H$501,C43,'激励事件明细'!$F$2:$F$501,"限制性股票"))</f>
        <v/>
      </c>
      <c r="F43" s="14">
        <f>IF(OR(A43="",C43=""),"",SUMIFS('激励事件明细'!$S$2:$S$501,'激励事件明细'!$C$2:$C$501,A43,'激励事件明细'!$H$2:$H$501,C43,'激励事件明细'!$F$2:$F$501,"其他股权激励"))</f>
        <v/>
      </c>
      <c r="G43" s="14">
        <f>IF(A43="","",SUM(D43:F43))</f>
        <v/>
      </c>
      <c r="H43" s="15">
        <f>IF(G43="","",VLOOKUP(G43,'税率及规则'!$A$2:$C$8,2,TRUE))</f>
        <v/>
      </c>
      <c r="I43" s="14">
        <f>IF(G43="","",VLOOKUP(G43,'税率及规则'!$A$2:$C$8,3,TRUE))</f>
        <v/>
      </c>
      <c r="J43" s="14">
        <f>IF(G43="","",MAX(0,G43*H43-I43))</f>
        <v/>
      </c>
      <c r="K43" s="14">
        <f>IF(A43="","",SUMIFS('分期缴税台账'!$K$2:$K$501,'分期缴税台账'!$A$2:$A$501,A43,'分期缴税台账'!$C$2:$C$501,C43))</f>
        <v/>
      </c>
      <c r="L43" s="14">
        <f>IF(J43="","",MAX(0,J43-K43))</f>
        <v/>
      </c>
      <c r="M43" s="6">
        <f>IF(A43="","",COUNTIFS('激励事件明细'!$C$2:$C$501,A43,'激励事件明细'!$H$2:$H$501,C43,'激励事件明细'!$Z$2:$Z$501,"&gt;0"))</f>
        <v/>
      </c>
      <c r="N43" s="6">
        <f>IF(O43="","",IFERROR(INDEX('激励事件明细'!$A$2:$A$501,MATCH(1,('激励事件明细'!$C$2:$C$501=A43)*('激励事件明细'!$H$2:$H$501=C43)*('激励事件明细'!$AB$2:$AB$501=O43),0)),""))</f>
        <v/>
      </c>
      <c r="O43" s="16">
        <f>IF(A43="","",IFERROR(AGGREGATE(15,6,'激励事件明细'!$AB$2:$AB$501/(('激励事件明细'!$C$2:$C$501=A43)*('激励事件明细'!$H$2:$H$501=C43)*('激励事件明细'!$Z$2:$Z$501&gt;0)),1),""))</f>
        <v/>
      </c>
      <c r="P43" s="6">
        <f>IF(A43="","",IF(K43&gt;J43,"异常：超额缴税",IF(L43=0,"已缴清",IF(AND(O43&lt;TODAY(),L43&gt;0),"逾期未缴","未缴清"))))</f>
        <v/>
      </c>
    </row>
    <row r="44">
      <c r="A44" s="11" t="n"/>
      <c r="B44" s="6">
        <f>IF(A44="","",IFERROR(INDEX('激励事件明细'!$D$2:$D$501,MATCH(A44,'激励事件明细'!$C$2:$C$501,0)),""))</f>
        <v/>
      </c>
      <c r="C44" s="11" t="n"/>
      <c r="D44" s="14">
        <f>IF(OR(A44="",C44=""),"",SUMIFS('激励事件明细'!$S$2:$S$501,'激励事件明细'!$C$2:$C$501,A44,'激励事件明细'!$H$2:$H$501,C44,'激励事件明细'!$F$2:$F$501,"股票期权"))</f>
        <v/>
      </c>
      <c r="E44" s="14">
        <f>IF(OR(A44="",C44=""),"",SUMIFS('激励事件明细'!$S$2:$S$501,'激励事件明细'!$C$2:$C$501,A44,'激励事件明细'!$H$2:$H$501,C44,'激励事件明细'!$F$2:$F$501,"限制性股票"))</f>
        <v/>
      </c>
      <c r="F44" s="14">
        <f>IF(OR(A44="",C44=""),"",SUMIFS('激励事件明细'!$S$2:$S$501,'激励事件明细'!$C$2:$C$501,A44,'激励事件明细'!$H$2:$H$501,C44,'激励事件明细'!$F$2:$F$501,"其他股权激励"))</f>
        <v/>
      </c>
      <c r="G44" s="14">
        <f>IF(A44="","",SUM(D44:F44))</f>
        <v/>
      </c>
      <c r="H44" s="15">
        <f>IF(G44="","",VLOOKUP(G44,'税率及规则'!$A$2:$C$8,2,TRUE))</f>
        <v/>
      </c>
      <c r="I44" s="14">
        <f>IF(G44="","",VLOOKUP(G44,'税率及规则'!$A$2:$C$8,3,TRUE))</f>
        <v/>
      </c>
      <c r="J44" s="14">
        <f>IF(G44="","",MAX(0,G44*H44-I44))</f>
        <v/>
      </c>
      <c r="K44" s="14">
        <f>IF(A44="","",SUMIFS('分期缴税台账'!$K$2:$K$501,'分期缴税台账'!$A$2:$A$501,A44,'分期缴税台账'!$C$2:$C$501,C44))</f>
        <v/>
      </c>
      <c r="L44" s="14">
        <f>IF(J44="","",MAX(0,J44-K44))</f>
        <v/>
      </c>
      <c r="M44" s="6">
        <f>IF(A44="","",COUNTIFS('激励事件明细'!$C$2:$C$501,A44,'激励事件明细'!$H$2:$H$501,C44,'激励事件明细'!$Z$2:$Z$501,"&gt;0"))</f>
        <v/>
      </c>
      <c r="N44" s="6">
        <f>IF(O44="","",IFERROR(INDEX('激励事件明细'!$A$2:$A$501,MATCH(1,('激励事件明细'!$C$2:$C$501=A44)*('激励事件明细'!$H$2:$H$501=C44)*('激励事件明细'!$AB$2:$AB$501=O44),0)),""))</f>
        <v/>
      </c>
      <c r="O44" s="16">
        <f>IF(A44="","",IFERROR(AGGREGATE(15,6,'激励事件明细'!$AB$2:$AB$501/(('激励事件明细'!$C$2:$C$501=A44)*('激励事件明细'!$H$2:$H$501=C44)*('激励事件明细'!$Z$2:$Z$501&gt;0)),1),""))</f>
        <v/>
      </c>
      <c r="P44" s="6">
        <f>IF(A44="","",IF(K44&gt;J44,"异常：超额缴税",IF(L44=0,"已缴清",IF(AND(O44&lt;TODAY(),L44&gt;0),"逾期未缴","未缴清"))))</f>
        <v/>
      </c>
    </row>
    <row r="45">
      <c r="A45" s="11" t="n"/>
      <c r="B45" s="6">
        <f>IF(A45="","",IFERROR(INDEX('激励事件明细'!$D$2:$D$501,MATCH(A45,'激励事件明细'!$C$2:$C$501,0)),""))</f>
        <v/>
      </c>
      <c r="C45" s="11" t="n"/>
      <c r="D45" s="14">
        <f>IF(OR(A45="",C45=""),"",SUMIFS('激励事件明细'!$S$2:$S$501,'激励事件明细'!$C$2:$C$501,A45,'激励事件明细'!$H$2:$H$501,C45,'激励事件明细'!$F$2:$F$501,"股票期权"))</f>
        <v/>
      </c>
      <c r="E45" s="14">
        <f>IF(OR(A45="",C45=""),"",SUMIFS('激励事件明细'!$S$2:$S$501,'激励事件明细'!$C$2:$C$501,A45,'激励事件明细'!$H$2:$H$501,C45,'激励事件明细'!$F$2:$F$501,"限制性股票"))</f>
        <v/>
      </c>
      <c r="F45" s="14">
        <f>IF(OR(A45="",C45=""),"",SUMIFS('激励事件明细'!$S$2:$S$501,'激励事件明细'!$C$2:$C$501,A45,'激励事件明细'!$H$2:$H$501,C45,'激励事件明细'!$F$2:$F$501,"其他股权激励"))</f>
        <v/>
      </c>
      <c r="G45" s="14">
        <f>IF(A45="","",SUM(D45:F45))</f>
        <v/>
      </c>
      <c r="H45" s="15">
        <f>IF(G45="","",VLOOKUP(G45,'税率及规则'!$A$2:$C$8,2,TRUE))</f>
        <v/>
      </c>
      <c r="I45" s="14">
        <f>IF(G45="","",VLOOKUP(G45,'税率及规则'!$A$2:$C$8,3,TRUE))</f>
        <v/>
      </c>
      <c r="J45" s="14">
        <f>IF(G45="","",MAX(0,G45*H45-I45))</f>
        <v/>
      </c>
      <c r="K45" s="14">
        <f>IF(A45="","",SUMIFS('分期缴税台账'!$K$2:$K$501,'分期缴税台账'!$A$2:$A$501,A45,'分期缴税台账'!$C$2:$C$501,C45))</f>
        <v/>
      </c>
      <c r="L45" s="14">
        <f>IF(J45="","",MAX(0,J45-K45))</f>
        <v/>
      </c>
      <c r="M45" s="6">
        <f>IF(A45="","",COUNTIFS('激励事件明细'!$C$2:$C$501,A45,'激励事件明细'!$H$2:$H$501,C45,'激励事件明细'!$Z$2:$Z$501,"&gt;0"))</f>
        <v/>
      </c>
      <c r="N45" s="6">
        <f>IF(O45="","",IFERROR(INDEX('激励事件明细'!$A$2:$A$501,MATCH(1,('激励事件明细'!$C$2:$C$501=A45)*('激励事件明细'!$H$2:$H$501=C45)*('激励事件明细'!$AB$2:$AB$501=O45),0)),""))</f>
        <v/>
      </c>
      <c r="O45" s="16">
        <f>IF(A45="","",IFERROR(AGGREGATE(15,6,'激励事件明细'!$AB$2:$AB$501/(('激励事件明细'!$C$2:$C$501=A45)*('激励事件明细'!$H$2:$H$501=C45)*('激励事件明细'!$Z$2:$Z$501&gt;0)),1),""))</f>
        <v/>
      </c>
      <c r="P45" s="6">
        <f>IF(A45="","",IF(K45&gt;J45,"异常：超额缴税",IF(L45=0,"已缴清",IF(AND(O45&lt;TODAY(),L45&gt;0),"逾期未缴","未缴清"))))</f>
        <v/>
      </c>
    </row>
    <row r="46">
      <c r="A46" s="11" t="n"/>
      <c r="B46" s="6">
        <f>IF(A46="","",IFERROR(INDEX('激励事件明细'!$D$2:$D$501,MATCH(A46,'激励事件明细'!$C$2:$C$501,0)),""))</f>
        <v/>
      </c>
      <c r="C46" s="11" t="n"/>
      <c r="D46" s="14">
        <f>IF(OR(A46="",C46=""),"",SUMIFS('激励事件明细'!$S$2:$S$501,'激励事件明细'!$C$2:$C$501,A46,'激励事件明细'!$H$2:$H$501,C46,'激励事件明细'!$F$2:$F$501,"股票期权"))</f>
        <v/>
      </c>
      <c r="E46" s="14">
        <f>IF(OR(A46="",C46=""),"",SUMIFS('激励事件明细'!$S$2:$S$501,'激励事件明细'!$C$2:$C$501,A46,'激励事件明细'!$H$2:$H$501,C46,'激励事件明细'!$F$2:$F$501,"限制性股票"))</f>
        <v/>
      </c>
      <c r="F46" s="14">
        <f>IF(OR(A46="",C46=""),"",SUMIFS('激励事件明细'!$S$2:$S$501,'激励事件明细'!$C$2:$C$501,A46,'激励事件明细'!$H$2:$H$501,C46,'激励事件明细'!$F$2:$F$501,"其他股权激励"))</f>
        <v/>
      </c>
      <c r="G46" s="14">
        <f>IF(A46="","",SUM(D46:F46))</f>
        <v/>
      </c>
      <c r="H46" s="15">
        <f>IF(G46="","",VLOOKUP(G46,'税率及规则'!$A$2:$C$8,2,TRUE))</f>
        <v/>
      </c>
      <c r="I46" s="14">
        <f>IF(G46="","",VLOOKUP(G46,'税率及规则'!$A$2:$C$8,3,TRUE))</f>
        <v/>
      </c>
      <c r="J46" s="14">
        <f>IF(G46="","",MAX(0,G46*H46-I46))</f>
        <v/>
      </c>
      <c r="K46" s="14">
        <f>IF(A46="","",SUMIFS('分期缴税台账'!$K$2:$K$501,'分期缴税台账'!$A$2:$A$501,A46,'分期缴税台账'!$C$2:$C$501,C46))</f>
        <v/>
      </c>
      <c r="L46" s="14">
        <f>IF(J46="","",MAX(0,J46-K46))</f>
        <v/>
      </c>
      <c r="M46" s="6">
        <f>IF(A46="","",COUNTIFS('激励事件明细'!$C$2:$C$501,A46,'激励事件明细'!$H$2:$H$501,C46,'激励事件明细'!$Z$2:$Z$501,"&gt;0"))</f>
        <v/>
      </c>
      <c r="N46" s="6">
        <f>IF(O46="","",IFERROR(INDEX('激励事件明细'!$A$2:$A$501,MATCH(1,('激励事件明细'!$C$2:$C$501=A46)*('激励事件明细'!$H$2:$H$501=C46)*('激励事件明细'!$AB$2:$AB$501=O46),0)),""))</f>
        <v/>
      </c>
      <c r="O46" s="16">
        <f>IF(A46="","",IFERROR(AGGREGATE(15,6,'激励事件明细'!$AB$2:$AB$501/(('激励事件明细'!$C$2:$C$501=A46)*('激励事件明细'!$H$2:$H$501=C46)*('激励事件明细'!$Z$2:$Z$501&gt;0)),1),""))</f>
        <v/>
      </c>
      <c r="P46" s="6">
        <f>IF(A46="","",IF(K46&gt;J46,"异常：超额缴税",IF(L46=0,"已缴清",IF(AND(O46&lt;TODAY(),L46&gt;0),"逾期未缴","未缴清"))))</f>
        <v/>
      </c>
    </row>
    <row r="47">
      <c r="A47" s="11" t="n"/>
      <c r="B47" s="6">
        <f>IF(A47="","",IFERROR(INDEX('激励事件明细'!$D$2:$D$501,MATCH(A47,'激励事件明细'!$C$2:$C$501,0)),""))</f>
        <v/>
      </c>
      <c r="C47" s="11" t="n"/>
      <c r="D47" s="14">
        <f>IF(OR(A47="",C47=""),"",SUMIFS('激励事件明细'!$S$2:$S$501,'激励事件明细'!$C$2:$C$501,A47,'激励事件明细'!$H$2:$H$501,C47,'激励事件明细'!$F$2:$F$501,"股票期权"))</f>
        <v/>
      </c>
      <c r="E47" s="14">
        <f>IF(OR(A47="",C47=""),"",SUMIFS('激励事件明细'!$S$2:$S$501,'激励事件明细'!$C$2:$C$501,A47,'激励事件明细'!$H$2:$H$501,C47,'激励事件明细'!$F$2:$F$501,"限制性股票"))</f>
        <v/>
      </c>
      <c r="F47" s="14">
        <f>IF(OR(A47="",C47=""),"",SUMIFS('激励事件明细'!$S$2:$S$501,'激励事件明细'!$C$2:$C$501,A47,'激励事件明细'!$H$2:$H$501,C47,'激励事件明细'!$F$2:$F$501,"其他股权激励"))</f>
        <v/>
      </c>
      <c r="G47" s="14">
        <f>IF(A47="","",SUM(D47:F47))</f>
        <v/>
      </c>
      <c r="H47" s="15">
        <f>IF(G47="","",VLOOKUP(G47,'税率及规则'!$A$2:$C$8,2,TRUE))</f>
        <v/>
      </c>
      <c r="I47" s="14">
        <f>IF(G47="","",VLOOKUP(G47,'税率及规则'!$A$2:$C$8,3,TRUE))</f>
        <v/>
      </c>
      <c r="J47" s="14">
        <f>IF(G47="","",MAX(0,G47*H47-I47))</f>
        <v/>
      </c>
      <c r="K47" s="14">
        <f>IF(A47="","",SUMIFS('分期缴税台账'!$K$2:$K$501,'分期缴税台账'!$A$2:$A$501,A47,'分期缴税台账'!$C$2:$C$501,C47))</f>
        <v/>
      </c>
      <c r="L47" s="14">
        <f>IF(J47="","",MAX(0,J47-K47))</f>
        <v/>
      </c>
      <c r="M47" s="6">
        <f>IF(A47="","",COUNTIFS('激励事件明细'!$C$2:$C$501,A47,'激励事件明细'!$H$2:$H$501,C47,'激励事件明细'!$Z$2:$Z$501,"&gt;0"))</f>
        <v/>
      </c>
      <c r="N47" s="6">
        <f>IF(O47="","",IFERROR(INDEX('激励事件明细'!$A$2:$A$501,MATCH(1,('激励事件明细'!$C$2:$C$501=A47)*('激励事件明细'!$H$2:$H$501=C47)*('激励事件明细'!$AB$2:$AB$501=O47),0)),""))</f>
        <v/>
      </c>
      <c r="O47" s="16">
        <f>IF(A47="","",IFERROR(AGGREGATE(15,6,'激励事件明细'!$AB$2:$AB$501/(('激励事件明细'!$C$2:$C$501=A47)*('激励事件明细'!$H$2:$H$501=C47)*('激励事件明细'!$Z$2:$Z$501&gt;0)),1),""))</f>
        <v/>
      </c>
      <c r="P47" s="6">
        <f>IF(A47="","",IF(K47&gt;J47,"异常：超额缴税",IF(L47=0,"已缴清",IF(AND(O47&lt;TODAY(),L47&gt;0),"逾期未缴","未缴清"))))</f>
        <v/>
      </c>
    </row>
    <row r="48">
      <c r="A48" s="11" t="n"/>
      <c r="B48" s="6">
        <f>IF(A48="","",IFERROR(INDEX('激励事件明细'!$D$2:$D$501,MATCH(A48,'激励事件明细'!$C$2:$C$501,0)),""))</f>
        <v/>
      </c>
      <c r="C48" s="11" t="n"/>
      <c r="D48" s="14">
        <f>IF(OR(A48="",C48=""),"",SUMIFS('激励事件明细'!$S$2:$S$501,'激励事件明细'!$C$2:$C$501,A48,'激励事件明细'!$H$2:$H$501,C48,'激励事件明细'!$F$2:$F$501,"股票期权"))</f>
        <v/>
      </c>
      <c r="E48" s="14">
        <f>IF(OR(A48="",C48=""),"",SUMIFS('激励事件明细'!$S$2:$S$501,'激励事件明细'!$C$2:$C$501,A48,'激励事件明细'!$H$2:$H$501,C48,'激励事件明细'!$F$2:$F$501,"限制性股票"))</f>
        <v/>
      </c>
      <c r="F48" s="14">
        <f>IF(OR(A48="",C48=""),"",SUMIFS('激励事件明细'!$S$2:$S$501,'激励事件明细'!$C$2:$C$501,A48,'激励事件明细'!$H$2:$H$501,C48,'激励事件明细'!$F$2:$F$501,"其他股权激励"))</f>
        <v/>
      </c>
      <c r="G48" s="14">
        <f>IF(A48="","",SUM(D48:F48))</f>
        <v/>
      </c>
      <c r="H48" s="15">
        <f>IF(G48="","",VLOOKUP(G48,'税率及规则'!$A$2:$C$8,2,TRUE))</f>
        <v/>
      </c>
      <c r="I48" s="14">
        <f>IF(G48="","",VLOOKUP(G48,'税率及规则'!$A$2:$C$8,3,TRUE))</f>
        <v/>
      </c>
      <c r="J48" s="14">
        <f>IF(G48="","",MAX(0,G48*H48-I48))</f>
        <v/>
      </c>
      <c r="K48" s="14">
        <f>IF(A48="","",SUMIFS('分期缴税台账'!$K$2:$K$501,'分期缴税台账'!$A$2:$A$501,A48,'分期缴税台账'!$C$2:$C$501,C48))</f>
        <v/>
      </c>
      <c r="L48" s="14">
        <f>IF(J48="","",MAX(0,J48-K48))</f>
        <v/>
      </c>
      <c r="M48" s="6">
        <f>IF(A48="","",COUNTIFS('激励事件明细'!$C$2:$C$501,A48,'激励事件明细'!$H$2:$H$501,C48,'激励事件明细'!$Z$2:$Z$501,"&gt;0"))</f>
        <v/>
      </c>
      <c r="N48" s="6">
        <f>IF(O48="","",IFERROR(INDEX('激励事件明细'!$A$2:$A$501,MATCH(1,('激励事件明细'!$C$2:$C$501=A48)*('激励事件明细'!$H$2:$H$501=C48)*('激励事件明细'!$AB$2:$AB$501=O48),0)),""))</f>
        <v/>
      </c>
      <c r="O48" s="16">
        <f>IF(A48="","",IFERROR(AGGREGATE(15,6,'激励事件明细'!$AB$2:$AB$501/(('激励事件明细'!$C$2:$C$501=A48)*('激励事件明细'!$H$2:$H$501=C48)*('激励事件明细'!$Z$2:$Z$501&gt;0)),1),""))</f>
        <v/>
      </c>
      <c r="P48" s="6">
        <f>IF(A48="","",IF(K48&gt;J48,"异常：超额缴税",IF(L48=0,"已缴清",IF(AND(O48&lt;TODAY(),L48&gt;0),"逾期未缴","未缴清"))))</f>
        <v/>
      </c>
    </row>
    <row r="49">
      <c r="A49" s="11" t="n"/>
      <c r="B49" s="6">
        <f>IF(A49="","",IFERROR(INDEX('激励事件明细'!$D$2:$D$501,MATCH(A49,'激励事件明细'!$C$2:$C$501,0)),""))</f>
        <v/>
      </c>
      <c r="C49" s="11" t="n"/>
      <c r="D49" s="14">
        <f>IF(OR(A49="",C49=""),"",SUMIFS('激励事件明细'!$S$2:$S$501,'激励事件明细'!$C$2:$C$501,A49,'激励事件明细'!$H$2:$H$501,C49,'激励事件明细'!$F$2:$F$501,"股票期权"))</f>
        <v/>
      </c>
      <c r="E49" s="14">
        <f>IF(OR(A49="",C49=""),"",SUMIFS('激励事件明细'!$S$2:$S$501,'激励事件明细'!$C$2:$C$501,A49,'激励事件明细'!$H$2:$H$501,C49,'激励事件明细'!$F$2:$F$501,"限制性股票"))</f>
        <v/>
      </c>
      <c r="F49" s="14">
        <f>IF(OR(A49="",C49=""),"",SUMIFS('激励事件明细'!$S$2:$S$501,'激励事件明细'!$C$2:$C$501,A49,'激励事件明细'!$H$2:$H$501,C49,'激励事件明细'!$F$2:$F$501,"其他股权激励"))</f>
        <v/>
      </c>
      <c r="G49" s="14">
        <f>IF(A49="","",SUM(D49:F49))</f>
        <v/>
      </c>
      <c r="H49" s="15">
        <f>IF(G49="","",VLOOKUP(G49,'税率及规则'!$A$2:$C$8,2,TRUE))</f>
        <v/>
      </c>
      <c r="I49" s="14">
        <f>IF(G49="","",VLOOKUP(G49,'税率及规则'!$A$2:$C$8,3,TRUE))</f>
        <v/>
      </c>
      <c r="J49" s="14">
        <f>IF(G49="","",MAX(0,G49*H49-I49))</f>
        <v/>
      </c>
      <c r="K49" s="14">
        <f>IF(A49="","",SUMIFS('分期缴税台账'!$K$2:$K$501,'分期缴税台账'!$A$2:$A$501,A49,'分期缴税台账'!$C$2:$C$501,C49))</f>
        <v/>
      </c>
      <c r="L49" s="14">
        <f>IF(J49="","",MAX(0,J49-K49))</f>
        <v/>
      </c>
      <c r="M49" s="6">
        <f>IF(A49="","",COUNTIFS('激励事件明细'!$C$2:$C$501,A49,'激励事件明细'!$H$2:$H$501,C49,'激励事件明细'!$Z$2:$Z$501,"&gt;0"))</f>
        <v/>
      </c>
      <c r="N49" s="6">
        <f>IF(O49="","",IFERROR(INDEX('激励事件明细'!$A$2:$A$501,MATCH(1,('激励事件明细'!$C$2:$C$501=A49)*('激励事件明细'!$H$2:$H$501=C49)*('激励事件明细'!$AB$2:$AB$501=O49),0)),""))</f>
        <v/>
      </c>
      <c r="O49" s="16">
        <f>IF(A49="","",IFERROR(AGGREGATE(15,6,'激励事件明细'!$AB$2:$AB$501/(('激励事件明细'!$C$2:$C$501=A49)*('激励事件明细'!$H$2:$H$501=C49)*('激励事件明细'!$Z$2:$Z$501&gt;0)),1),""))</f>
        <v/>
      </c>
      <c r="P49" s="6">
        <f>IF(A49="","",IF(K49&gt;J49,"异常：超额缴税",IF(L49=0,"已缴清",IF(AND(O49&lt;TODAY(),L49&gt;0),"逾期未缴","未缴清"))))</f>
        <v/>
      </c>
    </row>
    <row r="50">
      <c r="A50" s="11" t="n"/>
      <c r="B50" s="6">
        <f>IF(A50="","",IFERROR(INDEX('激励事件明细'!$D$2:$D$501,MATCH(A50,'激励事件明细'!$C$2:$C$501,0)),""))</f>
        <v/>
      </c>
      <c r="C50" s="11" t="n"/>
      <c r="D50" s="14">
        <f>IF(OR(A50="",C50=""),"",SUMIFS('激励事件明细'!$S$2:$S$501,'激励事件明细'!$C$2:$C$501,A50,'激励事件明细'!$H$2:$H$501,C50,'激励事件明细'!$F$2:$F$501,"股票期权"))</f>
        <v/>
      </c>
      <c r="E50" s="14">
        <f>IF(OR(A50="",C50=""),"",SUMIFS('激励事件明细'!$S$2:$S$501,'激励事件明细'!$C$2:$C$501,A50,'激励事件明细'!$H$2:$H$501,C50,'激励事件明细'!$F$2:$F$501,"限制性股票"))</f>
        <v/>
      </c>
      <c r="F50" s="14">
        <f>IF(OR(A50="",C50=""),"",SUMIFS('激励事件明细'!$S$2:$S$501,'激励事件明细'!$C$2:$C$501,A50,'激励事件明细'!$H$2:$H$501,C50,'激励事件明细'!$F$2:$F$501,"其他股权激励"))</f>
        <v/>
      </c>
      <c r="G50" s="14">
        <f>IF(A50="","",SUM(D50:F50))</f>
        <v/>
      </c>
      <c r="H50" s="15">
        <f>IF(G50="","",VLOOKUP(G50,'税率及规则'!$A$2:$C$8,2,TRUE))</f>
        <v/>
      </c>
      <c r="I50" s="14">
        <f>IF(G50="","",VLOOKUP(G50,'税率及规则'!$A$2:$C$8,3,TRUE))</f>
        <v/>
      </c>
      <c r="J50" s="14">
        <f>IF(G50="","",MAX(0,G50*H50-I50))</f>
        <v/>
      </c>
      <c r="K50" s="14">
        <f>IF(A50="","",SUMIFS('分期缴税台账'!$K$2:$K$501,'分期缴税台账'!$A$2:$A$501,A50,'分期缴税台账'!$C$2:$C$501,C50))</f>
        <v/>
      </c>
      <c r="L50" s="14">
        <f>IF(J50="","",MAX(0,J50-K50))</f>
        <v/>
      </c>
      <c r="M50" s="6">
        <f>IF(A50="","",COUNTIFS('激励事件明细'!$C$2:$C$501,A50,'激励事件明细'!$H$2:$H$501,C50,'激励事件明细'!$Z$2:$Z$501,"&gt;0"))</f>
        <v/>
      </c>
      <c r="N50" s="6">
        <f>IF(O50="","",IFERROR(INDEX('激励事件明细'!$A$2:$A$501,MATCH(1,('激励事件明细'!$C$2:$C$501=A50)*('激励事件明细'!$H$2:$H$501=C50)*('激励事件明细'!$AB$2:$AB$501=O50),0)),""))</f>
        <v/>
      </c>
      <c r="O50" s="16">
        <f>IF(A50="","",IFERROR(AGGREGATE(15,6,'激励事件明细'!$AB$2:$AB$501/(('激励事件明细'!$C$2:$C$501=A50)*('激励事件明细'!$H$2:$H$501=C50)*('激励事件明细'!$Z$2:$Z$501&gt;0)),1),""))</f>
        <v/>
      </c>
      <c r="P50" s="6">
        <f>IF(A50="","",IF(K50&gt;J50,"异常：超额缴税",IF(L50=0,"已缴清",IF(AND(O50&lt;TODAY(),L50&gt;0),"逾期未缴","未缴清"))))</f>
        <v/>
      </c>
    </row>
    <row r="51">
      <c r="A51" s="11" t="n"/>
      <c r="B51" s="6">
        <f>IF(A51="","",IFERROR(INDEX('激励事件明细'!$D$2:$D$501,MATCH(A51,'激励事件明细'!$C$2:$C$501,0)),""))</f>
        <v/>
      </c>
      <c r="C51" s="11" t="n"/>
      <c r="D51" s="14">
        <f>IF(OR(A51="",C51=""),"",SUMIFS('激励事件明细'!$S$2:$S$501,'激励事件明细'!$C$2:$C$501,A51,'激励事件明细'!$H$2:$H$501,C51,'激励事件明细'!$F$2:$F$501,"股票期权"))</f>
        <v/>
      </c>
      <c r="E51" s="14">
        <f>IF(OR(A51="",C51=""),"",SUMIFS('激励事件明细'!$S$2:$S$501,'激励事件明细'!$C$2:$C$501,A51,'激励事件明细'!$H$2:$H$501,C51,'激励事件明细'!$F$2:$F$501,"限制性股票"))</f>
        <v/>
      </c>
      <c r="F51" s="14">
        <f>IF(OR(A51="",C51=""),"",SUMIFS('激励事件明细'!$S$2:$S$501,'激励事件明细'!$C$2:$C$501,A51,'激励事件明细'!$H$2:$H$501,C51,'激励事件明细'!$F$2:$F$501,"其他股权激励"))</f>
        <v/>
      </c>
      <c r="G51" s="14">
        <f>IF(A51="","",SUM(D51:F51))</f>
        <v/>
      </c>
      <c r="H51" s="15">
        <f>IF(G51="","",VLOOKUP(G51,'税率及规则'!$A$2:$C$8,2,TRUE))</f>
        <v/>
      </c>
      <c r="I51" s="14">
        <f>IF(G51="","",VLOOKUP(G51,'税率及规则'!$A$2:$C$8,3,TRUE))</f>
        <v/>
      </c>
      <c r="J51" s="14">
        <f>IF(G51="","",MAX(0,G51*H51-I51))</f>
        <v/>
      </c>
      <c r="K51" s="14">
        <f>IF(A51="","",SUMIFS('分期缴税台账'!$K$2:$K$501,'分期缴税台账'!$A$2:$A$501,A51,'分期缴税台账'!$C$2:$C$501,C51))</f>
        <v/>
      </c>
      <c r="L51" s="14">
        <f>IF(J51="","",MAX(0,J51-K51))</f>
        <v/>
      </c>
      <c r="M51" s="6">
        <f>IF(A51="","",COUNTIFS('激励事件明细'!$C$2:$C$501,A51,'激励事件明细'!$H$2:$H$501,C51,'激励事件明细'!$Z$2:$Z$501,"&gt;0"))</f>
        <v/>
      </c>
      <c r="N51" s="6">
        <f>IF(O51="","",IFERROR(INDEX('激励事件明细'!$A$2:$A$501,MATCH(1,('激励事件明细'!$C$2:$C$501=A51)*('激励事件明细'!$H$2:$H$501=C51)*('激励事件明细'!$AB$2:$AB$501=O51),0)),""))</f>
        <v/>
      </c>
      <c r="O51" s="16">
        <f>IF(A51="","",IFERROR(AGGREGATE(15,6,'激励事件明细'!$AB$2:$AB$501/(('激励事件明细'!$C$2:$C$501=A51)*('激励事件明细'!$H$2:$H$501=C51)*('激励事件明细'!$Z$2:$Z$501&gt;0)),1),""))</f>
        <v/>
      </c>
      <c r="P51" s="6">
        <f>IF(A51="","",IF(K51&gt;J51,"异常：超额缴税",IF(L51=0,"已缴清",IF(AND(O51&lt;TODAY(),L51&gt;0),"逾期未缴","未缴清"))))</f>
        <v/>
      </c>
    </row>
    <row r="52">
      <c r="A52" s="11" t="n"/>
      <c r="B52" s="6">
        <f>IF(A52="","",IFERROR(INDEX('激励事件明细'!$D$2:$D$501,MATCH(A52,'激励事件明细'!$C$2:$C$501,0)),""))</f>
        <v/>
      </c>
      <c r="C52" s="11" t="n"/>
      <c r="D52" s="14">
        <f>IF(OR(A52="",C52=""),"",SUMIFS('激励事件明细'!$S$2:$S$501,'激励事件明细'!$C$2:$C$501,A52,'激励事件明细'!$H$2:$H$501,C52,'激励事件明细'!$F$2:$F$501,"股票期权"))</f>
        <v/>
      </c>
      <c r="E52" s="14">
        <f>IF(OR(A52="",C52=""),"",SUMIFS('激励事件明细'!$S$2:$S$501,'激励事件明细'!$C$2:$C$501,A52,'激励事件明细'!$H$2:$H$501,C52,'激励事件明细'!$F$2:$F$501,"限制性股票"))</f>
        <v/>
      </c>
      <c r="F52" s="14">
        <f>IF(OR(A52="",C52=""),"",SUMIFS('激励事件明细'!$S$2:$S$501,'激励事件明细'!$C$2:$C$501,A52,'激励事件明细'!$H$2:$H$501,C52,'激励事件明细'!$F$2:$F$501,"其他股权激励"))</f>
        <v/>
      </c>
      <c r="G52" s="14">
        <f>IF(A52="","",SUM(D52:F52))</f>
        <v/>
      </c>
      <c r="H52" s="15">
        <f>IF(G52="","",VLOOKUP(G52,'税率及规则'!$A$2:$C$8,2,TRUE))</f>
        <v/>
      </c>
      <c r="I52" s="14">
        <f>IF(G52="","",VLOOKUP(G52,'税率及规则'!$A$2:$C$8,3,TRUE))</f>
        <v/>
      </c>
      <c r="J52" s="14">
        <f>IF(G52="","",MAX(0,G52*H52-I52))</f>
        <v/>
      </c>
      <c r="K52" s="14">
        <f>IF(A52="","",SUMIFS('分期缴税台账'!$K$2:$K$501,'分期缴税台账'!$A$2:$A$501,A52,'分期缴税台账'!$C$2:$C$501,C52))</f>
        <v/>
      </c>
      <c r="L52" s="14">
        <f>IF(J52="","",MAX(0,J52-K52))</f>
        <v/>
      </c>
      <c r="M52" s="6">
        <f>IF(A52="","",COUNTIFS('激励事件明细'!$C$2:$C$501,A52,'激励事件明细'!$H$2:$H$501,C52,'激励事件明细'!$Z$2:$Z$501,"&gt;0"))</f>
        <v/>
      </c>
      <c r="N52" s="6">
        <f>IF(O52="","",IFERROR(INDEX('激励事件明细'!$A$2:$A$501,MATCH(1,('激励事件明细'!$C$2:$C$501=A52)*('激励事件明细'!$H$2:$H$501=C52)*('激励事件明细'!$AB$2:$AB$501=O52),0)),""))</f>
        <v/>
      </c>
      <c r="O52" s="16">
        <f>IF(A52="","",IFERROR(AGGREGATE(15,6,'激励事件明细'!$AB$2:$AB$501/(('激励事件明细'!$C$2:$C$501=A52)*('激励事件明细'!$H$2:$H$501=C52)*('激励事件明细'!$Z$2:$Z$501&gt;0)),1),""))</f>
        <v/>
      </c>
      <c r="P52" s="6">
        <f>IF(A52="","",IF(K52&gt;J52,"异常：超额缴税",IF(L52=0,"已缴清",IF(AND(O52&lt;TODAY(),L52&gt;0),"逾期未缴","未缴清"))))</f>
        <v/>
      </c>
    </row>
    <row r="53">
      <c r="A53" s="11" t="n"/>
      <c r="B53" s="6">
        <f>IF(A53="","",IFERROR(INDEX('激励事件明细'!$D$2:$D$501,MATCH(A53,'激励事件明细'!$C$2:$C$501,0)),""))</f>
        <v/>
      </c>
      <c r="C53" s="11" t="n"/>
      <c r="D53" s="14">
        <f>IF(OR(A53="",C53=""),"",SUMIFS('激励事件明细'!$S$2:$S$501,'激励事件明细'!$C$2:$C$501,A53,'激励事件明细'!$H$2:$H$501,C53,'激励事件明细'!$F$2:$F$501,"股票期权"))</f>
        <v/>
      </c>
      <c r="E53" s="14">
        <f>IF(OR(A53="",C53=""),"",SUMIFS('激励事件明细'!$S$2:$S$501,'激励事件明细'!$C$2:$C$501,A53,'激励事件明细'!$H$2:$H$501,C53,'激励事件明细'!$F$2:$F$501,"限制性股票"))</f>
        <v/>
      </c>
      <c r="F53" s="14">
        <f>IF(OR(A53="",C53=""),"",SUMIFS('激励事件明细'!$S$2:$S$501,'激励事件明细'!$C$2:$C$501,A53,'激励事件明细'!$H$2:$H$501,C53,'激励事件明细'!$F$2:$F$501,"其他股权激励"))</f>
        <v/>
      </c>
      <c r="G53" s="14">
        <f>IF(A53="","",SUM(D53:F53))</f>
        <v/>
      </c>
      <c r="H53" s="15">
        <f>IF(G53="","",VLOOKUP(G53,'税率及规则'!$A$2:$C$8,2,TRUE))</f>
        <v/>
      </c>
      <c r="I53" s="14">
        <f>IF(G53="","",VLOOKUP(G53,'税率及规则'!$A$2:$C$8,3,TRUE))</f>
        <v/>
      </c>
      <c r="J53" s="14">
        <f>IF(G53="","",MAX(0,G53*H53-I53))</f>
        <v/>
      </c>
      <c r="K53" s="14">
        <f>IF(A53="","",SUMIFS('分期缴税台账'!$K$2:$K$501,'分期缴税台账'!$A$2:$A$501,A53,'分期缴税台账'!$C$2:$C$501,C53))</f>
        <v/>
      </c>
      <c r="L53" s="14">
        <f>IF(J53="","",MAX(0,J53-K53))</f>
        <v/>
      </c>
      <c r="M53" s="6">
        <f>IF(A53="","",COUNTIFS('激励事件明细'!$C$2:$C$501,A53,'激励事件明细'!$H$2:$H$501,C53,'激励事件明细'!$Z$2:$Z$501,"&gt;0"))</f>
        <v/>
      </c>
      <c r="N53" s="6">
        <f>IF(O53="","",IFERROR(INDEX('激励事件明细'!$A$2:$A$501,MATCH(1,('激励事件明细'!$C$2:$C$501=A53)*('激励事件明细'!$H$2:$H$501=C53)*('激励事件明细'!$AB$2:$AB$501=O53),0)),""))</f>
        <v/>
      </c>
      <c r="O53" s="16">
        <f>IF(A53="","",IFERROR(AGGREGATE(15,6,'激励事件明细'!$AB$2:$AB$501/(('激励事件明细'!$C$2:$C$501=A53)*('激励事件明细'!$H$2:$H$501=C53)*('激励事件明细'!$Z$2:$Z$501&gt;0)),1),""))</f>
        <v/>
      </c>
      <c r="P53" s="6">
        <f>IF(A53="","",IF(K53&gt;J53,"异常：超额缴税",IF(L53=0,"已缴清",IF(AND(O53&lt;TODAY(),L53&gt;0),"逾期未缴","未缴清"))))</f>
        <v/>
      </c>
    </row>
    <row r="54">
      <c r="A54" s="11" t="n"/>
      <c r="B54" s="6">
        <f>IF(A54="","",IFERROR(INDEX('激励事件明细'!$D$2:$D$501,MATCH(A54,'激励事件明细'!$C$2:$C$501,0)),""))</f>
        <v/>
      </c>
      <c r="C54" s="11" t="n"/>
      <c r="D54" s="14">
        <f>IF(OR(A54="",C54=""),"",SUMIFS('激励事件明细'!$S$2:$S$501,'激励事件明细'!$C$2:$C$501,A54,'激励事件明细'!$H$2:$H$501,C54,'激励事件明细'!$F$2:$F$501,"股票期权"))</f>
        <v/>
      </c>
      <c r="E54" s="14">
        <f>IF(OR(A54="",C54=""),"",SUMIFS('激励事件明细'!$S$2:$S$501,'激励事件明细'!$C$2:$C$501,A54,'激励事件明细'!$H$2:$H$501,C54,'激励事件明细'!$F$2:$F$501,"限制性股票"))</f>
        <v/>
      </c>
      <c r="F54" s="14">
        <f>IF(OR(A54="",C54=""),"",SUMIFS('激励事件明细'!$S$2:$S$501,'激励事件明细'!$C$2:$C$501,A54,'激励事件明细'!$H$2:$H$501,C54,'激励事件明细'!$F$2:$F$501,"其他股权激励"))</f>
        <v/>
      </c>
      <c r="G54" s="14">
        <f>IF(A54="","",SUM(D54:F54))</f>
        <v/>
      </c>
      <c r="H54" s="15">
        <f>IF(G54="","",VLOOKUP(G54,'税率及规则'!$A$2:$C$8,2,TRUE))</f>
        <v/>
      </c>
      <c r="I54" s="14">
        <f>IF(G54="","",VLOOKUP(G54,'税率及规则'!$A$2:$C$8,3,TRUE))</f>
        <v/>
      </c>
      <c r="J54" s="14">
        <f>IF(G54="","",MAX(0,G54*H54-I54))</f>
        <v/>
      </c>
      <c r="K54" s="14">
        <f>IF(A54="","",SUMIFS('分期缴税台账'!$K$2:$K$501,'分期缴税台账'!$A$2:$A$501,A54,'分期缴税台账'!$C$2:$C$501,C54))</f>
        <v/>
      </c>
      <c r="L54" s="14">
        <f>IF(J54="","",MAX(0,J54-K54))</f>
        <v/>
      </c>
      <c r="M54" s="6">
        <f>IF(A54="","",COUNTIFS('激励事件明细'!$C$2:$C$501,A54,'激励事件明细'!$H$2:$H$501,C54,'激励事件明细'!$Z$2:$Z$501,"&gt;0"))</f>
        <v/>
      </c>
      <c r="N54" s="6">
        <f>IF(O54="","",IFERROR(INDEX('激励事件明细'!$A$2:$A$501,MATCH(1,('激励事件明细'!$C$2:$C$501=A54)*('激励事件明细'!$H$2:$H$501=C54)*('激励事件明细'!$AB$2:$AB$501=O54),0)),""))</f>
        <v/>
      </c>
      <c r="O54" s="16">
        <f>IF(A54="","",IFERROR(AGGREGATE(15,6,'激励事件明细'!$AB$2:$AB$501/(('激励事件明细'!$C$2:$C$501=A54)*('激励事件明细'!$H$2:$H$501=C54)*('激励事件明细'!$Z$2:$Z$501&gt;0)),1),""))</f>
        <v/>
      </c>
      <c r="P54" s="6">
        <f>IF(A54="","",IF(K54&gt;J54,"异常：超额缴税",IF(L54=0,"已缴清",IF(AND(O54&lt;TODAY(),L54&gt;0),"逾期未缴","未缴清"))))</f>
        <v/>
      </c>
    </row>
    <row r="55">
      <c r="A55" s="11" t="n"/>
      <c r="B55" s="6">
        <f>IF(A55="","",IFERROR(INDEX('激励事件明细'!$D$2:$D$501,MATCH(A55,'激励事件明细'!$C$2:$C$501,0)),""))</f>
        <v/>
      </c>
      <c r="C55" s="11" t="n"/>
      <c r="D55" s="14">
        <f>IF(OR(A55="",C55=""),"",SUMIFS('激励事件明细'!$S$2:$S$501,'激励事件明细'!$C$2:$C$501,A55,'激励事件明细'!$H$2:$H$501,C55,'激励事件明细'!$F$2:$F$501,"股票期权"))</f>
        <v/>
      </c>
      <c r="E55" s="14">
        <f>IF(OR(A55="",C55=""),"",SUMIFS('激励事件明细'!$S$2:$S$501,'激励事件明细'!$C$2:$C$501,A55,'激励事件明细'!$H$2:$H$501,C55,'激励事件明细'!$F$2:$F$501,"限制性股票"))</f>
        <v/>
      </c>
      <c r="F55" s="14">
        <f>IF(OR(A55="",C55=""),"",SUMIFS('激励事件明细'!$S$2:$S$501,'激励事件明细'!$C$2:$C$501,A55,'激励事件明细'!$H$2:$H$501,C55,'激励事件明细'!$F$2:$F$501,"其他股权激励"))</f>
        <v/>
      </c>
      <c r="G55" s="14">
        <f>IF(A55="","",SUM(D55:F55))</f>
        <v/>
      </c>
      <c r="H55" s="15">
        <f>IF(G55="","",VLOOKUP(G55,'税率及规则'!$A$2:$C$8,2,TRUE))</f>
        <v/>
      </c>
      <c r="I55" s="14">
        <f>IF(G55="","",VLOOKUP(G55,'税率及规则'!$A$2:$C$8,3,TRUE))</f>
        <v/>
      </c>
      <c r="J55" s="14">
        <f>IF(G55="","",MAX(0,G55*H55-I55))</f>
        <v/>
      </c>
      <c r="K55" s="14">
        <f>IF(A55="","",SUMIFS('分期缴税台账'!$K$2:$K$501,'分期缴税台账'!$A$2:$A$501,A55,'分期缴税台账'!$C$2:$C$501,C55))</f>
        <v/>
      </c>
      <c r="L55" s="14">
        <f>IF(J55="","",MAX(0,J55-K55))</f>
        <v/>
      </c>
      <c r="M55" s="6">
        <f>IF(A55="","",COUNTIFS('激励事件明细'!$C$2:$C$501,A55,'激励事件明细'!$H$2:$H$501,C55,'激励事件明细'!$Z$2:$Z$501,"&gt;0"))</f>
        <v/>
      </c>
      <c r="N55" s="6">
        <f>IF(O55="","",IFERROR(INDEX('激励事件明细'!$A$2:$A$501,MATCH(1,('激励事件明细'!$C$2:$C$501=A55)*('激励事件明细'!$H$2:$H$501=C55)*('激励事件明细'!$AB$2:$AB$501=O55),0)),""))</f>
        <v/>
      </c>
      <c r="O55" s="16">
        <f>IF(A55="","",IFERROR(AGGREGATE(15,6,'激励事件明细'!$AB$2:$AB$501/(('激励事件明细'!$C$2:$C$501=A55)*('激励事件明细'!$H$2:$H$501=C55)*('激励事件明细'!$Z$2:$Z$501&gt;0)),1),""))</f>
        <v/>
      </c>
      <c r="P55" s="6">
        <f>IF(A55="","",IF(K55&gt;J55,"异常：超额缴税",IF(L55=0,"已缴清",IF(AND(O55&lt;TODAY(),L55&gt;0),"逾期未缴","未缴清"))))</f>
        <v/>
      </c>
    </row>
    <row r="56">
      <c r="A56" s="11" t="n"/>
      <c r="B56" s="6">
        <f>IF(A56="","",IFERROR(INDEX('激励事件明细'!$D$2:$D$501,MATCH(A56,'激励事件明细'!$C$2:$C$501,0)),""))</f>
        <v/>
      </c>
      <c r="C56" s="11" t="n"/>
      <c r="D56" s="14">
        <f>IF(OR(A56="",C56=""),"",SUMIFS('激励事件明细'!$S$2:$S$501,'激励事件明细'!$C$2:$C$501,A56,'激励事件明细'!$H$2:$H$501,C56,'激励事件明细'!$F$2:$F$501,"股票期权"))</f>
        <v/>
      </c>
      <c r="E56" s="14">
        <f>IF(OR(A56="",C56=""),"",SUMIFS('激励事件明细'!$S$2:$S$501,'激励事件明细'!$C$2:$C$501,A56,'激励事件明细'!$H$2:$H$501,C56,'激励事件明细'!$F$2:$F$501,"限制性股票"))</f>
        <v/>
      </c>
      <c r="F56" s="14">
        <f>IF(OR(A56="",C56=""),"",SUMIFS('激励事件明细'!$S$2:$S$501,'激励事件明细'!$C$2:$C$501,A56,'激励事件明细'!$H$2:$H$501,C56,'激励事件明细'!$F$2:$F$501,"其他股权激励"))</f>
        <v/>
      </c>
      <c r="G56" s="14">
        <f>IF(A56="","",SUM(D56:F56))</f>
        <v/>
      </c>
      <c r="H56" s="15">
        <f>IF(G56="","",VLOOKUP(G56,'税率及规则'!$A$2:$C$8,2,TRUE))</f>
        <v/>
      </c>
      <c r="I56" s="14">
        <f>IF(G56="","",VLOOKUP(G56,'税率及规则'!$A$2:$C$8,3,TRUE))</f>
        <v/>
      </c>
      <c r="J56" s="14">
        <f>IF(G56="","",MAX(0,G56*H56-I56))</f>
        <v/>
      </c>
      <c r="K56" s="14">
        <f>IF(A56="","",SUMIFS('分期缴税台账'!$K$2:$K$501,'分期缴税台账'!$A$2:$A$501,A56,'分期缴税台账'!$C$2:$C$501,C56))</f>
        <v/>
      </c>
      <c r="L56" s="14">
        <f>IF(J56="","",MAX(0,J56-K56))</f>
        <v/>
      </c>
      <c r="M56" s="6">
        <f>IF(A56="","",COUNTIFS('激励事件明细'!$C$2:$C$501,A56,'激励事件明细'!$H$2:$H$501,C56,'激励事件明细'!$Z$2:$Z$501,"&gt;0"))</f>
        <v/>
      </c>
      <c r="N56" s="6">
        <f>IF(O56="","",IFERROR(INDEX('激励事件明细'!$A$2:$A$501,MATCH(1,('激励事件明细'!$C$2:$C$501=A56)*('激励事件明细'!$H$2:$H$501=C56)*('激励事件明细'!$AB$2:$AB$501=O56),0)),""))</f>
        <v/>
      </c>
      <c r="O56" s="16">
        <f>IF(A56="","",IFERROR(AGGREGATE(15,6,'激励事件明细'!$AB$2:$AB$501/(('激励事件明细'!$C$2:$C$501=A56)*('激励事件明细'!$H$2:$H$501=C56)*('激励事件明细'!$Z$2:$Z$501&gt;0)),1),""))</f>
        <v/>
      </c>
      <c r="P56" s="6">
        <f>IF(A56="","",IF(K56&gt;J56,"异常：超额缴税",IF(L56=0,"已缴清",IF(AND(O56&lt;TODAY(),L56&gt;0),"逾期未缴","未缴清"))))</f>
        <v/>
      </c>
    </row>
    <row r="57">
      <c r="A57" s="11" t="n"/>
      <c r="B57" s="6">
        <f>IF(A57="","",IFERROR(INDEX('激励事件明细'!$D$2:$D$501,MATCH(A57,'激励事件明细'!$C$2:$C$501,0)),""))</f>
        <v/>
      </c>
      <c r="C57" s="11" t="n"/>
      <c r="D57" s="14">
        <f>IF(OR(A57="",C57=""),"",SUMIFS('激励事件明细'!$S$2:$S$501,'激励事件明细'!$C$2:$C$501,A57,'激励事件明细'!$H$2:$H$501,C57,'激励事件明细'!$F$2:$F$501,"股票期权"))</f>
        <v/>
      </c>
      <c r="E57" s="14">
        <f>IF(OR(A57="",C57=""),"",SUMIFS('激励事件明细'!$S$2:$S$501,'激励事件明细'!$C$2:$C$501,A57,'激励事件明细'!$H$2:$H$501,C57,'激励事件明细'!$F$2:$F$501,"限制性股票"))</f>
        <v/>
      </c>
      <c r="F57" s="14">
        <f>IF(OR(A57="",C57=""),"",SUMIFS('激励事件明细'!$S$2:$S$501,'激励事件明细'!$C$2:$C$501,A57,'激励事件明细'!$H$2:$H$501,C57,'激励事件明细'!$F$2:$F$501,"其他股权激励"))</f>
        <v/>
      </c>
      <c r="G57" s="14">
        <f>IF(A57="","",SUM(D57:F57))</f>
        <v/>
      </c>
      <c r="H57" s="15">
        <f>IF(G57="","",VLOOKUP(G57,'税率及规则'!$A$2:$C$8,2,TRUE))</f>
        <v/>
      </c>
      <c r="I57" s="14">
        <f>IF(G57="","",VLOOKUP(G57,'税率及规则'!$A$2:$C$8,3,TRUE))</f>
        <v/>
      </c>
      <c r="J57" s="14">
        <f>IF(G57="","",MAX(0,G57*H57-I57))</f>
        <v/>
      </c>
      <c r="K57" s="14">
        <f>IF(A57="","",SUMIFS('分期缴税台账'!$K$2:$K$501,'分期缴税台账'!$A$2:$A$501,A57,'分期缴税台账'!$C$2:$C$501,C57))</f>
        <v/>
      </c>
      <c r="L57" s="14">
        <f>IF(J57="","",MAX(0,J57-K57))</f>
        <v/>
      </c>
      <c r="M57" s="6">
        <f>IF(A57="","",COUNTIFS('激励事件明细'!$C$2:$C$501,A57,'激励事件明细'!$H$2:$H$501,C57,'激励事件明细'!$Z$2:$Z$501,"&gt;0"))</f>
        <v/>
      </c>
      <c r="N57" s="6">
        <f>IF(O57="","",IFERROR(INDEX('激励事件明细'!$A$2:$A$501,MATCH(1,('激励事件明细'!$C$2:$C$501=A57)*('激励事件明细'!$H$2:$H$501=C57)*('激励事件明细'!$AB$2:$AB$501=O57),0)),""))</f>
        <v/>
      </c>
      <c r="O57" s="16">
        <f>IF(A57="","",IFERROR(AGGREGATE(15,6,'激励事件明细'!$AB$2:$AB$501/(('激励事件明细'!$C$2:$C$501=A57)*('激励事件明细'!$H$2:$H$501=C57)*('激励事件明细'!$Z$2:$Z$501&gt;0)),1),""))</f>
        <v/>
      </c>
      <c r="P57" s="6">
        <f>IF(A57="","",IF(K57&gt;J57,"异常：超额缴税",IF(L57=0,"已缴清",IF(AND(O57&lt;TODAY(),L57&gt;0),"逾期未缴","未缴清"))))</f>
        <v/>
      </c>
    </row>
    <row r="58">
      <c r="A58" s="11" t="n"/>
      <c r="B58" s="6">
        <f>IF(A58="","",IFERROR(INDEX('激励事件明细'!$D$2:$D$501,MATCH(A58,'激励事件明细'!$C$2:$C$501,0)),""))</f>
        <v/>
      </c>
      <c r="C58" s="11" t="n"/>
      <c r="D58" s="14">
        <f>IF(OR(A58="",C58=""),"",SUMIFS('激励事件明细'!$S$2:$S$501,'激励事件明细'!$C$2:$C$501,A58,'激励事件明细'!$H$2:$H$501,C58,'激励事件明细'!$F$2:$F$501,"股票期权"))</f>
        <v/>
      </c>
      <c r="E58" s="14">
        <f>IF(OR(A58="",C58=""),"",SUMIFS('激励事件明细'!$S$2:$S$501,'激励事件明细'!$C$2:$C$501,A58,'激励事件明细'!$H$2:$H$501,C58,'激励事件明细'!$F$2:$F$501,"限制性股票"))</f>
        <v/>
      </c>
      <c r="F58" s="14">
        <f>IF(OR(A58="",C58=""),"",SUMIFS('激励事件明细'!$S$2:$S$501,'激励事件明细'!$C$2:$C$501,A58,'激励事件明细'!$H$2:$H$501,C58,'激励事件明细'!$F$2:$F$501,"其他股权激励"))</f>
        <v/>
      </c>
      <c r="G58" s="14">
        <f>IF(A58="","",SUM(D58:F58))</f>
        <v/>
      </c>
      <c r="H58" s="15">
        <f>IF(G58="","",VLOOKUP(G58,'税率及规则'!$A$2:$C$8,2,TRUE))</f>
        <v/>
      </c>
      <c r="I58" s="14">
        <f>IF(G58="","",VLOOKUP(G58,'税率及规则'!$A$2:$C$8,3,TRUE))</f>
        <v/>
      </c>
      <c r="J58" s="14">
        <f>IF(G58="","",MAX(0,G58*H58-I58))</f>
        <v/>
      </c>
      <c r="K58" s="14">
        <f>IF(A58="","",SUMIFS('分期缴税台账'!$K$2:$K$501,'分期缴税台账'!$A$2:$A$501,A58,'分期缴税台账'!$C$2:$C$501,C58))</f>
        <v/>
      </c>
      <c r="L58" s="14">
        <f>IF(J58="","",MAX(0,J58-K58))</f>
        <v/>
      </c>
      <c r="M58" s="6">
        <f>IF(A58="","",COUNTIFS('激励事件明细'!$C$2:$C$501,A58,'激励事件明细'!$H$2:$H$501,C58,'激励事件明细'!$Z$2:$Z$501,"&gt;0"))</f>
        <v/>
      </c>
      <c r="N58" s="6">
        <f>IF(O58="","",IFERROR(INDEX('激励事件明细'!$A$2:$A$501,MATCH(1,('激励事件明细'!$C$2:$C$501=A58)*('激励事件明细'!$H$2:$H$501=C58)*('激励事件明细'!$AB$2:$AB$501=O58),0)),""))</f>
        <v/>
      </c>
      <c r="O58" s="16">
        <f>IF(A58="","",IFERROR(AGGREGATE(15,6,'激励事件明细'!$AB$2:$AB$501/(('激励事件明细'!$C$2:$C$501=A58)*('激励事件明细'!$H$2:$H$501=C58)*('激励事件明细'!$Z$2:$Z$501&gt;0)),1),""))</f>
        <v/>
      </c>
      <c r="P58" s="6">
        <f>IF(A58="","",IF(K58&gt;J58,"异常：超额缴税",IF(L58=0,"已缴清",IF(AND(O58&lt;TODAY(),L58&gt;0),"逾期未缴","未缴清"))))</f>
        <v/>
      </c>
    </row>
    <row r="59">
      <c r="A59" s="11" t="n"/>
      <c r="B59" s="6">
        <f>IF(A59="","",IFERROR(INDEX('激励事件明细'!$D$2:$D$501,MATCH(A59,'激励事件明细'!$C$2:$C$501,0)),""))</f>
        <v/>
      </c>
      <c r="C59" s="11" t="n"/>
      <c r="D59" s="14">
        <f>IF(OR(A59="",C59=""),"",SUMIFS('激励事件明细'!$S$2:$S$501,'激励事件明细'!$C$2:$C$501,A59,'激励事件明细'!$H$2:$H$501,C59,'激励事件明细'!$F$2:$F$501,"股票期权"))</f>
        <v/>
      </c>
      <c r="E59" s="14">
        <f>IF(OR(A59="",C59=""),"",SUMIFS('激励事件明细'!$S$2:$S$501,'激励事件明细'!$C$2:$C$501,A59,'激励事件明细'!$H$2:$H$501,C59,'激励事件明细'!$F$2:$F$501,"限制性股票"))</f>
        <v/>
      </c>
      <c r="F59" s="14">
        <f>IF(OR(A59="",C59=""),"",SUMIFS('激励事件明细'!$S$2:$S$501,'激励事件明细'!$C$2:$C$501,A59,'激励事件明细'!$H$2:$H$501,C59,'激励事件明细'!$F$2:$F$501,"其他股权激励"))</f>
        <v/>
      </c>
      <c r="G59" s="14">
        <f>IF(A59="","",SUM(D59:F59))</f>
        <v/>
      </c>
      <c r="H59" s="15">
        <f>IF(G59="","",VLOOKUP(G59,'税率及规则'!$A$2:$C$8,2,TRUE))</f>
        <v/>
      </c>
      <c r="I59" s="14">
        <f>IF(G59="","",VLOOKUP(G59,'税率及规则'!$A$2:$C$8,3,TRUE))</f>
        <v/>
      </c>
      <c r="J59" s="14">
        <f>IF(G59="","",MAX(0,G59*H59-I59))</f>
        <v/>
      </c>
      <c r="K59" s="14">
        <f>IF(A59="","",SUMIFS('分期缴税台账'!$K$2:$K$501,'分期缴税台账'!$A$2:$A$501,A59,'分期缴税台账'!$C$2:$C$501,C59))</f>
        <v/>
      </c>
      <c r="L59" s="14">
        <f>IF(J59="","",MAX(0,J59-K59))</f>
        <v/>
      </c>
      <c r="M59" s="6">
        <f>IF(A59="","",COUNTIFS('激励事件明细'!$C$2:$C$501,A59,'激励事件明细'!$H$2:$H$501,C59,'激励事件明细'!$Z$2:$Z$501,"&gt;0"))</f>
        <v/>
      </c>
      <c r="N59" s="6">
        <f>IF(O59="","",IFERROR(INDEX('激励事件明细'!$A$2:$A$501,MATCH(1,('激励事件明细'!$C$2:$C$501=A59)*('激励事件明细'!$H$2:$H$501=C59)*('激励事件明细'!$AB$2:$AB$501=O59),0)),""))</f>
        <v/>
      </c>
      <c r="O59" s="16">
        <f>IF(A59="","",IFERROR(AGGREGATE(15,6,'激励事件明细'!$AB$2:$AB$501/(('激励事件明细'!$C$2:$C$501=A59)*('激励事件明细'!$H$2:$H$501=C59)*('激励事件明细'!$Z$2:$Z$501&gt;0)),1),""))</f>
        <v/>
      </c>
      <c r="P59" s="6">
        <f>IF(A59="","",IF(K59&gt;J59,"异常：超额缴税",IF(L59=0,"已缴清",IF(AND(O59&lt;TODAY(),L59&gt;0),"逾期未缴","未缴清"))))</f>
        <v/>
      </c>
    </row>
    <row r="60">
      <c r="A60" s="11" t="n"/>
      <c r="B60" s="6">
        <f>IF(A60="","",IFERROR(INDEX('激励事件明细'!$D$2:$D$501,MATCH(A60,'激励事件明细'!$C$2:$C$501,0)),""))</f>
        <v/>
      </c>
      <c r="C60" s="11" t="n"/>
      <c r="D60" s="14">
        <f>IF(OR(A60="",C60=""),"",SUMIFS('激励事件明细'!$S$2:$S$501,'激励事件明细'!$C$2:$C$501,A60,'激励事件明细'!$H$2:$H$501,C60,'激励事件明细'!$F$2:$F$501,"股票期权"))</f>
        <v/>
      </c>
      <c r="E60" s="14">
        <f>IF(OR(A60="",C60=""),"",SUMIFS('激励事件明细'!$S$2:$S$501,'激励事件明细'!$C$2:$C$501,A60,'激励事件明细'!$H$2:$H$501,C60,'激励事件明细'!$F$2:$F$501,"限制性股票"))</f>
        <v/>
      </c>
      <c r="F60" s="14">
        <f>IF(OR(A60="",C60=""),"",SUMIFS('激励事件明细'!$S$2:$S$501,'激励事件明细'!$C$2:$C$501,A60,'激励事件明细'!$H$2:$H$501,C60,'激励事件明细'!$F$2:$F$501,"其他股权激励"))</f>
        <v/>
      </c>
      <c r="G60" s="14">
        <f>IF(A60="","",SUM(D60:F60))</f>
        <v/>
      </c>
      <c r="H60" s="15">
        <f>IF(G60="","",VLOOKUP(G60,'税率及规则'!$A$2:$C$8,2,TRUE))</f>
        <v/>
      </c>
      <c r="I60" s="14">
        <f>IF(G60="","",VLOOKUP(G60,'税率及规则'!$A$2:$C$8,3,TRUE))</f>
        <v/>
      </c>
      <c r="J60" s="14">
        <f>IF(G60="","",MAX(0,G60*H60-I60))</f>
        <v/>
      </c>
      <c r="K60" s="14">
        <f>IF(A60="","",SUMIFS('分期缴税台账'!$K$2:$K$501,'分期缴税台账'!$A$2:$A$501,A60,'分期缴税台账'!$C$2:$C$501,C60))</f>
        <v/>
      </c>
      <c r="L60" s="14">
        <f>IF(J60="","",MAX(0,J60-K60))</f>
        <v/>
      </c>
      <c r="M60" s="6">
        <f>IF(A60="","",COUNTIFS('激励事件明细'!$C$2:$C$501,A60,'激励事件明细'!$H$2:$H$501,C60,'激励事件明细'!$Z$2:$Z$501,"&gt;0"))</f>
        <v/>
      </c>
      <c r="N60" s="6">
        <f>IF(O60="","",IFERROR(INDEX('激励事件明细'!$A$2:$A$501,MATCH(1,('激励事件明细'!$C$2:$C$501=A60)*('激励事件明细'!$H$2:$H$501=C60)*('激励事件明细'!$AB$2:$AB$501=O60),0)),""))</f>
        <v/>
      </c>
      <c r="O60" s="16">
        <f>IF(A60="","",IFERROR(AGGREGATE(15,6,'激励事件明细'!$AB$2:$AB$501/(('激励事件明细'!$C$2:$C$501=A60)*('激励事件明细'!$H$2:$H$501=C60)*('激励事件明细'!$Z$2:$Z$501&gt;0)),1),""))</f>
        <v/>
      </c>
      <c r="P60" s="6">
        <f>IF(A60="","",IF(K60&gt;J60,"异常：超额缴税",IF(L60=0,"已缴清",IF(AND(O60&lt;TODAY(),L60&gt;0),"逾期未缴","未缴清"))))</f>
        <v/>
      </c>
    </row>
    <row r="61">
      <c r="A61" s="11" t="n"/>
      <c r="B61" s="6">
        <f>IF(A61="","",IFERROR(INDEX('激励事件明细'!$D$2:$D$501,MATCH(A61,'激励事件明细'!$C$2:$C$501,0)),""))</f>
        <v/>
      </c>
      <c r="C61" s="11" t="n"/>
      <c r="D61" s="14">
        <f>IF(OR(A61="",C61=""),"",SUMIFS('激励事件明细'!$S$2:$S$501,'激励事件明细'!$C$2:$C$501,A61,'激励事件明细'!$H$2:$H$501,C61,'激励事件明细'!$F$2:$F$501,"股票期权"))</f>
        <v/>
      </c>
      <c r="E61" s="14">
        <f>IF(OR(A61="",C61=""),"",SUMIFS('激励事件明细'!$S$2:$S$501,'激励事件明细'!$C$2:$C$501,A61,'激励事件明细'!$H$2:$H$501,C61,'激励事件明细'!$F$2:$F$501,"限制性股票"))</f>
        <v/>
      </c>
      <c r="F61" s="14">
        <f>IF(OR(A61="",C61=""),"",SUMIFS('激励事件明细'!$S$2:$S$501,'激励事件明细'!$C$2:$C$501,A61,'激励事件明细'!$H$2:$H$501,C61,'激励事件明细'!$F$2:$F$501,"其他股权激励"))</f>
        <v/>
      </c>
      <c r="G61" s="14">
        <f>IF(A61="","",SUM(D61:F61))</f>
        <v/>
      </c>
      <c r="H61" s="15">
        <f>IF(G61="","",VLOOKUP(G61,'税率及规则'!$A$2:$C$8,2,TRUE))</f>
        <v/>
      </c>
      <c r="I61" s="14">
        <f>IF(G61="","",VLOOKUP(G61,'税率及规则'!$A$2:$C$8,3,TRUE))</f>
        <v/>
      </c>
      <c r="J61" s="14">
        <f>IF(G61="","",MAX(0,G61*H61-I61))</f>
        <v/>
      </c>
      <c r="K61" s="14">
        <f>IF(A61="","",SUMIFS('分期缴税台账'!$K$2:$K$501,'分期缴税台账'!$A$2:$A$501,A61,'分期缴税台账'!$C$2:$C$501,C61))</f>
        <v/>
      </c>
      <c r="L61" s="14">
        <f>IF(J61="","",MAX(0,J61-K61))</f>
        <v/>
      </c>
      <c r="M61" s="6">
        <f>IF(A61="","",COUNTIFS('激励事件明细'!$C$2:$C$501,A61,'激励事件明细'!$H$2:$H$501,C61,'激励事件明细'!$Z$2:$Z$501,"&gt;0"))</f>
        <v/>
      </c>
      <c r="N61" s="6">
        <f>IF(O61="","",IFERROR(INDEX('激励事件明细'!$A$2:$A$501,MATCH(1,('激励事件明细'!$C$2:$C$501=A61)*('激励事件明细'!$H$2:$H$501=C61)*('激励事件明细'!$AB$2:$AB$501=O61),0)),""))</f>
        <v/>
      </c>
      <c r="O61" s="16">
        <f>IF(A61="","",IFERROR(AGGREGATE(15,6,'激励事件明细'!$AB$2:$AB$501/(('激励事件明细'!$C$2:$C$501=A61)*('激励事件明细'!$H$2:$H$501=C61)*('激励事件明细'!$Z$2:$Z$501&gt;0)),1),""))</f>
        <v/>
      </c>
      <c r="P61" s="6">
        <f>IF(A61="","",IF(K61&gt;J61,"异常：超额缴税",IF(L61=0,"已缴清",IF(AND(O61&lt;TODAY(),L61&gt;0),"逾期未缴","未缴清"))))</f>
        <v/>
      </c>
    </row>
    <row r="62">
      <c r="A62" s="11" t="n"/>
      <c r="B62" s="6">
        <f>IF(A62="","",IFERROR(INDEX('激励事件明细'!$D$2:$D$501,MATCH(A62,'激励事件明细'!$C$2:$C$501,0)),""))</f>
        <v/>
      </c>
      <c r="C62" s="11" t="n"/>
      <c r="D62" s="14">
        <f>IF(OR(A62="",C62=""),"",SUMIFS('激励事件明细'!$S$2:$S$501,'激励事件明细'!$C$2:$C$501,A62,'激励事件明细'!$H$2:$H$501,C62,'激励事件明细'!$F$2:$F$501,"股票期权"))</f>
        <v/>
      </c>
      <c r="E62" s="14">
        <f>IF(OR(A62="",C62=""),"",SUMIFS('激励事件明细'!$S$2:$S$501,'激励事件明细'!$C$2:$C$501,A62,'激励事件明细'!$H$2:$H$501,C62,'激励事件明细'!$F$2:$F$501,"限制性股票"))</f>
        <v/>
      </c>
      <c r="F62" s="14">
        <f>IF(OR(A62="",C62=""),"",SUMIFS('激励事件明细'!$S$2:$S$501,'激励事件明细'!$C$2:$C$501,A62,'激励事件明细'!$H$2:$H$501,C62,'激励事件明细'!$F$2:$F$501,"其他股权激励"))</f>
        <v/>
      </c>
      <c r="G62" s="14">
        <f>IF(A62="","",SUM(D62:F62))</f>
        <v/>
      </c>
      <c r="H62" s="15">
        <f>IF(G62="","",VLOOKUP(G62,'税率及规则'!$A$2:$C$8,2,TRUE))</f>
        <v/>
      </c>
      <c r="I62" s="14">
        <f>IF(G62="","",VLOOKUP(G62,'税率及规则'!$A$2:$C$8,3,TRUE))</f>
        <v/>
      </c>
      <c r="J62" s="14">
        <f>IF(G62="","",MAX(0,G62*H62-I62))</f>
        <v/>
      </c>
      <c r="K62" s="14">
        <f>IF(A62="","",SUMIFS('分期缴税台账'!$K$2:$K$501,'分期缴税台账'!$A$2:$A$501,A62,'分期缴税台账'!$C$2:$C$501,C62))</f>
        <v/>
      </c>
      <c r="L62" s="14">
        <f>IF(J62="","",MAX(0,J62-K62))</f>
        <v/>
      </c>
      <c r="M62" s="6">
        <f>IF(A62="","",COUNTIFS('激励事件明细'!$C$2:$C$501,A62,'激励事件明细'!$H$2:$H$501,C62,'激励事件明细'!$Z$2:$Z$501,"&gt;0"))</f>
        <v/>
      </c>
      <c r="N62" s="6">
        <f>IF(O62="","",IFERROR(INDEX('激励事件明细'!$A$2:$A$501,MATCH(1,('激励事件明细'!$C$2:$C$501=A62)*('激励事件明细'!$H$2:$H$501=C62)*('激励事件明细'!$AB$2:$AB$501=O62),0)),""))</f>
        <v/>
      </c>
      <c r="O62" s="16">
        <f>IF(A62="","",IFERROR(AGGREGATE(15,6,'激励事件明细'!$AB$2:$AB$501/(('激励事件明细'!$C$2:$C$501=A62)*('激励事件明细'!$H$2:$H$501=C62)*('激励事件明细'!$Z$2:$Z$501&gt;0)),1),""))</f>
        <v/>
      </c>
      <c r="P62" s="6">
        <f>IF(A62="","",IF(K62&gt;J62,"异常：超额缴税",IF(L62=0,"已缴清",IF(AND(O62&lt;TODAY(),L62&gt;0),"逾期未缴","未缴清"))))</f>
        <v/>
      </c>
    </row>
    <row r="63">
      <c r="A63" s="11" t="n"/>
      <c r="B63" s="6">
        <f>IF(A63="","",IFERROR(INDEX('激励事件明细'!$D$2:$D$501,MATCH(A63,'激励事件明细'!$C$2:$C$501,0)),""))</f>
        <v/>
      </c>
      <c r="C63" s="11" t="n"/>
      <c r="D63" s="14">
        <f>IF(OR(A63="",C63=""),"",SUMIFS('激励事件明细'!$S$2:$S$501,'激励事件明细'!$C$2:$C$501,A63,'激励事件明细'!$H$2:$H$501,C63,'激励事件明细'!$F$2:$F$501,"股票期权"))</f>
        <v/>
      </c>
      <c r="E63" s="14">
        <f>IF(OR(A63="",C63=""),"",SUMIFS('激励事件明细'!$S$2:$S$501,'激励事件明细'!$C$2:$C$501,A63,'激励事件明细'!$H$2:$H$501,C63,'激励事件明细'!$F$2:$F$501,"限制性股票"))</f>
        <v/>
      </c>
      <c r="F63" s="14">
        <f>IF(OR(A63="",C63=""),"",SUMIFS('激励事件明细'!$S$2:$S$501,'激励事件明细'!$C$2:$C$501,A63,'激励事件明细'!$H$2:$H$501,C63,'激励事件明细'!$F$2:$F$501,"其他股权激励"))</f>
        <v/>
      </c>
      <c r="G63" s="14">
        <f>IF(A63="","",SUM(D63:F63))</f>
        <v/>
      </c>
      <c r="H63" s="15">
        <f>IF(G63="","",VLOOKUP(G63,'税率及规则'!$A$2:$C$8,2,TRUE))</f>
        <v/>
      </c>
      <c r="I63" s="14">
        <f>IF(G63="","",VLOOKUP(G63,'税率及规则'!$A$2:$C$8,3,TRUE))</f>
        <v/>
      </c>
      <c r="J63" s="14">
        <f>IF(G63="","",MAX(0,G63*H63-I63))</f>
        <v/>
      </c>
      <c r="K63" s="14">
        <f>IF(A63="","",SUMIFS('分期缴税台账'!$K$2:$K$501,'分期缴税台账'!$A$2:$A$501,A63,'分期缴税台账'!$C$2:$C$501,C63))</f>
        <v/>
      </c>
      <c r="L63" s="14">
        <f>IF(J63="","",MAX(0,J63-K63))</f>
        <v/>
      </c>
      <c r="M63" s="6">
        <f>IF(A63="","",COUNTIFS('激励事件明细'!$C$2:$C$501,A63,'激励事件明细'!$H$2:$H$501,C63,'激励事件明细'!$Z$2:$Z$501,"&gt;0"))</f>
        <v/>
      </c>
      <c r="N63" s="6">
        <f>IF(O63="","",IFERROR(INDEX('激励事件明细'!$A$2:$A$501,MATCH(1,('激励事件明细'!$C$2:$C$501=A63)*('激励事件明细'!$H$2:$H$501=C63)*('激励事件明细'!$AB$2:$AB$501=O63),0)),""))</f>
        <v/>
      </c>
      <c r="O63" s="16">
        <f>IF(A63="","",IFERROR(AGGREGATE(15,6,'激励事件明细'!$AB$2:$AB$501/(('激励事件明细'!$C$2:$C$501=A63)*('激励事件明细'!$H$2:$H$501=C63)*('激励事件明细'!$Z$2:$Z$501&gt;0)),1),""))</f>
        <v/>
      </c>
      <c r="P63" s="6">
        <f>IF(A63="","",IF(K63&gt;J63,"异常：超额缴税",IF(L63=0,"已缴清",IF(AND(O63&lt;TODAY(),L63&gt;0),"逾期未缴","未缴清"))))</f>
        <v/>
      </c>
    </row>
    <row r="64">
      <c r="A64" s="11" t="n"/>
      <c r="B64" s="6">
        <f>IF(A64="","",IFERROR(INDEX('激励事件明细'!$D$2:$D$501,MATCH(A64,'激励事件明细'!$C$2:$C$501,0)),""))</f>
        <v/>
      </c>
      <c r="C64" s="11" t="n"/>
      <c r="D64" s="14">
        <f>IF(OR(A64="",C64=""),"",SUMIFS('激励事件明细'!$S$2:$S$501,'激励事件明细'!$C$2:$C$501,A64,'激励事件明细'!$H$2:$H$501,C64,'激励事件明细'!$F$2:$F$501,"股票期权"))</f>
        <v/>
      </c>
      <c r="E64" s="14">
        <f>IF(OR(A64="",C64=""),"",SUMIFS('激励事件明细'!$S$2:$S$501,'激励事件明细'!$C$2:$C$501,A64,'激励事件明细'!$H$2:$H$501,C64,'激励事件明细'!$F$2:$F$501,"限制性股票"))</f>
        <v/>
      </c>
      <c r="F64" s="14">
        <f>IF(OR(A64="",C64=""),"",SUMIFS('激励事件明细'!$S$2:$S$501,'激励事件明细'!$C$2:$C$501,A64,'激励事件明细'!$H$2:$H$501,C64,'激励事件明细'!$F$2:$F$501,"其他股权激励"))</f>
        <v/>
      </c>
      <c r="G64" s="14">
        <f>IF(A64="","",SUM(D64:F64))</f>
        <v/>
      </c>
      <c r="H64" s="15">
        <f>IF(G64="","",VLOOKUP(G64,'税率及规则'!$A$2:$C$8,2,TRUE))</f>
        <v/>
      </c>
      <c r="I64" s="14">
        <f>IF(G64="","",VLOOKUP(G64,'税率及规则'!$A$2:$C$8,3,TRUE))</f>
        <v/>
      </c>
      <c r="J64" s="14">
        <f>IF(G64="","",MAX(0,G64*H64-I64))</f>
        <v/>
      </c>
      <c r="K64" s="14">
        <f>IF(A64="","",SUMIFS('分期缴税台账'!$K$2:$K$501,'分期缴税台账'!$A$2:$A$501,A64,'分期缴税台账'!$C$2:$C$501,C64))</f>
        <v/>
      </c>
      <c r="L64" s="14">
        <f>IF(J64="","",MAX(0,J64-K64))</f>
        <v/>
      </c>
      <c r="M64" s="6">
        <f>IF(A64="","",COUNTIFS('激励事件明细'!$C$2:$C$501,A64,'激励事件明细'!$H$2:$H$501,C64,'激励事件明细'!$Z$2:$Z$501,"&gt;0"))</f>
        <v/>
      </c>
      <c r="N64" s="6">
        <f>IF(O64="","",IFERROR(INDEX('激励事件明细'!$A$2:$A$501,MATCH(1,('激励事件明细'!$C$2:$C$501=A64)*('激励事件明细'!$H$2:$H$501=C64)*('激励事件明细'!$AB$2:$AB$501=O64),0)),""))</f>
        <v/>
      </c>
      <c r="O64" s="16">
        <f>IF(A64="","",IFERROR(AGGREGATE(15,6,'激励事件明细'!$AB$2:$AB$501/(('激励事件明细'!$C$2:$C$501=A64)*('激励事件明细'!$H$2:$H$501=C64)*('激励事件明细'!$Z$2:$Z$501&gt;0)),1),""))</f>
        <v/>
      </c>
      <c r="P64" s="6">
        <f>IF(A64="","",IF(K64&gt;J64,"异常：超额缴税",IF(L64=0,"已缴清",IF(AND(O64&lt;TODAY(),L64&gt;0),"逾期未缴","未缴清"))))</f>
        <v/>
      </c>
    </row>
    <row r="65">
      <c r="A65" s="11" t="n"/>
      <c r="B65" s="6">
        <f>IF(A65="","",IFERROR(INDEX('激励事件明细'!$D$2:$D$501,MATCH(A65,'激励事件明细'!$C$2:$C$501,0)),""))</f>
        <v/>
      </c>
      <c r="C65" s="11" t="n"/>
      <c r="D65" s="14">
        <f>IF(OR(A65="",C65=""),"",SUMIFS('激励事件明细'!$S$2:$S$501,'激励事件明细'!$C$2:$C$501,A65,'激励事件明细'!$H$2:$H$501,C65,'激励事件明细'!$F$2:$F$501,"股票期权"))</f>
        <v/>
      </c>
      <c r="E65" s="14">
        <f>IF(OR(A65="",C65=""),"",SUMIFS('激励事件明细'!$S$2:$S$501,'激励事件明细'!$C$2:$C$501,A65,'激励事件明细'!$H$2:$H$501,C65,'激励事件明细'!$F$2:$F$501,"限制性股票"))</f>
        <v/>
      </c>
      <c r="F65" s="14">
        <f>IF(OR(A65="",C65=""),"",SUMIFS('激励事件明细'!$S$2:$S$501,'激励事件明细'!$C$2:$C$501,A65,'激励事件明细'!$H$2:$H$501,C65,'激励事件明细'!$F$2:$F$501,"其他股权激励"))</f>
        <v/>
      </c>
      <c r="G65" s="14">
        <f>IF(A65="","",SUM(D65:F65))</f>
        <v/>
      </c>
      <c r="H65" s="15">
        <f>IF(G65="","",VLOOKUP(G65,'税率及规则'!$A$2:$C$8,2,TRUE))</f>
        <v/>
      </c>
      <c r="I65" s="14">
        <f>IF(G65="","",VLOOKUP(G65,'税率及规则'!$A$2:$C$8,3,TRUE))</f>
        <v/>
      </c>
      <c r="J65" s="14">
        <f>IF(G65="","",MAX(0,G65*H65-I65))</f>
        <v/>
      </c>
      <c r="K65" s="14">
        <f>IF(A65="","",SUMIFS('分期缴税台账'!$K$2:$K$501,'分期缴税台账'!$A$2:$A$501,A65,'分期缴税台账'!$C$2:$C$501,C65))</f>
        <v/>
      </c>
      <c r="L65" s="14">
        <f>IF(J65="","",MAX(0,J65-K65))</f>
        <v/>
      </c>
      <c r="M65" s="6">
        <f>IF(A65="","",COUNTIFS('激励事件明细'!$C$2:$C$501,A65,'激励事件明细'!$H$2:$H$501,C65,'激励事件明细'!$Z$2:$Z$501,"&gt;0"))</f>
        <v/>
      </c>
      <c r="N65" s="6">
        <f>IF(O65="","",IFERROR(INDEX('激励事件明细'!$A$2:$A$501,MATCH(1,('激励事件明细'!$C$2:$C$501=A65)*('激励事件明细'!$H$2:$H$501=C65)*('激励事件明细'!$AB$2:$AB$501=O65),0)),""))</f>
        <v/>
      </c>
      <c r="O65" s="16">
        <f>IF(A65="","",IFERROR(AGGREGATE(15,6,'激励事件明细'!$AB$2:$AB$501/(('激励事件明细'!$C$2:$C$501=A65)*('激励事件明细'!$H$2:$H$501=C65)*('激励事件明细'!$Z$2:$Z$501&gt;0)),1),""))</f>
        <v/>
      </c>
      <c r="P65" s="6">
        <f>IF(A65="","",IF(K65&gt;J65,"异常：超额缴税",IF(L65=0,"已缴清",IF(AND(O65&lt;TODAY(),L65&gt;0),"逾期未缴","未缴清"))))</f>
        <v/>
      </c>
    </row>
    <row r="66">
      <c r="A66" s="11" t="n"/>
      <c r="B66" s="6">
        <f>IF(A66="","",IFERROR(INDEX('激励事件明细'!$D$2:$D$501,MATCH(A66,'激励事件明细'!$C$2:$C$501,0)),""))</f>
        <v/>
      </c>
      <c r="C66" s="11" t="n"/>
      <c r="D66" s="14">
        <f>IF(OR(A66="",C66=""),"",SUMIFS('激励事件明细'!$S$2:$S$501,'激励事件明细'!$C$2:$C$501,A66,'激励事件明细'!$H$2:$H$501,C66,'激励事件明细'!$F$2:$F$501,"股票期权"))</f>
        <v/>
      </c>
      <c r="E66" s="14">
        <f>IF(OR(A66="",C66=""),"",SUMIFS('激励事件明细'!$S$2:$S$501,'激励事件明细'!$C$2:$C$501,A66,'激励事件明细'!$H$2:$H$501,C66,'激励事件明细'!$F$2:$F$501,"限制性股票"))</f>
        <v/>
      </c>
      <c r="F66" s="14">
        <f>IF(OR(A66="",C66=""),"",SUMIFS('激励事件明细'!$S$2:$S$501,'激励事件明细'!$C$2:$C$501,A66,'激励事件明细'!$H$2:$H$501,C66,'激励事件明细'!$F$2:$F$501,"其他股权激励"))</f>
        <v/>
      </c>
      <c r="G66" s="14">
        <f>IF(A66="","",SUM(D66:F66))</f>
        <v/>
      </c>
      <c r="H66" s="15">
        <f>IF(G66="","",VLOOKUP(G66,'税率及规则'!$A$2:$C$8,2,TRUE))</f>
        <v/>
      </c>
      <c r="I66" s="14">
        <f>IF(G66="","",VLOOKUP(G66,'税率及规则'!$A$2:$C$8,3,TRUE))</f>
        <v/>
      </c>
      <c r="J66" s="14">
        <f>IF(G66="","",MAX(0,G66*H66-I66))</f>
        <v/>
      </c>
      <c r="K66" s="14">
        <f>IF(A66="","",SUMIFS('分期缴税台账'!$K$2:$K$501,'分期缴税台账'!$A$2:$A$501,A66,'分期缴税台账'!$C$2:$C$501,C66))</f>
        <v/>
      </c>
      <c r="L66" s="14">
        <f>IF(J66="","",MAX(0,J66-K66))</f>
        <v/>
      </c>
      <c r="M66" s="6">
        <f>IF(A66="","",COUNTIFS('激励事件明细'!$C$2:$C$501,A66,'激励事件明细'!$H$2:$H$501,C66,'激励事件明细'!$Z$2:$Z$501,"&gt;0"))</f>
        <v/>
      </c>
      <c r="N66" s="6">
        <f>IF(O66="","",IFERROR(INDEX('激励事件明细'!$A$2:$A$501,MATCH(1,('激励事件明细'!$C$2:$C$501=A66)*('激励事件明细'!$H$2:$H$501=C66)*('激励事件明细'!$AB$2:$AB$501=O66),0)),""))</f>
        <v/>
      </c>
      <c r="O66" s="16">
        <f>IF(A66="","",IFERROR(AGGREGATE(15,6,'激励事件明细'!$AB$2:$AB$501/(('激励事件明细'!$C$2:$C$501=A66)*('激励事件明细'!$H$2:$H$501=C66)*('激励事件明细'!$Z$2:$Z$501&gt;0)),1),""))</f>
        <v/>
      </c>
      <c r="P66" s="6">
        <f>IF(A66="","",IF(K66&gt;J66,"异常：超额缴税",IF(L66=0,"已缴清",IF(AND(O66&lt;TODAY(),L66&gt;0),"逾期未缴","未缴清"))))</f>
        <v/>
      </c>
    </row>
    <row r="67">
      <c r="A67" s="11" t="n"/>
      <c r="B67" s="6">
        <f>IF(A67="","",IFERROR(INDEX('激励事件明细'!$D$2:$D$501,MATCH(A67,'激励事件明细'!$C$2:$C$501,0)),""))</f>
        <v/>
      </c>
      <c r="C67" s="11" t="n"/>
      <c r="D67" s="14">
        <f>IF(OR(A67="",C67=""),"",SUMIFS('激励事件明细'!$S$2:$S$501,'激励事件明细'!$C$2:$C$501,A67,'激励事件明细'!$H$2:$H$501,C67,'激励事件明细'!$F$2:$F$501,"股票期权"))</f>
        <v/>
      </c>
      <c r="E67" s="14">
        <f>IF(OR(A67="",C67=""),"",SUMIFS('激励事件明细'!$S$2:$S$501,'激励事件明细'!$C$2:$C$501,A67,'激励事件明细'!$H$2:$H$501,C67,'激励事件明细'!$F$2:$F$501,"限制性股票"))</f>
        <v/>
      </c>
      <c r="F67" s="14">
        <f>IF(OR(A67="",C67=""),"",SUMIFS('激励事件明细'!$S$2:$S$501,'激励事件明细'!$C$2:$C$501,A67,'激励事件明细'!$H$2:$H$501,C67,'激励事件明细'!$F$2:$F$501,"其他股权激励"))</f>
        <v/>
      </c>
      <c r="G67" s="14">
        <f>IF(A67="","",SUM(D67:F67))</f>
        <v/>
      </c>
      <c r="H67" s="15">
        <f>IF(G67="","",VLOOKUP(G67,'税率及规则'!$A$2:$C$8,2,TRUE))</f>
        <v/>
      </c>
      <c r="I67" s="14">
        <f>IF(G67="","",VLOOKUP(G67,'税率及规则'!$A$2:$C$8,3,TRUE))</f>
        <v/>
      </c>
      <c r="J67" s="14">
        <f>IF(G67="","",MAX(0,G67*H67-I67))</f>
        <v/>
      </c>
      <c r="K67" s="14">
        <f>IF(A67="","",SUMIFS('分期缴税台账'!$K$2:$K$501,'分期缴税台账'!$A$2:$A$501,A67,'分期缴税台账'!$C$2:$C$501,C67))</f>
        <v/>
      </c>
      <c r="L67" s="14">
        <f>IF(J67="","",MAX(0,J67-K67))</f>
        <v/>
      </c>
      <c r="M67" s="6">
        <f>IF(A67="","",COUNTIFS('激励事件明细'!$C$2:$C$501,A67,'激励事件明细'!$H$2:$H$501,C67,'激励事件明细'!$Z$2:$Z$501,"&gt;0"))</f>
        <v/>
      </c>
      <c r="N67" s="6">
        <f>IF(O67="","",IFERROR(INDEX('激励事件明细'!$A$2:$A$501,MATCH(1,('激励事件明细'!$C$2:$C$501=A67)*('激励事件明细'!$H$2:$H$501=C67)*('激励事件明细'!$AB$2:$AB$501=O67),0)),""))</f>
        <v/>
      </c>
      <c r="O67" s="16">
        <f>IF(A67="","",IFERROR(AGGREGATE(15,6,'激励事件明细'!$AB$2:$AB$501/(('激励事件明细'!$C$2:$C$501=A67)*('激励事件明细'!$H$2:$H$501=C67)*('激励事件明细'!$Z$2:$Z$501&gt;0)),1),""))</f>
        <v/>
      </c>
      <c r="P67" s="6">
        <f>IF(A67="","",IF(K67&gt;J67,"异常：超额缴税",IF(L67=0,"已缴清",IF(AND(O67&lt;TODAY(),L67&gt;0),"逾期未缴","未缴清"))))</f>
        <v/>
      </c>
    </row>
    <row r="68">
      <c r="A68" s="11" t="n"/>
      <c r="B68" s="6">
        <f>IF(A68="","",IFERROR(INDEX('激励事件明细'!$D$2:$D$501,MATCH(A68,'激励事件明细'!$C$2:$C$501,0)),""))</f>
        <v/>
      </c>
      <c r="C68" s="11" t="n"/>
      <c r="D68" s="14">
        <f>IF(OR(A68="",C68=""),"",SUMIFS('激励事件明细'!$S$2:$S$501,'激励事件明细'!$C$2:$C$501,A68,'激励事件明细'!$H$2:$H$501,C68,'激励事件明细'!$F$2:$F$501,"股票期权"))</f>
        <v/>
      </c>
      <c r="E68" s="14">
        <f>IF(OR(A68="",C68=""),"",SUMIFS('激励事件明细'!$S$2:$S$501,'激励事件明细'!$C$2:$C$501,A68,'激励事件明细'!$H$2:$H$501,C68,'激励事件明细'!$F$2:$F$501,"限制性股票"))</f>
        <v/>
      </c>
      <c r="F68" s="14">
        <f>IF(OR(A68="",C68=""),"",SUMIFS('激励事件明细'!$S$2:$S$501,'激励事件明细'!$C$2:$C$501,A68,'激励事件明细'!$H$2:$H$501,C68,'激励事件明细'!$F$2:$F$501,"其他股权激励"))</f>
        <v/>
      </c>
      <c r="G68" s="14">
        <f>IF(A68="","",SUM(D68:F68))</f>
        <v/>
      </c>
      <c r="H68" s="15">
        <f>IF(G68="","",VLOOKUP(G68,'税率及规则'!$A$2:$C$8,2,TRUE))</f>
        <v/>
      </c>
      <c r="I68" s="14">
        <f>IF(G68="","",VLOOKUP(G68,'税率及规则'!$A$2:$C$8,3,TRUE))</f>
        <v/>
      </c>
      <c r="J68" s="14">
        <f>IF(G68="","",MAX(0,G68*H68-I68))</f>
        <v/>
      </c>
      <c r="K68" s="14">
        <f>IF(A68="","",SUMIFS('分期缴税台账'!$K$2:$K$501,'分期缴税台账'!$A$2:$A$501,A68,'分期缴税台账'!$C$2:$C$501,C68))</f>
        <v/>
      </c>
      <c r="L68" s="14">
        <f>IF(J68="","",MAX(0,J68-K68))</f>
        <v/>
      </c>
      <c r="M68" s="6">
        <f>IF(A68="","",COUNTIFS('激励事件明细'!$C$2:$C$501,A68,'激励事件明细'!$H$2:$H$501,C68,'激励事件明细'!$Z$2:$Z$501,"&gt;0"))</f>
        <v/>
      </c>
      <c r="N68" s="6">
        <f>IF(O68="","",IFERROR(INDEX('激励事件明细'!$A$2:$A$501,MATCH(1,('激励事件明细'!$C$2:$C$501=A68)*('激励事件明细'!$H$2:$H$501=C68)*('激励事件明细'!$AB$2:$AB$501=O68),0)),""))</f>
        <v/>
      </c>
      <c r="O68" s="16">
        <f>IF(A68="","",IFERROR(AGGREGATE(15,6,'激励事件明细'!$AB$2:$AB$501/(('激励事件明细'!$C$2:$C$501=A68)*('激励事件明细'!$H$2:$H$501=C68)*('激励事件明细'!$Z$2:$Z$501&gt;0)),1),""))</f>
        <v/>
      </c>
      <c r="P68" s="6">
        <f>IF(A68="","",IF(K68&gt;J68,"异常：超额缴税",IF(L68=0,"已缴清",IF(AND(O68&lt;TODAY(),L68&gt;0),"逾期未缴","未缴清"))))</f>
        <v/>
      </c>
    </row>
    <row r="69">
      <c r="A69" s="11" t="n"/>
      <c r="B69" s="6">
        <f>IF(A69="","",IFERROR(INDEX('激励事件明细'!$D$2:$D$501,MATCH(A69,'激励事件明细'!$C$2:$C$501,0)),""))</f>
        <v/>
      </c>
      <c r="C69" s="11" t="n"/>
      <c r="D69" s="14">
        <f>IF(OR(A69="",C69=""),"",SUMIFS('激励事件明细'!$S$2:$S$501,'激励事件明细'!$C$2:$C$501,A69,'激励事件明细'!$H$2:$H$501,C69,'激励事件明细'!$F$2:$F$501,"股票期权"))</f>
        <v/>
      </c>
      <c r="E69" s="14">
        <f>IF(OR(A69="",C69=""),"",SUMIFS('激励事件明细'!$S$2:$S$501,'激励事件明细'!$C$2:$C$501,A69,'激励事件明细'!$H$2:$H$501,C69,'激励事件明细'!$F$2:$F$501,"限制性股票"))</f>
        <v/>
      </c>
      <c r="F69" s="14">
        <f>IF(OR(A69="",C69=""),"",SUMIFS('激励事件明细'!$S$2:$S$501,'激励事件明细'!$C$2:$C$501,A69,'激励事件明细'!$H$2:$H$501,C69,'激励事件明细'!$F$2:$F$501,"其他股权激励"))</f>
        <v/>
      </c>
      <c r="G69" s="14">
        <f>IF(A69="","",SUM(D69:F69))</f>
        <v/>
      </c>
      <c r="H69" s="15">
        <f>IF(G69="","",VLOOKUP(G69,'税率及规则'!$A$2:$C$8,2,TRUE))</f>
        <v/>
      </c>
      <c r="I69" s="14">
        <f>IF(G69="","",VLOOKUP(G69,'税率及规则'!$A$2:$C$8,3,TRUE))</f>
        <v/>
      </c>
      <c r="J69" s="14">
        <f>IF(G69="","",MAX(0,G69*H69-I69))</f>
        <v/>
      </c>
      <c r="K69" s="14">
        <f>IF(A69="","",SUMIFS('分期缴税台账'!$K$2:$K$501,'分期缴税台账'!$A$2:$A$501,A69,'分期缴税台账'!$C$2:$C$501,C69))</f>
        <v/>
      </c>
      <c r="L69" s="14">
        <f>IF(J69="","",MAX(0,J69-K69))</f>
        <v/>
      </c>
      <c r="M69" s="6">
        <f>IF(A69="","",COUNTIFS('激励事件明细'!$C$2:$C$501,A69,'激励事件明细'!$H$2:$H$501,C69,'激励事件明细'!$Z$2:$Z$501,"&gt;0"))</f>
        <v/>
      </c>
      <c r="N69" s="6">
        <f>IF(O69="","",IFERROR(INDEX('激励事件明细'!$A$2:$A$501,MATCH(1,('激励事件明细'!$C$2:$C$501=A69)*('激励事件明细'!$H$2:$H$501=C69)*('激励事件明细'!$AB$2:$AB$501=O69),0)),""))</f>
        <v/>
      </c>
      <c r="O69" s="16">
        <f>IF(A69="","",IFERROR(AGGREGATE(15,6,'激励事件明细'!$AB$2:$AB$501/(('激励事件明细'!$C$2:$C$501=A69)*('激励事件明细'!$H$2:$H$501=C69)*('激励事件明细'!$Z$2:$Z$501&gt;0)),1),""))</f>
        <v/>
      </c>
      <c r="P69" s="6">
        <f>IF(A69="","",IF(K69&gt;J69,"异常：超额缴税",IF(L69=0,"已缴清",IF(AND(O69&lt;TODAY(),L69&gt;0),"逾期未缴","未缴清"))))</f>
        <v/>
      </c>
    </row>
    <row r="70">
      <c r="A70" s="11" t="n"/>
      <c r="B70" s="6">
        <f>IF(A70="","",IFERROR(INDEX('激励事件明细'!$D$2:$D$501,MATCH(A70,'激励事件明细'!$C$2:$C$501,0)),""))</f>
        <v/>
      </c>
      <c r="C70" s="11" t="n"/>
      <c r="D70" s="14">
        <f>IF(OR(A70="",C70=""),"",SUMIFS('激励事件明细'!$S$2:$S$501,'激励事件明细'!$C$2:$C$501,A70,'激励事件明细'!$H$2:$H$501,C70,'激励事件明细'!$F$2:$F$501,"股票期权"))</f>
        <v/>
      </c>
      <c r="E70" s="14">
        <f>IF(OR(A70="",C70=""),"",SUMIFS('激励事件明细'!$S$2:$S$501,'激励事件明细'!$C$2:$C$501,A70,'激励事件明细'!$H$2:$H$501,C70,'激励事件明细'!$F$2:$F$501,"限制性股票"))</f>
        <v/>
      </c>
      <c r="F70" s="14">
        <f>IF(OR(A70="",C70=""),"",SUMIFS('激励事件明细'!$S$2:$S$501,'激励事件明细'!$C$2:$C$501,A70,'激励事件明细'!$H$2:$H$501,C70,'激励事件明细'!$F$2:$F$501,"其他股权激励"))</f>
        <v/>
      </c>
      <c r="G70" s="14">
        <f>IF(A70="","",SUM(D70:F70))</f>
        <v/>
      </c>
      <c r="H70" s="15">
        <f>IF(G70="","",VLOOKUP(G70,'税率及规则'!$A$2:$C$8,2,TRUE))</f>
        <v/>
      </c>
      <c r="I70" s="14">
        <f>IF(G70="","",VLOOKUP(G70,'税率及规则'!$A$2:$C$8,3,TRUE))</f>
        <v/>
      </c>
      <c r="J70" s="14">
        <f>IF(G70="","",MAX(0,G70*H70-I70))</f>
        <v/>
      </c>
      <c r="K70" s="14">
        <f>IF(A70="","",SUMIFS('分期缴税台账'!$K$2:$K$501,'分期缴税台账'!$A$2:$A$501,A70,'分期缴税台账'!$C$2:$C$501,C70))</f>
        <v/>
      </c>
      <c r="L70" s="14">
        <f>IF(J70="","",MAX(0,J70-K70))</f>
        <v/>
      </c>
      <c r="M70" s="6">
        <f>IF(A70="","",COUNTIFS('激励事件明细'!$C$2:$C$501,A70,'激励事件明细'!$H$2:$H$501,C70,'激励事件明细'!$Z$2:$Z$501,"&gt;0"))</f>
        <v/>
      </c>
      <c r="N70" s="6">
        <f>IF(O70="","",IFERROR(INDEX('激励事件明细'!$A$2:$A$501,MATCH(1,('激励事件明细'!$C$2:$C$501=A70)*('激励事件明细'!$H$2:$H$501=C70)*('激励事件明细'!$AB$2:$AB$501=O70),0)),""))</f>
        <v/>
      </c>
      <c r="O70" s="16">
        <f>IF(A70="","",IFERROR(AGGREGATE(15,6,'激励事件明细'!$AB$2:$AB$501/(('激励事件明细'!$C$2:$C$501=A70)*('激励事件明细'!$H$2:$H$501=C70)*('激励事件明细'!$Z$2:$Z$501&gt;0)),1),""))</f>
        <v/>
      </c>
      <c r="P70" s="6">
        <f>IF(A70="","",IF(K70&gt;J70,"异常：超额缴税",IF(L70=0,"已缴清",IF(AND(O70&lt;TODAY(),L70&gt;0),"逾期未缴","未缴清"))))</f>
        <v/>
      </c>
    </row>
    <row r="71">
      <c r="A71" s="11" t="n"/>
      <c r="B71" s="6">
        <f>IF(A71="","",IFERROR(INDEX('激励事件明细'!$D$2:$D$501,MATCH(A71,'激励事件明细'!$C$2:$C$501,0)),""))</f>
        <v/>
      </c>
      <c r="C71" s="11" t="n"/>
      <c r="D71" s="14">
        <f>IF(OR(A71="",C71=""),"",SUMIFS('激励事件明细'!$S$2:$S$501,'激励事件明细'!$C$2:$C$501,A71,'激励事件明细'!$H$2:$H$501,C71,'激励事件明细'!$F$2:$F$501,"股票期权"))</f>
        <v/>
      </c>
      <c r="E71" s="14">
        <f>IF(OR(A71="",C71=""),"",SUMIFS('激励事件明细'!$S$2:$S$501,'激励事件明细'!$C$2:$C$501,A71,'激励事件明细'!$H$2:$H$501,C71,'激励事件明细'!$F$2:$F$501,"限制性股票"))</f>
        <v/>
      </c>
      <c r="F71" s="14">
        <f>IF(OR(A71="",C71=""),"",SUMIFS('激励事件明细'!$S$2:$S$501,'激励事件明细'!$C$2:$C$501,A71,'激励事件明细'!$H$2:$H$501,C71,'激励事件明细'!$F$2:$F$501,"其他股权激励"))</f>
        <v/>
      </c>
      <c r="G71" s="14">
        <f>IF(A71="","",SUM(D71:F71))</f>
        <v/>
      </c>
      <c r="H71" s="15">
        <f>IF(G71="","",VLOOKUP(G71,'税率及规则'!$A$2:$C$8,2,TRUE))</f>
        <v/>
      </c>
      <c r="I71" s="14">
        <f>IF(G71="","",VLOOKUP(G71,'税率及规则'!$A$2:$C$8,3,TRUE))</f>
        <v/>
      </c>
      <c r="J71" s="14">
        <f>IF(G71="","",MAX(0,G71*H71-I71))</f>
        <v/>
      </c>
      <c r="K71" s="14">
        <f>IF(A71="","",SUMIFS('分期缴税台账'!$K$2:$K$501,'分期缴税台账'!$A$2:$A$501,A71,'分期缴税台账'!$C$2:$C$501,C71))</f>
        <v/>
      </c>
      <c r="L71" s="14">
        <f>IF(J71="","",MAX(0,J71-K71))</f>
        <v/>
      </c>
      <c r="M71" s="6">
        <f>IF(A71="","",COUNTIFS('激励事件明细'!$C$2:$C$501,A71,'激励事件明细'!$H$2:$H$501,C71,'激励事件明细'!$Z$2:$Z$501,"&gt;0"))</f>
        <v/>
      </c>
      <c r="N71" s="6">
        <f>IF(O71="","",IFERROR(INDEX('激励事件明细'!$A$2:$A$501,MATCH(1,('激励事件明细'!$C$2:$C$501=A71)*('激励事件明细'!$H$2:$H$501=C71)*('激励事件明细'!$AB$2:$AB$501=O71),0)),""))</f>
        <v/>
      </c>
      <c r="O71" s="16">
        <f>IF(A71="","",IFERROR(AGGREGATE(15,6,'激励事件明细'!$AB$2:$AB$501/(('激励事件明细'!$C$2:$C$501=A71)*('激励事件明细'!$H$2:$H$501=C71)*('激励事件明细'!$Z$2:$Z$501&gt;0)),1),""))</f>
        <v/>
      </c>
      <c r="P71" s="6">
        <f>IF(A71="","",IF(K71&gt;J71,"异常：超额缴税",IF(L71=0,"已缴清",IF(AND(O71&lt;TODAY(),L71&gt;0),"逾期未缴","未缴清"))))</f>
        <v/>
      </c>
    </row>
    <row r="72">
      <c r="A72" s="11" t="n"/>
      <c r="B72" s="6">
        <f>IF(A72="","",IFERROR(INDEX('激励事件明细'!$D$2:$D$501,MATCH(A72,'激励事件明细'!$C$2:$C$501,0)),""))</f>
        <v/>
      </c>
      <c r="C72" s="11" t="n"/>
      <c r="D72" s="14">
        <f>IF(OR(A72="",C72=""),"",SUMIFS('激励事件明细'!$S$2:$S$501,'激励事件明细'!$C$2:$C$501,A72,'激励事件明细'!$H$2:$H$501,C72,'激励事件明细'!$F$2:$F$501,"股票期权"))</f>
        <v/>
      </c>
      <c r="E72" s="14">
        <f>IF(OR(A72="",C72=""),"",SUMIFS('激励事件明细'!$S$2:$S$501,'激励事件明细'!$C$2:$C$501,A72,'激励事件明细'!$H$2:$H$501,C72,'激励事件明细'!$F$2:$F$501,"限制性股票"))</f>
        <v/>
      </c>
      <c r="F72" s="14">
        <f>IF(OR(A72="",C72=""),"",SUMIFS('激励事件明细'!$S$2:$S$501,'激励事件明细'!$C$2:$C$501,A72,'激励事件明细'!$H$2:$H$501,C72,'激励事件明细'!$F$2:$F$501,"其他股权激励"))</f>
        <v/>
      </c>
      <c r="G72" s="14">
        <f>IF(A72="","",SUM(D72:F72))</f>
        <v/>
      </c>
      <c r="H72" s="15">
        <f>IF(G72="","",VLOOKUP(G72,'税率及规则'!$A$2:$C$8,2,TRUE))</f>
        <v/>
      </c>
      <c r="I72" s="14">
        <f>IF(G72="","",VLOOKUP(G72,'税率及规则'!$A$2:$C$8,3,TRUE))</f>
        <v/>
      </c>
      <c r="J72" s="14">
        <f>IF(G72="","",MAX(0,G72*H72-I72))</f>
        <v/>
      </c>
      <c r="K72" s="14">
        <f>IF(A72="","",SUMIFS('分期缴税台账'!$K$2:$K$501,'分期缴税台账'!$A$2:$A$501,A72,'分期缴税台账'!$C$2:$C$501,C72))</f>
        <v/>
      </c>
      <c r="L72" s="14">
        <f>IF(J72="","",MAX(0,J72-K72))</f>
        <v/>
      </c>
      <c r="M72" s="6">
        <f>IF(A72="","",COUNTIFS('激励事件明细'!$C$2:$C$501,A72,'激励事件明细'!$H$2:$H$501,C72,'激励事件明细'!$Z$2:$Z$501,"&gt;0"))</f>
        <v/>
      </c>
      <c r="N72" s="6">
        <f>IF(O72="","",IFERROR(INDEX('激励事件明细'!$A$2:$A$501,MATCH(1,('激励事件明细'!$C$2:$C$501=A72)*('激励事件明细'!$H$2:$H$501=C72)*('激励事件明细'!$AB$2:$AB$501=O72),0)),""))</f>
        <v/>
      </c>
      <c r="O72" s="16">
        <f>IF(A72="","",IFERROR(AGGREGATE(15,6,'激励事件明细'!$AB$2:$AB$501/(('激励事件明细'!$C$2:$C$501=A72)*('激励事件明细'!$H$2:$H$501=C72)*('激励事件明细'!$Z$2:$Z$501&gt;0)),1),""))</f>
        <v/>
      </c>
      <c r="P72" s="6">
        <f>IF(A72="","",IF(K72&gt;J72,"异常：超额缴税",IF(L72=0,"已缴清",IF(AND(O72&lt;TODAY(),L72&gt;0),"逾期未缴","未缴清"))))</f>
        <v/>
      </c>
    </row>
    <row r="73">
      <c r="A73" s="11" t="n"/>
      <c r="B73" s="6">
        <f>IF(A73="","",IFERROR(INDEX('激励事件明细'!$D$2:$D$501,MATCH(A73,'激励事件明细'!$C$2:$C$501,0)),""))</f>
        <v/>
      </c>
      <c r="C73" s="11" t="n"/>
      <c r="D73" s="14">
        <f>IF(OR(A73="",C73=""),"",SUMIFS('激励事件明细'!$S$2:$S$501,'激励事件明细'!$C$2:$C$501,A73,'激励事件明细'!$H$2:$H$501,C73,'激励事件明细'!$F$2:$F$501,"股票期权"))</f>
        <v/>
      </c>
      <c r="E73" s="14">
        <f>IF(OR(A73="",C73=""),"",SUMIFS('激励事件明细'!$S$2:$S$501,'激励事件明细'!$C$2:$C$501,A73,'激励事件明细'!$H$2:$H$501,C73,'激励事件明细'!$F$2:$F$501,"限制性股票"))</f>
        <v/>
      </c>
      <c r="F73" s="14">
        <f>IF(OR(A73="",C73=""),"",SUMIFS('激励事件明细'!$S$2:$S$501,'激励事件明细'!$C$2:$C$501,A73,'激励事件明细'!$H$2:$H$501,C73,'激励事件明细'!$F$2:$F$501,"其他股权激励"))</f>
        <v/>
      </c>
      <c r="G73" s="14">
        <f>IF(A73="","",SUM(D73:F73))</f>
        <v/>
      </c>
      <c r="H73" s="15">
        <f>IF(G73="","",VLOOKUP(G73,'税率及规则'!$A$2:$C$8,2,TRUE))</f>
        <v/>
      </c>
      <c r="I73" s="14">
        <f>IF(G73="","",VLOOKUP(G73,'税率及规则'!$A$2:$C$8,3,TRUE))</f>
        <v/>
      </c>
      <c r="J73" s="14">
        <f>IF(G73="","",MAX(0,G73*H73-I73))</f>
        <v/>
      </c>
      <c r="K73" s="14">
        <f>IF(A73="","",SUMIFS('分期缴税台账'!$K$2:$K$501,'分期缴税台账'!$A$2:$A$501,A73,'分期缴税台账'!$C$2:$C$501,C73))</f>
        <v/>
      </c>
      <c r="L73" s="14">
        <f>IF(J73="","",MAX(0,J73-K73))</f>
        <v/>
      </c>
      <c r="M73" s="6">
        <f>IF(A73="","",COUNTIFS('激励事件明细'!$C$2:$C$501,A73,'激励事件明细'!$H$2:$H$501,C73,'激励事件明细'!$Z$2:$Z$501,"&gt;0"))</f>
        <v/>
      </c>
      <c r="N73" s="6">
        <f>IF(O73="","",IFERROR(INDEX('激励事件明细'!$A$2:$A$501,MATCH(1,('激励事件明细'!$C$2:$C$501=A73)*('激励事件明细'!$H$2:$H$501=C73)*('激励事件明细'!$AB$2:$AB$501=O73),0)),""))</f>
        <v/>
      </c>
      <c r="O73" s="16">
        <f>IF(A73="","",IFERROR(AGGREGATE(15,6,'激励事件明细'!$AB$2:$AB$501/(('激励事件明细'!$C$2:$C$501=A73)*('激励事件明细'!$H$2:$H$501=C73)*('激励事件明细'!$Z$2:$Z$501&gt;0)),1),""))</f>
        <v/>
      </c>
      <c r="P73" s="6">
        <f>IF(A73="","",IF(K73&gt;J73,"异常：超额缴税",IF(L73=0,"已缴清",IF(AND(O73&lt;TODAY(),L73&gt;0),"逾期未缴","未缴清"))))</f>
        <v/>
      </c>
    </row>
    <row r="74">
      <c r="A74" s="11" t="n"/>
      <c r="B74" s="6">
        <f>IF(A74="","",IFERROR(INDEX('激励事件明细'!$D$2:$D$501,MATCH(A74,'激励事件明细'!$C$2:$C$501,0)),""))</f>
        <v/>
      </c>
      <c r="C74" s="11" t="n"/>
      <c r="D74" s="14">
        <f>IF(OR(A74="",C74=""),"",SUMIFS('激励事件明细'!$S$2:$S$501,'激励事件明细'!$C$2:$C$501,A74,'激励事件明细'!$H$2:$H$501,C74,'激励事件明细'!$F$2:$F$501,"股票期权"))</f>
        <v/>
      </c>
      <c r="E74" s="14">
        <f>IF(OR(A74="",C74=""),"",SUMIFS('激励事件明细'!$S$2:$S$501,'激励事件明细'!$C$2:$C$501,A74,'激励事件明细'!$H$2:$H$501,C74,'激励事件明细'!$F$2:$F$501,"限制性股票"))</f>
        <v/>
      </c>
      <c r="F74" s="14">
        <f>IF(OR(A74="",C74=""),"",SUMIFS('激励事件明细'!$S$2:$S$501,'激励事件明细'!$C$2:$C$501,A74,'激励事件明细'!$H$2:$H$501,C74,'激励事件明细'!$F$2:$F$501,"其他股权激励"))</f>
        <v/>
      </c>
      <c r="G74" s="14">
        <f>IF(A74="","",SUM(D74:F74))</f>
        <v/>
      </c>
      <c r="H74" s="15">
        <f>IF(G74="","",VLOOKUP(G74,'税率及规则'!$A$2:$C$8,2,TRUE))</f>
        <v/>
      </c>
      <c r="I74" s="14">
        <f>IF(G74="","",VLOOKUP(G74,'税率及规则'!$A$2:$C$8,3,TRUE))</f>
        <v/>
      </c>
      <c r="J74" s="14">
        <f>IF(G74="","",MAX(0,G74*H74-I74))</f>
        <v/>
      </c>
      <c r="K74" s="14">
        <f>IF(A74="","",SUMIFS('分期缴税台账'!$K$2:$K$501,'分期缴税台账'!$A$2:$A$501,A74,'分期缴税台账'!$C$2:$C$501,C74))</f>
        <v/>
      </c>
      <c r="L74" s="14">
        <f>IF(J74="","",MAX(0,J74-K74))</f>
        <v/>
      </c>
      <c r="M74" s="6">
        <f>IF(A74="","",COUNTIFS('激励事件明细'!$C$2:$C$501,A74,'激励事件明细'!$H$2:$H$501,C74,'激励事件明细'!$Z$2:$Z$501,"&gt;0"))</f>
        <v/>
      </c>
      <c r="N74" s="6">
        <f>IF(O74="","",IFERROR(INDEX('激励事件明细'!$A$2:$A$501,MATCH(1,('激励事件明细'!$C$2:$C$501=A74)*('激励事件明细'!$H$2:$H$501=C74)*('激励事件明细'!$AB$2:$AB$501=O74),0)),""))</f>
        <v/>
      </c>
      <c r="O74" s="16">
        <f>IF(A74="","",IFERROR(AGGREGATE(15,6,'激励事件明细'!$AB$2:$AB$501/(('激励事件明细'!$C$2:$C$501=A74)*('激励事件明细'!$H$2:$H$501=C74)*('激励事件明细'!$Z$2:$Z$501&gt;0)),1),""))</f>
        <v/>
      </c>
      <c r="P74" s="6">
        <f>IF(A74="","",IF(K74&gt;J74,"异常：超额缴税",IF(L74=0,"已缴清",IF(AND(O74&lt;TODAY(),L74&gt;0),"逾期未缴","未缴清"))))</f>
        <v/>
      </c>
    </row>
    <row r="75">
      <c r="A75" s="11" t="n"/>
      <c r="B75" s="6">
        <f>IF(A75="","",IFERROR(INDEX('激励事件明细'!$D$2:$D$501,MATCH(A75,'激励事件明细'!$C$2:$C$501,0)),""))</f>
        <v/>
      </c>
      <c r="C75" s="11" t="n"/>
      <c r="D75" s="14">
        <f>IF(OR(A75="",C75=""),"",SUMIFS('激励事件明细'!$S$2:$S$501,'激励事件明细'!$C$2:$C$501,A75,'激励事件明细'!$H$2:$H$501,C75,'激励事件明细'!$F$2:$F$501,"股票期权"))</f>
        <v/>
      </c>
      <c r="E75" s="14">
        <f>IF(OR(A75="",C75=""),"",SUMIFS('激励事件明细'!$S$2:$S$501,'激励事件明细'!$C$2:$C$501,A75,'激励事件明细'!$H$2:$H$501,C75,'激励事件明细'!$F$2:$F$501,"限制性股票"))</f>
        <v/>
      </c>
      <c r="F75" s="14">
        <f>IF(OR(A75="",C75=""),"",SUMIFS('激励事件明细'!$S$2:$S$501,'激励事件明细'!$C$2:$C$501,A75,'激励事件明细'!$H$2:$H$501,C75,'激励事件明细'!$F$2:$F$501,"其他股权激励"))</f>
        <v/>
      </c>
      <c r="G75" s="14">
        <f>IF(A75="","",SUM(D75:F75))</f>
        <v/>
      </c>
      <c r="H75" s="15">
        <f>IF(G75="","",VLOOKUP(G75,'税率及规则'!$A$2:$C$8,2,TRUE))</f>
        <v/>
      </c>
      <c r="I75" s="14">
        <f>IF(G75="","",VLOOKUP(G75,'税率及规则'!$A$2:$C$8,3,TRUE))</f>
        <v/>
      </c>
      <c r="J75" s="14">
        <f>IF(G75="","",MAX(0,G75*H75-I75))</f>
        <v/>
      </c>
      <c r="K75" s="14">
        <f>IF(A75="","",SUMIFS('分期缴税台账'!$K$2:$K$501,'分期缴税台账'!$A$2:$A$501,A75,'分期缴税台账'!$C$2:$C$501,C75))</f>
        <v/>
      </c>
      <c r="L75" s="14">
        <f>IF(J75="","",MAX(0,J75-K75))</f>
        <v/>
      </c>
      <c r="M75" s="6">
        <f>IF(A75="","",COUNTIFS('激励事件明细'!$C$2:$C$501,A75,'激励事件明细'!$H$2:$H$501,C75,'激励事件明细'!$Z$2:$Z$501,"&gt;0"))</f>
        <v/>
      </c>
      <c r="N75" s="6">
        <f>IF(O75="","",IFERROR(INDEX('激励事件明细'!$A$2:$A$501,MATCH(1,('激励事件明细'!$C$2:$C$501=A75)*('激励事件明细'!$H$2:$H$501=C75)*('激励事件明细'!$AB$2:$AB$501=O75),0)),""))</f>
        <v/>
      </c>
      <c r="O75" s="16">
        <f>IF(A75="","",IFERROR(AGGREGATE(15,6,'激励事件明细'!$AB$2:$AB$501/(('激励事件明细'!$C$2:$C$501=A75)*('激励事件明细'!$H$2:$H$501=C75)*('激励事件明细'!$Z$2:$Z$501&gt;0)),1),""))</f>
        <v/>
      </c>
      <c r="P75" s="6">
        <f>IF(A75="","",IF(K75&gt;J75,"异常：超额缴税",IF(L75=0,"已缴清",IF(AND(O75&lt;TODAY(),L75&gt;0),"逾期未缴","未缴清"))))</f>
        <v/>
      </c>
    </row>
    <row r="76">
      <c r="A76" s="11" t="n"/>
      <c r="B76" s="6">
        <f>IF(A76="","",IFERROR(INDEX('激励事件明细'!$D$2:$D$501,MATCH(A76,'激励事件明细'!$C$2:$C$501,0)),""))</f>
        <v/>
      </c>
      <c r="C76" s="11" t="n"/>
      <c r="D76" s="14">
        <f>IF(OR(A76="",C76=""),"",SUMIFS('激励事件明细'!$S$2:$S$501,'激励事件明细'!$C$2:$C$501,A76,'激励事件明细'!$H$2:$H$501,C76,'激励事件明细'!$F$2:$F$501,"股票期权"))</f>
        <v/>
      </c>
      <c r="E76" s="14">
        <f>IF(OR(A76="",C76=""),"",SUMIFS('激励事件明细'!$S$2:$S$501,'激励事件明细'!$C$2:$C$501,A76,'激励事件明细'!$H$2:$H$501,C76,'激励事件明细'!$F$2:$F$501,"限制性股票"))</f>
        <v/>
      </c>
      <c r="F76" s="14">
        <f>IF(OR(A76="",C76=""),"",SUMIFS('激励事件明细'!$S$2:$S$501,'激励事件明细'!$C$2:$C$501,A76,'激励事件明细'!$H$2:$H$501,C76,'激励事件明细'!$F$2:$F$501,"其他股权激励"))</f>
        <v/>
      </c>
      <c r="G76" s="14">
        <f>IF(A76="","",SUM(D76:F76))</f>
        <v/>
      </c>
      <c r="H76" s="15">
        <f>IF(G76="","",VLOOKUP(G76,'税率及规则'!$A$2:$C$8,2,TRUE))</f>
        <v/>
      </c>
      <c r="I76" s="14">
        <f>IF(G76="","",VLOOKUP(G76,'税率及规则'!$A$2:$C$8,3,TRUE))</f>
        <v/>
      </c>
      <c r="J76" s="14">
        <f>IF(G76="","",MAX(0,G76*H76-I76))</f>
        <v/>
      </c>
      <c r="K76" s="14">
        <f>IF(A76="","",SUMIFS('分期缴税台账'!$K$2:$K$501,'分期缴税台账'!$A$2:$A$501,A76,'分期缴税台账'!$C$2:$C$501,C76))</f>
        <v/>
      </c>
      <c r="L76" s="14">
        <f>IF(J76="","",MAX(0,J76-K76))</f>
        <v/>
      </c>
      <c r="M76" s="6">
        <f>IF(A76="","",COUNTIFS('激励事件明细'!$C$2:$C$501,A76,'激励事件明细'!$H$2:$H$501,C76,'激励事件明细'!$Z$2:$Z$501,"&gt;0"))</f>
        <v/>
      </c>
      <c r="N76" s="6">
        <f>IF(O76="","",IFERROR(INDEX('激励事件明细'!$A$2:$A$501,MATCH(1,('激励事件明细'!$C$2:$C$501=A76)*('激励事件明细'!$H$2:$H$501=C76)*('激励事件明细'!$AB$2:$AB$501=O76),0)),""))</f>
        <v/>
      </c>
      <c r="O76" s="16">
        <f>IF(A76="","",IFERROR(AGGREGATE(15,6,'激励事件明细'!$AB$2:$AB$501/(('激励事件明细'!$C$2:$C$501=A76)*('激励事件明细'!$H$2:$H$501=C76)*('激励事件明细'!$Z$2:$Z$501&gt;0)),1),""))</f>
        <v/>
      </c>
      <c r="P76" s="6">
        <f>IF(A76="","",IF(K76&gt;J76,"异常：超额缴税",IF(L76=0,"已缴清",IF(AND(O76&lt;TODAY(),L76&gt;0),"逾期未缴","未缴清"))))</f>
        <v/>
      </c>
    </row>
    <row r="77">
      <c r="A77" s="11" t="n"/>
      <c r="B77" s="6">
        <f>IF(A77="","",IFERROR(INDEX('激励事件明细'!$D$2:$D$501,MATCH(A77,'激励事件明细'!$C$2:$C$501,0)),""))</f>
        <v/>
      </c>
      <c r="C77" s="11" t="n"/>
      <c r="D77" s="14">
        <f>IF(OR(A77="",C77=""),"",SUMIFS('激励事件明细'!$S$2:$S$501,'激励事件明细'!$C$2:$C$501,A77,'激励事件明细'!$H$2:$H$501,C77,'激励事件明细'!$F$2:$F$501,"股票期权"))</f>
        <v/>
      </c>
      <c r="E77" s="14">
        <f>IF(OR(A77="",C77=""),"",SUMIFS('激励事件明细'!$S$2:$S$501,'激励事件明细'!$C$2:$C$501,A77,'激励事件明细'!$H$2:$H$501,C77,'激励事件明细'!$F$2:$F$501,"限制性股票"))</f>
        <v/>
      </c>
      <c r="F77" s="14">
        <f>IF(OR(A77="",C77=""),"",SUMIFS('激励事件明细'!$S$2:$S$501,'激励事件明细'!$C$2:$C$501,A77,'激励事件明细'!$H$2:$H$501,C77,'激励事件明细'!$F$2:$F$501,"其他股权激励"))</f>
        <v/>
      </c>
      <c r="G77" s="14">
        <f>IF(A77="","",SUM(D77:F77))</f>
        <v/>
      </c>
      <c r="H77" s="15">
        <f>IF(G77="","",VLOOKUP(G77,'税率及规则'!$A$2:$C$8,2,TRUE))</f>
        <v/>
      </c>
      <c r="I77" s="14">
        <f>IF(G77="","",VLOOKUP(G77,'税率及规则'!$A$2:$C$8,3,TRUE))</f>
        <v/>
      </c>
      <c r="J77" s="14">
        <f>IF(G77="","",MAX(0,G77*H77-I77))</f>
        <v/>
      </c>
      <c r="K77" s="14">
        <f>IF(A77="","",SUMIFS('分期缴税台账'!$K$2:$K$501,'分期缴税台账'!$A$2:$A$501,A77,'分期缴税台账'!$C$2:$C$501,C77))</f>
        <v/>
      </c>
      <c r="L77" s="14">
        <f>IF(J77="","",MAX(0,J77-K77))</f>
        <v/>
      </c>
      <c r="M77" s="6">
        <f>IF(A77="","",COUNTIFS('激励事件明细'!$C$2:$C$501,A77,'激励事件明细'!$H$2:$H$501,C77,'激励事件明细'!$Z$2:$Z$501,"&gt;0"))</f>
        <v/>
      </c>
      <c r="N77" s="6">
        <f>IF(O77="","",IFERROR(INDEX('激励事件明细'!$A$2:$A$501,MATCH(1,('激励事件明细'!$C$2:$C$501=A77)*('激励事件明细'!$H$2:$H$501=C77)*('激励事件明细'!$AB$2:$AB$501=O77),0)),""))</f>
        <v/>
      </c>
      <c r="O77" s="16">
        <f>IF(A77="","",IFERROR(AGGREGATE(15,6,'激励事件明细'!$AB$2:$AB$501/(('激励事件明细'!$C$2:$C$501=A77)*('激励事件明细'!$H$2:$H$501=C77)*('激励事件明细'!$Z$2:$Z$501&gt;0)),1),""))</f>
        <v/>
      </c>
      <c r="P77" s="6">
        <f>IF(A77="","",IF(K77&gt;J77,"异常：超额缴税",IF(L77=0,"已缴清",IF(AND(O77&lt;TODAY(),L77&gt;0),"逾期未缴","未缴清"))))</f>
        <v/>
      </c>
    </row>
    <row r="78">
      <c r="A78" s="11" t="n"/>
      <c r="B78" s="6">
        <f>IF(A78="","",IFERROR(INDEX('激励事件明细'!$D$2:$D$501,MATCH(A78,'激励事件明细'!$C$2:$C$501,0)),""))</f>
        <v/>
      </c>
      <c r="C78" s="11" t="n"/>
      <c r="D78" s="14">
        <f>IF(OR(A78="",C78=""),"",SUMIFS('激励事件明细'!$S$2:$S$501,'激励事件明细'!$C$2:$C$501,A78,'激励事件明细'!$H$2:$H$501,C78,'激励事件明细'!$F$2:$F$501,"股票期权"))</f>
        <v/>
      </c>
      <c r="E78" s="14">
        <f>IF(OR(A78="",C78=""),"",SUMIFS('激励事件明细'!$S$2:$S$501,'激励事件明细'!$C$2:$C$501,A78,'激励事件明细'!$H$2:$H$501,C78,'激励事件明细'!$F$2:$F$501,"限制性股票"))</f>
        <v/>
      </c>
      <c r="F78" s="14">
        <f>IF(OR(A78="",C78=""),"",SUMIFS('激励事件明细'!$S$2:$S$501,'激励事件明细'!$C$2:$C$501,A78,'激励事件明细'!$H$2:$H$501,C78,'激励事件明细'!$F$2:$F$501,"其他股权激励"))</f>
        <v/>
      </c>
      <c r="G78" s="14">
        <f>IF(A78="","",SUM(D78:F78))</f>
        <v/>
      </c>
      <c r="H78" s="15">
        <f>IF(G78="","",VLOOKUP(G78,'税率及规则'!$A$2:$C$8,2,TRUE))</f>
        <v/>
      </c>
      <c r="I78" s="14">
        <f>IF(G78="","",VLOOKUP(G78,'税率及规则'!$A$2:$C$8,3,TRUE))</f>
        <v/>
      </c>
      <c r="J78" s="14">
        <f>IF(G78="","",MAX(0,G78*H78-I78))</f>
        <v/>
      </c>
      <c r="K78" s="14">
        <f>IF(A78="","",SUMIFS('分期缴税台账'!$K$2:$K$501,'分期缴税台账'!$A$2:$A$501,A78,'分期缴税台账'!$C$2:$C$501,C78))</f>
        <v/>
      </c>
      <c r="L78" s="14">
        <f>IF(J78="","",MAX(0,J78-K78))</f>
        <v/>
      </c>
      <c r="M78" s="6">
        <f>IF(A78="","",COUNTIFS('激励事件明细'!$C$2:$C$501,A78,'激励事件明细'!$H$2:$H$501,C78,'激励事件明细'!$Z$2:$Z$501,"&gt;0"))</f>
        <v/>
      </c>
      <c r="N78" s="6">
        <f>IF(O78="","",IFERROR(INDEX('激励事件明细'!$A$2:$A$501,MATCH(1,('激励事件明细'!$C$2:$C$501=A78)*('激励事件明细'!$H$2:$H$501=C78)*('激励事件明细'!$AB$2:$AB$501=O78),0)),""))</f>
        <v/>
      </c>
      <c r="O78" s="16">
        <f>IF(A78="","",IFERROR(AGGREGATE(15,6,'激励事件明细'!$AB$2:$AB$501/(('激励事件明细'!$C$2:$C$501=A78)*('激励事件明细'!$H$2:$H$501=C78)*('激励事件明细'!$Z$2:$Z$501&gt;0)),1),""))</f>
        <v/>
      </c>
      <c r="P78" s="6">
        <f>IF(A78="","",IF(K78&gt;J78,"异常：超额缴税",IF(L78=0,"已缴清",IF(AND(O78&lt;TODAY(),L78&gt;0),"逾期未缴","未缴清"))))</f>
        <v/>
      </c>
    </row>
    <row r="79">
      <c r="A79" s="11" t="n"/>
      <c r="B79" s="6">
        <f>IF(A79="","",IFERROR(INDEX('激励事件明细'!$D$2:$D$501,MATCH(A79,'激励事件明细'!$C$2:$C$501,0)),""))</f>
        <v/>
      </c>
      <c r="C79" s="11" t="n"/>
      <c r="D79" s="14">
        <f>IF(OR(A79="",C79=""),"",SUMIFS('激励事件明细'!$S$2:$S$501,'激励事件明细'!$C$2:$C$501,A79,'激励事件明细'!$H$2:$H$501,C79,'激励事件明细'!$F$2:$F$501,"股票期权"))</f>
        <v/>
      </c>
      <c r="E79" s="14">
        <f>IF(OR(A79="",C79=""),"",SUMIFS('激励事件明细'!$S$2:$S$501,'激励事件明细'!$C$2:$C$501,A79,'激励事件明细'!$H$2:$H$501,C79,'激励事件明细'!$F$2:$F$501,"限制性股票"))</f>
        <v/>
      </c>
      <c r="F79" s="14">
        <f>IF(OR(A79="",C79=""),"",SUMIFS('激励事件明细'!$S$2:$S$501,'激励事件明细'!$C$2:$C$501,A79,'激励事件明细'!$H$2:$H$501,C79,'激励事件明细'!$F$2:$F$501,"其他股权激励"))</f>
        <v/>
      </c>
      <c r="G79" s="14">
        <f>IF(A79="","",SUM(D79:F79))</f>
        <v/>
      </c>
      <c r="H79" s="15">
        <f>IF(G79="","",VLOOKUP(G79,'税率及规则'!$A$2:$C$8,2,TRUE))</f>
        <v/>
      </c>
      <c r="I79" s="14">
        <f>IF(G79="","",VLOOKUP(G79,'税率及规则'!$A$2:$C$8,3,TRUE))</f>
        <v/>
      </c>
      <c r="J79" s="14">
        <f>IF(G79="","",MAX(0,G79*H79-I79))</f>
        <v/>
      </c>
      <c r="K79" s="14">
        <f>IF(A79="","",SUMIFS('分期缴税台账'!$K$2:$K$501,'分期缴税台账'!$A$2:$A$501,A79,'分期缴税台账'!$C$2:$C$501,C79))</f>
        <v/>
      </c>
      <c r="L79" s="14">
        <f>IF(J79="","",MAX(0,J79-K79))</f>
        <v/>
      </c>
      <c r="M79" s="6">
        <f>IF(A79="","",COUNTIFS('激励事件明细'!$C$2:$C$501,A79,'激励事件明细'!$H$2:$H$501,C79,'激励事件明细'!$Z$2:$Z$501,"&gt;0"))</f>
        <v/>
      </c>
      <c r="N79" s="6">
        <f>IF(O79="","",IFERROR(INDEX('激励事件明细'!$A$2:$A$501,MATCH(1,('激励事件明细'!$C$2:$C$501=A79)*('激励事件明细'!$H$2:$H$501=C79)*('激励事件明细'!$AB$2:$AB$501=O79),0)),""))</f>
        <v/>
      </c>
      <c r="O79" s="16">
        <f>IF(A79="","",IFERROR(AGGREGATE(15,6,'激励事件明细'!$AB$2:$AB$501/(('激励事件明细'!$C$2:$C$501=A79)*('激励事件明细'!$H$2:$H$501=C79)*('激励事件明细'!$Z$2:$Z$501&gt;0)),1),""))</f>
        <v/>
      </c>
      <c r="P79" s="6">
        <f>IF(A79="","",IF(K79&gt;J79,"异常：超额缴税",IF(L79=0,"已缴清",IF(AND(O79&lt;TODAY(),L79&gt;0),"逾期未缴","未缴清"))))</f>
        <v/>
      </c>
    </row>
    <row r="80">
      <c r="A80" s="11" t="n"/>
      <c r="B80" s="6">
        <f>IF(A80="","",IFERROR(INDEX('激励事件明细'!$D$2:$D$501,MATCH(A80,'激励事件明细'!$C$2:$C$501,0)),""))</f>
        <v/>
      </c>
      <c r="C80" s="11" t="n"/>
      <c r="D80" s="14">
        <f>IF(OR(A80="",C80=""),"",SUMIFS('激励事件明细'!$S$2:$S$501,'激励事件明细'!$C$2:$C$501,A80,'激励事件明细'!$H$2:$H$501,C80,'激励事件明细'!$F$2:$F$501,"股票期权"))</f>
        <v/>
      </c>
      <c r="E80" s="14">
        <f>IF(OR(A80="",C80=""),"",SUMIFS('激励事件明细'!$S$2:$S$501,'激励事件明细'!$C$2:$C$501,A80,'激励事件明细'!$H$2:$H$501,C80,'激励事件明细'!$F$2:$F$501,"限制性股票"))</f>
        <v/>
      </c>
      <c r="F80" s="14">
        <f>IF(OR(A80="",C80=""),"",SUMIFS('激励事件明细'!$S$2:$S$501,'激励事件明细'!$C$2:$C$501,A80,'激励事件明细'!$H$2:$H$501,C80,'激励事件明细'!$F$2:$F$501,"其他股权激励"))</f>
        <v/>
      </c>
      <c r="G80" s="14">
        <f>IF(A80="","",SUM(D80:F80))</f>
        <v/>
      </c>
      <c r="H80" s="15">
        <f>IF(G80="","",VLOOKUP(G80,'税率及规则'!$A$2:$C$8,2,TRUE))</f>
        <v/>
      </c>
      <c r="I80" s="14">
        <f>IF(G80="","",VLOOKUP(G80,'税率及规则'!$A$2:$C$8,3,TRUE))</f>
        <v/>
      </c>
      <c r="J80" s="14">
        <f>IF(G80="","",MAX(0,G80*H80-I80))</f>
        <v/>
      </c>
      <c r="K80" s="14">
        <f>IF(A80="","",SUMIFS('分期缴税台账'!$K$2:$K$501,'分期缴税台账'!$A$2:$A$501,A80,'分期缴税台账'!$C$2:$C$501,C80))</f>
        <v/>
      </c>
      <c r="L80" s="14">
        <f>IF(J80="","",MAX(0,J80-K80))</f>
        <v/>
      </c>
      <c r="M80" s="6">
        <f>IF(A80="","",COUNTIFS('激励事件明细'!$C$2:$C$501,A80,'激励事件明细'!$H$2:$H$501,C80,'激励事件明细'!$Z$2:$Z$501,"&gt;0"))</f>
        <v/>
      </c>
      <c r="N80" s="6">
        <f>IF(O80="","",IFERROR(INDEX('激励事件明细'!$A$2:$A$501,MATCH(1,('激励事件明细'!$C$2:$C$501=A80)*('激励事件明细'!$H$2:$H$501=C80)*('激励事件明细'!$AB$2:$AB$501=O80),0)),""))</f>
        <v/>
      </c>
      <c r="O80" s="16">
        <f>IF(A80="","",IFERROR(AGGREGATE(15,6,'激励事件明细'!$AB$2:$AB$501/(('激励事件明细'!$C$2:$C$501=A80)*('激励事件明细'!$H$2:$H$501=C80)*('激励事件明细'!$Z$2:$Z$501&gt;0)),1),""))</f>
        <v/>
      </c>
      <c r="P80" s="6">
        <f>IF(A80="","",IF(K80&gt;J80,"异常：超额缴税",IF(L80=0,"已缴清",IF(AND(O80&lt;TODAY(),L80&gt;0),"逾期未缴","未缴清"))))</f>
        <v/>
      </c>
    </row>
    <row r="81">
      <c r="A81" s="11" t="n"/>
      <c r="B81" s="6">
        <f>IF(A81="","",IFERROR(INDEX('激励事件明细'!$D$2:$D$501,MATCH(A81,'激励事件明细'!$C$2:$C$501,0)),""))</f>
        <v/>
      </c>
      <c r="C81" s="11" t="n"/>
      <c r="D81" s="14">
        <f>IF(OR(A81="",C81=""),"",SUMIFS('激励事件明细'!$S$2:$S$501,'激励事件明细'!$C$2:$C$501,A81,'激励事件明细'!$H$2:$H$501,C81,'激励事件明细'!$F$2:$F$501,"股票期权"))</f>
        <v/>
      </c>
      <c r="E81" s="14">
        <f>IF(OR(A81="",C81=""),"",SUMIFS('激励事件明细'!$S$2:$S$501,'激励事件明细'!$C$2:$C$501,A81,'激励事件明细'!$H$2:$H$501,C81,'激励事件明细'!$F$2:$F$501,"限制性股票"))</f>
        <v/>
      </c>
      <c r="F81" s="14">
        <f>IF(OR(A81="",C81=""),"",SUMIFS('激励事件明细'!$S$2:$S$501,'激励事件明细'!$C$2:$C$501,A81,'激励事件明细'!$H$2:$H$501,C81,'激励事件明细'!$F$2:$F$501,"其他股权激励"))</f>
        <v/>
      </c>
      <c r="G81" s="14">
        <f>IF(A81="","",SUM(D81:F81))</f>
        <v/>
      </c>
      <c r="H81" s="15">
        <f>IF(G81="","",VLOOKUP(G81,'税率及规则'!$A$2:$C$8,2,TRUE))</f>
        <v/>
      </c>
      <c r="I81" s="14">
        <f>IF(G81="","",VLOOKUP(G81,'税率及规则'!$A$2:$C$8,3,TRUE))</f>
        <v/>
      </c>
      <c r="J81" s="14">
        <f>IF(G81="","",MAX(0,G81*H81-I81))</f>
        <v/>
      </c>
      <c r="K81" s="14">
        <f>IF(A81="","",SUMIFS('分期缴税台账'!$K$2:$K$501,'分期缴税台账'!$A$2:$A$501,A81,'分期缴税台账'!$C$2:$C$501,C81))</f>
        <v/>
      </c>
      <c r="L81" s="14">
        <f>IF(J81="","",MAX(0,J81-K81))</f>
        <v/>
      </c>
      <c r="M81" s="6">
        <f>IF(A81="","",COUNTIFS('激励事件明细'!$C$2:$C$501,A81,'激励事件明细'!$H$2:$H$501,C81,'激励事件明细'!$Z$2:$Z$501,"&gt;0"))</f>
        <v/>
      </c>
      <c r="N81" s="6">
        <f>IF(O81="","",IFERROR(INDEX('激励事件明细'!$A$2:$A$501,MATCH(1,('激励事件明细'!$C$2:$C$501=A81)*('激励事件明细'!$H$2:$H$501=C81)*('激励事件明细'!$AB$2:$AB$501=O81),0)),""))</f>
        <v/>
      </c>
      <c r="O81" s="16">
        <f>IF(A81="","",IFERROR(AGGREGATE(15,6,'激励事件明细'!$AB$2:$AB$501/(('激励事件明细'!$C$2:$C$501=A81)*('激励事件明细'!$H$2:$H$501=C81)*('激励事件明细'!$Z$2:$Z$501&gt;0)),1),""))</f>
        <v/>
      </c>
      <c r="P81" s="6">
        <f>IF(A81="","",IF(K81&gt;J81,"异常：超额缴税",IF(L81=0,"已缴清",IF(AND(O81&lt;TODAY(),L81&gt;0),"逾期未缴","未缴清"))))</f>
        <v/>
      </c>
    </row>
    <row r="82">
      <c r="A82" s="11" t="n"/>
      <c r="B82" s="6">
        <f>IF(A82="","",IFERROR(INDEX('激励事件明细'!$D$2:$D$501,MATCH(A82,'激励事件明细'!$C$2:$C$501,0)),""))</f>
        <v/>
      </c>
      <c r="C82" s="11" t="n"/>
      <c r="D82" s="14">
        <f>IF(OR(A82="",C82=""),"",SUMIFS('激励事件明细'!$S$2:$S$501,'激励事件明细'!$C$2:$C$501,A82,'激励事件明细'!$H$2:$H$501,C82,'激励事件明细'!$F$2:$F$501,"股票期权"))</f>
        <v/>
      </c>
      <c r="E82" s="14">
        <f>IF(OR(A82="",C82=""),"",SUMIFS('激励事件明细'!$S$2:$S$501,'激励事件明细'!$C$2:$C$501,A82,'激励事件明细'!$H$2:$H$501,C82,'激励事件明细'!$F$2:$F$501,"限制性股票"))</f>
        <v/>
      </c>
      <c r="F82" s="14">
        <f>IF(OR(A82="",C82=""),"",SUMIFS('激励事件明细'!$S$2:$S$501,'激励事件明细'!$C$2:$C$501,A82,'激励事件明细'!$H$2:$H$501,C82,'激励事件明细'!$F$2:$F$501,"其他股权激励"))</f>
        <v/>
      </c>
      <c r="G82" s="14">
        <f>IF(A82="","",SUM(D82:F82))</f>
        <v/>
      </c>
      <c r="H82" s="15">
        <f>IF(G82="","",VLOOKUP(G82,'税率及规则'!$A$2:$C$8,2,TRUE))</f>
        <v/>
      </c>
      <c r="I82" s="14">
        <f>IF(G82="","",VLOOKUP(G82,'税率及规则'!$A$2:$C$8,3,TRUE))</f>
        <v/>
      </c>
      <c r="J82" s="14">
        <f>IF(G82="","",MAX(0,G82*H82-I82))</f>
        <v/>
      </c>
      <c r="K82" s="14">
        <f>IF(A82="","",SUMIFS('分期缴税台账'!$K$2:$K$501,'分期缴税台账'!$A$2:$A$501,A82,'分期缴税台账'!$C$2:$C$501,C82))</f>
        <v/>
      </c>
      <c r="L82" s="14">
        <f>IF(J82="","",MAX(0,J82-K82))</f>
        <v/>
      </c>
      <c r="M82" s="6">
        <f>IF(A82="","",COUNTIFS('激励事件明细'!$C$2:$C$501,A82,'激励事件明细'!$H$2:$H$501,C82,'激励事件明细'!$Z$2:$Z$501,"&gt;0"))</f>
        <v/>
      </c>
      <c r="N82" s="6">
        <f>IF(O82="","",IFERROR(INDEX('激励事件明细'!$A$2:$A$501,MATCH(1,('激励事件明细'!$C$2:$C$501=A82)*('激励事件明细'!$H$2:$H$501=C82)*('激励事件明细'!$AB$2:$AB$501=O82),0)),""))</f>
        <v/>
      </c>
      <c r="O82" s="16">
        <f>IF(A82="","",IFERROR(AGGREGATE(15,6,'激励事件明细'!$AB$2:$AB$501/(('激励事件明细'!$C$2:$C$501=A82)*('激励事件明细'!$H$2:$H$501=C82)*('激励事件明细'!$Z$2:$Z$501&gt;0)),1),""))</f>
        <v/>
      </c>
      <c r="P82" s="6">
        <f>IF(A82="","",IF(K82&gt;J82,"异常：超额缴税",IF(L82=0,"已缴清",IF(AND(O82&lt;TODAY(),L82&gt;0),"逾期未缴","未缴清"))))</f>
        <v/>
      </c>
    </row>
    <row r="83">
      <c r="A83" s="11" t="n"/>
      <c r="B83" s="6">
        <f>IF(A83="","",IFERROR(INDEX('激励事件明细'!$D$2:$D$501,MATCH(A83,'激励事件明细'!$C$2:$C$501,0)),""))</f>
        <v/>
      </c>
      <c r="C83" s="11" t="n"/>
      <c r="D83" s="14">
        <f>IF(OR(A83="",C83=""),"",SUMIFS('激励事件明细'!$S$2:$S$501,'激励事件明细'!$C$2:$C$501,A83,'激励事件明细'!$H$2:$H$501,C83,'激励事件明细'!$F$2:$F$501,"股票期权"))</f>
        <v/>
      </c>
      <c r="E83" s="14">
        <f>IF(OR(A83="",C83=""),"",SUMIFS('激励事件明细'!$S$2:$S$501,'激励事件明细'!$C$2:$C$501,A83,'激励事件明细'!$H$2:$H$501,C83,'激励事件明细'!$F$2:$F$501,"限制性股票"))</f>
        <v/>
      </c>
      <c r="F83" s="14">
        <f>IF(OR(A83="",C83=""),"",SUMIFS('激励事件明细'!$S$2:$S$501,'激励事件明细'!$C$2:$C$501,A83,'激励事件明细'!$H$2:$H$501,C83,'激励事件明细'!$F$2:$F$501,"其他股权激励"))</f>
        <v/>
      </c>
      <c r="G83" s="14">
        <f>IF(A83="","",SUM(D83:F83))</f>
        <v/>
      </c>
      <c r="H83" s="15">
        <f>IF(G83="","",VLOOKUP(G83,'税率及规则'!$A$2:$C$8,2,TRUE))</f>
        <v/>
      </c>
      <c r="I83" s="14">
        <f>IF(G83="","",VLOOKUP(G83,'税率及规则'!$A$2:$C$8,3,TRUE))</f>
        <v/>
      </c>
      <c r="J83" s="14">
        <f>IF(G83="","",MAX(0,G83*H83-I83))</f>
        <v/>
      </c>
      <c r="K83" s="14">
        <f>IF(A83="","",SUMIFS('分期缴税台账'!$K$2:$K$501,'分期缴税台账'!$A$2:$A$501,A83,'分期缴税台账'!$C$2:$C$501,C83))</f>
        <v/>
      </c>
      <c r="L83" s="14">
        <f>IF(J83="","",MAX(0,J83-K83))</f>
        <v/>
      </c>
      <c r="M83" s="6">
        <f>IF(A83="","",COUNTIFS('激励事件明细'!$C$2:$C$501,A83,'激励事件明细'!$H$2:$H$501,C83,'激励事件明细'!$Z$2:$Z$501,"&gt;0"))</f>
        <v/>
      </c>
      <c r="N83" s="6">
        <f>IF(O83="","",IFERROR(INDEX('激励事件明细'!$A$2:$A$501,MATCH(1,('激励事件明细'!$C$2:$C$501=A83)*('激励事件明细'!$H$2:$H$501=C83)*('激励事件明细'!$AB$2:$AB$501=O83),0)),""))</f>
        <v/>
      </c>
      <c r="O83" s="16">
        <f>IF(A83="","",IFERROR(AGGREGATE(15,6,'激励事件明细'!$AB$2:$AB$501/(('激励事件明细'!$C$2:$C$501=A83)*('激励事件明细'!$H$2:$H$501=C83)*('激励事件明细'!$Z$2:$Z$501&gt;0)),1),""))</f>
        <v/>
      </c>
      <c r="P83" s="6">
        <f>IF(A83="","",IF(K83&gt;J83,"异常：超额缴税",IF(L83=0,"已缴清",IF(AND(O83&lt;TODAY(),L83&gt;0),"逾期未缴","未缴清"))))</f>
        <v/>
      </c>
    </row>
    <row r="84">
      <c r="A84" s="11" t="n"/>
      <c r="B84" s="6">
        <f>IF(A84="","",IFERROR(INDEX('激励事件明细'!$D$2:$D$501,MATCH(A84,'激励事件明细'!$C$2:$C$501,0)),""))</f>
        <v/>
      </c>
      <c r="C84" s="11" t="n"/>
      <c r="D84" s="14">
        <f>IF(OR(A84="",C84=""),"",SUMIFS('激励事件明细'!$S$2:$S$501,'激励事件明细'!$C$2:$C$501,A84,'激励事件明细'!$H$2:$H$501,C84,'激励事件明细'!$F$2:$F$501,"股票期权"))</f>
        <v/>
      </c>
      <c r="E84" s="14">
        <f>IF(OR(A84="",C84=""),"",SUMIFS('激励事件明细'!$S$2:$S$501,'激励事件明细'!$C$2:$C$501,A84,'激励事件明细'!$H$2:$H$501,C84,'激励事件明细'!$F$2:$F$501,"限制性股票"))</f>
        <v/>
      </c>
      <c r="F84" s="14">
        <f>IF(OR(A84="",C84=""),"",SUMIFS('激励事件明细'!$S$2:$S$501,'激励事件明细'!$C$2:$C$501,A84,'激励事件明细'!$H$2:$H$501,C84,'激励事件明细'!$F$2:$F$501,"其他股权激励"))</f>
        <v/>
      </c>
      <c r="G84" s="14">
        <f>IF(A84="","",SUM(D84:F84))</f>
        <v/>
      </c>
      <c r="H84" s="15">
        <f>IF(G84="","",VLOOKUP(G84,'税率及规则'!$A$2:$C$8,2,TRUE))</f>
        <v/>
      </c>
      <c r="I84" s="14">
        <f>IF(G84="","",VLOOKUP(G84,'税率及规则'!$A$2:$C$8,3,TRUE))</f>
        <v/>
      </c>
      <c r="J84" s="14">
        <f>IF(G84="","",MAX(0,G84*H84-I84))</f>
        <v/>
      </c>
      <c r="K84" s="14">
        <f>IF(A84="","",SUMIFS('分期缴税台账'!$K$2:$K$501,'分期缴税台账'!$A$2:$A$501,A84,'分期缴税台账'!$C$2:$C$501,C84))</f>
        <v/>
      </c>
      <c r="L84" s="14">
        <f>IF(J84="","",MAX(0,J84-K84))</f>
        <v/>
      </c>
      <c r="M84" s="6">
        <f>IF(A84="","",COUNTIFS('激励事件明细'!$C$2:$C$501,A84,'激励事件明细'!$H$2:$H$501,C84,'激励事件明细'!$Z$2:$Z$501,"&gt;0"))</f>
        <v/>
      </c>
      <c r="N84" s="6">
        <f>IF(O84="","",IFERROR(INDEX('激励事件明细'!$A$2:$A$501,MATCH(1,('激励事件明细'!$C$2:$C$501=A84)*('激励事件明细'!$H$2:$H$501=C84)*('激励事件明细'!$AB$2:$AB$501=O84),0)),""))</f>
        <v/>
      </c>
      <c r="O84" s="16">
        <f>IF(A84="","",IFERROR(AGGREGATE(15,6,'激励事件明细'!$AB$2:$AB$501/(('激励事件明细'!$C$2:$C$501=A84)*('激励事件明细'!$H$2:$H$501=C84)*('激励事件明细'!$Z$2:$Z$501&gt;0)),1),""))</f>
        <v/>
      </c>
      <c r="P84" s="6">
        <f>IF(A84="","",IF(K84&gt;J84,"异常：超额缴税",IF(L84=0,"已缴清",IF(AND(O84&lt;TODAY(),L84&gt;0),"逾期未缴","未缴清"))))</f>
        <v/>
      </c>
    </row>
    <row r="85">
      <c r="A85" s="11" t="n"/>
      <c r="B85" s="6">
        <f>IF(A85="","",IFERROR(INDEX('激励事件明细'!$D$2:$D$501,MATCH(A85,'激励事件明细'!$C$2:$C$501,0)),""))</f>
        <v/>
      </c>
      <c r="C85" s="11" t="n"/>
      <c r="D85" s="14">
        <f>IF(OR(A85="",C85=""),"",SUMIFS('激励事件明细'!$S$2:$S$501,'激励事件明细'!$C$2:$C$501,A85,'激励事件明细'!$H$2:$H$501,C85,'激励事件明细'!$F$2:$F$501,"股票期权"))</f>
        <v/>
      </c>
      <c r="E85" s="14">
        <f>IF(OR(A85="",C85=""),"",SUMIFS('激励事件明细'!$S$2:$S$501,'激励事件明细'!$C$2:$C$501,A85,'激励事件明细'!$H$2:$H$501,C85,'激励事件明细'!$F$2:$F$501,"限制性股票"))</f>
        <v/>
      </c>
      <c r="F85" s="14">
        <f>IF(OR(A85="",C85=""),"",SUMIFS('激励事件明细'!$S$2:$S$501,'激励事件明细'!$C$2:$C$501,A85,'激励事件明细'!$H$2:$H$501,C85,'激励事件明细'!$F$2:$F$501,"其他股权激励"))</f>
        <v/>
      </c>
      <c r="G85" s="14">
        <f>IF(A85="","",SUM(D85:F85))</f>
        <v/>
      </c>
      <c r="H85" s="15">
        <f>IF(G85="","",VLOOKUP(G85,'税率及规则'!$A$2:$C$8,2,TRUE))</f>
        <v/>
      </c>
      <c r="I85" s="14">
        <f>IF(G85="","",VLOOKUP(G85,'税率及规则'!$A$2:$C$8,3,TRUE))</f>
        <v/>
      </c>
      <c r="J85" s="14">
        <f>IF(G85="","",MAX(0,G85*H85-I85))</f>
        <v/>
      </c>
      <c r="K85" s="14">
        <f>IF(A85="","",SUMIFS('分期缴税台账'!$K$2:$K$501,'分期缴税台账'!$A$2:$A$501,A85,'分期缴税台账'!$C$2:$C$501,C85))</f>
        <v/>
      </c>
      <c r="L85" s="14">
        <f>IF(J85="","",MAX(0,J85-K85))</f>
        <v/>
      </c>
      <c r="M85" s="6">
        <f>IF(A85="","",COUNTIFS('激励事件明细'!$C$2:$C$501,A85,'激励事件明细'!$H$2:$H$501,C85,'激励事件明细'!$Z$2:$Z$501,"&gt;0"))</f>
        <v/>
      </c>
      <c r="N85" s="6">
        <f>IF(O85="","",IFERROR(INDEX('激励事件明细'!$A$2:$A$501,MATCH(1,('激励事件明细'!$C$2:$C$501=A85)*('激励事件明细'!$H$2:$H$501=C85)*('激励事件明细'!$AB$2:$AB$501=O85),0)),""))</f>
        <v/>
      </c>
      <c r="O85" s="16">
        <f>IF(A85="","",IFERROR(AGGREGATE(15,6,'激励事件明细'!$AB$2:$AB$501/(('激励事件明细'!$C$2:$C$501=A85)*('激励事件明细'!$H$2:$H$501=C85)*('激励事件明细'!$Z$2:$Z$501&gt;0)),1),""))</f>
        <v/>
      </c>
      <c r="P85" s="6">
        <f>IF(A85="","",IF(K85&gt;J85,"异常：超额缴税",IF(L85=0,"已缴清",IF(AND(O85&lt;TODAY(),L85&gt;0),"逾期未缴","未缴清"))))</f>
        <v/>
      </c>
    </row>
    <row r="86">
      <c r="A86" s="11" t="n"/>
      <c r="B86" s="6">
        <f>IF(A86="","",IFERROR(INDEX('激励事件明细'!$D$2:$D$501,MATCH(A86,'激励事件明细'!$C$2:$C$501,0)),""))</f>
        <v/>
      </c>
      <c r="C86" s="11" t="n"/>
      <c r="D86" s="14">
        <f>IF(OR(A86="",C86=""),"",SUMIFS('激励事件明细'!$S$2:$S$501,'激励事件明细'!$C$2:$C$501,A86,'激励事件明细'!$H$2:$H$501,C86,'激励事件明细'!$F$2:$F$501,"股票期权"))</f>
        <v/>
      </c>
      <c r="E86" s="14">
        <f>IF(OR(A86="",C86=""),"",SUMIFS('激励事件明细'!$S$2:$S$501,'激励事件明细'!$C$2:$C$501,A86,'激励事件明细'!$H$2:$H$501,C86,'激励事件明细'!$F$2:$F$501,"限制性股票"))</f>
        <v/>
      </c>
      <c r="F86" s="14">
        <f>IF(OR(A86="",C86=""),"",SUMIFS('激励事件明细'!$S$2:$S$501,'激励事件明细'!$C$2:$C$501,A86,'激励事件明细'!$H$2:$H$501,C86,'激励事件明细'!$F$2:$F$501,"其他股权激励"))</f>
        <v/>
      </c>
      <c r="G86" s="14">
        <f>IF(A86="","",SUM(D86:F86))</f>
        <v/>
      </c>
      <c r="H86" s="15">
        <f>IF(G86="","",VLOOKUP(G86,'税率及规则'!$A$2:$C$8,2,TRUE))</f>
        <v/>
      </c>
      <c r="I86" s="14">
        <f>IF(G86="","",VLOOKUP(G86,'税率及规则'!$A$2:$C$8,3,TRUE))</f>
        <v/>
      </c>
      <c r="J86" s="14">
        <f>IF(G86="","",MAX(0,G86*H86-I86))</f>
        <v/>
      </c>
      <c r="K86" s="14">
        <f>IF(A86="","",SUMIFS('分期缴税台账'!$K$2:$K$501,'分期缴税台账'!$A$2:$A$501,A86,'分期缴税台账'!$C$2:$C$501,C86))</f>
        <v/>
      </c>
      <c r="L86" s="14">
        <f>IF(J86="","",MAX(0,J86-K86))</f>
        <v/>
      </c>
      <c r="M86" s="6">
        <f>IF(A86="","",COUNTIFS('激励事件明细'!$C$2:$C$501,A86,'激励事件明细'!$H$2:$H$501,C86,'激励事件明细'!$Z$2:$Z$501,"&gt;0"))</f>
        <v/>
      </c>
      <c r="N86" s="6">
        <f>IF(O86="","",IFERROR(INDEX('激励事件明细'!$A$2:$A$501,MATCH(1,('激励事件明细'!$C$2:$C$501=A86)*('激励事件明细'!$H$2:$H$501=C86)*('激励事件明细'!$AB$2:$AB$501=O86),0)),""))</f>
        <v/>
      </c>
      <c r="O86" s="16">
        <f>IF(A86="","",IFERROR(AGGREGATE(15,6,'激励事件明细'!$AB$2:$AB$501/(('激励事件明细'!$C$2:$C$501=A86)*('激励事件明细'!$H$2:$H$501=C86)*('激励事件明细'!$Z$2:$Z$501&gt;0)),1),""))</f>
        <v/>
      </c>
      <c r="P86" s="6">
        <f>IF(A86="","",IF(K86&gt;J86,"异常：超额缴税",IF(L86=0,"已缴清",IF(AND(O86&lt;TODAY(),L86&gt;0),"逾期未缴","未缴清"))))</f>
        <v/>
      </c>
    </row>
    <row r="87">
      <c r="A87" s="11" t="n"/>
      <c r="B87" s="6">
        <f>IF(A87="","",IFERROR(INDEX('激励事件明细'!$D$2:$D$501,MATCH(A87,'激励事件明细'!$C$2:$C$501,0)),""))</f>
        <v/>
      </c>
      <c r="C87" s="11" t="n"/>
      <c r="D87" s="14">
        <f>IF(OR(A87="",C87=""),"",SUMIFS('激励事件明细'!$S$2:$S$501,'激励事件明细'!$C$2:$C$501,A87,'激励事件明细'!$H$2:$H$501,C87,'激励事件明细'!$F$2:$F$501,"股票期权"))</f>
        <v/>
      </c>
      <c r="E87" s="14">
        <f>IF(OR(A87="",C87=""),"",SUMIFS('激励事件明细'!$S$2:$S$501,'激励事件明细'!$C$2:$C$501,A87,'激励事件明细'!$H$2:$H$501,C87,'激励事件明细'!$F$2:$F$501,"限制性股票"))</f>
        <v/>
      </c>
      <c r="F87" s="14">
        <f>IF(OR(A87="",C87=""),"",SUMIFS('激励事件明细'!$S$2:$S$501,'激励事件明细'!$C$2:$C$501,A87,'激励事件明细'!$H$2:$H$501,C87,'激励事件明细'!$F$2:$F$501,"其他股权激励"))</f>
        <v/>
      </c>
      <c r="G87" s="14">
        <f>IF(A87="","",SUM(D87:F87))</f>
        <v/>
      </c>
      <c r="H87" s="15">
        <f>IF(G87="","",VLOOKUP(G87,'税率及规则'!$A$2:$C$8,2,TRUE))</f>
        <v/>
      </c>
      <c r="I87" s="14">
        <f>IF(G87="","",VLOOKUP(G87,'税率及规则'!$A$2:$C$8,3,TRUE))</f>
        <v/>
      </c>
      <c r="J87" s="14">
        <f>IF(G87="","",MAX(0,G87*H87-I87))</f>
        <v/>
      </c>
      <c r="K87" s="14">
        <f>IF(A87="","",SUMIFS('分期缴税台账'!$K$2:$K$501,'分期缴税台账'!$A$2:$A$501,A87,'分期缴税台账'!$C$2:$C$501,C87))</f>
        <v/>
      </c>
      <c r="L87" s="14">
        <f>IF(J87="","",MAX(0,J87-K87))</f>
        <v/>
      </c>
      <c r="M87" s="6">
        <f>IF(A87="","",COUNTIFS('激励事件明细'!$C$2:$C$501,A87,'激励事件明细'!$H$2:$H$501,C87,'激励事件明细'!$Z$2:$Z$501,"&gt;0"))</f>
        <v/>
      </c>
      <c r="N87" s="6">
        <f>IF(O87="","",IFERROR(INDEX('激励事件明细'!$A$2:$A$501,MATCH(1,('激励事件明细'!$C$2:$C$501=A87)*('激励事件明细'!$H$2:$H$501=C87)*('激励事件明细'!$AB$2:$AB$501=O87),0)),""))</f>
        <v/>
      </c>
      <c r="O87" s="16">
        <f>IF(A87="","",IFERROR(AGGREGATE(15,6,'激励事件明细'!$AB$2:$AB$501/(('激励事件明细'!$C$2:$C$501=A87)*('激励事件明细'!$H$2:$H$501=C87)*('激励事件明细'!$Z$2:$Z$501&gt;0)),1),""))</f>
        <v/>
      </c>
      <c r="P87" s="6">
        <f>IF(A87="","",IF(K87&gt;J87,"异常：超额缴税",IF(L87=0,"已缴清",IF(AND(O87&lt;TODAY(),L87&gt;0),"逾期未缴","未缴清"))))</f>
        <v/>
      </c>
    </row>
    <row r="88">
      <c r="A88" s="11" t="n"/>
      <c r="B88" s="6">
        <f>IF(A88="","",IFERROR(INDEX('激励事件明细'!$D$2:$D$501,MATCH(A88,'激励事件明细'!$C$2:$C$501,0)),""))</f>
        <v/>
      </c>
      <c r="C88" s="11" t="n"/>
      <c r="D88" s="14">
        <f>IF(OR(A88="",C88=""),"",SUMIFS('激励事件明细'!$S$2:$S$501,'激励事件明细'!$C$2:$C$501,A88,'激励事件明细'!$H$2:$H$501,C88,'激励事件明细'!$F$2:$F$501,"股票期权"))</f>
        <v/>
      </c>
      <c r="E88" s="14">
        <f>IF(OR(A88="",C88=""),"",SUMIFS('激励事件明细'!$S$2:$S$501,'激励事件明细'!$C$2:$C$501,A88,'激励事件明细'!$H$2:$H$501,C88,'激励事件明细'!$F$2:$F$501,"限制性股票"))</f>
        <v/>
      </c>
      <c r="F88" s="14">
        <f>IF(OR(A88="",C88=""),"",SUMIFS('激励事件明细'!$S$2:$S$501,'激励事件明细'!$C$2:$C$501,A88,'激励事件明细'!$H$2:$H$501,C88,'激励事件明细'!$F$2:$F$501,"其他股权激励"))</f>
        <v/>
      </c>
      <c r="G88" s="14">
        <f>IF(A88="","",SUM(D88:F88))</f>
        <v/>
      </c>
      <c r="H88" s="15">
        <f>IF(G88="","",VLOOKUP(G88,'税率及规则'!$A$2:$C$8,2,TRUE))</f>
        <v/>
      </c>
      <c r="I88" s="14">
        <f>IF(G88="","",VLOOKUP(G88,'税率及规则'!$A$2:$C$8,3,TRUE))</f>
        <v/>
      </c>
      <c r="J88" s="14">
        <f>IF(G88="","",MAX(0,G88*H88-I88))</f>
        <v/>
      </c>
      <c r="K88" s="14">
        <f>IF(A88="","",SUMIFS('分期缴税台账'!$K$2:$K$501,'分期缴税台账'!$A$2:$A$501,A88,'分期缴税台账'!$C$2:$C$501,C88))</f>
        <v/>
      </c>
      <c r="L88" s="14">
        <f>IF(J88="","",MAX(0,J88-K88))</f>
        <v/>
      </c>
      <c r="M88" s="6">
        <f>IF(A88="","",COUNTIFS('激励事件明细'!$C$2:$C$501,A88,'激励事件明细'!$H$2:$H$501,C88,'激励事件明细'!$Z$2:$Z$501,"&gt;0"))</f>
        <v/>
      </c>
      <c r="N88" s="6">
        <f>IF(O88="","",IFERROR(INDEX('激励事件明细'!$A$2:$A$501,MATCH(1,('激励事件明细'!$C$2:$C$501=A88)*('激励事件明细'!$H$2:$H$501=C88)*('激励事件明细'!$AB$2:$AB$501=O88),0)),""))</f>
        <v/>
      </c>
      <c r="O88" s="16">
        <f>IF(A88="","",IFERROR(AGGREGATE(15,6,'激励事件明细'!$AB$2:$AB$501/(('激励事件明细'!$C$2:$C$501=A88)*('激励事件明细'!$H$2:$H$501=C88)*('激励事件明细'!$Z$2:$Z$501&gt;0)),1),""))</f>
        <v/>
      </c>
      <c r="P88" s="6">
        <f>IF(A88="","",IF(K88&gt;J88,"异常：超额缴税",IF(L88=0,"已缴清",IF(AND(O88&lt;TODAY(),L88&gt;0),"逾期未缴","未缴清"))))</f>
        <v/>
      </c>
    </row>
    <row r="89">
      <c r="A89" s="11" t="n"/>
      <c r="B89" s="6">
        <f>IF(A89="","",IFERROR(INDEX('激励事件明细'!$D$2:$D$501,MATCH(A89,'激励事件明细'!$C$2:$C$501,0)),""))</f>
        <v/>
      </c>
      <c r="C89" s="11" t="n"/>
      <c r="D89" s="14">
        <f>IF(OR(A89="",C89=""),"",SUMIFS('激励事件明细'!$S$2:$S$501,'激励事件明细'!$C$2:$C$501,A89,'激励事件明细'!$H$2:$H$501,C89,'激励事件明细'!$F$2:$F$501,"股票期权"))</f>
        <v/>
      </c>
      <c r="E89" s="14">
        <f>IF(OR(A89="",C89=""),"",SUMIFS('激励事件明细'!$S$2:$S$501,'激励事件明细'!$C$2:$C$501,A89,'激励事件明细'!$H$2:$H$501,C89,'激励事件明细'!$F$2:$F$501,"限制性股票"))</f>
        <v/>
      </c>
      <c r="F89" s="14">
        <f>IF(OR(A89="",C89=""),"",SUMIFS('激励事件明细'!$S$2:$S$501,'激励事件明细'!$C$2:$C$501,A89,'激励事件明细'!$H$2:$H$501,C89,'激励事件明细'!$F$2:$F$501,"其他股权激励"))</f>
        <v/>
      </c>
      <c r="G89" s="14">
        <f>IF(A89="","",SUM(D89:F89))</f>
        <v/>
      </c>
      <c r="H89" s="15">
        <f>IF(G89="","",VLOOKUP(G89,'税率及规则'!$A$2:$C$8,2,TRUE))</f>
        <v/>
      </c>
      <c r="I89" s="14">
        <f>IF(G89="","",VLOOKUP(G89,'税率及规则'!$A$2:$C$8,3,TRUE))</f>
        <v/>
      </c>
      <c r="J89" s="14">
        <f>IF(G89="","",MAX(0,G89*H89-I89))</f>
        <v/>
      </c>
      <c r="K89" s="14">
        <f>IF(A89="","",SUMIFS('分期缴税台账'!$K$2:$K$501,'分期缴税台账'!$A$2:$A$501,A89,'分期缴税台账'!$C$2:$C$501,C89))</f>
        <v/>
      </c>
      <c r="L89" s="14">
        <f>IF(J89="","",MAX(0,J89-K89))</f>
        <v/>
      </c>
      <c r="M89" s="6">
        <f>IF(A89="","",COUNTIFS('激励事件明细'!$C$2:$C$501,A89,'激励事件明细'!$H$2:$H$501,C89,'激励事件明细'!$Z$2:$Z$501,"&gt;0"))</f>
        <v/>
      </c>
      <c r="N89" s="6">
        <f>IF(O89="","",IFERROR(INDEX('激励事件明细'!$A$2:$A$501,MATCH(1,('激励事件明细'!$C$2:$C$501=A89)*('激励事件明细'!$H$2:$H$501=C89)*('激励事件明细'!$AB$2:$AB$501=O89),0)),""))</f>
        <v/>
      </c>
      <c r="O89" s="16">
        <f>IF(A89="","",IFERROR(AGGREGATE(15,6,'激励事件明细'!$AB$2:$AB$501/(('激励事件明细'!$C$2:$C$501=A89)*('激励事件明细'!$H$2:$H$501=C89)*('激励事件明细'!$Z$2:$Z$501&gt;0)),1),""))</f>
        <v/>
      </c>
      <c r="P89" s="6">
        <f>IF(A89="","",IF(K89&gt;J89,"异常：超额缴税",IF(L89=0,"已缴清",IF(AND(O89&lt;TODAY(),L89&gt;0),"逾期未缴","未缴清"))))</f>
        <v/>
      </c>
    </row>
    <row r="90">
      <c r="A90" s="11" t="n"/>
      <c r="B90" s="6">
        <f>IF(A90="","",IFERROR(INDEX('激励事件明细'!$D$2:$D$501,MATCH(A90,'激励事件明细'!$C$2:$C$501,0)),""))</f>
        <v/>
      </c>
      <c r="C90" s="11" t="n"/>
      <c r="D90" s="14">
        <f>IF(OR(A90="",C90=""),"",SUMIFS('激励事件明细'!$S$2:$S$501,'激励事件明细'!$C$2:$C$501,A90,'激励事件明细'!$H$2:$H$501,C90,'激励事件明细'!$F$2:$F$501,"股票期权"))</f>
        <v/>
      </c>
      <c r="E90" s="14">
        <f>IF(OR(A90="",C90=""),"",SUMIFS('激励事件明细'!$S$2:$S$501,'激励事件明细'!$C$2:$C$501,A90,'激励事件明细'!$H$2:$H$501,C90,'激励事件明细'!$F$2:$F$501,"限制性股票"))</f>
        <v/>
      </c>
      <c r="F90" s="14">
        <f>IF(OR(A90="",C90=""),"",SUMIFS('激励事件明细'!$S$2:$S$501,'激励事件明细'!$C$2:$C$501,A90,'激励事件明细'!$H$2:$H$501,C90,'激励事件明细'!$F$2:$F$501,"其他股权激励"))</f>
        <v/>
      </c>
      <c r="G90" s="14">
        <f>IF(A90="","",SUM(D90:F90))</f>
        <v/>
      </c>
      <c r="H90" s="15">
        <f>IF(G90="","",VLOOKUP(G90,'税率及规则'!$A$2:$C$8,2,TRUE))</f>
        <v/>
      </c>
      <c r="I90" s="14">
        <f>IF(G90="","",VLOOKUP(G90,'税率及规则'!$A$2:$C$8,3,TRUE))</f>
        <v/>
      </c>
      <c r="J90" s="14">
        <f>IF(G90="","",MAX(0,G90*H90-I90))</f>
        <v/>
      </c>
      <c r="K90" s="14">
        <f>IF(A90="","",SUMIFS('分期缴税台账'!$K$2:$K$501,'分期缴税台账'!$A$2:$A$501,A90,'分期缴税台账'!$C$2:$C$501,C90))</f>
        <v/>
      </c>
      <c r="L90" s="14">
        <f>IF(J90="","",MAX(0,J90-K90))</f>
        <v/>
      </c>
      <c r="M90" s="6">
        <f>IF(A90="","",COUNTIFS('激励事件明细'!$C$2:$C$501,A90,'激励事件明细'!$H$2:$H$501,C90,'激励事件明细'!$Z$2:$Z$501,"&gt;0"))</f>
        <v/>
      </c>
      <c r="N90" s="6">
        <f>IF(O90="","",IFERROR(INDEX('激励事件明细'!$A$2:$A$501,MATCH(1,('激励事件明细'!$C$2:$C$501=A90)*('激励事件明细'!$H$2:$H$501=C90)*('激励事件明细'!$AB$2:$AB$501=O90),0)),""))</f>
        <v/>
      </c>
      <c r="O90" s="16">
        <f>IF(A90="","",IFERROR(AGGREGATE(15,6,'激励事件明细'!$AB$2:$AB$501/(('激励事件明细'!$C$2:$C$501=A90)*('激励事件明细'!$H$2:$H$501=C90)*('激励事件明细'!$Z$2:$Z$501&gt;0)),1),""))</f>
        <v/>
      </c>
      <c r="P90" s="6">
        <f>IF(A90="","",IF(K90&gt;J90,"异常：超额缴税",IF(L90=0,"已缴清",IF(AND(O90&lt;TODAY(),L90&gt;0),"逾期未缴","未缴清"))))</f>
        <v/>
      </c>
    </row>
    <row r="91">
      <c r="A91" s="11" t="n"/>
      <c r="B91" s="6">
        <f>IF(A91="","",IFERROR(INDEX('激励事件明细'!$D$2:$D$501,MATCH(A91,'激励事件明细'!$C$2:$C$501,0)),""))</f>
        <v/>
      </c>
      <c r="C91" s="11" t="n"/>
      <c r="D91" s="14">
        <f>IF(OR(A91="",C91=""),"",SUMIFS('激励事件明细'!$S$2:$S$501,'激励事件明细'!$C$2:$C$501,A91,'激励事件明细'!$H$2:$H$501,C91,'激励事件明细'!$F$2:$F$501,"股票期权"))</f>
        <v/>
      </c>
      <c r="E91" s="14">
        <f>IF(OR(A91="",C91=""),"",SUMIFS('激励事件明细'!$S$2:$S$501,'激励事件明细'!$C$2:$C$501,A91,'激励事件明细'!$H$2:$H$501,C91,'激励事件明细'!$F$2:$F$501,"限制性股票"))</f>
        <v/>
      </c>
      <c r="F91" s="14">
        <f>IF(OR(A91="",C91=""),"",SUMIFS('激励事件明细'!$S$2:$S$501,'激励事件明细'!$C$2:$C$501,A91,'激励事件明细'!$H$2:$H$501,C91,'激励事件明细'!$F$2:$F$501,"其他股权激励"))</f>
        <v/>
      </c>
      <c r="G91" s="14">
        <f>IF(A91="","",SUM(D91:F91))</f>
        <v/>
      </c>
      <c r="H91" s="15">
        <f>IF(G91="","",VLOOKUP(G91,'税率及规则'!$A$2:$C$8,2,TRUE))</f>
        <v/>
      </c>
      <c r="I91" s="14">
        <f>IF(G91="","",VLOOKUP(G91,'税率及规则'!$A$2:$C$8,3,TRUE))</f>
        <v/>
      </c>
      <c r="J91" s="14">
        <f>IF(G91="","",MAX(0,G91*H91-I91))</f>
        <v/>
      </c>
      <c r="K91" s="14">
        <f>IF(A91="","",SUMIFS('分期缴税台账'!$K$2:$K$501,'分期缴税台账'!$A$2:$A$501,A91,'分期缴税台账'!$C$2:$C$501,C91))</f>
        <v/>
      </c>
      <c r="L91" s="14">
        <f>IF(J91="","",MAX(0,J91-K91))</f>
        <v/>
      </c>
      <c r="M91" s="6">
        <f>IF(A91="","",COUNTIFS('激励事件明细'!$C$2:$C$501,A91,'激励事件明细'!$H$2:$H$501,C91,'激励事件明细'!$Z$2:$Z$501,"&gt;0"))</f>
        <v/>
      </c>
      <c r="N91" s="6">
        <f>IF(O91="","",IFERROR(INDEX('激励事件明细'!$A$2:$A$501,MATCH(1,('激励事件明细'!$C$2:$C$501=A91)*('激励事件明细'!$H$2:$H$501=C91)*('激励事件明细'!$AB$2:$AB$501=O91),0)),""))</f>
        <v/>
      </c>
      <c r="O91" s="16">
        <f>IF(A91="","",IFERROR(AGGREGATE(15,6,'激励事件明细'!$AB$2:$AB$501/(('激励事件明细'!$C$2:$C$501=A91)*('激励事件明细'!$H$2:$H$501=C91)*('激励事件明细'!$Z$2:$Z$501&gt;0)),1),""))</f>
        <v/>
      </c>
      <c r="P91" s="6">
        <f>IF(A91="","",IF(K91&gt;J91,"异常：超额缴税",IF(L91=0,"已缴清",IF(AND(O91&lt;TODAY(),L91&gt;0),"逾期未缴","未缴清"))))</f>
        <v/>
      </c>
    </row>
    <row r="92">
      <c r="A92" s="11" t="n"/>
      <c r="B92" s="6">
        <f>IF(A92="","",IFERROR(INDEX('激励事件明细'!$D$2:$D$501,MATCH(A92,'激励事件明细'!$C$2:$C$501,0)),""))</f>
        <v/>
      </c>
      <c r="C92" s="11" t="n"/>
      <c r="D92" s="14">
        <f>IF(OR(A92="",C92=""),"",SUMIFS('激励事件明细'!$S$2:$S$501,'激励事件明细'!$C$2:$C$501,A92,'激励事件明细'!$H$2:$H$501,C92,'激励事件明细'!$F$2:$F$501,"股票期权"))</f>
        <v/>
      </c>
      <c r="E92" s="14">
        <f>IF(OR(A92="",C92=""),"",SUMIFS('激励事件明细'!$S$2:$S$501,'激励事件明细'!$C$2:$C$501,A92,'激励事件明细'!$H$2:$H$501,C92,'激励事件明细'!$F$2:$F$501,"限制性股票"))</f>
        <v/>
      </c>
      <c r="F92" s="14">
        <f>IF(OR(A92="",C92=""),"",SUMIFS('激励事件明细'!$S$2:$S$501,'激励事件明细'!$C$2:$C$501,A92,'激励事件明细'!$H$2:$H$501,C92,'激励事件明细'!$F$2:$F$501,"其他股权激励"))</f>
        <v/>
      </c>
      <c r="G92" s="14">
        <f>IF(A92="","",SUM(D92:F92))</f>
        <v/>
      </c>
      <c r="H92" s="15">
        <f>IF(G92="","",VLOOKUP(G92,'税率及规则'!$A$2:$C$8,2,TRUE))</f>
        <v/>
      </c>
      <c r="I92" s="14">
        <f>IF(G92="","",VLOOKUP(G92,'税率及规则'!$A$2:$C$8,3,TRUE))</f>
        <v/>
      </c>
      <c r="J92" s="14">
        <f>IF(G92="","",MAX(0,G92*H92-I92))</f>
        <v/>
      </c>
      <c r="K92" s="14">
        <f>IF(A92="","",SUMIFS('分期缴税台账'!$K$2:$K$501,'分期缴税台账'!$A$2:$A$501,A92,'分期缴税台账'!$C$2:$C$501,C92))</f>
        <v/>
      </c>
      <c r="L92" s="14">
        <f>IF(J92="","",MAX(0,J92-K92))</f>
        <v/>
      </c>
      <c r="M92" s="6">
        <f>IF(A92="","",COUNTIFS('激励事件明细'!$C$2:$C$501,A92,'激励事件明细'!$H$2:$H$501,C92,'激励事件明细'!$Z$2:$Z$501,"&gt;0"))</f>
        <v/>
      </c>
      <c r="N92" s="6">
        <f>IF(O92="","",IFERROR(INDEX('激励事件明细'!$A$2:$A$501,MATCH(1,('激励事件明细'!$C$2:$C$501=A92)*('激励事件明细'!$H$2:$H$501=C92)*('激励事件明细'!$AB$2:$AB$501=O92),0)),""))</f>
        <v/>
      </c>
      <c r="O92" s="16">
        <f>IF(A92="","",IFERROR(AGGREGATE(15,6,'激励事件明细'!$AB$2:$AB$501/(('激励事件明细'!$C$2:$C$501=A92)*('激励事件明细'!$H$2:$H$501=C92)*('激励事件明细'!$Z$2:$Z$501&gt;0)),1),""))</f>
        <v/>
      </c>
      <c r="P92" s="6">
        <f>IF(A92="","",IF(K92&gt;J92,"异常：超额缴税",IF(L92=0,"已缴清",IF(AND(O92&lt;TODAY(),L92&gt;0),"逾期未缴","未缴清"))))</f>
        <v/>
      </c>
    </row>
    <row r="93">
      <c r="A93" s="11" t="n"/>
      <c r="B93" s="6">
        <f>IF(A93="","",IFERROR(INDEX('激励事件明细'!$D$2:$D$501,MATCH(A93,'激励事件明细'!$C$2:$C$501,0)),""))</f>
        <v/>
      </c>
      <c r="C93" s="11" t="n"/>
      <c r="D93" s="14">
        <f>IF(OR(A93="",C93=""),"",SUMIFS('激励事件明细'!$S$2:$S$501,'激励事件明细'!$C$2:$C$501,A93,'激励事件明细'!$H$2:$H$501,C93,'激励事件明细'!$F$2:$F$501,"股票期权"))</f>
        <v/>
      </c>
      <c r="E93" s="14">
        <f>IF(OR(A93="",C93=""),"",SUMIFS('激励事件明细'!$S$2:$S$501,'激励事件明细'!$C$2:$C$501,A93,'激励事件明细'!$H$2:$H$501,C93,'激励事件明细'!$F$2:$F$501,"限制性股票"))</f>
        <v/>
      </c>
      <c r="F93" s="14">
        <f>IF(OR(A93="",C93=""),"",SUMIFS('激励事件明细'!$S$2:$S$501,'激励事件明细'!$C$2:$C$501,A93,'激励事件明细'!$H$2:$H$501,C93,'激励事件明细'!$F$2:$F$501,"其他股权激励"))</f>
        <v/>
      </c>
      <c r="G93" s="14">
        <f>IF(A93="","",SUM(D93:F93))</f>
        <v/>
      </c>
      <c r="H93" s="15">
        <f>IF(G93="","",VLOOKUP(G93,'税率及规则'!$A$2:$C$8,2,TRUE))</f>
        <v/>
      </c>
      <c r="I93" s="14">
        <f>IF(G93="","",VLOOKUP(G93,'税率及规则'!$A$2:$C$8,3,TRUE))</f>
        <v/>
      </c>
      <c r="J93" s="14">
        <f>IF(G93="","",MAX(0,G93*H93-I93))</f>
        <v/>
      </c>
      <c r="K93" s="14">
        <f>IF(A93="","",SUMIFS('分期缴税台账'!$K$2:$K$501,'分期缴税台账'!$A$2:$A$501,A93,'分期缴税台账'!$C$2:$C$501,C93))</f>
        <v/>
      </c>
      <c r="L93" s="14">
        <f>IF(J93="","",MAX(0,J93-K93))</f>
        <v/>
      </c>
      <c r="M93" s="6">
        <f>IF(A93="","",COUNTIFS('激励事件明细'!$C$2:$C$501,A93,'激励事件明细'!$H$2:$H$501,C93,'激励事件明细'!$Z$2:$Z$501,"&gt;0"))</f>
        <v/>
      </c>
      <c r="N93" s="6">
        <f>IF(O93="","",IFERROR(INDEX('激励事件明细'!$A$2:$A$501,MATCH(1,('激励事件明细'!$C$2:$C$501=A93)*('激励事件明细'!$H$2:$H$501=C93)*('激励事件明细'!$AB$2:$AB$501=O93),0)),""))</f>
        <v/>
      </c>
      <c r="O93" s="16">
        <f>IF(A93="","",IFERROR(AGGREGATE(15,6,'激励事件明细'!$AB$2:$AB$501/(('激励事件明细'!$C$2:$C$501=A93)*('激励事件明细'!$H$2:$H$501=C93)*('激励事件明细'!$Z$2:$Z$501&gt;0)),1),""))</f>
        <v/>
      </c>
      <c r="P93" s="6">
        <f>IF(A93="","",IF(K93&gt;J93,"异常：超额缴税",IF(L93=0,"已缴清",IF(AND(O93&lt;TODAY(),L93&gt;0),"逾期未缴","未缴清"))))</f>
        <v/>
      </c>
    </row>
    <row r="94">
      <c r="A94" s="11" t="n"/>
      <c r="B94" s="6">
        <f>IF(A94="","",IFERROR(INDEX('激励事件明细'!$D$2:$D$501,MATCH(A94,'激励事件明细'!$C$2:$C$501,0)),""))</f>
        <v/>
      </c>
      <c r="C94" s="11" t="n"/>
      <c r="D94" s="14">
        <f>IF(OR(A94="",C94=""),"",SUMIFS('激励事件明细'!$S$2:$S$501,'激励事件明细'!$C$2:$C$501,A94,'激励事件明细'!$H$2:$H$501,C94,'激励事件明细'!$F$2:$F$501,"股票期权"))</f>
        <v/>
      </c>
      <c r="E94" s="14">
        <f>IF(OR(A94="",C94=""),"",SUMIFS('激励事件明细'!$S$2:$S$501,'激励事件明细'!$C$2:$C$501,A94,'激励事件明细'!$H$2:$H$501,C94,'激励事件明细'!$F$2:$F$501,"限制性股票"))</f>
        <v/>
      </c>
      <c r="F94" s="14">
        <f>IF(OR(A94="",C94=""),"",SUMIFS('激励事件明细'!$S$2:$S$501,'激励事件明细'!$C$2:$C$501,A94,'激励事件明细'!$H$2:$H$501,C94,'激励事件明细'!$F$2:$F$501,"其他股权激励"))</f>
        <v/>
      </c>
      <c r="G94" s="14">
        <f>IF(A94="","",SUM(D94:F94))</f>
        <v/>
      </c>
      <c r="H94" s="15">
        <f>IF(G94="","",VLOOKUP(G94,'税率及规则'!$A$2:$C$8,2,TRUE))</f>
        <v/>
      </c>
      <c r="I94" s="14">
        <f>IF(G94="","",VLOOKUP(G94,'税率及规则'!$A$2:$C$8,3,TRUE))</f>
        <v/>
      </c>
      <c r="J94" s="14">
        <f>IF(G94="","",MAX(0,G94*H94-I94))</f>
        <v/>
      </c>
      <c r="K94" s="14">
        <f>IF(A94="","",SUMIFS('分期缴税台账'!$K$2:$K$501,'分期缴税台账'!$A$2:$A$501,A94,'分期缴税台账'!$C$2:$C$501,C94))</f>
        <v/>
      </c>
      <c r="L94" s="14">
        <f>IF(J94="","",MAX(0,J94-K94))</f>
        <v/>
      </c>
      <c r="M94" s="6">
        <f>IF(A94="","",COUNTIFS('激励事件明细'!$C$2:$C$501,A94,'激励事件明细'!$H$2:$H$501,C94,'激励事件明细'!$Z$2:$Z$501,"&gt;0"))</f>
        <v/>
      </c>
      <c r="N94" s="6">
        <f>IF(O94="","",IFERROR(INDEX('激励事件明细'!$A$2:$A$501,MATCH(1,('激励事件明细'!$C$2:$C$501=A94)*('激励事件明细'!$H$2:$H$501=C94)*('激励事件明细'!$AB$2:$AB$501=O94),0)),""))</f>
        <v/>
      </c>
      <c r="O94" s="16">
        <f>IF(A94="","",IFERROR(AGGREGATE(15,6,'激励事件明细'!$AB$2:$AB$501/(('激励事件明细'!$C$2:$C$501=A94)*('激励事件明细'!$H$2:$H$501=C94)*('激励事件明细'!$Z$2:$Z$501&gt;0)),1),""))</f>
        <v/>
      </c>
      <c r="P94" s="6">
        <f>IF(A94="","",IF(K94&gt;J94,"异常：超额缴税",IF(L94=0,"已缴清",IF(AND(O94&lt;TODAY(),L94&gt;0),"逾期未缴","未缴清"))))</f>
        <v/>
      </c>
    </row>
    <row r="95">
      <c r="A95" s="11" t="n"/>
      <c r="B95" s="6">
        <f>IF(A95="","",IFERROR(INDEX('激励事件明细'!$D$2:$D$501,MATCH(A95,'激励事件明细'!$C$2:$C$501,0)),""))</f>
        <v/>
      </c>
      <c r="C95" s="11" t="n"/>
      <c r="D95" s="14">
        <f>IF(OR(A95="",C95=""),"",SUMIFS('激励事件明细'!$S$2:$S$501,'激励事件明细'!$C$2:$C$501,A95,'激励事件明细'!$H$2:$H$501,C95,'激励事件明细'!$F$2:$F$501,"股票期权"))</f>
        <v/>
      </c>
      <c r="E95" s="14">
        <f>IF(OR(A95="",C95=""),"",SUMIFS('激励事件明细'!$S$2:$S$501,'激励事件明细'!$C$2:$C$501,A95,'激励事件明细'!$H$2:$H$501,C95,'激励事件明细'!$F$2:$F$501,"限制性股票"))</f>
        <v/>
      </c>
      <c r="F95" s="14">
        <f>IF(OR(A95="",C95=""),"",SUMIFS('激励事件明细'!$S$2:$S$501,'激励事件明细'!$C$2:$C$501,A95,'激励事件明细'!$H$2:$H$501,C95,'激励事件明细'!$F$2:$F$501,"其他股权激励"))</f>
        <v/>
      </c>
      <c r="G95" s="14">
        <f>IF(A95="","",SUM(D95:F95))</f>
        <v/>
      </c>
      <c r="H95" s="15">
        <f>IF(G95="","",VLOOKUP(G95,'税率及规则'!$A$2:$C$8,2,TRUE))</f>
        <v/>
      </c>
      <c r="I95" s="14">
        <f>IF(G95="","",VLOOKUP(G95,'税率及规则'!$A$2:$C$8,3,TRUE))</f>
        <v/>
      </c>
      <c r="J95" s="14">
        <f>IF(G95="","",MAX(0,G95*H95-I95))</f>
        <v/>
      </c>
      <c r="K95" s="14">
        <f>IF(A95="","",SUMIFS('分期缴税台账'!$K$2:$K$501,'分期缴税台账'!$A$2:$A$501,A95,'分期缴税台账'!$C$2:$C$501,C95))</f>
        <v/>
      </c>
      <c r="L95" s="14">
        <f>IF(J95="","",MAX(0,J95-K95))</f>
        <v/>
      </c>
      <c r="M95" s="6">
        <f>IF(A95="","",COUNTIFS('激励事件明细'!$C$2:$C$501,A95,'激励事件明细'!$H$2:$H$501,C95,'激励事件明细'!$Z$2:$Z$501,"&gt;0"))</f>
        <v/>
      </c>
      <c r="N95" s="6">
        <f>IF(O95="","",IFERROR(INDEX('激励事件明细'!$A$2:$A$501,MATCH(1,('激励事件明细'!$C$2:$C$501=A95)*('激励事件明细'!$H$2:$H$501=C95)*('激励事件明细'!$AB$2:$AB$501=O95),0)),""))</f>
        <v/>
      </c>
      <c r="O95" s="16">
        <f>IF(A95="","",IFERROR(AGGREGATE(15,6,'激励事件明细'!$AB$2:$AB$501/(('激励事件明细'!$C$2:$C$501=A95)*('激励事件明细'!$H$2:$H$501=C95)*('激励事件明细'!$Z$2:$Z$501&gt;0)),1),""))</f>
        <v/>
      </c>
      <c r="P95" s="6">
        <f>IF(A95="","",IF(K95&gt;J95,"异常：超额缴税",IF(L95=0,"已缴清",IF(AND(O95&lt;TODAY(),L95&gt;0),"逾期未缴","未缴清"))))</f>
        <v/>
      </c>
    </row>
    <row r="96">
      <c r="A96" s="11" t="n"/>
      <c r="B96" s="6">
        <f>IF(A96="","",IFERROR(INDEX('激励事件明细'!$D$2:$D$501,MATCH(A96,'激励事件明细'!$C$2:$C$501,0)),""))</f>
        <v/>
      </c>
      <c r="C96" s="11" t="n"/>
      <c r="D96" s="14">
        <f>IF(OR(A96="",C96=""),"",SUMIFS('激励事件明细'!$S$2:$S$501,'激励事件明细'!$C$2:$C$501,A96,'激励事件明细'!$H$2:$H$501,C96,'激励事件明细'!$F$2:$F$501,"股票期权"))</f>
        <v/>
      </c>
      <c r="E96" s="14">
        <f>IF(OR(A96="",C96=""),"",SUMIFS('激励事件明细'!$S$2:$S$501,'激励事件明细'!$C$2:$C$501,A96,'激励事件明细'!$H$2:$H$501,C96,'激励事件明细'!$F$2:$F$501,"限制性股票"))</f>
        <v/>
      </c>
      <c r="F96" s="14">
        <f>IF(OR(A96="",C96=""),"",SUMIFS('激励事件明细'!$S$2:$S$501,'激励事件明细'!$C$2:$C$501,A96,'激励事件明细'!$H$2:$H$501,C96,'激励事件明细'!$F$2:$F$501,"其他股权激励"))</f>
        <v/>
      </c>
      <c r="G96" s="14">
        <f>IF(A96="","",SUM(D96:F96))</f>
        <v/>
      </c>
      <c r="H96" s="15">
        <f>IF(G96="","",VLOOKUP(G96,'税率及规则'!$A$2:$C$8,2,TRUE))</f>
        <v/>
      </c>
      <c r="I96" s="14">
        <f>IF(G96="","",VLOOKUP(G96,'税率及规则'!$A$2:$C$8,3,TRUE))</f>
        <v/>
      </c>
      <c r="J96" s="14">
        <f>IF(G96="","",MAX(0,G96*H96-I96))</f>
        <v/>
      </c>
      <c r="K96" s="14">
        <f>IF(A96="","",SUMIFS('分期缴税台账'!$K$2:$K$501,'分期缴税台账'!$A$2:$A$501,A96,'分期缴税台账'!$C$2:$C$501,C96))</f>
        <v/>
      </c>
      <c r="L96" s="14">
        <f>IF(J96="","",MAX(0,J96-K96))</f>
        <v/>
      </c>
      <c r="M96" s="6">
        <f>IF(A96="","",COUNTIFS('激励事件明细'!$C$2:$C$501,A96,'激励事件明细'!$H$2:$H$501,C96,'激励事件明细'!$Z$2:$Z$501,"&gt;0"))</f>
        <v/>
      </c>
      <c r="N96" s="6">
        <f>IF(O96="","",IFERROR(INDEX('激励事件明细'!$A$2:$A$501,MATCH(1,('激励事件明细'!$C$2:$C$501=A96)*('激励事件明细'!$H$2:$H$501=C96)*('激励事件明细'!$AB$2:$AB$501=O96),0)),""))</f>
        <v/>
      </c>
      <c r="O96" s="16">
        <f>IF(A96="","",IFERROR(AGGREGATE(15,6,'激励事件明细'!$AB$2:$AB$501/(('激励事件明细'!$C$2:$C$501=A96)*('激励事件明细'!$H$2:$H$501=C96)*('激励事件明细'!$Z$2:$Z$501&gt;0)),1),""))</f>
        <v/>
      </c>
      <c r="P96" s="6">
        <f>IF(A96="","",IF(K96&gt;J96,"异常：超额缴税",IF(L96=0,"已缴清",IF(AND(O96&lt;TODAY(),L96&gt;0),"逾期未缴","未缴清"))))</f>
        <v/>
      </c>
    </row>
    <row r="97">
      <c r="A97" s="11" t="n"/>
      <c r="B97" s="6">
        <f>IF(A97="","",IFERROR(INDEX('激励事件明细'!$D$2:$D$501,MATCH(A97,'激励事件明细'!$C$2:$C$501,0)),""))</f>
        <v/>
      </c>
      <c r="C97" s="11" t="n"/>
      <c r="D97" s="14">
        <f>IF(OR(A97="",C97=""),"",SUMIFS('激励事件明细'!$S$2:$S$501,'激励事件明细'!$C$2:$C$501,A97,'激励事件明细'!$H$2:$H$501,C97,'激励事件明细'!$F$2:$F$501,"股票期权"))</f>
        <v/>
      </c>
      <c r="E97" s="14">
        <f>IF(OR(A97="",C97=""),"",SUMIFS('激励事件明细'!$S$2:$S$501,'激励事件明细'!$C$2:$C$501,A97,'激励事件明细'!$H$2:$H$501,C97,'激励事件明细'!$F$2:$F$501,"限制性股票"))</f>
        <v/>
      </c>
      <c r="F97" s="14">
        <f>IF(OR(A97="",C97=""),"",SUMIFS('激励事件明细'!$S$2:$S$501,'激励事件明细'!$C$2:$C$501,A97,'激励事件明细'!$H$2:$H$501,C97,'激励事件明细'!$F$2:$F$501,"其他股权激励"))</f>
        <v/>
      </c>
      <c r="G97" s="14">
        <f>IF(A97="","",SUM(D97:F97))</f>
        <v/>
      </c>
      <c r="H97" s="15">
        <f>IF(G97="","",VLOOKUP(G97,'税率及规则'!$A$2:$C$8,2,TRUE))</f>
        <v/>
      </c>
      <c r="I97" s="14">
        <f>IF(G97="","",VLOOKUP(G97,'税率及规则'!$A$2:$C$8,3,TRUE))</f>
        <v/>
      </c>
      <c r="J97" s="14">
        <f>IF(G97="","",MAX(0,G97*H97-I97))</f>
        <v/>
      </c>
      <c r="K97" s="14">
        <f>IF(A97="","",SUMIFS('分期缴税台账'!$K$2:$K$501,'分期缴税台账'!$A$2:$A$501,A97,'分期缴税台账'!$C$2:$C$501,C97))</f>
        <v/>
      </c>
      <c r="L97" s="14">
        <f>IF(J97="","",MAX(0,J97-K97))</f>
        <v/>
      </c>
      <c r="M97" s="6">
        <f>IF(A97="","",COUNTIFS('激励事件明细'!$C$2:$C$501,A97,'激励事件明细'!$H$2:$H$501,C97,'激励事件明细'!$Z$2:$Z$501,"&gt;0"))</f>
        <v/>
      </c>
      <c r="N97" s="6">
        <f>IF(O97="","",IFERROR(INDEX('激励事件明细'!$A$2:$A$501,MATCH(1,('激励事件明细'!$C$2:$C$501=A97)*('激励事件明细'!$H$2:$H$501=C97)*('激励事件明细'!$AB$2:$AB$501=O97),0)),""))</f>
        <v/>
      </c>
      <c r="O97" s="16">
        <f>IF(A97="","",IFERROR(AGGREGATE(15,6,'激励事件明细'!$AB$2:$AB$501/(('激励事件明细'!$C$2:$C$501=A97)*('激励事件明细'!$H$2:$H$501=C97)*('激励事件明细'!$Z$2:$Z$501&gt;0)),1),""))</f>
        <v/>
      </c>
      <c r="P97" s="6">
        <f>IF(A97="","",IF(K97&gt;J97,"异常：超额缴税",IF(L97=0,"已缴清",IF(AND(O97&lt;TODAY(),L97&gt;0),"逾期未缴","未缴清"))))</f>
        <v/>
      </c>
    </row>
    <row r="98">
      <c r="A98" s="11" t="n"/>
      <c r="B98" s="6">
        <f>IF(A98="","",IFERROR(INDEX('激励事件明细'!$D$2:$D$501,MATCH(A98,'激励事件明细'!$C$2:$C$501,0)),""))</f>
        <v/>
      </c>
      <c r="C98" s="11" t="n"/>
      <c r="D98" s="14">
        <f>IF(OR(A98="",C98=""),"",SUMIFS('激励事件明细'!$S$2:$S$501,'激励事件明细'!$C$2:$C$501,A98,'激励事件明细'!$H$2:$H$501,C98,'激励事件明细'!$F$2:$F$501,"股票期权"))</f>
        <v/>
      </c>
      <c r="E98" s="14">
        <f>IF(OR(A98="",C98=""),"",SUMIFS('激励事件明细'!$S$2:$S$501,'激励事件明细'!$C$2:$C$501,A98,'激励事件明细'!$H$2:$H$501,C98,'激励事件明细'!$F$2:$F$501,"限制性股票"))</f>
        <v/>
      </c>
      <c r="F98" s="14">
        <f>IF(OR(A98="",C98=""),"",SUMIFS('激励事件明细'!$S$2:$S$501,'激励事件明细'!$C$2:$C$501,A98,'激励事件明细'!$H$2:$H$501,C98,'激励事件明细'!$F$2:$F$501,"其他股权激励"))</f>
        <v/>
      </c>
      <c r="G98" s="14">
        <f>IF(A98="","",SUM(D98:F98))</f>
        <v/>
      </c>
      <c r="H98" s="15">
        <f>IF(G98="","",VLOOKUP(G98,'税率及规则'!$A$2:$C$8,2,TRUE))</f>
        <v/>
      </c>
      <c r="I98" s="14">
        <f>IF(G98="","",VLOOKUP(G98,'税率及规则'!$A$2:$C$8,3,TRUE))</f>
        <v/>
      </c>
      <c r="J98" s="14">
        <f>IF(G98="","",MAX(0,G98*H98-I98))</f>
        <v/>
      </c>
      <c r="K98" s="14">
        <f>IF(A98="","",SUMIFS('分期缴税台账'!$K$2:$K$501,'分期缴税台账'!$A$2:$A$501,A98,'分期缴税台账'!$C$2:$C$501,C98))</f>
        <v/>
      </c>
      <c r="L98" s="14">
        <f>IF(J98="","",MAX(0,J98-K98))</f>
        <v/>
      </c>
      <c r="M98" s="6">
        <f>IF(A98="","",COUNTIFS('激励事件明细'!$C$2:$C$501,A98,'激励事件明细'!$H$2:$H$501,C98,'激励事件明细'!$Z$2:$Z$501,"&gt;0"))</f>
        <v/>
      </c>
      <c r="N98" s="6">
        <f>IF(O98="","",IFERROR(INDEX('激励事件明细'!$A$2:$A$501,MATCH(1,('激励事件明细'!$C$2:$C$501=A98)*('激励事件明细'!$H$2:$H$501=C98)*('激励事件明细'!$AB$2:$AB$501=O98),0)),""))</f>
        <v/>
      </c>
      <c r="O98" s="16">
        <f>IF(A98="","",IFERROR(AGGREGATE(15,6,'激励事件明细'!$AB$2:$AB$501/(('激励事件明细'!$C$2:$C$501=A98)*('激励事件明细'!$H$2:$H$501=C98)*('激励事件明细'!$Z$2:$Z$501&gt;0)),1),""))</f>
        <v/>
      </c>
      <c r="P98" s="6">
        <f>IF(A98="","",IF(K98&gt;J98,"异常：超额缴税",IF(L98=0,"已缴清",IF(AND(O98&lt;TODAY(),L98&gt;0),"逾期未缴","未缴清"))))</f>
        <v/>
      </c>
    </row>
    <row r="99">
      <c r="A99" s="11" t="n"/>
      <c r="B99" s="6">
        <f>IF(A99="","",IFERROR(INDEX('激励事件明细'!$D$2:$D$501,MATCH(A99,'激励事件明细'!$C$2:$C$501,0)),""))</f>
        <v/>
      </c>
      <c r="C99" s="11" t="n"/>
      <c r="D99" s="14">
        <f>IF(OR(A99="",C99=""),"",SUMIFS('激励事件明细'!$S$2:$S$501,'激励事件明细'!$C$2:$C$501,A99,'激励事件明细'!$H$2:$H$501,C99,'激励事件明细'!$F$2:$F$501,"股票期权"))</f>
        <v/>
      </c>
      <c r="E99" s="14">
        <f>IF(OR(A99="",C99=""),"",SUMIFS('激励事件明细'!$S$2:$S$501,'激励事件明细'!$C$2:$C$501,A99,'激励事件明细'!$H$2:$H$501,C99,'激励事件明细'!$F$2:$F$501,"限制性股票"))</f>
        <v/>
      </c>
      <c r="F99" s="14">
        <f>IF(OR(A99="",C99=""),"",SUMIFS('激励事件明细'!$S$2:$S$501,'激励事件明细'!$C$2:$C$501,A99,'激励事件明细'!$H$2:$H$501,C99,'激励事件明细'!$F$2:$F$501,"其他股权激励"))</f>
        <v/>
      </c>
      <c r="G99" s="14">
        <f>IF(A99="","",SUM(D99:F99))</f>
        <v/>
      </c>
      <c r="H99" s="15">
        <f>IF(G99="","",VLOOKUP(G99,'税率及规则'!$A$2:$C$8,2,TRUE))</f>
        <v/>
      </c>
      <c r="I99" s="14">
        <f>IF(G99="","",VLOOKUP(G99,'税率及规则'!$A$2:$C$8,3,TRUE))</f>
        <v/>
      </c>
      <c r="J99" s="14">
        <f>IF(G99="","",MAX(0,G99*H99-I99))</f>
        <v/>
      </c>
      <c r="K99" s="14">
        <f>IF(A99="","",SUMIFS('分期缴税台账'!$K$2:$K$501,'分期缴税台账'!$A$2:$A$501,A99,'分期缴税台账'!$C$2:$C$501,C99))</f>
        <v/>
      </c>
      <c r="L99" s="14">
        <f>IF(J99="","",MAX(0,J99-K99))</f>
        <v/>
      </c>
      <c r="M99" s="6">
        <f>IF(A99="","",COUNTIFS('激励事件明细'!$C$2:$C$501,A99,'激励事件明细'!$H$2:$H$501,C99,'激励事件明细'!$Z$2:$Z$501,"&gt;0"))</f>
        <v/>
      </c>
      <c r="N99" s="6">
        <f>IF(O99="","",IFERROR(INDEX('激励事件明细'!$A$2:$A$501,MATCH(1,('激励事件明细'!$C$2:$C$501=A99)*('激励事件明细'!$H$2:$H$501=C99)*('激励事件明细'!$AB$2:$AB$501=O99),0)),""))</f>
        <v/>
      </c>
      <c r="O99" s="16">
        <f>IF(A99="","",IFERROR(AGGREGATE(15,6,'激励事件明细'!$AB$2:$AB$501/(('激励事件明细'!$C$2:$C$501=A99)*('激励事件明细'!$H$2:$H$501=C99)*('激励事件明细'!$Z$2:$Z$501&gt;0)),1),""))</f>
        <v/>
      </c>
      <c r="P99" s="6">
        <f>IF(A99="","",IF(K99&gt;J99,"异常：超额缴税",IF(L99=0,"已缴清",IF(AND(O99&lt;TODAY(),L99&gt;0),"逾期未缴","未缴清"))))</f>
        <v/>
      </c>
    </row>
    <row r="100">
      <c r="A100" s="11" t="n"/>
      <c r="B100" s="6">
        <f>IF(A100="","",IFERROR(INDEX('激励事件明细'!$D$2:$D$501,MATCH(A100,'激励事件明细'!$C$2:$C$501,0)),""))</f>
        <v/>
      </c>
      <c r="C100" s="11" t="n"/>
      <c r="D100" s="14">
        <f>IF(OR(A100="",C100=""),"",SUMIFS('激励事件明细'!$S$2:$S$501,'激励事件明细'!$C$2:$C$501,A100,'激励事件明细'!$H$2:$H$501,C100,'激励事件明细'!$F$2:$F$501,"股票期权"))</f>
        <v/>
      </c>
      <c r="E100" s="14">
        <f>IF(OR(A100="",C100=""),"",SUMIFS('激励事件明细'!$S$2:$S$501,'激励事件明细'!$C$2:$C$501,A100,'激励事件明细'!$H$2:$H$501,C100,'激励事件明细'!$F$2:$F$501,"限制性股票"))</f>
        <v/>
      </c>
      <c r="F100" s="14">
        <f>IF(OR(A100="",C100=""),"",SUMIFS('激励事件明细'!$S$2:$S$501,'激励事件明细'!$C$2:$C$501,A100,'激励事件明细'!$H$2:$H$501,C100,'激励事件明细'!$F$2:$F$501,"其他股权激励"))</f>
        <v/>
      </c>
      <c r="G100" s="14">
        <f>IF(A100="","",SUM(D100:F100))</f>
        <v/>
      </c>
      <c r="H100" s="15">
        <f>IF(G100="","",VLOOKUP(G100,'税率及规则'!$A$2:$C$8,2,TRUE))</f>
        <v/>
      </c>
      <c r="I100" s="14">
        <f>IF(G100="","",VLOOKUP(G100,'税率及规则'!$A$2:$C$8,3,TRUE))</f>
        <v/>
      </c>
      <c r="J100" s="14">
        <f>IF(G100="","",MAX(0,G100*H100-I100))</f>
        <v/>
      </c>
      <c r="K100" s="14">
        <f>IF(A100="","",SUMIFS('分期缴税台账'!$K$2:$K$501,'分期缴税台账'!$A$2:$A$501,A100,'分期缴税台账'!$C$2:$C$501,C100))</f>
        <v/>
      </c>
      <c r="L100" s="14">
        <f>IF(J100="","",MAX(0,J100-K100))</f>
        <v/>
      </c>
      <c r="M100" s="6">
        <f>IF(A100="","",COUNTIFS('激励事件明细'!$C$2:$C$501,A100,'激励事件明细'!$H$2:$H$501,C100,'激励事件明细'!$Z$2:$Z$501,"&gt;0"))</f>
        <v/>
      </c>
      <c r="N100" s="6">
        <f>IF(O100="","",IFERROR(INDEX('激励事件明细'!$A$2:$A$501,MATCH(1,('激励事件明细'!$C$2:$C$501=A100)*('激励事件明细'!$H$2:$H$501=C100)*('激励事件明细'!$AB$2:$AB$501=O100),0)),""))</f>
        <v/>
      </c>
      <c r="O100" s="16">
        <f>IF(A100="","",IFERROR(AGGREGATE(15,6,'激励事件明细'!$AB$2:$AB$501/(('激励事件明细'!$C$2:$C$501=A100)*('激励事件明细'!$H$2:$H$501=C100)*('激励事件明细'!$Z$2:$Z$501&gt;0)),1),""))</f>
        <v/>
      </c>
      <c r="P100" s="6">
        <f>IF(A100="","",IF(K100&gt;J100,"异常：超额缴税",IF(L100=0,"已缴清",IF(AND(O100&lt;TODAY(),L100&gt;0),"逾期未缴","未缴清"))))</f>
        <v/>
      </c>
    </row>
    <row r="101">
      <c r="A101" s="11" t="n"/>
      <c r="B101" s="6">
        <f>IF(A101="","",IFERROR(INDEX('激励事件明细'!$D$2:$D$501,MATCH(A101,'激励事件明细'!$C$2:$C$501,0)),""))</f>
        <v/>
      </c>
      <c r="C101" s="11" t="n"/>
      <c r="D101" s="14">
        <f>IF(OR(A101="",C101=""),"",SUMIFS('激励事件明细'!$S$2:$S$501,'激励事件明细'!$C$2:$C$501,A101,'激励事件明细'!$H$2:$H$501,C101,'激励事件明细'!$F$2:$F$501,"股票期权"))</f>
        <v/>
      </c>
      <c r="E101" s="14">
        <f>IF(OR(A101="",C101=""),"",SUMIFS('激励事件明细'!$S$2:$S$501,'激励事件明细'!$C$2:$C$501,A101,'激励事件明细'!$H$2:$H$501,C101,'激励事件明细'!$F$2:$F$501,"限制性股票"))</f>
        <v/>
      </c>
      <c r="F101" s="14">
        <f>IF(OR(A101="",C101=""),"",SUMIFS('激励事件明细'!$S$2:$S$501,'激励事件明细'!$C$2:$C$501,A101,'激励事件明细'!$H$2:$H$501,C101,'激励事件明细'!$F$2:$F$501,"其他股权激励"))</f>
        <v/>
      </c>
      <c r="G101" s="14">
        <f>IF(A101="","",SUM(D101:F101))</f>
        <v/>
      </c>
      <c r="H101" s="15">
        <f>IF(G101="","",VLOOKUP(G101,'税率及规则'!$A$2:$C$8,2,TRUE))</f>
        <v/>
      </c>
      <c r="I101" s="14">
        <f>IF(G101="","",VLOOKUP(G101,'税率及规则'!$A$2:$C$8,3,TRUE))</f>
        <v/>
      </c>
      <c r="J101" s="14">
        <f>IF(G101="","",MAX(0,G101*H101-I101))</f>
        <v/>
      </c>
      <c r="K101" s="14">
        <f>IF(A101="","",SUMIFS('分期缴税台账'!$K$2:$K$501,'分期缴税台账'!$A$2:$A$501,A101,'分期缴税台账'!$C$2:$C$501,C101))</f>
        <v/>
      </c>
      <c r="L101" s="14">
        <f>IF(J101="","",MAX(0,J101-K101))</f>
        <v/>
      </c>
      <c r="M101" s="6">
        <f>IF(A101="","",COUNTIFS('激励事件明细'!$C$2:$C$501,A101,'激励事件明细'!$H$2:$H$501,C101,'激励事件明细'!$Z$2:$Z$501,"&gt;0"))</f>
        <v/>
      </c>
      <c r="N101" s="6">
        <f>IF(O101="","",IFERROR(INDEX('激励事件明细'!$A$2:$A$501,MATCH(1,('激励事件明细'!$C$2:$C$501=A101)*('激励事件明细'!$H$2:$H$501=C101)*('激励事件明细'!$AB$2:$AB$501=O101),0)),""))</f>
        <v/>
      </c>
      <c r="O101" s="16">
        <f>IF(A101="","",IFERROR(AGGREGATE(15,6,'激励事件明细'!$AB$2:$AB$501/(('激励事件明细'!$C$2:$C$501=A101)*('激励事件明细'!$H$2:$H$501=C101)*('激励事件明细'!$Z$2:$Z$501&gt;0)),1),""))</f>
        <v/>
      </c>
      <c r="P101" s="6">
        <f>IF(A101="","",IF(K101&gt;J101,"异常：超额缴税",IF(L101=0,"已缴清",IF(AND(O101&lt;TODAY(),L101&gt;0),"逾期未缴","未缴清"))))</f>
        <v/>
      </c>
    </row>
    <row r="102">
      <c r="A102" s="11" t="n"/>
      <c r="B102" s="6">
        <f>IF(A102="","",IFERROR(INDEX('激励事件明细'!$D$2:$D$501,MATCH(A102,'激励事件明细'!$C$2:$C$501,0)),""))</f>
        <v/>
      </c>
      <c r="C102" s="11" t="n"/>
      <c r="D102" s="14">
        <f>IF(OR(A102="",C102=""),"",SUMIFS('激励事件明细'!$S$2:$S$501,'激励事件明细'!$C$2:$C$501,A102,'激励事件明细'!$H$2:$H$501,C102,'激励事件明细'!$F$2:$F$501,"股票期权"))</f>
        <v/>
      </c>
      <c r="E102" s="14">
        <f>IF(OR(A102="",C102=""),"",SUMIFS('激励事件明细'!$S$2:$S$501,'激励事件明细'!$C$2:$C$501,A102,'激励事件明细'!$H$2:$H$501,C102,'激励事件明细'!$F$2:$F$501,"限制性股票"))</f>
        <v/>
      </c>
      <c r="F102" s="14">
        <f>IF(OR(A102="",C102=""),"",SUMIFS('激励事件明细'!$S$2:$S$501,'激励事件明细'!$C$2:$C$501,A102,'激励事件明细'!$H$2:$H$501,C102,'激励事件明细'!$F$2:$F$501,"其他股权激励"))</f>
        <v/>
      </c>
      <c r="G102" s="14">
        <f>IF(A102="","",SUM(D102:F102))</f>
        <v/>
      </c>
      <c r="H102" s="15">
        <f>IF(G102="","",VLOOKUP(G102,'税率及规则'!$A$2:$C$8,2,TRUE))</f>
        <v/>
      </c>
      <c r="I102" s="14">
        <f>IF(G102="","",VLOOKUP(G102,'税率及规则'!$A$2:$C$8,3,TRUE))</f>
        <v/>
      </c>
      <c r="J102" s="14">
        <f>IF(G102="","",MAX(0,G102*H102-I102))</f>
        <v/>
      </c>
      <c r="K102" s="14">
        <f>IF(A102="","",SUMIFS('分期缴税台账'!$K$2:$K$501,'分期缴税台账'!$A$2:$A$501,A102,'分期缴税台账'!$C$2:$C$501,C102))</f>
        <v/>
      </c>
      <c r="L102" s="14">
        <f>IF(J102="","",MAX(0,J102-K102))</f>
        <v/>
      </c>
      <c r="M102" s="6">
        <f>IF(A102="","",COUNTIFS('激励事件明细'!$C$2:$C$501,A102,'激励事件明细'!$H$2:$H$501,C102,'激励事件明细'!$Z$2:$Z$501,"&gt;0"))</f>
        <v/>
      </c>
      <c r="N102" s="6">
        <f>IF(O102="","",IFERROR(INDEX('激励事件明细'!$A$2:$A$501,MATCH(1,('激励事件明细'!$C$2:$C$501=A102)*('激励事件明细'!$H$2:$H$501=C102)*('激励事件明细'!$AB$2:$AB$501=O102),0)),""))</f>
        <v/>
      </c>
      <c r="O102" s="16">
        <f>IF(A102="","",IFERROR(AGGREGATE(15,6,'激励事件明细'!$AB$2:$AB$501/(('激励事件明细'!$C$2:$C$501=A102)*('激励事件明细'!$H$2:$H$501=C102)*('激励事件明细'!$Z$2:$Z$501&gt;0)),1),""))</f>
        <v/>
      </c>
      <c r="P102" s="6">
        <f>IF(A102="","",IF(K102&gt;J102,"异常：超额缴税",IF(L102=0,"已缴清",IF(AND(O102&lt;TODAY(),L102&gt;0),"逾期未缴","未缴清"))))</f>
        <v/>
      </c>
    </row>
    <row r="103">
      <c r="A103" s="11" t="n"/>
      <c r="B103" s="6">
        <f>IF(A103="","",IFERROR(INDEX('激励事件明细'!$D$2:$D$501,MATCH(A103,'激励事件明细'!$C$2:$C$501,0)),""))</f>
        <v/>
      </c>
      <c r="C103" s="11" t="n"/>
      <c r="D103" s="14">
        <f>IF(OR(A103="",C103=""),"",SUMIFS('激励事件明细'!$S$2:$S$501,'激励事件明细'!$C$2:$C$501,A103,'激励事件明细'!$H$2:$H$501,C103,'激励事件明细'!$F$2:$F$501,"股票期权"))</f>
        <v/>
      </c>
      <c r="E103" s="14">
        <f>IF(OR(A103="",C103=""),"",SUMIFS('激励事件明细'!$S$2:$S$501,'激励事件明细'!$C$2:$C$501,A103,'激励事件明细'!$H$2:$H$501,C103,'激励事件明细'!$F$2:$F$501,"限制性股票"))</f>
        <v/>
      </c>
      <c r="F103" s="14">
        <f>IF(OR(A103="",C103=""),"",SUMIFS('激励事件明细'!$S$2:$S$501,'激励事件明细'!$C$2:$C$501,A103,'激励事件明细'!$H$2:$H$501,C103,'激励事件明细'!$F$2:$F$501,"其他股权激励"))</f>
        <v/>
      </c>
      <c r="G103" s="14">
        <f>IF(A103="","",SUM(D103:F103))</f>
        <v/>
      </c>
      <c r="H103" s="15">
        <f>IF(G103="","",VLOOKUP(G103,'税率及规则'!$A$2:$C$8,2,TRUE))</f>
        <v/>
      </c>
      <c r="I103" s="14">
        <f>IF(G103="","",VLOOKUP(G103,'税率及规则'!$A$2:$C$8,3,TRUE))</f>
        <v/>
      </c>
      <c r="J103" s="14">
        <f>IF(G103="","",MAX(0,G103*H103-I103))</f>
        <v/>
      </c>
      <c r="K103" s="14">
        <f>IF(A103="","",SUMIFS('分期缴税台账'!$K$2:$K$501,'分期缴税台账'!$A$2:$A$501,A103,'分期缴税台账'!$C$2:$C$501,C103))</f>
        <v/>
      </c>
      <c r="L103" s="14">
        <f>IF(J103="","",MAX(0,J103-K103))</f>
        <v/>
      </c>
      <c r="M103" s="6">
        <f>IF(A103="","",COUNTIFS('激励事件明细'!$C$2:$C$501,A103,'激励事件明细'!$H$2:$H$501,C103,'激励事件明细'!$Z$2:$Z$501,"&gt;0"))</f>
        <v/>
      </c>
      <c r="N103" s="6">
        <f>IF(O103="","",IFERROR(INDEX('激励事件明细'!$A$2:$A$501,MATCH(1,('激励事件明细'!$C$2:$C$501=A103)*('激励事件明细'!$H$2:$H$501=C103)*('激励事件明细'!$AB$2:$AB$501=O103),0)),""))</f>
        <v/>
      </c>
      <c r="O103" s="16">
        <f>IF(A103="","",IFERROR(AGGREGATE(15,6,'激励事件明细'!$AB$2:$AB$501/(('激励事件明细'!$C$2:$C$501=A103)*('激励事件明细'!$H$2:$H$501=C103)*('激励事件明细'!$Z$2:$Z$501&gt;0)),1),""))</f>
        <v/>
      </c>
      <c r="P103" s="6">
        <f>IF(A103="","",IF(K103&gt;J103,"异常：超额缴税",IF(L103=0,"已缴清",IF(AND(O103&lt;TODAY(),L103&gt;0),"逾期未缴","未缴清"))))</f>
        <v/>
      </c>
    </row>
    <row r="104">
      <c r="A104" s="11" t="n"/>
      <c r="B104" s="6">
        <f>IF(A104="","",IFERROR(INDEX('激励事件明细'!$D$2:$D$501,MATCH(A104,'激励事件明细'!$C$2:$C$501,0)),""))</f>
        <v/>
      </c>
      <c r="C104" s="11" t="n"/>
      <c r="D104" s="14">
        <f>IF(OR(A104="",C104=""),"",SUMIFS('激励事件明细'!$S$2:$S$501,'激励事件明细'!$C$2:$C$501,A104,'激励事件明细'!$H$2:$H$501,C104,'激励事件明细'!$F$2:$F$501,"股票期权"))</f>
        <v/>
      </c>
      <c r="E104" s="14">
        <f>IF(OR(A104="",C104=""),"",SUMIFS('激励事件明细'!$S$2:$S$501,'激励事件明细'!$C$2:$C$501,A104,'激励事件明细'!$H$2:$H$501,C104,'激励事件明细'!$F$2:$F$501,"限制性股票"))</f>
        <v/>
      </c>
      <c r="F104" s="14">
        <f>IF(OR(A104="",C104=""),"",SUMIFS('激励事件明细'!$S$2:$S$501,'激励事件明细'!$C$2:$C$501,A104,'激励事件明细'!$H$2:$H$501,C104,'激励事件明细'!$F$2:$F$501,"其他股权激励"))</f>
        <v/>
      </c>
      <c r="G104" s="14">
        <f>IF(A104="","",SUM(D104:F104))</f>
        <v/>
      </c>
      <c r="H104" s="15">
        <f>IF(G104="","",VLOOKUP(G104,'税率及规则'!$A$2:$C$8,2,TRUE))</f>
        <v/>
      </c>
      <c r="I104" s="14">
        <f>IF(G104="","",VLOOKUP(G104,'税率及规则'!$A$2:$C$8,3,TRUE))</f>
        <v/>
      </c>
      <c r="J104" s="14">
        <f>IF(G104="","",MAX(0,G104*H104-I104))</f>
        <v/>
      </c>
      <c r="K104" s="14">
        <f>IF(A104="","",SUMIFS('分期缴税台账'!$K$2:$K$501,'分期缴税台账'!$A$2:$A$501,A104,'分期缴税台账'!$C$2:$C$501,C104))</f>
        <v/>
      </c>
      <c r="L104" s="14">
        <f>IF(J104="","",MAX(0,J104-K104))</f>
        <v/>
      </c>
      <c r="M104" s="6">
        <f>IF(A104="","",COUNTIFS('激励事件明细'!$C$2:$C$501,A104,'激励事件明细'!$H$2:$H$501,C104,'激励事件明细'!$Z$2:$Z$501,"&gt;0"))</f>
        <v/>
      </c>
      <c r="N104" s="6">
        <f>IF(O104="","",IFERROR(INDEX('激励事件明细'!$A$2:$A$501,MATCH(1,('激励事件明细'!$C$2:$C$501=A104)*('激励事件明细'!$H$2:$H$501=C104)*('激励事件明细'!$AB$2:$AB$501=O104),0)),""))</f>
        <v/>
      </c>
      <c r="O104" s="16">
        <f>IF(A104="","",IFERROR(AGGREGATE(15,6,'激励事件明细'!$AB$2:$AB$501/(('激励事件明细'!$C$2:$C$501=A104)*('激励事件明细'!$H$2:$H$501=C104)*('激励事件明细'!$Z$2:$Z$501&gt;0)),1),""))</f>
        <v/>
      </c>
      <c r="P104" s="6">
        <f>IF(A104="","",IF(K104&gt;J104,"异常：超额缴税",IF(L104=0,"已缴清",IF(AND(O104&lt;TODAY(),L104&gt;0),"逾期未缴","未缴清"))))</f>
        <v/>
      </c>
    </row>
    <row r="105">
      <c r="A105" s="11" t="n"/>
      <c r="B105" s="6">
        <f>IF(A105="","",IFERROR(INDEX('激励事件明细'!$D$2:$D$501,MATCH(A105,'激励事件明细'!$C$2:$C$501,0)),""))</f>
        <v/>
      </c>
      <c r="C105" s="11" t="n"/>
      <c r="D105" s="14">
        <f>IF(OR(A105="",C105=""),"",SUMIFS('激励事件明细'!$S$2:$S$501,'激励事件明细'!$C$2:$C$501,A105,'激励事件明细'!$H$2:$H$501,C105,'激励事件明细'!$F$2:$F$501,"股票期权"))</f>
        <v/>
      </c>
      <c r="E105" s="14">
        <f>IF(OR(A105="",C105=""),"",SUMIFS('激励事件明细'!$S$2:$S$501,'激励事件明细'!$C$2:$C$501,A105,'激励事件明细'!$H$2:$H$501,C105,'激励事件明细'!$F$2:$F$501,"限制性股票"))</f>
        <v/>
      </c>
      <c r="F105" s="14">
        <f>IF(OR(A105="",C105=""),"",SUMIFS('激励事件明细'!$S$2:$S$501,'激励事件明细'!$C$2:$C$501,A105,'激励事件明细'!$H$2:$H$501,C105,'激励事件明细'!$F$2:$F$501,"其他股权激励"))</f>
        <v/>
      </c>
      <c r="G105" s="14">
        <f>IF(A105="","",SUM(D105:F105))</f>
        <v/>
      </c>
      <c r="H105" s="15">
        <f>IF(G105="","",VLOOKUP(G105,'税率及规则'!$A$2:$C$8,2,TRUE))</f>
        <v/>
      </c>
      <c r="I105" s="14">
        <f>IF(G105="","",VLOOKUP(G105,'税率及规则'!$A$2:$C$8,3,TRUE))</f>
        <v/>
      </c>
      <c r="J105" s="14">
        <f>IF(G105="","",MAX(0,G105*H105-I105))</f>
        <v/>
      </c>
      <c r="K105" s="14">
        <f>IF(A105="","",SUMIFS('分期缴税台账'!$K$2:$K$501,'分期缴税台账'!$A$2:$A$501,A105,'分期缴税台账'!$C$2:$C$501,C105))</f>
        <v/>
      </c>
      <c r="L105" s="14">
        <f>IF(J105="","",MAX(0,J105-K105))</f>
        <v/>
      </c>
      <c r="M105" s="6">
        <f>IF(A105="","",COUNTIFS('激励事件明细'!$C$2:$C$501,A105,'激励事件明细'!$H$2:$H$501,C105,'激励事件明细'!$Z$2:$Z$501,"&gt;0"))</f>
        <v/>
      </c>
      <c r="N105" s="6">
        <f>IF(O105="","",IFERROR(INDEX('激励事件明细'!$A$2:$A$501,MATCH(1,('激励事件明细'!$C$2:$C$501=A105)*('激励事件明细'!$H$2:$H$501=C105)*('激励事件明细'!$AB$2:$AB$501=O105),0)),""))</f>
        <v/>
      </c>
      <c r="O105" s="16">
        <f>IF(A105="","",IFERROR(AGGREGATE(15,6,'激励事件明细'!$AB$2:$AB$501/(('激励事件明细'!$C$2:$C$501=A105)*('激励事件明细'!$H$2:$H$501=C105)*('激励事件明细'!$Z$2:$Z$501&gt;0)),1),""))</f>
        <v/>
      </c>
      <c r="P105" s="6">
        <f>IF(A105="","",IF(K105&gt;J105,"异常：超额缴税",IF(L105=0,"已缴清",IF(AND(O105&lt;TODAY(),L105&gt;0),"逾期未缴","未缴清"))))</f>
        <v/>
      </c>
    </row>
    <row r="106">
      <c r="A106" s="11" t="n"/>
      <c r="B106" s="6">
        <f>IF(A106="","",IFERROR(INDEX('激励事件明细'!$D$2:$D$501,MATCH(A106,'激励事件明细'!$C$2:$C$501,0)),""))</f>
        <v/>
      </c>
      <c r="C106" s="11" t="n"/>
      <c r="D106" s="14">
        <f>IF(OR(A106="",C106=""),"",SUMIFS('激励事件明细'!$S$2:$S$501,'激励事件明细'!$C$2:$C$501,A106,'激励事件明细'!$H$2:$H$501,C106,'激励事件明细'!$F$2:$F$501,"股票期权"))</f>
        <v/>
      </c>
      <c r="E106" s="14">
        <f>IF(OR(A106="",C106=""),"",SUMIFS('激励事件明细'!$S$2:$S$501,'激励事件明细'!$C$2:$C$501,A106,'激励事件明细'!$H$2:$H$501,C106,'激励事件明细'!$F$2:$F$501,"限制性股票"))</f>
        <v/>
      </c>
      <c r="F106" s="14">
        <f>IF(OR(A106="",C106=""),"",SUMIFS('激励事件明细'!$S$2:$S$501,'激励事件明细'!$C$2:$C$501,A106,'激励事件明细'!$H$2:$H$501,C106,'激励事件明细'!$F$2:$F$501,"其他股权激励"))</f>
        <v/>
      </c>
      <c r="G106" s="14">
        <f>IF(A106="","",SUM(D106:F106))</f>
        <v/>
      </c>
      <c r="H106" s="15">
        <f>IF(G106="","",VLOOKUP(G106,'税率及规则'!$A$2:$C$8,2,TRUE))</f>
        <v/>
      </c>
      <c r="I106" s="14">
        <f>IF(G106="","",VLOOKUP(G106,'税率及规则'!$A$2:$C$8,3,TRUE))</f>
        <v/>
      </c>
      <c r="J106" s="14">
        <f>IF(G106="","",MAX(0,G106*H106-I106))</f>
        <v/>
      </c>
      <c r="K106" s="14">
        <f>IF(A106="","",SUMIFS('分期缴税台账'!$K$2:$K$501,'分期缴税台账'!$A$2:$A$501,A106,'分期缴税台账'!$C$2:$C$501,C106))</f>
        <v/>
      </c>
      <c r="L106" s="14">
        <f>IF(J106="","",MAX(0,J106-K106))</f>
        <v/>
      </c>
      <c r="M106" s="6">
        <f>IF(A106="","",COUNTIFS('激励事件明细'!$C$2:$C$501,A106,'激励事件明细'!$H$2:$H$501,C106,'激励事件明细'!$Z$2:$Z$501,"&gt;0"))</f>
        <v/>
      </c>
      <c r="N106" s="6">
        <f>IF(O106="","",IFERROR(INDEX('激励事件明细'!$A$2:$A$501,MATCH(1,('激励事件明细'!$C$2:$C$501=A106)*('激励事件明细'!$H$2:$H$501=C106)*('激励事件明细'!$AB$2:$AB$501=O106),0)),""))</f>
        <v/>
      </c>
      <c r="O106" s="16">
        <f>IF(A106="","",IFERROR(AGGREGATE(15,6,'激励事件明细'!$AB$2:$AB$501/(('激励事件明细'!$C$2:$C$501=A106)*('激励事件明细'!$H$2:$H$501=C106)*('激励事件明细'!$Z$2:$Z$501&gt;0)),1),""))</f>
        <v/>
      </c>
      <c r="P106" s="6">
        <f>IF(A106="","",IF(K106&gt;J106,"异常：超额缴税",IF(L106=0,"已缴清",IF(AND(O106&lt;TODAY(),L106&gt;0),"逾期未缴","未缴清"))))</f>
        <v/>
      </c>
    </row>
    <row r="107">
      <c r="A107" s="11" t="n"/>
      <c r="B107" s="6">
        <f>IF(A107="","",IFERROR(INDEX('激励事件明细'!$D$2:$D$501,MATCH(A107,'激励事件明细'!$C$2:$C$501,0)),""))</f>
        <v/>
      </c>
      <c r="C107" s="11" t="n"/>
      <c r="D107" s="14">
        <f>IF(OR(A107="",C107=""),"",SUMIFS('激励事件明细'!$S$2:$S$501,'激励事件明细'!$C$2:$C$501,A107,'激励事件明细'!$H$2:$H$501,C107,'激励事件明细'!$F$2:$F$501,"股票期权"))</f>
        <v/>
      </c>
      <c r="E107" s="14">
        <f>IF(OR(A107="",C107=""),"",SUMIFS('激励事件明细'!$S$2:$S$501,'激励事件明细'!$C$2:$C$501,A107,'激励事件明细'!$H$2:$H$501,C107,'激励事件明细'!$F$2:$F$501,"限制性股票"))</f>
        <v/>
      </c>
      <c r="F107" s="14">
        <f>IF(OR(A107="",C107=""),"",SUMIFS('激励事件明细'!$S$2:$S$501,'激励事件明细'!$C$2:$C$501,A107,'激励事件明细'!$H$2:$H$501,C107,'激励事件明细'!$F$2:$F$501,"其他股权激励"))</f>
        <v/>
      </c>
      <c r="G107" s="14">
        <f>IF(A107="","",SUM(D107:F107))</f>
        <v/>
      </c>
      <c r="H107" s="15">
        <f>IF(G107="","",VLOOKUP(G107,'税率及规则'!$A$2:$C$8,2,TRUE))</f>
        <v/>
      </c>
      <c r="I107" s="14">
        <f>IF(G107="","",VLOOKUP(G107,'税率及规则'!$A$2:$C$8,3,TRUE))</f>
        <v/>
      </c>
      <c r="J107" s="14">
        <f>IF(G107="","",MAX(0,G107*H107-I107))</f>
        <v/>
      </c>
      <c r="K107" s="14">
        <f>IF(A107="","",SUMIFS('分期缴税台账'!$K$2:$K$501,'分期缴税台账'!$A$2:$A$501,A107,'分期缴税台账'!$C$2:$C$501,C107))</f>
        <v/>
      </c>
      <c r="L107" s="14">
        <f>IF(J107="","",MAX(0,J107-K107))</f>
        <v/>
      </c>
      <c r="M107" s="6">
        <f>IF(A107="","",COUNTIFS('激励事件明细'!$C$2:$C$501,A107,'激励事件明细'!$H$2:$H$501,C107,'激励事件明细'!$Z$2:$Z$501,"&gt;0"))</f>
        <v/>
      </c>
      <c r="N107" s="6">
        <f>IF(O107="","",IFERROR(INDEX('激励事件明细'!$A$2:$A$501,MATCH(1,('激励事件明细'!$C$2:$C$501=A107)*('激励事件明细'!$H$2:$H$501=C107)*('激励事件明细'!$AB$2:$AB$501=O107),0)),""))</f>
        <v/>
      </c>
      <c r="O107" s="16">
        <f>IF(A107="","",IFERROR(AGGREGATE(15,6,'激励事件明细'!$AB$2:$AB$501/(('激励事件明细'!$C$2:$C$501=A107)*('激励事件明细'!$H$2:$H$501=C107)*('激励事件明细'!$Z$2:$Z$501&gt;0)),1),""))</f>
        <v/>
      </c>
      <c r="P107" s="6">
        <f>IF(A107="","",IF(K107&gt;J107,"异常：超额缴税",IF(L107=0,"已缴清",IF(AND(O107&lt;TODAY(),L107&gt;0),"逾期未缴","未缴清"))))</f>
        <v/>
      </c>
    </row>
    <row r="108">
      <c r="A108" s="11" t="n"/>
      <c r="B108" s="6">
        <f>IF(A108="","",IFERROR(INDEX('激励事件明细'!$D$2:$D$501,MATCH(A108,'激励事件明细'!$C$2:$C$501,0)),""))</f>
        <v/>
      </c>
      <c r="C108" s="11" t="n"/>
      <c r="D108" s="14">
        <f>IF(OR(A108="",C108=""),"",SUMIFS('激励事件明细'!$S$2:$S$501,'激励事件明细'!$C$2:$C$501,A108,'激励事件明细'!$H$2:$H$501,C108,'激励事件明细'!$F$2:$F$501,"股票期权"))</f>
        <v/>
      </c>
      <c r="E108" s="14">
        <f>IF(OR(A108="",C108=""),"",SUMIFS('激励事件明细'!$S$2:$S$501,'激励事件明细'!$C$2:$C$501,A108,'激励事件明细'!$H$2:$H$501,C108,'激励事件明细'!$F$2:$F$501,"限制性股票"))</f>
        <v/>
      </c>
      <c r="F108" s="14">
        <f>IF(OR(A108="",C108=""),"",SUMIFS('激励事件明细'!$S$2:$S$501,'激励事件明细'!$C$2:$C$501,A108,'激励事件明细'!$H$2:$H$501,C108,'激励事件明细'!$F$2:$F$501,"其他股权激励"))</f>
        <v/>
      </c>
      <c r="G108" s="14">
        <f>IF(A108="","",SUM(D108:F108))</f>
        <v/>
      </c>
      <c r="H108" s="15">
        <f>IF(G108="","",VLOOKUP(G108,'税率及规则'!$A$2:$C$8,2,TRUE))</f>
        <v/>
      </c>
      <c r="I108" s="14">
        <f>IF(G108="","",VLOOKUP(G108,'税率及规则'!$A$2:$C$8,3,TRUE))</f>
        <v/>
      </c>
      <c r="J108" s="14">
        <f>IF(G108="","",MAX(0,G108*H108-I108))</f>
        <v/>
      </c>
      <c r="K108" s="14">
        <f>IF(A108="","",SUMIFS('分期缴税台账'!$K$2:$K$501,'分期缴税台账'!$A$2:$A$501,A108,'分期缴税台账'!$C$2:$C$501,C108))</f>
        <v/>
      </c>
      <c r="L108" s="14">
        <f>IF(J108="","",MAX(0,J108-K108))</f>
        <v/>
      </c>
      <c r="M108" s="6">
        <f>IF(A108="","",COUNTIFS('激励事件明细'!$C$2:$C$501,A108,'激励事件明细'!$H$2:$H$501,C108,'激励事件明细'!$Z$2:$Z$501,"&gt;0"))</f>
        <v/>
      </c>
      <c r="N108" s="6">
        <f>IF(O108="","",IFERROR(INDEX('激励事件明细'!$A$2:$A$501,MATCH(1,('激励事件明细'!$C$2:$C$501=A108)*('激励事件明细'!$H$2:$H$501=C108)*('激励事件明细'!$AB$2:$AB$501=O108),0)),""))</f>
        <v/>
      </c>
      <c r="O108" s="16">
        <f>IF(A108="","",IFERROR(AGGREGATE(15,6,'激励事件明细'!$AB$2:$AB$501/(('激励事件明细'!$C$2:$C$501=A108)*('激励事件明细'!$H$2:$H$501=C108)*('激励事件明细'!$Z$2:$Z$501&gt;0)),1),""))</f>
        <v/>
      </c>
      <c r="P108" s="6">
        <f>IF(A108="","",IF(K108&gt;J108,"异常：超额缴税",IF(L108=0,"已缴清",IF(AND(O108&lt;TODAY(),L108&gt;0),"逾期未缴","未缴清"))))</f>
        <v/>
      </c>
    </row>
    <row r="109">
      <c r="A109" s="11" t="n"/>
      <c r="B109" s="6">
        <f>IF(A109="","",IFERROR(INDEX('激励事件明细'!$D$2:$D$501,MATCH(A109,'激励事件明细'!$C$2:$C$501,0)),""))</f>
        <v/>
      </c>
      <c r="C109" s="11" t="n"/>
      <c r="D109" s="14">
        <f>IF(OR(A109="",C109=""),"",SUMIFS('激励事件明细'!$S$2:$S$501,'激励事件明细'!$C$2:$C$501,A109,'激励事件明细'!$H$2:$H$501,C109,'激励事件明细'!$F$2:$F$501,"股票期权"))</f>
        <v/>
      </c>
      <c r="E109" s="14">
        <f>IF(OR(A109="",C109=""),"",SUMIFS('激励事件明细'!$S$2:$S$501,'激励事件明细'!$C$2:$C$501,A109,'激励事件明细'!$H$2:$H$501,C109,'激励事件明细'!$F$2:$F$501,"限制性股票"))</f>
        <v/>
      </c>
      <c r="F109" s="14">
        <f>IF(OR(A109="",C109=""),"",SUMIFS('激励事件明细'!$S$2:$S$501,'激励事件明细'!$C$2:$C$501,A109,'激励事件明细'!$H$2:$H$501,C109,'激励事件明细'!$F$2:$F$501,"其他股权激励"))</f>
        <v/>
      </c>
      <c r="G109" s="14">
        <f>IF(A109="","",SUM(D109:F109))</f>
        <v/>
      </c>
      <c r="H109" s="15">
        <f>IF(G109="","",VLOOKUP(G109,'税率及规则'!$A$2:$C$8,2,TRUE))</f>
        <v/>
      </c>
      <c r="I109" s="14">
        <f>IF(G109="","",VLOOKUP(G109,'税率及规则'!$A$2:$C$8,3,TRUE))</f>
        <v/>
      </c>
      <c r="J109" s="14">
        <f>IF(G109="","",MAX(0,G109*H109-I109))</f>
        <v/>
      </c>
      <c r="K109" s="14">
        <f>IF(A109="","",SUMIFS('分期缴税台账'!$K$2:$K$501,'分期缴税台账'!$A$2:$A$501,A109,'分期缴税台账'!$C$2:$C$501,C109))</f>
        <v/>
      </c>
      <c r="L109" s="14">
        <f>IF(J109="","",MAX(0,J109-K109))</f>
        <v/>
      </c>
      <c r="M109" s="6">
        <f>IF(A109="","",COUNTIFS('激励事件明细'!$C$2:$C$501,A109,'激励事件明细'!$H$2:$H$501,C109,'激励事件明细'!$Z$2:$Z$501,"&gt;0"))</f>
        <v/>
      </c>
      <c r="N109" s="6">
        <f>IF(O109="","",IFERROR(INDEX('激励事件明细'!$A$2:$A$501,MATCH(1,('激励事件明细'!$C$2:$C$501=A109)*('激励事件明细'!$H$2:$H$501=C109)*('激励事件明细'!$AB$2:$AB$501=O109),0)),""))</f>
        <v/>
      </c>
      <c r="O109" s="16">
        <f>IF(A109="","",IFERROR(AGGREGATE(15,6,'激励事件明细'!$AB$2:$AB$501/(('激励事件明细'!$C$2:$C$501=A109)*('激励事件明细'!$H$2:$H$501=C109)*('激励事件明细'!$Z$2:$Z$501&gt;0)),1),""))</f>
        <v/>
      </c>
      <c r="P109" s="6">
        <f>IF(A109="","",IF(K109&gt;J109,"异常：超额缴税",IF(L109=0,"已缴清",IF(AND(O109&lt;TODAY(),L109&gt;0),"逾期未缴","未缴清"))))</f>
        <v/>
      </c>
    </row>
    <row r="110">
      <c r="A110" s="11" t="n"/>
      <c r="B110" s="6">
        <f>IF(A110="","",IFERROR(INDEX('激励事件明细'!$D$2:$D$501,MATCH(A110,'激励事件明细'!$C$2:$C$501,0)),""))</f>
        <v/>
      </c>
      <c r="C110" s="11" t="n"/>
      <c r="D110" s="14">
        <f>IF(OR(A110="",C110=""),"",SUMIFS('激励事件明细'!$S$2:$S$501,'激励事件明细'!$C$2:$C$501,A110,'激励事件明细'!$H$2:$H$501,C110,'激励事件明细'!$F$2:$F$501,"股票期权"))</f>
        <v/>
      </c>
      <c r="E110" s="14">
        <f>IF(OR(A110="",C110=""),"",SUMIFS('激励事件明细'!$S$2:$S$501,'激励事件明细'!$C$2:$C$501,A110,'激励事件明细'!$H$2:$H$501,C110,'激励事件明细'!$F$2:$F$501,"限制性股票"))</f>
        <v/>
      </c>
      <c r="F110" s="14">
        <f>IF(OR(A110="",C110=""),"",SUMIFS('激励事件明细'!$S$2:$S$501,'激励事件明细'!$C$2:$C$501,A110,'激励事件明细'!$H$2:$H$501,C110,'激励事件明细'!$F$2:$F$501,"其他股权激励"))</f>
        <v/>
      </c>
      <c r="G110" s="14">
        <f>IF(A110="","",SUM(D110:F110))</f>
        <v/>
      </c>
      <c r="H110" s="15">
        <f>IF(G110="","",VLOOKUP(G110,'税率及规则'!$A$2:$C$8,2,TRUE))</f>
        <v/>
      </c>
      <c r="I110" s="14">
        <f>IF(G110="","",VLOOKUP(G110,'税率及规则'!$A$2:$C$8,3,TRUE))</f>
        <v/>
      </c>
      <c r="J110" s="14">
        <f>IF(G110="","",MAX(0,G110*H110-I110))</f>
        <v/>
      </c>
      <c r="K110" s="14">
        <f>IF(A110="","",SUMIFS('分期缴税台账'!$K$2:$K$501,'分期缴税台账'!$A$2:$A$501,A110,'分期缴税台账'!$C$2:$C$501,C110))</f>
        <v/>
      </c>
      <c r="L110" s="14">
        <f>IF(J110="","",MAX(0,J110-K110))</f>
        <v/>
      </c>
      <c r="M110" s="6">
        <f>IF(A110="","",COUNTIFS('激励事件明细'!$C$2:$C$501,A110,'激励事件明细'!$H$2:$H$501,C110,'激励事件明细'!$Z$2:$Z$501,"&gt;0"))</f>
        <v/>
      </c>
      <c r="N110" s="6">
        <f>IF(O110="","",IFERROR(INDEX('激励事件明细'!$A$2:$A$501,MATCH(1,('激励事件明细'!$C$2:$C$501=A110)*('激励事件明细'!$H$2:$H$501=C110)*('激励事件明细'!$AB$2:$AB$501=O110),0)),""))</f>
        <v/>
      </c>
      <c r="O110" s="16">
        <f>IF(A110="","",IFERROR(AGGREGATE(15,6,'激励事件明细'!$AB$2:$AB$501/(('激励事件明细'!$C$2:$C$501=A110)*('激励事件明细'!$H$2:$H$501=C110)*('激励事件明细'!$Z$2:$Z$501&gt;0)),1),""))</f>
        <v/>
      </c>
      <c r="P110" s="6">
        <f>IF(A110="","",IF(K110&gt;J110,"异常：超额缴税",IF(L110=0,"已缴清",IF(AND(O110&lt;TODAY(),L110&gt;0),"逾期未缴","未缴清"))))</f>
        <v/>
      </c>
    </row>
    <row r="111">
      <c r="A111" s="11" t="n"/>
      <c r="B111" s="6">
        <f>IF(A111="","",IFERROR(INDEX('激励事件明细'!$D$2:$D$501,MATCH(A111,'激励事件明细'!$C$2:$C$501,0)),""))</f>
        <v/>
      </c>
      <c r="C111" s="11" t="n"/>
      <c r="D111" s="14">
        <f>IF(OR(A111="",C111=""),"",SUMIFS('激励事件明细'!$S$2:$S$501,'激励事件明细'!$C$2:$C$501,A111,'激励事件明细'!$H$2:$H$501,C111,'激励事件明细'!$F$2:$F$501,"股票期权"))</f>
        <v/>
      </c>
      <c r="E111" s="14">
        <f>IF(OR(A111="",C111=""),"",SUMIFS('激励事件明细'!$S$2:$S$501,'激励事件明细'!$C$2:$C$501,A111,'激励事件明细'!$H$2:$H$501,C111,'激励事件明细'!$F$2:$F$501,"限制性股票"))</f>
        <v/>
      </c>
      <c r="F111" s="14">
        <f>IF(OR(A111="",C111=""),"",SUMIFS('激励事件明细'!$S$2:$S$501,'激励事件明细'!$C$2:$C$501,A111,'激励事件明细'!$H$2:$H$501,C111,'激励事件明细'!$F$2:$F$501,"其他股权激励"))</f>
        <v/>
      </c>
      <c r="G111" s="14">
        <f>IF(A111="","",SUM(D111:F111))</f>
        <v/>
      </c>
      <c r="H111" s="15">
        <f>IF(G111="","",VLOOKUP(G111,'税率及规则'!$A$2:$C$8,2,TRUE))</f>
        <v/>
      </c>
      <c r="I111" s="14">
        <f>IF(G111="","",VLOOKUP(G111,'税率及规则'!$A$2:$C$8,3,TRUE))</f>
        <v/>
      </c>
      <c r="J111" s="14">
        <f>IF(G111="","",MAX(0,G111*H111-I111))</f>
        <v/>
      </c>
      <c r="K111" s="14">
        <f>IF(A111="","",SUMIFS('分期缴税台账'!$K$2:$K$501,'分期缴税台账'!$A$2:$A$501,A111,'分期缴税台账'!$C$2:$C$501,C111))</f>
        <v/>
      </c>
      <c r="L111" s="14">
        <f>IF(J111="","",MAX(0,J111-K111))</f>
        <v/>
      </c>
      <c r="M111" s="6">
        <f>IF(A111="","",COUNTIFS('激励事件明细'!$C$2:$C$501,A111,'激励事件明细'!$H$2:$H$501,C111,'激励事件明细'!$Z$2:$Z$501,"&gt;0"))</f>
        <v/>
      </c>
      <c r="N111" s="6">
        <f>IF(O111="","",IFERROR(INDEX('激励事件明细'!$A$2:$A$501,MATCH(1,('激励事件明细'!$C$2:$C$501=A111)*('激励事件明细'!$H$2:$H$501=C111)*('激励事件明细'!$AB$2:$AB$501=O111),0)),""))</f>
        <v/>
      </c>
      <c r="O111" s="16">
        <f>IF(A111="","",IFERROR(AGGREGATE(15,6,'激励事件明细'!$AB$2:$AB$501/(('激励事件明细'!$C$2:$C$501=A111)*('激励事件明细'!$H$2:$H$501=C111)*('激励事件明细'!$Z$2:$Z$501&gt;0)),1),""))</f>
        <v/>
      </c>
      <c r="P111" s="6">
        <f>IF(A111="","",IF(K111&gt;J111,"异常：超额缴税",IF(L111=0,"已缴清",IF(AND(O111&lt;TODAY(),L111&gt;0),"逾期未缴","未缴清"))))</f>
        <v/>
      </c>
    </row>
    <row r="112">
      <c r="A112" s="11" t="n"/>
      <c r="B112" s="6">
        <f>IF(A112="","",IFERROR(INDEX('激励事件明细'!$D$2:$D$501,MATCH(A112,'激励事件明细'!$C$2:$C$501,0)),""))</f>
        <v/>
      </c>
      <c r="C112" s="11" t="n"/>
      <c r="D112" s="14">
        <f>IF(OR(A112="",C112=""),"",SUMIFS('激励事件明细'!$S$2:$S$501,'激励事件明细'!$C$2:$C$501,A112,'激励事件明细'!$H$2:$H$501,C112,'激励事件明细'!$F$2:$F$501,"股票期权"))</f>
        <v/>
      </c>
      <c r="E112" s="14">
        <f>IF(OR(A112="",C112=""),"",SUMIFS('激励事件明细'!$S$2:$S$501,'激励事件明细'!$C$2:$C$501,A112,'激励事件明细'!$H$2:$H$501,C112,'激励事件明细'!$F$2:$F$501,"限制性股票"))</f>
        <v/>
      </c>
      <c r="F112" s="14">
        <f>IF(OR(A112="",C112=""),"",SUMIFS('激励事件明细'!$S$2:$S$501,'激励事件明细'!$C$2:$C$501,A112,'激励事件明细'!$H$2:$H$501,C112,'激励事件明细'!$F$2:$F$501,"其他股权激励"))</f>
        <v/>
      </c>
      <c r="G112" s="14">
        <f>IF(A112="","",SUM(D112:F112))</f>
        <v/>
      </c>
      <c r="H112" s="15">
        <f>IF(G112="","",VLOOKUP(G112,'税率及规则'!$A$2:$C$8,2,TRUE))</f>
        <v/>
      </c>
      <c r="I112" s="14">
        <f>IF(G112="","",VLOOKUP(G112,'税率及规则'!$A$2:$C$8,3,TRUE))</f>
        <v/>
      </c>
      <c r="J112" s="14">
        <f>IF(G112="","",MAX(0,G112*H112-I112))</f>
        <v/>
      </c>
      <c r="K112" s="14">
        <f>IF(A112="","",SUMIFS('分期缴税台账'!$K$2:$K$501,'分期缴税台账'!$A$2:$A$501,A112,'分期缴税台账'!$C$2:$C$501,C112))</f>
        <v/>
      </c>
      <c r="L112" s="14">
        <f>IF(J112="","",MAX(0,J112-K112))</f>
        <v/>
      </c>
      <c r="M112" s="6">
        <f>IF(A112="","",COUNTIFS('激励事件明细'!$C$2:$C$501,A112,'激励事件明细'!$H$2:$H$501,C112,'激励事件明细'!$Z$2:$Z$501,"&gt;0"))</f>
        <v/>
      </c>
      <c r="N112" s="6">
        <f>IF(O112="","",IFERROR(INDEX('激励事件明细'!$A$2:$A$501,MATCH(1,('激励事件明细'!$C$2:$C$501=A112)*('激励事件明细'!$H$2:$H$501=C112)*('激励事件明细'!$AB$2:$AB$501=O112),0)),""))</f>
        <v/>
      </c>
      <c r="O112" s="16">
        <f>IF(A112="","",IFERROR(AGGREGATE(15,6,'激励事件明细'!$AB$2:$AB$501/(('激励事件明细'!$C$2:$C$501=A112)*('激励事件明细'!$H$2:$H$501=C112)*('激励事件明细'!$Z$2:$Z$501&gt;0)),1),""))</f>
        <v/>
      </c>
      <c r="P112" s="6">
        <f>IF(A112="","",IF(K112&gt;J112,"异常：超额缴税",IF(L112=0,"已缴清",IF(AND(O112&lt;TODAY(),L112&gt;0),"逾期未缴","未缴清"))))</f>
        <v/>
      </c>
    </row>
    <row r="113">
      <c r="A113" s="11" t="n"/>
      <c r="B113" s="6">
        <f>IF(A113="","",IFERROR(INDEX('激励事件明细'!$D$2:$D$501,MATCH(A113,'激励事件明细'!$C$2:$C$501,0)),""))</f>
        <v/>
      </c>
      <c r="C113" s="11" t="n"/>
      <c r="D113" s="14">
        <f>IF(OR(A113="",C113=""),"",SUMIFS('激励事件明细'!$S$2:$S$501,'激励事件明细'!$C$2:$C$501,A113,'激励事件明细'!$H$2:$H$501,C113,'激励事件明细'!$F$2:$F$501,"股票期权"))</f>
        <v/>
      </c>
      <c r="E113" s="14">
        <f>IF(OR(A113="",C113=""),"",SUMIFS('激励事件明细'!$S$2:$S$501,'激励事件明细'!$C$2:$C$501,A113,'激励事件明细'!$H$2:$H$501,C113,'激励事件明细'!$F$2:$F$501,"限制性股票"))</f>
        <v/>
      </c>
      <c r="F113" s="14">
        <f>IF(OR(A113="",C113=""),"",SUMIFS('激励事件明细'!$S$2:$S$501,'激励事件明细'!$C$2:$C$501,A113,'激励事件明细'!$H$2:$H$501,C113,'激励事件明细'!$F$2:$F$501,"其他股权激励"))</f>
        <v/>
      </c>
      <c r="G113" s="14">
        <f>IF(A113="","",SUM(D113:F113))</f>
        <v/>
      </c>
      <c r="H113" s="15">
        <f>IF(G113="","",VLOOKUP(G113,'税率及规则'!$A$2:$C$8,2,TRUE))</f>
        <v/>
      </c>
      <c r="I113" s="14">
        <f>IF(G113="","",VLOOKUP(G113,'税率及规则'!$A$2:$C$8,3,TRUE))</f>
        <v/>
      </c>
      <c r="J113" s="14">
        <f>IF(G113="","",MAX(0,G113*H113-I113))</f>
        <v/>
      </c>
      <c r="K113" s="14">
        <f>IF(A113="","",SUMIFS('分期缴税台账'!$K$2:$K$501,'分期缴税台账'!$A$2:$A$501,A113,'分期缴税台账'!$C$2:$C$501,C113))</f>
        <v/>
      </c>
      <c r="L113" s="14">
        <f>IF(J113="","",MAX(0,J113-K113))</f>
        <v/>
      </c>
      <c r="M113" s="6">
        <f>IF(A113="","",COUNTIFS('激励事件明细'!$C$2:$C$501,A113,'激励事件明细'!$H$2:$H$501,C113,'激励事件明细'!$Z$2:$Z$501,"&gt;0"))</f>
        <v/>
      </c>
      <c r="N113" s="6">
        <f>IF(O113="","",IFERROR(INDEX('激励事件明细'!$A$2:$A$501,MATCH(1,('激励事件明细'!$C$2:$C$501=A113)*('激励事件明细'!$H$2:$H$501=C113)*('激励事件明细'!$AB$2:$AB$501=O113),0)),""))</f>
        <v/>
      </c>
      <c r="O113" s="16">
        <f>IF(A113="","",IFERROR(AGGREGATE(15,6,'激励事件明细'!$AB$2:$AB$501/(('激励事件明细'!$C$2:$C$501=A113)*('激励事件明细'!$H$2:$H$501=C113)*('激励事件明细'!$Z$2:$Z$501&gt;0)),1),""))</f>
        <v/>
      </c>
      <c r="P113" s="6">
        <f>IF(A113="","",IF(K113&gt;J113,"异常：超额缴税",IF(L113=0,"已缴清",IF(AND(O113&lt;TODAY(),L113&gt;0),"逾期未缴","未缴清"))))</f>
        <v/>
      </c>
    </row>
    <row r="114">
      <c r="A114" s="11" t="n"/>
      <c r="B114" s="6">
        <f>IF(A114="","",IFERROR(INDEX('激励事件明细'!$D$2:$D$501,MATCH(A114,'激励事件明细'!$C$2:$C$501,0)),""))</f>
        <v/>
      </c>
      <c r="C114" s="11" t="n"/>
      <c r="D114" s="14">
        <f>IF(OR(A114="",C114=""),"",SUMIFS('激励事件明细'!$S$2:$S$501,'激励事件明细'!$C$2:$C$501,A114,'激励事件明细'!$H$2:$H$501,C114,'激励事件明细'!$F$2:$F$501,"股票期权"))</f>
        <v/>
      </c>
      <c r="E114" s="14">
        <f>IF(OR(A114="",C114=""),"",SUMIFS('激励事件明细'!$S$2:$S$501,'激励事件明细'!$C$2:$C$501,A114,'激励事件明细'!$H$2:$H$501,C114,'激励事件明细'!$F$2:$F$501,"限制性股票"))</f>
        <v/>
      </c>
      <c r="F114" s="14">
        <f>IF(OR(A114="",C114=""),"",SUMIFS('激励事件明细'!$S$2:$S$501,'激励事件明细'!$C$2:$C$501,A114,'激励事件明细'!$H$2:$H$501,C114,'激励事件明细'!$F$2:$F$501,"其他股权激励"))</f>
        <v/>
      </c>
      <c r="G114" s="14">
        <f>IF(A114="","",SUM(D114:F114))</f>
        <v/>
      </c>
      <c r="H114" s="15">
        <f>IF(G114="","",VLOOKUP(G114,'税率及规则'!$A$2:$C$8,2,TRUE))</f>
        <v/>
      </c>
      <c r="I114" s="14">
        <f>IF(G114="","",VLOOKUP(G114,'税率及规则'!$A$2:$C$8,3,TRUE))</f>
        <v/>
      </c>
      <c r="J114" s="14">
        <f>IF(G114="","",MAX(0,G114*H114-I114))</f>
        <v/>
      </c>
      <c r="K114" s="14">
        <f>IF(A114="","",SUMIFS('分期缴税台账'!$K$2:$K$501,'分期缴税台账'!$A$2:$A$501,A114,'分期缴税台账'!$C$2:$C$501,C114))</f>
        <v/>
      </c>
      <c r="L114" s="14">
        <f>IF(J114="","",MAX(0,J114-K114))</f>
        <v/>
      </c>
      <c r="M114" s="6">
        <f>IF(A114="","",COUNTIFS('激励事件明细'!$C$2:$C$501,A114,'激励事件明细'!$H$2:$H$501,C114,'激励事件明细'!$Z$2:$Z$501,"&gt;0"))</f>
        <v/>
      </c>
      <c r="N114" s="6">
        <f>IF(O114="","",IFERROR(INDEX('激励事件明细'!$A$2:$A$501,MATCH(1,('激励事件明细'!$C$2:$C$501=A114)*('激励事件明细'!$H$2:$H$501=C114)*('激励事件明细'!$AB$2:$AB$501=O114),0)),""))</f>
        <v/>
      </c>
      <c r="O114" s="16">
        <f>IF(A114="","",IFERROR(AGGREGATE(15,6,'激励事件明细'!$AB$2:$AB$501/(('激励事件明细'!$C$2:$C$501=A114)*('激励事件明细'!$H$2:$H$501=C114)*('激励事件明细'!$Z$2:$Z$501&gt;0)),1),""))</f>
        <v/>
      </c>
      <c r="P114" s="6">
        <f>IF(A114="","",IF(K114&gt;J114,"异常：超额缴税",IF(L114=0,"已缴清",IF(AND(O114&lt;TODAY(),L114&gt;0),"逾期未缴","未缴清"))))</f>
        <v/>
      </c>
    </row>
    <row r="115">
      <c r="A115" s="11" t="n"/>
      <c r="B115" s="6">
        <f>IF(A115="","",IFERROR(INDEX('激励事件明细'!$D$2:$D$501,MATCH(A115,'激励事件明细'!$C$2:$C$501,0)),""))</f>
        <v/>
      </c>
      <c r="C115" s="11" t="n"/>
      <c r="D115" s="14">
        <f>IF(OR(A115="",C115=""),"",SUMIFS('激励事件明细'!$S$2:$S$501,'激励事件明细'!$C$2:$C$501,A115,'激励事件明细'!$H$2:$H$501,C115,'激励事件明细'!$F$2:$F$501,"股票期权"))</f>
        <v/>
      </c>
      <c r="E115" s="14">
        <f>IF(OR(A115="",C115=""),"",SUMIFS('激励事件明细'!$S$2:$S$501,'激励事件明细'!$C$2:$C$501,A115,'激励事件明细'!$H$2:$H$501,C115,'激励事件明细'!$F$2:$F$501,"限制性股票"))</f>
        <v/>
      </c>
      <c r="F115" s="14">
        <f>IF(OR(A115="",C115=""),"",SUMIFS('激励事件明细'!$S$2:$S$501,'激励事件明细'!$C$2:$C$501,A115,'激励事件明细'!$H$2:$H$501,C115,'激励事件明细'!$F$2:$F$501,"其他股权激励"))</f>
        <v/>
      </c>
      <c r="G115" s="14">
        <f>IF(A115="","",SUM(D115:F115))</f>
        <v/>
      </c>
      <c r="H115" s="15">
        <f>IF(G115="","",VLOOKUP(G115,'税率及规则'!$A$2:$C$8,2,TRUE))</f>
        <v/>
      </c>
      <c r="I115" s="14">
        <f>IF(G115="","",VLOOKUP(G115,'税率及规则'!$A$2:$C$8,3,TRUE))</f>
        <v/>
      </c>
      <c r="J115" s="14">
        <f>IF(G115="","",MAX(0,G115*H115-I115))</f>
        <v/>
      </c>
      <c r="K115" s="14">
        <f>IF(A115="","",SUMIFS('分期缴税台账'!$K$2:$K$501,'分期缴税台账'!$A$2:$A$501,A115,'分期缴税台账'!$C$2:$C$501,C115))</f>
        <v/>
      </c>
      <c r="L115" s="14">
        <f>IF(J115="","",MAX(0,J115-K115))</f>
        <v/>
      </c>
      <c r="M115" s="6">
        <f>IF(A115="","",COUNTIFS('激励事件明细'!$C$2:$C$501,A115,'激励事件明细'!$H$2:$H$501,C115,'激励事件明细'!$Z$2:$Z$501,"&gt;0"))</f>
        <v/>
      </c>
      <c r="N115" s="6">
        <f>IF(O115="","",IFERROR(INDEX('激励事件明细'!$A$2:$A$501,MATCH(1,('激励事件明细'!$C$2:$C$501=A115)*('激励事件明细'!$H$2:$H$501=C115)*('激励事件明细'!$AB$2:$AB$501=O115),0)),""))</f>
        <v/>
      </c>
      <c r="O115" s="16">
        <f>IF(A115="","",IFERROR(AGGREGATE(15,6,'激励事件明细'!$AB$2:$AB$501/(('激励事件明细'!$C$2:$C$501=A115)*('激励事件明细'!$H$2:$H$501=C115)*('激励事件明细'!$Z$2:$Z$501&gt;0)),1),""))</f>
        <v/>
      </c>
      <c r="P115" s="6">
        <f>IF(A115="","",IF(K115&gt;J115,"异常：超额缴税",IF(L115=0,"已缴清",IF(AND(O115&lt;TODAY(),L115&gt;0),"逾期未缴","未缴清"))))</f>
        <v/>
      </c>
    </row>
    <row r="116">
      <c r="A116" s="11" t="n"/>
      <c r="B116" s="6">
        <f>IF(A116="","",IFERROR(INDEX('激励事件明细'!$D$2:$D$501,MATCH(A116,'激励事件明细'!$C$2:$C$501,0)),""))</f>
        <v/>
      </c>
      <c r="C116" s="11" t="n"/>
      <c r="D116" s="14">
        <f>IF(OR(A116="",C116=""),"",SUMIFS('激励事件明细'!$S$2:$S$501,'激励事件明细'!$C$2:$C$501,A116,'激励事件明细'!$H$2:$H$501,C116,'激励事件明细'!$F$2:$F$501,"股票期权"))</f>
        <v/>
      </c>
      <c r="E116" s="14">
        <f>IF(OR(A116="",C116=""),"",SUMIFS('激励事件明细'!$S$2:$S$501,'激励事件明细'!$C$2:$C$501,A116,'激励事件明细'!$H$2:$H$501,C116,'激励事件明细'!$F$2:$F$501,"限制性股票"))</f>
        <v/>
      </c>
      <c r="F116" s="14">
        <f>IF(OR(A116="",C116=""),"",SUMIFS('激励事件明细'!$S$2:$S$501,'激励事件明细'!$C$2:$C$501,A116,'激励事件明细'!$H$2:$H$501,C116,'激励事件明细'!$F$2:$F$501,"其他股权激励"))</f>
        <v/>
      </c>
      <c r="G116" s="14">
        <f>IF(A116="","",SUM(D116:F116))</f>
        <v/>
      </c>
      <c r="H116" s="15">
        <f>IF(G116="","",VLOOKUP(G116,'税率及规则'!$A$2:$C$8,2,TRUE))</f>
        <v/>
      </c>
      <c r="I116" s="14">
        <f>IF(G116="","",VLOOKUP(G116,'税率及规则'!$A$2:$C$8,3,TRUE))</f>
        <v/>
      </c>
      <c r="J116" s="14">
        <f>IF(G116="","",MAX(0,G116*H116-I116))</f>
        <v/>
      </c>
      <c r="K116" s="14">
        <f>IF(A116="","",SUMIFS('分期缴税台账'!$K$2:$K$501,'分期缴税台账'!$A$2:$A$501,A116,'分期缴税台账'!$C$2:$C$501,C116))</f>
        <v/>
      </c>
      <c r="L116" s="14">
        <f>IF(J116="","",MAX(0,J116-K116))</f>
        <v/>
      </c>
      <c r="M116" s="6">
        <f>IF(A116="","",COUNTIFS('激励事件明细'!$C$2:$C$501,A116,'激励事件明细'!$H$2:$H$501,C116,'激励事件明细'!$Z$2:$Z$501,"&gt;0"))</f>
        <v/>
      </c>
      <c r="N116" s="6">
        <f>IF(O116="","",IFERROR(INDEX('激励事件明细'!$A$2:$A$501,MATCH(1,('激励事件明细'!$C$2:$C$501=A116)*('激励事件明细'!$H$2:$H$501=C116)*('激励事件明细'!$AB$2:$AB$501=O116),0)),""))</f>
        <v/>
      </c>
      <c r="O116" s="16">
        <f>IF(A116="","",IFERROR(AGGREGATE(15,6,'激励事件明细'!$AB$2:$AB$501/(('激励事件明细'!$C$2:$C$501=A116)*('激励事件明细'!$H$2:$H$501=C116)*('激励事件明细'!$Z$2:$Z$501&gt;0)),1),""))</f>
        <v/>
      </c>
      <c r="P116" s="6">
        <f>IF(A116="","",IF(K116&gt;J116,"异常：超额缴税",IF(L116=0,"已缴清",IF(AND(O116&lt;TODAY(),L116&gt;0),"逾期未缴","未缴清"))))</f>
        <v/>
      </c>
    </row>
    <row r="117">
      <c r="A117" s="11" t="n"/>
      <c r="B117" s="6">
        <f>IF(A117="","",IFERROR(INDEX('激励事件明细'!$D$2:$D$501,MATCH(A117,'激励事件明细'!$C$2:$C$501,0)),""))</f>
        <v/>
      </c>
      <c r="C117" s="11" t="n"/>
      <c r="D117" s="14">
        <f>IF(OR(A117="",C117=""),"",SUMIFS('激励事件明细'!$S$2:$S$501,'激励事件明细'!$C$2:$C$501,A117,'激励事件明细'!$H$2:$H$501,C117,'激励事件明细'!$F$2:$F$501,"股票期权"))</f>
        <v/>
      </c>
      <c r="E117" s="14">
        <f>IF(OR(A117="",C117=""),"",SUMIFS('激励事件明细'!$S$2:$S$501,'激励事件明细'!$C$2:$C$501,A117,'激励事件明细'!$H$2:$H$501,C117,'激励事件明细'!$F$2:$F$501,"限制性股票"))</f>
        <v/>
      </c>
      <c r="F117" s="14">
        <f>IF(OR(A117="",C117=""),"",SUMIFS('激励事件明细'!$S$2:$S$501,'激励事件明细'!$C$2:$C$501,A117,'激励事件明细'!$H$2:$H$501,C117,'激励事件明细'!$F$2:$F$501,"其他股权激励"))</f>
        <v/>
      </c>
      <c r="G117" s="14">
        <f>IF(A117="","",SUM(D117:F117))</f>
        <v/>
      </c>
      <c r="H117" s="15">
        <f>IF(G117="","",VLOOKUP(G117,'税率及规则'!$A$2:$C$8,2,TRUE))</f>
        <v/>
      </c>
      <c r="I117" s="14">
        <f>IF(G117="","",VLOOKUP(G117,'税率及规则'!$A$2:$C$8,3,TRUE))</f>
        <v/>
      </c>
      <c r="J117" s="14">
        <f>IF(G117="","",MAX(0,G117*H117-I117))</f>
        <v/>
      </c>
      <c r="K117" s="14">
        <f>IF(A117="","",SUMIFS('分期缴税台账'!$K$2:$K$501,'分期缴税台账'!$A$2:$A$501,A117,'分期缴税台账'!$C$2:$C$501,C117))</f>
        <v/>
      </c>
      <c r="L117" s="14">
        <f>IF(J117="","",MAX(0,J117-K117))</f>
        <v/>
      </c>
      <c r="M117" s="6">
        <f>IF(A117="","",COUNTIFS('激励事件明细'!$C$2:$C$501,A117,'激励事件明细'!$H$2:$H$501,C117,'激励事件明细'!$Z$2:$Z$501,"&gt;0"))</f>
        <v/>
      </c>
      <c r="N117" s="6">
        <f>IF(O117="","",IFERROR(INDEX('激励事件明细'!$A$2:$A$501,MATCH(1,('激励事件明细'!$C$2:$C$501=A117)*('激励事件明细'!$H$2:$H$501=C117)*('激励事件明细'!$AB$2:$AB$501=O117),0)),""))</f>
        <v/>
      </c>
      <c r="O117" s="16">
        <f>IF(A117="","",IFERROR(AGGREGATE(15,6,'激励事件明细'!$AB$2:$AB$501/(('激励事件明细'!$C$2:$C$501=A117)*('激励事件明细'!$H$2:$H$501=C117)*('激励事件明细'!$Z$2:$Z$501&gt;0)),1),""))</f>
        <v/>
      </c>
      <c r="P117" s="6">
        <f>IF(A117="","",IF(K117&gt;J117,"异常：超额缴税",IF(L117=0,"已缴清",IF(AND(O117&lt;TODAY(),L117&gt;0),"逾期未缴","未缴清"))))</f>
        <v/>
      </c>
    </row>
    <row r="118">
      <c r="A118" s="11" t="n"/>
      <c r="B118" s="6">
        <f>IF(A118="","",IFERROR(INDEX('激励事件明细'!$D$2:$D$501,MATCH(A118,'激励事件明细'!$C$2:$C$501,0)),""))</f>
        <v/>
      </c>
      <c r="C118" s="11" t="n"/>
      <c r="D118" s="14">
        <f>IF(OR(A118="",C118=""),"",SUMIFS('激励事件明细'!$S$2:$S$501,'激励事件明细'!$C$2:$C$501,A118,'激励事件明细'!$H$2:$H$501,C118,'激励事件明细'!$F$2:$F$501,"股票期权"))</f>
        <v/>
      </c>
      <c r="E118" s="14">
        <f>IF(OR(A118="",C118=""),"",SUMIFS('激励事件明细'!$S$2:$S$501,'激励事件明细'!$C$2:$C$501,A118,'激励事件明细'!$H$2:$H$501,C118,'激励事件明细'!$F$2:$F$501,"限制性股票"))</f>
        <v/>
      </c>
      <c r="F118" s="14">
        <f>IF(OR(A118="",C118=""),"",SUMIFS('激励事件明细'!$S$2:$S$501,'激励事件明细'!$C$2:$C$501,A118,'激励事件明细'!$H$2:$H$501,C118,'激励事件明细'!$F$2:$F$501,"其他股权激励"))</f>
        <v/>
      </c>
      <c r="G118" s="14">
        <f>IF(A118="","",SUM(D118:F118))</f>
        <v/>
      </c>
      <c r="H118" s="15">
        <f>IF(G118="","",VLOOKUP(G118,'税率及规则'!$A$2:$C$8,2,TRUE))</f>
        <v/>
      </c>
      <c r="I118" s="14">
        <f>IF(G118="","",VLOOKUP(G118,'税率及规则'!$A$2:$C$8,3,TRUE))</f>
        <v/>
      </c>
      <c r="J118" s="14">
        <f>IF(G118="","",MAX(0,G118*H118-I118))</f>
        <v/>
      </c>
      <c r="K118" s="14">
        <f>IF(A118="","",SUMIFS('分期缴税台账'!$K$2:$K$501,'分期缴税台账'!$A$2:$A$501,A118,'分期缴税台账'!$C$2:$C$501,C118))</f>
        <v/>
      </c>
      <c r="L118" s="14">
        <f>IF(J118="","",MAX(0,J118-K118))</f>
        <v/>
      </c>
      <c r="M118" s="6">
        <f>IF(A118="","",COUNTIFS('激励事件明细'!$C$2:$C$501,A118,'激励事件明细'!$H$2:$H$501,C118,'激励事件明细'!$Z$2:$Z$501,"&gt;0"))</f>
        <v/>
      </c>
      <c r="N118" s="6">
        <f>IF(O118="","",IFERROR(INDEX('激励事件明细'!$A$2:$A$501,MATCH(1,('激励事件明细'!$C$2:$C$501=A118)*('激励事件明细'!$H$2:$H$501=C118)*('激励事件明细'!$AB$2:$AB$501=O118),0)),""))</f>
        <v/>
      </c>
      <c r="O118" s="16">
        <f>IF(A118="","",IFERROR(AGGREGATE(15,6,'激励事件明细'!$AB$2:$AB$501/(('激励事件明细'!$C$2:$C$501=A118)*('激励事件明细'!$H$2:$H$501=C118)*('激励事件明细'!$Z$2:$Z$501&gt;0)),1),""))</f>
        <v/>
      </c>
      <c r="P118" s="6">
        <f>IF(A118="","",IF(K118&gt;J118,"异常：超额缴税",IF(L118=0,"已缴清",IF(AND(O118&lt;TODAY(),L118&gt;0),"逾期未缴","未缴清"))))</f>
        <v/>
      </c>
    </row>
    <row r="119">
      <c r="A119" s="11" t="n"/>
      <c r="B119" s="6">
        <f>IF(A119="","",IFERROR(INDEX('激励事件明细'!$D$2:$D$501,MATCH(A119,'激励事件明细'!$C$2:$C$501,0)),""))</f>
        <v/>
      </c>
      <c r="C119" s="11" t="n"/>
      <c r="D119" s="14">
        <f>IF(OR(A119="",C119=""),"",SUMIFS('激励事件明细'!$S$2:$S$501,'激励事件明细'!$C$2:$C$501,A119,'激励事件明细'!$H$2:$H$501,C119,'激励事件明细'!$F$2:$F$501,"股票期权"))</f>
        <v/>
      </c>
      <c r="E119" s="14">
        <f>IF(OR(A119="",C119=""),"",SUMIFS('激励事件明细'!$S$2:$S$501,'激励事件明细'!$C$2:$C$501,A119,'激励事件明细'!$H$2:$H$501,C119,'激励事件明细'!$F$2:$F$501,"限制性股票"))</f>
        <v/>
      </c>
      <c r="F119" s="14">
        <f>IF(OR(A119="",C119=""),"",SUMIFS('激励事件明细'!$S$2:$S$501,'激励事件明细'!$C$2:$C$501,A119,'激励事件明细'!$H$2:$H$501,C119,'激励事件明细'!$F$2:$F$501,"其他股权激励"))</f>
        <v/>
      </c>
      <c r="G119" s="14">
        <f>IF(A119="","",SUM(D119:F119))</f>
        <v/>
      </c>
      <c r="H119" s="15">
        <f>IF(G119="","",VLOOKUP(G119,'税率及规则'!$A$2:$C$8,2,TRUE))</f>
        <v/>
      </c>
      <c r="I119" s="14">
        <f>IF(G119="","",VLOOKUP(G119,'税率及规则'!$A$2:$C$8,3,TRUE))</f>
        <v/>
      </c>
      <c r="J119" s="14">
        <f>IF(G119="","",MAX(0,G119*H119-I119))</f>
        <v/>
      </c>
      <c r="K119" s="14">
        <f>IF(A119="","",SUMIFS('分期缴税台账'!$K$2:$K$501,'分期缴税台账'!$A$2:$A$501,A119,'分期缴税台账'!$C$2:$C$501,C119))</f>
        <v/>
      </c>
      <c r="L119" s="14">
        <f>IF(J119="","",MAX(0,J119-K119))</f>
        <v/>
      </c>
      <c r="M119" s="6">
        <f>IF(A119="","",COUNTIFS('激励事件明细'!$C$2:$C$501,A119,'激励事件明细'!$H$2:$H$501,C119,'激励事件明细'!$Z$2:$Z$501,"&gt;0"))</f>
        <v/>
      </c>
      <c r="N119" s="6">
        <f>IF(O119="","",IFERROR(INDEX('激励事件明细'!$A$2:$A$501,MATCH(1,('激励事件明细'!$C$2:$C$501=A119)*('激励事件明细'!$H$2:$H$501=C119)*('激励事件明细'!$AB$2:$AB$501=O119),0)),""))</f>
        <v/>
      </c>
      <c r="O119" s="16">
        <f>IF(A119="","",IFERROR(AGGREGATE(15,6,'激励事件明细'!$AB$2:$AB$501/(('激励事件明细'!$C$2:$C$501=A119)*('激励事件明细'!$H$2:$H$501=C119)*('激励事件明细'!$Z$2:$Z$501&gt;0)),1),""))</f>
        <v/>
      </c>
      <c r="P119" s="6">
        <f>IF(A119="","",IF(K119&gt;J119,"异常：超额缴税",IF(L119=0,"已缴清",IF(AND(O119&lt;TODAY(),L119&gt;0),"逾期未缴","未缴清"))))</f>
        <v/>
      </c>
    </row>
    <row r="120">
      <c r="A120" s="11" t="n"/>
      <c r="B120" s="6">
        <f>IF(A120="","",IFERROR(INDEX('激励事件明细'!$D$2:$D$501,MATCH(A120,'激励事件明细'!$C$2:$C$501,0)),""))</f>
        <v/>
      </c>
      <c r="C120" s="11" t="n"/>
      <c r="D120" s="14">
        <f>IF(OR(A120="",C120=""),"",SUMIFS('激励事件明细'!$S$2:$S$501,'激励事件明细'!$C$2:$C$501,A120,'激励事件明细'!$H$2:$H$501,C120,'激励事件明细'!$F$2:$F$501,"股票期权"))</f>
        <v/>
      </c>
      <c r="E120" s="14">
        <f>IF(OR(A120="",C120=""),"",SUMIFS('激励事件明细'!$S$2:$S$501,'激励事件明细'!$C$2:$C$501,A120,'激励事件明细'!$H$2:$H$501,C120,'激励事件明细'!$F$2:$F$501,"限制性股票"))</f>
        <v/>
      </c>
      <c r="F120" s="14">
        <f>IF(OR(A120="",C120=""),"",SUMIFS('激励事件明细'!$S$2:$S$501,'激励事件明细'!$C$2:$C$501,A120,'激励事件明细'!$H$2:$H$501,C120,'激励事件明细'!$F$2:$F$501,"其他股权激励"))</f>
        <v/>
      </c>
      <c r="G120" s="14">
        <f>IF(A120="","",SUM(D120:F120))</f>
        <v/>
      </c>
      <c r="H120" s="15">
        <f>IF(G120="","",VLOOKUP(G120,'税率及规则'!$A$2:$C$8,2,TRUE))</f>
        <v/>
      </c>
      <c r="I120" s="14">
        <f>IF(G120="","",VLOOKUP(G120,'税率及规则'!$A$2:$C$8,3,TRUE))</f>
        <v/>
      </c>
      <c r="J120" s="14">
        <f>IF(G120="","",MAX(0,G120*H120-I120))</f>
        <v/>
      </c>
      <c r="K120" s="14">
        <f>IF(A120="","",SUMIFS('分期缴税台账'!$K$2:$K$501,'分期缴税台账'!$A$2:$A$501,A120,'分期缴税台账'!$C$2:$C$501,C120))</f>
        <v/>
      </c>
      <c r="L120" s="14">
        <f>IF(J120="","",MAX(0,J120-K120))</f>
        <v/>
      </c>
      <c r="M120" s="6">
        <f>IF(A120="","",COUNTIFS('激励事件明细'!$C$2:$C$501,A120,'激励事件明细'!$H$2:$H$501,C120,'激励事件明细'!$Z$2:$Z$501,"&gt;0"))</f>
        <v/>
      </c>
      <c r="N120" s="6">
        <f>IF(O120="","",IFERROR(INDEX('激励事件明细'!$A$2:$A$501,MATCH(1,('激励事件明细'!$C$2:$C$501=A120)*('激励事件明细'!$H$2:$H$501=C120)*('激励事件明细'!$AB$2:$AB$501=O120),0)),""))</f>
        <v/>
      </c>
      <c r="O120" s="16">
        <f>IF(A120="","",IFERROR(AGGREGATE(15,6,'激励事件明细'!$AB$2:$AB$501/(('激励事件明细'!$C$2:$C$501=A120)*('激励事件明细'!$H$2:$H$501=C120)*('激励事件明细'!$Z$2:$Z$501&gt;0)),1),""))</f>
        <v/>
      </c>
      <c r="P120" s="6">
        <f>IF(A120="","",IF(K120&gt;J120,"异常：超额缴税",IF(L120=0,"已缴清",IF(AND(O120&lt;TODAY(),L120&gt;0),"逾期未缴","未缴清"))))</f>
        <v/>
      </c>
    </row>
    <row r="121">
      <c r="A121" s="11" t="n"/>
      <c r="B121" s="6">
        <f>IF(A121="","",IFERROR(INDEX('激励事件明细'!$D$2:$D$501,MATCH(A121,'激励事件明细'!$C$2:$C$501,0)),""))</f>
        <v/>
      </c>
      <c r="C121" s="11" t="n"/>
      <c r="D121" s="14">
        <f>IF(OR(A121="",C121=""),"",SUMIFS('激励事件明细'!$S$2:$S$501,'激励事件明细'!$C$2:$C$501,A121,'激励事件明细'!$H$2:$H$501,C121,'激励事件明细'!$F$2:$F$501,"股票期权"))</f>
        <v/>
      </c>
      <c r="E121" s="14">
        <f>IF(OR(A121="",C121=""),"",SUMIFS('激励事件明细'!$S$2:$S$501,'激励事件明细'!$C$2:$C$501,A121,'激励事件明细'!$H$2:$H$501,C121,'激励事件明细'!$F$2:$F$501,"限制性股票"))</f>
        <v/>
      </c>
      <c r="F121" s="14">
        <f>IF(OR(A121="",C121=""),"",SUMIFS('激励事件明细'!$S$2:$S$501,'激励事件明细'!$C$2:$C$501,A121,'激励事件明细'!$H$2:$H$501,C121,'激励事件明细'!$F$2:$F$501,"其他股权激励"))</f>
        <v/>
      </c>
      <c r="G121" s="14">
        <f>IF(A121="","",SUM(D121:F121))</f>
        <v/>
      </c>
      <c r="H121" s="15">
        <f>IF(G121="","",VLOOKUP(G121,'税率及规则'!$A$2:$C$8,2,TRUE))</f>
        <v/>
      </c>
      <c r="I121" s="14">
        <f>IF(G121="","",VLOOKUP(G121,'税率及规则'!$A$2:$C$8,3,TRUE))</f>
        <v/>
      </c>
      <c r="J121" s="14">
        <f>IF(G121="","",MAX(0,G121*H121-I121))</f>
        <v/>
      </c>
      <c r="K121" s="14">
        <f>IF(A121="","",SUMIFS('分期缴税台账'!$K$2:$K$501,'分期缴税台账'!$A$2:$A$501,A121,'分期缴税台账'!$C$2:$C$501,C121))</f>
        <v/>
      </c>
      <c r="L121" s="14">
        <f>IF(J121="","",MAX(0,J121-K121))</f>
        <v/>
      </c>
      <c r="M121" s="6">
        <f>IF(A121="","",COUNTIFS('激励事件明细'!$C$2:$C$501,A121,'激励事件明细'!$H$2:$H$501,C121,'激励事件明细'!$Z$2:$Z$501,"&gt;0"))</f>
        <v/>
      </c>
      <c r="N121" s="6">
        <f>IF(O121="","",IFERROR(INDEX('激励事件明细'!$A$2:$A$501,MATCH(1,('激励事件明细'!$C$2:$C$501=A121)*('激励事件明细'!$H$2:$H$501=C121)*('激励事件明细'!$AB$2:$AB$501=O121),0)),""))</f>
        <v/>
      </c>
      <c r="O121" s="16">
        <f>IF(A121="","",IFERROR(AGGREGATE(15,6,'激励事件明细'!$AB$2:$AB$501/(('激励事件明细'!$C$2:$C$501=A121)*('激励事件明细'!$H$2:$H$501=C121)*('激励事件明细'!$Z$2:$Z$501&gt;0)),1),""))</f>
        <v/>
      </c>
      <c r="P121" s="6">
        <f>IF(A121="","",IF(K121&gt;J121,"异常：超额缴税",IF(L121=0,"已缴清",IF(AND(O121&lt;TODAY(),L121&gt;0),"逾期未缴","未缴清"))))</f>
        <v/>
      </c>
    </row>
    <row r="122">
      <c r="A122" s="11" t="n"/>
      <c r="B122" s="6">
        <f>IF(A122="","",IFERROR(INDEX('激励事件明细'!$D$2:$D$501,MATCH(A122,'激励事件明细'!$C$2:$C$501,0)),""))</f>
        <v/>
      </c>
      <c r="C122" s="11" t="n"/>
      <c r="D122" s="14">
        <f>IF(OR(A122="",C122=""),"",SUMIFS('激励事件明细'!$S$2:$S$501,'激励事件明细'!$C$2:$C$501,A122,'激励事件明细'!$H$2:$H$501,C122,'激励事件明细'!$F$2:$F$501,"股票期权"))</f>
        <v/>
      </c>
      <c r="E122" s="14">
        <f>IF(OR(A122="",C122=""),"",SUMIFS('激励事件明细'!$S$2:$S$501,'激励事件明细'!$C$2:$C$501,A122,'激励事件明细'!$H$2:$H$501,C122,'激励事件明细'!$F$2:$F$501,"限制性股票"))</f>
        <v/>
      </c>
      <c r="F122" s="14">
        <f>IF(OR(A122="",C122=""),"",SUMIFS('激励事件明细'!$S$2:$S$501,'激励事件明细'!$C$2:$C$501,A122,'激励事件明细'!$H$2:$H$501,C122,'激励事件明细'!$F$2:$F$501,"其他股权激励"))</f>
        <v/>
      </c>
      <c r="G122" s="14">
        <f>IF(A122="","",SUM(D122:F122))</f>
        <v/>
      </c>
      <c r="H122" s="15">
        <f>IF(G122="","",VLOOKUP(G122,'税率及规则'!$A$2:$C$8,2,TRUE))</f>
        <v/>
      </c>
      <c r="I122" s="14">
        <f>IF(G122="","",VLOOKUP(G122,'税率及规则'!$A$2:$C$8,3,TRUE))</f>
        <v/>
      </c>
      <c r="J122" s="14">
        <f>IF(G122="","",MAX(0,G122*H122-I122))</f>
        <v/>
      </c>
      <c r="K122" s="14">
        <f>IF(A122="","",SUMIFS('分期缴税台账'!$K$2:$K$501,'分期缴税台账'!$A$2:$A$501,A122,'分期缴税台账'!$C$2:$C$501,C122))</f>
        <v/>
      </c>
      <c r="L122" s="14">
        <f>IF(J122="","",MAX(0,J122-K122))</f>
        <v/>
      </c>
      <c r="M122" s="6">
        <f>IF(A122="","",COUNTIFS('激励事件明细'!$C$2:$C$501,A122,'激励事件明细'!$H$2:$H$501,C122,'激励事件明细'!$Z$2:$Z$501,"&gt;0"))</f>
        <v/>
      </c>
      <c r="N122" s="6">
        <f>IF(O122="","",IFERROR(INDEX('激励事件明细'!$A$2:$A$501,MATCH(1,('激励事件明细'!$C$2:$C$501=A122)*('激励事件明细'!$H$2:$H$501=C122)*('激励事件明细'!$AB$2:$AB$501=O122),0)),""))</f>
        <v/>
      </c>
      <c r="O122" s="16">
        <f>IF(A122="","",IFERROR(AGGREGATE(15,6,'激励事件明细'!$AB$2:$AB$501/(('激励事件明细'!$C$2:$C$501=A122)*('激励事件明细'!$H$2:$H$501=C122)*('激励事件明细'!$Z$2:$Z$501&gt;0)),1),""))</f>
        <v/>
      </c>
      <c r="P122" s="6">
        <f>IF(A122="","",IF(K122&gt;J122,"异常：超额缴税",IF(L122=0,"已缴清",IF(AND(O122&lt;TODAY(),L122&gt;0),"逾期未缴","未缴清"))))</f>
        <v/>
      </c>
    </row>
    <row r="123">
      <c r="A123" s="11" t="n"/>
      <c r="B123" s="6">
        <f>IF(A123="","",IFERROR(INDEX('激励事件明细'!$D$2:$D$501,MATCH(A123,'激励事件明细'!$C$2:$C$501,0)),""))</f>
        <v/>
      </c>
      <c r="C123" s="11" t="n"/>
      <c r="D123" s="14">
        <f>IF(OR(A123="",C123=""),"",SUMIFS('激励事件明细'!$S$2:$S$501,'激励事件明细'!$C$2:$C$501,A123,'激励事件明细'!$H$2:$H$501,C123,'激励事件明细'!$F$2:$F$501,"股票期权"))</f>
        <v/>
      </c>
      <c r="E123" s="14">
        <f>IF(OR(A123="",C123=""),"",SUMIFS('激励事件明细'!$S$2:$S$501,'激励事件明细'!$C$2:$C$501,A123,'激励事件明细'!$H$2:$H$501,C123,'激励事件明细'!$F$2:$F$501,"限制性股票"))</f>
        <v/>
      </c>
      <c r="F123" s="14">
        <f>IF(OR(A123="",C123=""),"",SUMIFS('激励事件明细'!$S$2:$S$501,'激励事件明细'!$C$2:$C$501,A123,'激励事件明细'!$H$2:$H$501,C123,'激励事件明细'!$F$2:$F$501,"其他股权激励"))</f>
        <v/>
      </c>
      <c r="G123" s="14">
        <f>IF(A123="","",SUM(D123:F123))</f>
        <v/>
      </c>
      <c r="H123" s="15">
        <f>IF(G123="","",VLOOKUP(G123,'税率及规则'!$A$2:$C$8,2,TRUE))</f>
        <v/>
      </c>
      <c r="I123" s="14">
        <f>IF(G123="","",VLOOKUP(G123,'税率及规则'!$A$2:$C$8,3,TRUE))</f>
        <v/>
      </c>
      <c r="J123" s="14">
        <f>IF(G123="","",MAX(0,G123*H123-I123))</f>
        <v/>
      </c>
      <c r="K123" s="14">
        <f>IF(A123="","",SUMIFS('分期缴税台账'!$K$2:$K$501,'分期缴税台账'!$A$2:$A$501,A123,'分期缴税台账'!$C$2:$C$501,C123))</f>
        <v/>
      </c>
      <c r="L123" s="14">
        <f>IF(J123="","",MAX(0,J123-K123))</f>
        <v/>
      </c>
      <c r="M123" s="6">
        <f>IF(A123="","",COUNTIFS('激励事件明细'!$C$2:$C$501,A123,'激励事件明细'!$H$2:$H$501,C123,'激励事件明细'!$Z$2:$Z$501,"&gt;0"))</f>
        <v/>
      </c>
      <c r="N123" s="6">
        <f>IF(O123="","",IFERROR(INDEX('激励事件明细'!$A$2:$A$501,MATCH(1,('激励事件明细'!$C$2:$C$501=A123)*('激励事件明细'!$H$2:$H$501=C123)*('激励事件明细'!$AB$2:$AB$501=O123),0)),""))</f>
        <v/>
      </c>
      <c r="O123" s="16">
        <f>IF(A123="","",IFERROR(AGGREGATE(15,6,'激励事件明细'!$AB$2:$AB$501/(('激励事件明细'!$C$2:$C$501=A123)*('激励事件明细'!$H$2:$H$501=C123)*('激励事件明细'!$Z$2:$Z$501&gt;0)),1),""))</f>
        <v/>
      </c>
      <c r="P123" s="6">
        <f>IF(A123="","",IF(K123&gt;J123,"异常：超额缴税",IF(L123=0,"已缴清",IF(AND(O123&lt;TODAY(),L123&gt;0),"逾期未缴","未缴清"))))</f>
        <v/>
      </c>
    </row>
    <row r="124">
      <c r="A124" s="11" t="n"/>
      <c r="B124" s="6">
        <f>IF(A124="","",IFERROR(INDEX('激励事件明细'!$D$2:$D$501,MATCH(A124,'激励事件明细'!$C$2:$C$501,0)),""))</f>
        <v/>
      </c>
      <c r="C124" s="11" t="n"/>
      <c r="D124" s="14">
        <f>IF(OR(A124="",C124=""),"",SUMIFS('激励事件明细'!$S$2:$S$501,'激励事件明细'!$C$2:$C$501,A124,'激励事件明细'!$H$2:$H$501,C124,'激励事件明细'!$F$2:$F$501,"股票期权"))</f>
        <v/>
      </c>
      <c r="E124" s="14">
        <f>IF(OR(A124="",C124=""),"",SUMIFS('激励事件明细'!$S$2:$S$501,'激励事件明细'!$C$2:$C$501,A124,'激励事件明细'!$H$2:$H$501,C124,'激励事件明细'!$F$2:$F$501,"限制性股票"))</f>
        <v/>
      </c>
      <c r="F124" s="14">
        <f>IF(OR(A124="",C124=""),"",SUMIFS('激励事件明细'!$S$2:$S$501,'激励事件明细'!$C$2:$C$501,A124,'激励事件明细'!$H$2:$H$501,C124,'激励事件明细'!$F$2:$F$501,"其他股权激励"))</f>
        <v/>
      </c>
      <c r="G124" s="14">
        <f>IF(A124="","",SUM(D124:F124))</f>
        <v/>
      </c>
      <c r="H124" s="15">
        <f>IF(G124="","",VLOOKUP(G124,'税率及规则'!$A$2:$C$8,2,TRUE))</f>
        <v/>
      </c>
      <c r="I124" s="14">
        <f>IF(G124="","",VLOOKUP(G124,'税率及规则'!$A$2:$C$8,3,TRUE))</f>
        <v/>
      </c>
      <c r="J124" s="14">
        <f>IF(G124="","",MAX(0,G124*H124-I124))</f>
        <v/>
      </c>
      <c r="K124" s="14">
        <f>IF(A124="","",SUMIFS('分期缴税台账'!$K$2:$K$501,'分期缴税台账'!$A$2:$A$501,A124,'分期缴税台账'!$C$2:$C$501,C124))</f>
        <v/>
      </c>
      <c r="L124" s="14">
        <f>IF(J124="","",MAX(0,J124-K124))</f>
        <v/>
      </c>
      <c r="M124" s="6">
        <f>IF(A124="","",COUNTIFS('激励事件明细'!$C$2:$C$501,A124,'激励事件明细'!$H$2:$H$501,C124,'激励事件明细'!$Z$2:$Z$501,"&gt;0"))</f>
        <v/>
      </c>
      <c r="N124" s="6">
        <f>IF(O124="","",IFERROR(INDEX('激励事件明细'!$A$2:$A$501,MATCH(1,('激励事件明细'!$C$2:$C$501=A124)*('激励事件明细'!$H$2:$H$501=C124)*('激励事件明细'!$AB$2:$AB$501=O124),0)),""))</f>
        <v/>
      </c>
      <c r="O124" s="16">
        <f>IF(A124="","",IFERROR(AGGREGATE(15,6,'激励事件明细'!$AB$2:$AB$501/(('激励事件明细'!$C$2:$C$501=A124)*('激励事件明细'!$H$2:$H$501=C124)*('激励事件明细'!$Z$2:$Z$501&gt;0)),1),""))</f>
        <v/>
      </c>
      <c r="P124" s="6">
        <f>IF(A124="","",IF(K124&gt;J124,"异常：超额缴税",IF(L124=0,"已缴清",IF(AND(O124&lt;TODAY(),L124&gt;0),"逾期未缴","未缴清"))))</f>
        <v/>
      </c>
    </row>
    <row r="125">
      <c r="A125" s="11" t="n"/>
      <c r="B125" s="6">
        <f>IF(A125="","",IFERROR(INDEX('激励事件明细'!$D$2:$D$501,MATCH(A125,'激励事件明细'!$C$2:$C$501,0)),""))</f>
        <v/>
      </c>
      <c r="C125" s="11" t="n"/>
      <c r="D125" s="14">
        <f>IF(OR(A125="",C125=""),"",SUMIFS('激励事件明细'!$S$2:$S$501,'激励事件明细'!$C$2:$C$501,A125,'激励事件明细'!$H$2:$H$501,C125,'激励事件明细'!$F$2:$F$501,"股票期权"))</f>
        <v/>
      </c>
      <c r="E125" s="14">
        <f>IF(OR(A125="",C125=""),"",SUMIFS('激励事件明细'!$S$2:$S$501,'激励事件明细'!$C$2:$C$501,A125,'激励事件明细'!$H$2:$H$501,C125,'激励事件明细'!$F$2:$F$501,"限制性股票"))</f>
        <v/>
      </c>
      <c r="F125" s="14">
        <f>IF(OR(A125="",C125=""),"",SUMIFS('激励事件明细'!$S$2:$S$501,'激励事件明细'!$C$2:$C$501,A125,'激励事件明细'!$H$2:$H$501,C125,'激励事件明细'!$F$2:$F$501,"其他股权激励"))</f>
        <v/>
      </c>
      <c r="G125" s="14">
        <f>IF(A125="","",SUM(D125:F125))</f>
        <v/>
      </c>
      <c r="H125" s="15">
        <f>IF(G125="","",VLOOKUP(G125,'税率及规则'!$A$2:$C$8,2,TRUE))</f>
        <v/>
      </c>
      <c r="I125" s="14">
        <f>IF(G125="","",VLOOKUP(G125,'税率及规则'!$A$2:$C$8,3,TRUE))</f>
        <v/>
      </c>
      <c r="J125" s="14">
        <f>IF(G125="","",MAX(0,G125*H125-I125))</f>
        <v/>
      </c>
      <c r="K125" s="14">
        <f>IF(A125="","",SUMIFS('分期缴税台账'!$K$2:$K$501,'分期缴税台账'!$A$2:$A$501,A125,'分期缴税台账'!$C$2:$C$501,C125))</f>
        <v/>
      </c>
      <c r="L125" s="14">
        <f>IF(J125="","",MAX(0,J125-K125))</f>
        <v/>
      </c>
      <c r="M125" s="6">
        <f>IF(A125="","",COUNTIFS('激励事件明细'!$C$2:$C$501,A125,'激励事件明细'!$H$2:$H$501,C125,'激励事件明细'!$Z$2:$Z$501,"&gt;0"))</f>
        <v/>
      </c>
      <c r="N125" s="6">
        <f>IF(O125="","",IFERROR(INDEX('激励事件明细'!$A$2:$A$501,MATCH(1,('激励事件明细'!$C$2:$C$501=A125)*('激励事件明细'!$H$2:$H$501=C125)*('激励事件明细'!$AB$2:$AB$501=O125),0)),""))</f>
        <v/>
      </c>
      <c r="O125" s="16">
        <f>IF(A125="","",IFERROR(AGGREGATE(15,6,'激励事件明细'!$AB$2:$AB$501/(('激励事件明细'!$C$2:$C$501=A125)*('激励事件明细'!$H$2:$H$501=C125)*('激励事件明细'!$Z$2:$Z$501&gt;0)),1),""))</f>
        <v/>
      </c>
      <c r="P125" s="6">
        <f>IF(A125="","",IF(K125&gt;J125,"异常：超额缴税",IF(L125=0,"已缴清",IF(AND(O125&lt;TODAY(),L125&gt;0),"逾期未缴","未缴清"))))</f>
        <v/>
      </c>
    </row>
    <row r="126">
      <c r="A126" s="11" t="n"/>
      <c r="B126" s="6">
        <f>IF(A126="","",IFERROR(INDEX('激励事件明细'!$D$2:$D$501,MATCH(A126,'激励事件明细'!$C$2:$C$501,0)),""))</f>
        <v/>
      </c>
      <c r="C126" s="11" t="n"/>
      <c r="D126" s="14">
        <f>IF(OR(A126="",C126=""),"",SUMIFS('激励事件明细'!$S$2:$S$501,'激励事件明细'!$C$2:$C$501,A126,'激励事件明细'!$H$2:$H$501,C126,'激励事件明细'!$F$2:$F$501,"股票期权"))</f>
        <v/>
      </c>
      <c r="E126" s="14">
        <f>IF(OR(A126="",C126=""),"",SUMIFS('激励事件明细'!$S$2:$S$501,'激励事件明细'!$C$2:$C$501,A126,'激励事件明细'!$H$2:$H$501,C126,'激励事件明细'!$F$2:$F$501,"限制性股票"))</f>
        <v/>
      </c>
      <c r="F126" s="14">
        <f>IF(OR(A126="",C126=""),"",SUMIFS('激励事件明细'!$S$2:$S$501,'激励事件明细'!$C$2:$C$501,A126,'激励事件明细'!$H$2:$H$501,C126,'激励事件明细'!$F$2:$F$501,"其他股权激励"))</f>
        <v/>
      </c>
      <c r="G126" s="14">
        <f>IF(A126="","",SUM(D126:F126))</f>
        <v/>
      </c>
      <c r="H126" s="15">
        <f>IF(G126="","",VLOOKUP(G126,'税率及规则'!$A$2:$C$8,2,TRUE))</f>
        <v/>
      </c>
      <c r="I126" s="14">
        <f>IF(G126="","",VLOOKUP(G126,'税率及规则'!$A$2:$C$8,3,TRUE))</f>
        <v/>
      </c>
      <c r="J126" s="14">
        <f>IF(G126="","",MAX(0,G126*H126-I126))</f>
        <v/>
      </c>
      <c r="K126" s="14">
        <f>IF(A126="","",SUMIFS('分期缴税台账'!$K$2:$K$501,'分期缴税台账'!$A$2:$A$501,A126,'分期缴税台账'!$C$2:$C$501,C126))</f>
        <v/>
      </c>
      <c r="L126" s="14">
        <f>IF(J126="","",MAX(0,J126-K126))</f>
        <v/>
      </c>
      <c r="M126" s="6">
        <f>IF(A126="","",COUNTIFS('激励事件明细'!$C$2:$C$501,A126,'激励事件明细'!$H$2:$H$501,C126,'激励事件明细'!$Z$2:$Z$501,"&gt;0"))</f>
        <v/>
      </c>
      <c r="N126" s="6">
        <f>IF(O126="","",IFERROR(INDEX('激励事件明细'!$A$2:$A$501,MATCH(1,('激励事件明细'!$C$2:$C$501=A126)*('激励事件明细'!$H$2:$H$501=C126)*('激励事件明细'!$AB$2:$AB$501=O126),0)),""))</f>
        <v/>
      </c>
      <c r="O126" s="16">
        <f>IF(A126="","",IFERROR(AGGREGATE(15,6,'激励事件明细'!$AB$2:$AB$501/(('激励事件明细'!$C$2:$C$501=A126)*('激励事件明细'!$H$2:$H$501=C126)*('激励事件明细'!$Z$2:$Z$501&gt;0)),1),""))</f>
        <v/>
      </c>
      <c r="P126" s="6">
        <f>IF(A126="","",IF(K126&gt;J126,"异常：超额缴税",IF(L126=0,"已缴清",IF(AND(O126&lt;TODAY(),L126&gt;0),"逾期未缴","未缴清"))))</f>
        <v/>
      </c>
    </row>
    <row r="127">
      <c r="A127" s="11" t="n"/>
      <c r="B127" s="6">
        <f>IF(A127="","",IFERROR(INDEX('激励事件明细'!$D$2:$D$501,MATCH(A127,'激励事件明细'!$C$2:$C$501,0)),""))</f>
        <v/>
      </c>
      <c r="C127" s="11" t="n"/>
      <c r="D127" s="14">
        <f>IF(OR(A127="",C127=""),"",SUMIFS('激励事件明细'!$S$2:$S$501,'激励事件明细'!$C$2:$C$501,A127,'激励事件明细'!$H$2:$H$501,C127,'激励事件明细'!$F$2:$F$501,"股票期权"))</f>
        <v/>
      </c>
      <c r="E127" s="14">
        <f>IF(OR(A127="",C127=""),"",SUMIFS('激励事件明细'!$S$2:$S$501,'激励事件明细'!$C$2:$C$501,A127,'激励事件明细'!$H$2:$H$501,C127,'激励事件明细'!$F$2:$F$501,"限制性股票"))</f>
        <v/>
      </c>
      <c r="F127" s="14">
        <f>IF(OR(A127="",C127=""),"",SUMIFS('激励事件明细'!$S$2:$S$501,'激励事件明细'!$C$2:$C$501,A127,'激励事件明细'!$H$2:$H$501,C127,'激励事件明细'!$F$2:$F$501,"其他股权激励"))</f>
        <v/>
      </c>
      <c r="G127" s="14">
        <f>IF(A127="","",SUM(D127:F127))</f>
        <v/>
      </c>
      <c r="H127" s="15">
        <f>IF(G127="","",VLOOKUP(G127,'税率及规则'!$A$2:$C$8,2,TRUE))</f>
        <v/>
      </c>
      <c r="I127" s="14">
        <f>IF(G127="","",VLOOKUP(G127,'税率及规则'!$A$2:$C$8,3,TRUE))</f>
        <v/>
      </c>
      <c r="J127" s="14">
        <f>IF(G127="","",MAX(0,G127*H127-I127))</f>
        <v/>
      </c>
      <c r="K127" s="14">
        <f>IF(A127="","",SUMIFS('分期缴税台账'!$K$2:$K$501,'分期缴税台账'!$A$2:$A$501,A127,'分期缴税台账'!$C$2:$C$501,C127))</f>
        <v/>
      </c>
      <c r="L127" s="14">
        <f>IF(J127="","",MAX(0,J127-K127))</f>
        <v/>
      </c>
      <c r="M127" s="6">
        <f>IF(A127="","",COUNTIFS('激励事件明细'!$C$2:$C$501,A127,'激励事件明细'!$H$2:$H$501,C127,'激励事件明细'!$Z$2:$Z$501,"&gt;0"))</f>
        <v/>
      </c>
      <c r="N127" s="6">
        <f>IF(O127="","",IFERROR(INDEX('激励事件明细'!$A$2:$A$501,MATCH(1,('激励事件明细'!$C$2:$C$501=A127)*('激励事件明细'!$H$2:$H$501=C127)*('激励事件明细'!$AB$2:$AB$501=O127),0)),""))</f>
        <v/>
      </c>
      <c r="O127" s="16">
        <f>IF(A127="","",IFERROR(AGGREGATE(15,6,'激励事件明细'!$AB$2:$AB$501/(('激励事件明细'!$C$2:$C$501=A127)*('激励事件明细'!$H$2:$H$501=C127)*('激励事件明细'!$Z$2:$Z$501&gt;0)),1),""))</f>
        <v/>
      </c>
      <c r="P127" s="6">
        <f>IF(A127="","",IF(K127&gt;J127,"异常：超额缴税",IF(L127=0,"已缴清",IF(AND(O127&lt;TODAY(),L127&gt;0),"逾期未缴","未缴清"))))</f>
        <v/>
      </c>
    </row>
    <row r="128">
      <c r="A128" s="11" t="n"/>
      <c r="B128" s="6">
        <f>IF(A128="","",IFERROR(INDEX('激励事件明细'!$D$2:$D$501,MATCH(A128,'激励事件明细'!$C$2:$C$501,0)),""))</f>
        <v/>
      </c>
      <c r="C128" s="11" t="n"/>
      <c r="D128" s="14">
        <f>IF(OR(A128="",C128=""),"",SUMIFS('激励事件明细'!$S$2:$S$501,'激励事件明细'!$C$2:$C$501,A128,'激励事件明细'!$H$2:$H$501,C128,'激励事件明细'!$F$2:$F$501,"股票期权"))</f>
        <v/>
      </c>
      <c r="E128" s="14">
        <f>IF(OR(A128="",C128=""),"",SUMIFS('激励事件明细'!$S$2:$S$501,'激励事件明细'!$C$2:$C$501,A128,'激励事件明细'!$H$2:$H$501,C128,'激励事件明细'!$F$2:$F$501,"限制性股票"))</f>
        <v/>
      </c>
      <c r="F128" s="14">
        <f>IF(OR(A128="",C128=""),"",SUMIFS('激励事件明细'!$S$2:$S$501,'激励事件明细'!$C$2:$C$501,A128,'激励事件明细'!$H$2:$H$501,C128,'激励事件明细'!$F$2:$F$501,"其他股权激励"))</f>
        <v/>
      </c>
      <c r="G128" s="14">
        <f>IF(A128="","",SUM(D128:F128))</f>
        <v/>
      </c>
      <c r="H128" s="15">
        <f>IF(G128="","",VLOOKUP(G128,'税率及规则'!$A$2:$C$8,2,TRUE))</f>
        <v/>
      </c>
      <c r="I128" s="14">
        <f>IF(G128="","",VLOOKUP(G128,'税率及规则'!$A$2:$C$8,3,TRUE))</f>
        <v/>
      </c>
      <c r="J128" s="14">
        <f>IF(G128="","",MAX(0,G128*H128-I128))</f>
        <v/>
      </c>
      <c r="K128" s="14">
        <f>IF(A128="","",SUMIFS('分期缴税台账'!$K$2:$K$501,'分期缴税台账'!$A$2:$A$501,A128,'分期缴税台账'!$C$2:$C$501,C128))</f>
        <v/>
      </c>
      <c r="L128" s="14">
        <f>IF(J128="","",MAX(0,J128-K128))</f>
        <v/>
      </c>
      <c r="M128" s="6">
        <f>IF(A128="","",COUNTIFS('激励事件明细'!$C$2:$C$501,A128,'激励事件明细'!$H$2:$H$501,C128,'激励事件明细'!$Z$2:$Z$501,"&gt;0"))</f>
        <v/>
      </c>
      <c r="N128" s="6">
        <f>IF(O128="","",IFERROR(INDEX('激励事件明细'!$A$2:$A$501,MATCH(1,('激励事件明细'!$C$2:$C$501=A128)*('激励事件明细'!$H$2:$H$501=C128)*('激励事件明细'!$AB$2:$AB$501=O128),0)),""))</f>
        <v/>
      </c>
      <c r="O128" s="16">
        <f>IF(A128="","",IFERROR(AGGREGATE(15,6,'激励事件明细'!$AB$2:$AB$501/(('激励事件明细'!$C$2:$C$501=A128)*('激励事件明细'!$H$2:$H$501=C128)*('激励事件明细'!$Z$2:$Z$501&gt;0)),1),""))</f>
        <v/>
      </c>
      <c r="P128" s="6">
        <f>IF(A128="","",IF(K128&gt;J128,"异常：超额缴税",IF(L128=0,"已缴清",IF(AND(O128&lt;TODAY(),L128&gt;0),"逾期未缴","未缴清"))))</f>
        <v/>
      </c>
    </row>
    <row r="129">
      <c r="A129" s="11" t="n"/>
      <c r="B129" s="6">
        <f>IF(A129="","",IFERROR(INDEX('激励事件明细'!$D$2:$D$501,MATCH(A129,'激励事件明细'!$C$2:$C$501,0)),""))</f>
        <v/>
      </c>
      <c r="C129" s="11" t="n"/>
      <c r="D129" s="14">
        <f>IF(OR(A129="",C129=""),"",SUMIFS('激励事件明细'!$S$2:$S$501,'激励事件明细'!$C$2:$C$501,A129,'激励事件明细'!$H$2:$H$501,C129,'激励事件明细'!$F$2:$F$501,"股票期权"))</f>
        <v/>
      </c>
      <c r="E129" s="14">
        <f>IF(OR(A129="",C129=""),"",SUMIFS('激励事件明细'!$S$2:$S$501,'激励事件明细'!$C$2:$C$501,A129,'激励事件明细'!$H$2:$H$501,C129,'激励事件明细'!$F$2:$F$501,"限制性股票"))</f>
        <v/>
      </c>
      <c r="F129" s="14">
        <f>IF(OR(A129="",C129=""),"",SUMIFS('激励事件明细'!$S$2:$S$501,'激励事件明细'!$C$2:$C$501,A129,'激励事件明细'!$H$2:$H$501,C129,'激励事件明细'!$F$2:$F$501,"其他股权激励"))</f>
        <v/>
      </c>
      <c r="G129" s="14">
        <f>IF(A129="","",SUM(D129:F129))</f>
        <v/>
      </c>
      <c r="H129" s="15">
        <f>IF(G129="","",VLOOKUP(G129,'税率及规则'!$A$2:$C$8,2,TRUE))</f>
        <v/>
      </c>
      <c r="I129" s="14">
        <f>IF(G129="","",VLOOKUP(G129,'税率及规则'!$A$2:$C$8,3,TRUE))</f>
        <v/>
      </c>
      <c r="J129" s="14">
        <f>IF(G129="","",MAX(0,G129*H129-I129))</f>
        <v/>
      </c>
      <c r="K129" s="14">
        <f>IF(A129="","",SUMIFS('分期缴税台账'!$K$2:$K$501,'分期缴税台账'!$A$2:$A$501,A129,'分期缴税台账'!$C$2:$C$501,C129))</f>
        <v/>
      </c>
      <c r="L129" s="14">
        <f>IF(J129="","",MAX(0,J129-K129))</f>
        <v/>
      </c>
      <c r="M129" s="6">
        <f>IF(A129="","",COUNTIFS('激励事件明细'!$C$2:$C$501,A129,'激励事件明细'!$H$2:$H$501,C129,'激励事件明细'!$Z$2:$Z$501,"&gt;0"))</f>
        <v/>
      </c>
      <c r="N129" s="6">
        <f>IF(O129="","",IFERROR(INDEX('激励事件明细'!$A$2:$A$501,MATCH(1,('激励事件明细'!$C$2:$C$501=A129)*('激励事件明细'!$H$2:$H$501=C129)*('激励事件明细'!$AB$2:$AB$501=O129),0)),""))</f>
        <v/>
      </c>
      <c r="O129" s="16">
        <f>IF(A129="","",IFERROR(AGGREGATE(15,6,'激励事件明细'!$AB$2:$AB$501/(('激励事件明细'!$C$2:$C$501=A129)*('激励事件明细'!$H$2:$H$501=C129)*('激励事件明细'!$Z$2:$Z$501&gt;0)),1),""))</f>
        <v/>
      </c>
      <c r="P129" s="6">
        <f>IF(A129="","",IF(K129&gt;J129,"异常：超额缴税",IF(L129=0,"已缴清",IF(AND(O129&lt;TODAY(),L129&gt;0),"逾期未缴","未缴清"))))</f>
        <v/>
      </c>
    </row>
    <row r="130">
      <c r="A130" s="11" t="n"/>
      <c r="B130" s="6">
        <f>IF(A130="","",IFERROR(INDEX('激励事件明细'!$D$2:$D$501,MATCH(A130,'激励事件明细'!$C$2:$C$501,0)),""))</f>
        <v/>
      </c>
      <c r="C130" s="11" t="n"/>
      <c r="D130" s="14">
        <f>IF(OR(A130="",C130=""),"",SUMIFS('激励事件明细'!$S$2:$S$501,'激励事件明细'!$C$2:$C$501,A130,'激励事件明细'!$H$2:$H$501,C130,'激励事件明细'!$F$2:$F$501,"股票期权"))</f>
        <v/>
      </c>
      <c r="E130" s="14">
        <f>IF(OR(A130="",C130=""),"",SUMIFS('激励事件明细'!$S$2:$S$501,'激励事件明细'!$C$2:$C$501,A130,'激励事件明细'!$H$2:$H$501,C130,'激励事件明细'!$F$2:$F$501,"限制性股票"))</f>
        <v/>
      </c>
      <c r="F130" s="14">
        <f>IF(OR(A130="",C130=""),"",SUMIFS('激励事件明细'!$S$2:$S$501,'激励事件明细'!$C$2:$C$501,A130,'激励事件明细'!$H$2:$H$501,C130,'激励事件明细'!$F$2:$F$501,"其他股权激励"))</f>
        <v/>
      </c>
      <c r="G130" s="14">
        <f>IF(A130="","",SUM(D130:F130))</f>
        <v/>
      </c>
      <c r="H130" s="15">
        <f>IF(G130="","",VLOOKUP(G130,'税率及规则'!$A$2:$C$8,2,TRUE))</f>
        <v/>
      </c>
      <c r="I130" s="14">
        <f>IF(G130="","",VLOOKUP(G130,'税率及规则'!$A$2:$C$8,3,TRUE))</f>
        <v/>
      </c>
      <c r="J130" s="14">
        <f>IF(G130="","",MAX(0,G130*H130-I130))</f>
        <v/>
      </c>
      <c r="K130" s="14">
        <f>IF(A130="","",SUMIFS('分期缴税台账'!$K$2:$K$501,'分期缴税台账'!$A$2:$A$501,A130,'分期缴税台账'!$C$2:$C$501,C130))</f>
        <v/>
      </c>
      <c r="L130" s="14">
        <f>IF(J130="","",MAX(0,J130-K130))</f>
        <v/>
      </c>
      <c r="M130" s="6">
        <f>IF(A130="","",COUNTIFS('激励事件明细'!$C$2:$C$501,A130,'激励事件明细'!$H$2:$H$501,C130,'激励事件明细'!$Z$2:$Z$501,"&gt;0"))</f>
        <v/>
      </c>
      <c r="N130" s="6">
        <f>IF(O130="","",IFERROR(INDEX('激励事件明细'!$A$2:$A$501,MATCH(1,('激励事件明细'!$C$2:$C$501=A130)*('激励事件明细'!$H$2:$H$501=C130)*('激励事件明细'!$AB$2:$AB$501=O130),0)),""))</f>
        <v/>
      </c>
      <c r="O130" s="16">
        <f>IF(A130="","",IFERROR(AGGREGATE(15,6,'激励事件明细'!$AB$2:$AB$501/(('激励事件明细'!$C$2:$C$501=A130)*('激励事件明细'!$H$2:$H$501=C130)*('激励事件明细'!$Z$2:$Z$501&gt;0)),1),""))</f>
        <v/>
      </c>
      <c r="P130" s="6">
        <f>IF(A130="","",IF(K130&gt;J130,"异常：超额缴税",IF(L130=0,"已缴清",IF(AND(O130&lt;TODAY(),L130&gt;0),"逾期未缴","未缴清"))))</f>
        <v/>
      </c>
    </row>
    <row r="131">
      <c r="A131" s="11" t="n"/>
      <c r="B131" s="6">
        <f>IF(A131="","",IFERROR(INDEX('激励事件明细'!$D$2:$D$501,MATCH(A131,'激励事件明细'!$C$2:$C$501,0)),""))</f>
        <v/>
      </c>
      <c r="C131" s="11" t="n"/>
      <c r="D131" s="14">
        <f>IF(OR(A131="",C131=""),"",SUMIFS('激励事件明细'!$S$2:$S$501,'激励事件明细'!$C$2:$C$501,A131,'激励事件明细'!$H$2:$H$501,C131,'激励事件明细'!$F$2:$F$501,"股票期权"))</f>
        <v/>
      </c>
      <c r="E131" s="14">
        <f>IF(OR(A131="",C131=""),"",SUMIFS('激励事件明细'!$S$2:$S$501,'激励事件明细'!$C$2:$C$501,A131,'激励事件明细'!$H$2:$H$501,C131,'激励事件明细'!$F$2:$F$501,"限制性股票"))</f>
        <v/>
      </c>
      <c r="F131" s="14">
        <f>IF(OR(A131="",C131=""),"",SUMIFS('激励事件明细'!$S$2:$S$501,'激励事件明细'!$C$2:$C$501,A131,'激励事件明细'!$H$2:$H$501,C131,'激励事件明细'!$F$2:$F$501,"其他股权激励"))</f>
        <v/>
      </c>
      <c r="G131" s="14">
        <f>IF(A131="","",SUM(D131:F131))</f>
        <v/>
      </c>
      <c r="H131" s="15">
        <f>IF(G131="","",VLOOKUP(G131,'税率及规则'!$A$2:$C$8,2,TRUE))</f>
        <v/>
      </c>
      <c r="I131" s="14">
        <f>IF(G131="","",VLOOKUP(G131,'税率及规则'!$A$2:$C$8,3,TRUE))</f>
        <v/>
      </c>
      <c r="J131" s="14">
        <f>IF(G131="","",MAX(0,G131*H131-I131))</f>
        <v/>
      </c>
      <c r="K131" s="14">
        <f>IF(A131="","",SUMIFS('分期缴税台账'!$K$2:$K$501,'分期缴税台账'!$A$2:$A$501,A131,'分期缴税台账'!$C$2:$C$501,C131))</f>
        <v/>
      </c>
      <c r="L131" s="14">
        <f>IF(J131="","",MAX(0,J131-K131))</f>
        <v/>
      </c>
      <c r="M131" s="6">
        <f>IF(A131="","",COUNTIFS('激励事件明细'!$C$2:$C$501,A131,'激励事件明细'!$H$2:$H$501,C131,'激励事件明细'!$Z$2:$Z$501,"&gt;0"))</f>
        <v/>
      </c>
      <c r="N131" s="6">
        <f>IF(O131="","",IFERROR(INDEX('激励事件明细'!$A$2:$A$501,MATCH(1,('激励事件明细'!$C$2:$C$501=A131)*('激励事件明细'!$H$2:$H$501=C131)*('激励事件明细'!$AB$2:$AB$501=O131),0)),""))</f>
        <v/>
      </c>
      <c r="O131" s="16">
        <f>IF(A131="","",IFERROR(AGGREGATE(15,6,'激励事件明细'!$AB$2:$AB$501/(('激励事件明细'!$C$2:$C$501=A131)*('激励事件明细'!$H$2:$H$501=C131)*('激励事件明细'!$Z$2:$Z$501&gt;0)),1),""))</f>
        <v/>
      </c>
      <c r="P131" s="6">
        <f>IF(A131="","",IF(K131&gt;J131,"异常：超额缴税",IF(L131=0,"已缴清",IF(AND(O131&lt;TODAY(),L131&gt;0),"逾期未缴","未缴清"))))</f>
        <v/>
      </c>
    </row>
    <row r="132">
      <c r="A132" s="11" t="n"/>
      <c r="B132" s="6">
        <f>IF(A132="","",IFERROR(INDEX('激励事件明细'!$D$2:$D$501,MATCH(A132,'激励事件明细'!$C$2:$C$501,0)),""))</f>
        <v/>
      </c>
      <c r="C132" s="11" t="n"/>
      <c r="D132" s="14">
        <f>IF(OR(A132="",C132=""),"",SUMIFS('激励事件明细'!$S$2:$S$501,'激励事件明细'!$C$2:$C$501,A132,'激励事件明细'!$H$2:$H$501,C132,'激励事件明细'!$F$2:$F$501,"股票期权"))</f>
        <v/>
      </c>
      <c r="E132" s="14">
        <f>IF(OR(A132="",C132=""),"",SUMIFS('激励事件明细'!$S$2:$S$501,'激励事件明细'!$C$2:$C$501,A132,'激励事件明细'!$H$2:$H$501,C132,'激励事件明细'!$F$2:$F$501,"限制性股票"))</f>
        <v/>
      </c>
      <c r="F132" s="14">
        <f>IF(OR(A132="",C132=""),"",SUMIFS('激励事件明细'!$S$2:$S$501,'激励事件明细'!$C$2:$C$501,A132,'激励事件明细'!$H$2:$H$501,C132,'激励事件明细'!$F$2:$F$501,"其他股权激励"))</f>
        <v/>
      </c>
      <c r="G132" s="14">
        <f>IF(A132="","",SUM(D132:F132))</f>
        <v/>
      </c>
      <c r="H132" s="15">
        <f>IF(G132="","",VLOOKUP(G132,'税率及规则'!$A$2:$C$8,2,TRUE))</f>
        <v/>
      </c>
      <c r="I132" s="14">
        <f>IF(G132="","",VLOOKUP(G132,'税率及规则'!$A$2:$C$8,3,TRUE))</f>
        <v/>
      </c>
      <c r="J132" s="14">
        <f>IF(G132="","",MAX(0,G132*H132-I132))</f>
        <v/>
      </c>
      <c r="K132" s="14">
        <f>IF(A132="","",SUMIFS('分期缴税台账'!$K$2:$K$501,'分期缴税台账'!$A$2:$A$501,A132,'分期缴税台账'!$C$2:$C$501,C132))</f>
        <v/>
      </c>
      <c r="L132" s="14">
        <f>IF(J132="","",MAX(0,J132-K132))</f>
        <v/>
      </c>
      <c r="M132" s="6">
        <f>IF(A132="","",COUNTIFS('激励事件明细'!$C$2:$C$501,A132,'激励事件明细'!$H$2:$H$501,C132,'激励事件明细'!$Z$2:$Z$501,"&gt;0"))</f>
        <v/>
      </c>
      <c r="N132" s="6">
        <f>IF(O132="","",IFERROR(INDEX('激励事件明细'!$A$2:$A$501,MATCH(1,('激励事件明细'!$C$2:$C$501=A132)*('激励事件明细'!$H$2:$H$501=C132)*('激励事件明细'!$AB$2:$AB$501=O132),0)),""))</f>
        <v/>
      </c>
      <c r="O132" s="16">
        <f>IF(A132="","",IFERROR(AGGREGATE(15,6,'激励事件明细'!$AB$2:$AB$501/(('激励事件明细'!$C$2:$C$501=A132)*('激励事件明细'!$H$2:$H$501=C132)*('激励事件明细'!$Z$2:$Z$501&gt;0)),1),""))</f>
        <v/>
      </c>
      <c r="P132" s="6">
        <f>IF(A132="","",IF(K132&gt;J132,"异常：超额缴税",IF(L132=0,"已缴清",IF(AND(O132&lt;TODAY(),L132&gt;0),"逾期未缴","未缴清"))))</f>
        <v/>
      </c>
    </row>
    <row r="133">
      <c r="A133" s="11" t="n"/>
      <c r="B133" s="6">
        <f>IF(A133="","",IFERROR(INDEX('激励事件明细'!$D$2:$D$501,MATCH(A133,'激励事件明细'!$C$2:$C$501,0)),""))</f>
        <v/>
      </c>
      <c r="C133" s="11" t="n"/>
      <c r="D133" s="14">
        <f>IF(OR(A133="",C133=""),"",SUMIFS('激励事件明细'!$S$2:$S$501,'激励事件明细'!$C$2:$C$501,A133,'激励事件明细'!$H$2:$H$501,C133,'激励事件明细'!$F$2:$F$501,"股票期权"))</f>
        <v/>
      </c>
      <c r="E133" s="14">
        <f>IF(OR(A133="",C133=""),"",SUMIFS('激励事件明细'!$S$2:$S$501,'激励事件明细'!$C$2:$C$501,A133,'激励事件明细'!$H$2:$H$501,C133,'激励事件明细'!$F$2:$F$501,"限制性股票"))</f>
        <v/>
      </c>
      <c r="F133" s="14">
        <f>IF(OR(A133="",C133=""),"",SUMIFS('激励事件明细'!$S$2:$S$501,'激励事件明细'!$C$2:$C$501,A133,'激励事件明细'!$H$2:$H$501,C133,'激励事件明细'!$F$2:$F$501,"其他股权激励"))</f>
        <v/>
      </c>
      <c r="G133" s="14">
        <f>IF(A133="","",SUM(D133:F133))</f>
        <v/>
      </c>
      <c r="H133" s="15">
        <f>IF(G133="","",VLOOKUP(G133,'税率及规则'!$A$2:$C$8,2,TRUE))</f>
        <v/>
      </c>
      <c r="I133" s="14">
        <f>IF(G133="","",VLOOKUP(G133,'税率及规则'!$A$2:$C$8,3,TRUE))</f>
        <v/>
      </c>
      <c r="J133" s="14">
        <f>IF(G133="","",MAX(0,G133*H133-I133))</f>
        <v/>
      </c>
      <c r="K133" s="14">
        <f>IF(A133="","",SUMIFS('分期缴税台账'!$K$2:$K$501,'分期缴税台账'!$A$2:$A$501,A133,'分期缴税台账'!$C$2:$C$501,C133))</f>
        <v/>
      </c>
      <c r="L133" s="14">
        <f>IF(J133="","",MAX(0,J133-K133))</f>
        <v/>
      </c>
      <c r="M133" s="6">
        <f>IF(A133="","",COUNTIFS('激励事件明细'!$C$2:$C$501,A133,'激励事件明细'!$H$2:$H$501,C133,'激励事件明细'!$Z$2:$Z$501,"&gt;0"))</f>
        <v/>
      </c>
      <c r="N133" s="6">
        <f>IF(O133="","",IFERROR(INDEX('激励事件明细'!$A$2:$A$501,MATCH(1,('激励事件明细'!$C$2:$C$501=A133)*('激励事件明细'!$H$2:$H$501=C133)*('激励事件明细'!$AB$2:$AB$501=O133),0)),""))</f>
        <v/>
      </c>
      <c r="O133" s="16">
        <f>IF(A133="","",IFERROR(AGGREGATE(15,6,'激励事件明细'!$AB$2:$AB$501/(('激励事件明细'!$C$2:$C$501=A133)*('激励事件明细'!$H$2:$H$501=C133)*('激励事件明细'!$Z$2:$Z$501&gt;0)),1),""))</f>
        <v/>
      </c>
      <c r="P133" s="6">
        <f>IF(A133="","",IF(K133&gt;J133,"异常：超额缴税",IF(L133=0,"已缴清",IF(AND(O133&lt;TODAY(),L133&gt;0),"逾期未缴","未缴清"))))</f>
        <v/>
      </c>
    </row>
    <row r="134">
      <c r="A134" s="11" t="n"/>
      <c r="B134" s="6">
        <f>IF(A134="","",IFERROR(INDEX('激励事件明细'!$D$2:$D$501,MATCH(A134,'激励事件明细'!$C$2:$C$501,0)),""))</f>
        <v/>
      </c>
      <c r="C134" s="11" t="n"/>
      <c r="D134" s="14">
        <f>IF(OR(A134="",C134=""),"",SUMIFS('激励事件明细'!$S$2:$S$501,'激励事件明细'!$C$2:$C$501,A134,'激励事件明细'!$H$2:$H$501,C134,'激励事件明细'!$F$2:$F$501,"股票期权"))</f>
        <v/>
      </c>
      <c r="E134" s="14">
        <f>IF(OR(A134="",C134=""),"",SUMIFS('激励事件明细'!$S$2:$S$501,'激励事件明细'!$C$2:$C$501,A134,'激励事件明细'!$H$2:$H$501,C134,'激励事件明细'!$F$2:$F$501,"限制性股票"))</f>
        <v/>
      </c>
      <c r="F134" s="14">
        <f>IF(OR(A134="",C134=""),"",SUMIFS('激励事件明细'!$S$2:$S$501,'激励事件明细'!$C$2:$C$501,A134,'激励事件明细'!$H$2:$H$501,C134,'激励事件明细'!$F$2:$F$501,"其他股权激励"))</f>
        <v/>
      </c>
      <c r="G134" s="14">
        <f>IF(A134="","",SUM(D134:F134))</f>
        <v/>
      </c>
      <c r="H134" s="15">
        <f>IF(G134="","",VLOOKUP(G134,'税率及规则'!$A$2:$C$8,2,TRUE))</f>
        <v/>
      </c>
      <c r="I134" s="14">
        <f>IF(G134="","",VLOOKUP(G134,'税率及规则'!$A$2:$C$8,3,TRUE))</f>
        <v/>
      </c>
      <c r="J134" s="14">
        <f>IF(G134="","",MAX(0,G134*H134-I134))</f>
        <v/>
      </c>
      <c r="K134" s="14">
        <f>IF(A134="","",SUMIFS('分期缴税台账'!$K$2:$K$501,'分期缴税台账'!$A$2:$A$501,A134,'分期缴税台账'!$C$2:$C$501,C134))</f>
        <v/>
      </c>
      <c r="L134" s="14">
        <f>IF(J134="","",MAX(0,J134-K134))</f>
        <v/>
      </c>
      <c r="M134" s="6">
        <f>IF(A134="","",COUNTIFS('激励事件明细'!$C$2:$C$501,A134,'激励事件明细'!$H$2:$H$501,C134,'激励事件明细'!$Z$2:$Z$501,"&gt;0"))</f>
        <v/>
      </c>
      <c r="N134" s="6">
        <f>IF(O134="","",IFERROR(INDEX('激励事件明细'!$A$2:$A$501,MATCH(1,('激励事件明细'!$C$2:$C$501=A134)*('激励事件明细'!$H$2:$H$501=C134)*('激励事件明细'!$AB$2:$AB$501=O134),0)),""))</f>
        <v/>
      </c>
      <c r="O134" s="16">
        <f>IF(A134="","",IFERROR(AGGREGATE(15,6,'激励事件明细'!$AB$2:$AB$501/(('激励事件明细'!$C$2:$C$501=A134)*('激励事件明细'!$H$2:$H$501=C134)*('激励事件明细'!$Z$2:$Z$501&gt;0)),1),""))</f>
        <v/>
      </c>
      <c r="P134" s="6">
        <f>IF(A134="","",IF(K134&gt;J134,"异常：超额缴税",IF(L134=0,"已缴清",IF(AND(O134&lt;TODAY(),L134&gt;0),"逾期未缴","未缴清"))))</f>
        <v/>
      </c>
    </row>
    <row r="135">
      <c r="A135" s="11" t="n"/>
      <c r="B135" s="6">
        <f>IF(A135="","",IFERROR(INDEX('激励事件明细'!$D$2:$D$501,MATCH(A135,'激励事件明细'!$C$2:$C$501,0)),""))</f>
        <v/>
      </c>
      <c r="C135" s="11" t="n"/>
      <c r="D135" s="14">
        <f>IF(OR(A135="",C135=""),"",SUMIFS('激励事件明细'!$S$2:$S$501,'激励事件明细'!$C$2:$C$501,A135,'激励事件明细'!$H$2:$H$501,C135,'激励事件明细'!$F$2:$F$501,"股票期权"))</f>
        <v/>
      </c>
      <c r="E135" s="14">
        <f>IF(OR(A135="",C135=""),"",SUMIFS('激励事件明细'!$S$2:$S$501,'激励事件明细'!$C$2:$C$501,A135,'激励事件明细'!$H$2:$H$501,C135,'激励事件明细'!$F$2:$F$501,"限制性股票"))</f>
        <v/>
      </c>
      <c r="F135" s="14">
        <f>IF(OR(A135="",C135=""),"",SUMIFS('激励事件明细'!$S$2:$S$501,'激励事件明细'!$C$2:$C$501,A135,'激励事件明细'!$H$2:$H$501,C135,'激励事件明细'!$F$2:$F$501,"其他股权激励"))</f>
        <v/>
      </c>
      <c r="G135" s="14">
        <f>IF(A135="","",SUM(D135:F135))</f>
        <v/>
      </c>
      <c r="H135" s="15">
        <f>IF(G135="","",VLOOKUP(G135,'税率及规则'!$A$2:$C$8,2,TRUE))</f>
        <v/>
      </c>
      <c r="I135" s="14">
        <f>IF(G135="","",VLOOKUP(G135,'税率及规则'!$A$2:$C$8,3,TRUE))</f>
        <v/>
      </c>
      <c r="J135" s="14">
        <f>IF(G135="","",MAX(0,G135*H135-I135))</f>
        <v/>
      </c>
      <c r="K135" s="14">
        <f>IF(A135="","",SUMIFS('分期缴税台账'!$K$2:$K$501,'分期缴税台账'!$A$2:$A$501,A135,'分期缴税台账'!$C$2:$C$501,C135))</f>
        <v/>
      </c>
      <c r="L135" s="14">
        <f>IF(J135="","",MAX(0,J135-K135))</f>
        <v/>
      </c>
      <c r="M135" s="6">
        <f>IF(A135="","",COUNTIFS('激励事件明细'!$C$2:$C$501,A135,'激励事件明细'!$H$2:$H$501,C135,'激励事件明细'!$Z$2:$Z$501,"&gt;0"))</f>
        <v/>
      </c>
      <c r="N135" s="6">
        <f>IF(O135="","",IFERROR(INDEX('激励事件明细'!$A$2:$A$501,MATCH(1,('激励事件明细'!$C$2:$C$501=A135)*('激励事件明细'!$H$2:$H$501=C135)*('激励事件明细'!$AB$2:$AB$501=O135),0)),""))</f>
        <v/>
      </c>
      <c r="O135" s="16">
        <f>IF(A135="","",IFERROR(AGGREGATE(15,6,'激励事件明细'!$AB$2:$AB$501/(('激励事件明细'!$C$2:$C$501=A135)*('激励事件明细'!$H$2:$H$501=C135)*('激励事件明细'!$Z$2:$Z$501&gt;0)),1),""))</f>
        <v/>
      </c>
      <c r="P135" s="6">
        <f>IF(A135="","",IF(K135&gt;J135,"异常：超额缴税",IF(L135=0,"已缴清",IF(AND(O135&lt;TODAY(),L135&gt;0),"逾期未缴","未缴清"))))</f>
        <v/>
      </c>
    </row>
    <row r="136">
      <c r="A136" s="11" t="n"/>
      <c r="B136" s="6">
        <f>IF(A136="","",IFERROR(INDEX('激励事件明细'!$D$2:$D$501,MATCH(A136,'激励事件明细'!$C$2:$C$501,0)),""))</f>
        <v/>
      </c>
      <c r="C136" s="11" t="n"/>
      <c r="D136" s="14">
        <f>IF(OR(A136="",C136=""),"",SUMIFS('激励事件明细'!$S$2:$S$501,'激励事件明细'!$C$2:$C$501,A136,'激励事件明细'!$H$2:$H$501,C136,'激励事件明细'!$F$2:$F$501,"股票期权"))</f>
        <v/>
      </c>
      <c r="E136" s="14">
        <f>IF(OR(A136="",C136=""),"",SUMIFS('激励事件明细'!$S$2:$S$501,'激励事件明细'!$C$2:$C$501,A136,'激励事件明细'!$H$2:$H$501,C136,'激励事件明细'!$F$2:$F$501,"限制性股票"))</f>
        <v/>
      </c>
      <c r="F136" s="14">
        <f>IF(OR(A136="",C136=""),"",SUMIFS('激励事件明细'!$S$2:$S$501,'激励事件明细'!$C$2:$C$501,A136,'激励事件明细'!$H$2:$H$501,C136,'激励事件明细'!$F$2:$F$501,"其他股权激励"))</f>
        <v/>
      </c>
      <c r="G136" s="14">
        <f>IF(A136="","",SUM(D136:F136))</f>
        <v/>
      </c>
      <c r="H136" s="15">
        <f>IF(G136="","",VLOOKUP(G136,'税率及规则'!$A$2:$C$8,2,TRUE))</f>
        <v/>
      </c>
      <c r="I136" s="14">
        <f>IF(G136="","",VLOOKUP(G136,'税率及规则'!$A$2:$C$8,3,TRUE))</f>
        <v/>
      </c>
      <c r="J136" s="14">
        <f>IF(G136="","",MAX(0,G136*H136-I136))</f>
        <v/>
      </c>
      <c r="K136" s="14">
        <f>IF(A136="","",SUMIFS('分期缴税台账'!$K$2:$K$501,'分期缴税台账'!$A$2:$A$501,A136,'分期缴税台账'!$C$2:$C$501,C136))</f>
        <v/>
      </c>
      <c r="L136" s="14">
        <f>IF(J136="","",MAX(0,J136-K136))</f>
        <v/>
      </c>
      <c r="M136" s="6">
        <f>IF(A136="","",COUNTIFS('激励事件明细'!$C$2:$C$501,A136,'激励事件明细'!$H$2:$H$501,C136,'激励事件明细'!$Z$2:$Z$501,"&gt;0"))</f>
        <v/>
      </c>
      <c r="N136" s="6">
        <f>IF(O136="","",IFERROR(INDEX('激励事件明细'!$A$2:$A$501,MATCH(1,('激励事件明细'!$C$2:$C$501=A136)*('激励事件明细'!$H$2:$H$501=C136)*('激励事件明细'!$AB$2:$AB$501=O136),0)),""))</f>
        <v/>
      </c>
      <c r="O136" s="16">
        <f>IF(A136="","",IFERROR(AGGREGATE(15,6,'激励事件明细'!$AB$2:$AB$501/(('激励事件明细'!$C$2:$C$501=A136)*('激励事件明细'!$H$2:$H$501=C136)*('激励事件明细'!$Z$2:$Z$501&gt;0)),1),""))</f>
        <v/>
      </c>
      <c r="P136" s="6">
        <f>IF(A136="","",IF(K136&gt;J136,"异常：超额缴税",IF(L136=0,"已缴清",IF(AND(O136&lt;TODAY(),L136&gt;0),"逾期未缴","未缴清"))))</f>
        <v/>
      </c>
    </row>
    <row r="137">
      <c r="A137" s="11" t="n"/>
      <c r="B137" s="6">
        <f>IF(A137="","",IFERROR(INDEX('激励事件明细'!$D$2:$D$501,MATCH(A137,'激励事件明细'!$C$2:$C$501,0)),""))</f>
        <v/>
      </c>
      <c r="C137" s="11" t="n"/>
      <c r="D137" s="14">
        <f>IF(OR(A137="",C137=""),"",SUMIFS('激励事件明细'!$S$2:$S$501,'激励事件明细'!$C$2:$C$501,A137,'激励事件明细'!$H$2:$H$501,C137,'激励事件明细'!$F$2:$F$501,"股票期权"))</f>
        <v/>
      </c>
      <c r="E137" s="14">
        <f>IF(OR(A137="",C137=""),"",SUMIFS('激励事件明细'!$S$2:$S$501,'激励事件明细'!$C$2:$C$501,A137,'激励事件明细'!$H$2:$H$501,C137,'激励事件明细'!$F$2:$F$501,"限制性股票"))</f>
        <v/>
      </c>
      <c r="F137" s="14">
        <f>IF(OR(A137="",C137=""),"",SUMIFS('激励事件明细'!$S$2:$S$501,'激励事件明细'!$C$2:$C$501,A137,'激励事件明细'!$H$2:$H$501,C137,'激励事件明细'!$F$2:$F$501,"其他股权激励"))</f>
        <v/>
      </c>
      <c r="G137" s="14">
        <f>IF(A137="","",SUM(D137:F137))</f>
        <v/>
      </c>
      <c r="H137" s="15">
        <f>IF(G137="","",VLOOKUP(G137,'税率及规则'!$A$2:$C$8,2,TRUE))</f>
        <v/>
      </c>
      <c r="I137" s="14">
        <f>IF(G137="","",VLOOKUP(G137,'税率及规则'!$A$2:$C$8,3,TRUE))</f>
        <v/>
      </c>
      <c r="J137" s="14">
        <f>IF(G137="","",MAX(0,G137*H137-I137))</f>
        <v/>
      </c>
      <c r="K137" s="14">
        <f>IF(A137="","",SUMIFS('分期缴税台账'!$K$2:$K$501,'分期缴税台账'!$A$2:$A$501,A137,'分期缴税台账'!$C$2:$C$501,C137))</f>
        <v/>
      </c>
      <c r="L137" s="14">
        <f>IF(J137="","",MAX(0,J137-K137))</f>
        <v/>
      </c>
      <c r="M137" s="6">
        <f>IF(A137="","",COUNTIFS('激励事件明细'!$C$2:$C$501,A137,'激励事件明细'!$H$2:$H$501,C137,'激励事件明细'!$Z$2:$Z$501,"&gt;0"))</f>
        <v/>
      </c>
      <c r="N137" s="6">
        <f>IF(O137="","",IFERROR(INDEX('激励事件明细'!$A$2:$A$501,MATCH(1,('激励事件明细'!$C$2:$C$501=A137)*('激励事件明细'!$H$2:$H$501=C137)*('激励事件明细'!$AB$2:$AB$501=O137),0)),""))</f>
        <v/>
      </c>
      <c r="O137" s="16">
        <f>IF(A137="","",IFERROR(AGGREGATE(15,6,'激励事件明细'!$AB$2:$AB$501/(('激励事件明细'!$C$2:$C$501=A137)*('激励事件明细'!$H$2:$H$501=C137)*('激励事件明细'!$Z$2:$Z$501&gt;0)),1),""))</f>
        <v/>
      </c>
      <c r="P137" s="6">
        <f>IF(A137="","",IF(K137&gt;J137,"异常：超额缴税",IF(L137=0,"已缴清",IF(AND(O137&lt;TODAY(),L137&gt;0),"逾期未缴","未缴清"))))</f>
        <v/>
      </c>
    </row>
    <row r="138">
      <c r="A138" s="11" t="n"/>
      <c r="B138" s="6">
        <f>IF(A138="","",IFERROR(INDEX('激励事件明细'!$D$2:$D$501,MATCH(A138,'激励事件明细'!$C$2:$C$501,0)),""))</f>
        <v/>
      </c>
      <c r="C138" s="11" t="n"/>
      <c r="D138" s="14">
        <f>IF(OR(A138="",C138=""),"",SUMIFS('激励事件明细'!$S$2:$S$501,'激励事件明细'!$C$2:$C$501,A138,'激励事件明细'!$H$2:$H$501,C138,'激励事件明细'!$F$2:$F$501,"股票期权"))</f>
        <v/>
      </c>
      <c r="E138" s="14">
        <f>IF(OR(A138="",C138=""),"",SUMIFS('激励事件明细'!$S$2:$S$501,'激励事件明细'!$C$2:$C$501,A138,'激励事件明细'!$H$2:$H$501,C138,'激励事件明细'!$F$2:$F$501,"限制性股票"))</f>
        <v/>
      </c>
      <c r="F138" s="14">
        <f>IF(OR(A138="",C138=""),"",SUMIFS('激励事件明细'!$S$2:$S$501,'激励事件明细'!$C$2:$C$501,A138,'激励事件明细'!$H$2:$H$501,C138,'激励事件明细'!$F$2:$F$501,"其他股权激励"))</f>
        <v/>
      </c>
      <c r="G138" s="14">
        <f>IF(A138="","",SUM(D138:F138))</f>
        <v/>
      </c>
      <c r="H138" s="15">
        <f>IF(G138="","",VLOOKUP(G138,'税率及规则'!$A$2:$C$8,2,TRUE))</f>
        <v/>
      </c>
      <c r="I138" s="14">
        <f>IF(G138="","",VLOOKUP(G138,'税率及规则'!$A$2:$C$8,3,TRUE))</f>
        <v/>
      </c>
      <c r="J138" s="14">
        <f>IF(G138="","",MAX(0,G138*H138-I138))</f>
        <v/>
      </c>
      <c r="K138" s="14">
        <f>IF(A138="","",SUMIFS('分期缴税台账'!$K$2:$K$501,'分期缴税台账'!$A$2:$A$501,A138,'分期缴税台账'!$C$2:$C$501,C138))</f>
        <v/>
      </c>
      <c r="L138" s="14">
        <f>IF(J138="","",MAX(0,J138-K138))</f>
        <v/>
      </c>
      <c r="M138" s="6">
        <f>IF(A138="","",COUNTIFS('激励事件明细'!$C$2:$C$501,A138,'激励事件明细'!$H$2:$H$501,C138,'激励事件明细'!$Z$2:$Z$501,"&gt;0"))</f>
        <v/>
      </c>
      <c r="N138" s="6">
        <f>IF(O138="","",IFERROR(INDEX('激励事件明细'!$A$2:$A$501,MATCH(1,('激励事件明细'!$C$2:$C$501=A138)*('激励事件明细'!$H$2:$H$501=C138)*('激励事件明细'!$AB$2:$AB$501=O138),0)),""))</f>
        <v/>
      </c>
      <c r="O138" s="16">
        <f>IF(A138="","",IFERROR(AGGREGATE(15,6,'激励事件明细'!$AB$2:$AB$501/(('激励事件明细'!$C$2:$C$501=A138)*('激励事件明细'!$H$2:$H$501=C138)*('激励事件明细'!$Z$2:$Z$501&gt;0)),1),""))</f>
        <v/>
      </c>
      <c r="P138" s="6">
        <f>IF(A138="","",IF(K138&gt;J138,"异常：超额缴税",IF(L138=0,"已缴清",IF(AND(O138&lt;TODAY(),L138&gt;0),"逾期未缴","未缴清"))))</f>
        <v/>
      </c>
    </row>
    <row r="139">
      <c r="A139" s="11" t="n"/>
      <c r="B139" s="6">
        <f>IF(A139="","",IFERROR(INDEX('激励事件明细'!$D$2:$D$501,MATCH(A139,'激励事件明细'!$C$2:$C$501,0)),""))</f>
        <v/>
      </c>
      <c r="C139" s="11" t="n"/>
      <c r="D139" s="14">
        <f>IF(OR(A139="",C139=""),"",SUMIFS('激励事件明细'!$S$2:$S$501,'激励事件明细'!$C$2:$C$501,A139,'激励事件明细'!$H$2:$H$501,C139,'激励事件明细'!$F$2:$F$501,"股票期权"))</f>
        <v/>
      </c>
      <c r="E139" s="14">
        <f>IF(OR(A139="",C139=""),"",SUMIFS('激励事件明细'!$S$2:$S$501,'激励事件明细'!$C$2:$C$501,A139,'激励事件明细'!$H$2:$H$501,C139,'激励事件明细'!$F$2:$F$501,"限制性股票"))</f>
        <v/>
      </c>
      <c r="F139" s="14">
        <f>IF(OR(A139="",C139=""),"",SUMIFS('激励事件明细'!$S$2:$S$501,'激励事件明细'!$C$2:$C$501,A139,'激励事件明细'!$H$2:$H$501,C139,'激励事件明细'!$F$2:$F$501,"其他股权激励"))</f>
        <v/>
      </c>
      <c r="G139" s="14">
        <f>IF(A139="","",SUM(D139:F139))</f>
        <v/>
      </c>
      <c r="H139" s="15">
        <f>IF(G139="","",VLOOKUP(G139,'税率及规则'!$A$2:$C$8,2,TRUE))</f>
        <v/>
      </c>
      <c r="I139" s="14">
        <f>IF(G139="","",VLOOKUP(G139,'税率及规则'!$A$2:$C$8,3,TRUE))</f>
        <v/>
      </c>
      <c r="J139" s="14">
        <f>IF(G139="","",MAX(0,G139*H139-I139))</f>
        <v/>
      </c>
      <c r="K139" s="14">
        <f>IF(A139="","",SUMIFS('分期缴税台账'!$K$2:$K$501,'分期缴税台账'!$A$2:$A$501,A139,'分期缴税台账'!$C$2:$C$501,C139))</f>
        <v/>
      </c>
      <c r="L139" s="14">
        <f>IF(J139="","",MAX(0,J139-K139))</f>
        <v/>
      </c>
      <c r="M139" s="6">
        <f>IF(A139="","",COUNTIFS('激励事件明细'!$C$2:$C$501,A139,'激励事件明细'!$H$2:$H$501,C139,'激励事件明细'!$Z$2:$Z$501,"&gt;0"))</f>
        <v/>
      </c>
      <c r="N139" s="6">
        <f>IF(O139="","",IFERROR(INDEX('激励事件明细'!$A$2:$A$501,MATCH(1,('激励事件明细'!$C$2:$C$501=A139)*('激励事件明细'!$H$2:$H$501=C139)*('激励事件明细'!$AB$2:$AB$501=O139),0)),""))</f>
        <v/>
      </c>
      <c r="O139" s="16">
        <f>IF(A139="","",IFERROR(AGGREGATE(15,6,'激励事件明细'!$AB$2:$AB$501/(('激励事件明细'!$C$2:$C$501=A139)*('激励事件明细'!$H$2:$H$501=C139)*('激励事件明细'!$Z$2:$Z$501&gt;0)),1),""))</f>
        <v/>
      </c>
      <c r="P139" s="6">
        <f>IF(A139="","",IF(K139&gt;J139,"异常：超额缴税",IF(L139=0,"已缴清",IF(AND(O139&lt;TODAY(),L139&gt;0),"逾期未缴","未缴清"))))</f>
        <v/>
      </c>
    </row>
    <row r="140">
      <c r="A140" s="11" t="n"/>
      <c r="B140" s="6">
        <f>IF(A140="","",IFERROR(INDEX('激励事件明细'!$D$2:$D$501,MATCH(A140,'激励事件明细'!$C$2:$C$501,0)),""))</f>
        <v/>
      </c>
      <c r="C140" s="11" t="n"/>
      <c r="D140" s="14">
        <f>IF(OR(A140="",C140=""),"",SUMIFS('激励事件明细'!$S$2:$S$501,'激励事件明细'!$C$2:$C$501,A140,'激励事件明细'!$H$2:$H$501,C140,'激励事件明细'!$F$2:$F$501,"股票期权"))</f>
        <v/>
      </c>
      <c r="E140" s="14">
        <f>IF(OR(A140="",C140=""),"",SUMIFS('激励事件明细'!$S$2:$S$501,'激励事件明细'!$C$2:$C$501,A140,'激励事件明细'!$H$2:$H$501,C140,'激励事件明细'!$F$2:$F$501,"限制性股票"))</f>
        <v/>
      </c>
      <c r="F140" s="14">
        <f>IF(OR(A140="",C140=""),"",SUMIFS('激励事件明细'!$S$2:$S$501,'激励事件明细'!$C$2:$C$501,A140,'激励事件明细'!$H$2:$H$501,C140,'激励事件明细'!$F$2:$F$501,"其他股权激励"))</f>
        <v/>
      </c>
      <c r="G140" s="14">
        <f>IF(A140="","",SUM(D140:F140))</f>
        <v/>
      </c>
      <c r="H140" s="15">
        <f>IF(G140="","",VLOOKUP(G140,'税率及规则'!$A$2:$C$8,2,TRUE))</f>
        <v/>
      </c>
      <c r="I140" s="14">
        <f>IF(G140="","",VLOOKUP(G140,'税率及规则'!$A$2:$C$8,3,TRUE))</f>
        <v/>
      </c>
      <c r="J140" s="14">
        <f>IF(G140="","",MAX(0,G140*H140-I140))</f>
        <v/>
      </c>
      <c r="K140" s="14">
        <f>IF(A140="","",SUMIFS('分期缴税台账'!$K$2:$K$501,'分期缴税台账'!$A$2:$A$501,A140,'分期缴税台账'!$C$2:$C$501,C140))</f>
        <v/>
      </c>
      <c r="L140" s="14">
        <f>IF(J140="","",MAX(0,J140-K140))</f>
        <v/>
      </c>
      <c r="M140" s="6">
        <f>IF(A140="","",COUNTIFS('激励事件明细'!$C$2:$C$501,A140,'激励事件明细'!$H$2:$H$501,C140,'激励事件明细'!$Z$2:$Z$501,"&gt;0"))</f>
        <v/>
      </c>
      <c r="N140" s="6">
        <f>IF(O140="","",IFERROR(INDEX('激励事件明细'!$A$2:$A$501,MATCH(1,('激励事件明细'!$C$2:$C$501=A140)*('激励事件明细'!$H$2:$H$501=C140)*('激励事件明细'!$AB$2:$AB$501=O140),0)),""))</f>
        <v/>
      </c>
      <c r="O140" s="16">
        <f>IF(A140="","",IFERROR(AGGREGATE(15,6,'激励事件明细'!$AB$2:$AB$501/(('激励事件明细'!$C$2:$C$501=A140)*('激励事件明细'!$H$2:$H$501=C140)*('激励事件明细'!$Z$2:$Z$501&gt;0)),1),""))</f>
        <v/>
      </c>
      <c r="P140" s="6">
        <f>IF(A140="","",IF(K140&gt;J140,"异常：超额缴税",IF(L140=0,"已缴清",IF(AND(O140&lt;TODAY(),L140&gt;0),"逾期未缴","未缴清"))))</f>
        <v/>
      </c>
    </row>
    <row r="141">
      <c r="A141" s="11" t="n"/>
      <c r="B141" s="6">
        <f>IF(A141="","",IFERROR(INDEX('激励事件明细'!$D$2:$D$501,MATCH(A141,'激励事件明细'!$C$2:$C$501,0)),""))</f>
        <v/>
      </c>
      <c r="C141" s="11" t="n"/>
      <c r="D141" s="14">
        <f>IF(OR(A141="",C141=""),"",SUMIFS('激励事件明细'!$S$2:$S$501,'激励事件明细'!$C$2:$C$501,A141,'激励事件明细'!$H$2:$H$501,C141,'激励事件明细'!$F$2:$F$501,"股票期权"))</f>
        <v/>
      </c>
      <c r="E141" s="14">
        <f>IF(OR(A141="",C141=""),"",SUMIFS('激励事件明细'!$S$2:$S$501,'激励事件明细'!$C$2:$C$501,A141,'激励事件明细'!$H$2:$H$501,C141,'激励事件明细'!$F$2:$F$501,"限制性股票"))</f>
        <v/>
      </c>
      <c r="F141" s="14">
        <f>IF(OR(A141="",C141=""),"",SUMIFS('激励事件明细'!$S$2:$S$501,'激励事件明细'!$C$2:$C$501,A141,'激励事件明细'!$H$2:$H$501,C141,'激励事件明细'!$F$2:$F$501,"其他股权激励"))</f>
        <v/>
      </c>
      <c r="G141" s="14">
        <f>IF(A141="","",SUM(D141:F141))</f>
        <v/>
      </c>
      <c r="H141" s="15">
        <f>IF(G141="","",VLOOKUP(G141,'税率及规则'!$A$2:$C$8,2,TRUE))</f>
        <v/>
      </c>
      <c r="I141" s="14">
        <f>IF(G141="","",VLOOKUP(G141,'税率及规则'!$A$2:$C$8,3,TRUE))</f>
        <v/>
      </c>
      <c r="J141" s="14">
        <f>IF(G141="","",MAX(0,G141*H141-I141))</f>
        <v/>
      </c>
      <c r="K141" s="14">
        <f>IF(A141="","",SUMIFS('分期缴税台账'!$K$2:$K$501,'分期缴税台账'!$A$2:$A$501,A141,'分期缴税台账'!$C$2:$C$501,C141))</f>
        <v/>
      </c>
      <c r="L141" s="14">
        <f>IF(J141="","",MAX(0,J141-K141))</f>
        <v/>
      </c>
      <c r="M141" s="6">
        <f>IF(A141="","",COUNTIFS('激励事件明细'!$C$2:$C$501,A141,'激励事件明细'!$H$2:$H$501,C141,'激励事件明细'!$Z$2:$Z$501,"&gt;0"))</f>
        <v/>
      </c>
      <c r="N141" s="6">
        <f>IF(O141="","",IFERROR(INDEX('激励事件明细'!$A$2:$A$501,MATCH(1,('激励事件明细'!$C$2:$C$501=A141)*('激励事件明细'!$H$2:$H$501=C141)*('激励事件明细'!$AB$2:$AB$501=O141),0)),""))</f>
        <v/>
      </c>
      <c r="O141" s="16">
        <f>IF(A141="","",IFERROR(AGGREGATE(15,6,'激励事件明细'!$AB$2:$AB$501/(('激励事件明细'!$C$2:$C$501=A141)*('激励事件明细'!$H$2:$H$501=C141)*('激励事件明细'!$Z$2:$Z$501&gt;0)),1),""))</f>
        <v/>
      </c>
      <c r="P141" s="6">
        <f>IF(A141="","",IF(K141&gt;J141,"异常：超额缴税",IF(L141=0,"已缴清",IF(AND(O141&lt;TODAY(),L141&gt;0),"逾期未缴","未缴清"))))</f>
        <v/>
      </c>
    </row>
    <row r="142">
      <c r="A142" s="11" t="n"/>
      <c r="B142" s="6">
        <f>IF(A142="","",IFERROR(INDEX('激励事件明细'!$D$2:$D$501,MATCH(A142,'激励事件明细'!$C$2:$C$501,0)),""))</f>
        <v/>
      </c>
      <c r="C142" s="11" t="n"/>
      <c r="D142" s="14">
        <f>IF(OR(A142="",C142=""),"",SUMIFS('激励事件明细'!$S$2:$S$501,'激励事件明细'!$C$2:$C$501,A142,'激励事件明细'!$H$2:$H$501,C142,'激励事件明细'!$F$2:$F$501,"股票期权"))</f>
        <v/>
      </c>
      <c r="E142" s="14">
        <f>IF(OR(A142="",C142=""),"",SUMIFS('激励事件明细'!$S$2:$S$501,'激励事件明细'!$C$2:$C$501,A142,'激励事件明细'!$H$2:$H$501,C142,'激励事件明细'!$F$2:$F$501,"限制性股票"))</f>
        <v/>
      </c>
      <c r="F142" s="14">
        <f>IF(OR(A142="",C142=""),"",SUMIFS('激励事件明细'!$S$2:$S$501,'激励事件明细'!$C$2:$C$501,A142,'激励事件明细'!$H$2:$H$501,C142,'激励事件明细'!$F$2:$F$501,"其他股权激励"))</f>
        <v/>
      </c>
      <c r="G142" s="14">
        <f>IF(A142="","",SUM(D142:F142))</f>
        <v/>
      </c>
      <c r="H142" s="15">
        <f>IF(G142="","",VLOOKUP(G142,'税率及规则'!$A$2:$C$8,2,TRUE))</f>
        <v/>
      </c>
      <c r="I142" s="14">
        <f>IF(G142="","",VLOOKUP(G142,'税率及规则'!$A$2:$C$8,3,TRUE))</f>
        <v/>
      </c>
      <c r="J142" s="14">
        <f>IF(G142="","",MAX(0,G142*H142-I142))</f>
        <v/>
      </c>
      <c r="K142" s="14">
        <f>IF(A142="","",SUMIFS('分期缴税台账'!$K$2:$K$501,'分期缴税台账'!$A$2:$A$501,A142,'分期缴税台账'!$C$2:$C$501,C142))</f>
        <v/>
      </c>
      <c r="L142" s="14">
        <f>IF(J142="","",MAX(0,J142-K142))</f>
        <v/>
      </c>
      <c r="M142" s="6">
        <f>IF(A142="","",COUNTIFS('激励事件明细'!$C$2:$C$501,A142,'激励事件明细'!$H$2:$H$501,C142,'激励事件明细'!$Z$2:$Z$501,"&gt;0"))</f>
        <v/>
      </c>
      <c r="N142" s="6">
        <f>IF(O142="","",IFERROR(INDEX('激励事件明细'!$A$2:$A$501,MATCH(1,('激励事件明细'!$C$2:$C$501=A142)*('激励事件明细'!$H$2:$H$501=C142)*('激励事件明细'!$AB$2:$AB$501=O142),0)),""))</f>
        <v/>
      </c>
      <c r="O142" s="16">
        <f>IF(A142="","",IFERROR(AGGREGATE(15,6,'激励事件明细'!$AB$2:$AB$501/(('激励事件明细'!$C$2:$C$501=A142)*('激励事件明细'!$H$2:$H$501=C142)*('激励事件明细'!$Z$2:$Z$501&gt;0)),1),""))</f>
        <v/>
      </c>
      <c r="P142" s="6">
        <f>IF(A142="","",IF(K142&gt;J142,"异常：超额缴税",IF(L142=0,"已缴清",IF(AND(O142&lt;TODAY(),L142&gt;0),"逾期未缴","未缴清"))))</f>
        <v/>
      </c>
    </row>
    <row r="143">
      <c r="A143" s="11" t="n"/>
      <c r="B143" s="6">
        <f>IF(A143="","",IFERROR(INDEX('激励事件明细'!$D$2:$D$501,MATCH(A143,'激励事件明细'!$C$2:$C$501,0)),""))</f>
        <v/>
      </c>
      <c r="C143" s="11" t="n"/>
      <c r="D143" s="14">
        <f>IF(OR(A143="",C143=""),"",SUMIFS('激励事件明细'!$S$2:$S$501,'激励事件明细'!$C$2:$C$501,A143,'激励事件明细'!$H$2:$H$501,C143,'激励事件明细'!$F$2:$F$501,"股票期权"))</f>
        <v/>
      </c>
      <c r="E143" s="14">
        <f>IF(OR(A143="",C143=""),"",SUMIFS('激励事件明细'!$S$2:$S$501,'激励事件明细'!$C$2:$C$501,A143,'激励事件明细'!$H$2:$H$501,C143,'激励事件明细'!$F$2:$F$501,"限制性股票"))</f>
        <v/>
      </c>
      <c r="F143" s="14">
        <f>IF(OR(A143="",C143=""),"",SUMIFS('激励事件明细'!$S$2:$S$501,'激励事件明细'!$C$2:$C$501,A143,'激励事件明细'!$H$2:$H$501,C143,'激励事件明细'!$F$2:$F$501,"其他股权激励"))</f>
        <v/>
      </c>
      <c r="G143" s="14">
        <f>IF(A143="","",SUM(D143:F143))</f>
        <v/>
      </c>
      <c r="H143" s="15">
        <f>IF(G143="","",VLOOKUP(G143,'税率及规则'!$A$2:$C$8,2,TRUE))</f>
        <v/>
      </c>
      <c r="I143" s="14">
        <f>IF(G143="","",VLOOKUP(G143,'税率及规则'!$A$2:$C$8,3,TRUE))</f>
        <v/>
      </c>
      <c r="J143" s="14">
        <f>IF(G143="","",MAX(0,G143*H143-I143))</f>
        <v/>
      </c>
      <c r="K143" s="14">
        <f>IF(A143="","",SUMIFS('分期缴税台账'!$K$2:$K$501,'分期缴税台账'!$A$2:$A$501,A143,'分期缴税台账'!$C$2:$C$501,C143))</f>
        <v/>
      </c>
      <c r="L143" s="14">
        <f>IF(J143="","",MAX(0,J143-K143))</f>
        <v/>
      </c>
      <c r="M143" s="6">
        <f>IF(A143="","",COUNTIFS('激励事件明细'!$C$2:$C$501,A143,'激励事件明细'!$H$2:$H$501,C143,'激励事件明细'!$Z$2:$Z$501,"&gt;0"))</f>
        <v/>
      </c>
      <c r="N143" s="6">
        <f>IF(O143="","",IFERROR(INDEX('激励事件明细'!$A$2:$A$501,MATCH(1,('激励事件明细'!$C$2:$C$501=A143)*('激励事件明细'!$H$2:$H$501=C143)*('激励事件明细'!$AB$2:$AB$501=O143),0)),""))</f>
        <v/>
      </c>
      <c r="O143" s="16">
        <f>IF(A143="","",IFERROR(AGGREGATE(15,6,'激励事件明细'!$AB$2:$AB$501/(('激励事件明细'!$C$2:$C$501=A143)*('激励事件明细'!$H$2:$H$501=C143)*('激励事件明细'!$Z$2:$Z$501&gt;0)),1),""))</f>
        <v/>
      </c>
      <c r="P143" s="6">
        <f>IF(A143="","",IF(K143&gt;J143,"异常：超额缴税",IF(L143=0,"已缴清",IF(AND(O143&lt;TODAY(),L143&gt;0),"逾期未缴","未缴清"))))</f>
        <v/>
      </c>
    </row>
    <row r="144">
      <c r="A144" s="11" t="n"/>
      <c r="B144" s="6">
        <f>IF(A144="","",IFERROR(INDEX('激励事件明细'!$D$2:$D$501,MATCH(A144,'激励事件明细'!$C$2:$C$501,0)),""))</f>
        <v/>
      </c>
      <c r="C144" s="11" t="n"/>
      <c r="D144" s="14">
        <f>IF(OR(A144="",C144=""),"",SUMIFS('激励事件明细'!$S$2:$S$501,'激励事件明细'!$C$2:$C$501,A144,'激励事件明细'!$H$2:$H$501,C144,'激励事件明细'!$F$2:$F$501,"股票期权"))</f>
        <v/>
      </c>
      <c r="E144" s="14">
        <f>IF(OR(A144="",C144=""),"",SUMIFS('激励事件明细'!$S$2:$S$501,'激励事件明细'!$C$2:$C$501,A144,'激励事件明细'!$H$2:$H$501,C144,'激励事件明细'!$F$2:$F$501,"限制性股票"))</f>
        <v/>
      </c>
      <c r="F144" s="14">
        <f>IF(OR(A144="",C144=""),"",SUMIFS('激励事件明细'!$S$2:$S$501,'激励事件明细'!$C$2:$C$501,A144,'激励事件明细'!$H$2:$H$501,C144,'激励事件明细'!$F$2:$F$501,"其他股权激励"))</f>
        <v/>
      </c>
      <c r="G144" s="14">
        <f>IF(A144="","",SUM(D144:F144))</f>
        <v/>
      </c>
      <c r="H144" s="15">
        <f>IF(G144="","",VLOOKUP(G144,'税率及规则'!$A$2:$C$8,2,TRUE))</f>
        <v/>
      </c>
      <c r="I144" s="14">
        <f>IF(G144="","",VLOOKUP(G144,'税率及规则'!$A$2:$C$8,3,TRUE))</f>
        <v/>
      </c>
      <c r="J144" s="14">
        <f>IF(G144="","",MAX(0,G144*H144-I144))</f>
        <v/>
      </c>
      <c r="K144" s="14">
        <f>IF(A144="","",SUMIFS('分期缴税台账'!$K$2:$K$501,'分期缴税台账'!$A$2:$A$501,A144,'分期缴税台账'!$C$2:$C$501,C144))</f>
        <v/>
      </c>
      <c r="L144" s="14">
        <f>IF(J144="","",MAX(0,J144-K144))</f>
        <v/>
      </c>
      <c r="M144" s="6">
        <f>IF(A144="","",COUNTIFS('激励事件明细'!$C$2:$C$501,A144,'激励事件明细'!$H$2:$H$501,C144,'激励事件明细'!$Z$2:$Z$501,"&gt;0"))</f>
        <v/>
      </c>
      <c r="N144" s="6">
        <f>IF(O144="","",IFERROR(INDEX('激励事件明细'!$A$2:$A$501,MATCH(1,('激励事件明细'!$C$2:$C$501=A144)*('激励事件明细'!$H$2:$H$501=C144)*('激励事件明细'!$AB$2:$AB$501=O144),0)),""))</f>
        <v/>
      </c>
      <c r="O144" s="16">
        <f>IF(A144="","",IFERROR(AGGREGATE(15,6,'激励事件明细'!$AB$2:$AB$501/(('激励事件明细'!$C$2:$C$501=A144)*('激励事件明细'!$H$2:$H$501=C144)*('激励事件明细'!$Z$2:$Z$501&gt;0)),1),""))</f>
        <v/>
      </c>
      <c r="P144" s="6">
        <f>IF(A144="","",IF(K144&gt;J144,"异常：超额缴税",IF(L144=0,"已缴清",IF(AND(O144&lt;TODAY(),L144&gt;0),"逾期未缴","未缴清"))))</f>
        <v/>
      </c>
    </row>
    <row r="145">
      <c r="A145" s="11" t="n"/>
      <c r="B145" s="6">
        <f>IF(A145="","",IFERROR(INDEX('激励事件明细'!$D$2:$D$501,MATCH(A145,'激励事件明细'!$C$2:$C$501,0)),""))</f>
        <v/>
      </c>
      <c r="C145" s="11" t="n"/>
      <c r="D145" s="14">
        <f>IF(OR(A145="",C145=""),"",SUMIFS('激励事件明细'!$S$2:$S$501,'激励事件明细'!$C$2:$C$501,A145,'激励事件明细'!$H$2:$H$501,C145,'激励事件明细'!$F$2:$F$501,"股票期权"))</f>
        <v/>
      </c>
      <c r="E145" s="14">
        <f>IF(OR(A145="",C145=""),"",SUMIFS('激励事件明细'!$S$2:$S$501,'激励事件明细'!$C$2:$C$501,A145,'激励事件明细'!$H$2:$H$501,C145,'激励事件明细'!$F$2:$F$501,"限制性股票"))</f>
        <v/>
      </c>
      <c r="F145" s="14">
        <f>IF(OR(A145="",C145=""),"",SUMIFS('激励事件明细'!$S$2:$S$501,'激励事件明细'!$C$2:$C$501,A145,'激励事件明细'!$H$2:$H$501,C145,'激励事件明细'!$F$2:$F$501,"其他股权激励"))</f>
        <v/>
      </c>
      <c r="G145" s="14">
        <f>IF(A145="","",SUM(D145:F145))</f>
        <v/>
      </c>
      <c r="H145" s="15">
        <f>IF(G145="","",VLOOKUP(G145,'税率及规则'!$A$2:$C$8,2,TRUE))</f>
        <v/>
      </c>
      <c r="I145" s="14">
        <f>IF(G145="","",VLOOKUP(G145,'税率及规则'!$A$2:$C$8,3,TRUE))</f>
        <v/>
      </c>
      <c r="J145" s="14">
        <f>IF(G145="","",MAX(0,G145*H145-I145))</f>
        <v/>
      </c>
      <c r="K145" s="14">
        <f>IF(A145="","",SUMIFS('分期缴税台账'!$K$2:$K$501,'分期缴税台账'!$A$2:$A$501,A145,'分期缴税台账'!$C$2:$C$501,C145))</f>
        <v/>
      </c>
      <c r="L145" s="14">
        <f>IF(J145="","",MAX(0,J145-K145))</f>
        <v/>
      </c>
      <c r="M145" s="6">
        <f>IF(A145="","",COUNTIFS('激励事件明细'!$C$2:$C$501,A145,'激励事件明细'!$H$2:$H$501,C145,'激励事件明细'!$Z$2:$Z$501,"&gt;0"))</f>
        <v/>
      </c>
      <c r="N145" s="6">
        <f>IF(O145="","",IFERROR(INDEX('激励事件明细'!$A$2:$A$501,MATCH(1,('激励事件明细'!$C$2:$C$501=A145)*('激励事件明细'!$H$2:$H$501=C145)*('激励事件明细'!$AB$2:$AB$501=O145),0)),""))</f>
        <v/>
      </c>
      <c r="O145" s="16">
        <f>IF(A145="","",IFERROR(AGGREGATE(15,6,'激励事件明细'!$AB$2:$AB$501/(('激励事件明细'!$C$2:$C$501=A145)*('激励事件明细'!$H$2:$H$501=C145)*('激励事件明细'!$Z$2:$Z$501&gt;0)),1),""))</f>
        <v/>
      </c>
      <c r="P145" s="6">
        <f>IF(A145="","",IF(K145&gt;J145,"异常：超额缴税",IF(L145=0,"已缴清",IF(AND(O145&lt;TODAY(),L145&gt;0),"逾期未缴","未缴清"))))</f>
        <v/>
      </c>
    </row>
    <row r="146">
      <c r="A146" s="11" t="n"/>
      <c r="B146" s="6">
        <f>IF(A146="","",IFERROR(INDEX('激励事件明细'!$D$2:$D$501,MATCH(A146,'激励事件明细'!$C$2:$C$501,0)),""))</f>
        <v/>
      </c>
      <c r="C146" s="11" t="n"/>
      <c r="D146" s="14">
        <f>IF(OR(A146="",C146=""),"",SUMIFS('激励事件明细'!$S$2:$S$501,'激励事件明细'!$C$2:$C$501,A146,'激励事件明细'!$H$2:$H$501,C146,'激励事件明细'!$F$2:$F$501,"股票期权"))</f>
        <v/>
      </c>
      <c r="E146" s="14">
        <f>IF(OR(A146="",C146=""),"",SUMIFS('激励事件明细'!$S$2:$S$501,'激励事件明细'!$C$2:$C$501,A146,'激励事件明细'!$H$2:$H$501,C146,'激励事件明细'!$F$2:$F$501,"限制性股票"))</f>
        <v/>
      </c>
      <c r="F146" s="14">
        <f>IF(OR(A146="",C146=""),"",SUMIFS('激励事件明细'!$S$2:$S$501,'激励事件明细'!$C$2:$C$501,A146,'激励事件明细'!$H$2:$H$501,C146,'激励事件明细'!$F$2:$F$501,"其他股权激励"))</f>
        <v/>
      </c>
      <c r="G146" s="14">
        <f>IF(A146="","",SUM(D146:F146))</f>
        <v/>
      </c>
      <c r="H146" s="15">
        <f>IF(G146="","",VLOOKUP(G146,'税率及规则'!$A$2:$C$8,2,TRUE))</f>
        <v/>
      </c>
      <c r="I146" s="14">
        <f>IF(G146="","",VLOOKUP(G146,'税率及规则'!$A$2:$C$8,3,TRUE))</f>
        <v/>
      </c>
      <c r="J146" s="14">
        <f>IF(G146="","",MAX(0,G146*H146-I146))</f>
        <v/>
      </c>
      <c r="K146" s="14">
        <f>IF(A146="","",SUMIFS('分期缴税台账'!$K$2:$K$501,'分期缴税台账'!$A$2:$A$501,A146,'分期缴税台账'!$C$2:$C$501,C146))</f>
        <v/>
      </c>
      <c r="L146" s="14">
        <f>IF(J146="","",MAX(0,J146-K146))</f>
        <v/>
      </c>
      <c r="M146" s="6">
        <f>IF(A146="","",COUNTIFS('激励事件明细'!$C$2:$C$501,A146,'激励事件明细'!$H$2:$H$501,C146,'激励事件明细'!$Z$2:$Z$501,"&gt;0"))</f>
        <v/>
      </c>
      <c r="N146" s="6">
        <f>IF(O146="","",IFERROR(INDEX('激励事件明细'!$A$2:$A$501,MATCH(1,('激励事件明细'!$C$2:$C$501=A146)*('激励事件明细'!$H$2:$H$501=C146)*('激励事件明细'!$AB$2:$AB$501=O146),0)),""))</f>
        <v/>
      </c>
      <c r="O146" s="16">
        <f>IF(A146="","",IFERROR(AGGREGATE(15,6,'激励事件明细'!$AB$2:$AB$501/(('激励事件明细'!$C$2:$C$501=A146)*('激励事件明细'!$H$2:$H$501=C146)*('激励事件明细'!$Z$2:$Z$501&gt;0)),1),""))</f>
        <v/>
      </c>
      <c r="P146" s="6">
        <f>IF(A146="","",IF(K146&gt;J146,"异常：超额缴税",IF(L146=0,"已缴清",IF(AND(O146&lt;TODAY(),L146&gt;0),"逾期未缴","未缴清"))))</f>
        <v/>
      </c>
    </row>
    <row r="147">
      <c r="A147" s="11" t="n"/>
      <c r="B147" s="6">
        <f>IF(A147="","",IFERROR(INDEX('激励事件明细'!$D$2:$D$501,MATCH(A147,'激励事件明细'!$C$2:$C$501,0)),""))</f>
        <v/>
      </c>
      <c r="C147" s="11" t="n"/>
      <c r="D147" s="14">
        <f>IF(OR(A147="",C147=""),"",SUMIFS('激励事件明细'!$S$2:$S$501,'激励事件明细'!$C$2:$C$501,A147,'激励事件明细'!$H$2:$H$501,C147,'激励事件明细'!$F$2:$F$501,"股票期权"))</f>
        <v/>
      </c>
      <c r="E147" s="14">
        <f>IF(OR(A147="",C147=""),"",SUMIFS('激励事件明细'!$S$2:$S$501,'激励事件明细'!$C$2:$C$501,A147,'激励事件明细'!$H$2:$H$501,C147,'激励事件明细'!$F$2:$F$501,"限制性股票"))</f>
        <v/>
      </c>
      <c r="F147" s="14">
        <f>IF(OR(A147="",C147=""),"",SUMIFS('激励事件明细'!$S$2:$S$501,'激励事件明细'!$C$2:$C$501,A147,'激励事件明细'!$H$2:$H$501,C147,'激励事件明细'!$F$2:$F$501,"其他股权激励"))</f>
        <v/>
      </c>
      <c r="G147" s="14">
        <f>IF(A147="","",SUM(D147:F147))</f>
        <v/>
      </c>
      <c r="H147" s="15">
        <f>IF(G147="","",VLOOKUP(G147,'税率及规则'!$A$2:$C$8,2,TRUE))</f>
        <v/>
      </c>
      <c r="I147" s="14">
        <f>IF(G147="","",VLOOKUP(G147,'税率及规则'!$A$2:$C$8,3,TRUE))</f>
        <v/>
      </c>
      <c r="J147" s="14">
        <f>IF(G147="","",MAX(0,G147*H147-I147))</f>
        <v/>
      </c>
      <c r="K147" s="14">
        <f>IF(A147="","",SUMIFS('分期缴税台账'!$K$2:$K$501,'分期缴税台账'!$A$2:$A$501,A147,'分期缴税台账'!$C$2:$C$501,C147))</f>
        <v/>
      </c>
      <c r="L147" s="14">
        <f>IF(J147="","",MAX(0,J147-K147))</f>
        <v/>
      </c>
      <c r="M147" s="6">
        <f>IF(A147="","",COUNTIFS('激励事件明细'!$C$2:$C$501,A147,'激励事件明细'!$H$2:$H$501,C147,'激励事件明细'!$Z$2:$Z$501,"&gt;0"))</f>
        <v/>
      </c>
      <c r="N147" s="6">
        <f>IF(O147="","",IFERROR(INDEX('激励事件明细'!$A$2:$A$501,MATCH(1,('激励事件明细'!$C$2:$C$501=A147)*('激励事件明细'!$H$2:$H$501=C147)*('激励事件明细'!$AB$2:$AB$501=O147),0)),""))</f>
        <v/>
      </c>
      <c r="O147" s="16">
        <f>IF(A147="","",IFERROR(AGGREGATE(15,6,'激励事件明细'!$AB$2:$AB$501/(('激励事件明细'!$C$2:$C$501=A147)*('激励事件明细'!$H$2:$H$501=C147)*('激励事件明细'!$Z$2:$Z$501&gt;0)),1),""))</f>
        <v/>
      </c>
      <c r="P147" s="6">
        <f>IF(A147="","",IF(K147&gt;J147,"异常：超额缴税",IF(L147=0,"已缴清",IF(AND(O147&lt;TODAY(),L147&gt;0),"逾期未缴","未缴清"))))</f>
        <v/>
      </c>
    </row>
    <row r="148">
      <c r="A148" s="11" t="n"/>
      <c r="B148" s="6">
        <f>IF(A148="","",IFERROR(INDEX('激励事件明细'!$D$2:$D$501,MATCH(A148,'激励事件明细'!$C$2:$C$501,0)),""))</f>
        <v/>
      </c>
      <c r="C148" s="11" t="n"/>
      <c r="D148" s="14">
        <f>IF(OR(A148="",C148=""),"",SUMIFS('激励事件明细'!$S$2:$S$501,'激励事件明细'!$C$2:$C$501,A148,'激励事件明细'!$H$2:$H$501,C148,'激励事件明细'!$F$2:$F$501,"股票期权"))</f>
        <v/>
      </c>
      <c r="E148" s="14">
        <f>IF(OR(A148="",C148=""),"",SUMIFS('激励事件明细'!$S$2:$S$501,'激励事件明细'!$C$2:$C$501,A148,'激励事件明细'!$H$2:$H$501,C148,'激励事件明细'!$F$2:$F$501,"限制性股票"))</f>
        <v/>
      </c>
      <c r="F148" s="14">
        <f>IF(OR(A148="",C148=""),"",SUMIFS('激励事件明细'!$S$2:$S$501,'激励事件明细'!$C$2:$C$501,A148,'激励事件明细'!$H$2:$H$501,C148,'激励事件明细'!$F$2:$F$501,"其他股权激励"))</f>
        <v/>
      </c>
      <c r="G148" s="14">
        <f>IF(A148="","",SUM(D148:F148))</f>
        <v/>
      </c>
      <c r="H148" s="15">
        <f>IF(G148="","",VLOOKUP(G148,'税率及规则'!$A$2:$C$8,2,TRUE))</f>
        <v/>
      </c>
      <c r="I148" s="14">
        <f>IF(G148="","",VLOOKUP(G148,'税率及规则'!$A$2:$C$8,3,TRUE))</f>
        <v/>
      </c>
      <c r="J148" s="14">
        <f>IF(G148="","",MAX(0,G148*H148-I148))</f>
        <v/>
      </c>
      <c r="K148" s="14">
        <f>IF(A148="","",SUMIFS('分期缴税台账'!$K$2:$K$501,'分期缴税台账'!$A$2:$A$501,A148,'分期缴税台账'!$C$2:$C$501,C148))</f>
        <v/>
      </c>
      <c r="L148" s="14">
        <f>IF(J148="","",MAX(0,J148-K148))</f>
        <v/>
      </c>
      <c r="M148" s="6">
        <f>IF(A148="","",COUNTIFS('激励事件明细'!$C$2:$C$501,A148,'激励事件明细'!$H$2:$H$501,C148,'激励事件明细'!$Z$2:$Z$501,"&gt;0"))</f>
        <v/>
      </c>
      <c r="N148" s="6">
        <f>IF(O148="","",IFERROR(INDEX('激励事件明细'!$A$2:$A$501,MATCH(1,('激励事件明细'!$C$2:$C$501=A148)*('激励事件明细'!$H$2:$H$501=C148)*('激励事件明细'!$AB$2:$AB$501=O148),0)),""))</f>
        <v/>
      </c>
      <c r="O148" s="16">
        <f>IF(A148="","",IFERROR(AGGREGATE(15,6,'激励事件明细'!$AB$2:$AB$501/(('激励事件明细'!$C$2:$C$501=A148)*('激励事件明细'!$H$2:$H$501=C148)*('激励事件明细'!$Z$2:$Z$501&gt;0)),1),""))</f>
        <v/>
      </c>
      <c r="P148" s="6">
        <f>IF(A148="","",IF(K148&gt;J148,"异常：超额缴税",IF(L148=0,"已缴清",IF(AND(O148&lt;TODAY(),L148&gt;0),"逾期未缴","未缴清"))))</f>
        <v/>
      </c>
    </row>
    <row r="149">
      <c r="A149" s="11" t="n"/>
      <c r="B149" s="6">
        <f>IF(A149="","",IFERROR(INDEX('激励事件明细'!$D$2:$D$501,MATCH(A149,'激励事件明细'!$C$2:$C$501,0)),""))</f>
        <v/>
      </c>
      <c r="C149" s="11" t="n"/>
      <c r="D149" s="14">
        <f>IF(OR(A149="",C149=""),"",SUMIFS('激励事件明细'!$S$2:$S$501,'激励事件明细'!$C$2:$C$501,A149,'激励事件明细'!$H$2:$H$501,C149,'激励事件明细'!$F$2:$F$501,"股票期权"))</f>
        <v/>
      </c>
      <c r="E149" s="14">
        <f>IF(OR(A149="",C149=""),"",SUMIFS('激励事件明细'!$S$2:$S$501,'激励事件明细'!$C$2:$C$501,A149,'激励事件明细'!$H$2:$H$501,C149,'激励事件明细'!$F$2:$F$501,"限制性股票"))</f>
        <v/>
      </c>
      <c r="F149" s="14">
        <f>IF(OR(A149="",C149=""),"",SUMIFS('激励事件明细'!$S$2:$S$501,'激励事件明细'!$C$2:$C$501,A149,'激励事件明细'!$H$2:$H$501,C149,'激励事件明细'!$F$2:$F$501,"其他股权激励"))</f>
        <v/>
      </c>
      <c r="G149" s="14">
        <f>IF(A149="","",SUM(D149:F149))</f>
        <v/>
      </c>
      <c r="H149" s="15">
        <f>IF(G149="","",VLOOKUP(G149,'税率及规则'!$A$2:$C$8,2,TRUE))</f>
        <v/>
      </c>
      <c r="I149" s="14">
        <f>IF(G149="","",VLOOKUP(G149,'税率及规则'!$A$2:$C$8,3,TRUE))</f>
        <v/>
      </c>
      <c r="J149" s="14">
        <f>IF(G149="","",MAX(0,G149*H149-I149))</f>
        <v/>
      </c>
      <c r="K149" s="14">
        <f>IF(A149="","",SUMIFS('分期缴税台账'!$K$2:$K$501,'分期缴税台账'!$A$2:$A$501,A149,'分期缴税台账'!$C$2:$C$501,C149))</f>
        <v/>
      </c>
      <c r="L149" s="14">
        <f>IF(J149="","",MAX(0,J149-K149))</f>
        <v/>
      </c>
      <c r="M149" s="6">
        <f>IF(A149="","",COUNTIFS('激励事件明细'!$C$2:$C$501,A149,'激励事件明细'!$H$2:$H$501,C149,'激励事件明细'!$Z$2:$Z$501,"&gt;0"))</f>
        <v/>
      </c>
      <c r="N149" s="6">
        <f>IF(O149="","",IFERROR(INDEX('激励事件明细'!$A$2:$A$501,MATCH(1,('激励事件明细'!$C$2:$C$501=A149)*('激励事件明细'!$H$2:$H$501=C149)*('激励事件明细'!$AB$2:$AB$501=O149),0)),""))</f>
        <v/>
      </c>
      <c r="O149" s="16">
        <f>IF(A149="","",IFERROR(AGGREGATE(15,6,'激励事件明细'!$AB$2:$AB$501/(('激励事件明细'!$C$2:$C$501=A149)*('激励事件明细'!$H$2:$H$501=C149)*('激励事件明细'!$Z$2:$Z$501&gt;0)),1),""))</f>
        <v/>
      </c>
      <c r="P149" s="6">
        <f>IF(A149="","",IF(K149&gt;J149,"异常：超额缴税",IF(L149=0,"已缴清",IF(AND(O149&lt;TODAY(),L149&gt;0),"逾期未缴","未缴清"))))</f>
        <v/>
      </c>
    </row>
    <row r="150">
      <c r="A150" s="11" t="n"/>
      <c r="B150" s="6">
        <f>IF(A150="","",IFERROR(INDEX('激励事件明细'!$D$2:$D$501,MATCH(A150,'激励事件明细'!$C$2:$C$501,0)),""))</f>
        <v/>
      </c>
      <c r="C150" s="11" t="n"/>
      <c r="D150" s="14">
        <f>IF(OR(A150="",C150=""),"",SUMIFS('激励事件明细'!$S$2:$S$501,'激励事件明细'!$C$2:$C$501,A150,'激励事件明细'!$H$2:$H$501,C150,'激励事件明细'!$F$2:$F$501,"股票期权"))</f>
        <v/>
      </c>
      <c r="E150" s="14">
        <f>IF(OR(A150="",C150=""),"",SUMIFS('激励事件明细'!$S$2:$S$501,'激励事件明细'!$C$2:$C$501,A150,'激励事件明细'!$H$2:$H$501,C150,'激励事件明细'!$F$2:$F$501,"限制性股票"))</f>
        <v/>
      </c>
      <c r="F150" s="14">
        <f>IF(OR(A150="",C150=""),"",SUMIFS('激励事件明细'!$S$2:$S$501,'激励事件明细'!$C$2:$C$501,A150,'激励事件明细'!$H$2:$H$501,C150,'激励事件明细'!$F$2:$F$501,"其他股权激励"))</f>
        <v/>
      </c>
      <c r="G150" s="14">
        <f>IF(A150="","",SUM(D150:F150))</f>
        <v/>
      </c>
      <c r="H150" s="15">
        <f>IF(G150="","",VLOOKUP(G150,'税率及规则'!$A$2:$C$8,2,TRUE))</f>
        <v/>
      </c>
      <c r="I150" s="14">
        <f>IF(G150="","",VLOOKUP(G150,'税率及规则'!$A$2:$C$8,3,TRUE))</f>
        <v/>
      </c>
      <c r="J150" s="14">
        <f>IF(G150="","",MAX(0,G150*H150-I150))</f>
        <v/>
      </c>
      <c r="K150" s="14">
        <f>IF(A150="","",SUMIFS('分期缴税台账'!$K$2:$K$501,'分期缴税台账'!$A$2:$A$501,A150,'分期缴税台账'!$C$2:$C$501,C150))</f>
        <v/>
      </c>
      <c r="L150" s="14">
        <f>IF(J150="","",MAX(0,J150-K150))</f>
        <v/>
      </c>
      <c r="M150" s="6">
        <f>IF(A150="","",COUNTIFS('激励事件明细'!$C$2:$C$501,A150,'激励事件明细'!$H$2:$H$501,C150,'激励事件明细'!$Z$2:$Z$501,"&gt;0"))</f>
        <v/>
      </c>
      <c r="N150" s="6">
        <f>IF(O150="","",IFERROR(INDEX('激励事件明细'!$A$2:$A$501,MATCH(1,('激励事件明细'!$C$2:$C$501=A150)*('激励事件明细'!$H$2:$H$501=C150)*('激励事件明细'!$AB$2:$AB$501=O150),0)),""))</f>
        <v/>
      </c>
      <c r="O150" s="16">
        <f>IF(A150="","",IFERROR(AGGREGATE(15,6,'激励事件明细'!$AB$2:$AB$501/(('激励事件明细'!$C$2:$C$501=A150)*('激励事件明细'!$H$2:$H$501=C150)*('激励事件明细'!$Z$2:$Z$501&gt;0)),1),""))</f>
        <v/>
      </c>
      <c r="P150" s="6">
        <f>IF(A150="","",IF(K150&gt;J150,"异常：超额缴税",IF(L150=0,"已缴清",IF(AND(O150&lt;TODAY(),L150&gt;0),"逾期未缴","未缴清"))))</f>
        <v/>
      </c>
    </row>
    <row r="151">
      <c r="A151" s="11" t="n"/>
      <c r="B151" s="6">
        <f>IF(A151="","",IFERROR(INDEX('激励事件明细'!$D$2:$D$501,MATCH(A151,'激励事件明细'!$C$2:$C$501,0)),""))</f>
        <v/>
      </c>
      <c r="C151" s="11" t="n"/>
      <c r="D151" s="14">
        <f>IF(OR(A151="",C151=""),"",SUMIFS('激励事件明细'!$S$2:$S$501,'激励事件明细'!$C$2:$C$501,A151,'激励事件明细'!$H$2:$H$501,C151,'激励事件明细'!$F$2:$F$501,"股票期权"))</f>
        <v/>
      </c>
      <c r="E151" s="14">
        <f>IF(OR(A151="",C151=""),"",SUMIFS('激励事件明细'!$S$2:$S$501,'激励事件明细'!$C$2:$C$501,A151,'激励事件明细'!$H$2:$H$501,C151,'激励事件明细'!$F$2:$F$501,"限制性股票"))</f>
        <v/>
      </c>
      <c r="F151" s="14">
        <f>IF(OR(A151="",C151=""),"",SUMIFS('激励事件明细'!$S$2:$S$501,'激励事件明细'!$C$2:$C$501,A151,'激励事件明细'!$H$2:$H$501,C151,'激励事件明细'!$F$2:$F$501,"其他股权激励"))</f>
        <v/>
      </c>
      <c r="G151" s="14">
        <f>IF(A151="","",SUM(D151:F151))</f>
        <v/>
      </c>
      <c r="H151" s="15">
        <f>IF(G151="","",VLOOKUP(G151,'税率及规则'!$A$2:$C$8,2,TRUE))</f>
        <v/>
      </c>
      <c r="I151" s="14">
        <f>IF(G151="","",VLOOKUP(G151,'税率及规则'!$A$2:$C$8,3,TRUE))</f>
        <v/>
      </c>
      <c r="J151" s="14">
        <f>IF(G151="","",MAX(0,G151*H151-I151))</f>
        <v/>
      </c>
      <c r="K151" s="14">
        <f>IF(A151="","",SUMIFS('分期缴税台账'!$K$2:$K$501,'分期缴税台账'!$A$2:$A$501,A151,'分期缴税台账'!$C$2:$C$501,C151))</f>
        <v/>
      </c>
      <c r="L151" s="14">
        <f>IF(J151="","",MAX(0,J151-K151))</f>
        <v/>
      </c>
      <c r="M151" s="6">
        <f>IF(A151="","",COUNTIFS('激励事件明细'!$C$2:$C$501,A151,'激励事件明细'!$H$2:$H$501,C151,'激励事件明细'!$Z$2:$Z$501,"&gt;0"))</f>
        <v/>
      </c>
      <c r="N151" s="6">
        <f>IF(O151="","",IFERROR(INDEX('激励事件明细'!$A$2:$A$501,MATCH(1,('激励事件明细'!$C$2:$C$501=A151)*('激励事件明细'!$H$2:$H$501=C151)*('激励事件明细'!$AB$2:$AB$501=O151),0)),""))</f>
        <v/>
      </c>
      <c r="O151" s="16">
        <f>IF(A151="","",IFERROR(AGGREGATE(15,6,'激励事件明细'!$AB$2:$AB$501/(('激励事件明细'!$C$2:$C$501=A151)*('激励事件明细'!$H$2:$H$501=C151)*('激励事件明细'!$Z$2:$Z$501&gt;0)),1),""))</f>
        <v/>
      </c>
      <c r="P151" s="6">
        <f>IF(A151="","",IF(K151&gt;J151,"异常：超额缴税",IF(L151=0,"已缴清",IF(AND(O151&lt;TODAY(),L151&gt;0),"逾期未缴","未缴清"))))</f>
        <v/>
      </c>
    </row>
    <row r="152">
      <c r="A152" s="11" t="n"/>
      <c r="B152" s="6">
        <f>IF(A152="","",IFERROR(INDEX('激励事件明细'!$D$2:$D$501,MATCH(A152,'激励事件明细'!$C$2:$C$501,0)),""))</f>
        <v/>
      </c>
      <c r="C152" s="11" t="n"/>
      <c r="D152" s="14">
        <f>IF(OR(A152="",C152=""),"",SUMIFS('激励事件明细'!$S$2:$S$501,'激励事件明细'!$C$2:$C$501,A152,'激励事件明细'!$H$2:$H$501,C152,'激励事件明细'!$F$2:$F$501,"股票期权"))</f>
        <v/>
      </c>
      <c r="E152" s="14">
        <f>IF(OR(A152="",C152=""),"",SUMIFS('激励事件明细'!$S$2:$S$501,'激励事件明细'!$C$2:$C$501,A152,'激励事件明细'!$H$2:$H$501,C152,'激励事件明细'!$F$2:$F$501,"限制性股票"))</f>
        <v/>
      </c>
      <c r="F152" s="14">
        <f>IF(OR(A152="",C152=""),"",SUMIFS('激励事件明细'!$S$2:$S$501,'激励事件明细'!$C$2:$C$501,A152,'激励事件明细'!$H$2:$H$501,C152,'激励事件明细'!$F$2:$F$501,"其他股权激励"))</f>
        <v/>
      </c>
      <c r="G152" s="14">
        <f>IF(A152="","",SUM(D152:F152))</f>
        <v/>
      </c>
      <c r="H152" s="15">
        <f>IF(G152="","",VLOOKUP(G152,'税率及规则'!$A$2:$C$8,2,TRUE))</f>
        <v/>
      </c>
      <c r="I152" s="14">
        <f>IF(G152="","",VLOOKUP(G152,'税率及规则'!$A$2:$C$8,3,TRUE))</f>
        <v/>
      </c>
      <c r="J152" s="14">
        <f>IF(G152="","",MAX(0,G152*H152-I152))</f>
        <v/>
      </c>
      <c r="K152" s="14">
        <f>IF(A152="","",SUMIFS('分期缴税台账'!$K$2:$K$501,'分期缴税台账'!$A$2:$A$501,A152,'分期缴税台账'!$C$2:$C$501,C152))</f>
        <v/>
      </c>
      <c r="L152" s="14">
        <f>IF(J152="","",MAX(0,J152-K152))</f>
        <v/>
      </c>
      <c r="M152" s="6">
        <f>IF(A152="","",COUNTIFS('激励事件明细'!$C$2:$C$501,A152,'激励事件明细'!$H$2:$H$501,C152,'激励事件明细'!$Z$2:$Z$501,"&gt;0"))</f>
        <v/>
      </c>
      <c r="N152" s="6">
        <f>IF(O152="","",IFERROR(INDEX('激励事件明细'!$A$2:$A$501,MATCH(1,('激励事件明细'!$C$2:$C$501=A152)*('激励事件明细'!$H$2:$H$501=C152)*('激励事件明细'!$AB$2:$AB$501=O152),0)),""))</f>
        <v/>
      </c>
      <c r="O152" s="16">
        <f>IF(A152="","",IFERROR(AGGREGATE(15,6,'激励事件明细'!$AB$2:$AB$501/(('激励事件明细'!$C$2:$C$501=A152)*('激励事件明细'!$H$2:$H$501=C152)*('激励事件明细'!$Z$2:$Z$501&gt;0)),1),""))</f>
        <v/>
      </c>
      <c r="P152" s="6">
        <f>IF(A152="","",IF(K152&gt;J152,"异常：超额缴税",IF(L152=0,"已缴清",IF(AND(O152&lt;TODAY(),L152&gt;0),"逾期未缴","未缴清"))))</f>
        <v/>
      </c>
    </row>
    <row r="153">
      <c r="A153" s="11" t="n"/>
      <c r="B153" s="6">
        <f>IF(A153="","",IFERROR(INDEX('激励事件明细'!$D$2:$D$501,MATCH(A153,'激励事件明细'!$C$2:$C$501,0)),""))</f>
        <v/>
      </c>
      <c r="C153" s="11" t="n"/>
      <c r="D153" s="14">
        <f>IF(OR(A153="",C153=""),"",SUMIFS('激励事件明细'!$S$2:$S$501,'激励事件明细'!$C$2:$C$501,A153,'激励事件明细'!$H$2:$H$501,C153,'激励事件明细'!$F$2:$F$501,"股票期权"))</f>
        <v/>
      </c>
      <c r="E153" s="14">
        <f>IF(OR(A153="",C153=""),"",SUMIFS('激励事件明细'!$S$2:$S$501,'激励事件明细'!$C$2:$C$501,A153,'激励事件明细'!$H$2:$H$501,C153,'激励事件明细'!$F$2:$F$501,"限制性股票"))</f>
        <v/>
      </c>
      <c r="F153" s="14">
        <f>IF(OR(A153="",C153=""),"",SUMIFS('激励事件明细'!$S$2:$S$501,'激励事件明细'!$C$2:$C$501,A153,'激励事件明细'!$H$2:$H$501,C153,'激励事件明细'!$F$2:$F$501,"其他股权激励"))</f>
        <v/>
      </c>
      <c r="G153" s="14">
        <f>IF(A153="","",SUM(D153:F153))</f>
        <v/>
      </c>
      <c r="H153" s="15">
        <f>IF(G153="","",VLOOKUP(G153,'税率及规则'!$A$2:$C$8,2,TRUE))</f>
        <v/>
      </c>
      <c r="I153" s="14">
        <f>IF(G153="","",VLOOKUP(G153,'税率及规则'!$A$2:$C$8,3,TRUE))</f>
        <v/>
      </c>
      <c r="J153" s="14">
        <f>IF(G153="","",MAX(0,G153*H153-I153))</f>
        <v/>
      </c>
      <c r="K153" s="14">
        <f>IF(A153="","",SUMIFS('分期缴税台账'!$K$2:$K$501,'分期缴税台账'!$A$2:$A$501,A153,'分期缴税台账'!$C$2:$C$501,C153))</f>
        <v/>
      </c>
      <c r="L153" s="14">
        <f>IF(J153="","",MAX(0,J153-K153))</f>
        <v/>
      </c>
      <c r="M153" s="6">
        <f>IF(A153="","",COUNTIFS('激励事件明细'!$C$2:$C$501,A153,'激励事件明细'!$H$2:$H$501,C153,'激励事件明细'!$Z$2:$Z$501,"&gt;0"))</f>
        <v/>
      </c>
      <c r="N153" s="6">
        <f>IF(O153="","",IFERROR(INDEX('激励事件明细'!$A$2:$A$501,MATCH(1,('激励事件明细'!$C$2:$C$501=A153)*('激励事件明细'!$H$2:$H$501=C153)*('激励事件明细'!$AB$2:$AB$501=O153),0)),""))</f>
        <v/>
      </c>
      <c r="O153" s="16">
        <f>IF(A153="","",IFERROR(AGGREGATE(15,6,'激励事件明细'!$AB$2:$AB$501/(('激励事件明细'!$C$2:$C$501=A153)*('激励事件明细'!$H$2:$H$501=C153)*('激励事件明细'!$Z$2:$Z$501&gt;0)),1),""))</f>
        <v/>
      </c>
      <c r="P153" s="6">
        <f>IF(A153="","",IF(K153&gt;J153,"异常：超额缴税",IF(L153=0,"已缴清",IF(AND(O153&lt;TODAY(),L153&gt;0),"逾期未缴","未缴清"))))</f>
        <v/>
      </c>
    </row>
    <row r="154">
      <c r="A154" s="11" t="n"/>
      <c r="B154" s="6">
        <f>IF(A154="","",IFERROR(INDEX('激励事件明细'!$D$2:$D$501,MATCH(A154,'激励事件明细'!$C$2:$C$501,0)),""))</f>
        <v/>
      </c>
      <c r="C154" s="11" t="n"/>
      <c r="D154" s="14">
        <f>IF(OR(A154="",C154=""),"",SUMIFS('激励事件明细'!$S$2:$S$501,'激励事件明细'!$C$2:$C$501,A154,'激励事件明细'!$H$2:$H$501,C154,'激励事件明细'!$F$2:$F$501,"股票期权"))</f>
        <v/>
      </c>
      <c r="E154" s="14">
        <f>IF(OR(A154="",C154=""),"",SUMIFS('激励事件明细'!$S$2:$S$501,'激励事件明细'!$C$2:$C$501,A154,'激励事件明细'!$H$2:$H$501,C154,'激励事件明细'!$F$2:$F$501,"限制性股票"))</f>
        <v/>
      </c>
      <c r="F154" s="14">
        <f>IF(OR(A154="",C154=""),"",SUMIFS('激励事件明细'!$S$2:$S$501,'激励事件明细'!$C$2:$C$501,A154,'激励事件明细'!$H$2:$H$501,C154,'激励事件明细'!$F$2:$F$501,"其他股权激励"))</f>
        <v/>
      </c>
      <c r="G154" s="14">
        <f>IF(A154="","",SUM(D154:F154))</f>
        <v/>
      </c>
      <c r="H154" s="15">
        <f>IF(G154="","",VLOOKUP(G154,'税率及规则'!$A$2:$C$8,2,TRUE))</f>
        <v/>
      </c>
      <c r="I154" s="14">
        <f>IF(G154="","",VLOOKUP(G154,'税率及规则'!$A$2:$C$8,3,TRUE))</f>
        <v/>
      </c>
      <c r="J154" s="14">
        <f>IF(G154="","",MAX(0,G154*H154-I154))</f>
        <v/>
      </c>
      <c r="K154" s="14">
        <f>IF(A154="","",SUMIFS('分期缴税台账'!$K$2:$K$501,'分期缴税台账'!$A$2:$A$501,A154,'分期缴税台账'!$C$2:$C$501,C154))</f>
        <v/>
      </c>
      <c r="L154" s="14">
        <f>IF(J154="","",MAX(0,J154-K154))</f>
        <v/>
      </c>
      <c r="M154" s="6">
        <f>IF(A154="","",COUNTIFS('激励事件明细'!$C$2:$C$501,A154,'激励事件明细'!$H$2:$H$501,C154,'激励事件明细'!$Z$2:$Z$501,"&gt;0"))</f>
        <v/>
      </c>
      <c r="N154" s="6">
        <f>IF(O154="","",IFERROR(INDEX('激励事件明细'!$A$2:$A$501,MATCH(1,('激励事件明细'!$C$2:$C$501=A154)*('激励事件明细'!$H$2:$H$501=C154)*('激励事件明细'!$AB$2:$AB$501=O154),0)),""))</f>
        <v/>
      </c>
      <c r="O154" s="16">
        <f>IF(A154="","",IFERROR(AGGREGATE(15,6,'激励事件明细'!$AB$2:$AB$501/(('激励事件明细'!$C$2:$C$501=A154)*('激励事件明细'!$H$2:$H$501=C154)*('激励事件明细'!$Z$2:$Z$501&gt;0)),1),""))</f>
        <v/>
      </c>
      <c r="P154" s="6">
        <f>IF(A154="","",IF(K154&gt;J154,"异常：超额缴税",IF(L154=0,"已缴清",IF(AND(O154&lt;TODAY(),L154&gt;0),"逾期未缴","未缴清"))))</f>
        <v/>
      </c>
    </row>
    <row r="155">
      <c r="A155" s="11" t="n"/>
      <c r="B155" s="6">
        <f>IF(A155="","",IFERROR(INDEX('激励事件明细'!$D$2:$D$501,MATCH(A155,'激励事件明细'!$C$2:$C$501,0)),""))</f>
        <v/>
      </c>
      <c r="C155" s="11" t="n"/>
      <c r="D155" s="14">
        <f>IF(OR(A155="",C155=""),"",SUMIFS('激励事件明细'!$S$2:$S$501,'激励事件明细'!$C$2:$C$501,A155,'激励事件明细'!$H$2:$H$501,C155,'激励事件明细'!$F$2:$F$501,"股票期权"))</f>
        <v/>
      </c>
      <c r="E155" s="14">
        <f>IF(OR(A155="",C155=""),"",SUMIFS('激励事件明细'!$S$2:$S$501,'激励事件明细'!$C$2:$C$501,A155,'激励事件明细'!$H$2:$H$501,C155,'激励事件明细'!$F$2:$F$501,"限制性股票"))</f>
        <v/>
      </c>
      <c r="F155" s="14">
        <f>IF(OR(A155="",C155=""),"",SUMIFS('激励事件明细'!$S$2:$S$501,'激励事件明细'!$C$2:$C$501,A155,'激励事件明细'!$H$2:$H$501,C155,'激励事件明细'!$F$2:$F$501,"其他股权激励"))</f>
        <v/>
      </c>
      <c r="G155" s="14">
        <f>IF(A155="","",SUM(D155:F155))</f>
        <v/>
      </c>
      <c r="H155" s="15">
        <f>IF(G155="","",VLOOKUP(G155,'税率及规则'!$A$2:$C$8,2,TRUE))</f>
        <v/>
      </c>
      <c r="I155" s="14">
        <f>IF(G155="","",VLOOKUP(G155,'税率及规则'!$A$2:$C$8,3,TRUE))</f>
        <v/>
      </c>
      <c r="J155" s="14">
        <f>IF(G155="","",MAX(0,G155*H155-I155))</f>
        <v/>
      </c>
      <c r="K155" s="14">
        <f>IF(A155="","",SUMIFS('分期缴税台账'!$K$2:$K$501,'分期缴税台账'!$A$2:$A$501,A155,'分期缴税台账'!$C$2:$C$501,C155))</f>
        <v/>
      </c>
      <c r="L155" s="14">
        <f>IF(J155="","",MAX(0,J155-K155))</f>
        <v/>
      </c>
      <c r="M155" s="6">
        <f>IF(A155="","",COUNTIFS('激励事件明细'!$C$2:$C$501,A155,'激励事件明细'!$H$2:$H$501,C155,'激励事件明细'!$Z$2:$Z$501,"&gt;0"))</f>
        <v/>
      </c>
      <c r="N155" s="6">
        <f>IF(O155="","",IFERROR(INDEX('激励事件明细'!$A$2:$A$501,MATCH(1,('激励事件明细'!$C$2:$C$501=A155)*('激励事件明细'!$H$2:$H$501=C155)*('激励事件明细'!$AB$2:$AB$501=O155),0)),""))</f>
        <v/>
      </c>
      <c r="O155" s="16">
        <f>IF(A155="","",IFERROR(AGGREGATE(15,6,'激励事件明细'!$AB$2:$AB$501/(('激励事件明细'!$C$2:$C$501=A155)*('激励事件明细'!$H$2:$H$501=C155)*('激励事件明细'!$Z$2:$Z$501&gt;0)),1),""))</f>
        <v/>
      </c>
      <c r="P155" s="6">
        <f>IF(A155="","",IF(K155&gt;J155,"异常：超额缴税",IF(L155=0,"已缴清",IF(AND(O155&lt;TODAY(),L155&gt;0),"逾期未缴","未缴清"))))</f>
        <v/>
      </c>
    </row>
    <row r="156">
      <c r="A156" s="11" t="n"/>
      <c r="B156" s="6">
        <f>IF(A156="","",IFERROR(INDEX('激励事件明细'!$D$2:$D$501,MATCH(A156,'激励事件明细'!$C$2:$C$501,0)),""))</f>
        <v/>
      </c>
      <c r="C156" s="11" t="n"/>
      <c r="D156" s="14">
        <f>IF(OR(A156="",C156=""),"",SUMIFS('激励事件明细'!$S$2:$S$501,'激励事件明细'!$C$2:$C$501,A156,'激励事件明细'!$H$2:$H$501,C156,'激励事件明细'!$F$2:$F$501,"股票期权"))</f>
        <v/>
      </c>
      <c r="E156" s="14">
        <f>IF(OR(A156="",C156=""),"",SUMIFS('激励事件明细'!$S$2:$S$501,'激励事件明细'!$C$2:$C$501,A156,'激励事件明细'!$H$2:$H$501,C156,'激励事件明细'!$F$2:$F$501,"限制性股票"))</f>
        <v/>
      </c>
      <c r="F156" s="14">
        <f>IF(OR(A156="",C156=""),"",SUMIFS('激励事件明细'!$S$2:$S$501,'激励事件明细'!$C$2:$C$501,A156,'激励事件明细'!$H$2:$H$501,C156,'激励事件明细'!$F$2:$F$501,"其他股权激励"))</f>
        <v/>
      </c>
      <c r="G156" s="14">
        <f>IF(A156="","",SUM(D156:F156))</f>
        <v/>
      </c>
      <c r="H156" s="15">
        <f>IF(G156="","",VLOOKUP(G156,'税率及规则'!$A$2:$C$8,2,TRUE))</f>
        <v/>
      </c>
      <c r="I156" s="14">
        <f>IF(G156="","",VLOOKUP(G156,'税率及规则'!$A$2:$C$8,3,TRUE))</f>
        <v/>
      </c>
      <c r="J156" s="14">
        <f>IF(G156="","",MAX(0,G156*H156-I156))</f>
        <v/>
      </c>
      <c r="K156" s="14">
        <f>IF(A156="","",SUMIFS('分期缴税台账'!$K$2:$K$501,'分期缴税台账'!$A$2:$A$501,A156,'分期缴税台账'!$C$2:$C$501,C156))</f>
        <v/>
      </c>
      <c r="L156" s="14">
        <f>IF(J156="","",MAX(0,J156-K156))</f>
        <v/>
      </c>
      <c r="M156" s="6">
        <f>IF(A156="","",COUNTIFS('激励事件明细'!$C$2:$C$501,A156,'激励事件明细'!$H$2:$H$501,C156,'激励事件明细'!$Z$2:$Z$501,"&gt;0"))</f>
        <v/>
      </c>
      <c r="N156" s="6">
        <f>IF(O156="","",IFERROR(INDEX('激励事件明细'!$A$2:$A$501,MATCH(1,('激励事件明细'!$C$2:$C$501=A156)*('激励事件明细'!$H$2:$H$501=C156)*('激励事件明细'!$AB$2:$AB$501=O156),0)),""))</f>
        <v/>
      </c>
      <c r="O156" s="16">
        <f>IF(A156="","",IFERROR(AGGREGATE(15,6,'激励事件明细'!$AB$2:$AB$501/(('激励事件明细'!$C$2:$C$501=A156)*('激励事件明细'!$H$2:$H$501=C156)*('激励事件明细'!$Z$2:$Z$501&gt;0)),1),""))</f>
        <v/>
      </c>
      <c r="P156" s="6">
        <f>IF(A156="","",IF(K156&gt;J156,"异常：超额缴税",IF(L156=0,"已缴清",IF(AND(O156&lt;TODAY(),L156&gt;0),"逾期未缴","未缴清"))))</f>
        <v/>
      </c>
    </row>
    <row r="157">
      <c r="A157" s="11" t="n"/>
      <c r="B157" s="6">
        <f>IF(A157="","",IFERROR(INDEX('激励事件明细'!$D$2:$D$501,MATCH(A157,'激励事件明细'!$C$2:$C$501,0)),""))</f>
        <v/>
      </c>
      <c r="C157" s="11" t="n"/>
      <c r="D157" s="14">
        <f>IF(OR(A157="",C157=""),"",SUMIFS('激励事件明细'!$S$2:$S$501,'激励事件明细'!$C$2:$C$501,A157,'激励事件明细'!$H$2:$H$501,C157,'激励事件明细'!$F$2:$F$501,"股票期权"))</f>
        <v/>
      </c>
      <c r="E157" s="14">
        <f>IF(OR(A157="",C157=""),"",SUMIFS('激励事件明细'!$S$2:$S$501,'激励事件明细'!$C$2:$C$501,A157,'激励事件明细'!$H$2:$H$501,C157,'激励事件明细'!$F$2:$F$501,"限制性股票"))</f>
        <v/>
      </c>
      <c r="F157" s="14">
        <f>IF(OR(A157="",C157=""),"",SUMIFS('激励事件明细'!$S$2:$S$501,'激励事件明细'!$C$2:$C$501,A157,'激励事件明细'!$H$2:$H$501,C157,'激励事件明细'!$F$2:$F$501,"其他股权激励"))</f>
        <v/>
      </c>
      <c r="G157" s="14">
        <f>IF(A157="","",SUM(D157:F157))</f>
        <v/>
      </c>
      <c r="H157" s="15">
        <f>IF(G157="","",VLOOKUP(G157,'税率及规则'!$A$2:$C$8,2,TRUE))</f>
        <v/>
      </c>
      <c r="I157" s="14">
        <f>IF(G157="","",VLOOKUP(G157,'税率及规则'!$A$2:$C$8,3,TRUE))</f>
        <v/>
      </c>
      <c r="J157" s="14">
        <f>IF(G157="","",MAX(0,G157*H157-I157))</f>
        <v/>
      </c>
      <c r="K157" s="14">
        <f>IF(A157="","",SUMIFS('分期缴税台账'!$K$2:$K$501,'分期缴税台账'!$A$2:$A$501,A157,'分期缴税台账'!$C$2:$C$501,C157))</f>
        <v/>
      </c>
      <c r="L157" s="14">
        <f>IF(J157="","",MAX(0,J157-K157))</f>
        <v/>
      </c>
      <c r="M157" s="6">
        <f>IF(A157="","",COUNTIFS('激励事件明细'!$C$2:$C$501,A157,'激励事件明细'!$H$2:$H$501,C157,'激励事件明细'!$Z$2:$Z$501,"&gt;0"))</f>
        <v/>
      </c>
      <c r="N157" s="6">
        <f>IF(O157="","",IFERROR(INDEX('激励事件明细'!$A$2:$A$501,MATCH(1,('激励事件明细'!$C$2:$C$501=A157)*('激励事件明细'!$H$2:$H$501=C157)*('激励事件明细'!$AB$2:$AB$501=O157),0)),""))</f>
        <v/>
      </c>
      <c r="O157" s="16">
        <f>IF(A157="","",IFERROR(AGGREGATE(15,6,'激励事件明细'!$AB$2:$AB$501/(('激励事件明细'!$C$2:$C$501=A157)*('激励事件明细'!$H$2:$H$501=C157)*('激励事件明细'!$Z$2:$Z$501&gt;0)),1),""))</f>
        <v/>
      </c>
      <c r="P157" s="6">
        <f>IF(A157="","",IF(K157&gt;J157,"异常：超额缴税",IF(L157=0,"已缴清",IF(AND(O157&lt;TODAY(),L157&gt;0),"逾期未缴","未缴清"))))</f>
        <v/>
      </c>
    </row>
    <row r="158">
      <c r="A158" s="11" t="n"/>
      <c r="B158" s="6">
        <f>IF(A158="","",IFERROR(INDEX('激励事件明细'!$D$2:$D$501,MATCH(A158,'激励事件明细'!$C$2:$C$501,0)),""))</f>
        <v/>
      </c>
      <c r="C158" s="11" t="n"/>
      <c r="D158" s="14">
        <f>IF(OR(A158="",C158=""),"",SUMIFS('激励事件明细'!$S$2:$S$501,'激励事件明细'!$C$2:$C$501,A158,'激励事件明细'!$H$2:$H$501,C158,'激励事件明细'!$F$2:$F$501,"股票期权"))</f>
        <v/>
      </c>
      <c r="E158" s="14">
        <f>IF(OR(A158="",C158=""),"",SUMIFS('激励事件明细'!$S$2:$S$501,'激励事件明细'!$C$2:$C$501,A158,'激励事件明细'!$H$2:$H$501,C158,'激励事件明细'!$F$2:$F$501,"限制性股票"))</f>
        <v/>
      </c>
      <c r="F158" s="14">
        <f>IF(OR(A158="",C158=""),"",SUMIFS('激励事件明细'!$S$2:$S$501,'激励事件明细'!$C$2:$C$501,A158,'激励事件明细'!$H$2:$H$501,C158,'激励事件明细'!$F$2:$F$501,"其他股权激励"))</f>
        <v/>
      </c>
      <c r="G158" s="14">
        <f>IF(A158="","",SUM(D158:F158))</f>
        <v/>
      </c>
      <c r="H158" s="15">
        <f>IF(G158="","",VLOOKUP(G158,'税率及规则'!$A$2:$C$8,2,TRUE))</f>
        <v/>
      </c>
      <c r="I158" s="14">
        <f>IF(G158="","",VLOOKUP(G158,'税率及规则'!$A$2:$C$8,3,TRUE))</f>
        <v/>
      </c>
      <c r="J158" s="14">
        <f>IF(G158="","",MAX(0,G158*H158-I158))</f>
        <v/>
      </c>
      <c r="K158" s="14">
        <f>IF(A158="","",SUMIFS('分期缴税台账'!$K$2:$K$501,'分期缴税台账'!$A$2:$A$501,A158,'分期缴税台账'!$C$2:$C$501,C158))</f>
        <v/>
      </c>
      <c r="L158" s="14">
        <f>IF(J158="","",MAX(0,J158-K158))</f>
        <v/>
      </c>
      <c r="M158" s="6">
        <f>IF(A158="","",COUNTIFS('激励事件明细'!$C$2:$C$501,A158,'激励事件明细'!$H$2:$H$501,C158,'激励事件明细'!$Z$2:$Z$501,"&gt;0"))</f>
        <v/>
      </c>
      <c r="N158" s="6">
        <f>IF(O158="","",IFERROR(INDEX('激励事件明细'!$A$2:$A$501,MATCH(1,('激励事件明细'!$C$2:$C$501=A158)*('激励事件明细'!$H$2:$H$501=C158)*('激励事件明细'!$AB$2:$AB$501=O158),0)),""))</f>
        <v/>
      </c>
      <c r="O158" s="16">
        <f>IF(A158="","",IFERROR(AGGREGATE(15,6,'激励事件明细'!$AB$2:$AB$501/(('激励事件明细'!$C$2:$C$501=A158)*('激励事件明细'!$H$2:$H$501=C158)*('激励事件明细'!$Z$2:$Z$501&gt;0)),1),""))</f>
        <v/>
      </c>
      <c r="P158" s="6">
        <f>IF(A158="","",IF(K158&gt;J158,"异常：超额缴税",IF(L158=0,"已缴清",IF(AND(O158&lt;TODAY(),L158&gt;0),"逾期未缴","未缴清"))))</f>
        <v/>
      </c>
    </row>
    <row r="159">
      <c r="A159" s="11" t="n"/>
      <c r="B159" s="6">
        <f>IF(A159="","",IFERROR(INDEX('激励事件明细'!$D$2:$D$501,MATCH(A159,'激励事件明细'!$C$2:$C$501,0)),""))</f>
        <v/>
      </c>
      <c r="C159" s="11" t="n"/>
      <c r="D159" s="14">
        <f>IF(OR(A159="",C159=""),"",SUMIFS('激励事件明细'!$S$2:$S$501,'激励事件明细'!$C$2:$C$501,A159,'激励事件明细'!$H$2:$H$501,C159,'激励事件明细'!$F$2:$F$501,"股票期权"))</f>
        <v/>
      </c>
      <c r="E159" s="14">
        <f>IF(OR(A159="",C159=""),"",SUMIFS('激励事件明细'!$S$2:$S$501,'激励事件明细'!$C$2:$C$501,A159,'激励事件明细'!$H$2:$H$501,C159,'激励事件明细'!$F$2:$F$501,"限制性股票"))</f>
        <v/>
      </c>
      <c r="F159" s="14">
        <f>IF(OR(A159="",C159=""),"",SUMIFS('激励事件明细'!$S$2:$S$501,'激励事件明细'!$C$2:$C$501,A159,'激励事件明细'!$H$2:$H$501,C159,'激励事件明细'!$F$2:$F$501,"其他股权激励"))</f>
        <v/>
      </c>
      <c r="G159" s="14">
        <f>IF(A159="","",SUM(D159:F159))</f>
        <v/>
      </c>
      <c r="H159" s="15">
        <f>IF(G159="","",VLOOKUP(G159,'税率及规则'!$A$2:$C$8,2,TRUE))</f>
        <v/>
      </c>
      <c r="I159" s="14">
        <f>IF(G159="","",VLOOKUP(G159,'税率及规则'!$A$2:$C$8,3,TRUE))</f>
        <v/>
      </c>
      <c r="J159" s="14">
        <f>IF(G159="","",MAX(0,G159*H159-I159))</f>
        <v/>
      </c>
      <c r="K159" s="14">
        <f>IF(A159="","",SUMIFS('分期缴税台账'!$K$2:$K$501,'分期缴税台账'!$A$2:$A$501,A159,'分期缴税台账'!$C$2:$C$501,C159))</f>
        <v/>
      </c>
      <c r="L159" s="14">
        <f>IF(J159="","",MAX(0,J159-K159))</f>
        <v/>
      </c>
      <c r="M159" s="6">
        <f>IF(A159="","",COUNTIFS('激励事件明细'!$C$2:$C$501,A159,'激励事件明细'!$H$2:$H$501,C159,'激励事件明细'!$Z$2:$Z$501,"&gt;0"))</f>
        <v/>
      </c>
      <c r="N159" s="6">
        <f>IF(O159="","",IFERROR(INDEX('激励事件明细'!$A$2:$A$501,MATCH(1,('激励事件明细'!$C$2:$C$501=A159)*('激励事件明细'!$H$2:$H$501=C159)*('激励事件明细'!$AB$2:$AB$501=O159),0)),""))</f>
        <v/>
      </c>
      <c r="O159" s="16">
        <f>IF(A159="","",IFERROR(AGGREGATE(15,6,'激励事件明细'!$AB$2:$AB$501/(('激励事件明细'!$C$2:$C$501=A159)*('激励事件明细'!$H$2:$H$501=C159)*('激励事件明细'!$Z$2:$Z$501&gt;0)),1),""))</f>
        <v/>
      </c>
      <c r="P159" s="6">
        <f>IF(A159="","",IF(K159&gt;J159,"异常：超额缴税",IF(L159=0,"已缴清",IF(AND(O159&lt;TODAY(),L159&gt;0),"逾期未缴","未缴清"))))</f>
        <v/>
      </c>
    </row>
    <row r="160">
      <c r="A160" s="11" t="n"/>
      <c r="B160" s="6">
        <f>IF(A160="","",IFERROR(INDEX('激励事件明细'!$D$2:$D$501,MATCH(A160,'激励事件明细'!$C$2:$C$501,0)),""))</f>
        <v/>
      </c>
      <c r="C160" s="11" t="n"/>
      <c r="D160" s="14">
        <f>IF(OR(A160="",C160=""),"",SUMIFS('激励事件明细'!$S$2:$S$501,'激励事件明细'!$C$2:$C$501,A160,'激励事件明细'!$H$2:$H$501,C160,'激励事件明细'!$F$2:$F$501,"股票期权"))</f>
        <v/>
      </c>
      <c r="E160" s="14">
        <f>IF(OR(A160="",C160=""),"",SUMIFS('激励事件明细'!$S$2:$S$501,'激励事件明细'!$C$2:$C$501,A160,'激励事件明细'!$H$2:$H$501,C160,'激励事件明细'!$F$2:$F$501,"限制性股票"))</f>
        <v/>
      </c>
      <c r="F160" s="14">
        <f>IF(OR(A160="",C160=""),"",SUMIFS('激励事件明细'!$S$2:$S$501,'激励事件明细'!$C$2:$C$501,A160,'激励事件明细'!$H$2:$H$501,C160,'激励事件明细'!$F$2:$F$501,"其他股权激励"))</f>
        <v/>
      </c>
      <c r="G160" s="14">
        <f>IF(A160="","",SUM(D160:F160))</f>
        <v/>
      </c>
      <c r="H160" s="15">
        <f>IF(G160="","",VLOOKUP(G160,'税率及规则'!$A$2:$C$8,2,TRUE))</f>
        <v/>
      </c>
      <c r="I160" s="14">
        <f>IF(G160="","",VLOOKUP(G160,'税率及规则'!$A$2:$C$8,3,TRUE))</f>
        <v/>
      </c>
      <c r="J160" s="14">
        <f>IF(G160="","",MAX(0,G160*H160-I160))</f>
        <v/>
      </c>
      <c r="K160" s="14">
        <f>IF(A160="","",SUMIFS('分期缴税台账'!$K$2:$K$501,'分期缴税台账'!$A$2:$A$501,A160,'分期缴税台账'!$C$2:$C$501,C160))</f>
        <v/>
      </c>
      <c r="L160" s="14">
        <f>IF(J160="","",MAX(0,J160-K160))</f>
        <v/>
      </c>
      <c r="M160" s="6">
        <f>IF(A160="","",COUNTIFS('激励事件明细'!$C$2:$C$501,A160,'激励事件明细'!$H$2:$H$501,C160,'激励事件明细'!$Z$2:$Z$501,"&gt;0"))</f>
        <v/>
      </c>
      <c r="N160" s="6">
        <f>IF(O160="","",IFERROR(INDEX('激励事件明细'!$A$2:$A$501,MATCH(1,('激励事件明细'!$C$2:$C$501=A160)*('激励事件明细'!$H$2:$H$501=C160)*('激励事件明细'!$AB$2:$AB$501=O160),0)),""))</f>
        <v/>
      </c>
      <c r="O160" s="16">
        <f>IF(A160="","",IFERROR(AGGREGATE(15,6,'激励事件明细'!$AB$2:$AB$501/(('激励事件明细'!$C$2:$C$501=A160)*('激励事件明细'!$H$2:$H$501=C160)*('激励事件明细'!$Z$2:$Z$501&gt;0)),1),""))</f>
        <v/>
      </c>
      <c r="P160" s="6">
        <f>IF(A160="","",IF(K160&gt;J160,"异常：超额缴税",IF(L160=0,"已缴清",IF(AND(O160&lt;TODAY(),L160&gt;0),"逾期未缴","未缴清"))))</f>
        <v/>
      </c>
    </row>
    <row r="161">
      <c r="A161" s="11" t="n"/>
      <c r="B161" s="6">
        <f>IF(A161="","",IFERROR(INDEX('激励事件明细'!$D$2:$D$501,MATCH(A161,'激励事件明细'!$C$2:$C$501,0)),""))</f>
        <v/>
      </c>
      <c r="C161" s="11" t="n"/>
      <c r="D161" s="14">
        <f>IF(OR(A161="",C161=""),"",SUMIFS('激励事件明细'!$S$2:$S$501,'激励事件明细'!$C$2:$C$501,A161,'激励事件明细'!$H$2:$H$501,C161,'激励事件明细'!$F$2:$F$501,"股票期权"))</f>
        <v/>
      </c>
      <c r="E161" s="14">
        <f>IF(OR(A161="",C161=""),"",SUMIFS('激励事件明细'!$S$2:$S$501,'激励事件明细'!$C$2:$C$501,A161,'激励事件明细'!$H$2:$H$501,C161,'激励事件明细'!$F$2:$F$501,"限制性股票"))</f>
        <v/>
      </c>
      <c r="F161" s="14">
        <f>IF(OR(A161="",C161=""),"",SUMIFS('激励事件明细'!$S$2:$S$501,'激励事件明细'!$C$2:$C$501,A161,'激励事件明细'!$H$2:$H$501,C161,'激励事件明细'!$F$2:$F$501,"其他股权激励"))</f>
        <v/>
      </c>
      <c r="G161" s="14">
        <f>IF(A161="","",SUM(D161:F161))</f>
        <v/>
      </c>
      <c r="H161" s="15">
        <f>IF(G161="","",VLOOKUP(G161,'税率及规则'!$A$2:$C$8,2,TRUE))</f>
        <v/>
      </c>
      <c r="I161" s="14">
        <f>IF(G161="","",VLOOKUP(G161,'税率及规则'!$A$2:$C$8,3,TRUE))</f>
        <v/>
      </c>
      <c r="J161" s="14">
        <f>IF(G161="","",MAX(0,G161*H161-I161))</f>
        <v/>
      </c>
      <c r="K161" s="14">
        <f>IF(A161="","",SUMIFS('分期缴税台账'!$K$2:$K$501,'分期缴税台账'!$A$2:$A$501,A161,'分期缴税台账'!$C$2:$C$501,C161))</f>
        <v/>
      </c>
      <c r="L161" s="14">
        <f>IF(J161="","",MAX(0,J161-K161))</f>
        <v/>
      </c>
      <c r="M161" s="6">
        <f>IF(A161="","",COUNTIFS('激励事件明细'!$C$2:$C$501,A161,'激励事件明细'!$H$2:$H$501,C161,'激励事件明细'!$Z$2:$Z$501,"&gt;0"))</f>
        <v/>
      </c>
      <c r="N161" s="6">
        <f>IF(O161="","",IFERROR(INDEX('激励事件明细'!$A$2:$A$501,MATCH(1,('激励事件明细'!$C$2:$C$501=A161)*('激励事件明细'!$H$2:$H$501=C161)*('激励事件明细'!$AB$2:$AB$501=O161),0)),""))</f>
        <v/>
      </c>
      <c r="O161" s="16">
        <f>IF(A161="","",IFERROR(AGGREGATE(15,6,'激励事件明细'!$AB$2:$AB$501/(('激励事件明细'!$C$2:$C$501=A161)*('激励事件明细'!$H$2:$H$501=C161)*('激励事件明细'!$Z$2:$Z$501&gt;0)),1),""))</f>
        <v/>
      </c>
      <c r="P161" s="6">
        <f>IF(A161="","",IF(K161&gt;J161,"异常：超额缴税",IF(L161=0,"已缴清",IF(AND(O161&lt;TODAY(),L161&gt;0),"逾期未缴","未缴清"))))</f>
        <v/>
      </c>
    </row>
    <row r="162">
      <c r="A162" s="11" t="n"/>
      <c r="B162" s="6">
        <f>IF(A162="","",IFERROR(INDEX('激励事件明细'!$D$2:$D$501,MATCH(A162,'激励事件明细'!$C$2:$C$501,0)),""))</f>
        <v/>
      </c>
      <c r="C162" s="11" t="n"/>
      <c r="D162" s="14">
        <f>IF(OR(A162="",C162=""),"",SUMIFS('激励事件明细'!$S$2:$S$501,'激励事件明细'!$C$2:$C$501,A162,'激励事件明细'!$H$2:$H$501,C162,'激励事件明细'!$F$2:$F$501,"股票期权"))</f>
        <v/>
      </c>
      <c r="E162" s="14">
        <f>IF(OR(A162="",C162=""),"",SUMIFS('激励事件明细'!$S$2:$S$501,'激励事件明细'!$C$2:$C$501,A162,'激励事件明细'!$H$2:$H$501,C162,'激励事件明细'!$F$2:$F$501,"限制性股票"))</f>
        <v/>
      </c>
      <c r="F162" s="14">
        <f>IF(OR(A162="",C162=""),"",SUMIFS('激励事件明细'!$S$2:$S$501,'激励事件明细'!$C$2:$C$501,A162,'激励事件明细'!$H$2:$H$501,C162,'激励事件明细'!$F$2:$F$501,"其他股权激励"))</f>
        <v/>
      </c>
      <c r="G162" s="14">
        <f>IF(A162="","",SUM(D162:F162))</f>
        <v/>
      </c>
      <c r="H162" s="15">
        <f>IF(G162="","",VLOOKUP(G162,'税率及规则'!$A$2:$C$8,2,TRUE))</f>
        <v/>
      </c>
      <c r="I162" s="14">
        <f>IF(G162="","",VLOOKUP(G162,'税率及规则'!$A$2:$C$8,3,TRUE))</f>
        <v/>
      </c>
      <c r="J162" s="14">
        <f>IF(G162="","",MAX(0,G162*H162-I162))</f>
        <v/>
      </c>
      <c r="K162" s="14">
        <f>IF(A162="","",SUMIFS('分期缴税台账'!$K$2:$K$501,'分期缴税台账'!$A$2:$A$501,A162,'分期缴税台账'!$C$2:$C$501,C162))</f>
        <v/>
      </c>
      <c r="L162" s="14">
        <f>IF(J162="","",MAX(0,J162-K162))</f>
        <v/>
      </c>
      <c r="M162" s="6">
        <f>IF(A162="","",COUNTIFS('激励事件明细'!$C$2:$C$501,A162,'激励事件明细'!$H$2:$H$501,C162,'激励事件明细'!$Z$2:$Z$501,"&gt;0"))</f>
        <v/>
      </c>
      <c r="N162" s="6">
        <f>IF(O162="","",IFERROR(INDEX('激励事件明细'!$A$2:$A$501,MATCH(1,('激励事件明细'!$C$2:$C$501=A162)*('激励事件明细'!$H$2:$H$501=C162)*('激励事件明细'!$AB$2:$AB$501=O162),0)),""))</f>
        <v/>
      </c>
      <c r="O162" s="16">
        <f>IF(A162="","",IFERROR(AGGREGATE(15,6,'激励事件明细'!$AB$2:$AB$501/(('激励事件明细'!$C$2:$C$501=A162)*('激励事件明细'!$H$2:$H$501=C162)*('激励事件明细'!$Z$2:$Z$501&gt;0)),1),""))</f>
        <v/>
      </c>
      <c r="P162" s="6">
        <f>IF(A162="","",IF(K162&gt;J162,"异常：超额缴税",IF(L162=0,"已缴清",IF(AND(O162&lt;TODAY(),L162&gt;0),"逾期未缴","未缴清"))))</f>
        <v/>
      </c>
    </row>
    <row r="163">
      <c r="A163" s="11" t="n"/>
      <c r="B163" s="6">
        <f>IF(A163="","",IFERROR(INDEX('激励事件明细'!$D$2:$D$501,MATCH(A163,'激励事件明细'!$C$2:$C$501,0)),""))</f>
        <v/>
      </c>
      <c r="C163" s="11" t="n"/>
      <c r="D163" s="14">
        <f>IF(OR(A163="",C163=""),"",SUMIFS('激励事件明细'!$S$2:$S$501,'激励事件明细'!$C$2:$C$501,A163,'激励事件明细'!$H$2:$H$501,C163,'激励事件明细'!$F$2:$F$501,"股票期权"))</f>
        <v/>
      </c>
      <c r="E163" s="14">
        <f>IF(OR(A163="",C163=""),"",SUMIFS('激励事件明细'!$S$2:$S$501,'激励事件明细'!$C$2:$C$501,A163,'激励事件明细'!$H$2:$H$501,C163,'激励事件明细'!$F$2:$F$501,"限制性股票"))</f>
        <v/>
      </c>
      <c r="F163" s="14">
        <f>IF(OR(A163="",C163=""),"",SUMIFS('激励事件明细'!$S$2:$S$501,'激励事件明细'!$C$2:$C$501,A163,'激励事件明细'!$H$2:$H$501,C163,'激励事件明细'!$F$2:$F$501,"其他股权激励"))</f>
        <v/>
      </c>
      <c r="G163" s="14">
        <f>IF(A163="","",SUM(D163:F163))</f>
        <v/>
      </c>
      <c r="H163" s="15">
        <f>IF(G163="","",VLOOKUP(G163,'税率及规则'!$A$2:$C$8,2,TRUE))</f>
        <v/>
      </c>
      <c r="I163" s="14">
        <f>IF(G163="","",VLOOKUP(G163,'税率及规则'!$A$2:$C$8,3,TRUE))</f>
        <v/>
      </c>
      <c r="J163" s="14">
        <f>IF(G163="","",MAX(0,G163*H163-I163))</f>
        <v/>
      </c>
      <c r="K163" s="14">
        <f>IF(A163="","",SUMIFS('分期缴税台账'!$K$2:$K$501,'分期缴税台账'!$A$2:$A$501,A163,'分期缴税台账'!$C$2:$C$501,C163))</f>
        <v/>
      </c>
      <c r="L163" s="14">
        <f>IF(J163="","",MAX(0,J163-K163))</f>
        <v/>
      </c>
      <c r="M163" s="6">
        <f>IF(A163="","",COUNTIFS('激励事件明细'!$C$2:$C$501,A163,'激励事件明细'!$H$2:$H$501,C163,'激励事件明细'!$Z$2:$Z$501,"&gt;0"))</f>
        <v/>
      </c>
      <c r="N163" s="6">
        <f>IF(O163="","",IFERROR(INDEX('激励事件明细'!$A$2:$A$501,MATCH(1,('激励事件明细'!$C$2:$C$501=A163)*('激励事件明细'!$H$2:$H$501=C163)*('激励事件明细'!$AB$2:$AB$501=O163),0)),""))</f>
        <v/>
      </c>
      <c r="O163" s="16">
        <f>IF(A163="","",IFERROR(AGGREGATE(15,6,'激励事件明细'!$AB$2:$AB$501/(('激励事件明细'!$C$2:$C$501=A163)*('激励事件明细'!$H$2:$H$501=C163)*('激励事件明细'!$Z$2:$Z$501&gt;0)),1),""))</f>
        <v/>
      </c>
      <c r="P163" s="6">
        <f>IF(A163="","",IF(K163&gt;J163,"异常：超额缴税",IF(L163=0,"已缴清",IF(AND(O163&lt;TODAY(),L163&gt;0),"逾期未缴","未缴清"))))</f>
        <v/>
      </c>
    </row>
    <row r="164">
      <c r="A164" s="11" t="n"/>
      <c r="B164" s="6">
        <f>IF(A164="","",IFERROR(INDEX('激励事件明细'!$D$2:$D$501,MATCH(A164,'激励事件明细'!$C$2:$C$501,0)),""))</f>
        <v/>
      </c>
      <c r="C164" s="11" t="n"/>
      <c r="D164" s="14">
        <f>IF(OR(A164="",C164=""),"",SUMIFS('激励事件明细'!$S$2:$S$501,'激励事件明细'!$C$2:$C$501,A164,'激励事件明细'!$H$2:$H$501,C164,'激励事件明细'!$F$2:$F$501,"股票期权"))</f>
        <v/>
      </c>
      <c r="E164" s="14">
        <f>IF(OR(A164="",C164=""),"",SUMIFS('激励事件明细'!$S$2:$S$501,'激励事件明细'!$C$2:$C$501,A164,'激励事件明细'!$H$2:$H$501,C164,'激励事件明细'!$F$2:$F$501,"限制性股票"))</f>
        <v/>
      </c>
      <c r="F164" s="14">
        <f>IF(OR(A164="",C164=""),"",SUMIFS('激励事件明细'!$S$2:$S$501,'激励事件明细'!$C$2:$C$501,A164,'激励事件明细'!$H$2:$H$501,C164,'激励事件明细'!$F$2:$F$501,"其他股权激励"))</f>
        <v/>
      </c>
      <c r="G164" s="14">
        <f>IF(A164="","",SUM(D164:F164))</f>
        <v/>
      </c>
      <c r="H164" s="15">
        <f>IF(G164="","",VLOOKUP(G164,'税率及规则'!$A$2:$C$8,2,TRUE))</f>
        <v/>
      </c>
      <c r="I164" s="14">
        <f>IF(G164="","",VLOOKUP(G164,'税率及规则'!$A$2:$C$8,3,TRUE))</f>
        <v/>
      </c>
      <c r="J164" s="14">
        <f>IF(G164="","",MAX(0,G164*H164-I164))</f>
        <v/>
      </c>
      <c r="K164" s="14">
        <f>IF(A164="","",SUMIFS('分期缴税台账'!$K$2:$K$501,'分期缴税台账'!$A$2:$A$501,A164,'分期缴税台账'!$C$2:$C$501,C164))</f>
        <v/>
      </c>
      <c r="L164" s="14">
        <f>IF(J164="","",MAX(0,J164-K164))</f>
        <v/>
      </c>
      <c r="M164" s="6">
        <f>IF(A164="","",COUNTIFS('激励事件明细'!$C$2:$C$501,A164,'激励事件明细'!$H$2:$H$501,C164,'激励事件明细'!$Z$2:$Z$501,"&gt;0"))</f>
        <v/>
      </c>
      <c r="N164" s="6">
        <f>IF(O164="","",IFERROR(INDEX('激励事件明细'!$A$2:$A$501,MATCH(1,('激励事件明细'!$C$2:$C$501=A164)*('激励事件明细'!$H$2:$H$501=C164)*('激励事件明细'!$AB$2:$AB$501=O164),0)),""))</f>
        <v/>
      </c>
      <c r="O164" s="16">
        <f>IF(A164="","",IFERROR(AGGREGATE(15,6,'激励事件明细'!$AB$2:$AB$501/(('激励事件明细'!$C$2:$C$501=A164)*('激励事件明细'!$H$2:$H$501=C164)*('激励事件明细'!$Z$2:$Z$501&gt;0)),1),""))</f>
        <v/>
      </c>
      <c r="P164" s="6">
        <f>IF(A164="","",IF(K164&gt;J164,"异常：超额缴税",IF(L164=0,"已缴清",IF(AND(O164&lt;TODAY(),L164&gt;0),"逾期未缴","未缴清"))))</f>
        <v/>
      </c>
    </row>
    <row r="165">
      <c r="A165" s="11" t="n"/>
      <c r="B165" s="6">
        <f>IF(A165="","",IFERROR(INDEX('激励事件明细'!$D$2:$D$501,MATCH(A165,'激励事件明细'!$C$2:$C$501,0)),""))</f>
        <v/>
      </c>
      <c r="C165" s="11" t="n"/>
      <c r="D165" s="14">
        <f>IF(OR(A165="",C165=""),"",SUMIFS('激励事件明细'!$S$2:$S$501,'激励事件明细'!$C$2:$C$501,A165,'激励事件明细'!$H$2:$H$501,C165,'激励事件明细'!$F$2:$F$501,"股票期权"))</f>
        <v/>
      </c>
      <c r="E165" s="14">
        <f>IF(OR(A165="",C165=""),"",SUMIFS('激励事件明细'!$S$2:$S$501,'激励事件明细'!$C$2:$C$501,A165,'激励事件明细'!$H$2:$H$501,C165,'激励事件明细'!$F$2:$F$501,"限制性股票"))</f>
        <v/>
      </c>
      <c r="F165" s="14">
        <f>IF(OR(A165="",C165=""),"",SUMIFS('激励事件明细'!$S$2:$S$501,'激励事件明细'!$C$2:$C$501,A165,'激励事件明细'!$H$2:$H$501,C165,'激励事件明细'!$F$2:$F$501,"其他股权激励"))</f>
        <v/>
      </c>
      <c r="G165" s="14">
        <f>IF(A165="","",SUM(D165:F165))</f>
        <v/>
      </c>
      <c r="H165" s="15">
        <f>IF(G165="","",VLOOKUP(G165,'税率及规则'!$A$2:$C$8,2,TRUE))</f>
        <v/>
      </c>
      <c r="I165" s="14">
        <f>IF(G165="","",VLOOKUP(G165,'税率及规则'!$A$2:$C$8,3,TRUE))</f>
        <v/>
      </c>
      <c r="J165" s="14">
        <f>IF(G165="","",MAX(0,G165*H165-I165))</f>
        <v/>
      </c>
      <c r="K165" s="14">
        <f>IF(A165="","",SUMIFS('分期缴税台账'!$K$2:$K$501,'分期缴税台账'!$A$2:$A$501,A165,'分期缴税台账'!$C$2:$C$501,C165))</f>
        <v/>
      </c>
      <c r="L165" s="14">
        <f>IF(J165="","",MAX(0,J165-K165))</f>
        <v/>
      </c>
      <c r="M165" s="6">
        <f>IF(A165="","",COUNTIFS('激励事件明细'!$C$2:$C$501,A165,'激励事件明细'!$H$2:$H$501,C165,'激励事件明细'!$Z$2:$Z$501,"&gt;0"))</f>
        <v/>
      </c>
      <c r="N165" s="6">
        <f>IF(O165="","",IFERROR(INDEX('激励事件明细'!$A$2:$A$501,MATCH(1,('激励事件明细'!$C$2:$C$501=A165)*('激励事件明细'!$H$2:$H$501=C165)*('激励事件明细'!$AB$2:$AB$501=O165),0)),""))</f>
        <v/>
      </c>
      <c r="O165" s="16">
        <f>IF(A165="","",IFERROR(AGGREGATE(15,6,'激励事件明细'!$AB$2:$AB$501/(('激励事件明细'!$C$2:$C$501=A165)*('激励事件明细'!$H$2:$H$501=C165)*('激励事件明细'!$Z$2:$Z$501&gt;0)),1),""))</f>
        <v/>
      </c>
      <c r="P165" s="6">
        <f>IF(A165="","",IF(K165&gt;J165,"异常：超额缴税",IF(L165=0,"已缴清",IF(AND(O165&lt;TODAY(),L165&gt;0),"逾期未缴","未缴清"))))</f>
        <v/>
      </c>
    </row>
    <row r="166">
      <c r="A166" s="11" t="n"/>
      <c r="B166" s="6">
        <f>IF(A166="","",IFERROR(INDEX('激励事件明细'!$D$2:$D$501,MATCH(A166,'激励事件明细'!$C$2:$C$501,0)),""))</f>
        <v/>
      </c>
      <c r="C166" s="11" t="n"/>
      <c r="D166" s="14">
        <f>IF(OR(A166="",C166=""),"",SUMIFS('激励事件明细'!$S$2:$S$501,'激励事件明细'!$C$2:$C$501,A166,'激励事件明细'!$H$2:$H$501,C166,'激励事件明细'!$F$2:$F$501,"股票期权"))</f>
        <v/>
      </c>
      <c r="E166" s="14">
        <f>IF(OR(A166="",C166=""),"",SUMIFS('激励事件明细'!$S$2:$S$501,'激励事件明细'!$C$2:$C$501,A166,'激励事件明细'!$H$2:$H$501,C166,'激励事件明细'!$F$2:$F$501,"限制性股票"))</f>
        <v/>
      </c>
      <c r="F166" s="14">
        <f>IF(OR(A166="",C166=""),"",SUMIFS('激励事件明细'!$S$2:$S$501,'激励事件明细'!$C$2:$C$501,A166,'激励事件明细'!$H$2:$H$501,C166,'激励事件明细'!$F$2:$F$501,"其他股权激励"))</f>
        <v/>
      </c>
      <c r="G166" s="14">
        <f>IF(A166="","",SUM(D166:F166))</f>
        <v/>
      </c>
      <c r="H166" s="15">
        <f>IF(G166="","",VLOOKUP(G166,'税率及规则'!$A$2:$C$8,2,TRUE))</f>
        <v/>
      </c>
      <c r="I166" s="14">
        <f>IF(G166="","",VLOOKUP(G166,'税率及规则'!$A$2:$C$8,3,TRUE))</f>
        <v/>
      </c>
      <c r="J166" s="14">
        <f>IF(G166="","",MAX(0,G166*H166-I166))</f>
        <v/>
      </c>
      <c r="K166" s="14">
        <f>IF(A166="","",SUMIFS('分期缴税台账'!$K$2:$K$501,'分期缴税台账'!$A$2:$A$501,A166,'分期缴税台账'!$C$2:$C$501,C166))</f>
        <v/>
      </c>
      <c r="L166" s="14">
        <f>IF(J166="","",MAX(0,J166-K166))</f>
        <v/>
      </c>
      <c r="M166" s="6">
        <f>IF(A166="","",COUNTIFS('激励事件明细'!$C$2:$C$501,A166,'激励事件明细'!$H$2:$H$501,C166,'激励事件明细'!$Z$2:$Z$501,"&gt;0"))</f>
        <v/>
      </c>
      <c r="N166" s="6">
        <f>IF(O166="","",IFERROR(INDEX('激励事件明细'!$A$2:$A$501,MATCH(1,('激励事件明细'!$C$2:$C$501=A166)*('激励事件明细'!$H$2:$H$501=C166)*('激励事件明细'!$AB$2:$AB$501=O166),0)),""))</f>
        <v/>
      </c>
      <c r="O166" s="16">
        <f>IF(A166="","",IFERROR(AGGREGATE(15,6,'激励事件明细'!$AB$2:$AB$501/(('激励事件明细'!$C$2:$C$501=A166)*('激励事件明细'!$H$2:$H$501=C166)*('激励事件明细'!$Z$2:$Z$501&gt;0)),1),""))</f>
        <v/>
      </c>
      <c r="P166" s="6">
        <f>IF(A166="","",IF(K166&gt;J166,"异常：超额缴税",IF(L166=0,"已缴清",IF(AND(O166&lt;TODAY(),L166&gt;0),"逾期未缴","未缴清"))))</f>
        <v/>
      </c>
    </row>
    <row r="167">
      <c r="A167" s="11" t="n"/>
      <c r="B167" s="6">
        <f>IF(A167="","",IFERROR(INDEX('激励事件明细'!$D$2:$D$501,MATCH(A167,'激励事件明细'!$C$2:$C$501,0)),""))</f>
        <v/>
      </c>
      <c r="C167" s="11" t="n"/>
      <c r="D167" s="14">
        <f>IF(OR(A167="",C167=""),"",SUMIFS('激励事件明细'!$S$2:$S$501,'激励事件明细'!$C$2:$C$501,A167,'激励事件明细'!$H$2:$H$501,C167,'激励事件明细'!$F$2:$F$501,"股票期权"))</f>
        <v/>
      </c>
      <c r="E167" s="14">
        <f>IF(OR(A167="",C167=""),"",SUMIFS('激励事件明细'!$S$2:$S$501,'激励事件明细'!$C$2:$C$501,A167,'激励事件明细'!$H$2:$H$501,C167,'激励事件明细'!$F$2:$F$501,"限制性股票"))</f>
        <v/>
      </c>
      <c r="F167" s="14">
        <f>IF(OR(A167="",C167=""),"",SUMIFS('激励事件明细'!$S$2:$S$501,'激励事件明细'!$C$2:$C$501,A167,'激励事件明细'!$H$2:$H$501,C167,'激励事件明细'!$F$2:$F$501,"其他股权激励"))</f>
        <v/>
      </c>
      <c r="G167" s="14">
        <f>IF(A167="","",SUM(D167:F167))</f>
        <v/>
      </c>
      <c r="H167" s="15">
        <f>IF(G167="","",VLOOKUP(G167,'税率及规则'!$A$2:$C$8,2,TRUE))</f>
        <v/>
      </c>
      <c r="I167" s="14">
        <f>IF(G167="","",VLOOKUP(G167,'税率及规则'!$A$2:$C$8,3,TRUE))</f>
        <v/>
      </c>
      <c r="J167" s="14">
        <f>IF(G167="","",MAX(0,G167*H167-I167))</f>
        <v/>
      </c>
      <c r="K167" s="14">
        <f>IF(A167="","",SUMIFS('分期缴税台账'!$K$2:$K$501,'分期缴税台账'!$A$2:$A$501,A167,'分期缴税台账'!$C$2:$C$501,C167))</f>
        <v/>
      </c>
      <c r="L167" s="14">
        <f>IF(J167="","",MAX(0,J167-K167))</f>
        <v/>
      </c>
      <c r="M167" s="6">
        <f>IF(A167="","",COUNTIFS('激励事件明细'!$C$2:$C$501,A167,'激励事件明细'!$H$2:$H$501,C167,'激励事件明细'!$Z$2:$Z$501,"&gt;0"))</f>
        <v/>
      </c>
      <c r="N167" s="6">
        <f>IF(O167="","",IFERROR(INDEX('激励事件明细'!$A$2:$A$501,MATCH(1,('激励事件明细'!$C$2:$C$501=A167)*('激励事件明细'!$H$2:$H$501=C167)*('激励事件明细'!$AB$2:$AB$501=O167),0)),""))</f>
        <v/>
      </c>
      <c r="O167" s="16">
        <f>IF(A167="","",IFERROR(AGGREGATE(15,6,'激励事件明细'!$AB$2:$AB$501/(('激励事件明细'!$C$2:$C$501=A167)*('激励事件明细'!$H$2:$H$501=C167)*('激励事件明细'!$Z$2:$Z$501&gt;0)),1),""))</f>
        <v/>
      </c>
      <c r="P167" s="6">
        <f>IF(A167="","",IF(K167&gt;J167,"异常：超额缴税",IF(L167=0,"已缴清",IF(AND(O167&lt;TODAY(),L167&gt;0),"逾期未缴","未缴清"))))</f>
        <v/>
      </c>
    </row>
    <row r="168">
      <c r="A168" s="11" t="n"/>
      <c r="B168" s="6">
        <f>IF(A168="","",IFERROR(INDEX('激励事件明细'!$D$2:$D$501,MATCH(A168,'激励事件明细'!$C$2:$C$501,0)),""))</f>
        <v/>
      </c>
      <c r="C168" s="11" t="n"/>
      <c r="D168" s="14">
        <f>IF(OR(A168="",C168=""),"",SUMIFS('激励事件明细'!$S$2:$S$501,'激励事件明细'!$C$2:$C$501,A168,'激励事件明细'!$H$2:$H$501,C168,'激励事件明细'!$F$2:$F$501,"股票期权"))</f>
        <v/>
      </c>
      <c r="E168" s="14">
        <f>IF(OR(A168="",C168=""),"",SUMIFS('激励事件明细'!$S$2:$S$501,'激励事件明细'!$C$2:$C$501,A168,'激励事件明细'!$H$2:$H$501,C168,'激励事件明细'!$F$2:$F$501,"限制性股票"))</f>
        <v/>
      </c>
      <c r="F168" s="14">
        <f>IF(OR(A168="",C168=""),"",SUMIFS('激励事件明细'!$S$2:$S$501,'激励事件明细'!$C$2:$C$501,A168,'激励事件明细'!$H$2:$H$501,C168,'激励事件明细'!$F$2:$F$501,"其他股权激励"))</f>
        <v/>
      </c>
      <c r="G168" s="14">
        <f>IF(A168="","",SUM(D168:F168))</f>
        <v/>
      </c>
      <c r="H168" s="15">
        <f>IF(G168="","",VLOOKUP(G168,'税率及规则'!$A$2:$C$8,2,TRUE))</f>
        <v/>
      </c>
      <c r="I168" s="14">
        <f>IF(G168="","",VLOOKUP(G168,'税率及规则'!$A$2:$C$8,3,TRUE))</f>
        <v/>
      </c>
      <c r="J168" s="14">
        <f>IF(G168="","",MAX(0,G168*H168-I168))</f>
        <v/>
      </c>
      <c r="K168" s="14">
        <f>IF(A168="","",SUMIFS('分期缴税台账'!$K$2:$K$501,'分期缴税台账'!$A$2:$A$501,A168,'分期缴税台账'!$C$2:$C$501,C168))</f>
        <v/>
      </c>
      <c r="L168" s="14">
        <f>IF(J168="","",MAX(0,J168-K168))</f>
        <v/>
      </c>
      <c r="M168" s="6">
        <f>IF(A168="","",COUNTIFS('激励事件明细'!$C$2:$C$501,A168,'激励事件明细'!$H$2:$H$501,C168,'激励事件明细'!$Z$2:$Z$501,"&gt;0"))</f>
        <v/>
      </c>
      <c r="N168" s="6">
        <f>IF(O168="","",IFERROR(INDEX('激励事件明细'!$A$2:$A$501,MATCH(1,('激励事件明细'!$C$2:$C$501=A168)*('激励事件明细'!$H$2:$H$501=C168)*('激励事件明细'!$AB$2:$AB$501=O168),0)),""))</f>
        <v/>
      </c>
      <c r="O168" s="16">
        <f>IF(A168="","",IFERROR(AGGREGATE(15,6,'激励事件明细'!$AB$2:$AB$501/(('激励事件明细'!$C$2:$C$501=A168)*('激励事件明细'!$H$2:$H$501=C168)*('激励事件明细'!$Z$2:$Z$501&gt;0)),1),""))</f>
        <v/>
      </c>
      <c r="P168" s="6">
        <f>IF(A168="","",IF(K168&gt;J168,"异常：超额缴税",IF(L168=0,"已缴清",IF(AND(O168&lt;TODAY(),L168&gt;0),"逾期未缴","未缴清"))))</f>
        <v/>
      </c>
    </row>
    <row r="169">
      <c r="A169" s="11" t="n"/>
      <c r="B169" s="6">
        <f>IF(A169="","",IFERROR(INDEX('激励事件明细'!$D$2:$D$501,MATCH(A169,'激励事件明细'!$C$2:$C$501,0)),""))</f>
        <v/>
      </c>
      <c r="C169" s="11" t="n"/>
      <c r="D169" s="14">
        <f>IF(OR(A169="",C169=""),"",SUMIFS('激励事件明细'!$S$2:$S$501,'激励事件明细'!$C$2:$C$501,A169,'激励事件明细'!$H$2:$H$501,C169,'激励事件明细'!$F$2:$F$501,"股票期权"))</f>
        <v/>
      </c>
      <c r="E169" s="14">
        <f>IF(OR(A169="",C169=""),"",SUMIFS('激励事件明细'!$S$2:$S$501,'激励事件明细'!$C$2:$C$501,A169,'激励事件明细'!$H$2:$H$501,C169,'激励事件明细'!$F$2:$F$501,"限制性股票"))</f>
        <v/>
      </c>
      <c r="F169" s="14">
        <f>IF(OR(A169="",C169=""),"",SUMIFS('激励事件明细'!$S$2:$S$501,'激励事件明细'!$C$2:$C$501,A169,'激励事件明细'!$H$2:$H$501,C169,'激励事件明细'!$F$2:$F$501,"其他股权激励"))</f>
        <v/>
      </c>
      <c r="G169" s="14">
        <f>IF(A169="","",SUM(D169:F169))</f>
        <v/>
      </c>
      <c r="H169" s="15">
        <f>IF(G169="","",VLOOKUP(G169,'税率及规则'!$A$2:$C$8,2,TRUE))</f>
        <v/>
      </c>
      <c r="I169" s="14">
        <f>IF(G169="","",VLOOKUP(G169,'税率及规则'!$A$2:$C$8,3,TRUE))</f>
        <v/>
      </c>
      <c r="J169" s="14">
        <f>IF(G169="","",MAX(0,G169*H169-I169))</f>
        <v/>
      </c>
      <c r="K169" s="14">
        <f>IF(A169="","",SUMIFS('分期缴税台账'!$K$2:$K$501,'分期缴税台账'!$A$2:$A$501,A169,'分期缴税台账'!$C$2:$C$501,C169))</f>
        <v/>
      </c>
      <c r="L169" s="14">
        <f>IF(J169="","",MAX(0,J169-K169))</f>
        <v/>
      </c>
      <c r="M169" s="6">
        <f>IF(A169="","",COUNTIFS('激励事件明细'!$C$2:$C$501,A169,'激励事件明细'!$H$2:$H$501,C169,'激励事件明细'!$Z$2:$Z$501,"&gt;0"))</f>
        <v/>
      </c>
      <c r="N169" s="6">
        <f>IF(O169="","",IFERROR(INDEX('激励事件明细'!$A$2:$A$501,MATCH(1,('激励事件明细'!$C$2:$C$501=A169)*('激励事件明细'!$H$2:$H$501=C169)*('激励事件明细'!$AB$2:$AB$501=O169),0)),""))</f>
        <v/>
      </c>
      <c r="O169" s="16">
        <f>IF(A169="","",IFERROR(AGGREGATE(15,6,'激励事件明细'!$AB$2:$AB$501/(('激励事件明细'!$C$2:$C$501=A169)*('激励事件明细'!$H$2:$H$501=C169)*('激励事件明细'!$Z$2:$Z$501&gt;0)),1),""))</f>
        <v/>
      </c>
      <c r="P169" s="6">
        <f>IF(A169="","",IF(K169&gt;J169,"异常：超额缴税",IF(L169=0,"已缴清",IF(AND(O169&lt;TODAY(),L169&gt;0),"逾期未缴","未缴清"))))</f>
        <v/>
      </c>
    </row>
    <row r="170">
      <c r="A170" s="11" t="n"/>
      <c r="B170" s="6">
        <f>IF(A170="","",IFERROR(INDEX('激励事件明细'!$D$2:$D$501,MATCH(A170,'激励事件明细'!$C$2:$C$501,0)),""))</f>
        <v/>
      </c>
      <c r="C170" s="11" t="n"/>
      <c r="D170" s="14">
        <f>IF(OR(A170="",C170=""),"",SUMIFS('激励事件明细'!$S$2:$S$501,'激励事件明细'!$C$2:$C$501,A170,'激励事件明细'!$H$2:$H$501,C170,'激励事件明细'!$F$2:$F$501,"股票期权"))</f>
        <v/>
      </c>
      <c r="E170" s="14">
        <f>IF(OR(A170="",C170=""),"",SUMIFS('激励事件明细'!$S$2:$S$501,'激励事件明细'!$C$2:$C$501,A170,'激励事件明细'!$H$2:$H$501,C170,'激励事件明细'!$F$2:$F$501,"限制性股票"))</f>
        <v/>
      </c>
      <c r="F170" s="14">
        <f>IF(OR(A170="",C170=""),"",SUMIFS('激励事件明细'!$S$2:$S$501,'激励事件明细'!$C$2:$C$501,A170,'激励事件明细'!$H$2:$H$501,C170,'激励事件明细'!$F$2:$F$501,"其他股权激励"))</f>
        <v/>
      </c>
      <c r="G170" s="14">
        <f>IF(A170="","",SUM(D170:F170))</f>
        <v/>
      </c>
      <c r="H170" s="15">
        <f>IF(G170="","",VLOOKUP(G170,'税率及规则'!$A$2:$C$8,2,TRUE))</f>
        <v/>
      </c>
      <c r="I170" s="14">
        <f>IF(G170="","",VLOOKUP(G170,'税率及规则'!$A$2:$C$8,3,TRUE))</f>
        <v/>
      </c>
      <c r="J170" s="14">
        <f>IF(G170="","",MAX(0,G170*H170-I170))</f>
        <v/>
      </c>
      <c r="K170" s="14">
        <f>IF(A170="","",SUMIFS('分期缴税台账'!$K$2:$K$501,'分期缴税台账'!$A$2:$A$501,A170,'分期缴税台账'!$C$2:$C$501,C170))</f>
        <v/>
      </c>
      <c r="L170" s="14">
        <f>IF(J170="","",MAX(0,J170-K170))</f>
        <v/>
      </c>
      <c r="M170" s="6">
        <f>IF(A170="","",COUNTIFS('激励事件明细'!$C$2:$C$501,A170,'激励事件明细'!$H$2:$H$501,C170,'激励事件明细'!$Z$2:$Z$501,"&gt;0"))</f>
        <v/>
      </c>
      <c r="N170" s="6">
        <f>IF(O170="","",IFERROR(INDEX('激励事件明细'!$A$2:$A$501,MATCH(1,('激励事件明细'!$C$2:$C$501=A170)*('激励事件明细'!$H$2:$H$501=C170)*('激励事件明细'!$AB$2:$AB$501=O170),0)),""))</f>
        <v/>
      </c>
      <c r="O170" s="16">
        <f>IF(A170="","",IFERROR(AGGREGATE(15,6,'激励事件明细'!$AB$2:$AB$501/(('激励事件明细'!$C$2:$C$501=A170)*('激励事件明细'!$H$2:$H$501=C170)*('激励事件明细'!$Z$2:$Z$501&gt;0)),1),""))</f>
        <v/>
      </c>
      <c r="P170" s="6">
        <f>IF(A170="","",IF(K170&gt;J170,"异常：超额缴税",IF(L170=0,"已缴清",IF(AND(O170&lt;TODAY(),L170&gt;0),"逾期未缴","未缴清"))))</f>
        <v/>
      </c>
    </row>
    <row r="171">
      <c r="A171" s="11" t="n"/>
      <c r="B171" s="6">
        <f>IF(A171="","",IFERROR(INDEX('激励事件明细'!$D$2:$D$501,MATCH(A171,'激励事件明细'!$C$2:$C$501,0)),""))</f>
        <v/>
      </c>
      <c r="C171" s="11" t="n"/>
      <c r="D171" s="14">
        <f>IF(OR(A171="",C171=""),"",SUMIFS('激励事件明细'!$S$2:$S$501,'激励事件明细'!$C$2:$C$501,A171,'激励事件明细'!$H$2:$H$501,C171,'激励事件明细'!$F$2:$F$501,"股票期权"))</f>
        <v/>
      </c>
      <c r="E171" s="14">
        <f>IF(OR(A171="",C171=""),"",SUMIFS('激励事件明细'!$S$2:$S$501,'激励事件明细'!$C$2:$C$501,A171,'激励事件明细'!$H$2:$H$501,C171,'激励事件明细'!$F$2:$F$501,"限制性股票"))</f>
        <v/>
      </c>
      <c r="F171" s="14">
        <f>IF(OR(A171="",C171=""),"",SUMIFS('激励事件明细'!$S$2:$S$501,'激励事件明细'!$C$2:$C$501,A171,'激励事件明细'!$H$2:$H$501,C171,'激励事件明细'!$F$2:$F$501,"其他股权激励"))</f>
        <v/>
      </c>
      <c r="G171" s="14">
        <f>IF(A171="","",SUM(D171:F171))</f>
        <v/>
      </c>
      <c r="H171" s="15">
        <f>IF(G171="","",VLOOKUP(G171,'税率及规则'!$A$2:$C$8,2,TRUE))</f>
        <v/>
      </c>
      <c r="I171" s="14">
        <f>IF(G171="","",VLOOKUP(G171,'税率及规则'!$A$2:$C$8,3,TRUE))</f>
        <v/>
      </c>
      <c r="J171" s="14">
        <f>IF(G171="","",MAX(0,G171*H171-I171))</f>
        <v/>
      </c>
      <c r="K171" s="14">
        <f>IF(A171="","",SUMIFS('分期缴税台账'!$K$2:$K$501,'分期缴税台账'!$A$2:$A$501,A171,'分期缴税台账'!$C$2:$C$501,C171))</f>
        <v/>
      </c>
      <c r="L171" s="14">
        <f>IF(J171="","",MAX(0,J171-K171))</f>
        <v/>
      </c>
      <c r="M171" s="6">
        <f>IF(A171="","",COUNTIFS('激励事件明细'!$C$2:$C$501,A171,'激励事件明细'!$H$2:$H$501,C171,'激励事件明细'!$Z$2:$Z$501,"&gt;0"))</f>
        <v/>
      </c>
      <c r="N171" s="6">
        <f>IF(O171="","",IFERROR(INDEX('激励事件明细'!$A$2:$A$501,MATCH(1,('激励事件明细'!$C$2:$C$501=A171)*('激励事件明细'!$H$2:$H$501=C171)*('激励事件明细'!$AB$2:$AB$501=O171),0)),""))</f>
        <v/>
      </c>
      <c r="O171" s="16">
        <f>IF(A171="","",IFERROR(AGGREGATE(15,6,'激励事件明细'!$AB$2:$AB$501/(('激励事件明细'!$C$2:$C$501=A171)*('激励事件明细'!$H$2:$H$501=C171)*('激励事件明细'!$Z$2:$Z$501&gt;0)),1),""))</f>
        <v/>
      </c>
      <c r="P171" s="6">
        <f>IF(A171="","",IF(K171&gt;J171,"异常：超额缴税",IF(L171=0,"已缴清",IF(AND(O171&lt;TODAY(),L171&gt;0),"逾期未缴","未缴清"))))</f>
        <v/>
      </c>
    </row>
    <row r="172">
      <c r="A172" s="11" t="n"/>
      <c r="B172" s="6">
        <f>IF(A172="","",IFERROR(INDEX('激励事件明细'!$D$2:$D$501,MATCH(A172,'激励事件明细'!$C$2:$C$501,0)),""))</f>
        <v/>
      </c>
      <c r="C172" s="11" t="n"/>
      <c r="D172" s="14">
        <f>IF(OR(A172="",C172=""),"",SUMIFS('激励事件明细'!$S$2:$S$501,'激励事件明细'!$C$2:$C$501,A172,'激励事件明细'!$H$2:$H$501,C172,'激励事件明细'!$F$2:$F$501,"股票期权"))</f>
        <v/>
      </c>
      <c r="E172" s="14">
        <f>IF(OR(A172="",C172=""),"",SUMIFS('激励事件明细'!$S$2:$S$501,'激励事件明细'!$C$2:$C$501,A172,'激励事件明细'!$H$2:$H$501,C172,'激励事件明细'!$F$2:$F$501,"限制性股票"))</f>
        <v/>
      </c>
      <c r="F172" s="14">
        <f>IF(OR(A172="",C172=""),"",SUMIFS('激励事件明细'!$S$2:$S$501,'激励事件明细'!$C$2:$C$501,A172,'激励事件明细'!$H$2:$H$501,C172,'激励事件明细'!$F$2:$F$501,"其他股权激励"))</f>
        <v/>
      </c>
      <c r="G172" s="14">
        <f>IF(A172="","",SUM(D172:F172))</f>
        <v/>
      </c>
      <c r="H172" s="15">
        <f>IF(G172="","",VLOOKUP(G172,'税率及规则'!$A$2:$C$8,2,TRUE))</f>
        <v/>
      </c>
      <c r="I172" s="14">
        <f>IF(G172="","",VLOOKUP(G172,'税率及规则'!$A$2:$C$8,3,TRUE))</f>
        <v/>
      </c>
      <c r="J172" s="14">
        <f>IF(G172="","",MAX(0,G172*H172-I172))</f>
        <v/>
      </c>
      <c r="K172" s="14">
        <f>IF(A172="","",SUMIFS('分期缴税台账'!$K$2:$K$501,'分期缴税台账'!$A$2:$A$501,A172,'分期缴税台账'!$C$2:$C$501,C172))</f>
        <v/>
      </c>
      <c r="L172" s="14">
        <f>IF(J172="","",MAX(0,J172-K172))</f>
        <v/>
      </c>
      <c r="M172" s="6">
        <f>IF(A172="","",COUNTIFS('激励事件明细'!$C$2:$C$501,A172,'激励事件明细'!$H$2:$H$501,C172,'激励事件明细'!$Z$2:$Z$501,"&gt;0"))</f>
        <v/>
      </c>
      <c r="N172" s="6">
        <f>IF(O172="","",IFERROR(INDEX('激励事件明细'!$A$2:$A$501,MATCH(1,('激励事件明细'!$C$2:$C$501=A172)*('激励事件明细'!$H$2:$H$501=C172)*('激励事件明细'!$AB$2:$AB$501=O172),0)),""))</f>
        <v/>
      </c>
      <c r="O172" s="16">
        <f>IF(A172="","",IFERROR(AGGREGATE(15,6,'激励事件明细'!$AB$2:$AB$501/(('激励事件明细'!$C$2:$C$501=A172)*('激励事件明细'!$H$2:$H$501=C172)*('激励事件明细'!$Z$2:$Z$501&gt;0)),1),""))</f>
        <v/>
      </c>
      <c r="P172" s="6">
        <f>IF(A172="","",IF(K172&gt;J172,"异常：超额缴税",IF(L172=0,"已缴清",IF(AND(O172&lt;TODAY(),L172&gt;0),"逾期未缴","未缴清"))))</f>
        <v/>
      </c>
    </row>
    <row r="173">
      <c r="A173" s="11" t="n"/>
      <c r="B173" s="6">
        <f>IF(A173="","",IFERROR(INDEX('激励事件明细'!$D$2:$D$501,MATCH(A173,'激励事件明细'!$C$2:$C$501,0)),""))</f>
        <v/>
      </c>
      <c r="C173" s="11" t="n"/>
      <c r="D173" s="14">
        <f>IF(OR(A173="",C173=""),"",SUMIFS('激励事件明细'!$S$2:$S$501,'激励事件明细'!$C$2:$C$501,A173,'激励事件明细'!$H$2:$H$501,C173,'激励事件明细'!$F$2:$F$501,"股票期权"))</f>
        <v/>
      </c>
      <c r="E173" s="14">
        <f>IF(OR(A173="",C173=""),"",SUMIFS('激励事件明细'!$S$2:$S$501,'激励事件明细'!$C$2:$C$501,A173,'激励事件明细'!$H$2:$H$501,C173,'激励事件明细'!$F$2:$F$501,"限制性股票"))</f>
        <v/>
      </c>
      <c r="F173" s="14">
        <f>IF(OR(A173="",C173=""),"",SUMIFS('激励事件明细'!$S$2:$S$501,'激励事件明细'!$C$2:$C$501,A173,'激励事件明细'!$H$2:$H$501,C173,'激励事件明细'!$F$2:$F$501,"其他股权激励"))</f>
        <v/>
      </c>
      <c r="G173" s="14">
        <f>IF(A173="","",SUM(D173:F173))</f>
        <v/>
      </c>
      <c r="H173" s="15">
        <f>IF(G173="","",VLOOKUP(G173,'税率及规则'!$A$2:$C$8,2,TRUE))</f>
        <v/>
      </c>
      <c r="I173" s="14">
        <f>IF(G173="","",VLOOKUP(G173,'税率及规则'!$A$2:$C$8,3,TRUE))</f>
        <v/>
      </c>
      <c r="J173" s="14">
        <f>IF(G173="","",MAX(0,G173*H173-I173))</f>
        <v/>
      </c>
      <c r="K173" s="14">
        <f>IF(A173="","",SUMIFS('分期缴税台账'!$K$2:$K$501,'分期缴税台账'!$A$2:$A$501,A173,'分期缴税台账'!$C$2:$C$501,C173))</f>
        <v/>
      </c>
      <c r="L173" s="14">
        <f>IF(J173="","",MAX(0,J173-K173))</f>
        <v/>
      </c>
      <c r="M173" s="6">
        <f>IF(A173="","",COUNTIFS('激励事件明细'!$C$2:$C$501,A173,'激励事件明细'!$H$2:$H$501,C173,'激励事件明细'!$Z$2:$Z$501,"&gt;0"))</f>
        <v/>
      </c>
      <c r="N173" s="6">
        <f>IF(O173="","",IFERROR(INDEX('激励事件明细'!$A$2:$A$501,MATCH(1,('激励事件明细'!$C$2:$C$501=A173)*('激励事件明细'!$H$2:$H$501=C173)*('激励事件明细'!$AB$2:$AB$501=O173),0)),""))</f>
        <v/>
      </c>
      <c r="O173" s="16">
        <f>IF(A173="","",IFERROR(AGGREGATE(15,6,'激励事件明细'!$AB$2:$AB$501/(('激励事件明细'!$C$2:$C$501=A173)*('激励事件明细'!$H$2:$H$501=C173)*('激励事件明细'!$Z$2:$Z$501&gt;0)),1),""))</f>
        <v/>
      </c>
      <c r="P173" s="6">
        <f>IF(A173="","",IF(K173&gt;J173,"异常：超额缴税",IF(L173=0,"已缴清",IF(AND(O173&lt;TODAY(),L173&gt;0),"逾期未缴","未缴清"))))</f>
        <v/>
      </c>
    </row>
    <row r="174">
      <c r="A174" s="11" t="n"/>
      <c r="B174" s="6">
        <f>IF(A174="","",IFERROR(INDEX('激励事件明细'!$D$2:$D$501,MATCH(A174,'激励事件明细'!$C$2:$C$501,0)),""))</f>
        <v/>
      </c>
      <c r="C174" s="11" t="n"/>
      <c r="D174" s="14">
        <f>IF(OR(A174="",C174=""),"",SUMIFS('激励事件明细'!$S$2:$S$501,'激励事件明细'!$C$2:$C$501,A174,'激励事件明细'!$H$2:$H$501,C174,'激励事件明细'!$F$2:$F$501,"股票期权"))</f>
        <v/>
      </c>
      <c r="E174" s="14">
        <f>IF(OR(A174="",C174=""),"",SUMIFS('激励事件明细'!$S$2:$S$501,'激励事件明细'!$C$2:$C$501,A174,'激励事件明细'!$H$2:$H$501,C174,'激励事件明细'!$F$2:$F$501,"限制性股票"))</f>
        <v/>
      </c>
      <c r="F174" s="14">
        <f>IF(OR(A174="",C174=""),"",SUMIFS('激励事件明细'!$S$2:$S$501,'激励事件明细'!$C$2:$C$501,A174,'激励事件明细'!$H$2:$H$501,C174,'激励事件明细'!$F$2:$F$501,"其他股权激励"))</f>
        <v/>
      </c>
      <c r="G174" s="14">
        <f>IF(A174="","",SUM(D174:F174))</f>
        <v/>
      </c>
      <c r="H174" s="15">
        <f>IF(G174="","",VLOOKUP(G174,'税率及规则'!$A$2:$C$8,2,TRUE))</f>
        <v/>
      </c>
      <c r="I174" s="14">
        <f>IF(G174="","",VLOOKUP(G174,'税率及规则'!$A$2:$C$8,3,TRUE))</f>
        <v/>
      </c>
      <c r="J174" s="14">
        <f>IF(G174="","",MAX(0,G174*H174-I174))</f>
        <v/>
      </c>
      <c r="K174" s="14">
        <f>IF(A174="","",SUMIFS('分期缴税台账'!$K$2:$K$501,'分期缴税台账'!$A$2:$A$501,A174,'分期缴税台账'!$C$2:$C$501,C174))</f>
        <v/>
      </c>
      <c r="L174" s="14">
        <f>IF(J174="","",MAX(0,J174-K174))</f>
        <v/>
      </c>
      <c r="M174" s="6">
        <f>IF(A174="","",COUNTIFS('激励事件明细'!$C$2:$C$501,A174,'激励事件明细'!$H$2:$H$501,C174,'激励事件明细'!$Z$2:$Z$501,"&gt;0"))</f>
        <v/>
      </c>
      <c r="N174" s="6">
        <f>IF(O174="","",IFERROR(INDEX('激励事件明细'!$A$2:$A$501,MATCH(1,('激励事件明细'!$C$2:$C$501=A174)*('激励事件明细'!$H$2:$H$501=C174)*('激励事件明细'!$AB$2:$AB$501=O174),0)),""))</f>
        <v/>
      </c>
      <c r="O174" s="16">
        <f>IF(A174="","",IFERROR(AGGREGATE(15,6,'激励事件明细'!$AB$2:$AB$501/(('激励事件明细'!$C$2:$C$501=A174)*('激励事件明细'!$H$2:$H$501=C174)*('激励事件明细'!$Z$2:$Z$501&gt;0)),1),""))</f>
        <v/>
      </c>
      <c r="P174" s="6">
        <f>IF(A174="","",IF(K174&gt;J174,"异常：超额缴税",IF(L174=0,"已缴清",IF(AND(O174&lt;TODAY(),L174&gt;0),"逾期未缴","未缴清"))))</f>
        <v/>
      </c>
    </row>
    <row r="175">
      <c r="A175" s="11" t="n"/>
      <c r="B175" s="6">
        <f>IF(A175="","",IFERROR(INDEX('激励事件明细'!$D$2:$D$501,MATCH(A175,'激励事件明细'!$C$2:$C$501,0)),""))</f>
        <v/>
      </c>
      <c r="C175" s="11" t="n"/>
      <c r="D175" s="14">
        <f>IF(OR(A175="",C175=""),"",SUMIFS('激励事件明细'!$S$2:$S$501,'激励事件明细'!$C$2:$C$501,A175,'激励事件明细'!$H$2:$H$501,C175,'激励事件明细'!$F$2:$F$501,"股票期权"))</f>
        <v/>
      </c>
      <c r="E175" s="14">
        <f>IF(OR(A175="",C175=""),"",SUMIFS('激励事件明细'!$S$2:$S$501,'激励事件明细'!$C$2:$C$501,A175,'激励事件明细'!$H$2:$H$501,C175,'激励事件明细'!$F$2:$F$501,"限制性股票"))</f>
        <v/>
      </c>
      <c r="F175" s="14">
        <f>IF(OR(A175="",C175=""),"",SUMIFS('激励事件明细'!$S$2:$S$501,'激励事件明细'!$C$2:$C$501,A175,'激励事件明细'!$H$2:$H$501,C175,'激励事件明细'!$F$2:$F$501,"其他股权激励"))</f>
        <v/>
      </c>
      <c r="G175" s="14">
        <f>IF(A175="","",SUM(D175:F175))</f>
        <v/>
      </c>
      <c r="H175" s="15">
        <f>IF(G175="","",VLOOKUP(G175,'税率及规则'!$A$2:$C$8,2,TRUE))</f>
        <v/>
      </c>
      <c r="I175" s="14">
        <f>IF(G175="","",VLOOKUP(G175,'税率及规则'!$A$2:$C$8,3,TRUE))</f>
        <v/>
      </c>
      <c r="J175" s="14">
        <f>IF(G175="","",MAX(0,G175*H175-I175))</f>
        <v/>
      </c>
      <c r="K175" s="14">
        <f>IF(A175="","",SUMIFS('分期缴税台账'!$K$2:$K$501,'分期缴税台账'!$A$2:$A$501,A175,'分期缴税台账'!$C$2:$C$501,C175))</f>
        <v/>
      </c>
      <c r="L175" s="14">
        <f>IF(J175="","",MAX(0,J175-K175))</f>
        <v/>
      </c>
      <c r="M175" s="6">
        <f>IF(A175="","",COUNTIFS('激励事件明细'!$C$2:$C$501,A175,'激励事件明细'!$H$2:$H$501,C175,'激励事件明细'!$Z$2:$Z$501,"&gt;0"))</f>
        <v/>
      </c>
      <c r="N175" s="6">
        <f>IF(O175="","",IFERROR(INDEX('激励事件明细'!$A$2:$A$501,MATCH(1,('激励事件明细'!$C$2:$C$501=A175)*('激励事件明细'!$H$2:$H$501=C175)*('激励事件明细'!$AB$2:$AB$501=O175),0)),""))</f>
        <v/>
      </c>
      <c r="O175" s="16">
        <f>IF(A175="","",IFERROR(AGGREGATE(15,6,'激励事件明细'!$AB$2:$AB$501/(('激励事件明细'!$C$2:$C$501=A175)*('激励事件明细'!$H$2:$H$501=C175)*('激励事件明细'!$Z$2:$Z$501&gt;0)),1),""))</f>
        <v/>
      </c>
      <c r="P175" s="6">
        <f>IF(A175="","",IF(K175&gt;J175,"异常：超额缴税",IF(L175=0,"已缴清",IF(AND(O175&lt;TODAY(),L175&gt;0),"逾期未缴","未缴清"))))</f>
        <v/>
      </c>
    </row>
    <row r="176">
      <c r="A176" s="11" t="n"/>
      <c r="B176" s="6">
        <f>IF(A176="","",IFERROR(INDEX('激励事件明细'!$D$2:$D$501,MATCH(A176,'激励事件明细'!$C$2:$C$501,0)),""))</f>
        <v/>
      </c>
      <c r="C176" s="11" t="n"/>
      <c r="D176" s="14">
        <f>IF(OR(A176="",C176=""),"",SUMIFS('激励事件明细'!$S$2:$S$501,'激励事件明细'!$C$2:$C$501,A176,'激励事件明细'!$H$2:$H$501,C176,'激励事件明细'!$F$2:$F$501,"股票期权"))</f>
        <v/>
      </c>
      <c r="E176" s="14">
        <f>IF(OR(A176="",C176=""),"",SUMIFS('激励事件明细'!$S$2:$S$501,'激励事件明细'!$C$2:$C$501,A176,'激励事件明细'!$H$2:$H$501,C176,'激励事件明细'!$F$2:$F$501,"限制性股票"))</f>
        <v/>
      </c>
      <c r="F176" s="14">
        <f>IF(OR(A176="",C176=""),"",SUMIFS('激励事件明细'!$S$2:$S$501,'激励事件明细'!$C$2:$C$501,A176,'激励事件明细'!$H$2:$H$501,C176,'激励事件明细'!$F$2:$F$501,"其他股权激励"))</f>
        <v/>
      </c>
      <c r="G176" s="14">
        <f>IF(A176="","",SUM(D176:F176))</f>
        <v/>
      </c>
      <c r="H176" s="15">
        <f>IF(G176="","",VLOOKUP(G176,'税率及规则'!$A$2:$C$8,2,TRUE))</f>
        <v/>
      </c>
      <c r="I176" s="14">
        <f>IF(G176="","",VLOOKUP(G176,'税率及规则'!$A$2:$C$8,3,TRUE))</f>
        <v/>
      </c>
      <c r="J176" s="14">
        <f>IF(G176="","",MAX(0,G176*H176-I176))</f>
        <v/>
      </c>
      <c r="K176" s="14">
        <f>IF(A176="","",SUMIFS('分期缴税台账'!$K$2:$K$501,'分期缴税台账'!$A$2:$A$501,A176,'分期缴税台账'!$C$2:$C$501,C176))</f>
        <v/>
      </c>
      <c r="L176" s="14">
        <f>IF(J176="","",MAX(0,J176-K176))</f>
        <v/>
      </c>
      <c r="M176" s="6">
        <f>IF(A176="","",COUNTIFS('激励事件明细'!$C$2:$C$501,A176,'激励事件明细'!$H$2:$H$501,C176,'激励事件明细'!$Z$2:$Z$501,"&gt;0"))</f>
        <v/>
      </c>
      <c r="N176" s="6">
        <f>IF(O176="","",IFERROR(INDEX('激励事件明细'!$A$2:$A$501,MATCH(1,('激励事件明细'!$C$2:$C$501=A176)*('激励事件明细'!$H$2:$H$501=C176)*('激励事件明细'!$AB$2:$AB$501=O176),0)),""))</f>
        <v/>
      </c>
      <c r="O176" s="16">
        <f>IF(A176="","",IFERROR(AGGREGATE(15,6,'激励事件明细'!$AB$2:$AB$501/(('激励事件明细'!$C$2:$C$501=A176)*('激励事件明细'!$H$2:$H$501=C176)*('激励事件明细'!$Z$2:$Z$501&gt;0)),1),""))</f>
        <v/>
      </c>
      <c r="P176" s="6">
        <f>IF(A176="","",IF(K176&gt;J176,"异常：超额缴税",IF(L176=0,"已缴清",IF(AND(O176&lt;TODAY(),L176&gt;0),"逾期未缴","未缴清"))))</f>
        <v/>
      </c>
    </row>
    <row r="177">
      <c r="A177" s="11" t="n"/>
      <c r="B177" s="6">
        <f>IF(A177="","",IFERROR(INDEX('激励事件明细'!$D$2:$D$501,MATCH(A177,'激励事件明细'!$C$2:$C$501,0)),""))</f>
        <v/>
      </c>
      <c r="C177" s="11" t="n"/>
      <c r="D177" s="14">
        <f>IF(OR(A177="",C177=""),"",SUMIFS('激励事件明细'!$S$2:$S$501,'激励事件明细'!$C$2:$C$501,A177,'激励事件明细'!$H$2:$H$501,C177,'激励事件明细'!$F$2:$F$501,"股票期权"))</f>
        <v/>
      </c>
      <c r="E177" s="14">
        <f>IF(OR(A177="",C177=""),"",SUMIFS('激励事件明细'!$S$2:$S$501,'激励事件明细'!$C$2:$C$501,A177,'激励事件明细'!$H$2:$H$501,C177,'激励事件明细'!$F$2:$F$501,"限制性股票"))</f>
        <v/>
      </c>
      <c r="F177" s="14">
        <f>IF(OR(A177="",C177=""),"",SUMIFS('激励事件明细'!$S$2:$S$501,'激励事件明细'!$C$2:$C$501,A177,'激励事件明细'!$H$2:$H$501,C177,'激励事件明细'!$F$2:$F$501,"其他股权激励"))</f>
        <v/>
      </c>
      <c r="G177" s="14">
        <f>IF(A177="","",SUM(D177:F177))</f>
        <v/>
      </c>
      <c r="H177" s="15">
        <f>IF(G177="","",VLOOKUP(G177,'税率及规则'!$A$2:$C$8,2,TRUE))</f>
        <v/>
      </c>
      <c r="I177" s="14">
        <f>IF(G177="","",VLOOKUP(G177,'税率及规则'!$A$2:$C$8,3,TRUE))</f>
        <v/>
      </c>
      <c r="J177" s="14">
        <f>IF(G177="","",MAX(0,G177*H177-I177))</f>
        <v/>
      </c>
      <c r="K177" s="14">
        <f>IF(A177="","",SUMIFS('分期缴税台账'!$K$2:$K$501,'分期缴税台账'!$A$2:$A$501,A177,'分期缴税台账'!$C$2:$C$501,C177))</f>
        <v/>
      </c>
      <c r="L177" s="14">
        <f>IF(J177="","",MAX(0,J177-K177))</f>
        <v/>
      </c>
      <c r="M177" s="6">
        <f>IF(A177="","",COUNTIFS('激励事件明细'!$C$2:$C$501,A177,'激励事件明细'!$H$2:$H$501,C177,'激励事件明细'!$Z$2:$Z$501,"&gt;0"))</f>
        <v/>
      </c>
      <c r="N177" s="6">
        <f>IF(O177="","",IFERROR(INDEX('激励事件明细'!$A$2:$A$501,MATCH(1,('激励事件明细'!$C$2:$C$501=A177)*('激励事件明细'!$H$2:$H$501=C177)*('激励事件明细'!$AB$2:$AB$501=O177),0)),""))</f>
        <v/>
      </c>
      <c r="O177" s="16">
        <f>IF(A177="","",IFERROR(AGGREGATE(15,6,'激励事件明细'!$AB$2:$AB$501/(('激励事件明细'!$C$2:$C$501=A177)*('激励事件明细'!$H$2:$H$501=C177)*('激励事件明细'!$Z$2:$Z$501&gt;0)),1),""))</f>
        <v/>
      </c>
      <c r="P177" s="6">
        <f>IF(A177="","",IF(K177&gt;J177,"异常：超额缴税",IF(L177=0,"已缴清",IF(AND(O177&lt;TODAY(),L177&gt;0),"逾期未缴","未缴清"))))</f>
        <v/>
      </c>
    </row>
    <row r="178">
      <c r="A178" s="11" t="n"/>
      <c r="B178" s="6">
        <f>IF(A178="","",IFERROR(INDEX('激励事件明细'!$D$2:$D$501,MATCH(A178,'激励事件明细'!$C$2:$C$501,0)),""))</f>
        <v/>
      </c>
      <c r="C178" s="11" t="n"/>
      <c r="D178" s="14">
        <f>IF(OR(A178="",C178=""),"",SUMIFS('激励事件明细'!$S$2:$S$501,'激励事件明细'!$C$2:$C$501,A178,'激励事件明细'!$H$2:$H$501,C178,'激励事件明细'!$F$2:$F$501,"股票期权"))</f>
        <v/>
      </c>
      <c r="E178" s="14">
        <f>IF(OR(A178="",C178=""),"",SUMIFS('激励事件明细'!$S$2:$S$501,'激励事件明细'!$C$2:$C$501,A178,'激励事件明细'!$H$2:$H$501,C178,'激励事件明细'!$F$2:$F$501,"限制性股票"))</f>
        <v/>
      </c>
      <c r="F178" s="14">
        <f>IF(OR(A178="",C178=""),"",SUMIFS('激励事件明细'!$S$2:$S$501,'激励事件明细'!$C$2:$C$501,A178,'激励事件明细'!$H$2:$H$501,C178,'激励事件明细'!$F$2:$F$501,"其他股权激励"))</f>
        <v/>
      </c>
      <c r="G178" s="14">
        <f>IF(A178="","",SUM(D178:F178))</f>
        <v/>
      </c>
      <c r="H178" s="15">
        <f>IF(G178="","",VLOOKUP(G178,'税率及规则'!$A$2:$C$8,2,TRUE))</f>
        <v/>
      </c>
      <c r="I178" s="14">
        <f>IF(G178="","",VLOOKUP(G178,'税率及规则'!$A$2:$C$8,3,TRUE))</f>
        <v/>
      </c>
      <c r="J178" s="14">
        <f>IF(G178="","",MAX(0,G178*H178-I178))</f>
        <v/>
      </c>
      <c r="K178" s="14">
        <f>IF(A178="","",SUMIFS('分期缴税台账'!$K$2:$K$501,'分期缴税台账'!$A$2:$A$501,A178,'分期缴税台账'!$C$2:$C$501,C178))</f>
        <v/>
      </c>
      <c r="L178" s="14">
        <f>IF(J178="","",MAX(0,J178-K178))</f>
        <v/>
      </c>
      <c r="M178" s="6">
        <f>IF(A178="","",COUNTIFS('激励事件明细'!$C$2:$C$501,A178,'激励事件明细'!$H$2:$H$501,C178,'激励事件明细'!$Z$2:$Z$501,"&gt;0"))</f>
        <v/>
      </c>
      <c r="N178" s="6">
        <f>IF(O178="","",IFERROR(INDEX('激励事件明细'!$A$2:$A$501,MATCH(1,('激励事件明细'!$C$2:$C$501=A178)*('激励事件明细'!$H$2:$H$501=C178)*('激励事件明细'!$AB$2:$AB$501=O178),0)),""))</f>
        <v/>
      </c>
      <c r="O178" s="16">
        <f>IF(A178="","",IFERROR(AGGREGATE(15,6,'激励事件明细'!$AB$2:$AB$501/(('激励事件明细'!$C$2:$C$501=A178)*('激励事件明细'!$H$2:$H$501=C178)*('激励事件明细'!$Z$2:$Z$501&gt;0)),1),""))</f>
        <v/>
      </c>
      <c r="P178" s="6">
        <f>IF(A178="","",IF(K178&gt;J178,"异常：超额缴税",IF(L178=0,"已缴清",IF(AND(O178&lt;TODAY(),L178&gt;0),"逾期未缴","未缴清"))))</f>
        <v/>
      </c>
    </row>
    <row r="179">
      <c r="A179" s="11" t="n"/>
      <c r="B179" s="6">
        <f>IF(A179="","",IFERROR(INDEX('激励事件明细'!$D$2:$D$501,MATCH(A179,'激励事件明细'!$C$2:$C$501,0)),""))</f>
        <v/>
      </c>
      <c r="C179" s="11" t="n"/>
      <c r="D179" s="14">
        <f>IF(OR(A179="",C179=""),"",SUMIFS('激励事件明细'!$S$2:$S$501,'激励事件明细'!$C$2:$C$501,A179,'激励事件明细'!$H$2:$H$501,C179,'激励事件明细'!$F$2:$F$501,"股票期权"))</f>
        <v/>
      </c>
      <c r="E179" s="14">
        <f>IF(OR(A179="",C179=""),"",SUMIFS('激励事件明细'!$S$2:$S$501,'激励事件明细'!$C$2:$C$501,A179,'激励事件明细'!$H$2:$H$501,C179,'激励事件明细'!$F$2:$F$501,"限制性股票"))</f>
        <v/>
      </c>
      <c r="F179" s="14">
        <f>IF(OR(A179="",C179=""),"",SUMIFS('激励事件明细'!$S$2:$S$501,'激励事件明细'!$C$2:$C$501,A179,'激励事件明细'!$H$2:$H$501,C179,'激励事件明细'!$F$2:$F$501,"其他股权激励"))</f>
        <v/>
      </c>
      <c r="G179" s="14">
        <f>IF(A179="","",SUM(D179:F179))</f>
        <v/>
      </c>
      <c r="H179" s="15">
        <f>IF(G179="","",VLOOKUP(G179,'税率及规则'!$A$2:$C$8,2,TRUE))</f>
        <v/>
      </c>
      <c r="I179" s="14">
        <f>IF(G179="","",VLOOKUP(G179,'税率及规则'!$A$2:$C$8,3,TRUE))</f>
        <v/>
      </c>
      <c r="J179" s="14">
        <f>IF(G179="","",MAX(0,G179*H179-I179))</f>
        <v/>
      </c>
      <c r="K179" s="14">
        <f>IF(A179="","",SUMIFS('分期缴税台账'!$K$2:$K$501,'分期缴税台账'!$A$2:$A$501,A179,'分期缴税台账'!$C$2:$C$501,C179))</f>
        <v/>
      </c>
      <c r="L179" s="14">
        <f>IF(J179="","",MAX(0,J179-K179))</f>
        <v/>
      </c>
      <c r="M179" s="6">
        <f>IF(A179="","",COUNTIFS('激励事件明细'!$C$2:$C$501,A179,'激励事件明细'!$H$2:$H$501,C179,'激励事件明细'!$Z$2:$Z$501,"&gt;0"))</f>
        <v/>
      </c>
      <c r="N179" s="6">
        <f>IF(O179="","",IFERROR(INDEX('激励事件明细'!$A$2:$A$501,MATCH(1,('激励事件明细'!$C$2:$C$501=A179)*('激励事件明细'!$H$2:$H$501=C179)*('激励事件明细'!$AB$2:$AB$501=O179),0)),""))</f>
        <v/>
      </c>
      <c r="O179" s="16">
        <f>IF(A179="","",IFERROR(AGGREGATE(15,6,'激励事件明细'!$AB$2:$AB$501/(('激励事件明细'!$C$2:$C$501=A179)*('激励事件明细'!$H$2:$H$501=C179)*('激励事件明细'!$Z$2:$Z$501&gt;0)),1),""))</f>
        <v/>
      </c>
      <c r="P179" s="6">
        <f>IF(A179="","",IF(K179&gt;J179,"异常：超额缴税",IF(L179=0,"已缴清",IF(AND(O179&lt;TODAY(),L179&gt;0),"逾期未缴","未缴清"))))</f>
        <v/>
      </c>
    </row>
    <row r="180">
      <c r="A180" s="11" t="n"/>
      <c r="B180" s="6">
        <f>IF(A180="","",IFERROR(INDEX('激励事件明细'!$D$2:$D$501,MATCH(A180,'激励事件明细'!$C$2:$C$501,0)),""))</f>
        <v/>
      </c>
      <c r="C180" s="11" t="n"/>
      <c r="D180" s="14">
        <f>IF(OR(A180="",C180=""),"",SUMIFS('激励事件明细'!$S$2:$S$501,'激励事件明细'!$C$2:$C$501,A180,'激励事件明细'!$H$2:$H$501,C180,'激励事件明细'!$F$2:$F$501,"股票期权"))</f>
        <v/>
      </c>
      <c r="E180" s="14">
        <f>IF(OR(A180="",C180=""),"",SUMIFS('激励事件明细'!$S$2:$S$501,'激励事件明细'!$C$2:$C$501,A180,'激励事件明细'!$H$2:$H$501,C180,'激励事件明细'!$F$2:$F$501,"限制性股票"))</f>
        <v/>
      </c>
      <c r="F180" s="14">
        <f>IF(OR(A180="",C180=""),"",SUMIFS('激励事件明细'!$S$2:$S$501,'激励事件明细'!$C$2:$C$501,A180,'激励事件明细'!$H$2:$H$501,C180,'激励事件明细'!$F$2:$F$501,"其他股权激励"))</f>
        <v/>
      </c>
      <c r="G180" s="14">
        <f>IF(A180="","",SUM(D180:F180))</f>
        <v/>
      </c>
      <c r="H180" s="15">
        <f>IF(G180="","",VLOOKUP(G180,'税率及规则'!$A$2:$C$8,2,TRUE))</f>
        <v/>
      </c>
      <c r="I180" s="14">
        <f>IF(G180="","",VLOOKUP(G180,'税率及规则'!$A$2:$C$8,3,TRUE))</f>
        <v/>
      </c>
      <c r="J180" s="14">
        <f>IF(G180="","",MAX(0,G180*H180-I180))</f>
        <v/>
      </c>
      <c r="K180" s="14">
        <f>IF(A180="","",SUMIFS('分期缴税台账'!$K$2:$K$501,'分期缴税台账'!$A$2:$A$501,A180,'分期缴税台账'!$C$2:$C$501,C180))</f>
        <v/>
      </c>
      <c r="L180" s="14">
        <f>IF(J180="","",MAX(0,J180-K180))</f>
        <v/>
      </c>
      <c r="M180" s="6">
        <f>IF(A180="","",COUNTIFS('激励事件明细'!$C$2:$C$501,A180,'激励事件明细'!$H$2:$H$501,C180,'激励事件明细'!$Z$2:$Z$501,"&gt;0"))</f>
        <v/>
      </c>
      <c r="N180" s="6">
        <f>IF(O180="","",IFERROR(INDEX('激励事件明细'!$A$2:$A$501,MATCH(1,('激励事件明细'!$C$2:$C$501=A180)*('激励事件明细'!$H$2:$H$501=C180)*('激励事件明细'!$AB$2:$AB$501=O180),0)),""))</f>
        <v/>
      </c>
      <c r="O180" s="16">
        <f>IF(A180="","",IFERROR(AGGREGATE(15,6,'激励事件明细'!$AB$2:$AB$501/(('激励事件明细'!$C$2:$C$501=A180)*('激励事件明细'!$H$2:$H$501=C180)*('激励事件明细'!$Z$2:$Z$501&gt;0)),1),""))</f>
        <v/>
      </c>
      <c r="P180" s="6">
        <f>IF(A180="","",IF(K180&gt;J180,"异常：超额缴税",IF(L180=0,"已缴清",IF(AND(O180&lt;TODAY(),L180&gt;0),"逾期未缴","未缴清"))))</f>
        <v/>
      </c>
    </row>
    <row r="181">
      <c r="A181" s="11" t="n"/>
      <c r="B181" s="6">
        <f>IF(A181="","",IFERROR(INDEX('激励事件明细'!$D$2:$D$501,MATCH(A181,'激励事件明细'!$C$2:$C$501,0)),""))</f>
        <v/>
      </c>
      <c r="C181" s="11" t="n"/>
      <c r="D181" s="14">
        <f>IF(OR(A181="",C181=""),"",SUMIFS('激励事件明细'!$S$2:$S$501,'激励事件明细'!$C$2:$C$501,A181,'激励事件明细'!$H$2:$H$501,C181,'激励事件明细'!$F$2:$F$501,"股票期权"))</f>
        <v/>
      </c>
      <c r="E181" s="14">
        <f>IF(OR(A181="",C181=""),"",SUMIFS('激励事件明细'!$S$2:$S$501,'激励事件明细'!$C$2:$C$501,A181,'激励事件明细'!$H$2:$H$501,C181,'激励事件明细'!$F$2:$F$501,"限制性股票"))</f>
        <v/>
      </c>
      <c r="F181" s="14">
        <f>IF(OR(A181="",C181=""),"",SUMIFS('激励事件明细'!$S$2:$S$501,'激励事件明细'!$C$2:$C$501,A181,'激励事件明细'!$H$2:$H$501,C181,'激励事件明细'!$F$2:$F$501,"其他股权激励"))</f>
        <v/>
      </c>
      <c r="G181" s="14">
        <f>IF(A181="","",SUM(D181:F181))</f>
        <v/>
      </c>
      <c r="H181" s="15">
        <f>IF(G181="","",VLOOKUP(G181,'税率及规则'!$A$2:$C$8,2,TRUE))</f>
        <v/>
      </c>
      <c r="I181" s="14">
        <f>IF(G181="","",VLOOKUP(G181,'税率及规则'!$A$2:$C$8,3,TRUE))</f>
        <v/>
      </c>
      <c r="J181" s="14">
        <f>IF(G181="","",MAX(0,G181*H181-I181))</f>
        <v/>
      </c>
      <c r="K181" s="14">
        <f>IF(A181="","",SUMIFS('分期缴税台账'!$K$2:$K$501,'分期缴税台账'!$A$2:$A$501,A181,'分期缴税台账'!$C$2:$C$501,C181))</f>
        <v/>
      </c>
      <c r="L181" s="14">
        <f>IF(J181="","",MAX(0,J181-K181))</f>
        <v/>
      </c>
      <c r="M181" s="6">
        <f>IF(A181="","",COUNTIFS('激励事件明细'!$C$2:$C$501,A181,'激励事件明细'!$H$2:$H$501,C181,'激励事件明细'!$Z$2:$Z$501,"&gt;0"))</f>
        <v/>
      </c>
      <c r="N181" s="6">
        <f>IF(O181="","",IFERROR(INDEX('激励事件明细'!$A$2:$A$501,MATCH(1,('激励事件明细'!$C$2:$C$501=A181)*('激励事件明细'!$H$2:$H$501=C181)*('激励事件明细'!$AB$2:$AB$501=O181),0)),""))</f>
        <v/>
      </c>
      <c r="O181" s="16">
        <f>IF(A181="","",IFERROR(AGGREGATE(15,6,'激励事件明细'!$AB$2:$AB$501/(('激励事件明细'!$C$2:$C$501=A181)*('激励事件明细'!$H$2:$H$501=C181)*('激励事件明细'!$Z$2:$Z$501&gt;0)),1),""))</f>
        <v/>
      </c>
      <c r="P181" s="6">
        <f>IF(A181="","",IF(K181&gt;J181,"异常：超额缴税",IF(L181=0,"已缴清",IF(AND(O181&lt;TODAY(),L181&gt;0),"逾期未缴","未缴清"))))</f>
        <v/>
      </c>
    </row>
    <row r="182">
      <c r="A182" s="11" t="n"/>
      <c r="B182" s="6">
        <f>IF(A182="","",IFERROR(INDEX('激励事件明细'!$D$2:$D$501,MATCH(A182,'激励事件明细'!$C$2:$C$501,0)),""))</f>
        <v/>
      </c>
      <c r="C182" s="11" t="n"/>
      <c r="D182" s="14">
        <f>IF(OR(A182="",C182=""),"",SUMIFS('激励事件明细'!$S$2:$S$501,'激励事件明细'!$C$2:$C$501,A182,'激励事件明细'!$H$2:$H$501,C182,'激励事件明细'!$F$2:$F$501,"股票期权"))</f>
        <v/>
      </c>
      <c r="E182" s="14">
        <f>IF(OR(A182="",C182=""),"",SUMIFS('激励事件明细'!$S$2:$S$501,'激励事件明细'!$C$2:$C$501,A182,'激励事件明细'!$H$2:$H$501,C182,'激励事件明细'!$F$2:$F$501,"限制性股票"))</f>
        <v/>
      </c>
      <c r="F182" s="14">
        <f>IF(OR(A182="",C182=""),"",SUMIFS('激励事件明细'!$S$2:$S$501,'激励事件明细'!$C$2:$C$501,A182,'激励事件明细'!$H$2:$H$501,C182,'激励事件明细'!$F$2:$F$501,"其他股权激励"))</f>
        <v/>
      </c>
      <c r="G182" s="14">
        <f>IF(A182="","",SUM(D182:F182))</f>
        <v/>
      </c>
      <c r="H182" s="15">
        <f>IF(G182="","",VLOOKUP(G182,'税率及规则'!$A$2:$C$8,2,TRUE))</f>
        <v/>
      </c>
      <c r="I182" s="14">
        <f>IF(G182="","",VLOOKUP(G182,'税率及规则'!$A$2:$C$8,3,TRUE))</f>
        <v/>
      </c>
      <c r="J182" s="14">
        <f>IF(G182="","",MAX(0,G182*H182-I182))</f>
        <v/>
      </c>
      <c r="K182" s="14">
        <f>IF(A182="","",SUMIFS('分期缴税台账'!$K$2:$K$501,'分期缴税台账'!$A$2:$A$501,A182,'分期缴税台账'!$C$2:$C$501,C182))</f>
        <v/>
      </c>
      <c r="L182" s="14">
        <f>IF(J182="","",MAX(0,J182-K182))</f>
        <v/>
      </c>
      <c r="M182" s="6">
        <f>IF(A182="","",COUNTIFS('激励事件明细'!$C$2:$C$501,A182,'激励事件明细'!$H$2:$H$501,C182,'激励事件明细'!$Z$2:$Z$501,"&gt;0"))</f>
        <v/>
      </c>
      <c r="N182" s="6">
        <f>IF(O182="","",IFERROR(INDEX('激励事件明细'!$A$2:$A$501,MATCH(1,('激励事件明细'!$C$2:$C$501=A182)*('激励事件明细'!$H$2:$H$501=C182)*('激励事件明细'!$AB$2:$AB$501=O182),0)),""))</f>
        <v/>
      </c>
      <c r="O182" s="16">
        <f>IF(A182="","",IFERROR(AGGREGATE(15,6,'激励事件明细'!$AB$2:$AB$501/(('激励事件明细'!$C$2:$C$501=A182)*('激励事件明细'!$H$2:$H$501=C182)*('激励事件明细'!$Z$2:$Z$501&gt;0)),1),""))</f>
        <v/>
      </c>
      <c r="P182" s="6">
        <f>IF(A182="","",IF(K182&gt;J182,"异常：超额缴税",IF(L182=0,"已缴清",IF(AND(O182&lt;TODAY(),L182&gt;0),"逾期未缴","未缴清"))))</f>
        <v/>
      </c>
    </row>
    <row r="183">
      <c r="A183" s="11" t="n"/>
      <c r="B183" s="6">
        <f>IF(A183="","",IFERROR(INDEX('激励事件明细'!$D$2:$D$501,MATCH(A183,'激励事件明细'!$C$2:$C$501,0)),""))</f>
        <v/>
      </c>
      <c r="C183" s="11" t="n"/>
      <c r="D183" s="14">
        <f>IF(OR(A183="",C183=""),"",SUMIFS('激励事件明细'!$S$2:$S$501,'激励事件明细'!$C$2:$C$501,A183,'激励事件明细'!$H$2:$H$501,C183,'激励事件明细'!$F$2:$F$501,"股票期权"))</f>
        <v/>
      </c>
      <c r="E183" s="14">
        <f>IF(OR(A183="",C183=""),"",SUMIFS('激励事件明细'!$S$2:$S$501,'激励事件明细'!$C$2:$C$501,A183,'激励事件明细'!$H$2:$H$501,C183,'激励事件明细'!$F$2:$F$501,"限制性股票"))</f>
        <v/>
      </c>
      <c r="F183" s="14">
        <f>IF(OR(A183="",C183=""),"",SUMIFS('激励事件明细'!$S$2:$S$501,'激励事件明细'!$C$2:$C$501,A183,'激励事件明细'!$H$2:$H$501,C183,'激励事件明细'!$F$2:$F$501,"其他股权激励"))</f>
        <v/>
      </c>
      <c r="G183" s="14">
        <f>IF(A183="","",SUM(D183:F183))</f>
        <v/>
      </c>
      <c r="H183" s="15">
        <f>IF(G183="","",VLOOKUP(G183,'税率及规则'!$A$2:$C$8,2,TRUE))</f>
        <v/>
      </c>
      <c r="I183" s="14">
        <f>IF(G183="","",VLOOKUP(G183,'税率及规则'!$A$2:$C$8,3,TRUE))</f>
        <v/>
      </c>
      <c r="J183" s="14">
        <f>IF(G183="","",MAX(0,G183*H183-I183))</f>
        <v/>
      </c>
      <c r="K183" s="14">
        <f>IF(A183="","",SUMIFS('分期缴税台账'!$K$2:$K$501,'分期缴税台账'!$A$2:$A$501,A183,'分期缴税台账'!$C$2:$C$501,C183))</f>
        <v/>
      </c>
      <c r="L183" s="14">
        <f>IF(J183="","",MAX(0,J183-K183))</f>
        <v/>
      </c>
      <c r="M183" s="6">
        <f>IF(A183="","",COUNTIFS('激励事件明细'!$C$2:$C$501,A183,'激励事件明细'!$H$2:$H$501,C183,'激励事件明细'!$Z$2:$Z$501,"&gt;0"))</f>
        <v/>
      </c>
      <c r="N183" s="6">
        <f>IF(O183="","",IFERROR(INDEX('激励事件明细'!$A$2:$A$501,MATCH(1,('激励事件明细'!$C$2:$C$501=A183)*('激励事件明细'!$H$2:$H$501=C183)*('激励事件明细'!$AB$2:$AB$501=O183),0)),""))</f>
        <v/>
      </c>
      <c r="O183" s="16">
        <f>IF(A183="","",IFERROR(AGGREGATE(15,6,'激励事件明细'!$AB$2:$AB$501/(('激励事件明细'!$C$2:$C$501=A183)*('激励事件明细'!$H$2:$H$501=C183)*('激励事件明细'!$Z$2:$Z$501&gt;0)),1),""))</f>
        <v/>
      </c>
      <c r="P183" s="6">
        <f>IF(A183="","",IF(K183&gt;J183,"异常：超额缴税",IF(L183=0,"已缴清",IF(AND(O183&lt;TODAY(),L183&gt;0),"逾期未缴","未缴清"))))</f>
        <v/>
      </c>
    </row>
    <row r="184">
      <c r="A184" s="11" t="n"/>
      <c r="B184" s="6">
        <f>IF(A184="","",IFERROR(INDEX('激励事件明细'!$D$2:$D$501,MATCH(A184,'激励事件明细'!$C$2:$C$501,0)),""))</f>
        <v/>
      </c>
      <c r="C184" s="11" t="n"/>
      <c r="D184" s="14">
        <f>IF(OR(A184="",C184=""),"",SUMIFS('激励事件明细'!$S$2:$S$501,'激励事件明细'!$C$2:$C$501,A184,'激励事件明细'!$H$2:$H$501,C184,'激励事件明细'!$F$2:$F$501,"股票期权"))</f>
        <v/>
      </c>
      <c r="E184" s="14">
        <f>IF(OR(A184="",C184=""),"",SUMIFS('激励事件明细'!$S$2:$S$501,'激励事件明细'!$C$2:$C$501,A184,'激励事件明细'!$H$2:$H$501,C184,'激励事件明细'!$F$2:$F$501,"限制性股票"))</f>
        <v/>
      </c>
      <c r="F184" s="14">
        <f>IF(OR(A184="",C184=""),"",SUMIFS('激励事件明细'!$S$2:$S$501,'激励事件明细'!$C$2:$C$501,A184,'激励事件明细'!$H$2:$H$501,C184,'激励事件明细'!$F$2:$F$501,"其他股权激励"))</f>
        <v/>
      </c>
      <c r="G184" s="14">
        <f>IF(A184="","",SUM(D184:F184))</f>
        <v/>
      </c>
      <c r="H184" s="15">
        <f>IF(G184="","",VLOOKUP(G184,'税率及规则'!$A$2:$C$8,2,TRUE))</f>
        <v/>
      </c>
      <c r="I184" s="14">
        <f>IF(G184="","",VLOOKUP(G184,'税率及规则'!$A$2:$C$8,3,TRUE))</f>
        <v/>
      </c>
      <c r="J184" s="14">
        <f>IF(G184="","",MAX(0,G184*H184-I184))</f>
        <v/>
      </c>
      <c r="K184" s="14">
        <f>IF(A184="","",SUMIFS('分期缴税台账'!$K$2:$K$501,'分期缴税台账'!$A$2:$A$501,A184,'分期缴税台账'!$C$2:$C$501,C184))</f>
        <v/>
      </c>
      <c r="L184" s="14">
        <f>IF(J184="","",MAX(0,J184-K184))</f>
        <v/>
      </c>
      <c r="M184" s="6">
        <f>IF(A184="","",COUNTIFS('激励事件明细'!$C$2:$C$501,A184,'激励事件明细'!$H$2:$H$501,C184,'激励事件明细'!$Z$2:$Z$501,"&gt;0"))</f>
        <v/>
      </c>
      <c r="N184" s="6">
        <f>IF(O184="","",IFERROR(INDEX('激励事件明细'!$A$2:$A$501,MATCH(1,('激励事件明细'!$C$2:$C$501=A184)*('激励事件明细'!$H$2:$H$501=C184)*('激励事件明细'!$AB$2:$AB$501=O184),0)),""))</f>
        <v/>
      </c>
      <c r="O184" s="16">
        <f>IF(A184="","",IFERROR(AGGREGATE(15,6,'激励事件明细'!$AB$2:$AB$501/(('激励事件明细'!$C$2:$C$501=A184)*('激励事件明细'!$H$2:$H$501=C184)*('激励事件明细'!$Z$2:$Z$501&gt;0)),1),""))</f>
        <v/>
      </c>
      <c r="P184" s="6">
        <f>IF(A184="","",IF(K184&gt;J184,"异常：超额缴税",IF(L184=0,"已缴清",IF(AND(O184&lt;TODAY(),L184&gt;0),"逾期未缴","未缴清"))))</f>
        <v/>
      </c>
    </row>
    <row r="185">
      <c r="A185" s="11" t="n"/>
      <c r="B185" s="6">
        <f>IF(A185="","",IFERROR(INDEX('激励事件明细'!$D$2:$D$501,MATCH(A185,'激励事件明细'!$C$2:$C$501,0)),""))</f>
        <v/>
      </c>
      <c r="C185" s="11" t="n"/>
      <c r="D185" s="14">
        <f>IF(OR(A185="",C185=""),"",SUMIFS('激励事件明细'!$S$2:$S$501,'激励事件明细'!$C$2:$C$501,A185,'激励事件明细'!$H$2:$H$501,C185,'激励事件明细'!$F$2:$F$501,"股票期权"))</f>
        <v/>
      </c>
      <c r="E185" s="14">
        <f>IF(OR(A185="",C185=""),"",SUMIFS('激励事件明细'!$S$2:$S$501,'激励事件明细'!$C$2:$C$501,A185,'激励事件明细'!$H$2:$H$501,C185,'激励事件明细'!$F$2:$F$501,"限制性股票"))</f>
        <v/>
      </c>
      <c r="F185" s="14">
        <f>IF(OR(A185="",C185=""),"",SUMIFS('激励事件明细'!$S$2:$S$501,'激励事件明细'!$C$2:$C$501,A185,'激励事件明细'!$H$2:$H$501,C185,'激励事件明细'!$F$2:$F$501,"其他股权激励"))</f>
        <v/>
      </c>
      <c r="G185" s="14">
        <f>IF(A185="","",SUM(D185:F185))</f>
        <v/>
      </c>
      <c r="H185" s="15">
        <f>IF(G185="","",VLOOKUP(G185,'税率及规则'!$A$2:$C$8,2,TRUE))</f>
        <v/>
      </c>
      <c r="I185" s="14">
        <f>IF(G185="","",VLOOKUP(G185,'税率及规则'!$A$2:$C$8,3,TRUE))</f>
        <v/>
      </c>
      <c r="J185" s="14">
        <f>IF(G185="","",MAX(0,G185*H185-I185))</f>
        <v/>
      </c>
      <c r="K185" s="14">
        <f>IF(A185="","",SUMIFS('分期缴税台账'!$K$2:$K$501,'分期缴税台账'!$A$2:$A$501,A185,'分期缴税台账'!$C$2:$C$501,C185))</f>
        <v/>
      </c>
      <c r="L185" s="14">
        <f>IF(J185="","",MAX(0,J185-K185))</f>
        <v/>
      </c>
      <c r="M185" s="6">
        <f>IF(A185="","",COUNTIFS('激励事件明细'!$C$2:$C$501,A185,'激励事件明细'!$H$2:$H$501,C185,'激励事件明细'!$Z$2:$Z$501,"&gt;0"))</f>
        <v/>
      </c>
      <c r="N185" s="6">
        <f>IF(O185="","",IFERROR(INDEX('激励事件明细'!$A$2:$A$501,MATCH(1,('激励事件明细'!$C$2:$C$501=A185)*('激励事件明细'!$H$2:$H$501=C185)*('激励事件明细'!$AB$2:$AB$501=O185),0)),""))</f>
        <v/>
      </c>
      <c r="O185" s="16">
        <f>IF(A185="","",IFERROR(AGGREGATE(15,6,'激励事件明细'!$AB$2:$AB$501/(('激励事件明细'!$C$2:$C$501=A185)*('激励事件明细'!$H$2:$H$501=C185)*('激励事件明细'!$Z$2:$Z$501&gt;0)),1),""))</f>
        <v/>
      </c>
      <c r="P185" s="6">
        <f>IF(A185="","",IF(K185&gt;J185,"异常：超额缴税",IF(L185=0,"已缴清",IF(AND(O185&lt;TODAY(),L185&gt;0),"逾期未缴","未缴清"))))</f>
        <v/>
      </c>
    </row>
    <row r="186">
      <c r="A186" s="11" t="n"/>
      <c r="B186" s="6">
        <f>IF(A186="","",IFERROR(INDEX('激励事件明细'!$D$2:$D$501,MATCH(A186,'激励事件明细'!$C$2:$C$501,0)),""))</f>
        <v/>
      </c>
      <c r="C186" s="11" t="n"/>
      <c r="D186" s="14">
        <f>IF(OR(A186="",C186=""),"",SUMIFS('激励事件明细'!$S$2:$S$501,'激励事件明细'!$C$2:$C$501,A186,'激励事件明细'!$H$2:$H$501,C186,'激励事件明细'!$F$2:$F$501,"股票期权"))</f>
        <v/>
      </c>
      <c r="E186" s="14">
        <f>IF(OR(A186="",C186=""),"",SUMIFS('激励事件明细'!$S$2:$S$501,'激励事件明细'!$C$2:$C$501,A186,'激励事件明细'!$H$2:$H$501,C186,'激励事件明细'!$F$2:$F$501,"限制性股票"))</f>
        <v/>
      </c>
      <c r="F186" s="14">
        <f>IF(OR(A186="",C186=""),"",SUMIFS('激励事件明细'!$S$2:$S$501,'激励事件明细'!$C$2:$C$501,A186,'激励事件明细'!$H$2:$H$501,C186,'激励事件明细'!$F$2:$F$501,"其他股权激励"))</f>
        <v/>
      </c>
      <c r="G186" s="14">
        <f>IF(A186="","",SUM(D186:F186))</f>
        <v/>
      </c>
      <c r="H186" s="15">
        <f>IF(G186="","",VLOOKUP(G186,'税率及规则'!$A$2:$C$8,2,TRUE))</f>
        <v/>
      </c>
      <c r="I186" s="14">
        <f>IF(G186="","",VLOOKUP(G186,'税率及规则'!$A$2:$C$8,3,TRUE))</f>
        <v/>
      </c>
      <c r="J186" s="14">
        <f>IF(G186="","",MAX(0,G186*H186-I186))</f>
        <v/>
      </c>
      <c r="K186" s="14">
        <f>IF(A186="","",SUMIFS('分期缴税台账'!$K$2:$K$501,'分期缴税台账'!$A$2:$A$501,A186,'分期缴税台账'!$C$2:$C$501,C186))</f>
        <v/>
      </c>
      <c r="L186" s="14">
        <f>IF(J186="","",MAX(0,J186-K186))</f>
        <v/>
      </c>
      <c r="M186" s="6">
        <f>IF(A186="","",COUNTIFS('激励事件明细'!$C$2:$C$501,A186,'激励事件明细'!$H$2:$H$501,C186,'激励事件明细'!$Z$2:$Z$501,"&gt;0"))</f>
        <v/>
      </c>
      <c r="N186" s="6">
        <f>IF(O186="","",IFERROR(INDEX('激励事件明细'!$A$2:$A$501,MATCH(1,('激励事件明细'!$C$2:$C$501=A186)*('激励事件明细'!$H$2:$H$501=C186)*('激励事件明细'!$AB$2:$AB$501=O186),0)),""))</f>
        <v/>
      </c>
      <c r="O186" s="16">
        <f>IF(A186="","",IFERROR(AGGREGATE(15,6,'激励事件明细'!$AB$2:$AB$501/(('激励事件明细'!$C$2:$C$501=A186)*('激励事件明细'!$H$2:$H$501=C186)*('激励事件明细'!$Z$2:$Z$501&gt;0)),1),""))</f>
        <v/>
      </c>
      <c r="P186" s="6">
        <f>IF(A186="","",IF(K186&gt;J186,"异常：超额缴税",IF(L186=0,"已缴清",IF(AND(O186&lt;TODAY(),L186&gt;0),"逾期未缴","未缴清"))))</f>
        <v/>
      </c>
    </row>
    <row r="187">
      <c r="A187" s="11" t="n"/>
      <c r="B187" s="6">
        <f>IF(A187="","",IFERROR(INDEX('激励事件明细'!$D$2:$D$501,MATCH(A187,'激励事件明细'!$C$2:$C$501,0)),""))</f>
        <v/>
      </c>
      <c r="C187" s="11" t="n"/>
      <c r="D187" s="14">
        <f>IF(OR(A187="",C187=""),"",SUMIFS('激励事件明细'!$S$2:$S$501,'激励事件明细'!$C$2:$C$501,A187,'激励事件明细'!$H$2:$H$501,C187,'激励事件明细'!$F$2:$F$501,"股票期权"))</f>
        <v/>
      </c>
      <c r="E187" s="14">
        <f>IF(OR(A187="",C187=""),"",SUMIFS('激励事件明细'!$S$2:$S$501,'激励事件明细'!$C$2:$C$501,A187,'激励事件明细'!$H$2:$H$501,C187,'激励事件明细'!$F$2:$F$501,"限制性股票"))</f>
        <v/>
      </c>
      <c r="F187" s="14">
        <f>IF(OR(A187="",C187=""),"",SUMIFS('激励事件明细'!$S$2:$S$501,'激励事件明细'!$C$2:$C$501,A187,'激励事件明细'!$H$2:$H$501,C187,'激励事件明细'!$F$2:$F$501,"其他股权激励"))</f>
        <v/>
      </c>
      <c r="G187" s="14">
        <f>IF(A187="","",SUM(D187:F187))</f>
        <v/>
      </c>
      <c r="H187" s="15">
        <f>IF(G187="","",VLOOKUP(G187,'税率及规则'!$A$2:$C$8,2,TRUE))</f>
        <v/>
      </c>
      <c r="I187" s="14">
        <f>IF(G187="","",VLOOKUP(G187,'税率及规则'!$A$2:$C$8,3,TRUE))</f>
        <v/>
      </c>
      <c r="J187" s="14">
        <f>IF(G187="","",MAX(0,G187*H187-I187))</f>
        <v/>
      </c>
      <c r="K187" s="14">
        <f>IF(A187="","",SUMIFS('分期缴税台账'!$K$2:$K$501,'分期缴税台账'!$A$2:$A$501,A187,'分期缴税台账'!$C$2:$C$501,C187))</f>
        <v/>
      </c>
      <c r="L187" s="14">
        <f>IF(J187="","",MAX(0,J187-K187))</f>
        <v/>
      </c>
      <c r="M187" s="6">
        <f>IF(A187="","",COUNTIFS('激励事件明细'!$C$2:$C$501,A187,'激励事件明细'!$H$2:$H$501,C187,'激励事件明细'!$Z$2:$Z$501,"&gt;0"))</f>
        <v/>
      </c>
      <c r="N187" s="6">
        <f>IF(O187="","",IFERROR(INDEX('激励事件明细'!$A$2:$A$501,MATCH(1,('激励事件明细'!$C$2:$C$501=A187)*('激励事件明细'!$H$2:$H$501=C187)*('激励事件明细'!$AB$2:$AB$501=O187),0)),""))</f>
        <v/>
      </c>
      <c r="O187" s="16">
        <f>IF(A187="","",IFERROR(AGGREGATE(15,6,'激励事件明细'!$AB$2:$AB$501/(('激励事件明细'!$C$2:$C$501=A187)*('激励事件明细'!$H$2:$H$501=C187)*('激励事件明细'!$Z$2:$Z$501&gt;0)),1),""))</f>
        <v/>
      </c>
      <c r="P187" s="6">
        <f>IF(A187="","",IF(K187&gt;J187,"异常：超额缴税",IF(L187=0,"已缴清",IF(AND(O187&lt;TODAY(),L187&gt;0),"逾期未缴","未缴清"))))</f>
        <v/>
      </c>
    </row>
    <row r="188">
      <c r="A188" s="11" t="n"/>
      <c r="B188" s="6">
        <f>IF(A188="","",IFERROR(INDEX('激励事件明细'!$D$2:$D$501,MATCH(A188,'激励事件明细'!$C$2:$C$501,0)),""))</f>
        <v/>
      </c>
      <c r="C188" s="11" t="n"/>
      <c r="D188" s="14">
        <f>IF(OR(A188="",C188=""),"",SUMIFS('激励事件明细'!$S$2:$S$501,'激励事件明细'!$C$2:$C$501,A188,'激励事件明细'!$H$2:$H$501,C188,'激励事件明细'!$F$2:$F$501,"股票期权"))</f>
        <v/>
      </c>
      <c r="E188" s="14">
        <f>IF(OR(A188="",C188=""),"",SUMIFS('激励事件明细'!$S$2:$S$501,'激励事件明细'!$C$2:$C$501,A188,'激励事件明细'!$H$2:$H$501,C188,'激励事件明细'!$F$2:$F$501,"限制性股票"))</f>
        <v/>
      </c>
      <c r="F188" s="14">
        <f>IF(OR(A188="",C188=""),"",SUMIFS('激励事件明细'!$S$2:$S$501,'激励事件明细'!$C$2:$C$501,A188,'激励事件明细'!$H$2:$H$501,C188,'激励事件明细'!$F$2:$F$501,"其他股权激励"))</f>
        <v/>
      </c>
      <c r="G188" s="14">
        <f>IF(A188="","",SUM(D188:F188))</f>
        <v/>
      </c>
      <c r="H188" s="15">
        <f>IF(G188="","",VLOOKUP(G188,'税率及规则'!$A$2:$C$8,2,TRUE))</f>
        <v/>
      </c>
      <c r="I188" s="14">
        <f>IF(G188="","",VLOOKUP(G188,'税率及规则'!$A$2:$C$8,3,TRUE))</f>
        <v/>
      </c>
      <c r="J188" s="14">
        <f>IF(G188="","",MAX(0,G188*H188-I188))</f>
        <v/>
      </c>
      <c r="K188" s="14">
        <f>IF(A188="","",SUMIFS('分期缴税台账'!$K$2:$K$501,'分期缴税台账'!$A$2:$A$501,A188,'分期缴税台账'!$C$2:$C$501,C188))</f>
        <v/>
      </c>
      <c r="L188" s="14">
        <f>IF(J188="","",MAX(0,J188-K188))</f>
        <v/>
      </c>
      <c r="M188" s="6">
        <f>IF(A188="","",COUNTIFS('激励事件明细'!$C$2:$C$501,A188,'激励事件明细'!$H$2:$H$501,C188,'激励事件明细'!$Z$2:$Z$501,"&gt;0"))</f>
        <v/>
      </c>
      <c r="N188" s="6">
        <f>IF(O188="","",IFERROR(INDEX('激励事件明细'!$A$2:$A$501,MATCH(1,('激励事件明细'!$C$2:$C$501=A188)*('激励事件明细'!$H$2:$H$501=C188)*('激励事件明细'!$AB$2:$AB$501=O188),0)),""))</f>
        <v/>
      </c>
      <c r="O188" s="16">
        <f>IF(A188="","",IFERROR(AGGREGATE(15,6,'激励事件明细'!$AB$2:$AB$501/(('激励事件明细'!$C$2:$C$501=A188)*('激励事件明细'!$H$2:$H$501=C188)*('激励事件明细'!$Z$2:$Z$501&gt;0)),1),""))</f>
        <v/>
      </c>
      <c r="P188" s="6">
        <f>IF(A188="","",IF(K188&gt;J188,"异常：超额缴税",IF(L188=0,"已缴清",IF(AND(O188&lt;TODAY(),L188&gt;0),"逾期未缴","未缴清"))))</f>
        <v/>
      </c>
    </row>
    <row r="189">
      <c r="A189" s="11" t="n"/>
      <c r="B189" s="6">
        <f>IF(A189="","",IFERROR(INDEX('激励事件明细'!$D$2:$D$501,MATCH(A189,'激励事件明细'!$C$2:$C$501,0)),""))</f>
        <v/>
      </c>
      <c r="C189" s="11" t="n"/>
      <c r="D189" s="14">
        <f>IF(OR(A189="",C189=""),"",SUMIFS('激励事件明细'!$S$2:$S$501,'激励事件明细'!$C$2:$C$501,A189,'激励事件明细'!$H$2:$H$501,C189,'激励事件明细'!$F$2:$F$501,"股票期权"))</f>
        <v/>
      </c>
      <c r="E189" s="14">
        <f>IF(OR(A189="",C189=""),"",SUMIFS('激励事件明细'!$S$2:$S$501,'激励事件明细'!$C$2:$C$501,A189,'激励事件明细'!$H$2:$H$501,C189,'激励事件明细'!$F$2:$F$501,"限制性股票"))</f>
        <v/>
      </c>
      <c r="F189" s="14">
        <f>IF(OR(A189="",C189=""),"",SUMIFS('激励事件明细'!$S$2:$S$501,'激励事件明细'!$C$2:$C$501,A189,'激励事件明细'!$H$2:$H$501,C189,'激励事件明细'!$F$2:$F$501,"其他股权激励"))</f>
        <v/>
      </c>
      <c r="G189" s="14">
        <f>IF(A189="","",SUM(D189:F189))</f>
        <v/>
      </c>
      <c r="H189" s="15">
        <f>IF(G189="","",VLOOKUP(G189,'税率及规则'!$A$2:$C$8,2,TRUE))</f>
        <v/>
      </c>
      <c r="I189" s="14">
        <f>IF(G189="","",VLOOKUP(G189,'税率及规则'!$A$2:$C$8,3,TRUE))</f>
        <v/>
      </c>
      <c r="J189" s="14">
        <f>IF(G189="","",MAX(0,G189*H189-I189))</f>
        <v/>
      </c>
      <c r="K189" s="14">
        <f>IF(A189="","",SUMIFS('分期缴税台账'!$K$2:$K$501,'分期缴税台账'!$A$2:$A$501,A189,'分期缴税台账'!$C$2:$C$501,C189))</f>
        <v/>
      </c>
      <c r="L189" s="14">
        <f>IF(J189="","",MAX(0,J189-K189))</f>
        <v/>
      </c>
      <c r="M189" s="6">
        <f>IF(A189="","",COUNTIFS('激励事件明细'!$C$2:$C$501,A189,'激励事件明细'!$H$2:$H$501,C189,'激励事件明细'!$Z$2:$Z$501,"&gt;0"))</f>
        <v/>
      </c>
      <c r="N189" s="6">
        <f>IF(O189="","",IFERROR(INDEX('激励事件明细'!$A$2:$A$501,MATCH(1,('激励事件明细'!$C$2:$C$501=A189)*('激励事件明细'!$H$2:$H$501=C189)*('激励事件明细'!$AB$2:$AB$501=O189),0)),""))</f>
        <v/>
      </c>
      <c r="O189" s="16">
        <f>IF(A189="","",IFERROR(AGGREGATE(15,6,'激励事件明细'!$AB$2:$AB$501/(('激励事件明细'!$C$2:$C$501=A189)*('激励事件明细'!$H$2:$H$501=C189)*('激励事件明细'!$Z$2:$Z$501&gt;0)),1),""))</f>
        <v/>
      </c>
      <c r="P189" s="6">
        <f>IF(A189="","",IF(K189&gt;J189,"异常：超额缴税",IF(L189=0,"已缴清",IF(AND(O189&lt;TODAY(),L189&gt;0),"逾期未缴","未缴清"))))</f>
        <v/>
      </c>
    </row>
    <row r="190">
      <c r="A190" s="11" t="n"/>
      <c r="B190" s="6">
        <f>IF(A190="","",IFERROR(INDEX('激励事件明细'!$D$2:$D$501,MATCH(A190,'激励事件明细'!$C$2:$C$501,0)),""))</f>
        <v/>
      </c>
      <c r="C190" s="11" t="n"/>
      <c r="D190" s="14">
        <f>IF(OR(A190="",C190=""),"",SUMIFS('激励事件明细'!$S$2:$S$501,'激励事件明细'!$C$2:$C$501,A190,'激励事件明细'!$H$2:$H$501,C190,'激励事件明细'!$F$2:$F$501,"股票期权"))</f>
        <v/>
      </c>
      <c r="E190" s="14">
        <f>IF(OR(A190="",C190=""),"",SUMIFS('激励事件明细'!$S$2:$S$501,'激励事件明细'!$C$2:$C$501,A190,'激励事件明细'!$H$2:$H$501,C190,'激励事件明细'!$F$2:$F$501,"限制性股票"))</f>
        <v/>
      </c>
      <c r="F190" s="14">
        <f>IF(OR(A190="",C190=""),"",SUMIFS('激励事件明细'!$S$2:$S$501,'激励事件明细'!$C$2:$C$501,A190,'激励事件明细'!$H$2:$H$501,C190,'激励事件明细'!$F$2:$F$501,"其他股权激励"))</f>
        <v/>
      </c>
      <c r="G190" s="14">
        <f>IF(A190="","",SUM(D190:F190))</f>
        <v/>
      </c>
      <c r="H190" s="15">
        <f>IF(G190="","",VLOOKUP(G190,'税率及规则'!$A$2:$C$8,2,TRUE))</f>
        <v/>
      </c>
      <c r="I190" s="14">
        <f>IF(G190="","",VLOOKUP(G190,'税率及规则'!$A$2:$C$8,3,TRUE))</f>
        <v/>
      </c>
      <c r="J190" s="14">
        <f>IF(G190="","",MAX(0,G190*H190-I190))</f>
        <v/>
      </c>
      <c r="K190" s="14">
        <f>IF(A190="","",SUMIFS('分期缴税台账'!$K$2:$K$501,'分期缴税台账'!$A$2:$A$501,A190,'分期缴税台账'!$C$2:$C$501,C190))</f>
        <v/>
      </c>
      <c r="L190" s="14">
        <f>IF(J190="","",MAX(0,J190-K190))</f>
        <v/>
      </c>
      <c r="M190" s="6">
        <f>IF(A190="","",COUNTIFS('激励事件明细'!$C$2:$C$501,A190,'激励事件明细'!$H$2:$H$501,C190,'激励事件明细'!$Z$2:$Z$501,"&gt;0"))</f>
        <v/>
      </c>
      <c r="N190" s="6">
        <f>IF(O190="","",IFERROR(INDEX('激励事件明细'!$A$2:$A$501,MATCH(1,('激励事件明细'!$C$2:$C$501=A190)*('激励事件明细'!$H$2:$H$501=C190)*('激励事件明细'!$AB$2:$AB$501=O190),0)),""))</f>
        <v/>
      </c>
      <c r="O190" s="16">
        <f>IF(A190="","",IFERROR(AGGREGATE(15,6,'激励事件明细'!$AB$2:$AB$501/(('激励事件明细'!$C$2:$C$501=A190)*('激励事件明细'!$H$2:$H$501=C190)*('激励事件明细'!$Z$2:$Z$501&gt;0)),1),""))</f>
        <v/>
      </c>
      <c r="P190" s="6">
        <f>IF(A190="","",IF(K190&gt;J190,"异常：超额缴税",IF(L190=0,"已缴清",IF(AND(O190&lt;TODAY(),L190&gt;0),"逾期未缴","未缴清"))))</f>
        <v/>
      </c>
    </row>
    <row r="191">
      <c r="A191" s="11" t="n"/>
      <c r="B191" s="6">
        <f>IF(A191="","",IFERROR(INDEX('激励事件明细'!$D$2:$D$501,MATCH(A191,'激励事件明细'!$C$2:$C$501,0)),""))</f>
        <v/>
      </c>
      <c r="C191" s="11" t="n"/>
      <c r="D191" s="14">
        <f>IF(OR(A191="",C191=""),"",SUMIFS('激励事件明细'!$S$2:$S$501,'激励事件明细'!$C$2:$C$501,A191,'激励事件明细'!$H$2:$H$501,C191,'激励事件明细'!$F$2:$F$501,"股票期权"))</f>
        <v/>
      </c>
      <c r="E191" s="14">
        <f>IF(OR(A191="",C191=""),"",SUMIFS('激励事件明细'!$S$2:$S$501,'激励事件明细'!$C$2:$C$501,A191,'激励事件明细'!$H$2:$H$501,C191,'激励事件明细'!$F$2:$F$501,"限制性股票"))</f>
        <v/>
      </c>
      <c r="F191" s="14">
        <f>IF(OR(A191="",C191=""),"",SUMIFS('激励事件明细'!$S$2:$S$501,'激励事件明细'!$C$2:$C$501,A191,'激励事件明细'!$H$2:$H$501,C191,'激励事件明细'!$F$2:$F$501,"其他股权激励"))</f>
        <v/>
      </c>
      <c r="G191" s="14">
        <f>IF(A191="","",SUM(D191:F191))</f>
        <v/>
      </c>
      <c r="H191" s="15">
        <f>IF(G191="","",VLOOKUP(G191,'税率及规则'!$A$2:$C$8,2,TRUE))</f>
        <v/>
      </c>
      <c r="I191" s="14">
        <f>IF(G191="","",VLOOKUP(G191,'税率及规则'!$A$2:$C$8,3,TRUE))</f>
        <v/>
      </c>
      <c r="J191" s="14">
        <f>IF(G191="","",MAX(0,G191*H191-I191))</f>
        <v/>
      </c>
      <c r="K191" s="14">
        <f>IF(A191="","",SUMIFS('分期缴税台账'!$K$2:$K$501,'分期缴税台账'!$A$2:$A$501,A191,'分期缴税台账'!$C$2:$C$501,C191))</f>
        <v/>
      </c>
      <c r="L191" s="14">
        <f>IF(J191="","",MAX(0,J191-K191))</f>
        <v/>
      </c>
      <c r="M191" s="6">
        <f>IF(A191="","",COUNTIFS('激励事件明细'!$C$2:$C$501,A191,'激励事件明细'!$H$2:$H$501,C191,'激励事件明细'!$Z$2:$Z$501,"&gt;0"))</f>
        <v/>
      </c>
      <c r="N191" s="6">
        <f>IF(O191="","",IFERROR(INDEX('激励事件明细'!$A$2:$A$501,MATCH(1,('激励事件明细'!$C$2:$C$501=A191)*('激励事件明细'!$H$2:$H$501=C191)*('激励事件明细'!$AB$2:$AB$501=O191),0)),""))</f>
        <v/>
      </c>
      <c r="O191" s="16">
        <f>IF(A191="","",IFERROR(AGGREGATE(15,6,'激励事件明细'!$AB$2:$AB$501/(('激励事件明细'!$C$2:$C$501=A191)*('激励事件明细'!$H$2:$H$501=C191)*('激励事件明细'!$Z$2:$Z$501&gt;0)),1),""))</f>
        <v/>
      </c>
      <c r="P191" s="6">
        <f>IF(A191="","",IF(K191&gt;J191,"异常：超额缴税",IF(L191=0,"已缴清",IF(AND(O191&lt;TODAY(),L191&gt;0),"逾期未缴","未缴清"))))</f>
        <v/>
      </c>
    </row>
    <row r="192">
      <c r="A192" s="11" t="n"/>
      <c r="B192" s="6">
        <f>IF(A192="","",IFERROR(INDEX('激励事件明细'!$D$2:$D$501,MATCH(A192,'激励事件明细'!$C$2:$C$501,0)),""))</f>
        <v/>
      </c>
      <c r="C192" s="11" t="n"/>
      <c r="D192" s="14">
        <f>IF(OR(A192="",C192=""),"",SUMIFS('激励事件明细'!$S$2:$S$501,'激励事件明细'!$C$2:$C$501,A192,'激励事件明细'!$H$2:$H$501,C192,'激励事件明细'!$F$2:$F$501,"股票期权"))</f>
        <v/>
      </c>
      <c r="E192" s="14">
        <f>IF(OR(A192="",C192=""),"",SUMIFS('激励事件明细'!$S$2:$S$501,'激励事件明细'!$C$2:$C$501,A192,'激励事件明细'!$H$2:$H$501,C192,'激励事件明细'!$F$2:$F$501,"限制性股票"))</f>
        <v/>
      </c>
      <c r="F192" s="14">
        <f>IF(OR(A192="",C192=""),"",SUMIFS('激励事件明细'!$S$2:$S$501,'激励事件明细'!$C$2:$C$501,A192,'激励事件明细'!$H$2:$H$501,C192,'激励事件明细'!$F$2:$F$501,"其他股权激励"))</f>
        <v/>
      </c>
      <c r="G192" s="14">
        <f>IF(A192="","",SUM(D192:F192))</f>
        <v/>
      </c>
      <c r="H192" s="15">
        <f>IF(G192="","",VLOOKUP(G192,'税率及规则'!$A$2:$C$8,2,TRUE))</f>
        <v/>
      </c>
      <c r="I192" s="14">
        <f>IF(G192="","",VLOOKUP(G192,'税率及规则'!$A$2:$C$8,3,TRUE))</f>
        <v/>
      </c>
      <c r="J192" s="14">
        <f>IF(G192="","",MAX(0,G192*H192-I192))</f>
        <v/>
      </c>
      <c r="K192" s="14">
        <f>IF(A192="","",SUMIFS('分期缴税台账'!$K$2:$K$501,'分期缴税台账'!$A$2:$A$501,A192,'分期缴税台账'!$C$2:$C$501,C192))</f>
        <v/>
      </c>
      <c r="L192" s="14">
        <f>IF(J192="","",MAX(0,J192-K192))</f>
        <v/>
      </c>
      <c r="M192" s="6">
        <f>IF(A192="","",COUNTIFS('激励事件明细'!$C$2:$C$501,A192,'激励事件明细'!$H$2:$H$501,C192,'激励事件明细'!$Z$2:$Z$501,"&gt;0"))</f>
        <v/>
      </c>
      <c r="N192" s="6">
        <f>IF(O192="","",IFERROR(INDEX('激励事件明细'!$A$2:$A$501,MATCH(1,('激励事件明细'!$C$2:$C$501=A192)*('激励事件明细'!$H$2:$H$501=C192)*('激励事件明细'!$AB$2:$AB$501=O192),0)),""))</f>
        <v/>
      </c>
      <c r="O192" s="16">
        <f>IF(A192="","",IFERROR(AGGREGATE(15,6,'激励事件明细'!$AB$2:$AB$501/(('激励事件明细'!$C$2:$C$501=A192)*('激励事件明细'!$H$2:$H$501=C192)*('激励事件明细'!$Z$2:$Z$501&gt;0)),1),""))</f>
        <v/>
      </c>
      <c r="P192" s="6">
        <f>IF(A192="","",IF(K192&gt;J192,"异常：超额缴税",IF(L192=0,"已缴清",IF(AND(O192&lt;TODAY(),L192&gt;0),"逾期未缴","未缴清"))))</f>
        <v/>
      </c>
    </row>
    <row r="193">
      <c r="A193" s="11" t="n"/>
      <c r="B193" s="6">
        <f>IF(A193="","",IFERROR(INDEX('激励事件明细'!$D$2:$D$501,MATCH(A193,'激励事件明细'!$C$2:$C$501,0)),""))</f>
        <v/>
      </c>
      <c r="C193" s="11" t="n"/>
      <c r="D193" s="14">
        <f>IF(OR(A193="",C193=""),"",SUMIFS('激励事件明细'!$S$2:$S$501,'激励事件明细'!$C$2:$C$501,A193,'激励事件明细'!$H$2:$H$501,C193,'激励事件明细'!$F$2:$F$501,"股票期权"))</f>
        <v/>
      </c>
      <c r="E193" s="14">
        <f>IF(OR(A193="",C193=""),"",SUMIFS('激励事件明细'!$S$2:$S$501,'激励事件明细'!$C$2:$C$501,A193,'激励事件明细'!$H$2:$H$501,C193,'激励事件明细'!$F$2:$F$501,"限制性股票"))</f>
        <v/>
      </c>
      <c r="F193" s="14">
        <f>IF(OR(A193="",C193=""),"",SUMIFS('激励事件明细'!$S$2:$S$501,'激励事件明细'!$C$2:$C$501,A193,'激励事件明细'!$H$2:$H$501,C193,'激励事件明细'!$F$2:$F$501,"其他股权激励"))</f>
        <v/>
      </c>
      <c r="G193" s="14">
        <f>IF(A193="","",SUM(D193:F193))</f>
        <v/>
      </c>
      <c r="H193" s="15">
        <f>IF(G193="","",VLOOKUP(G193,'税率及规则'!$A$2:$C$8,2,TRUE))</f>
        <v/>
      </c>
      <c r="I193" s="14">
        <f>IF(G193="","",VLOOKUP(G193,'税率及规则'!$A$2:$C$8,3,TRUE))</f>
        <v/>
      </c>
      <c r="J193" s="14">
        <f>IF(G193="","",MAX(0,G193*H193-I193))</f>
        <v/>
      </c>
      <c r="K193" s="14">
        <f>IF(A193="","",SUMIFS('分期缴税台账'!$K$2:$K$501,'分期缴税台账'!$A$2:$A$501,A193,'分期缴税台账'!$C$2:$C$501,C193))</f>
        <v/>
      </c>
      <c r="L193" s="14">
        <f>IF(J193="","",MAX(0,J193-K193))</f>
        <v/>
      </c>
      <c r="M193" s="6">
        <f>IF(A193="","",COUNTIFS('激励事件明细'!$C$2:$C$501,A193,'激励事件明细'!$H$2:$H$501,C193,'激励事件明细'!$Z$2:$Z$501,"&gt;0"))</f>
        <v/>
      </c>
      <c r="N193" s="6">
        <f>IF(O193="","",IFERROR(INDEX('激励事件明细'!$A$2:$A$501,MATCH(1,('激励事件明细'!$C$2:$C$501=A193)*('激励事件明细'!$H$2:$H$501=C193)*('激励事件明细'!$AB$2:$AB$501=O193),0)),""))</f>
        <v/>
      </c>
      <c r="O193" s="16">
        <f>IF(A193="","",IFERROR(AGGREGATE(15,6,'激励事件明细'!$AB$2:$AB$501/(('激励事件明细'!$C$2:$C$501=A193)*('激励事件明细'!$H$2:$H$501=C193)*('激励事件明细'!$Z$2:$Z$501&gt;0)),1),""))</f>
        <v/>
      </c>
      <c r="P193" s="6">
        <f>IF(A193="","",IF(K193&gt;J193,"异常：超额缴税",IF(L193=0,"已缴清",IF(AND(O193&lt;TODAY(),L193&gt;0),"逾期未缴","未缴清"))))</f>
        <v/>
      </c>
    </row>
    <row r="194">
      <c r="A194" s="11" t="n"/>
      <c r="B194" s="6">
        <f>IF(A194="","",IFERROR(INDEX('激励事件明细'!$D$2:$D$501,MATCH(A194,'激励事件明细'!$C$2:$C$501,0)),""))</f>
        <v/>
      </c>
      <c r="C194" s="11" t="n"/>
      <c r="D194" s="14">
        <f>IF(OR(A194="",C194=""),"",SUMIFS('激励事件明细'!$S$2:$S$501,'激励事件明细'!$C$2:$C$501,A194,'激励事件明细'!$H$2:$H$501,C194,'激励事件明细'!$F$2:$F$501,"股票期权"))</f>
        <v/>
      </c>
      <c r="E194" s="14">
        <f>IF(OR(A194="",C194=""),"",SUMIFS('激励事件明细'!$S$2:$S$501,'激励事件明细'!$C$2:$C$501,A194,'激励事件明细'!$H$2:$H$501,C194,'激励事件明细'!$F$2:$F$501,"限制性股票"))</f>
        <v/>
      </c>
      <c r="F194" s="14">
        <f>IF(OR(A194="",C194=""),"",SUMIFS('激励事件明细'!$S$2:$S$501,'激励事件明细'!$C$2:$C$501,A194,'激励事件明细'!$H$2:$H$501,C194,'激励事件明细'!$F$2:$F$501,"其他股权激励"))</f>
        <v/>
      </c>
      <c r="G194" s="14">
        <f>IF(A194="","",SUM(D194:F194))</f>
        <v/>
      </c>
      <c r="H194" s="15">
        <f>IF(G194="","",VLOOKUP(G194,'税率及规则'!$A$2:$C$8,2,TRUE))</f>
        <v/>
      </c>
      <c r="I194" s="14">
        <f>IF(G194="","",VLOOKUP(G194,'税率及规则'!$A$2:$C$8,3,TRUE))</f>
        <v/>
      </c>
      <c r="J194" s="14">
        <f>IF(G194="","",MAX(0,G194*H194-I194))</f>
        <v/>
      </c>
      <c r="K194" s="14">
        <f>IF(A194="","",SUMIFS('分期缴税台账'!$K$2:$K$501,'分期缴税台账'!$A$2:$A$501,A194,'分期缴税台账'!$C$2:$C$501,C194))</f>
        <v/>
      </c>
      <c r="L194" s="14">
        <f>IF(J194="","",MAX(0,J194-K194))</f>
        <v/>
      </c>
      <c r="M194" s="6">
        <f>IF(A194="","",COUNTIFS('激励事件明细'!$C$2:$C$501,A194,'激励事件明细'!$H$2:$H$501,C194,'激励事件明细'!$Z$2:$Z$501,"&gt;0"))</f>
        <v/>
      </c>
      <c r="N194" s="6">
        <f>IF(O194="","",IFERROR(INDEX('激励事件明细'!$A$2:$A$501,MATCH(1,('激励事件明细'!$C$2:$C$501=A194)*('激励事件明细'!$H$2:$H$501=C194)*('激励事件明细'!$AB$2:$AB$501=O194),0)),""))</f>
        <v/>
      </c>
      <c r="O194" s="16">
        <f>IF(A194="","",IFERROR(AGGREGATE(15,6,'激励事件明细'!$AB$2:$AB$501/(('激励事件明细'!$C$2:$C$501=A194)*('激励事件明细'!$H$2:$H$501=C194)*('激励事件明细'!$Z$2:$Z$501&gt;0)),1),""))</f>
        <v/>
      </c>
      <c r="P194" s="6">
        <f>IF(A194="","",IF(K194&gt;J194,"异常：超额缴税",IF(L194=0,"已缴清",IF(AND(O194&lt;TODAY(),L194&gt;0),"逾期未缴","未缴清"))))</f>
        <v/>
      </c>
    </row>
    <row r="195">
      <c r="A195" s="11" t="n"/>
      <c r="B195" s="6">
        <f>IF(A195="","",IFERROR(INDEX('激励事件明细'!$D$2:$D$501,MATCH(A195,'激励事件明细'!$C$2:$C$501,0)),""))</f>
        <v/>
      </c>
      <c r="C195" s="11" t="n"/>
      <c r="D195" s="14">
        <f>IF(OR(A195="",C195=""),"",SUMIFS('激励事件明细'!$S$2:$S$501,'激励事件明细'!$C$2:$C$501,A195,'激励事件明细'!$H$2:$H$501,C195,'激励事件明细'!$F$2:$F$501,"股票期权"))</f>
        <v/>
      </c>
      <c r="E195" s="14">
        <f>IF(OR(A195="",C195=""),"",SUMIFS('激励事件明细'!$S$2:$S$501,'激励事件明细'!$C$2:$C$501,A195,'激励事件明细'!$H$2:$H$501,C195,'激励事件明细'!$F$2:$F$501,"限制性股票"))</f>
        <v/>
      </c>
      <c r="F195" s="14">
        <f>IF(OR(A195="",C195=""),"",SUMIFS('激励事件明细'!$S$2:$S$501,'激励事件明细'!$C$2:$C$501,A195,'激励事件明细'!$H$2:$H$501,C195,'激励事件明细'!$F$2:$F$501,"其他股权激励"))</f>
        <v/>
      </c>
      <c r="G195" s="14">
        <f>IF(A195="","",SUM(D195:F195))</f>
        <v/>
      </c>
      <c r="H195" s="15">
        <f>IF(G195="","",VLOOKUP(G195,'税率及规则'!$A$2:$C$8,2,TRUE))</f>
        <v/>
      </c>
      <c r="I195" s="14">
        <f>IF(G195="","",VLOOKUP(G195,'税率及规则'!$A$2:$C$8,3,TRUE))</f>
        <v/>
      </c>
      <c r="J195" s="14">
        <f>IF(G195="","",MAX(0,G195*H195-I195))</f>
        <v/>
      </c>
      <c r="K195" s="14">
        <f>IF(A195="","",SUMIFS('分期缴税台账'!$K$2:$K$501,'分期缴税台账'!$A$2:$A$501,A195,'分期缴税台账'!$C$2:$C$501,C195))</f>
        <v/>
      </c>
      <c r="L195" s="14">
        <f>IF(J195="","",MAX(0,J195-K195))</f>
        <v/>
      </c>
      <c r="M195" s="6">
        <f>IF(A195="","",COUNTIFS('激励事件明细'!$C$2:$C$501,A195,'激励事件明细'!$H$2:$H$501,C195,'激励事件明细'!$Z$2:$Z$501,"&gt;0"))</f>
        <v/>
      </c>
      <c r="N195" s="6">
        <f>IF(O195="","",IFERROR(INDEX('激励事件明细'!$A$2:$A$501,MATCH(1,('激励事件明细'!$C$2:$C$501=A195)*('激励事件明细'!$H$2:$H$501=C195)*('激励事件明细'!$AB$2:$AB$501=O195),0)),""))</f>
        <v/>
      </c>
      <c r="O195" s="16">
        <f>IF(A195="","",IFERROR(AGGREGATE(15,6,'激励事件明细'!$AB$2:$AB$501/(('激励事件明细'!$C$2:$C$501=A195)*('激励事件明细'!$H$2:$H$501=C195)*('激励事件明细'!$Z$2:$Z$501&gt;0)),1),""))</f>
        <v/>
      </c>
      <c r="P195" s="6">
        <f>IF(A195="","",IF(K195&gt;J195,"异常：超额缴税",IF(L195=0,"已缴清",IF(AND(O195&lt;TODAY(),L195&gt;0),"逾期未缴","未缴清"))))</f>
        <v/>
      </c>
    </row>
    <row r="196">
      <c r="A196" s="11" t="n"/>
      <c r="B196" s="6">
        <f>IF(A196="","",IFERROR(INDEX('激励事件明细'!$D$2:$D$501,MATCH(A196,'激励事件明细'!$C$2:$C$501,0)),""))</f>
        <v/>
      </c>
      <c r="C196" s="11" t="n"/>
      <c r="D196" s="14">
        <f>IF(OR(A196="",C196=""),"",SUMIFS('激励事件明细'!$S$2:$S$501,'激励事件明细'!$C$2:$C$501,A196,'激励事件明细'!$H$2:$H$501,C196,'激励事件明细'!$F$2:$F$501,"股票期权"))</f>
        <v/>
      </c>
      <c r="E196" s="14">
        <f>IF(OR(A196="",C196=""),"",SUMIFS('激励事件明细'!$S$2:$S$501,'激励事件明细'!$C$2:$C$501,A196,'激励事件明细'!$H$2:$H$501,C196,'激励事件明细'!$F$2:$F$501,"限制性股票"))</f>
        <v/>
      </c>
      <c r="F196" s="14">
        <f>IF(OR(A196="",C196=""),"",SUMIFS('激励事件明细'!$S$2:$S$501,'激励事件明细'!$C$2:$C$501,A196,'激励事件明细'!$H$2:$H$501,C196,'激励事件明细'!$F$2:$F$501,"其他股权激励"))</f>
        <v/>
      </c>
      <c r="G196" s="14">
        <f>IF(A196="","",SUM(D196:F196))</f>
        <v/>
      </c>
      <c r="H196" s="15">
        <f>IF(G196="","",VLOOKUP(G196,'税率及规则'!$A$2:$C$8,2,TRUE))</f>
        <v/>
      </c>
      <c r="I196" s="14">
        <f>IF(G196="","",VLOOKUP(G196,'税率及规则'!$A$2:$C$8,3,TRUE))</f>
        <v/>
      </c>
      <c r="J196" s="14">
        <f>IF(G196="","",MAX(0,G196*H196-I196))</f>
        <v/>
      </c>
      <c r="K196" s="14">
        <f>IF(A196="","",SUMIFS('分期缴税台账'!$K$2:$K$501,'分期缴税台账'!$A$2:$A$501,A196,'分期缴税台账'!$C$2:$C$501,C196))</f>
        <v/>
      </c>
      <c r="L196" s="14">
        <f>IF(J196="","",MAX(0,J196-K196))</f>
        <v/>
      </c>
      <c r="M196" s="6">
        <f>IF(A196="","",COUNTIFS('激励事件明细'!$C$2:$C$501,A196,'激励事件明细'!$H$2:$H$501,C196,'激励事件明细'!$Z$2:$Z$501,"&gt;0"))</f>
        <v/>
      </c>
      <c r="N196" s="6">
        <f>IF(O196="","",IFERROR(INDEX('激励事件明细'!$A$2:$A$501,MATCH(1,('激励事件明细'!$C$2:$C$501=A196)*('激励事件明细'!$H$2:$H$501=C196)*('激励事件明细'!$AB$2:$AB$501=O196),0)),""))</f>
        <v/>
      </c>
      <c r="O196" s="16">
        <f>IF(A196="","",IFERROR(AGGREGATE(15,6,'激励事件明细'!$AB$2:$AB$501/(('激励事件明细'!$C$2:$C$501=A196)*('激励事件明细'!$H$2:$H$501=C196)*('激励事件明细'!$Z$2:$Z$501&gt;0)),1),""))</f>
        <v/>
      </c>
      <c r="P196" s="6">
        <f>IF(A196="","",IF(K196&gt;J196,"异常：超额缴税",IF(L196=0,"已缴清",IF(AND(O196&lt;TODAY(),L196&gt;0),"逾期未缴","未缴清"))))</f>
        <v/>
      </c>
    </row>
    <row r="197">
      <c r="A197" s="11" t="n"/>
      <c r="B197" s="6">
        <f>IF(A197="","",IFERROR(INDEX('激励事件明细'!$D$2:$D$501,MATCH(A197,'激励事件明细'!$C$2:$C$501,0)),""))</f>
        <v/>
      </c>
      <c r="C197" s="11" t="n"/>
      <c r="D197" s="14">
        <f>IF(OR(A197="",C197=""),"",SUMIFS('激励事件明细'!$S$2:$S$501,'激励事件明细'!$C$2:$C$501,A197,'激励事件明细'!$H$2:$H$501,C197,'激励事件明细'!$F$2:$F$501,"股票期权"))</f>
        <v/>
      </c>
      <c r="E197" s="14">
        <f>IF(OR(A197="",C197=""),"",SUMIFS('激励事件明细'!$S$2:$S$501,'激励事件明细'!$C$2:$C$501,A197,'激励事件明细'!$H$2:$H$501,C197,'激励事件明细'!$F$2:$F$501,"限制性股票"))</f>
        <v/>
      </c>
      <c r="F197" s="14">
        <f>IF(OR(A197="",C197=""),"",SUMIFS('激励事件明细'!$S$2:$S$501,'激励事件明细'!$C$2:$C$501,A197,'激励事件明细'!$H$2:$H$501,C197,'激励事件明细'!$F$2:$F$501,"其他股权激励"))</f>
        <v/>
      </c>
      <c r="G197" s="14">
        <f>IF(A197="","",SUM(D197:F197))</f>
        <v/>
      </c>
      <c r="H197" s="15">
        <f>IF(G197="","",VLOOKUP(G197,'税率及规则'!$A$2:$C$8,2,TRUE))</f>
        <v/>
      </c>
      <c r="I197" s="14">
        <f>IF(G197="","",VLOOKUP(G197,'税率及规则'!$A$2:$C$8,3,TRUE))</f>
        <v/>
      </c>
      <c r="J197" s="14">
        <f>IF(G197="","",MAX(0,G197*H197-I197))</f>
        <v/>
      </c>
      <c r="K197" s="14">
        <f>IF(A197="","",SUMIFS('分期缴税台账'!$K$2:$K$501,'分期缴税台账'!$A$2:$A$501,A197,'分期缴税台账'!$C$2:$C$501,C197))</f>
        <v/>
      </c>
      <c r="L197" s="14">
        <f>IF(J197="","",MAX(0,J197-K197))</f>
        <v/>
      </c>
      <c r="M197" s="6">
        <f>IF(A197="","",COUNTIFS('激励事件明细'!$C$2:$C$501,A197,'激励事件明细'!$H$2:$H$501,C197,'激励事件明细'!$Z$2:$Z$501,"&gt;0"))</f>
        <v/>
      </c>
      <c r="N197" s="6">
        <f>IF(O197="","",IFERROR(INDEX('激励事件明细'!$A$2:$A$501,MATCH(1,('激励事件明细'!$C$2:$C$501=A197)*('激励事件明细'!$H$2:$H$501=C197)*('激励事件明细'!$AB$2:$AB$501=O197),0)),""))</f>
        <v/>
      </c>
      <c r="O197" s="16">
        <f>IF(A197="","",IFERROR(AGGREGATE(15,6,'激励事件明细'!$AB$2:$AB$501/(('激励事件明细'!$C$2:$C$501=A197)*('激励事件明细'!$H$2:$H$501=C197)*('激励事件明细'!$Z$2:$Z$501&gt;0)),1),""))</f>
        <v/>
      </c>
      <c r="P197" s="6">
        <f>IF(A197="","",IF(K197&gt;J197,"异常：超额缴税",IF(L197=0,"已缴清",IF(AND(O197&lt;TODAY(),L197&gt;0),"逾期未缴","未缴清"))))</f>
        <v/>
      </c>
    </row>
    <row r="198">
      <c r="A198" s="11" t="n"/>
      <c r="B198" s="6">
        <f>IF(A198="","",IFERROR(INDEX('激励事件明细'!$D$2:$D$501,MATCH(A198,'激励事件明细'!$C$2:$C$501,0)),""))</f>
        <v/>
      </c>
      <c r="C198" s="11" t="n"/>
      <c r="D198" s="14">
        <f>IF(OR(A198="",C198=""),"",SUMIFS('激励事件明细'!$S$2:$S$501,'激励事件明细'!$C$2:$C$501,A198,'激励事件明细'!$H$2:$H$501,C198,'激励事件明细'!$F$2:$F$501,"股票期权"))</f>
        <v/>
      </c>
      <c r="E198" s="14">
        <f>IF(OR(A198="",C198=""),"",SUMIFS('激励事件明细'!$S$2:$S$501,'激励事件明细'!$C$2:$C$501,A198,'激励事件明细'!$H$2:$H$501,C198,'激励事件明细'!$F$2:$F$501,"限制性股票"))</f>
        <v/>
      </c>
      <c r="F198" s="14">
        <f>IF(OR(A198="",C198=""),"",SUMIFS('激励事件明细'!$S$2:$S$501,'激励事件明细'!$C$2:$C$501,A198,'激励事件明细'!$H$2:$H$501,C198,'激励事件明细'!$F$2:$F$501,"其他股权激励"))</f>
        <v/>
      </c>
      <c r="G198" s="14">
        <f>IF(A198="","",SUM(D198:F198))</f>
        <v/>
      </c>
      <c r="H198" s="15">
        <f>IF(G198="","",VLOOKUP(G198,'税率及规则'!$A$2:$C$8,2,TRUE))</f>
        <v/>
      </c>
      <c r="I198" s="14">
        <f>IF(G198="","",VLOOKUP(G198,'税率及规则'!$A$2:$C$8,3,TRUE))</f>
        <v/>
      </c>
      <c r="J198" s="14">
        <f>IF(G198="","",MAX(0,G198*H198-I198))</f>
        <v/>
      </c>
      <c r="K198" s="14">
        <f>IF(A198="","",SUMIFS('分期缴税台账'!$K$2:$K$501,'分期缴税台账'!$A$2:$A$501,A198,'分期缴税台账'!$C$2:$C$501,C198))</f>
        <v/>
      </c>
      <c r="L198" s="14">
        <f>IF(J198="","",MAX(0,J198-K198))</f>
        <v/>
      </c>
      <c r="M198" s="6">
        <f>IF(A198="","",COUNTIFS('激励事件明细'!$C$2:$C$501,A198,'激励事件明细'!$H$2:$H$501,C198,'激励事件明细'!$Z$2:$Z$501,"&gt;0"))</f>
        <v/>
      </c>
      <c r="N198" s="6">
        <f>IF(O198="","",IFERROR(INDEX('激励事件明细'!$A$2:$A$501,MATCH(1,('激励事件明细'!$C$2:$C$501=A198)*('激励事件明细'!$H$2:$H$501=C198)*('激励事件明细'!$AB$2:$AB$501=O198),0)),""))</f>
        <v/>
      </c>
      <c r="O198" s="16">
        <f>IF(A198="","",IFERROR(AGGREGATE(15,6,'激励事件明细'!$AB$2:$AB$501/(('激励事件明细'!$C$2:$C$501=A198)*('激励事件明细'!$H$2:$H$501=C198)*('激励事件明细'!$Z$2:$Z$501&gt;0)),1),""))</f>
        <v/>
      </c>
      <c r="P198" s="6">
        <f>IF(A198="","",IF(K198&gt;J198,"异常：超额缴税",IF(L198=0,"已缴清",IF(AND(O198&lt;TODAY(),L198&gt;0),"逾期未缴","未缴清"))))</f>
        <v/>
      </c>
    </row>
    <row r="199">
      <c r="A199" s="11" t="n"/>
      <c r="B199" s="6">
        <f>IF(A199="","",IFERROR(INDEX('激励事件明细'!$D$2:$D$501,MATCH(A199,'激励事件明细'!$C$2:$C$501,0)),""))</f>
        <v/>
      </c>
      <c r="C199" s="11" t="n"/>
      <c r="D199" s="14">
        <f>IF(OR(A199="",C199=""),"",SUMIFS('激励事件明细'!$S$2:$S$501,'激励事件明细'!$C$2:$C$501,A199,'激励事件明细'!$H$2:$H$501,C199,'激励事件明细'!$F$2:$F$501,"股票期权"))</f>
        <v/>
      </c>
      <c r="E199" s="14">
        <f>IF(OR(A199="",C199=""),"",SUMIFS('激励事件明细'!$S$2:$S$501,'激励事件明细'!$C$2:$C$501,A199,'激励事件明细'!$H$2:$H$501,C199,'激励事件明细'!$F$2:$F$501,"限制性股票"))</f>
        <v/>
      </c>
      <c r="F199" s="14">
        <f>IF(OR(A199="",C199=""),"",SUMIFS('激励事件明细'!$S$2:$S$501,'激励事件明细'!$C$2:$C$501,A199,'激励事件明细'!$H$2:$H$501,C199,'激励事件明细'!$F$2:$F$501,"其他股权激励"))</f>
        <v/>
      </c>
      <c r="G199" s="14">
        <f>IF(A199="","",SUM(D199:F199))</f>
        <v/>
      </c>
      <c r="H199" s="15">
        <f>IF(G199="","",VLOOKUP(G199,'税率及规则'!$A$2:$C$8,2,TRUE))</f>
        <v/>
      </c>
      <c r="I199" s="14">
        <f>IF(G199="","",VLOOKUP(G199,'税率及规则'!$A$2:$C$8,3,TRUE))</f>
        <v/>
      </c>
      <c r="J199" s="14">
        <f>IF(G199="","",MAX(0,G199*H199-I199))</f>
        <v/>
      </c>
      <c r="K199" s="14">
        <f>IF(A199="","",SUMIFS('分期缴税台账'!$K$2:$K$501,'分期缴税台账'!$A$2:$A$501,A199,'分期缴税台账'!$C$2:$C$501,C199))</f>
        <v/>
      </c>
      <c r="L199" s="14">
        <f>IF(J199="","",MAX(0,J199-K199))</f>
        <v/>
      </c>
      <c r="M199" s="6">
        <f>IF(A199="","",COUNTIFS('激励事件明细'!$C$2:$C$501,A199,'激励事件明细'!$H$2:$H$501,C199,'激励事件明细'!$Z$2:$Z$501,"&gt;0"))</f>
        <v/>
      </c>
      <c r="N199" s="6">
        <f>IF(O199="","",IFERROR(INDEX('激励事件明细'!$A$2:$A$501,MATCH(1,('激励事件明细'!$C$2:$C$501=A199)*('激励事件明细'!$H$2:$H$501=C199)*('激励事件明细'!$AB$2:$AB$501=O199),0)),""))</f>
        <v/>
      </c>
      <c r="O199" s="16">
        <f>IF(A199="","",IFERROR(AGGREGATE(15,6,'激励事件明细'!$AB$2:$AB$501/(('激励事件明细'!$C$2:$C$501=A199)*('激励事件明细'!$H$2:$H$501=C199)*('激励事件明细'!$Z$2:$Z$501&gt;0)),1),""))</f>
        <v/>
      </c>
      <c r="P199" s="6">
        <f>IF(A199="","",IF(K199&gt;J199,"异常：超额缴税",IF(L199=0,"已缴清",IF(AND(O199&lt;TODAY(),L199&gt;0),"逾期未缴","未缴清"))))</f>
        <v/>
      </c>
    </row>
    <row r="200">
      <c r="A200" s="11" t="n"/>
      <c r="B200" s="6">
        <f>IF(A200="","",IFERROR(INDEX('激励事件明细'!$D$2:$D$501,MATCH(A200,'激励事件明细'!$C$2:$C$501,0)),""))</f>
        <v/>
      </c>
      <c r="C200" s="11" t="n"/>
      <c r="D200" s="14">
        <f>IF(OR(A200="",C200=""),"",SUMIFS('激励事件明细'!$S$2:$S$501,'激励事件明细'!$C$2:$C$501,A200,'激励事件明细'!$H$2:$H$501,C200,'激励事件明细'!$F$2:$F$501,"股票期权"))</f>
        <v/>
      </c>
      <c r="E200" s="14">
        <f>IF(OR(A200="",C200=""),"",SUMIFS('激励事件明细'!$S$2:$S$501,'激励事件明细'!$C$2:$C$501,A200,'激励事件明细'!$H$2:$H$501,C200,'激励事件明细'!$F$2:$F$501,"限制性股票"))</f>
        <v/>
      </c>
      <c r="F200" s="14">
        <f>IF(OR(A200="",C200=""),"",SUMIFS('激励事件明细'!$S$2:$S$501,'激励事件明细'!$C$2:$C$501,A200,'激励事件明细'!$H$2:$H$501,C200,'激励事件明细'!$F$2:$F$501,"其他股权激励"))</f>
        <v/>
      </c>
      <c r="G200" s="14">
        <f>IF(A200="","",SUM(D200:F200))</f>
        <v/>
      </c>
      <c r="H200" s="15">
        <f>IF(G200="","",VLOOKUP(G200,'税率及规则'!$A$2:$C$8,2,TRUE))</f>
        <v/>
      </c>
      <c r="I200" s="14">
        <f>IF(G200="","",VLOOKUP(G200,'税率及规则'!$A$2:$C$8,3,TRUE))</f>
        <v/>
      </c>
      <c r="J200" s="14">
        <f>IF(G200="","",MAX(0,G200*H200-I200))</f>
        <v/>
      </c>
      <c r="K200" s="14">
        <f>IF(A200="","",SUMIFS('分期缴税台账'!$K$2:$K$501,'分期缴税台账'!$A$2:$A$501,A200,'分期缴税台账'!$C$2:$C$501,C200))</f>
        <v/>
      </c>
      <c r="L200" s="14">
        <f>IF(J200="","",MAX(0,J200-K200))</f>
        <v/>
      </c>
      <c r="M200" s="6">
        <f>IF(A200="","",COUNTIFS('激励事件明细'!$C$2:$C$501,A200,'激励事件明细'!$H$2:$H$501,C200,'激励事件明细'!$Z$2:$Z$501,"&gt;0"))</f>
        <v/>
      </c>
      <c r="N200" s="6">
        <f>IF(O200="","",IFERROR(INDEX('激励事件明细'!$A$2:$A$501,MATCH(1,('激励事件明细'!$C$2:$C$501=A200)*('激励事件明细'!$H$2:$H$501=C200)*('激励事件明细'!$AB$2:$AB$501=O200),0)),""))</f>
        <v/>
      </c>
      <c r="O200" s="16">
        <f>IF(A200="","",IFERROR(AGGREGATE(15,6,'激励事件明细'!$AB$2:$AB$501/(('激励事件明细'!$C$2:$C$501=A200)*('激励事件明细'!$H$2:$H$501=C200)*('激励事件明细'!$Z$2:$Z$501&gt;0)),1),""))</f>
        <v/>
      </c>
      <c r="P200" s="6">
        <f>IF(A200="","",IF(K200&gt;J200,"异常：超额缴税",IF(L200=0,"已缴清",IF(AND(O200&lt;TODAY(),L200&gt;0),"逾期未缴","未缴清"))))</f>
        <v/>
      </c>
    </row>
    <row r="201">
      <c r="A201" s="11" t="n"/>
      <c r="B201" s="6">
        <f>IF(A201="","",IFERROR(INDEX('激励事件明细'!$D$2:$D$501,MATCH(A201,'激励事件明细'!$C$2:$C$501,0)),""))</f>
        <v/>
      </c>
      <c r="C201" s="11" t="n"/>
      <c r="D201" s="14">
        <f>IF(OR(A201="",C201=""),"",SUMIFS('激励事件明细'!$S$2:$S$501,'激励事件明细'!$C$2:$C$501,A201,'激励事件明细'!$H$2:$H$501,C201,'激励事件明细'!$F$2:$F$501,"股票期权"))</f>
        <v/>
      </c>
      <c r="E201" s="14">
        <f>IF(OR(A201="",C201=""),"",SUMIFS('激励事件明细'!$S$2:$S$501,'激励事件明细'!$C$2:$C$501,A201,'激励事件明细'!$H$2:$H$501,C201,'激励事件明细'!$F$2:$F$501,"限制性股票"))</f>
        <v/>
      </c>
      <c r="F201" s="14">
        <f>IF(OR(A201="",C201=""),"",SUMIFS('激励事件明细'!$S$2:$S$501,'激励事件明细'!$C$2:$C$501,A201,'激励事件明细'!$H$2:$H$501,C201,'激励事件明细'!$F$2:$F$501,"其他股权激励"))</f>
        <v/>
      </c>
      <c r="G201" s="14">
        <f>IF(A201="","",SUM(D201:F201))</f>
        <v/>
      </c>
      <c r="H201" s="15">
        <f>IF(G201="","",VLOOKUP(G201,'税率及规则'!$A$2:$C$8,2,TRUE))</f>
        <v/>
      </c>
      <c r="I201" s="14">
        <f>IF(G201="","",VLOOKUP(G201,'税率及规则'!$A$2:$C$8,3,TRUE))</f>
        <v/>
      </c>
      <c r="J201" s="14">
        <f>IF(G201="","",MAX(0,G201*H201-I201))</f>
        <v/>
      </c>
      <c r="K201" s="14">
        <f>IF(A201="","",SUMIFS('分期缴税台账'!$K$2:$K$501,'分期缴税台账'!$A$2:$A$501,A201,'分期缴税台账'!$C$2:$C$501,C201))</f>
        <v/>
      </c>
      <c r="L201" s="14">
        <f>IF(J201="","",MAX(0,J201-K201))</f>
        <v/>
      </c>
      <c r="M201" s="6">
        <f>IF(A201="","",COUNTIFS('激励事件明细'!$C$2:$C$501,A201,'激励事件明细'!$H$2:$H$501,C201,'激励事件明细'!$Z$2:$Z$501,"&gt;0"))</f>
        <v/>
      </c>
      <c r="N201" s="6">
        <f>IF(O201="","",IFERROR(INDEX('激励事件明细'!$A$2:$A$501,MATCH(1,('激励事件明细'!$C$2:$C$501=A201)*('激励事件明细'!$H$2:$H$501=C201)*('激励事件明细'!$AB$2:$AB$501=O201),0)),""))</f>
        <v/>
      </c>
      <c r="O201" s="16">
        <f>IF(A201="","",IFERROR(AGGREGATE(15,6,'激励事件明细'!$AB$2:$AB$501/(('激励事件明细'!$C$2:$C$501=A201)*('激励事件明细'!$H$2:$H$501=C201)*('激励事件明细'!$Z$2:$Z$501&gt;0)),1),""))</f>
        <v/>
      </c>
      <c r="P201" s="6">
        <f>IF(A201="","",IF(K201&gt;J201,"异常：超额缴税",IF(L201=0,"已缴清",IF(AND(O201&lt;TODAY(),L201&gt;0),"逾期未缴","未缴清"))))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P201"/>
  <conditionalFormatting sqref="P2:P201">
    <cfRule type="expression" priority="1" dxfId="0">
      <formula>LEFT(P2,2)="异常"</formula>
    </cfRule>
  </conditionalFormatting>
  <dataValidations count="2">
    <dataValidation sqref="A2:A201" showDropDown="0" showInputMessage="1" showErrorMessage="1" allowBlank="1" errorTitle="输入无效" error="请选择下拉列表中的有效值。" promptTitle="可选值" prompt="请从下拉列表选择。" type="list">
      <formula1>=员工编号列表</formula1>
    </dataValidation>
    <dataValidation sqref="C2:C201" showDropDown="0" showInputMessage="0" showErrorMessage="1" allowBlank="1" errorTitle="数值无效" error="请输入符合条件的非负数字。" type="decimal" operator="between">
      <formula1>2024</formula1>
      <formula2>2035</formula2>
    </dataValidation>
  </dataValidation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8" customWidth="1" min="4" max="4"/>
    <col width="22" customWidth="1" min="5" max="5"/>
    <col width="22" customWidth="1" min="6" max="6"/>
    <col width="22" customWidth="1" min="7" max="7"/>
    <col width="20" customWidth="1" min="8" max="8"/>
    <col width="14" customWidth="1" min="9" max="9"/>
    <col width="16" customWidth="1" min="10" max="10"/>
    <col width="16" customWidth="1" min="11" max="11"/>
    <col width="20" customWidth="1" min="12" max="12"/>
    <col width="16" customWidth="1" min="13" max="13"/>
    <col width="16" customWidth="1" min="14" max="14"/>
    <col width="12" customWidth="1" min="15" max="15"/>
    <col width="14" customWidth="1" min="16" max="16"/>
    <col width="28" customWidth="1" min="17" max="17"/>
    <col width="24" customWidth="1" min="18" max="18"/>
  </cols>
  <sheetData>
    <row r="1" ht="32" customHeight="1">
      <c r="A1" s="8" t="inlineStr">
        <is>
          <t>员工编号</t>
        </is>
      </c>
      <c r="B1" s="8" t="inlineStr">
        <is>
          <t>姓名</t>
        </is>
      </c>
      <c r="C1" s="8" t="inlineStr">
        <is>
          <t>纳税年度</t>
        </is>
      </c>
      <c r="D1" s="8" t="inlineStr">
        <is>
          <t>事件编号</t>
        </is>
      </c>
      <c r="E1" s="8" t="inlineStr">
        <is>
          <t>新增税额批次</t>
        </is>
      </c>
      <c r="F1" s="8" t="inlineStr">
        <is>
          <t>该事件新增应纳税额</t>
        </is>
      </c>
      <c r="G1" s="8" t="inlineStr">
        <is>
          <t>该事件纳税义务发生日</t>
        </is>
      </c>
      <c r="H1" s="8" t="inlineStr">
        <is>
          <t>该事件最晚缴清日</t>
        </is>
      </c>
      <c r="I1" s="8" t="inlineStr">
        <is>
          <t>缴税日期</t>
        </is>
      </c>
      <c r="J1" s="8" t="inlineStr">
        <is>
          <t>计划缴税金额</t>
        </is>
      </c>
      <c r="K1" s="8" t="inlineStr">
        <is>
          <t>实际缴税金额</t>
        </is>
      </c>
      <c r="L1" s="8" t="inlineStr">
        <is>
          <t>完税凭证号</t>
        </is>
      </c>
      <c r="M1" s="8" t="inlineStr">
        <is>
          <t>累计已缴</t>
        </is>
      </c>
      <c r="N1" s="8" t="inlineStr">
        <is>
          <t>剩余税额</t>
        </is>
      </c>
      <c r="O1" s="8" t="inlineStr">
        <is>
          <t>是否逾期</t>
        </is>
      </c>
      <c r="P1" s="8" t="inlineStr">
        <is>
          <t>离职日期</t>
        </is>
      </c>
      <c r="Q1" s="8" t="inlineStr">
        <is>
          <t>校验</t>
        </is>
      </c>
      <c r="R1" s="8" t="inlineStr">
        <is>
          <t>备注</t>
        </is>
      </c>
    </row>
    <row r="2">
      <c r="A2" s="6">
        <f>IF(AND(D2="",E2=""),"",IFERROR(INDEX('激励事件明细'!$C$2:$C$501,IF(D2&lt;&gt;"",MATCH(D2,'激励事件明细'!$A$2:$A$501,0),MATCH(E2,'激励事件明细'!$B$2:$B$501,0))),""))</f>
        <v/>
      </c>
      <c r="B2" s="6">
        <f>IF(A2="","",IFERROR(INDEX('激励事件明细'!$D$2:$D$501,IF(D2&lt;&gt;"",MATCH(D2,'激励事件明细'!$A$2:$A$501,0),MATCH(E2,'激励事件明细'!$B$2:$B$501,0))),""))</f>
        <v/>
      </c>
      <c r="C2" s="6">
        <f>IF(A2="","",IFERROR(INDEX('激励事件明细'!$H$2:$H$501,IF(D2&lt;&gt;"",MATCH(D2,'激励事件明细'!$A$2:$A$501,0),MATCH(E2,'激励事件明细'!$B$2:$B$501,0))),""))</f>
        <v/>
      </c>
      <c r="D2" s="11" t="n"/>
      <c r="E2" s="11" t="n"/>
      <c r="F2" s="14">
        <f>IF(A2="","",IFERROR(INDEX('激励事件明细'!$Z$2:$Z$501,IF(D2&lt;&gt;"",MATCH(D2,'激励事件明细'!$A$2:$A$501,0),MATCH(E2,'激励事件明细'!$B$2:$B$501,0))),""))</f>
        <v/>
      </c>
      <c r="G2" s="16">
        <f>IF(A2="","",IFERROR(INDEX('激励事件明细'!$AA$2:$AA$501,IF(D2&lt;&gt;"",MATCH(D2,'激励事件明细'!$A$2:$A$501,0),MATCH(E2,'激励事件明细'!$B$2:$B$501,0))),""))</f>
        <v/>
      </c>
      <c r="H2" s="16">
        <f>IF(A2="","",IFERROR(INDEX('激励事件明细'!$AB$2:$AB$501,IF(D2&lt;&gt;"",MATCH(D2,'激励事件明细'!$A$2:$A$501,0),MATCH(E2,'激励事件明细'!$B$2:$B$501,0))),""))</f>
        <v/>
      </c>
      <c r="I2" s="12" t="n"/>
      <c r="J2" s="13" t="n"/>
      <c r="K2" s="13" t="n"/>
      <c r="L2" s="11" t="n"/>
      <c r="M2" s="14">
        <f>IF(A2="","",IF(D2&lt;&gt;"",SUMIFS($K$2:$K$501,$D$2:$D$501,D2),SUMIFS($K$2:$K$501,$E$2:$E$501,E2)))</f>
        <v/>
      </c>
      <c r="N2" s="14">
        <f>IF(F2="","",MAX(0,F2-M2))</f>
        <v/>
      </c>
      <c r="O2" s="6">
        <f>IF(A2="","",IF(AND(I2&lt;&gt;"",I2&gt;H2),"是",IF(AND(TODAY()&gt;H2,N2&gt;0),"是","否")))</f>
        <v/>
      </c>
      <c r="P2" s="16">
        <f>IF(A2="","",IFERROR(INDEX('激励事件明细'!$P$2:$P$501,IF(D2&lt;&gt;"",MATCH(D2,'激励事件明细'!$A$2:$A$501,0),MATCH(E2,'激励事件明细'!$B$2:$B$501,0))),""))</f>
        <v/>
      </c>
      <c r="Q2" s="6">
        <f>IF(AND(D2="",E2=""),"异常：必须关联事件编号或税额批次",IF(AND(D2&lt;&gt;"",COUNTIF('激励事件明细'!$A$2:$A$501,D2)=0),"异常：事件编号不存在",IF(AND(E2&lt;&gt;"",COUNTIF('激励事件明细'!$B$2:$B$501,E2)=0),"异常：税额批次不存在",IF(M2&gt;F2,"异常：本批次超额缴税",IF(AND(I2&lt;&gt;"",I2&gt;H2),"异常：超过事件截止日",IF(AND(P2&lt;&gt;"",TODAY()&gt;=P2,N2&gt;0),"异常：离职前未缴清","正常"))))))</f>
        <v/>
      </c>
      <c r="R2" s="11" t="n"/>
    </row>
    <row r="3">
      <c r="A3" s="6">
        <f>IF(AND(D3="",E3=""),"",IFERROR(INDEX('激励事件明细'!$C$2:$C$501,IF(D3&lt;&gt;"",MATCH(D3,'激励事件明细'!$A$2:$A$501,0),MATCH(E3,'激励事件明细'!$B$2:$B$501,0))),""))</f>
        <v/>
      </c>
      <c r="B3" s="6">
        <f>IF(A3="","",IFERROR(INDEX('激励事件明细'!$D$2:$D$501,IF(D3&lt;&gt;"",MATCH(D3,'激励事件明细'!$A$2:$A$501,0),MATCH(E3,'激励事件明细'!$B$2:$B$501,0))),""))</f>
        <v/>
      </c>
      <c r="C3" s="6">
        <f>IF(A3="","",IFERROR(INDEX('激励事件明细'!$H$2:$H$501,IF(D3&lt;&gt;"",MATCH(D3,'激励事件明细'!$A$2:$A$501,0),MATCH(E3,'激励事件明细'!$B$2:$B$501,0))),""))</f>
        <v/>
      </c>
      <c r="D3" s="11" t="n"/>
      <c r="E3" s="11" t="n"/>
      <c r="F3" s="14">
        <f>IF(A3="","",IFERROR(INDEX('激励事件明细'!$Z$2:$Z$501,IF(D3&lt;&gt;"",MATCH(D3,'激励事件明细'!$A$2:$A$501,0),MATCH(E3,'激励事件明细'!$B$2:$B$501,0))),""))</f>
        <v/>
      </c>
      <c r="G3" s="16">
        <f>IF(A3="","",IFERROR(INDEX('激励事件明细'!$AA$2:$AA$501,IF(D3&lt;&gt;"",MATCH(D3,'激励事件明细'!$A$2:$A$501,0),MATCH(E3,'激励事件明细'!$B$2:$B$501,0))),""))</f>
        <v/>
      </c>
      <c r="H3" s="16">
        <f>IF(A3="","",IFERROR(INDEX('激励事件明细'!$AB$2:$AB$501,IF(D3&lt;&gt;"",MATCH(D3,'激励事件明细'!$A$2:$A$501,0),MATCH(E3,'激励事件明细'!$B$2:$B$501,0))),""))</f>
        <v/>
      </c>
      <c r="I3" s="12" t="n"/>
      <c r="J3" s="13" t="n"/>
      <c r="K3" s="13" t="n"/>
      <c r="L3" s="11" t="n"/>
      <c r="M3" s="14">
        <f>IF(A3="","",IF(D3&lt;&gt;"",SUMIFS($K$2:$K$501,$D$2:$D$501,D3),SUMIFS($K$2:$K$501,$E$2:$E$501,E3)))</f>
        <v/>
      </c>
      <c r="N3" s="14">
        <f>IF(F3="","",MAX(0,F3-M3))</f>
        <v/>
      </c>
      <c r="O3" s="6">
        <f>IF(A3="","",IF(AND(I3&lt;&gt;"",I3&gt;H3),"是",IF(AND(TODAY()&gt;H3,N3&gt;0),"是","否")))</f>
        <v/>
      </c>
      <c r="P3" s="16">
        <f>IF(A3="","",IFERROR(INDEX('激励事件明细'!$P$2:$P$501,IF(D3&lt;&gt;"",MATCH(D3,'激励事件明细'!$A$2:$A$501,0),MATCH(E3,'激励事件明细'!$B$2:$B$501,0))),""))</f>
        <v/>
      </c>
      <c r="Q3" s="6">
        <f>IF(AND(D3="",E3=""),"异常：必须关联事件编号或税额批次",IF(AND(D3&lt;&gt;"",COUNTIF('激励事件明细'!$A$2:$A$501,D3)=0),"异常：事件编号不存在",IF(AND(E3&lt;&gt;"",COUNTIF('激励事件明细'!$B$2:$B$501,E3)=0),"异常：税额批次不存在",IF(M3&gt;F3,"异常：本批次超额缴税",IF(AND(I3&lt;&gt;"",I3&gt;H3),"异常：超过事件截止日",IF(AND(P3&lt;&gt;"",TODAY()&gt;=P3,N3&gt;0),"异常：离职前未缴清","正常"))))))</f>
        <v/>
      </c>
      <c r="R3" s="11" t="n"/>
    </row>
    <row r="4">
      <c r="A4" s="6">
        <f>IF(AND(D4="",E4=""),"",IFERROR(INDEX('激励事件明细'!$C$2:$C$501,IF(D4&lt;&gt;"",MATCH(D4,'激励事件明细'!$A$2:$A$501,0),MATCH(E4,'激励事件明细'!$B$2:$B$501,0))),""))</f>
        <v/>
      </c>
      <c r="B4" s="6">
        <f>IF(A4="","",IFERROR(INDEX('激励事件明细'!$D$2:$D$501,IF(D4&lt;&gt;"",MATCH(D4,'激励事件明细'!$A$2:$A$501,0),MATCH(E4,'激励事件明细'!$B$2:$B$501,0))),""))</f>
        <v/>
      </c>
      <c r="C4" s="6">
        <f>IF(A4="","",IFERROR(INDEX('激励事件明细'!$H$2:$H$501,IF(D4&lt;&gt;"",MATCH(D4,'激励事件明细'!$A$2:$A$501,0),MATCH(E4,'激励事件明细'!$B$2:$B$501,0))),""))</f>
        <v/>
      </c>
      <c r="D4" s="11" t="n"/>
      <c r="E4" s="11" t="n"/>
      <c r="F4" s="14">
        <f>IF(A4="","",IFERROR(INDEX('激励事件明细'!$Z$2:$Z$501,IF(D4&lt;&gt;"",MATCH(D4,'激励事件明细'!$A$2:$A$501,0),MATCH(E4,'激励事件明细'!$B$2:$B$501,0))),""))</f>
        <v/>
      </c>
      <c r="G4" s="16">
        <f>IF(A4="","",IFERROR(INDEX('激励事件明细'!$AA$2:$AA$501,IF(D4&lt;&gt;"",MATCH(D4,'激励事件明细'!$A$2:$A$501,0),MATCH(E4,'激励事件明细'!$B$2:$B$501,0))),""))</f>
        <v/>
      </c>
      <c r="H4" s="16">
        <f>IF(A4="","",IFERROR(INDEX('激励事件明细'!$AB$2:$AB$501,IF(D4&lt;&gt;"",MATCH(D4,'激励事件明细'!$A$2:$A$501,0),MATCH(E4,'激励事件明细'!$B$2:$B$501,0))),""))</f>
        <v/>
      </c>
      <c r="I4" s="12" t="n"/>
      <c r="J4" s="13" t="n"/>
      <c r="K4" s="13" t="n"/>
      <c r="L4" s="11" t="n"/>
      <c r="M4" s="14">
        <f>IF(A4="","",IF(D4&lt;&gt;"",SUMIFS($K$2:$K$501,$D$2:$D$501,D4),SUMIFS($K$2:$K$501,$E$2:$E$501,E4)))</f>
        <v/>
      </c>
      <c r="N4" s="14">
        <f>IF(F4="","",MAX(0,F4-M4))</f>
        <v/>
      </c>
      <c r="O4" s="6">
        <f>IF(A4="","",IF(AND(I4&lt;&gt;"",I4&gt;H4),"是",IF(AND(TODAY()&gt;H4,N4&gt;0),"是","否")))</f>
        <v/>
      </c>
      <c r="P4" s="16">
        <f>IF(A4="","",IFERROR(INDEX('激励事件明细'!$P$2:$P$501,IF(D4&lt;&gt;"",MATCH(D4,'激励事件明细'!$A$2:$A$501,0),MATCH(E4,'激励事件明细'!$B$2:$B$501,0))),""))</f>
        <v/>
      </c>
      <c r="Q4" s="6">
        <f>IF(AND(D4="",E4=""),"异常：必须关联事件编号或税额批次",IF(AND(D4&lt;&gt;"",COUNTIF('激励事件明细'!$A$2:$A$501,D4)=0),"异常：事件编号不存在",IF(AND(E4&lt;&gt;"",COUNTIF('激励事件明细'!$B$2:$B$501,E4)=0),"异常：税额批次不存在",IF(M4&gt;F4,"异常：本批次超额缴税",IF(AND(I4&lt;&gt;"",I4&gt;H4),"异常：超过事件截止日",IF(AND(P4&lt;&gt;"",TODAY()&gt;=P4,N4&gt;0),"异常：离职前未缴清","正常"))))))</f>
        <v/>
      </c>
      <c r="R4" s="11" t="n"/>
    </row>
    <row r="5">
      <c r="A5" s="6">
        <f>IF(AND(D5="",E5=""),"",IFERROR(INDEX('激励事件明细'!$C$2:$C$501,IF(D5&lt;&gt;"",MATCH(D5,'激励事件明细'!$A$2:$A$501,0),MATCH(E5,'激励事件明细'!$B$2:$B$501,0))),""))</f>
        <v/>
      </c>
      <c r="B5" s="6">
        <f>IF(A5="","",IFERROR(INDEX('激励事件明细'!$D$2:$D$501,IF(D5&lt;&gt;"",MATCH(D5,'激励事件明细'!$A$2:$A$501,0),MATCH(E5,'激励事件明细'!$B$2:$B$501,0))),""))</f>
        <v/>
      </c>
      <c r="C5" s="6">
        <f>IF(A5="","",IFERROR(INDEX('激励事件明细'!$H$2:$H$501,IF(D5&lt;&gt;"",MATCH(D5,'激励事件明细'!$A$2:$A$501,0),MATCH(E5,'激励事件明细'!$B$2:$B$501,0))),""))</f>
        <v/>
      </c>
      <c r="D5" s="11" t="n"/>
      <c r="E5" s="11" t="n"/>
      <c r="F5" s="14">
        <f>IF(A5="","",IFERROR(INDEX('激励事件明细'!$Z$2:$Z$501,IF(D5&lt;&gt;"",MATCH(D5,'激励事件明细'!$A$2:$A$501,0),MATCH(E5,'激励事件明细'!$B$2:$B$501,0))),""))</f>
        <v/>
      </c>
      <c r="G5" s="16">
        <f>IF(A5="","",IFERROR(INDEX('激励事件明细'!$AA$2:$AA$501,IF(D5&lt;&gt;"",MATCH(D5,'激励事件明细'!$A$2:$A$501,0),MATCH(E5,'激励事件明细'!$B$2:$B$501,0))),""))</f>
        <v/>
      </c>
      <c r="H5" s="16">
        <f>IF(A5="","",IFERROR(INDEX('激励事件明细'!$AB$2:$AB$501,IF(D5&lt;&gt;"",MATCH(D5,'激励事件明细'!$A$2:$A$501,0),MATCH(E5,'激励事件明细'!$B$2:$B$501,0))),""))</f>
        <v/>
      </c>
      <c r="I5" s="12" t="n"/>
      <c r="J5" s="13" t="n"/>
      <c r="K5" s="13" t="n"/>
      <c r="L5" s="11" t="n"/>
      <c r="M5" s="14">
        <f>IF(A5="","",IF(D5&lt;&gt;"",SUMIFS($K$2:$K$501,$D$2:$D$501,D5),SUMIFS($K$2:$K$501,$E$2:$E$501,E5)))</f>
        <v/>
      </c>
      <c r="N5" s="14">
        <f>IF(F5="","",MAX(0,F5-M5))</f>
        <v/>
      </c>
      <c r="O5" s="6">
        <f>IF(A5="","",IF(AND(I5&lt;&gt;"",I5&gt;H5),"是",IF(AND(TODAY()&gt;H5,N5&gt;0),"是","否")))</f>
        <v/>
      </c>
      <c r="P5" s="16">
        <f>IF(A5="","",IFERROR(INDEX('激励事件明细'!$P$2:$P$501,IF(D5&lt;&gt;"",MATCH(D5,'激励事件明细'!$A$2:$A$501,0),MATCH(E5,'激励事件明细'!$B$2:$B$501,0))),""))</f>
        <v/>
      </c>
      <c r="Q5" s="6">
        <f>IF(AND(D5="",E5=""),"异常：必须关联事件编号或税额批次",IF(AND(D5&lt;&gt;"",COUNTIF('激励事件明细'!$A$2:$A$501,D5)=0),"异常：事件编号不存在",IF(AND(E5&lt;&gt;"",COUNTIF('激励事件明细'!$B$2:$B$501,E5)=0),"异常：税额批次不存在",IF(M5&gt;F5,"异常：本批次超额缴税",IF(AND(I5&lt;&gt;"",I5&gt;H5),"异常：超过事件截止日",IF(AND(P5&lt;&gt;"",TODAY()&gt;=P5,N5&gt;0),"异常：离职前未缴清","正常"))))))</f>
        <v/>
      </c>
      <c r="R5" s="11" t="n"/>
    </row>
    <row r="6">
      <c r="A6" s="6">
        <f>IF(AND(D6="",E6=""),"",IFERROR(INDEX('激励事件明细'!$C$2:$C$501,IF(D6&lt;&gt;"",MATCH(D6,'激励事件明细'!$A$2:$A$501,0),MATCH(E6,'激励事件明细'!$B$2:$B$501,0))),""))</f>
        <v/>
      </c>
      <c r="B6" s="6">
        <f>IF(A6="","",IFERROR(INDEX('激励事件明细'!$D$2:$D$501,IF(D6&lt;&gt;"",MATCH(D6,'激励事件明细'!$A$2:$A$501,0),MATCH(E6,'激励事件明细'!$B$2:$B$501,0))),""))</f>
        <v/>
      </c>
      <c r="C6" s="6">
        <f>IF(A6="","",IFERROR(INDEX('激励事件明细'!$H$2:$H$501,IF(D6&lt;&gt;"",MATCH(D6,'激励事件明细'!$A$2:$A$501,0),MATCH(E6,'激励事件明细'!$B$2:$B$501,0))),""))</f>
        <v/>
      </c>
      <c r="D6" s="11" t="n"/>
      <c r="E6" s="11" t="n"/>
      <c r="F6" s="14">
        <f>IF(A6="","",IFERROR(INDEX('激励事件明细'!$Z$2:$Z$501,IF(D6&lt;&gt;"",MATCH(D6,'激励事件明细'!$A$2:$A$501,0),MATCH(E6,'激励事件明细'!$B$2:$B$501,0))),""))</f>
        <v/>
      </c>
      <c r="G6" s="16">
        <f>IF(A6="","",IFERROR(INDEX('激励事件明细'!$AA$2:$AA$501,IF(D6&lt;&gt;"",MATCH(D6,'激励事件明细'!$A$2:$A$501,0),MATCH(E6,'激励事件明细'!$B$2:$B$501,0))),""))</f>
        <v/>
      </c>
      <c r="H6" s="16">
        <f>IF(A6="","",IFERROR(INDEX('激励事件明细'!$AB$2:$AB$501,IF(D6&lt;&gt;"",MATCH(D6,'激励事件明细'!$A$2:$A$501,0),MATCH(E6,'激励事件明细'!$B$2:$B$501,0))),""))</f>
        <v/>
      </c>
      <c r="I6" s="12" t="n"/>
      <c r="J6" s="13" t="n"/>
      <c r="K6" s="13" t="n"/>
      <c r="L6" s="11" t="n"/>
      <c r="M6" s="14">
        <f>IF(A6="","",IF(D6&lt;&gt;"",SUMIFS($K$2:$K$501,$D$2:$D$501,D6),SUMIFS($K$2:$K$501,$E$2:$E$501,E6)))</f>
        <v/>
      </c>
      <c r="N6" s="14">
        <f>IF(F6="","",MAX(0,F6-M6))</f>
        <v/>
      </c>
      <c r="O6" s="6">
        <f>IF(A6="","",IF(AND(I6&lt;&gt;"",I6&gt;H6),"是",IF(AND(TODAY()&gt;H6,N6&gt;0),"是","否")))</f>
        <v/>
      </c>
      <c r="P6" s="16">
        <f>IF(A6="","",IFERROR(INDEX('激励事件明细'!$P$2:$P$501,IF(D6&lt;&gt;"",MATCH(D6,'激励事件明细'!$A$2:$A$501,0),MATCH(E6,'激励事件明细'!$B$2:$B$501,0))),""))</f>
        <v/>
      </c>
      <c r="Q6" s="6">
        <f>IF(AND(D6="",E6=""),"异常：必须关联事件编号或税额批次",IF(AND(D6&lt;&gt;"",COUNTIF('激励事件明细'!$A$2:$A$501,D6)=0),"异常：事件编号不存在",IF(AND(E6&lt;&gt;"",COUNTIF('激励事件明细'!$B$2:$B$501,E6)=0),"异常：税额批次不存在",IF(M6&gt;F6,"异常：本批次超额缴税",IF(AND(I6&lt;&gt;"",I6&gt;H6),"异常：超过事件截止日",IF(AND(P6&lt;&gt;"",TODAY()&gt;=P6,N6&gt;0),"异常：离职前未缴清","正常"))))))</f>
        <v/>
      </c>
      <c r="R6" s="11" t="n"/>
    </row>
    <row r="7">
      <c r="A7" s="6">
        <f>IF(AND(D7="",E7=""),"",IFERROR(INDEX('激励事件明细'!$C$2:$C$501,IF(D7&lt;&gt;"",MATCH(D7,'激励事件明细'!$A$2:$A$501,0),MATCH(E7,'激励事件明细'!$B$2:$B$501,0))),""))</f>
        <v/>
      </c>
      <c r="B7" s="6">
        <f>IF(A7="","",IFERROR(INDEX('激励事件明细'!$D$2:$D$501,IF(D7&lt;&gt;"",MATCH(D7,'激励事件明细'!$A$2:$A$501,0),MATCH(E7,'激励事件明细'!$B$2:$B$501,0))),""))</f>
        <v/>
      </c>
      <c r="C7" s="6">
        <f>IF(A7="","",IFERROR(INDEX('激励事件明细'!$H$2:$H$501,IF(D7&lt;&gt;"",MATCH(D7,'激励事件明细'!$A$2:$A$501,0),MATCH(E7,'激励事件明细'!$B$2:$B$501,0))),""))</f>
        <v/>
      </c>
      <c r="D7" s="11" t="n"/>
      <c r="E7" s="11" t="n"/>
      <c r="F7" s="14">
        <f>IF(A7="","",IFERROR(INDEX('激励事件明细'!$Z$2:$Z$501,IF(D7&lt;&gt;"",MATCH(D7,'激励事件明细'!$A$2:$A$501,0),MATCH(E7,'激励事件明细'!$B$2:$B$501,0))),""))</f>
        <v/>
      </c>
      <c r="G7" s="16">
        <f>IF(A7="","",IFERROR(INDEX('激励事件明细'!$AA$2:$AA$501,IF(D7&lt;&gt;"",MATCH(D7,'激励事件明细'!$A$2:$A$501,0),MATCH(E7,'激励事件明细'!$B$2:$B$501,0))),""))</f>
        <v/>
      </c>
      <c r="H7" s="16">
        <f>IF(A7="","",IFERROR(INDEX('激励事件明细'!$AB$2:$AB$501,IF(D7&lt;&gt;"",MATCH(D7,'激励事件明细'!$A$2:$A$501,0),MATCH(E7,'激励事件明细'!$B$2:$B$501,0))),""))</f>
        <v/>
      </c>
      <c r="I7" s="12" t="n"/>
      <c r="J7" s="13" t="n"/>
      <c r="K7" s="13" t="n"/>
      <c r="L7" s="11" t="n"/>
      <c r="M7" s="14">
        <f>IF(A7="","",IF(D7&lt;&gt;"",SUMIFS($K$2:$K$501,$D$2:$D$501,D7),SUMIFS($K$2:$K$501,$E$2:$E$501,E7)))</f>
        <v/>
      </c>
      <c r="N7" s="14">
        <f>IF(F7="","",MAX(0,F7-M7))</f>
        <v/>
      </c>
      <c r="O7" s="6">
        <f>IF(A7="","",IF(AND(I7&lt;&gt;"",I7&gt;H7),"是",IF(AND(TODAY()&gt;H7,N7&gt;0),"是","否")))</f>
        <v/>
      </c>
      <c r="P7" s="16">
        <f>IF(A7="","",IFERROR(INDEX('激励事件明细'!$P$2:$P$501,IF(D7&lt;&gt;"",MATCH(D7,'激励事件明细'!$A$2:$A$501,0),MATCH(E7,'激励事件明细'!$B$2:$B$501,0))),""))</f>
        <v/>
      </c>
      <c r="Q7" s="6">
        <f>IF(AND(D7="",E7=""),"异常：必须关联事件编号或税额批次",IF(AND(D7&lt;&gt;"",COUNTIF('激励事件明细'!$A$2:$A$501,D7)=0),"异常：事件编号不存在",IF(AND(E7&lt;&gt;"",COUNTIF('激励事件明细'!$B$2:$B$501,E7)=0),"异常：税额批次不存在",IF(M7&gt;F7,"异常：本批次超额缴税",IF(AND(I7&lt;&gt;"",I7&gt;H7),"异常：超过事件截止日",IF(AND(P7&lt;&gt;"",TODAY()&gt;=P7,N7&gt;0),"异常：离职前未缴清","正常"))))))</f>
        <v/>
      </c>
      <c r="R7" s="11" t="n"/>
    </row>
    <row r="8">
      <c r="A8" s="6">
        <f>IF(AND(D8="",E8=""),"",IFERROR(INDEX('激励事件明细'!$C$2:$C$501,IF(D8&lt;&gt;"",MATCH(D8,'激励事件明细'!$A$2:$A$501,0),MATCH(E8,'激励事件明细'!$B$2:$B$501,0))),""))</f>
        <v/>
      </c>
      <c r="B8" s="6">
        <f>IF(A8="","",IFERROR(INDEX('激励事件明细'!$D$2:$D$501,IF(D8&lt;&gt;"",MATCH(D8,'激励事件明细'!$A$2:$A$501,0),MATCH(E8,'激励事件明细'!$B$2:$B$501,0))),""))</f>
        <v/>
      </c>
      <c r="C8" s="6">
        <f>IF(A8="","",IFERROR(INDEX('激励事件明细'!$H$2:$H$501,IF(D8&lt;&gt;"",MATCH(D8,'激励事件明细'!$A$2:$A$501,0),MATCH(E8,'激励事件明细'!$B$2:$B$501,0))),""))</f>
        <v/>
      </c>
      <c r="D8" s="11" t="n"/>
      <c r="E8" s="11" t="n"/>
      <c r="F8" s="14">
        <f>IF(A8="","",IFERROR(INDEX('激励事件明细'!$Z$2:$Z$501,IF(D8&lt;&gt;"",MATCH(D8,'激励事件明细'!$A$2:$A$501,0),MATCH(E8,'激励事件明细'!$B$2:$B$501,0))),""))</f>
        <v/>
      </c>
      <c r="G8" s="16">
        <f>IF(A8="","",IFERROR(INDEX('激励事件明细'!$AA$2:$AA$501,IF(D8&lt;&gt;"",MATCH(D8,'激励事件明细'!$A$2:$A$501,0),MATCH(E8,'激励事件明细'!$B$2:$B$501,0))),""))</f>
        <v/>
      </c>
      <c r="H8" s="16">
        <f>IF(A8="","",IFERROR(INDEX('激励事件明细'!$AB$2:$AB$501,IF(D8&lt;&gt;"",MATCH(D8,'激励事件明细'!$A$2:$A$501,0),MATCH(E8,'激励事件明细'!$B$2:$B$501,0))),""))</f>
        <v/>
      </c>
      <c r="I8" s="12" t="n"/>
      <c r="J8" s="13" t="n"/>
      <c r="K8" s="13" t="n"/>
      <c r="L8" s="11" t="n"/>
      <c r="M8" s="14">
        <f>IF(A8="","",IF(D8&lt;&gt;"",SUMIFS($K$2:$K$501,$D$2:$D$501,D8),SUMIFS($K$2:$K$501,$E$2:$E$501,E8)))</f>
        <v/>
      </c>
      <c r="N8" s="14">
        <f>IF(F8="","",MAX(0,F8-M8))</f>
        <v/>
      </c>
      <c r="O8" s="6">
        <f>IF(A8="","",IF(AND(I8&lt;&gt;"",I8&gt;H8),"是",IF(AND(TODAY()&gt;H8,N8&gt;0),"是","否")))</f>
        <v/>
      </c>
      <c r="P8" s="16">
        <f>IF(A8="","",IFERROR(INDEX('激励事件明细'!$P$2:$P$501,IF(D8&lt;&gt;"",MATCH(D8,'激励事件明细'!$A$2:$A$501,0),MATCH(E8,'激励事件明细'!$B$2:$B$501,0))),""))</f>
        <v/>
      </c>
      <c r="Q8" s="6">
        <f>IF(AND(D8="",E8=""),"异常：必须关联事件编号或税额批次",IF(AND(D8&lt;&gt;"",COUNTIF('激励事件明细'!$A$2:$A$501,D8)=0),"异常：事件编号不存在",IF(AND(E8&lt;&gt;"",COUNTIF('激励事件明细'!$B$2:$B$501,E8)=0),"异常：税额批次不存在",IF(M8&gt;F8,"异常：本批次超额缴税",IF(AND(I8&lt;&gt;"",I8&gt;H8),"异常：超过事件截止日",IF(AND(P8&lt;&gt;"",TODAY()&gt;=P8,N8&gt;0),"异常：离职前未缴清","正常"))))))</f>
        <v/>
      </c>
      <c r="R8" s="11" t="n"/>
    </row>
    <row r="9">
      <c r="A9" s="6">
        <f>IF(AND(D9="",E9=""),"",IFERROR(INDEX('激励事件明细'!$C$2:$C$501,IF(D9&lt;&gt;"",MATCH(D9,'激励事件明细'!$A$2:$A$501,0),MATCH(E9,'激励事件明细'!$B$2:$B$501,0))),""))</f>
        <v/>
      </c>
      <c r="B9" s="6">
        <f>IF(A9="","",IFERROR(INDEX('激励事件明细'!$D$2:$D$501,IF(D9&lt;&gt;"",MATCH(D9,'激励事件明细'!$A$2:$A$501,0),MATCH(E9,'激励事件明细'!$B$2:$B$501,0))),""))</f>
        <v/>
      </c>
      <c r="C9" s="6">
        <f>IF(A9="","",IFERROR(INDEX('激励事件明细'!$H$2:$H$501,IF(D9&lt;&gt;"",MATCH(D9,'激励事件明细'!$A$2:$A$501,0),MATCH(E9,'激励事件明细'!$B$2:$B$501,0))),""))</f>
        <v/>
      </c>
      <c r="D9" s="11" t="n"/>
      <c r="E9" s="11" t="n"/>
      <c r="F9" s="14">
        <f>IF(A9="","",IFERROR(INDEX('激励事件明细'!$Z$2:$Z$501,IF(D9&lt;&gt;"",MATCH(D9,'激励事件明细'!$A$2:$A$501,0),MATCH(E9,'激励事件明细'!$B$2:$B$501,0))),""))</f>
        <v/>
      </c>
      <c r="G9" s="16">
        <f>IF(A9="","",IFERROR(INDEX('激励事件明细'!$AA$2:$AA$501,IF(D9&lt;&gt;"",MATCH(D9,'激励事件明细'!$A$2:$A$501,0),MATCH(E9,'激励事件明细'!$B$2:$B$501,0))),""))</f>
        <v/>
      </c>
      <c r="H9" s="16">
        <f>IF(A9="","",IFERROR(INDEX('激励事件明细'!$AB$2:$AB$501,IF(D9&lt;&gt;"",MATCH(D9,'激励事件明细'!$A$2:$A$501,0),MATCH(E9,'激励事件明细'!$B$2:$B$501,0))),""))</f>
        <v/>
      </c>
      <c r="I9" s="12" t="n"/>
      <c r="J9" s="13" t="n"/>
      <c r="K9" s="13" t="n"/>
      <c r="L9" s="11" t="n"/>
      <c r="M9" s="14">
        <f>IF(A9="","",IF(D9&lt;&gt;"",SUMIFS($K$2:$K$501,$D$2:$D$501,D9),SUMIFS($K$2:$K$501,$E$2:$E$501,E9)))</f>
        <v/>
      </c>
      <c r="N9" s="14">
        <f>IF(F9="","",MAX(0,F9-M9))</f>
        <v/>
      </c>
      <c r="O9" s="6">
        <f>IF(A9="","",IF(AND(I9&lt;&gt;"",I9&gt;H9),"是",IF(AND(TODAY()&gt;H9,N9&gt;0),"是","否")))</f>
        <v/>
      </c>
      <c r="P9" s="16">
        <f>IF(A9="","",IFERROR(INDEX('激励事件明细'!$P$2:$P$501,IF(D9&lt;&gt;"",MATCH(D9,'激励事件明细'!$A$2:$A$501,0),MATCH(E9,'激励事件明细'!$B$2:$B$501,0))),""))</f>
        <v/>
      </c>
      <c r="Q9" s="6">
        <f>IF(AND(D9="",E9=""),"异常：必须关联事件编号或税额批次",IF(AND(D9&lt;&gt;"",COUNTIF('激励事件明细'!$A$2:$A$501,D9)=0),"异常：事件编号不存在",IF(AND(E9&lt;&gt;"",COUNTIF('激励事件明细'!$B$2:$B$501,E9)=0),"异常：税额批次不存在",IF(M9&gt;F9,"异常：本批次超额缴税",IF(AND(I9&lt;&gt;"",I9&gt;H9),"异常：超过事件截止日",IF(AND(P9&lt;&gt;"",TODAY()&gt;=P9,N9&gt;0),"异常：离职前未缴清","正常"))))))</f>
        <v/>
      </c>
      <c r="R9" s="11" t="n"/>
    </row>
    <row r="10">
      <c r="A10" s="6">
        <f>IF(AND(D10="",E10=""),"",IFERROR(INDEX('激励事件明细'!$C$2:$C$501,IF(D10&lt;&gt;"",MATCH(D10,'激励事件明细'!$A$2:$A$501,0),MATCH(E10,'激励事件明细'!$B$2:$B$501,0))),""))</f>
        <v/>
      </c>
      <c r="B10" s="6">
        <f>IF(A10="","",IFERROR(INDEX('激励事件明细'!$D$2:$D$501,IF(D10&lt;&gt;"",MATCH(D10,'激励事件明细'!$A$2:$A$501,0),MATCH(E10,'激励事件明细'!$B$2:$B$501,0))),""))</f>
        <v/>
      </c>
      <c r="C10" s="6">
        <f>IF(A10="","",IFERROR(INDEX('激励事件明细'!$H$2:$H$501,IF(D10&lt;&gt;"",MATCH(D10,'激励事件明细'!$A$2:$A$501,0),MATCH(E10,'激励事件明细'!$B$2:$B$501,0))),""))</f>
        <v/>
      </c>
      <c r="D10" s="11" t="n"/>
      <c r="E10" s="11" t="n"/>
      <c r="F10" s="14">
        <f>IF(A10="","",IFERROR(INDEX('激励事件明细'!$Z$2:$Z$501,IF(D10&lt;&gt;"",MATCH(D10,'激励事件明细'!$A$2:$A$501,0),MATCH(E10,'激励事件明细'!$B$2:$B$501,0))),""))</f>
        <v/>
      </c>
      <c r="G10" s="16">
        <f>IF(A10="","",IFERROR(INDEX('激励事件明细'!$AA$2:$AA$501,IF(D10&lt;&gt;"",MATCH(D10,'激励事件明细'!$A$2:$A$501,0),MATCH(E10,'激励事件明细'!$B$2:$B$501,0))),""))</f>
        <v/>
      </c>
      <c r="H10" s="16">
        <f>IF(A10="","",IFERROR(INDEX('激励事件明细'!$AB$2:$AB$501,IF(D10&lt;&gt;"",MATCH(D10,'激励事件明细'!$A$2:$A$501,0),MATCH(E10,'激励事件明细'!$B$2:$B$501,0))),""))</f>
        <v/>
      </c>
      <c r="I10" s="12" t="n"/>
      <c r="J10" s="13" t="n"/>
      <c r="K10" s="13" t="n"/>
      <c r="L10" s="11" t="n"/>
      <c r="M10" s="14">
        <f>IF(A10="","",IF(D10&lt;&gt;"",SUMIFS($K$2:$K$501,$D$2:$D$501,D10),SUMIFS($K$2:$K$501,$E$2:$E$501,E10)))</f>
        <v/>
      </c>
      <c r="N10" s="14">
        <f>IF(F10="","",MAX(0,F10-M10))</f>
        <v/>
      </c>
      <c r="O10" s="6">
        <f>IF(A10="","",IF(AND(I10&lt;&gt;"",I10&gt;H10),"是",IF(AND(TODAY()&gt;H10,N10&gt;0),"是","否")))</f>
        <v/>
      </c>
      <c r="P10" s="16">
        <f>IF(A10="","",IFERROR(INDEX('激励事件明细'!$P$2:$P$501,IF(D10&lt;&gt;"",MATCH(D10,'激励事件明细'!$A$2:$A$501,0),MATCH(E10,'激励事件明细'!$B$2:$B$501,0))),""))</f>
        <v/>
      </c>
      <c r="Q10" s="6">
        <f>IF(AND(D10="",E10=""),"异常：必须关联事件编号或税额批次",IF(AND(D10&lt;&gt;"",COUNTIF('激励事件明细'!$A$2:$A$501,D10)=0),"异常：事件编号不存在",IF(AND(E10&lt;&gt;"",COUNTIF('激励事件明细'!$B$2:$B$501,E10)=0),"异常：税额批次不存在",IF(M10&gt;F10,"异常：本批次超额缴税",IF(AND(I10&lt;&gt;"",I10&gt;H10),"异常：超过事件截止日",IF(AND(P10&lt;&gt;"",TODAY()&gt;=P10,N10&gt;0),"异常：离职前未缴清","正常"))))))</f>
        <v/>
      </c>
      <c r="R10" s="11" t="n"/>
    </row>
    <row r="11">
      <c r="A11" s="6">
        <f>IF(AND(D11="",E11=""),"",IFERROR(INDEX('激励事件明细'!$C$2:$C$501,IF(D11&lt;&gt;"",MATCH(D11,'激励事件明细'!$A$2:$A$501,0),MATCH(E11,'激励事件明细'!$B$2:$B$501,0))),""))</f>
        <v/>
      </c>
      <c r="B11" s="6">
        <f>IF(A11="","",IFERROR(INDEX('激励事件明细'!$D$2:$D$501,IF(D11&lt;&gt;"",MATCH(D11,'激励事件明细'!$A$2:$A$501,0),MATCH(E11,'激励事件明细'!$B$2:$B$501,0))),""))</f>
        <v/>
      </c>
      <c r="C11" s="6">
        <f>IF(A11="","",IFERROR(INDEX('激励事件明细'!$H$2:$H$501,IF(D11&lt;&gt;"",MATCH(D11,'激励事件明细'!$A$2:$A$501,0),MATCH(E11,'激励事件明细'!$B$2:$B$501,0))),""))</f>
        <v/>
      </c>
      <c r="D11" s="11" t="n"/>
      <c r="E11" s="11" t="n"/>
      <c r="F11" s="14">
        <f>IF(A11="","",IFERROR(INDEX('激励事件明细'!$Z$2:$Z$501,IF(D11&lt;&gt;"",MATCH(D11,'激励事件明细'!$A$2:$A$501,0),MATCH(E11,'激励事件明细'!$B$2:$B$501,0))),""))</f>
        <v/>
      </c>
      <c r="G11" s="16">
        <f>IF(A11="","",IFERROR(INDEX('激励事件明细'!$AA$2:$AA$501,IF(D11&lt;&gt;"",MATCH(D11,'激励事件明细'!$A$2:$A$501,0),MATCH(E11,'激励事件明细'!$B$2:$B$501,0))),""))</f>
        <v/>
      </c>
      <c r="H11" s="16">
        <f>IF(A11="","",IFERROR(INDEX('激励事件明细'!$AB$2:$AB$501,IF(D11&lt;&gt;"",MATCH(D11,'激励事件明细'!$A$2:$A$501,0),MATCH(E11,'激励事件明细'!$B$2:$B$501,0))),""))</f>
        <v/>
      </c>
      <c r="I11" s="12" t="n"/>
      <c r="J11" s="13" t="n"/>
      <c r="K11" s="13" t="n"/>
      <c r="L11" s="11" t="n"/>
      <c r="M11" s="14">
        <f>IF(A11="","",IF(D11&lt;&gt;"",SUMIFS($K$2:$K$501,$D$2:$D$501,D11),SUMIFS($K$2:$K$501,$E$2:$E$501,E11)))</f>
        <v/>
      </c>
      <c r="N11" s="14">
        <f>IF(F11="","",MAX(0,F11-M11))</f>
        <v/>
      </c>
      <c r="O11" s="6">
        <f>IF(A11="","",IF(AND(I11&lt;&gt;"",I11&gt;H11),"是",IF(AND(TODAY()&gt;H11,N11&gt;0),"是","否")))</f>
        <v/>
      </c>
      <c r="P11" s="16">
        <f>IF(A11="","",IFERROR(INDEX('激励事件明细'!$P$2:$P$501,IF(D11&lt;&gt;"",MATCH(D11,'激励事件明细'!$A$2:$A$501,0),MATCH(E11,'激励事件明细'!$B$2:$B$501,0))),""))</f>
        <v/>
      </c>
      <c r="Q11" s="6">
        <f>IF(AND(D11="",E11=""),"异常：必须关联事件编号或税额批次",IF(AND(D11&lt;&gt;"",COUNTIF('激励事件明细'!$A$2:$A$501,D11)=0),"异常：事件编号不存在",IF(AND(E11&lt;&gt;"",COUNTIF('激励事件明细'!$B$2:$B$501,E11)=0),"异常：税额批次不存在",IF(M11&gt;F11,"异常：本批次超额缴税",IF(AND(I11&lt;&gt;"",I11&gt;H11),"异常：超过事件截止日",IF(AND(P11&lt;&gt;"",TODAY()&gt;=P11,N11&gt;0),"异常：离职前未缴清","正常"))))))</f>
        <v/>
      </c>
      <c r="R11" s="11" t="n"/>
    </row>
    <row r="12">
      <c r="A12" s="6">
        <f>IF(AND(D12="",E12=""),"",IFERROR(INDEX('激励事件明细'!$C$2:$C$501,IF(D12&lt;&gt;"",MATCH(D12,'激励事件明细'!$A$2:$A$501,0),MATCH(E12,'激励事件明细'!$B$2:$B$501,0))),""))</f>
        <v/>
      </c>
      <c r="B12" s="6">
        <f>IF(A12="","",IFERROR(INDEX('激励事件明细'!$D$2:$D$501,IF(D12&lt;&gt;"",MATCH(D12,'激励事件明细'!$A$2:$A$501,0),MATCH(E12,'激励事件明细'!$B$2:$B$501,0))),""))</f>
        <v/>
      </c>
      <c r="C12" s="6">
        <f>IF(A12="","",IFERROR(INDEX('激励事件明细'!$H$2:$H$501,IF(D12&lt;&gt;"",MATCH(D12,'激励事件明细'!$A$2:$A$501,0),MATCH(E12,'激励事件明细'!$B$2:$B$501,0))),""))</f>
        <v/>
      </c>
      <c r="D12" s="11" t="n"/>
      <c r="E12" s="11" t="n"/>
      <c r="F12" s="14">
        <f>IF(A12="","",IFERROR(INDEX('激励事件明细'!$Z$2:$Z$501,IF(D12&lt;&gt;"",MATCH(D12,'激励事件明细'!$A$2:$A$501,0),MATCH(E12,'激励事件明细'!$B$2:$B$501,0))),""))</f>
        <v/>
      </c>
      <c r="G12" s="16">
        <f>IF(A12="","",IFERROR(INDEX('激励事件明细'!$AA$2:$AA$501,IF(D12&lt;&gt;"",MATCH(D12,'激励事件明细'!$A$2:$A$501,0),MATCH(E12,'激励事件明细'!$B$2:$B$501,0))),""))</f>
        <v/>
      </c>
      <c r="H12" s="16">
        <f>IF(A12="","",IFERROR(INDEX('激励事件明细'!$AB$2:$AB$501,IF(D12&lt;&gt;"",MATCH(D12,'激励事件明细'!$A$2:$A$501,0),MATCH(E12,'激励事件明细'!$B$2:$B$501,0))),""))</f>
        <v/>
      </c>
      <c r="I12" s="12" t="n"/>
      <c r="J12" s="13" t="n"/>
      <c r="K12" s="13" t="n"/>
      <c r="L12" s="11" t="n"/>
      <c r="M12" s="14">
        <f>IF(A12="","",IF(D12&lt;&gt;"",SUMIFS($K$2:$K$501,$D$2:$D$501,D12),SUMIFS($K$2:$K$501,$E$2:$E$501,E12)))</f>
        <v/>
      </c>
      <c r="N12" s="14">
        <f>IF(F12="","",MAX(0,F12-M12))</f>
        <v/>
      </c>
      <c r="O12" s="6">
        <f>IF(A12="","",IF(AND(I12&lt;&gt;"",I12&gt;H12),"是",IF(AND(TODAY()&gt;H12,N12&gt;0),"是","否")))</f>
        <v/>
      </c>
      <c r="P12" s="16">
        <f>IF(A12="","",IFERROR(INDEX('激励事件明细'!$P$2:$P$501,IF(D12&lt;&gt;"",MATCH(D12,'激励事件明细'!$A$2:$A$501,0),MATCH(E12,'激励事件明细'!$B$2:$B$501,0))),""))</f>
        <v/>
      </c>
      <c r="Q12" s="6">
        <f>IF(AND(D12="",E12=""),"异常：必须关联事件编号或税额批次",IF(AND(D12&lt;&gt;"",COUNTIF('激励事件明细'!$A$2:$A$501,D12)=0),"异常：事件编号不存在",IF(AND(E12&lt;&gt;"",COUNTIF('激励事件明细'!$B$2:$B$501,E12)=0),"异常：税额批次不存在",IF(M12&gt;F12,"异常：本批次超额缴税",IF(AND(I12&lt;&gt;"",I12&gt;H12),"异常：超过事件截止日",IF(AND(P12&lt;&gt;"",TODAY()&gt;=P12,N12&gt;0),"异常：离职前未缴清","正常"))))))</f>
        <v/>
      </c>
      <c r="R12" s="11" t="n"/>
    </row>
    <row r="13">
      <c r="A13" s="6">
        <f>IF(AND(D13="",E13=""),"",IFERROR(INDEX('激励事件明细'!$C$2:$C$501,IF(D13&lt;&gt;"",MATCH(D13,'激励事件明细'!$A$2:$A$501,0),MATCH(E13,'激励事件明细'!$B$2:$B$501,0))),""))</f>
        <v/>
      </c>
      <c r="B13" s="6">
        <f>IF(A13="","",IFERROR(INDEX('激励事件明细'!$D$2:$D$501,IF(D13&lt;&gt;"",MATCH(D13,'激励事件明细'!$A$2:$A$501,0),MATCH(E13,'激励事件明细'!$B$2:$B$501,0))),""))</f>
        <v/>
      </c>
      <c r="C13" s="6">
        <f>IF(A13="","",IFERROR(INDEX('激励事件明细'!$H$2:$H$501,IF(D13&lt;&gt;"",MATCH(D13,'激励事件明细'!$A$2:$A$501,0),MATCH(E13,'激励事件明细'!$B$2:$B$501,0))),""))</f>
        <v/>
      </c>
      <c r="D13" s="11" t="n"/>
      <c r="E13" s="11" t="n"/>
      <c r="F13" s="14">
        <f>IF(A13="","",IFERROR(INDEX('激励事件明细'!$Z$2:$Z$501,IF(D13&lt;&gt;"",MATCH(D13,'激励事件明细'!$A$2:$A$501,0),MATCH(E13,'激励事件明细'!$B$2:$B$501,0))),""))</f>
        <v/>
      </c>
      <c r="G13" s="16">
        <f>IF(A13="","",IFERROR(INDEX('激励事件明细'!$AA$2:$AA$501,IF(D13&lt;&gt;"",MATCH(D13,'激励事件明细'!$A$2:$A$501,0),MATCH(E13,'激励事件明细'!$B$2:$B$501,0))),""))</f>
        <v/>
      </c>
      <c r="H13" s="16">
        <f>IF(A13="","",IFERROR(INDEX('激励事件明细'!$AB$2:$AB$501,IF(D13&lt;&gt;"",MATCH(D13,'激励事件明细'!$A$2:$A$501,0),MATCH(E13,'激励事件明细'!$B$2:$B$501,0))),""))</f>
        <v/>
      </c>
      <c r="I13" s="12" t="n"/>
      <c r="J13" s="13" t="n"/>
      <c r="K13" s="13" t="n"/>
      <c r="L13" s="11" t="n"/>
      <c r="M13" s="14">
        <f>IF(A13="","",IF(D13&lt;&gt;"",SUMIFS($K$2:$K$501,$D$2:$D$501,D13),SUMIFS($K$2:$K$501,$E$2:$E$501,E13)))</f>
        <v/>
      </c>
      <c r="N13" s="14">
        <f>IF(F13="","",MAX(0,F13-M13))</f>
        <v/>
      </c>
      <c r="O13" s="6">
        <f>IF(A13="","",IF(AND(I13&lt;&gt;"",I13&gt;H13),"是",IF(AND(TODAY()&gt;H13,N13&gt;0),"是","否")))</f>
        <v/>
      </c>
      <c r="P13" s="16">
        <f>IF(A13="","",IFERROR(INDEX('激励事件明细'!$P$2:$P$501,IF(D13&lt;&gt;"",MATCH(D13,'激励事件明细'!$A$2:$A$501,0),MATCH(E13,'激励事件明细'!$B$2:$B$501,0))),""))</f>
        <v/>
      </c>
      <c r="Q13" s="6">
        <f>IF(AND(D13="",E13=""),"异常：必须关联事件编号或税额批次",IF(AND(D13&lt;&gt;"",COUNTIF('激励事件明细'!$A$2:$A$501,D13)=0),"异常：事件编号不存在",IF(AND(E13&lt;&gt;"",COUNTIF('激励事件明细'!$B$2:$B$501,E13)=0),"异常：税额批次不存在",IF(M13&gt;F13,"异常：本批次超额缴税",IF(AND(I13&lt;&gt;"",I13&gt;H13),"异常：超过事件截止日",IF(AND(P13&lt;&gt;"",TODAY()&gt;=P13,N13&gt;0),"异常：离职前未缴清","正常"))))))</f>
        <v/>
      </c>
      <c r="R13" s="11" t="n"/>
    </row>
    <row r="14">
      <c r="A14" s="6">
        <f>IF(AND(D14="",E14=""),"",IFERROR(INDEX('激励事件明细'!$C$2:$C$501,IF(D14&lt;&gt;"",MATCH(D14,'激励事件明细'!$A$2:$A$501,0),MATCH(E14,'激励事件明细'!$B$2:$B$501,0))),""))</f>
        <v/>
      </c>
      <c r="B14" s="6">
        <f>IF(A14="","",IFERROR(INDEX('激励事件明细'!$D$2:$D$501,IF(D14&lt;&gt;"",MATCH(D14,'激励事件明细'!$A$2:$A$501,0),MATCH(E14,'激励事件明细'!$B$2:$B$501,0))),""))</f>
        <v/>
      </c>
      <c r="C14" s="6">
        <f>IF(A14="","",IFERROR(INDEX('激励事件明细'!$H$2:$H$501,IF(D14&lt;&gt;"",MATCH(D14,'激励事件明细'!$A$2:$A$501,0),MATCH(E14,'激励事件明细'!$B$2:$B$501,0))),""))</f>
        <v/>
      </c>
      <c r="D14" s="11" t="n"/>
      <c r="E14" s="11" t="n"/>
      <c r="F14" s="14">
        <f>IF(A14="","",IFERROR(INDEX('激励事件明细'!$Z$2:$Z$501,IF(D14&lt;&gt;"",MATCH(D14,'激励事件明细'!$A$2:$A$501,0),MATCH(E14,'激励事件明细'!$B$2:$B$501,0))),""))</f>
        <v/>
      </c>
      <c r="G14" s="16">
        <f>IF(A14="","",IFERROR(INDEX('激励事件明细'!$AA$2:$AA$501,IF(D14&lt;&gt;"",MATCH(D14,'激励事件明细'!$A$2:$A$501,0),MATCH(E14,'激励事件明细'!$B$2:$B$501,0))),""))</f>
        <v/>
      </c>
      <c r="H14" s="16">
        <f>IF(A14="","",IFERROR(INDEX('激励事件明细'!$AB$2:$AB$501,IF(D14&lt;&gt;"",MATCH(D14,'激励事件明细'!$A$2:$A$501,0),MATCH(E14,'激励事件明细'!$B$2:$B$501,0))),""))</f>
        <v/>
      </c>
      <c r="I14" s="12" t="n"/>
      <c r="J14" s="13" t="n"/>
      <c r="K14" s="13" t="n"/>
      <c r="L14" s="11" t="n"/>
      <c r="M14" s="14">
        <f>IF(A14="","",IF(D14&lt;&gt;"",SUMIFS($K$2:$K$501,$D$2:$D$501,D14),SUMIFS($K$2:$K$501,$E$2:$E$501,E14)))</f>
        <v/>
      </c>
      <c r="N14" s="14">
        <f>IF(F14="","",MAX(0,F14-M14))</f>
        <v/>
      </c>
      <c r="O14" s="6">
        <f>IF(A14="","",IF(AND(I14&lt;&gt;"",I14&gt;H14),"是",IF(AND(TODAY()&gt;H14,N14&gt;0),"是","否")))</f>
        <v/>
      </c>
      <c r="P14" s="16">
        <f>IF(A14="","",IFERROR(INDEX('激励事件明细'!$P$2:$P$501,IF(D14&lt;&gt;"",MATCH(D14,'激励事件明细'!$A$2:$A$501,0),MATCH(E14,'激励事件明细'!$B$2:$B$501,0))),""))</f>
        <v/>
      </c>
      <c r="Q14" s="6">
        <f>IF(AND(D14="",E14=""),"异常：必须关联事件编号或税额批次",IF(AND(D14&lt;&gt;"",COUNTIF('激励事件明细'!$A$2:$A$501,D14)=0),"异常：事件编号不存在",IF(AND(E14&lt;&gt;"",COUNTIF('激励事件明细'!$B$2:$B$501,E14)=0),"异常：税额批次不存在",IF(M14&gt;F14,"异常：本批次超额缴税",IF(AND(I14&lt;&gt;"",I14&gt;H14),"异常：超过事件截止日",IF(AND(P14&lt;&gt;"",TODAY()&gt;=P14,N14&gt;0),"异常：离职前未缴清","正常"))))))</f>
        <v/>
      </c>
      <c r="R14" s="11" t="n"/>
    </row>
    <row r="15">
      <c r="A15" s="6">
        <f>IF(AND(D15="",E15=""),"",IFERROR(INDEX('激励事件明细'!$C$2:$C$501,IF(D15&lt;&gt;"",MATCH(D15,'激励事件明细'!$A$2:$A$501,0),MATCH(E15,'激励事件明细'!$B$2:$B$501,0))),""))</f>
        <v/>
      </c>
      <c r="B15" s="6">
        <f>IF(A15="","",IFERROR(INDEX('激励事件明细'!$D$2:$D$501,IF(D15&lt;&gt;"",MATCH(D15,'激励事件明细'!$A$2:$A$501,0),MATCH(E15,'激励事件明细'!$B$2:$B$501,0))),""))</f>
        <v/>
      </c>
      <c r="C15" s="6">
        <f>IF(A15="","",IFERROR(INDEX('激励事件明细'!$H$2:$H$501,IF(D15&lt;&gt;"",MATCH(D15,'激励事件明细'!$A$2:$A$501,0),MATCH(E15,'激励事件明细'!$B$2:$B$501,0))),""))</f>
        <v/>
      </c>
      <c r="D15" s="11" t="n"/>
      <c r="E15" s="11" t="n"/>
      <c r="F15" s="14">
        <f>IF(A15="","",IFERROR(INDEX('激励事件明细'!$Z$2:$Z$501,IF(D15&lt;&gt;"",MATCH(D15,'激励事件明细'!$A$2:$A$501,0),MATCH(E15,'激励事件明细'!$B$2:$B$501,0))),""))</f>
        <v/>
      </c>
      <c r="G15" s="16">
        <f>IF(A15="","",IFERROR(INDEX('激励事件明细'!$AA$2:$AA$501,IF(D15&lt;&gt;"",MATCH(D15,'激励事件明细'!$A$2:$A$501,0),MATCH(E15,'激励事件明细'!$B$2:$B$501,0))),""))</f>
        <v/>
      </c>
      <c r="H15" s="16">
        <f>IF(A15="","",IFERROR(INDEX('激励事件明细'!$AB$2:$AB$501,IF(D15&lt;&gt;"",MATCH(D15,'激励事件明细'!$A$2:$A$501,0),MATCH(E15,'激励事件明细'!$B$2:$B$501,0))),""))</f>
        <v/>
      </c>
      <c r="I15" s="12" t="n"/>
      <c r="J15" s="13" t="n"/>
      <c r="K15" s="13" t="n"/>
      <c r="L15" s="11" t="n"/>
      <c r="M15" s="14">
        <f>IF(A15="","",IF(D15&lt;&gt;"",SUMIFS($K$2:$K$501,$D$2:$D$501,D15),SUMIFS($K$2:$K$501,$E$2:$E$501,E15)))</f>
        <v/>
      </c>
      <c r="N15" s="14">
        <f>IF(F15="","",MAX(0,F15-M15))</f>
        <v/>
      </c>
      <c r="O15" s="6">
        <f>IF(A15="","",IF(AND(I15&lt;&gt;"",I15&gt;H15),"是",IF(AND(TODAY()&gt;H15,N15&gt;0),"是","否")))</f>
        <v/>
      </c>
      <c r="P15" s="16">
        <f>IF(A15="","",IFERROR(INDEX('激励事件明细'!$P$2:$P$501,IF(D15&lt;&gt;"",MATCH(D15,'激励事件明细'!$A$2:$A$501,0),MATCH(E15,'激励事件明细'!$B$2:$B$501,0))),""))</f>
        <v/>
      </c>
      <c r="Q15" s="6">
        <f>IF(AND(D15="",E15=""),"异常：必须关联事件编号或税额批次",IF(AND(D15&lt;&gt;"",COUNTIF('激励事件明细'!$A$2:$A$501,D15)=0),"异常：事件编号不存在",IF(AND(E15&lt;&gt;"",COUNTIF('激励事件明细'!$B$2:$B$501,E15)=0),"异常：税额批次不存在",IF(M15&gt;F15,"异常：本批次超额缴税",IF(AND(I15&lt;&gt;"",I15&gt;H15),"异常：超过事件截止日",IF(AND(P15&lt;&gt;"",TODAY()&gt;=P15,N15&gt;0),"异常：离职前未缴清","正常"))))))</f>
        <v/>
      </c>
      <c r="R15" s="11" t="n"/>
    </row>
    <row r="16">
      <c r="A16" s="6">
        <f>IF(AND(D16="",E16=""),"",IFERROR(INDEX('激励事件明细'!$C$2:$C$501,IF(D16&lt;&gt;"",MATCH(D16,'激励事件明细'!$A$2:$A$501,0),MATCH(E16,'激励事件明细'!$B$2:$B$501,0))),""))</f>
        <v/>
      </c>
      <c r="B16" s="6">
        <f>IF(A16="","",IFERROR(INDEX('激励事件明细'!$D$2:$D$501,IF(D16&lt;&gt;"",MATCH(D16,'激励事件明细'!$A$2:$A$501,0),MATCH(E16,'激励事件明细'!$B$2:$B$501,0))),""))</f>
        <v/>
      </c>
      <c r="C16" s="6">
        <f>IF(A16="","",IFERROR(INDEX('激励事件明细'!$H$2:$H$501,IF(D16&lt;&gt;"",MATCH(D16,'激励事件明细'!$A$2:$A$501,0),MATCH(E16,'激励事件明细'!$B$2:$B$501,0))),""))</f>
        <v/>
      </c>
      <c r="D16" s="11" t="n"/>
      <c r="E16" s="11" t="n"/>
      <c r="F16" s="14">
        <f>IF(A16="","",IFERROR(INDEX('激励事件明细'!$Z$2:$Z$501,IF(D16&lt;&gt;"",MATCH(D16,'激励事件明细'!$A$2:$A$501,0),MATCH(E16,'激励事件明细'!$B$2:$B$501,0))),""))</f>
        <v/>
      </c>
      <c r="G16" s="16">
        <f>IF(A16="","",IFERROR(INDEX('激励事件明细'!$AA$2:$AA$501,IF(D16&lt;&gt;"",MATCH(D16,'激励事件明细'!$A$2:$A$501,0),MATCH(E16,'激励事件明细'!$B$2:$B$501,0))),""))</f>
        <v/>
      </c>
      <c r="H16" s="16">
        <f>IF(A16="","",IFERROR(INDEX('激励事件明细'!$AB$2:$AB$501,IF(D16&lt;&gt;"",MATCH(D16,'激励事件明细'!$A$2:$A$501,0),MATCH(E16,'激励事件明细'!$B$2:$B$501,0))),""))</f>
        <v/>
      </c>
      <c r="I16" s="12" t="n"/>
      <c r="J16" s="13" t="n"/>
      <c r="K16" s="13" t="n"/>
      <c r="L16" s="11" t="n"/>
      <c r="M16" s="14">
        <f>IF(A16="","",IF(D16&lt;&gt;"",SUMIFS($K$2:$K$501,$D$2:$D$501,D16),SUMIFS($K$2:$K$501,$E$2:$E$501,E16)))</f>
        <v/>
      </c>
      <c r="N16" s="14">
        <f>IF(F16="","",MAX(0,F16-M16))</f>
        <v/>
      </c>
      <c r="O16" s="6">
        <f>IF(A16="","",IF(AND(I16&lt;&gt;"",I16&gt;H16),"是",IF(AND(TODAY()&gt;H16,N16&gt;0),"是","否")))</f>
        <v/>
      </c>
      <c r="P16" s="16">
        <f>IF(A16="","",IFERROR(INDEX('激励事件明细'!$P$2:$P$501,IF(D16&lt;&gt;"",MATCH(D16,'激励事件明细'!$A$2:$A$501,0),MATCH(E16,'激励事件明细'!$B$2:$B$501,0))),""))</f>
        <v/>
      </c>
      <c r="Q16" s="6">
        <f>IF(AND(D16="",E16=""),"异常：必须关联事件编号或税额批次",IF(AND(D16&lt;&gt;"",COUNTIF('激励事件明细'!$A$2:$A$501,D16)=0),"异常：事件编号不存在",IF(AND(E16&lt;&gt;"",COUNTIF('激励事件明细'!$B$2:$B$501,E16)=0),"异常：税额批次不存在",IF(M16&gt;F16,"异常：本批次超额缴税",IF(AND(I16&lt;&gt;"",I16&gt;H16),"异常：超过事件截止日",IF(AND(P16&lt;&gt;"",TODAY()&gt;=P16,N16&gt;0),"异常：离职前未缴清","正常"))))))</f>
        <v/>
      </c>
      <c r="R16" s="11" t="n"/>
    </row>
    <row r="17">
      <c r="A17" s="6">
        <f>IF(AND(D17="",E17=""),"",IFERROR(INDEX('激励事件明细'!$C$2:$C$501,IF(D17&lt;&gt;"",MATCH(D17,'激励事件明细'!$A$2:$A$501,0),MATCH(E17,'激励事件明细'!$B$2:$B$501,0))),""))</f>
        <v/>
      </c>
      <c r="B17" s="6">
        <f>IF(A17="","",IFERROR(INDEX('激励事件明细'!$D$2:$D$501,IF(D17&lt;&gt;"",MATCH(D17,'激励事件明细'!$A$2:$A$501,0),MATCH(E17,'激励事件明细'!$B$2:$B$501,0))),""))</f>
        <v/>
      </c>
      <c r="C17" s="6">
        <f>IF(A17="","",IFERROR(INDEX('激励事件明细'!$H$2:$H$501,IF(D17&lt;&gt;"",MATCH(D17,'激励事件明细'!$A$2:$A$501,0),MATCH(E17,'激励事件明细'!$B$2:$B$501,0))),""))</f>
        <v/>
      </c>
      <c r="D17" s="11" t="n"/>
      <c r="E17" s="11" t="n"/>
      <c r="F17" s="14">
        <f>IF(A17="","",IFERROR(INDEX('激励事件明细'!$Z$2:$Z$501,IF(D17&lt;&gt;"",MATCH(D17,'激励事件明细'!$A$2:$A$501,0),MATCH(E17,'激励事件明细'!$B$2:$B$501,0))),""))</f>
        <v/>
      </c>
      <c r="G17" s="16">
        <f>IF(A17="","",IFERROR(INDEX('激励事件明细'!$AA$2:$AA$501,IF(D17&lt;&gt;"",MATCH(D17,'激励事件明细'!$A$2:$A$501,0),MATCH(E17,'激励事件明细'!$B$2:$B$501,0))),""))</f>
        <v/>
      </c>
      <c r="H17" s="16">
        <f>IF(A17="","",IFERROR(INDEX('激励事件明细'!$AB$2:$AB$501,IF(D17&lt;&gt;"",MATCH(D17,'激励事件明细'!$A$2:$A$501,0),MATCH(E17,'激励事件明细'!$B$2:$B$501,0))),""))</f>
        <v/>
      </c>
      <c r="I17" s="12" t="n"/>
      <c r="J17" s="13" t="n"/>
      <c r="K17" s="13" t="n"/>
      <c r="L17" s="11" t="n"/>
      <c r="M17" s="14">
        <f>IF(A17="","",IF(D17&lt;&gt;"",SUMIFS($K$2:$K$501,$D$2:$D$501,D17),SUMIFS($K$2:$K$501,$E$2:$E$501,E17)))</f>
        <v/>
      </c>
      <c r="N17" s="14">
        <f>IF(F17="","",MAX(0,F17-M17))</f>
        <v/>
      </c>
      <c r="O17" s="6">
        <f>IF(A17="","",IF(AND(I17&lt;&gt;"",I17&gt;H17),"是",IF(AND(TODAY()&gt;H17,N17&gt;0),"是","否")))</f>
        <v/>
      </c>
      <c r="P17" s="16">
        <f>IF(A17="","",IFERROR(INDEX('激励事件明细'!$P$2:$P$501,IF(D17&lt;&gt;"",MATCH(D17,'激励事件明细'!$A$2:$A$501,0),MATCH(E17,'激励事件明细'!$B$2:$B$501,0))),""))</f>
        <v/>
      </c>
      <c r="Q17" s="6">
        <f>IF(AND(D17="",E17=""),"异常：必须关联事件编号或税额批次",IF(AND(D17&lt;&gt;"",COUNTIF('激励事件明细'!$A$2:$A$501,D17)=0),"异常：事件编号不存在",IF(AND(E17&lt;&gt;"",COUNTIF('激励事件明细'!$B$2:$B$501,E17)=0),"异常：税额批次不存在",IF(M17&gt;F17,"异常：本批次超额缴税",IF(AND(I17&lt;&gt;"",I17&gt;H17),"异常：超过事件截止日",IF(AND(P17&lt;&gt;"",TODAY()&gt;=P17,N17&gt;0),"异常：离职前未缴清","正常"))))))</f>
        <v/>
      </c>
      <c r="R17" s="11" t="n"/>
    </row>
    <row r="18">
      <c r="A18" s="6">
        <f>IF(AND(D18="",E18=""),"",IFERROR(INDEX('激励事件明细'!$C$2:$C$501,IF(D18&lt;&gt;"",MATCH(D18,'激励事件明细'!$A$2:$A$501,0),MATCH(E18,'激励事件明细'!$B$2:$B$501,0))),""))</f>
        <v/>
      </c>
      <c r="B18" s="6">
        <f>IF(A18="","",IFERROR(INDEX('激励事件明细'!$D$2:$D$501,IF(D18&lt;&gt;"",MATCH(D18,'激励事件明细'!$A$2:$A$501,0),MATCH(E18,'激励事件明细'!$B$2:$B$501,0))),""))</f>
        <v/>
      </c>
      <c r="C18" s="6">
        <f>IF(A18="","",IFERROR(INDEX('激励事件明细'!$H$2:$H$501,IF(D18&lt;&gt;"",MATCH(D18,'激励事件明细'!$A$2:$A$501,0),MATCH(E18,'激励事件明细'!$B$2:$B$501,0))),""))</f>
        <v/>
      </c>
      <c r="D18" s="11" t="n"/>
      <c r="E18" s="11" t="n"/>
      <c r="F18" s="14">
        <f>IF(A18="","",IFERROR(INDEX('激励事件明细'!$Z$2:$Z$501,IF(D18&lt;&gt;"",MATCH(D18,'激励事件明细'!$A$2:$A$501,0),MATCH(E18,'激励事件明细'!$B$2:$B$501,0))),""))</f>
        <v/>
      </c>
      <c r="G18" s="16">
        <f>IF(A18="","",IFERROR(INDEX('激励事件明细'!$AA$2:$AA$501,IF(D18&lt;&gt;"",MATCH(D18,'激励事件明细'!$A$2:$A$501,0),MATCH(E18,'激励事件明细'!$B$2:$B$501,0))),""))</f>
        <v/>
      </c>
      <c r="H18" s="16">
        <f>IF(A18="","",IFERROR(INDEX('激励事件明细'!$AB$2:$AB$501,IF(D18&lt;&gt;"",MATCH(D18,'激励事件明细'!$A$2:$A$501,0),MATCH(E18,'激励事件明细'!$B$2:$B$501,0))),""))</f>
        <v/>
      </c>
      <c r="I18" s="12" t="n"/>
      <c r="J18" s="13" t="n"/>
      <c r="K18" s="13" t="n"/>
      <c r="L18" s="11" t="n"/>
      <c r="M18" s="14">
        <f>IF(A18="","",IF(D18&lt;&gt;"",SUMIFS($K$2:$K$501,$D$2:$D$501,D18),SUMIFS($K$2:$K$501,$E$2:$E$501,E18)))</f>
        <v/>
      </c>
      <c r="N18" s="14">
        <f>IF(F18="","",MAX(0,F18-M18))</f>
        <v/>
      </c>
      <c r="O18" s="6">
        <f>IF(A18="","",IF(AND(I18&lt;&gt;"",I18&gt;H18),"是",IF(AND(TODAY()&gt;H18,N18&gt;0),"是","否")))</f>
        <v/>
      </c>
      <c r="P18" s="16">
        <f>IF(A18="","",IFERROR(INDEX('激励事件明细'!$P$2:$P$501,IF(D18&lt;&gt;"",MATCH(D18,'激励事件明细'!$A$2:$A$501,0),MATCH(E18,'激励事件明细'!$B$2:$B$501,0))),""))</f>
        <v/>
      </c>
      <c r="Q18" s="6">
        <f>IF(AND(D18="",E18=""),"异常：必须关联事件编号或税额批次",IF(AND(D18&lt;&gt;"",COUNTIF('激励事件明细'!$A$2:$A$501,D18)=0),"异常：事件编号不存在",IF(AND(E18&lt;&gt;"",COUNTIF('激励事件明细'!$B$2:$B$501,E18)=0),"异常：税额批次不存在",IF(M18&gt;F18,"异常：本批次超额缴税",IF(AND(I18&lt;&gt;"",I18&gt;H18),"异常：超过事件截止日",IF(AND(P18&lt;&gt;"",TODAY()&gt;=P18,N18&gt;0),"异常：离职前未缴清","正常"))))))</f>
        <v/>
      </c>
      <c r="R18" s="11" t="n"/>
    </row>
    <row r="19">
      <c r="A19" s="6">
        <f>IF(AND(D19="",E19=""),"",IFERROR(INDEX('激励事件明细'!$C$2:$C$501,IF(D19&lt;&gt;"",MATCH(D19,'激励事件明细'!$A$2:$A$501,0),MATCH(E19,'激励事件明细'!$B$2:$B$501,0))),""))</f>
        <v/>
      </c>
      <c r="B19" s="6">
        <f>IF(A19="","",IFERROR(INDEX('激励事件明细'!$D$2:$D$501,IF(D19&lt;&gt;"",MATCH(D19,'激励事件明细'!$A$2:$A$501,0),MATCH(E19,'激励事件明细'!$B$2:$B$501,0))),""))</f>
        <v/>
      </c>
      <c r="C19" s="6">
        <f>IF(A19="","",IFERROR(INDEX('激励事件明细'!$H$2:$H$501,IF(D19&lt;&gt;"",MATCH(D19,'激励事件明细'!$A$2:$A$501,0),MATCH(E19,'激励事件明细'!$B$2:$B$501,0))),""))</f>
        <v/>
      </c>
      <c r="D19" s="11" t="n"/>
      <c r="E19" s="11" t="n"/>
      <c r="F19" s="14">
        <f>IF(A19="","",IFERROR(INDEX('激励事件明细'!$Z$2:$Z$501,IF(D19&lt;&gt;"",MATCH(D19,'激励事件明细'!$A$2:$A$501,0),MATCH(E19,'激励事件明细'!$B$2:$B$501,0))),""))</f>
        <v/>
      </c>
      <c r="G19" s="16">
        <f>IF(A19="","",IFERROR(INDEX('激励事件明细'!$AA$2:$AA$501,IF(D19&lt;&gt;"",MATCH(D19,'激励事件明细'!$A$2:$A$501,0),MATCH(E19,'激励事件明细'!$B$2:$B$501,0))),""))</f>
        <v/>
      </c>
      <c r="H19" s="16">
        <f>IF(A19="","",IFERROR(INDEX('激励事件明细'!$AB$2:$AB$501,IF(D19&lt;&gt;"",MATCH(D19,'激励事件明细'!$A$2:$A$501,0),MATCH(E19,'激励事件明细'!$B$2:$B$501,0))),""))</f>
        <v/>
      </c>
      <c r="I19" s="12" t="n"/>
      <c r="J19" s="13" t="n"/>
      <c r="K19" s="13" t="n"/>
      <c r="L19" s="11" t="n"/>
      <c r="M19" s="14">
        <f>IF(A19="","",IF(D19&lt;&gt;"",SUMIFS($K$2:$K$501,$D$2:$D$501,D19),SUMIFS($K$2:$K$501,$E$2:$E$501,E19)))</f>
        <v/>
      </c>
      <c r="N19" s="14">
        <f>IF(F19="","",MAX(0,F19-M19))</f>
        <v/>
      </c>
      <c r="O19" s="6">
        <f>IF(A19="","",IF(AND(I19&lt;&gt;"",I19&gt;H19),"是",IF(AND(TODAY()&gt;H19,N19&gt;0),"是","否")))</f>
        <v/>
      </c>
      <c r="P19" s="16">
        <f>IF(A19="","",IFERROR(INDEX('激励事件明细'!$P$2:$P$501,IF(D19&lt;&gt;"",MATCH(D19,'激励事件明细'!$A$2:$A$501,0),MATCH(E19,'激励事件明细'!$B$2:$B$501,0))),""))</f>
        <v/>
      </c>
      <c r="Q19" s="6">
        <f>IF(AND(D19="",E19=""),"异常：必须关联事件编号或税额批次",IF(AND(D19&lt;&gt;"",COUNTIF('激励事件明细'!$A$2:$A$501,D19)=0),"异常：事件编号不存在",IF(AND(E19&lt;&gt;"",COUNTIF('激励事件明细'!$B$2:$B$501,E19)=0),"异常：税额批次不存在",IF(M19&gt;F19,"异常：本批次超额缴税",IF(AND(I19&lt;&gt;"",I19&gt;H19),"异常：超过事件截止日",IF(AND(P19&lt;&gt;"",TODAY()&gt;=P19,N19&gt;0),"异常：离职前未缴清","正常"))))))</f>
        <v/>
      </c>
      <c r="R19" s="11" t="n"/>
    </row>
    <row r="20">
      <c r="A20" s="6">
        <f>IF(AND(D20="",E20=""),"",IFERROR(INDEX('激励事件明细'!$C$2:$C$501,IF(D20&lt;&gt;"",MATCH(D20,'激励事件明细'!$A$2:$A$501,0),MATCH(E20,'激励事件明细'!$B$2:$B$501,0))),""))</f>
        <v/>
      </c>
      <c r="B20" s="6">
        <f>IF(A20="","",IFERROR(INDEX('激励事件明细'!$D$2:$D$501,IF(D20&lt;&gt;"",MATCH(D20,'激励事件明细'!$A$2:$A$501,0),MATCH(E20,'激励事件明细'!$B$2:$B$501,0))),""))</f>
        <v/>
      </c>
      <c r="C20" s="6">
        <f>IF(A20="","",IFERROR(INDEX('激励事件明细'!$H$2:$H$501,IF(D20&lt;&gt;"",MATCH(D20,'激励事件明细'!$A$2:$A$501,0),MATCH(E20,'激励事件明细'!$B$2:$B$501,0))),""))</f>
        <v/>
      </c>
      <c r="D20" s="11" t="n"/>
      <c r="E20" s="11" t="n"/>
      <c r="F20" s="14">
        <f>IF(A20="","",IFERROR(INDEX('激励事件明细'!$Z$2:$Z$501,IF(D20&lt;&gt;"",MATCH(D20,'激励事件明细'!$A$2:$A$501,0),MATCH(E20,'激励事件明细'!$B$2:$B$501,0))),""))</f>
        <v/>
      </c>
      <c r="G20" s="16">
        <f>IF(A20="","",IFERROR(INDEX('激励事件明细'!$AA$2:$AA$501,IF(D20&lt;&gt;"",MATCH(D20,'激励事件明细'!$A$2:$A$501,0),MATCH(E20,'激励事件明细'!$B$2:$B$501,0))),""))</f>
        <v/>
      </c>
      <c r="H20" s="16">
        <f>IF(A20="","",IFERROR(INDEX('激励事件明细'!$AB$2:$AB$501,IF(D20&lt;&gt;"",MATCH(D20,'激励事件明细'!$A$2:$A$501,0),MATCH(E20,'激励事件明细'!$B$2:$B$501,0))),""))</f>
        <v/>
      </c>
      <c r="I20" s="12" t="n"/>
      <c r="J20" s="13" t="n"/>
      <c r="K20" s="13" t="n"/>
      <c r="L20" s="11" t="n"/>
      <c r="M20" s="14">
        <f>IF(A20="","",IF(D20&lt;&gt;"",SUMIFS($K$2:$K$501,$D$2:$D$501,D20),SUMIFS($K$2:$K$501,$E$2:$E$501,E20)))</f>
        <v/>
      </c>
      <c r="N20" s="14">
        <f>IF(F20="","",MAX(0,F20-M20))</f>
        <v/>
      </c>
      <c r="O20" s="6">
        <f>IF(A20="","",IF(AND(I20&lt;&gt;"",I20&gt;H20),"是",IF(AND(TODAY()&gt;H20,N20&gt;0),"是","否")))</f>
        <v/>
      </c>
      <c r="P20" s="16">
        <f>IF(A20="","",IFERROR(INDEX('激励事件明细'!$P$2:$P$501,IF(D20&lt;&gt;"",MATCH(D20,'激励事件明细'!$A$2:$A$501,0),MATCH(E20,'激励事件明细'!$B$2:$B$501,0))),""))</f>
        <v/>
      </c>
      <c r="Q20" s="6">
        <f>IF(AND(D20="",E20=""),"异常：必须关联事件编号或税额批次",IF(AND(D20&lt;&gt;"",COUNTIF('激励事件明细'!$A$2:$A$501,D20)=0),"异常：事件编号不存在",IF(AND(E20&lt;&gt;"",COUNTIF('激励事件明细'!$B$2:$B$501,E20)=0),"异常：税额批次不存在",IF(M20&gt;F20,"异常：本批次超额缴税",IF(AND(I20&lt;&gt;"",I20&gt;H20),"异常：超过事件截止日",IF(AND(P20&lt;&gt;"",TODAY()&gt;=P20,N20&gt;0),"异常：离职前未缴清","正常"))))))</f>
        <v/>
      </c>
      <c r="R20" s="11" t="n"/>
    </row>
    <row r="21">
      <c r="A21" s="6">
        <f>IF(AND(D21="",E21=""),"",IFERROR(INDEX('激励事件明细'!$C$2:$C$501,IF(D21&lt;&gt;"",MATCH(D21,'激励事件明细'!$A$2:$A$501,0),MATCH(E21,'激励事件明细'!$B$2:$B$501,0))),""))</f>
        <v/>
      </c>
      <c r="B21" s="6">
        <f>IF(A21="","",IFERROR(INDEX('激励事件明细'!$D$2:$D$501,IF(D21&lt;&gt;"",MATCH(D21,'激励事件明细'!$A$2:$A$501,0),MATCH(E21,'激励事件明细'!$B$2:$B$501,0))),""))</f>
        <v/>
      </c>
      <c r="C21" s="6">
        <f>IF(A21="","",IFERROR(INDEX('激励事件明细'!$H$2:$H$501,IF(D21&lt;&gt;"",MATCH(D21,'激励事件明细'!$A$2:$A$501,0),MATCH(E21,'激励事件明细'!$B$2:$B$501,0))),""))</f>
        <v/>
      </c>
      <c r="D21" s="11" t="n"/>
      <c r="E21" s="11" t="n"/>
      <c r="F21" s="14">
        <f>IF(A21="","",IFERROR(INDEX('激励事件明细'!$Z$2:$Z$501,IF(D21&lt;&gt;"",MATCH(D21,'激励事件明细'!$A$2:$A$501,0),MATCH(E21,'激励事件明细'!$B$2:$B$501,0))),""))</f>
        <v/>
      </c>
      <c r="G21" s="16">
        <f>IF(A21="","",IFERROR(INDEX('激励事件明细'!$AA$2:$AA$501,IF(D21&lt;&gt;"",MATCH(D21,'激励事件明细'!$A$2:$A$501,0),MATCH(E21,'激励事件明细'!$B$2:$B$501,0))),""))</f>
        <v/>
      </c>
      <c r="H21" s="16">
        <f>IF(A21="","",IFERROR(INDEX('激励事件明细'!$AB$2:$AB$501,IF(D21&lt;&gt;"",MATCH(D21,'激励事件明细'!$A$2:$A$501,0),MATCH(E21,'激励事件明细'!$B$2:$B$501,0))),""))</f>
        <v/>
      </c>
      <c r="I21" s="12" t="n"/>
      <c r="J21" s="13" t="n"/>
      <c r="K21" s="13" t="n"/>
      <c r="L21" s="11" t="n"/>
      <c r="M21" s="14">
        <f>IF(A21="","",IF(D21&lt;&gt;"",SUMIFS($K$2:$K$501,$D$2:$D$501,D21),SUMIFS($K$2:$K$501,$E$2:$E$501,E21)))</f>
        <v/>
      </c>
      <c r="N21" s="14">
        <f>IF(F21="","",MAX(0,F21-M21))</f>
        <v/>
      </c>
      <c r="O21" s="6">
        <f>IF(A21="","",IF(AND(I21&lt;&gt;"",I21&gt;H21),"是",IF(AND(TODAY()&gt;H21,N21&gt;0),"是","否")))</f>
        <v/>
      </c>
      <c r="P21" s="16">
        <f>IF(A21="","",IFERROR(INDEX('激励事件明细'!$P$2:$P$501,IF(D21&lt;&gt;"",MATCH(D21,'激励事件明细'!$A$2:$A$501,0),MATCH(E21,'激励事件明细'!$B$2:$B$501,0))),""))</f>
        <v/>
      </c>
      <c r="Q21" s="6">
        <f>IF(AND(D21="",E21=""),"异常：必须关联事件编号或税额批次",IF(AND(D21&lt;&gt;"",COUNTIF('激励事件明细'!$A$2:$A$501,D21)=0),"异常：事件编号不存在",IF(AND(E21&lt;&gt;"",COUNTIF('激励事件明细'!$B$2:$B$501,E21)=0),"异常：税额批次不存在",IF(M21&gt;F21,"异常：本批次超额缴税",IF(AND(I21&lt;&gt;"",I21&gt;H21),"异常：超过事件截止日",IF(AND(P21&lt;&gt;"",TODAY()&gt;=P21,N21&gt;0),"异常：离职前未缴清","正常"))))))</f>
        <v/>
      </c>
      <c r="R21" s="11" t="n"/>
    </row>
    <row r="22">
      <c r="A22" s="6">
        <f>IF(AND(D22="",E22=""),"",IFERROR(INDEX('激励事件明细'!$C$2:$C$501,IF(D22&lt;&gt;"",MATCH(D22,'激励事件明细'!$A$2:$A$501,0),MATCH(E22,'激励事件明细'!$B$2:$B$501,0))),""))</f>
        <v/>
      </c>
      <c r="B22" s="6">
        <f>IF(A22="","",IFERROR(INDEX('激励事件明细'!$D$2:$D$501,IF(D22&lt;&gt;"",MATCH(D22,'激励事件明细'!$A$2:$A$501,0),MATCH(E22,'激励事件明细'!$B$2:$B$501,0))),""))</f>
        <v/>
      </c>
      <c r="C22" s="6">
        <f>IF(A22="","",IFERROR(INDEX('激励事件明细'!$H$2:$H$501,IF(D22&lt;&gt;"",MATCH(D22,'激励事件明细'!$A$2:$A$501,0),MATCH(E22,'激励事件明细'!$B$2:$B$501,0))),""))</f>
        <v/>
      </c>
      <c r="D22" s="11" t="n"/>
      <c r="E22" s="11" t="n"/>
      <c r="F22" s="14">
        <f>IF(A22="","",IFERROR(INDEX('激励事件明细'!$Z$2:$Z$501,IF(D22&lt;&gt;"",MATCH(D22,'激励事件明细'!$A$2:$A$501,0),MATCH(E22,'激励事件明细'!$B$2:$B$501,0))),""))</f>
        <v/>
      </c>
      <c r="G22" s="16">
        <f>IF(A22="","",IFERROR(INDEX('激励事件明细'!$AA$2:$AA$501,IF(D22&lt;&gt;"",MATCH(D22,'激励事件明细'!$A$2:$A$501,0),MATCH(E22,'激励事件明细'!$B$2:$B$501,0))),""))</f>
        <v/>
      </c>
      <c r="H22" s="16">
        <f>IF(A22="","",IFERROR(INDEX('激励事件明细'!$AB$2:$AB$501,IF(D22&lt;&gt;"",MATCH(D22,'激励事件明细'!$A$2:$A$501,0),MATCH(E22,'激励事件明细'!$B$2:$B$501,0))),""))</f>
        <v/>
      </c>
      <c r="I22" s="12" t="n"/>
      <c r="J22" s="13" t="n"/>
      <c r="K22" s="13" t="n"/>
      <c r="L22" s="11" t="n"/>
      <c r="M22" s="14">
        <f>IF(A22="","",IF(D22&lt;&gt;"",SUMIFS($K$2:$K$501,$D$2:$D$501,D22),SUMIFS($K$2:$K$501,$E$2:$E$501,E22)))</f>
        <v/>
      </c>
      <c r="N22" s="14">
        <f>IF(F22="","",MAX(0,F22-M22))</f>
        <v/>
      </c>
      <c r="O22" s="6">
        <f>IF(A22="","",IF(AND(I22&lt;&gt;"",I22&gt;H22),"是",IF(AND(TODAY()&gt;H22,N22&gt;0),"是","否")))</f>
        <v/>
      </c>
      <c r="P22" s="16">
        <f>IF(A22="","",IFERROR(INDEX('激励事件明细'!$P$2:$P$501,IF(D22&lt;&gt;"",MATCH(D22,'激励事件明细'!$A$2:$A$501,0),MATCH(E22,'激励事件明细'!$B$2:$B$501,0))),""))</f>
        <v/>
      </c>
      <c r="Q22" s="6">
        <f>IF(AND(D22="",E22=""),"异常：必须关联事件编号或税额批次",IF(AND(D22&lt;&gt;"",COUNTIF('激励事件明细'!$A$2:$A$501,D22)=0),"异常：事件编号不存在",IF(AND(E22&lt;&gt;"",COUNTIF('激励事件明细'!$B$2:$B$501,E22)=0),"异常：税额批次不存在",IF(M22&gt;F22,"异常：本批次超额缴税",IF(AND(I22&lt;&gt;"",I22&gt;H22),"异常：超过事件截止日",IF(AND(P22&lt;&gt;"",TODAY()&gt;=P22,N22&gt;0),"异常：离职前未缴清","正常"))))))</f>
        <v/>
      </c>
      <c r="R22" s="11" t="n"/>
    </row>
    <row r="23">
      <c r="A23" s="6">
        <f>IF(AND(D23="",E23=""),"",IFERROR(INDEX('激励事件明细'!$C$2:$C$501,IF(D23&lt;&gt;"",MATCH(D23,'激励事件明细'!$A$2:$A$501,0),MATCH(E23,'激励事件明细'!$B$2:$B$501,0))),""))</f>
        <v/>
      </c>
      <c r="B23" s="6">
        <f>IF(A23="","",IFERROR(INDEX('激励事件明细'!$D$2:$D$501,IF(D23&lt;&gt;"",MATCH(D23,'激励事件明细'!$A$2:$A$501,0),MATCH(E23,'激励事件明细'!$B$2:$B$501,0))),""))</f>
        <v/>
      </c>
      <c r="C23" s="6">
        <f>IF(A23="","",IFERROR(INDEX('激励事件明细'!$H$2:$H$501,IF(D23&lt;&gt;"",MATCH(D23,'激励事件明细'!$A$2:$A$501,0),MATCH(E23,'激励事件明细'!$B$2:$B$501,0))),""))</f>
        <v/>
      </c>
      <c r="D23" s="11" t="n"/>
      <c r="E23" s="11" t="n"/>
      <c r="F23" s="14">
        <f>IF(A23="","",IFERROR(INDEX('激励事件明细'!$Z$2:$Z$501,IF(D23&lt;&gt;"",MATCH(D23,'激励事件明细'!$A$2:$A$501,0),MATCH(E23,'激励事件明细'!$B$2:$B$501,0))),""))</f>
        <v/>
      </c>
      <c r="G23" s="16">
        <f>IF(A23="","",IFERROR(INDEX('激励事件明细'!$AA$2:$AA$501,IF(D23&lt;&gt;"",MATCH(D23,'激励事件明细'!$A$2:$A$501,0),MATCH(E23,'激励事件明细'!$B$2:$B$501,0))),""))</f>
        <v/>
      </c>
      <c r="H23" s="16">
        <f>IF(A23="","",IFERROR(INDEX('激励事件明细'!$AB$2:$AB$501,IF(D23&lt;&gt;"",MATCH(D23,'激励事件明细'!$A$2:$A$501,0),MATCH(E23,'激励事件明细'!$B$2:$B$501,0))),""))</f>
        <v/>
      </c>
      <c r="I23" s="12" t="n"/>
      <c r="J23" s="13" t="n"/>
      <c r="K23" s="13" t="n"/>
      <c r="L23" s="11" t="n"/>
      <c r="M23" s="14">
        <f>IF(A23="","",IF(D23&lt;&gt;"",SUMIFS($K$2:$K$501,$D$2:$D$501,D23),SUMIFS($K$2:$K$501,$E$2:$E$501,E23)))</f>
        <v/>
      </c>
      <c r="N23" s="14">
        <f>IF(F23="","",MAX(0,F23-M23))</f>
        <v/>
      </c>
      <c r="O23" s="6">
        <f>IF(A23="","",IF(AND(I23&lt;&gt;"",I23&gt;H23),"是",IF(AND(TODAY()&gt;H23,N23&gt;0),"是","否")))</f>
        <v/>
      </c>
      <c r="P23" s="16">
        <f>IF(A23="","",IFERROR(INDEX('激励事件明细'!$P$2:$P$501,IF(D23&lt;&gt;"",MATCH(D23,'激励事件明细'!$A$2:$A$501,0),MATCH(E23,'激励事件明细'!$B$2:$B$501,0))),""))</f>
        <v/>
      </c>
      <c r="Q23" s="6">
        <f>IF(AND(D23="",E23=""),"异常：必须关联事件编号或税额批次",IF(AND(D23&lt;&gt;"",COUNTIF('激励事件明细'!$A$2:$A$501,D23)=0),"异常：事件编号不存在",IF(AND(E23&lt;&gt;"",COUNTIF('激励事件明细'!$B$2:$B$501,E23)=0),"异常：税额批次不存在",IF(M23&gt;F23,"异常：本批次超额缴税",IF(AND(I23&lt;&gt;"",I23&gt;H23),"异常：超过事件截止日",IF(AND(P23&lt;&gt;"",TODAY()&gt;=P23,N23&gt;0),"异常：离职前未缴清","正常"))))))</f>
        <v/>
      </c>
      <c r="R23" s="11" t="n"/>
    </row>
    <row r="24">
      <c r="A24" s="6">
        <f>IF(AND(D24="",E24=""),"",IFERROR(INDEX('激励事件明细'!$C$2:$C$501,IF(D24&lt;&gt;"",MATCH(D24,'激励事件明细'!$A$2:$A$501,0),MATCH(E24,'激励事件明细'!$B$2:$B$501,0))),""))</f>
        <v/>
      </c>
      <c r="B24" s="6">
        <f>IF(A24="","",IFERROR(INDEX('激励事件明细'!$D$2:$D$501,IF(D24&lt;&gt;"",MATCH(D24,'激励事件明细'!$A$2:$A$501,0),MATCH(E24,'激励事件明细'!$B$2:$B$501,0))),""))</f>
        <v/>
      </c>
      <c r="C24" s="6">
        <f>IF(A24="","",IFERROR(INDEX('激励事件明细'!$H$2:$H$501,IF(D24&lt;&gt;"",MATCH(D24,'激励事件明细'!$A$2:$A$501,0),MATCH(E24,'激励事件明细'!$B$2:$B$501,0))),""))</f>
        <v/>
      </c>
      <c r="D24" s="11" t="n"/>
      <c r="E24" s="11" t="n"/>
      <c r="F24" s="14">
        <f>IF(A24="","",IFERROR(INDEX('激励事件明细'!$Z$2:$Z$501,IF(D24&lt;&gt;"",MATCH(D24,'激励事件明细'!$A$2:$A$501,0),MATCH(E24,'激励事件明细'!$B$2:$B$501,0))),""))</f>
        <v/>
      </c>
      <c r="G24" s="16">
        <f>IF(A24="","",IFERROR(INDEX('激励事件明细'!$AA$2:$AA$501,IF(D24&lt;&gt;"",MATCH(D24,'激励事件明细'!$A$2:$A$501,0),MATCH(E24,'激励事件明细'!$B$2:$B$501,0))),""))</f>
        <v/>
      </c>
      <c r="H24" s="16">
        <f>IF(A24="","",IFERROR(INDEX('激励事件明细'!$AB$2:$AB$501,IF(D24&lt;&gt;"",MATCH(D24,'激励事件明细'!$A$2:$A$501,0),MATCH(E24,'激励事件明细'!$B$2:$B$501,0))),""))</f>
        <v/>
      </c>
      <c r="I24" s="12" t="n"/>
      <c r="J24" s="13" t="n"/>
      <c r="K24" s="13" t="n"/>
      <c r="L24" s="11" t="n"/>
      <c r="M24" s="14">
        <f>IF(A24="","",IF(D24&lt;&gt;"",SUMIFS($K$2:$K$501,$D$2:$D$501,D24),SUMIFS($K$2:$K$501,$E$2:$E$501,E24)))</f>
        <v/>
      </c>
      <c r="N24" s="14">
        <f>IF(F24="","",MAX(0,F24-M24))</f>
        <v/>
      </c>
      <c r="O24" s="6">
        <f>IF(A24="","",IF(AND(I24&lt;&gt;"",I24&gt;H24),"是",IF(AND(TODAY()&gt;H24,N24&gt;0),"是","否")))</f>
        <v/>
      </c>
      <c r="P24" s="16">
        <f>IF(A24="","",IFERROR(INDEX('激励事件明细'!$P$2:$P$501,IF(D24&lt;&gt;"",MATCH(D24,'激励事件明细'!$A$2:$A$501,0),MATCH(E24,'激励事件明细'!$B$2:$B$501,0))),""))</f>
        <v/>
      </c>
      <c r="Q24" s="6">
        <f>IF(AND(D24="",E24=""),"异常：必须关联事件编号或税额批次",IF(AND(D24&lt;&gt;"",COUNTIF('激励事件明细'!$A$2:$A$501,D24)=0),"异常：事件编号不存在",IF(AND(E24&lt;&gt;"",COUNTIF('激励事件明细'!$B$2:$B$501,E24)=0),"异常：税额批次不存在",IF(M24&gt;F24,"异常：本批次超额缴税",IF(AND(I24&lt;&gt;"",I24&gt;H24),"异常：超过事件截止日",IF(AND(P24&lt;&gt;"",TODAY()&gt;=P24,N24&gt;0),"异常：离职前未缴清","正常"))))))</f>
        <v/>
      </c>
      <c r="R24" s="11" t="n"/>
    </row>
    <row r="25">
      <c r="A25" s="6">
        <f>IF(AND(D25="",E25=""),"",IFERROR(INDEX('激励事件明细'!$C$2:$C$501,IF(D25&lt;&gt;"",MATCH(D25,'激励事件明细'!$A$2:$A$501,0),MATCH(E25,'激励事件明细'!$B$2:$B$501,0))),""))</f>
        <v/>
      </c>
      <c r="B25" s="6">
        <f>IF(A25="","",IFERROR(INDEX('激励事件明细'!$D$2:$D$501,IF(D25&lt;&gt;"",MATCH(D25,'激励事件明细'!$A$2:$A$501,0),MATCH(E25,'激励事件明细'!$B$2:$B$501,0))),""))</f>
        <v/>
      </c>
      <c r="C25" s="6">
        <f>IF(A25="","",IFERROR(INDEX('激励事件明细'!$H$2:$H$501,IF(D25&lt;&gt;"",MATCH(D25,'激励事件明细'!$A$2:$A$501,0),MATCH(E25,'激励事件明细'!$B$2:$B$501,0))),""))</f>
        <v/>
      </c>
      <c r="D25" s="11" t="n"/>
      <c r="E25" s="11" t="n"/>
      <c r="F25" s="14">
        <f>IF(A25="","",IFERROR(INDEX('激励事件明细'!$Z$2:$Z$501,IF(D25&lt;&gt;"",MATCH(D25,'激励事件明细'!$A$2:$A$501,0),MATCH(E25,'激励事件明细'!$B$2:$B$501,0))),""))</f>
        <v/>
      </c>
      <c r="G25" s="16">
        <f>IF(A25="","",IFERROR(INDEX('激励事件明细'!$AA$2:$AA$501,IF(D25&lt;&gt;"",MATCH(D25,'激励事件明细'!$A$2:$A$501,0),MATCH(E25,'激励事件明细'!$B$2:$B$501,0))),""))</f>
        <v/>
      </c>
      <c r="H25" s="16">
        <f>IF(A25="","",IFERROR(INDEX('激励事件明细'!$AB$2:$AB$501,IF(D25&lt;&gt;"",MATCH(D25,'激励事件明细'!$A$2:$A$501,0),MATCH(E25,'激励事件明细'!$B$2:$B$501,0))),""))</f>
        <v/>
      </c>
      <c r="I25" s="12" t="n"/>
      <c r="J25" s="13" t="n"/>
      <c r="K25" s="13" t="n"/>
      <c r="L25" s="11" t="n"/>
      <c r="M25" s="14">
        <f>IF(A25="","",IF(D25&lt;&gt;"",SUMIFS($K$2:$K$501,$D$2:$D$501,D25),SUMIFS($K$2:$K$501,$E$2:$E$501,E25)))</f>
        <v/>
      </c>
      <c r="N25" s="14">
        <f>IF(F25="","",MAX(0,F25-M25))</f>
        <v/>
      </c>
      <c r="O25" s="6">
        <f>IF(A25="","",IF(AND(I25&lt;&gt;"",I25&gt;H25),"是",IF(AND(TODAY()&gt;H25,N25&gt;0),"是","否")))</f>
        <v/>
      </c>
      <c r="P25" s="16">
        <f>IF(A25="","",IFERROR(INDEX('激励事件明细'!$P$2:$P$501,IF(D25&lt;&gt;"",MATCH(D25,'激励事件明细'!$A$2:$A$501,0),MATCH(E25,'激励事件明细'!$B$2:$B$501,0))),""))</f>
        <v/>
      </c>
      <c r="Q25" s="6">
        <f>IF(AND(D25="",E25=""),"异常：必须关联事件编号或税额批次",IF(AND(D25&lt;&gt;"",COUNTIF('激励事件明细'!$A$2:$A$501,D25)=0),"异常：事件编号不存在",IF(AND(E25&lt;&gt;"",COUNTIF('激励事件明细'!$B$2:$B$501,E25)=0),"异常：税额批次不存在",IF(M25&gt;F25,"异常：本批次超额缴税",IF(AND(I25&lt;&gt;"",I25&gt;H25),"异常：超过事件截止日",IF(AND(P25&lt;&gt;"",TODAY()&gt;=P25,N25&gt;0),"异常：离职前未缴清","正常"))))))</f>
        <v/>
      </c>
      <c r="R25" s="11" t="n"/>
    </row>
    <row r="26">
      <c r="A26" s="6">
        <f>IF(AND(D26="",E26=""),"",IFERROR(INDEX('激励事件明细'!$C$2:$C$501,IF(D26&lt;&gt;"",MATCH(D26,'激励事件明细'!$A$2:$A$501,0),MATCH(E26,'激励事件明细'!$B$2:$B$501,0))),""))</f>
        <v/>
      </c>
      <c r="B26" s="6">
        <f>IF(A26="","",IFERROR(INDEX('激励事件明细'!$D$2:$D$501,IF(D26&lt;&gt;"",MATCH(D26,'激励事件明细'!$A$2:$A$501,0),MATCH(E26,'激励事件明细'!$B$2:$B$501,0))),""))</f>
        <v/>
      </c>
      <c r="C26" s="6">
        <f>IF(A26="","",IFERROR(INDEX('激励事件明细'!$H$2:$H$501,IF(D26&lt;&gt;"",MATCH(D26,'激励事件明细'!$A$2:$A$501,0),MATCH(E26,'激励事件明细'!$B$2:$B$501,0))),""))</f>
        <v/>
      </c>
      <c r="D26" s="11" t="n"/>
      <c r="E26" s="11" t="n"/>
      <c r="F26" s="14">
        <f>IF(A26="","",IFERROR(INDEX('激励事件明细'!$Z$2:$Z$501,IF(D26&lt;&gt;"",MATCH(D26,'激励事件明细'!$A$2:$A$501,0),MATCH(E26,'激励事件明细'!$B$2:$B$501,0))),""))</f>
        <v/>
      </c>
      <c r="G26" s="16">
        <f>IF(A26="","",IFERROR(INDEX('激励事件明细'!$AA$2:$AA$501,IF(D26&lt;&gt;"",MATCH(D26,'激励事件明细'!$A$2:$A$501,0),MATCH(E26,'激励事件明细'!$B$2:$B$501,0))),""))</f>
        <v/>
      </c>
      <c r="H26" s="16">
        <f>IF(A26="","",IFERROR(INDEX('激励事件明细'!$AB$2:$AB$501,IF(D26&lt;&gt;"",MATCH(D26,'激励事件明细'!$A$2:$A$501,0),MATCH(E26,'激励事件明细'!$B$2:$B$501,0))),""))</f>
        <v/>
      </c>
      <c r="I26" s="12" t="n"/>
      <c r="J26" s="13" t="n"/>
      <c r="K26" s="13" t="n"/>
      <c r="L26" s="11" t="n"/>
      <c r="M26" s="14">
        <f>IF(A26="","",IF(D26&lt;&gt;"",SUMIFS($K$2:$K$501,$D$2:$D$501,D26),SUMIFS($K$2:$K$501,$E$2:$E$501,E26)))</f>
        <v/>
      </c>
      <c r="N26" s="14">
        <f>IF(F26="","",MAX(0,F26-M26))</f>
        <v/>
      </c>
      <c r="O26" s="6">
        <f>IF(A26="","",IF(AND(I26&lt;&gt;"",I26&gt;H26),"是",IF(AND(TODAY()&gt;H26,N26&gt;0),"是","否")))</f>
        <v/>
      </c>
      <c r="P26" s="16">
        <f>IF(A26="","",IFERROR(INDEX('激励事件明细'!$P$2:$P$501,IF(D26&lt;&gt;"",MATCH(D26,'激励事件明细'!$A$2:$A$501,0),MATCH(E26,'激励事件明细'!$B$2:$B$501,0))),""))</f>
        <v/>
      </c>
      <c r="Q26" s="6">
        <f>IF(AND(D26="",E26=""),"异常：必须关联事件编号或税额批次",IF(AND(D26&lt;&gt;"",COUNTIF('激励事件明细'!$A$2:$A$501,D26)=0),"异常：事件编号不存在",IF(AND(E26&lt;&gt;"",COUNTIF('激励事件明细'!$B$2:$B$501,E26)=0),"异常：税额批次不存在",IF(M26&gt;F26,"异常：本批次超额缴税",IF(AND(I26&lt;&gt;"",I26&gt;H26),"异常：超过事件截止日",IF(AND(P26&lt;&gt;"",TODAY()&gt;=P26,N26&gt;0),"异常：离职前未缴清","正常"))))))</f>
        <v/>
      </c>
      <c r="R26" s="11" t="n"/>
    </row>
    <row r="27">
      <c r="A27" s="6">
        <f>IF(AND(D27="",E27=""),"",IFERROR(INDEX('激励事件明细'!$C$2:$C$501,IF(D27&lt;&gt;"",MATCH(D27,'激励事件明细'!$A$2:$A$501,0),MATCH(E27,'激励事件明细'!$B$2:$B$501,0))),""))</f>
        <v/>
      </c>
      <c r="B27" s="6">
        <f>IF(A27="","",IFERROR(INDEX('激励事件明细'!$D$2:$D$501,IF(D27&lt;&gt;"",MATCH(D27,'激励事件明细'!$A$2:$A$501,0),MATCH(E27,'激励事件明细'!$B$2:$B$501,0))),""))</f>
        <v/>
      </c>
      <c r="C27" s="6">
        <f>IF(A27="","",IFERROR(INDEX('激励事件明细'!$H$2:$H$501,IF(D27&lt;&gt;"",MATCH(D27,'激励事件明细'!$A$2:$A$501,0),MATCH(E27,'激励事件明细'!$B$2:$B$501,0))),""))</f>
        <v/>
      </c>
      <c r="D27" s="11" t="n"/>
      <c r="E27" s="11" t="n"/>
      <c r="F27" s="14">
        <f>IF(A27="","",IFERROR(INDEX('激励事件明细'!$Z$2:$Z$501,IF(D27&lt;&gt;"",MATCH(D27,'激励事件明细'!$A$2:$A$501,0),MATCH(E27,'激励事件明细'!$B$2:$B$501,0))),""))</f>
        <v/>
      </c>
      <c r="G27" s="16">
        <f>IF(A27="","",IFERROR(INDEX('激励事件明细'!$AA$2:$AA$501,IF(D27&lt;&gt;"",MATCH(D27,'激励事件明细'!$A$2:$A$501,0),MATCH(E27,'激励事件明细'!$B$2:$B$501,0))),""))</f>
        <v/>
      </c>
      <c r="H27" s="16">
        <f>IF(A27="","",IFERROR(INDEX('激励事件明细'!$AB$2:$AB$501,IF(D27&lt;&gt;"",MATCH(D27,'激励事件明细'!$A$2:$A$501,0),MATCH(E27,'激励事件明细'!$B$2:$B$501,0))),""))</f>
        <v/>
      </c>
      <c r="I27" s="12" t="n"/>
      <c r="J27" s="13" t="n"/>
      <c r="K27" s="13" t="n"/>
      <c r="L27" s="11" t="n"/>
      <c r="M27" s="14">
        <f>IF(A27="","",IF(D27&lt;&gt;"",SUMIFS($K$2:$K$501,$D$2:$D$501,D27),SUMIFS($K$2:$K$501,$E$2:$E$501,E27)))</f>
        <v/>
      </c>
      <c r="N27" s="14">
        <f>IF(F27="","",MAX(0,F27-M27))</f>
        <v/>
      </c>
      <c r="O27" s="6">
        <f>IF(A27="","",IF(AND(I27&lt;&gt;"",I27&gt;H27),"是",IF(AND(TODAY()&gt;H27,N27&gt;0),"是","否")))</f>
        <v/>
      </c>
      <c r="P27" s="16">
        <f>IF(A27="","",IFERROR(INDEX('激励事件明细'!$P$2:$P$501,IF(D27&lt;&gt;"",MATCH(D27,'激励事件明细'!$A$2:$A$501,0),MATCH(E27,'激励事件明细'!$B$2:$B$501,0))),""))</f>
        <v/>
      </c>
      <c r="Q27" s="6">
        <f>IF(AND(D27="",E27=""),"异常：必须关联事件编号或税额批次",IF(AND(D27&lt;&gt;"",COUNTIF('激励事件明细'!$A$2:$A$501,D27)=0),"异常：事件编号不存在",IF(AND(E27&lt;&gt;"",COUNTIF('激励事件明细'!$B$2:$B$501,E27)=0),"异常：税额批次不存在",IF(M27&gt;F27,"异常：本批次超额缴税",IF(AND(I27&lt;&gt;"",I27&gt;H27),"异常：超过事件截止日",IF(AND(P27&lt;&gt;"",TODAY()&gt;=P27,N27&gt;0),"异常：离职前未缴清","正常"))))))</f>
        <v/>
      </c>
      <c r="R27" s="11" t="n"/>
    </row>
    <row r="28">
      <c r="A28" s="6">
        <f>IF(AND(D28="",E28=""),"",IFERROR(INDEX('激励事件明细'!$C$2:$C$501,IF(D28&lt;&gt;"",MATCH(D28,'激励事件明细'!$A$2:$A$501,0),MATCH(E28,'激励事件明细'!$B$2:$B$501,0))),""))</f>
        <v/>
      </c>
      <c r="B28" s="6">
        <f>IF(A28="","",IFERROR(INDEX('激励事件明细'!$D$2:$D$501,IF(D28&lt;&gt;"",MATCH(D28,'激励事件明细'!$A$2:$A$501,0),MATCH(E28,'激励事件明细'!$B$2:$B$501,0))),""))</f>
        <v/>
      </c>
      <c r="C28" s="6">
        <f>IF(A28="","",IFERROR(INDEX('激励事件明细'!$H$2:$H$501,IF(D28&lt;&gt;"",MATCH(D28,'激励事件明细'!$A$2:$A$501,0),MATCH(E28,'激励事件明细'!$B$2:$B$501,0))),""))</f>
        <v/>
      </c>
      <c r="D28" s="11" t="n"/>
      <c r="E28" s="11" t="n"/>
      <c r="F28" s="14">
        <f>IF(A28="","",IFERROR(INDEX('激励事件明细'!$Z$2:$Z$501,IF(D28&lt;&gt;"",MATCH(D28,'激励事件明细'!$A$2:$A$501,0),MATCH(E28,'激励事件明细'!$B$2:$B$501,0))),""))</f>
        <v/>
      </c>
      <c r="G28" s="16">
        <f>IF(A28="","",IFERROR(INDEX('激励事件明细'!$AA$2:$AA$501,IF(D28&lt;&gt;"",MATCH(D28,'激励事件明细'!$A$2:$A$501,0),MATCH(E28,'激励事件明细'!$B$2:$B$501,0))),""))</f>
        <v/>
      </c>
      <c r="H28" s="16">
        <f>IF(A28="","",IFERROR(INDEX('激励事件明细'!$AB$2:$AB$501,IF(D28&lt;&gt;"",MATCH(D28,'激励事件明细'!$A$2:$A$501,0),MATCH(E28,'激励事件明细'!$B$2:$B$501,0))),""))</f>
        <v/>
      </c>
      <c r="I28" s="12" t="n"/>
      <c r="J28" s="13" t="n"/>
      <c r="K28" s="13" t="n"/>
      <c r="L28" s="11" t="n"/>
      <c r="M28" s="14">
        <f>IF(A28="","",IF(D28&lt;&gt;"",SUMIFS($K$2:$K$501,$D$2:$D$501,D28),SUMIFS($K$2:$K$501,$E$2:$E$501,E28)))</f>
        <v/>
      </c>
      <c r="N28" s="14">
        <f>IF(F28="","",MAX(0,F28-M28))</f>
        <v/>
      </c>
      <c r="O28" s="6">
        <f>IF(A28="","",IF(AND(I28&lt;&gt;"",I28&gt;H28),"是",IF(AND(TODAY()&gt;H28,N28&gt;0),"是","否")))</f>
        <v/>
      </c>
      <c r="P28" s="16">
        <f>IF(A28="","",IFERROR(INDEX('激励事件明细'!$P$2:$P$501,IF(D28&lt;&gt;"",MATCH(D28,'激励事件明细'!$A$2:$A$501,0),MATCH(E28,'激励事件明细'!$B$2:$B$501,0))),""))</f>
        <v/>
      </c>
      <c r="Q28" s="6">
        <f>IF(AND(D28="",E28=""),"异常：必须关联事件编号或税额批次",IF(AND(D28&lt;&gt;"",COUNTIF('激励事件明细'!$A$2:$A$501,D28)=0),"异常：事件编号不存在",IF(AND(E28&lt;&gt;"",COUNTIF('激励事件明细'!$B$2:$B$501,E28)=0),"异常：税额批次不存在",IF(M28&gt;F28,"异常：本批次超额缴税",IF(AND(I28&lt;&gt;"",I28&gt;H28),"异常：超过事件截止日",IF(AND(P28&lt;&gt;"",TODAY()&gt;=P28,N28&gt;0),"异常：离职前未缴清","正常"))))))</f>
        <v/>
      </c>
      <c r="R28" s="11" t="n"/>
    </row>
    <row r="29">
      <c r="A29" s="6">
        <f>IF(AND(D29="",E29=""),"",IFERROR(INDEX('激励事件明细'!$C$2:$C$501,IF(D29&lt;&gt;"",MATCH(D29,'激励事件明细'!$A$2:$A$501,0),MATCH(E29,'激励事件明细'!$B$2:$B$501,0))),""))</f>
        <v/>
      </c>
      <c r="B29" s="6">
        <f>IF(A29="","",IFERROR(INDEX('激励事件明细'!$D$2:$D$501,IF(D29&lt;&gt;"",MATCH(D29,'激励事件明细'!$A$2:$A$501,0),MATCH(E29,'激励事件明细'!$B$2:$B$501,0))),""))</f>
        <v/>
      </c>
      <c r="C29" s="6">
        <f>IF(A29="","",IFERROR(INDEX('激励事件明细'!$H$2:$H$501,IF(D29&lt;&gt;"",MATCH(D29,'激励事件明细'!$A$2:$A$501,0),MATCH(E29,'激励事件明细'!$B$2:$B$501,0))),""))</f>
        <v/>
      </c>
      <c r="D29" s="11" t="n"/>
      <c r="E29" s="11" t="n"/>
      <c r="F29" s="14">
        <f>IF(A29="","",IFERROR(INDEX('激励事件明细'!$Z$2:$Z$501,IF(D29&lt;&gt;"",MATCH(D29,'激励事件明细'!$A$2:$A$501,0),MATCH(E29,'激励事件明细'!$B$2:$B$501,0))),""))</f>
        <v/>
      </c>
      <c r="G29" s="16">
        <f>IF(A29="","",IFERROR(INDEX('激励事件明细'!$AA$2:$AA$501,IF(D29&lt;&gt;"",MATCH(D29,'激励事件明细'!$A$2:$A$501,0),MATCH(E29,'激励事件明细'!$B$2:$B$501,0))),""))</f>
        <v/>
      </c>
      <c r="H29" s="16">
        <f>IF(A29="","",IFERROR(INDEX('激励事件明细'!$AB$2:$AB$501,IF(D29&lt;&gt;"",MATCH(D29,'激励事件明细'!$A$2:$A$501,0),MATCH(E29,'激励事件明细'!$B$2:$B$501,0))),""))</f>
        <v/>
      </c>
      <c r="I29" s="12" t="n"/>
      <c r="J29" s="13" t="n"/>
      <c r="K29" s="13" t="n"/>
      <c r="L29" s="11" t="n"/>
      <c r="M29" s="14">
        <f>IF(A29="","",IF(D29&lt;&gt;"",SUMIFS($K$2:$K$501,$D$2:$D$501,D29),SUMIFS($K$2:$K$501,$E$2:$E$501,E29)))</f>
        <v/>
      </c>
      <c r="N29" s="14">
        <f>IF(F29="","",MAX(0,F29-M29))</f>
        <v/>
      </c>
      <c r="O29" s="6">
        <f>IF(A29="","",IF(AND(I29&lt;&gt;"",I29&gt;H29),"是",IF(AND(TODAY()&gt;H29,N29&gt;0),"是","否")))</f>
        <v/>
      </c>
      <c r="P29" s="16">
        <f>IF(A29="","",IFERROR(INDEX('激励事件明细'!$P$2:$P$501,IF(D29&lt;&gt;"",MATCH(D29,'激励事件明细'!$A$2:$A$501,0),MATCH(E29,'激励事件明细'!$B$2:$B$501,0))),""))</f>
        <v/>
      </c>
      <c r="Q29" s="6">
        <f>IF(AND(D29="",E29=""),"异常：必须关联事件编号或税额批次",IF(AND(D29&lt;&gt;"",COUNTIF('激励事件明细'!$A$2:$A$501,D29)=0),"异常：事件编号不存在",IF(AND(E29&lt;&gt;"",COUNTIF('激励事件明细'!$B$2:$B$501,E29)=0),"异常：税额批次不存在",IF(M29&gt;F29,"异常：本批次超额缴税",IF(AND(I29&lt;&gt;"",I29&gt;H29),"异常：超过事件截止日",IF(AND(P29&lt;&gt;"",TODAY()&gt;=P29,N29&gt;0),"异常：离职前未缴清","正常"))))))</f>
        <v/>
      </c>
      <c r="R29" s="11" t="n"/>
    </row>
    <row r="30">
      <c r="A30" s="6">
        <f>IF(AND(D30="",E30=""),"",IFERROR(INDEX('激励事件明细'!$C$2:$C$501,IF(D30&lt;&gt;"",MATCH(D30,'激励事件明细'!$A$2:$A$501,0),MATCH(E30,'激励事件明细'!$B$2:$B$501,0))),""))</f>
        <v/>
      </c>
      <c r="B30" s="6">
        <f>IF(A30="","",IFERROR(INDEX('激励事件明细'!$D$2:$D$501,IF(D30&lt;&gt;"",MATCH(D30,'激励事件明细'!$A$2:$A$501,0),MATCH(E30,'激励事件明细'!$B$2:$B$501,0))),""))</f>
        <v/>
      </c>
      <c r="C30" s="6">
        <f>IF(A30="","",IFERROR(INDEX('激励事件明细'!$H$2:$H$501,IF(D30&lt;&gt;"",MATCH(D30,'激励事件明细'!$A$2:$A$501,0),MATCH(E30,'激励事件明细'!$B$2:$B$501,0))),""))</f>
        <v/>
      </c>
      <c r="D30" s="11" t="n"/>
      <c r="E30" s="11" t="n"/>
      <c r="F30" s="14">
        <f>IF(A30="","",IFERROR(INDEX('激励事件明细'!$Z$2:$Z$501,IF(D30&lt;&gt;"",MATCH(D30,'激励事件明细'!$A$2:$A$501,0),MATCH(E30,'激励事件明细'!$B$2:$B$501,0))),""))</f>
        <v/>
      </c>
      <c r="G30" s="16">
        <f>IF(A30="","",IFERROR(INDEX('激励事件明细'!$AA$2:$AA$501,IF(D30&lt;&gt;"",MATCH(D30,'激励事件明细'!$A$2:$A$501,0),MATCH(E30,'激励事件明细'!$B$2:$B$501,0))),""))</f>
        <v/>
      </c>
      <c r="H30" s="16">
        <f>IF(A30="","",IFERROR(INDEX('激励事件明细'!$AB$2:$AB$501,IF(D30&lt;&gt;"",MATCH(D30,'激励事件明细'!$A$2:$A$501,0),MATCH(E30,'激励事件明细'!$B$2:$B$501,0))),""))</f>
        <v/>
      </c>
      <c r="I30" s="12" t="n"/>
      <c r="J30" s="13" t="n"/>
      <c r="K30" s="13" t="n"/>
      <c r="L30" s="11" t="n"/>
      <c r="M30" s="14">
        <f>IF(A30="","",IF(D30&lt;&gt;"",SUMIFS($K$2:$K$501,$D$2:$D$501,D30),SUMIFS($K$2:$K$501,$E$2:$E$501,E30)))</f>
        <v/>
      </c>
      <c r="N30" s="14">
        <f>IF(F30="","",MAX(0,F30-M30))</f>
        <v/>
      </c>
      <c r="O30" s="6">
        <f>IF(A30="","",IF(AND(I30&lt;&gt;"",I30&gt;H30),"是",IF(AND(TODAY()&gt;H30,N30&gt;0),"是","否")))</f>
        <v/>
      </c>
      <c r="P30" s="16">
        <f>IF(A30="","",IFERROR(INDEX('激励事件明细'!$P$2:$P$501,IF(D30&lt;&gt;"",MATCH(D30,'激励事件明细'!$A$2:$A$501,0),MATCH(E30,'激励事件明细'!$B$2:$B$501,0))),""))</f>
        <v/>
      </c>
      <c r="Q30" s="6">
        <f>IF(AND(D30="",E30=""),"异常：必须关联事件编号或税额批次",IF(AND(D30&lt;&gt;"",COUNTIF('激励事件明细'!$A$2:$A$501,D30)=0),"异常：事件编号不存在",IF(AND(E30&lt;&gt;"",COUNTIF('激励事件明细'!$B$2:$B$501,E30)=0),"异常：税额批次不存在",IF(M30&gt;F30,"异常：本批次超额缴税",IF(AND(I30&lt;&gt;"",I30&gt;H30),"异常：超过事件截止日",IF(AND(P30&lt;&gt;"",TODAY()&gt;=P30,N30&gt;0),"异常：离职前未缴清","正常"))))))</f>
        <v/>
      </c>
      <c r="R30" s="11" t="n"/>
    </row>
    <row r="31">
      <c r="A31" s="6">
        <f>IF(AND(D31="",E31=""),"",IFERROR(INDEX('激励事件明细'!$C$2:$C$501,IF(D31&lt;&gt;"",MATCH(D31,'激励事件明细'!$A$2:$A$501,0),MATCH(E31,'激励事件明细'!$B$2:$B$501,0))),""))</f>
        <v/>
      </c>
      <c r="B31" s="6">
        <f>IF(A31="","",IFERROR(INDEX('激励事件明细'!$D$2:$D$501,IF(D31&lt;&gt;"",MATCH(D31,'激励事件明细'!$A$2:$A$501,0),MATCH(E31,'激励事件明细'!$B$2:$B$501,0))),""))</f>
        <v/>
      </c>
      <c r="C31" s="6">
        <f>IF(A31="","",IFERROR(INDEX('激励事件明细'!$H$2:$H$501,IF(D31&lt;&gt;"",MATCH(D31,'激励事件明细'!$A$2:$A$501,0),MATCH(E31,'激励事件明细'!$B$2:$B$501,0))),""))</f>
        <v/>
      </c>
      <c r="D31" s="11" t="n"/>
      <c r="E31" s="11" t="n"/>
      <c r="F31" s="14">
        <f>IF(A31="","",IFERROR(INDEX('激励事件明细'!$Z$2:$Z$501,IF(D31&lt;&gt;"",MATCH(D31,'激励事件明细'!$A$2:$A$501,0),MATCH(E31,'激励事件明细'!$B$2:$B$501,0))),""))</f>
        <v/>
      </c>
      <c r="G31" s="16">
        <f>IF(A31="","",IFERROR(INDEX('激励事件明细'!$AA$2:$AA$501,IF(D31&lt;&gt;"",MATCH(D31,'激励事件明细'!$A$2:$A$501,0),MATCH(E31,'激励事件明细'!$B$2:$B$501,0))),""))</f>
        <v/>
      </c>
      <c r="H31" s="16">
        <f>IF(A31="","",IFERROR(INDEX('激励事件明细'!$AB$2:$AB$501,IF(D31&lt;&gt;"",MATCH(D31,'激励事件明细'!$A$2:$A$501,0),MATCH(E31,'激励事件明细'!$B$2:$B$501,0))),""))</f>
        <v/>
      </c>
      <c r="I31" s="12" t="n"/>
      <c r="J31" s="13" t="n"/>
      <c r="K31" s="13" t="n"/>
      <c r="L31" s="11" t="n"/>
      <c r="M31" s="14">
        <f>IF(A31="","",IF(D31&lt;&gt;"",SUMIFS($K$2:$K$501,$D$2:$D$501,D31),SUMIFS($K$2:$K$501,$E$2:$E$501,E31)))</f>
        <v/>
      </c>
      <c r="N31" s="14">
        <f>IF(F31="","",MAX(0,F31-M31))</f>
        <v/>
      </c>
      <c r="O31" s="6">
        <f>IF(A31="","",IF(AND(I31&lt;&gt;"",I31&gt;H31),"是",IF(AND(TODAY()&gt;H31,N31&gt;0),"是","否")))</f>
        <v/>
      </c>
      <c r="P31" s="16">
        <f>IF(A31="","",IFERROR(INDEX('激励事件明细'!$P$2:$P$501,IF(D31&lt;&gt;"",MATCH(D31,'激励事件明细'!$A$2:$A$501,0),MATCH(E31,'激励事件明细'!$B$2:$B$501,0))),""))</f>
        <v/>
      </c>
      <c r="Q31" s="6">
        <f>IF(AND(D31="",E31=""),"异常：必须关联事件编号或税额批次",IF(AND(D31&lt;&gt;"",COUNTIF('激励事件明细'!$A$2:$A$501,D31)=0),"异常：事件编号不存在",IF(AND(E31&lt;&gt;"",COUNTIF('激励事件明细'!$B$2:$B$501,E31)=0),"异常：税额批次不存在",IF(M31&gt;F31,"异常：本批次超额缴税",IF(AND(I31&lt;&gt;"",I31&gt;H31),"异常：超过事件截止日",IF(AND(P31&lt;&gt;"",TODAY()&gt;=P31,N31&gt;0),"异常：离职前未缴清","正常"))))))</f>
        <v/>
      </c>
      <c r="R31" s="11" t="n"/>
    </row>
    <row r="32">
      <c r="A32" s="6">
        <f>IF(AND(D32="",E32=""),"",IFERROR(INDEX('激励事件明细'!$C$2:$C$501,IF(D32&lt;&gt;"",MATCH(D32,'激励事件明细'!$A$2:$A$501,0),MATCH(E32,'激励事件明细'!$B$2:$B$501,0))),""))</f>
        <v/>
      </c>
      <c r="B32" s="6">
        <f>IF(A32="","",IFERROR(INDEX('激励事件明细'!$D$2:$D$501,IF(D32&lt;&gt;"",MATCH(D32,'激励事件明细'!$A$2:$A$501,0),MATCH(E32,'激励事件明细'!$B$2:$B$501,0))),""))</f>
        <v/>
      </c>
      <c r="C32" s="6">
        <f>IF(A32="","",IFERROR(INDEX('激励事件明细'!$H$2:$H$501,IF(D32&lt;&gt;"",MATCH(D32,'激励事件明细'!$A$2:$A$501,0),MATCH(E32,'激励事件明细'!$B$2:$B$501,0))),""))</f>
        <v/>
      </c>
      <c r="D32" s="11" t="n"/>
      <c r="E32" s="11" t="n"/>
      <c r="F32" s="14">
        <f>IF(A32="","",IFERROR(INDEX('激励事件明细'!$Z$2:$Z$501,IF(D32&lt;&gt;"",MATCH(D32,'激励事件明细'!$A$2:$A$501,0),MATCH(E32,'激励事件明细'!$B$2:$B$501,0))),""))</f>
        <v/>
      </c>
      <c r="G32" s="16">
        <f>IF(A32="","",IFERROR(INDEX('激励事件明细'!$AA$2:$AA$501,IF(D32&lt;&gt;"",MATCH(D32,'激励事件明细'!$A$2:$A$501,0),MATCH(E32,'激励事件明细'!$B$2:$B$501,0))),""))</f>
        <v/>
      </c>
      <c r="H32" s="16">
        <f>IF(A32="","",IFERROR(INDEX('激励事件明细'!$AB$2:$AB$501,IF(D32&lt;&gt;"",MATCH(D32,'激励事件明细'!$A$2:$A$501,0),MATCH(E32,'激励事件明细'!$B$2:$B$501,0))),""))</f>
        <v/>
      </c>
      <c r="I32" s="12" t="n"/>
      <c r="J32" s="13" t="n"/>
      <c r="K32" s="13" t="n"/>
      <c r="L32" s="11" t="n"/>
      <c r="M32" s="14">
        <f>IF(A32="","",IF(D32&lt;&gt;"",SUMIFS($K$2:$K$501,$D$2:$D$501,D32),SUMIFS($K$2:$K$501,$E$2:$E$501,E32)))</f>
        <v/>
      </c>
      <c r="N32" s="14">
        <f>IF(F32="","",MAX(0,F32-M32))</f>
        <v/>
      </c>
      <c r="O32" s="6">
        <f>IF(A32="","",IF(AND(I32&lt;&gt;"",I32&gt;H32),"是",IF(AND(TODAY()&gt;H32,N32&gt;0),"是","否")))</f>
        <v/>
      </c>
      <c r="P32" s="16">
        <f>IF(A32="","",IFERROR(INDEX('激励事件明细'!$P$2:$P$501,IF(D32&lt;&gt;"",MATCH(D32,'激励事件明细'!$A$2:$A$501,0),MATCH(E32,'激励事件明细'!$B$2:$B$501,0))),""))</f>
        <v/>
      </c>
      <c r="Q32" s="6">
        <f>IF(AND(D32="",E32=""),"异常：必须关联事件编号或税额批次",IF(AND(D32&lt;&gt;"",COUNTIF('激励事件明细'!$A$2:$A$501,D32)=0),"异常：事件编号不存在",IF(AND(E32&lt;&gt;"",COUNTIF('激励事件明细'!$B$2:$B$501,E32)=0),"异常：税额批次不存在",IF(M32&gt;F32,"异常：本批次超额缴税",IF(AND(I32&lt;&gt;"",I32&gt;H32),"异常：超过事件截止日",IF(AND(P32&lt;&gt;"",TODAY()&gt;=P32,N32&gt;0),"异常：离职前未缴清","正常"))))))</f>
        <v/>
      </c>
      <c r="R32" s="11" t="n"/>
    </row>
    <row r="33">
      <c r="A33" s="6">
        <f>IF(AND(D33="",E33=""),"",IFERROR(INDEX('激励事件明细'!$C$2:$C$501,IF(D33&lt;&gt;"",MATCH(D33,'激励事件明细'!$A$2:$A$501,0),MATCH(E33,'激励事件明细'!$B$2:$B$501,0))),""))</f>
        <v/>
      </c>
      <c r="B33" s="6">
        <f>IF(A33="","",IFERROR(INDEX('激励事件明细'!$D$2:$D$501,IF(D33&lt;&gt;"",MATCH(D33,'激励事件明细'!$A$2:$A$501,0),MATCH(E33,'激励事件明细'!$B$2:$B$501,0))),""))</f>
        <v/>
      </c>
      <c r="C33" s="6">
        <f>IF(A33="","",IFERROR(INDEX('激励事件明细'!$H$2:$H$501,IF(D33&lt;&gt;"",MATCH(D33,'激励事件明细'!$A$2:$A$501,0),MATCH(E33,'激励事件明细'!$B$2:$B$501,0))),""))</f>
        <v/>
      </c>
      <c r="D33" s="11" t="n"/>
      <c r="E33" s="11" t="n"/>
      <c r="F33" s="14">
        <f>IF(A33="","",IFERROR(INDEX('激励事件明细'!$Z$2:$Z$501,IF(D33&lt;&gt;"",MATCH(D33,'激励事件明细'!$A$2:$A$501,0),MATCH(E33,'激励事件明细'!$B$2:$B$501,0))),""))</f>
        <v/>
      </c>
      <c r="G33" s="16">
        <f>IF(A33="","",IFERROR(INDEX('激励事件明细'!$AA$2:$AA$501,IF(D33&lt;&gt;"",MATCH(D33,'激励事件明细'!$A$2:$A$501,0),MATCH(E33,'激励事件明细'!$B$2:$B$501,0))),""))</f>
        <v/>
      </c>
      <c r="H33" s="16">
        <f>IF(A33="","",IFERROR(INDEX('激励事件明细'!$AB$2:$AB$501,IF(D33&lt;&gt;"",MATCH(D33,'激励事件明细'!$A$2:$A$501,0),MATCH(E33,'激励事件明细'!$B$2:$B$501,0))),""))</f>
        <v/>
      </c>
      <c r="I33" s="12" t="n"/>
      <c r="J33" s="13" t="n"/>
      <c r="K33" s="13" t="n"/>
      <c r="L33" s="11" t="n"/>
      <c r="M33" s="14">
        <f>IF(A33="","",IF(D33&lt;&gt;"",SUMIFS($K$2:$K$501,$D$2:$D$501,D33),SUMIFS($K$2:$K$501,$E$2:$E$501,E33)))</f>
        <v/>
      </c>
      <c r="N33" s="14">
        <f>IF(F33="","",MAX(0,F33-M33))</f>
        <v/>
      </c>
      <c r="O33" s="6">
        <f>IF(A33="","",IF(AND(I33&lt;&gt;"",I33&gt;H33),"是",IF(AND(TODAY()&gt;H33,N33&gt;0),"是","否")))</f>
        <v/>
      </c>
      <c r="P33" s="16">
        <f>IF(A33="","",IFERROR(INDEX('激励事件明细'!$P$2:$P$501,IF(D33&lt;&gt;"",MATCH(D33,'激励事件明细'!$A$2:$A$501,0),MATCH(E33,'激励事件明细'!$B$2:$B$501,0))),""))</f>
        <v/>
      </c>
      <c r="Q33" s="6">
        <f>IF(AND(D33="",E33=""),"异常：必须关联事件编号或税额批次",IF(AND(D33&lt;&gt;"",COUNTIF('激励事件明细'!$A$2:$A$501,D33)=0),"异常：事件编号不存在",IF(AND(E33&lt;&gt;"",COUNTIF('激励事件明细'!$B$2:$B$501,E33)=0),"异常：税额批次不存在",IF(M33&gt;F33,"异常：本批次超额缴税",IF(AND(I33&lt;&gt;"",I33&gt;H33),"异常：超过事件截止日",IF(AND(P33&lt;&gt;"",TODAY()&gt;=P33,N33&gt;0),"异常：离职前未缴清","正常"))))))</f>
        <v/>
      </c>
      <c r="R33" s="11" t="n"/>
    </row>
    <row r="34">
      <c r="A34" s="6">
        <f>IF(AND(D34="",E34=""),"",IFERROR(INDEX('激励事件明细'!$C$2:$C$501,IF(D34&lt;&gt;"",MATCH(D34,'激励事件明细'!$A$2:$A$501,0),MATCH(E34,'激励事件明细'!$B$2:$B$501,0))),""))</f>
        <v/>
      </c>
      <c r="B34" s="6">
        <f>IF(A34="","",IFERROR(INDEX('激励事件明细'!$D$2:$D$501,IF(D34&lt;&gt;"",MATCH(D34,'激励事件明细'!$A$2:$A$501,0),MATCH(E34,'激励事件明细'!$B$2:$B$501,0))),""))</f>
        <v/>
      </c>
      <c r="C34" s="6">
        <f>IF(A34="","",IFERROR(INDEX('激励事件明细'!$H$2:$H$501,IF(D34&lt;&gt;"",MATCH(D34,'激励事件明细'!$A$2:$A$501,0),MATCH(E34,'激励事件明细'!$B$2:$B$501,0))),""))</f>
        <v/>
      </c>
      <c r="D34" s="11" t="n"/>
      <c r="E34" s="11" t="n"/>
      <c r="F34" s="14">
        <f>IF(A34="","",IFERROR(INDEX('激励事件明细'!$Z$2:$Z$501,IF(D34&lt;&gt;"",MATCH(D34,'激励事件明细'!$A$2:$A$501,0),MATCH(E34,'激励事件明细'!$B$2:$B$501,0))),""))</f>
        <v/>
      </c>
      <c r="G34" s="16">
        <f>IF(A34="","",IFERROR(INDEX('激励事件明细'!$AA$2:$AA$501,IF(D34&lt;&gt;"",MATCH(D34,'激励事件明细'!$A$2:$A$501,0),MATCH(E34,'激励事件明细'!$B$2:$B$501,0))),""))</f>
        <v/>
      </c>
      <c r="H34" s="16">
        <f>IF(A34="","",IFERROR(INDEX('激励事件明细'!$AB$2:$AB$501,IF(D34&lt;&gt;"",MATCH(D34,'激励事件明细'!$A$2:$A$501,0),MATCH(E34,'激励事件明细'!$B$2:$B$501,0))),""))</f>
        <v/>
      </c>
      <c r="I34" s="12" t="n"/>
      <c r="J34" s="13" t="n"/>
      <c r="K34" s="13" t="n"/>
      <c r="L34" s="11" t="n"/>
      <c r="M34" s="14">
        <f>IF(A34="","",IF(D34&lt;&gt;"",SUMIFS($K$2:$K$501,$D$2:$D$501,D34),SUMIFS($K$2:$K$501,$E$2:$E$501,E34)))</f>
        <v/>
      </c>
      <c r="N34" s="14">
        <f>IF(F34="","",MAX(0,F34-M34))</f>
        <v/>
      </c>
      <c r="O34" s="6">
        <f>IF(A34="","",IF(AND(I34&lt;&gt;"",I34&gt;H34),"是",IF(AND(TODAY()&gt;H34,N34&gt;0),"是","否")))</f>
        <v/>
      </c>
      <c r="P34" s="16">
        <f>IF(A34="","",IFERROR(INDEX('激励事件明细'!$P$2:$P$501,IF(D34&lt;&gt;"",MATCH(D34,'激励事件明细'!$A$2:$A$501,0),MATCH(E34,'激励事件明细'!$B$2:$B$501,0))),""))</f>
        <v/>
      </c>
      <c r="Q34" s="6">
        <f>IF(AND(D34="",E34=""),"异常：必须关联事件编号或税额批次",IF(AND(D34&lt;&gt;"",COUNTIF('激励事件明细'!$A$2:$A$501,D34)=0),"异常：事件编号不存在",IF(AND(E34&lt;&gt;"",COUNTIF('激励事件明细'!$B$2:$B$501,E34)=0),"异常：税额批次不存在",IF(M34&gt;F34,"异常：本批次超额缴税",IF(AND(I34&lt;&gt;"",I34&gt;H34),"异常：超过事件截止日",IF(AND(P34&lt;&gt;"",TODAY()&gt;=P34,N34&gt;0),"异常：离职前未缴清","正常"))))))</f>
        <v/>
      </c>
      <c r="R34" s="11" t="n"/>
    </row>
    <row r="35">
      <c r="A35" s="6">
        <f>IF(AND(D35="",E35=""),"",IFERROR(INDEX('激励事件明细'!$C$2:$C$501,IF(D35&lt;&gt;"",MATCH(D35,'激励事件明细'!$A$2:$A$501,0),MATCH(E35,'激励事件明细'!$B$2:$B$501,0))),""))</f>
        <v/>
      </c>
      <c r="B35" s="6">
        <f>IF(A35="","",IFERROR(INDEX('激励事件明细'!$D$2:$D$501,IF(D35&lt;&gt;"",MATCH(D35,'激励事件明细'!$A$2:$A$501,0),MATCH(E35,'激励事件明细'!$B$2:$B$501,0))),""))</f>
        <v/>
      </c>
      <c r="C35" s="6">
        <f>IF(A35="","",IFERROR(INDEX('激励事件明细'!$H$2:$H$501,IF(D35&lt;&gt;"",MATCH(D35,'激励事件明细'!$A$2:$A$501,0),MATCH(E35,'激励事件明细'!$B$2:$B$501,0))),""))</f>
        <v/>
      </c>
      <c r="D35" s="11" t="n"/>
      <c r="E35" s="11" t="n"/>
      <c r="F35" s="14">
        <f>IF(A35="","",IFERROR(INDEX('激励事件明细'!$Z$2:$Z$501,IF(D35&lt;&gt;"",MATCH(D35,'激励事件明细'!$A$2:$A$501,0),MATCH(E35,'激励事件明细'!$B$2:$B$501,0))),""))</f>
        <v/>
      </c>
      <c r="G35" s="16">
        <f>IF(A35="","",IFERROR(INDEX('激励事件明细'!$AA$2:$AA$501,IF(D35&lt;&gt;"",MATCH(D35,'激励事件明细'!$A$2:$A$501,0),MATCH(E35,'激励事件明细'!$B$2:$B$501,0))),""))</f>
        <v/>
      </c>
      <c r="H35" s="16">
        <f>IF(A35="","",IFERROR(INDEX('激励事件明细'!$AB$2:$AB$501,IF(D35&lt;&gt;"",MATCH(D35,'激励事件明细'!$A$2:$A$501,0),MATCH(E35,'激励事件明细'!$B$2:$B$501,0))),""))</f>
        <v/>
      </c>
      <c r="I35" s="12" t="n"/>
      <c r="J35" s="13" t="n"/>
      <c r="K35" s="13" t="n"/>
      <c r="L35" s="11" t="n"/>
      <c r="M35" s="14">
        <f>IF(A35="","",IF(D35&lt;&gt;"",SUMIFS($K$2:$K$501,$D$2:$D$501,D35),SUMIFS($K$2:$K$501,$E$2:$E$501,E35)))</f>
        <v/>
      </c>
      <c r="N35" s="14">
        <f>IF(F35="","",MAX(0,F35-M35))</f>
        <v/>
      </c>
      <c r="O35" s="6">
        <f>IF(A35="","",IF(AND(I35&lt;&gt;"",I35&gt;H35),"是",IF(AND(TODAY()&gt;H35,N35&gt;0),"是","否")))</f>
        <v/>
      </c>
      <c r="P35" s="16">
        <f>IF(A35="","",IFERROR(INDEX('激励事件明细'!$P$2:$P$501,IF(D35&lt;&gt;"",MATCH(D35,'激励事件明细'!$A$2:$A$501,0),MATCH(E35,'激励事件明细'!$B$2:$B$501,0))),""))</f>
        <v/>
      </c>
      <c r="Q35" s="6">
        <f>IF(AND(D35="",E35=""),"异常：必须关联事件编号或税额批次",IF(AND(D35&lt;&gt;"",COUNTIF('激励事件明细'!$A$2:$A$501,D35)=0),"异常：事件编号不存在",IF(AND(E35&lt;&gt;"",COUNTIF('激励事件明细'!$B$2:$B$501,E35)=0),"异常：税额批次不存在",IF(M35&gt;F35,"异常：本批次超额缴税",IF(AND(I35&lt;&gt;"",I35&gt;H35),"异常：超过事件截止日",IF(AND(P35&lt;&gt;"",TODAY()&gt;=P35,N35&gt;0),"异常：离职前未缴清","正常"))))))</f>
        <v/>
      </c>
      <c r="R35" s="11" t="n"/>
    </row>
    <row r="36">
      <c r="A36" s="6">
        <f>IF(AND(D36="",E36=""),"",IFERROR(INDEX('激励事件明细'!$C$2:$C$501,IF(D36&lt;&gt;"",MATCH(D36,'激励事件明细'!$A$2:$A$501,0),MATCH(E36,'激励事件明细'!$B$2:$B$501,0))),""))</f>
        <v/>
      </c>
      <c r="B36" s="6">
        <f>IF(A36="","",IFERROR(INDEX('激励事件明细'!$D$2:$D$501,IF(D36&lt;&gt;"",MATCH(D36,'激励事件明细'!$A$2:$A$501,0),MATCH(E36,'激励事件明细'!$B$2:$B$501,0))),""))</f>
        <v/>
      </c>
      <c r="C36" s="6">
        <f>IF(A36="","",IFERROR(INDEX('激励事件明细'!$H$2:$H$501,IF(D36&lt;&gt;"",MATCH(D36,'激励事件明细'!$A$2:$A$501,0),MATCH(E36,'激励事件明细'!$B$2:$B$501,0))),""))</f>
        <v/>
      </c>
      <c r="D36" s="11" t="n"/>
      <c r="E36" s="11" t="n"/>
      <c r="F36" s="14">
        <f>IF(A36="","",IFERROR(INDEX('激励事件明细'!$Z$2:$Z$501,IF(D36&lt;&gt;"",MATCH(D36,'激励事件明细'!$A$2:$A$501,0),MATCH(E36,'激励事件明细'!$B$2:$B$501,0))),""))</f>
        <v/>
      </c>
      <c r="G36" s="16">
        <f>IF(A36="","",IFERROR(INDEX('激励事件明细'!$AA$2:$AA$501,IF(D36&lt;&gt;"",MATCH(D36,'激励事件明细'!$A$2:$A$501,0),MATCH(E36,'激励事件明细'!$B$2:$B$501,0))),""))</f>
        <v/>
      </c>
      <c r="H36" s="16">
        <f>IF(A36="","",IFERROR(INDEX('激励事件明细'!$AB$2:$AB$501,IF(D36&lt;&gt;"",MATCH(D36,'激励事件明细'!$A$2:$A$501,0),MATCH(E36,'激励事件明细'!$B$2:$B$501,0))),""))</f>
        <v/>
      </c>
      <c r="I36" s="12" t="n"/>
      <c r="J36" s="13" t="n"/>
      <c r="K36" s="13" t="n"/>
      <c r="L36" s="11" t="n"/>
      <c r="M36" s="14">
        <f>IF(A36="","",IF(D36&lt;&gt;"",SUMIFS($K$2:$K$501,$D$2:$D$501,D36),SUMIFS($K$2:$K$501,$E$2:$E$501,E36)))</f>
        <v/>
      </c>
      <c r="N36" s="14">
        <f>IF(F36="","",MAX(0,F36-M36))</f>
        <v/>
      </c>
      <c r="O36" s="6">
        <f>IF(A36="","",IF(AND(I36&lt;&gt;"",I36&gt;H36),"是",IF(AND(TODAY()&gt;H36,N36&gt;0),"是","否")))</f>
        <v/>
      </c>
      <c r="P36" s="16">
        <f>IF(A36="","",IFERROR(INDEX('激励事件明细'!$P$2:$P$501,IF(D36&lt;&gt;"",MATCH(D36,'激励事件明细'!$A$2:$A$501,0),MATCH(E36,'激励事件明细'!$B$2:$B$501,0))),""))</f>
        <v/>
      </c>
      <c r="Q36" s="6">
        <f>IF(AND(D36="",E36=""),"异常：必须关联事件编号或税额批次",IF(AND(D36&lt;&gt;"",COUNTIF('激励事件明细'!$A$2:$A$501,D36)=0),"异常：事件编号不存在",IF(AND(E36&lt;&gt;"",COUNTIF('激励事件明细'!$B$2:$B$501,E36)=0),"异常：税额批次不存在",IF(M36&gt;F36,"异常：本批次超额缴税",IF(AND(I36&lt;&gt;"",I36&gt;H36),"异常：超过事件截止日",IF(AND(P36&lt;&gt;"",TODAY()&gt;=P36,N36&gt;0),"异常：离职前未缴清","正常"))))))</f>
        <v/>
      </c>
      <c r="R36" s="11" t="n"/>
    </row>
    <row r="37">
      <c r="A37" s="6">
        <f>IF(AND(D37="",E37=""),"",IFERROR(INDEX('激励事件明细'!$C$2:$C$501,IF(D37&lt;&gt;"",MATCH(D37,'激励事件明细'!$A$2:$A$501,0),MATCH(E37,'激励事件明细'!$B$2:$B$501,0))),""))</f>
        <v/>
      </c>
      <c r="B37" s="6">
        <f>IF(A37="","",IFERROR(INDEX('激励事件明细'!$D$2:$D$501,IF(D37&lt;&gt;"",MATCH(D37,'激励事件明细'!$A$2:$A$501,0),MATCH(E37,'激励事件明细'!$B$2:$B$501,0))),""))</f>
        <v/>
      </c>
      <c r="C37" s="6">
        <f>IF(A37="","",IFERROR(INDEX('激励事件明细'!$H$2:$H$501,IF(D37&lt;&gt;"",MATCH(D37,'激励事件明细'!$A$2:$A$501,0),MATCH(E37,'激励事件明细'!$B$2:$B$501,0))),""))</f>
        <v/>
      </c>
      <c r="D37" s="11" t="n"/>
      <c r="E37" s="11" t="n"/>
      <c r="F37" s="14">
        <f>IF(A37="","",IFERROR(INDEX('激励事件明细'!$Z$2:$Z$501,IF(D37&lt;&gt;"",MATCH(D37,'激励事件明细'!$A$2:$A$501,0),MATCH(E37,'激励事件明细'!$B$2:$B$501,0))),""))</f>
        <v/>
      </c>
      <c r="G37" s="16">
        <f>IF(A37="","",IFERROR(INDEX('激励事件明细'!$AA$2:$AA$501,IF(D37&lt;&gt;"",MATCH(D37,'激励事件明细'!$A$2:$A$501,0),MATCH(E37,'激励事件明细'!$B$2:$B$501,0))),""))</f>
        <v/>
      </c>
      <c r="H37" s="16">
        <f>IF(A37="","",IFERROR(INDEX('激励事件明细'!$AB$2:$AB$501,IF(D37&lt;&gt;"",MATCH(D37,'激励事件明细'!$A$2:$A$501,0),MATCH(E37,'激励事件明细'!$B$2:$B$501,0))),""))</f>
        <v/>
      </c>
      <c r="I37" s="12" t="n"/>
      <c r="J37" s="13" t="n"/>
      <c r="K37" s="13" t="n"/>
      <c r="L37" s="11" t="n"/>
      <c r="M37" s="14">
        <f>IF(A37="","",IF(D37&lt;&gt;"",SUMIFS($K$2:$K$501,$D$2:$D$501,D37),SUMIFS($K$2:$K$501,$E$2:$E$501,E37)))</f>
        <v/>
      </c>
      <c r="N37" s="14">
        <f>IF(F37="","",MAX(0,F37-M37))</f>
        <v/>
      </c>
      <c r="O37" s="6">
        <f>IF(A37="","",IF(AND(I37&lt;&gt;"",I37&gt;H37),"是",IF(AND(TODAY()&gt;H37,N37&gt;0),"是","否")))</f>
        <v/>
      </c>
      <c r="P37" s="16">
        <f>IF(A37="","",IFERROR(INDEX('激励事件明细'!$P$2:$P$501,IF(D37&lt;&gt;"",MATCH(D37,'激励事件明细'!$A$2:$A$501,0),MATCH(E37,'激励事件明细'!$B$2:$B$501,0))),""))</f>
        <v/>
      </c>
      <c r="Q37" s="6">
        <f>IF(AND(D37="",E37=""),"异常：必须关联事件编号或税额批次",IF(AND(D37&lt;&gt;"",COUNTIF('激励事件明细'!$A$2:$A$501,D37)=0),"异常：事件编号不存在",IF(AND(E37&lt;&gt;"",COUNTIF('激励事件明细'!$B$2:$B$501,E37)=0),"异常：税额批次不存在",IF(M37&gt;F37,"异常：本批次超额缴税",IF(AND(I37&lt;&gt;"",I37&gt;H37),"异常：超过事件截止日",IF(AND(P37&lt;&gt;"",TODAY()&gt;=P37,N37&gt;0),"异常：离职前未缴清","正常"))))))</f>
        <v/>
      </c>
      <c r="R37" s="11" t="n"/>
    </row>
    <row r="38">
      <c r="A38" s="6">
        <f>IF(AND(D38="",E38=""),"",IFERROR(INDEX('激励事件明细'!$C$2:$C$501,IF(D38&lt;&gt;"",MATCH(D38,'激励事件明细'!$A$2:$A$501,0),MATCH(E38,'激励事件明细'!$B$2:$B$501,0))),""))</f>
        <v/>
      </c>
      <c r="B38" s="6">
        <f>IF(A38="","",IFERROR(INDEX('激励事件明细'!$D$2:$D$501,IF(D38&lt;&gt;"",MATCH(D38,'激励事件明细'!$A$2:$A$501,0),MATCH(E38,'激励事件明细'!$B$2:$B$501,0))),""))</f>
        <v/>
      </c>
      <c r="C38" s="6">
        <f>IF(A38="","",IFERROR(INDEX('激励事件明细'!$H$2:$H$501,IF(D38&lt;&gt;"",MATCH(D38,'激励事件明细'!$A$2:$A$501,0),MATCH(E38,'激励事件明细'!$B$2:$B$501,0))),""))</f>
        <v/>
      </c>
      <c r="D38" s="11" t="n"/>
      <c r="E38" s="11" t="n"/>
      <c r="F38" s="14">
        <f>IF(A38="","",IFERROR(INDEX('激励事件明细'!$Z$2:$Z$501,IF(D38&lt;&gt;"",MATCH(D38,'激励事件明细'!$A$2:$A$501,0),MATCH(E38,'激励事件明细'!$B$2:$B$501,0))),""))</f>
        <v/>
      </c>
      <c r="G38" s="16">
        <f>IF(A38="","",IFERROR(INDEX('激励事件明细'!$AA$2:$AA$501,IF(D38&lt;&gt;"",MATCH(D38,'激励事件明细'!$A$2:$A$501,0),MATCH(E38,'激励事件明细'!$B$2:$B$501,0))),""))</f>
        <v/>
      </c>
      <c r="H38" s="16">
        <f>IF(A38="","",IFERROR(INDEX('激励事件明细'!$AB$2:$AB$501,IF(D38&lt;&gt;"",MATCH(D38,'激励事件明细'!$A$2:$A$501,0),MATCH(E38,'激励事件明细'!$B$2:$B$501,0))),""))</f>
        <v/>
      </c>
      <c r="I38" s="12" t="n"/>
      <c r="J38" s="13" t="n"/>
      <c r="K38" s="13" t="n"/>
      <c r="L38" s="11" t="n"/>
      <c r="M38" s="14">
        <f>IF(A38="","",IF(D38&lt;&gt;"",SUMIFS($K$2:$K$501,$D$2:$D$501,D38),SUMIFS($K$2:$K$501,$E$2:$E$501,E38)))</f>
        <v/>
      </c>
      <c r="N38" s="14">
        <f>IF(F38="","",MAX(0,F38-M38))</f>
        <v/>
      </c>
      <c r="O38" s="6">
        <f>IF(A38="","",IF(AND(I38&lt;&gt;"",I38&gt;H38),"是",IF(AND(TODAY()&gt;H38,N38&gt;0),"是","否")))</f>
        <v/>
      </c>
      <c r="P38" s="16">
        <f>IF(A38="","",IFERROR(INDEX('激励事件明细'!$P$2:$P$501,IF(D38&lt;&gt;"",MATCH(D38,'激励事件明细'!$A$2:$A$501,0),MATCH(E38,'激励事件明细'!$B$2:$B$501,0))),""))</f>
        <v/>
      </c>
      <c r="Q38" s="6">
        <f>IF(AND(D38="",E38=""),"异常：必须关联事件编号或税额批次",IF(AND(D38&lt;&gt;"",COUNTIF('激励事件明细'!$A$2:$A$501,D38)=0),"异常：事件编号不存在",IF(AND(E38&lt;&gt;"",COUNTIF('激励事件明细'!$B$2:$B$501,E38)=0),"异常：税额批次不存在",IF(M38&gt;F38,"异常：本批次超额缴税",IF(AND(I38&lt;&gt;"",I38&gt;H38),"异常：超过事件截止日",IF(AND(P38&lt;&gt;"",TODAY()&gt;=P38,N38&gt;0),"异常：离职前未缴清","正常"))))))</f>
        <v/>
      </c>
      <c r="R38" s="11" t="n"/>
    </row>
    <row r="39">
      <c r="A39" s="6">
        <f>IF(AND(D39="",E39=""),"",IFERROR(INDEX('激励事件明细'!$C$2:$C$501,IF(D39&lt;&gt;"",MATCH(D39,'激励事件明细'!$A$2:$A$501,0),MATCH(E39,'激励事件明细'!$B$2:$B$501,0))),""))</f>
        <v/>
      </c>
      <c r="B39" s="6">
        <f>IF(A39="","",IFERROR(INDEX('激励事件明细'!$D$2:$D$501,IF(D39&lt;&gt;"",MATCH(D39,'激励事件明细'!$A$2:$A$501,0),MATCH(E39,'激励事件明细'!$B$2:$B$501,0))),""))</f>
        <v/>
      </c>
      <c r="C39" s="6">
        <f>IF(A39="","",IFERROR(INDEX('激励事件明细'!$H$2:$H$501,IF(D39&lt;&gt;"",MATCH(D39,'激励事件明细'!$A$2:$A$501,0),MATCH(E39,'激励事件明细'!$B$2:$B$501,0))),""))</f>
        <v/>
      </c>
      <c r="D39" s="11" t="n"/>
      <c r="E39" s="11" t="n"/>
      <c r="F39" s="14">
        <f>IF(A39="","",IFERROR(INDEX('激励事件明细'!$Z$2:$Z$501,IF(D39&lt;&gt;"",MATCH(D39,'激励事件明细'!$A$2:$A$501,0),MATCH(E39,'激励事件明细'!$B$2:$B$501,0))),""))</f>
        <v/>
      </c>
      <c r="G39" s="16">
        <f>IF(A39="","",IFERROR(INDEX('激励事件明细'!$AA$2:$AA$501,IF(D39&lt;&gt;"",MATCH(D39,'激励事件明细'!$A$2:$A$501,0),MATCH(E39,'激励事件明细'!$B$2:$B$501,0))),""))</f>
        <v/>
      </c>
      <c r="H39" s="16">
        <f>IF(A39="","",IFERROR(INDEX('激励事件明细'!$AB$2:$AB$501,IF(D39&lt;&gt;"",MATCH(D39,'激励事件明细'!$A$2:$A$501,0),MATCH(E39,'激励事件明细'!$B$2:$B$501,0))),""))</f>
        <v/>
      </c>
      <c r="I39" s="12" t="n"/>
      <c r="J39" s="13" t="n"/>
      <c r="K39" s="13" t="n"/>
      <c r="L39" s="11" t="n"/>
      <c r="M39" s="14">
        <f>IF(A39="","",IF(D39&lt;&gt;"",SUMIFS($K$2:$K$501,$D$2:$D$501,D39),SUMIFS($K$2:$K$501,$E$2:$E$501,E39)))</f>
        <v/>
      </c>
      <c r="N39" s="14">
        <f>IF(F39="","",MAX(0,F39-M39))</f>
        <v/>
      </c>
      <c r="O39" s="6">
        <f>IF(A39="","",IF(AND(I39&lt;&gt;"",I39&gt;H39),"是",IF(AND(TODAY()&gt;H39,N39&gt;0),"是","否")))</f>
        <v/>
      </c>
      <c r="P39" s="16">
        <f>IF(A39="","",IFERROR(INDEX('激励事件明细'!$P$2:$P$501,IF(D39&lt;&gt;"",MATCH(D39,'激励事件明细'!$A$2:$A$501,0),MATCH(E39,'激励事件明细'!$B$2:$B$501,0))),""))</f>
        <v/>
      </c>
      <c r="Q39" s="6">
        <f>IF(AND(D39="",E39=""),"异常：必须关联事件编号或税额批次",IF(AND(D39&lt;&gt;"",COUNTIF('激励事件明细'!$A$2:$A$501,D39)=0),"异常：事件编号不存在",IF(AND(E39&lt;&gt;"",COUNTIF('激励事件明细'!$B$2:$B$501,E39)=0),"异常：税额批次不存在",IF(M39&gt;F39,"异常：本批次超额缴税",IF(AND(I39&lt;&gt;"",I39&gt;H39),"异常：超过事件截止日",IF(AND(P39&lt;&gt;"",TODAY()&gt;=P39,N39&gt;0),"异常：离职前未缴清","正常"))))))</f>
        <v/>
      </c>
      <c r="R39" s="11" t="n"/>
    </row>
    <row r="40">
      <c r="A40" s="6">
        <f>IF(AND(D40="",E40=""),"",IFERROR(INDEX('激励事件明细'!$C$2:$C$501,IF(D40&lt;&gt;"",MATCH(D40,'激励事件明细'!$A$2:$A$501,0),MATCH(E40,'激励事件明细'!$B$2:$B$501,0))),""))</f>
        <v/>
      </c>
      <c r="B40" s="6">
        <f>IF(A40="","",IFERROR(INDEX('激励事件明细'!$D$2:$D$501,IF(D40&lt;&gt;"",MATCH(D40,'激励事件明细'!$A$2:$A$501,0),MATCH(E40,'激励事件明细'!$B$2:$B$501,0))),""))</f>
        <v/>
      </c>
      <c r="C40" s="6">
        <f>IF(A40="","",IFERROR(INDEX('激励事件明细'!$H$2:$H$501,IF(D40&lt;&gt;"",MATCH(D40,'激励事件明细'!$A$2:$A$501,0),MATCH(E40,'激励事件明细'!$B$2:$B$501,0))),""))</f>
        <v/>
      </c>
      <c r="D40" s="11" t="n"/>
      <c r="E40" s="11" t="n"/>
      <c r="F40" s="14">
        <f>IF(A40="","",IFERROR(INDEX('激励事件明细'!$Z$2:$Z$501,IF(D40&lt;&gt;"",MATCH(D40,'激励事件明细'!$A$2:$A$501,0),MATCH(E40,'激励事件明细'!$B$2:$B$501,0))),""))</f>
        <v/>
      </c>
      <c r="G40" s="16">
        <f>IF(A40="","",IFERROR(INDEX('激励事件明细'!$AA$2:$AA$501,IF(D40&lt;&gt;"",MATCH(D40,'激励事件明细'!$A$2:$A$501,0),MATCH(E40,'激励事件明细'!$B$2:$B$501,0))),""))</f>
        <v/>
      </c>
      <c r="H40" s="16">
        <f>IF(A40="","",IFERROR(INDEX('激励事件明细'!$AB$2:$AB$501,IF(D40&lt;&gt;"",MATCH(D40,'激励事件明细'!$A$2:$A$501,0),MATCH(E40,'激励事件明细'!$B$2:$B$501,0))),""))</f>
        <v/>
      </c>
      <c r="I40" s="12" t="n"/>
      <c r="J40" s="13" t="n"/>
      <c r="K40" s="13" t="n"/>
      <c r="L40" s="11" t="n"/>
      <c r="M40" s="14">
        <f>IF(A40="","",IF(D40&lt;&gt;"",SUMIFS($K$2:$K$501,$D$2:$D$501,D40),SUMIFS($K$2:$K$501,$E$2:$E$501,E40)))</f>
        <v/>
      </c>
      <c r="N40" s="14">
        <f>IF(F40="","",MAX(0,F40-M40))</f>
        <v/>
      </c>
      <c r="O40" s="6">
        <f>IF(A40="","",IF(AND(I40&lt;&gt;"",I40&gt;H40),"是",IF(AND(TODAY()&gt;H40,N40&gt;0),"是","否")))</f>
        <v/>
      </c>
      <c r="P40" s="16">
        <f>IF(A40="","",IFERROR(INDEX('激励事件明细'!$P$2:$P$501,IF(D40&lt;&gt;"",MATCH(D40,'激励事件明细'!$A$2:$A$501,0),MATCH(E40,'激励事件明细'!$B$2:$B$501,0))),""))</f>
        <v/>
      </c>
      <c r="Q40" s="6">
        <f>IF(AND(D40="",E40=""),"异常：必须关联事件编号或税额批次",IF(AND(D40&lt;&gt;"",COUNTIF('激励事件明细'!$A$2:$A$501,D40)=0),"异常：事件编号不存在",IF(AND(E40&lt;&gt;"",COUNTIF('激励事件明细'!$B$2:$B$501,E40)=0),"异常：税额批次不存在",IF(M40&gt;F40,"异常：本批次超额缴税",IF(AND(I40&lt;&gt;"",I40&gt;H40),"异常：超过事件截止日",IF(AND(P40&lt;&gt;"",TODAY()&gt;=P40,N40&gt;0),"异常：离职前未缴清","正常"))))))</f>
        <v/>
      </c>
      <c r="R40" s="11" t="n"/>
    </row>
    <row r="41">
      <c r="A41" s="6">
        <f>IF(AND(D41="",E41=""),"",IFERROR(INDEX('激励事件明细'!$C$2:$C$501,IF(D41&lt;&gt;"",MATCH(D41,'激励事件明细'!$A$2:$A$501,0),MATCH(E41,'激励事件明细'!$B$2:$B$501,0))),""))</f>
        <v/>
      </c>
      <c r="B41" s="6">
        <f>IF(A41="","",IFERROR(INDEX('激励事件明细'!$D$2:$D$501,IF(D41&lt;&gt;"",MATCH(D41,'激励事件明细'!$A$2:$A$501,0),MATCH(E41,'激励事件明细'!$B$2:$B$501,0))),""))</f>
        <v/>
      </c>
      <c r="C41" s="6">
        <f>IF(A41="","",IFERROR(INDEX('激励事件明细'!$H$2:$H$501,IF(D41&lt;&gt;"",MATCH(D41,'激励事件明细'!$A$2:$A$501,0),MATCH(E41,'激励事件明细'!$B$2:$B$501,0))),""))</f>
        <v/>
      </c>
      <c r="D41" s="11" t="n"/>
      <c r="E41" s="11" t="n"/>
      <c r="F41" s="14">
        <f>IF(A41="","",IFERROR(INDEX('激励事件明细'!$Z$2:$Z$501,IF(D41&lt;&gt;"",MATCH(D41,'激励事件明细'!$A$2:$A$501,0),MATCH(E41,'激励事件明细'!$B$2:$B$501,0))),""))</f>
        <v/>
      </c>
      <c r="G41" s="16">
        <f>IF(A41="","",IFERROR(INDEX('激励事件明细'!$AA$2:$AA$501,IF(D41&lt;&gt;"",MATCH(D41,'激励事件明细'!$A$2:$A$501,0),MATCH(E41,'激励事件明细'!$B$2:$B$501,0))),""))</f>
        <v/>
      </c>
      <c r="H41" s="16">
        <f>IF(A41="","",IFERROR(INDEX('激励事件明细'!$AB$2:$AB$501,IF(D41&lt;&gt;"",MATCH(D41,'激励事件明细'!$A$2:$A$501,0),MATCH(E41,'激励事件明细'!$B$2:$B$501,0))),""))</f>
        <v/>
      </c>
      <c r="I41" s="12" t="n"/>
      <c r="J41" s="13" t="n"/>
      <c r="K41" s="13" t="n"/>
      <c r="L41" s="11" t="n"/>
      <c r="M41" s="14">
        <f>IF(A41="","",IF(D41&lt;&gt;"",SUMIFS($K$2:$K$501,$D$2:$D$501,D41),SUMIFS($K$2:$K$501,$E$2:$E$501,E41)))</f>
        <v/>
      </c>
      <c r="N41" s="14">
        <f>IF(F41="","",MAX(0,F41-M41))</f>
        <v/>
      </c>
      <c r="O41" s="6">
        <f>IF(A41="","",IF(AND(I41&lt;&gt;"",I41&gt;H41),"是",IF(AND(TODAY()&gt;H41,N41&gt;0),"是","否")))</f>
        <v/>
      </c>
      <c r="P41" s="16">
        <f>IF(A41="","",IFERROR(INDEX('激励事件明细'!$P$2:$P$501,IF(D41&lt;&gt;"",MATCH(D41,'激励事件明细'!$A$2:$A$501,0),MATCH(E41,'激励事件明细'!$B$2:$B$501,0))),""))</f>
        <v/>
      </c>
      <c r="Q41" s="6">
        <f>IF(AND(D41="",E41=""),"异常：必须关联事件编号或税额批次",IF(AND(D41&lt;&gt;"",COUNTIF('激励事件明细'!$A$2:$A$501,D41)=0),"异常：事件编号不存在",IF(AND(E41&lt;&gt;"",COUNTIF('激励事件明细'!$B$2:$B$501,E41)=0),"异常：税额批次不存在",IF(M41&gt;F41,"异常：本批次超额缴税",IF(AND(I41&lt;&gt;"",I41&gt;H41),"异常：超过事件截止日",IF(AND(P41&lt;&gt;"",TODAY()&gt;=P41,N41&gt;0),"异常：离职前未缴清","正常"))))))</f>
        <v/>
      </c>
      <c r="R41" s="11" t="n"/>
    </row>
    <row r="42">
      <c r="A42" s="6">
        <f>IF(AND(D42="",E42=""),"",IFERROR(INDEX('激励事件明细'!$C$2:$C$501,IF(D42&lt;&gt;"",MATCH(D42,'激励事件明细'!$A$2:$A$501,0),MATCH(E42,'激励事件明细'!$B$2:$B$501,0))),""))</f>
        <v/>
      </c>
      <c r="B42" s="6">
        <f>IF(A42="","",IFERROR(INDEX('激励事件明细'!$D$2:$D$501,IF(D42&lt;&gt;"",MATCH(D42,'激励事件明细'!$A$2:$A$501,0),MATCH(E42,'激励事件明细'!$B$2:$B$501,0))),""))</f>
        <v/>
      </c>
      <c r="C42" s="6">
        <f>IF(A42="","",IFERROR(INDEX('激励事件明细'!$H$2:$H$501,IF(D42&lt;&gt;"",MATCH(D42,'激励事件明细'!$A$2:$A$501,0),MATCH(E42,'激励事件明细'!$B$2:$B$501,0))),""))</f>
        <v/>
      </c>
      <c r="D42" s="11" t="n"/>
      <c r="E42" s="11" t="n"/>
      <c r="F42" s="14">
        <f>IF(A42="","",IFERROR(INDEX('激励事件明细'!$Z$2:$Z$501,IF(D42&lt;&gt;"",MATCH(D42,'激励事件明细'!$A$2:$A$501,0),MATCH(E42,'激励事件明细'!$B$2:$B$501,0))),""))</f>
        <v/>
      </c>
      <c r="G42" s="16">
        <f>IF(A42="","",IFERROR(INDEX('激励事件明细'!$AA$2:$AA$501,IF(D42&lt;&gt;"",MATCH(D42,'激励事件明细'!$A$2:$A$501,0),MATCH(E42,'激励事件明细'!$B$2:$B$501,0))),""))</f>
        <v/>
      </c>
      <c r="H42" s="16">
        <f>IF(A42="","",IFERROR(INDEX('激励事件明细'!$AB$2:$AB$501,IF(D42&lt;&gt;"",MATCH(D42,'激励事件明细'!$A$2:$A$501,0),MATCH(E42,'激励事件明细'!$B$2:$B$501,0))),""))</f>
        <v/>
      </c>
      <c r="I42" s="12" t="n"/>
      <c r="J42" s="13" t="n"/>
      <c r="K42" s="13" t="n"/>
      <c r="L42" s="11" t="n"/>
      <c r="M42" s="14">
        <f>IF(A42="","",IF(D42&lt;&gt;"",SUMIFS($K$2:$K$501,$D$2:$D$501,D42),SUMIFS($K$2:$K$501,$E$2:$E$501,E42)))</f>
        <v/>
      </c>
      <c r="N42" s="14">
        <f>IF(F42="","",MAX(0,F42-M42))</f>
        <v/>
      </c>
      <c r="O42" s="6">
        <f>IF(A42="","",IF(AND(I42&lt;&gt;"",I42&gt;H42),"是",IF(AND(TODAY()&gt;H42,N42&gt;0),"是","否")))</f>
        <v/>
      </c>
      <c r="P42" s="16">
        <f>IF(A42="","",IFERROR(INDEX('激励事件明细'!$P$2:$P$501,IF(D42&lt;&gt;"",MATCH(D42,'激励事件明细'!$A$2:$A$501,0),MATCH(E42,'激励事件明细'!$B$2:$B$501,0))),""))</f>
        <v/>
      </c>
      <c r="Q42" s="6">
        <f>IF(AND(D42="",E42=""),"异常：必须关联事件编号或税额批次",IF(AND(D42&lt;&gt;"",COUNTIF('激励事件明细'!$A$2:$A$501,D42)=0),"异常：事件编号不存在",IF(AND(E42&lt;&gt;"",COUNTIF('激励事件明细'!$B$2:$B$501,E42)=0),"异常：税额批次不存在",IF(M42&gt;F42,"异常：本批次超额缴税",IF(AND(I42&lt;&gt;"",I42&gt;H42),"异常：超过事件截止日",IF(AND(P42&lt;&gt;"",TODAY()&gt;=P42,N42&gt;0),"异常：离职前未缴清","正常"))))))</f>
        <v/>
      </c>
      <c r="R42" s="11" t="n"/>
    </row>
    <row r="43">
      <c r="A43" s="6">
        <f>IF(AND(D43="",E43=""),"",IFERROR(INDEX('激励事件明细'!$C$2:$C$501,IF(D43&lt;&gt;"",MATCH(D43,'激励事件明细'!$A$2:$A$501,0),MATCH(E43,'激励事件明细'!$B$2:$B$501,0))),""))</f>
        <v/>
      </c>
      <c r="B43" s="6">
        <f>IF(A43="","",IFERROR(INDEX('激励事件明细'!$D$2:$D$501,IF(D43&lt;&gt;"",MATCH(D43,'激励事件明细'!$A$2:$A$501,0),MATCH(E43,'激励事件明细'!$B$2:$B$501,0))),""))</f>
        <v/>
      </c>
      <c r="C43" s="6">
        <f>IF(A43="","",IFERROR(INDEX('激励事件明细'!$H$2:$H$501,IF(D43&lt;&gt;"",MATCH(D43,'激励事件明细'!$A$2:$A$501,0),MATCH(E43,'激励事件明细'!$B$2:$B$501,0))),""))</f>
        <v/>
      </c>
      <c r="D43" s="11" t="n"/>
      <c r="E43" s="11" t="n"/>
      <c r="F43" s="14">
        <f>IF(A43="","",IFERROR(INDEX('激励事件明细'!$Z$2:$Z$501,IF(D43&lt;&gt;"",MATCH(D43,'激励事件明细'!$A$2:$A$501,0),MATCH(E43,'激励事件明细'!$B$2:$B$501,0))),""))</f>
        <v/>
      </c>
      <c r="G43" s="16">
        <f>IF(A43="","",IFERROR(INDEX('激励事件明细'!$AA$2:$AA$501,IF(D43&lt;&gt;"",MATCH(D43,'激励事件明细'!$A$2:$A$501,0),MATCH(E43,'激励事件明细'!$B$2:$B$501,0))),""))</f>
        <v/>
      </c>
      <c r="H43" s="16">
        <f>IF(A43="","",IFERROR(INDEX('激励事件明细'!$AB$2:$AB$501,IF(D43&lt;&gt;"",MATCH(D43,'激励事件明细'!$A$2:$A$501,0),MATCH(E43,'激励事件明细'!$B$2:$B$501,0))),""))</f>
        <v/>
      </c>
      <c r="I43" s="12" t="n"/>
      <c r="J43" s="13" t="n"/>
      <c r="K43" s="13" t="n"/>
      <c r="L43" s="11" t="n"/>
      <c r="M43" s="14">
        <f>IF(A43="","",IF(D43&lt;&gt;"",SUMIFS($K$2:$K$501,$D$2:$D$501,D43),SUMIFS($K$2:$K$501,$E$2:$E$501,E43)))</f>
        <v/>
      </c>
      <c r="N43" s="14">
        <f>IF(F43="","",MAX(0,F43-M43))</f>
        <v/>
      </c>
      <c r="O43" s="6">
        <f>IF(A43="","",IF(AND(I43&lt;&gt;"",I43&gt;H43),"是",IF(AND(TODAY()&gt;H43,N43&gt;0),"是","否")))</f>
        <v/>
      </c>
      <c r="P43" s="16">
        <f>IF(A43="","",IFERROR(INDEX('激励事件明细'!$P$2:$P$501,IF(D43&lt;&gt;"",MATCH(D43,'激励事件明细'!$A$2:$A$501,0),MATCH(E43,'激励事件明细'!$B$2:$B$501,0))),""))</f>
        <v/>
      </c>
      <c r="Q43" s="6">
        <f>IF(AND(D43="",E43=""),"异常：必须关联事件编号或税额批次",IF(AND(D43&lt;&gt;"",COUNTIF('激励事件明细'!$A$2:$A$501,D43)=0),"异常：事件编号不存在",IF(AND(E43&lt;&gt;"",COUNTIF('激励事件明细'!$B$2:$B$501,E43)=0),"异常：税额批次不存在",IF(M43&gt;F43,"异常：本批次超额缴税",IF(AND(I43&lt;&gt;"",I43&gt;H43),"异常：超过事件截止日",IF(AND(P43&lt;&gt;"",TODAY()&gt;=P43,N43&gt;0),"异常：离职前未缴清","正常"))))))</f>
        <v/>
      </c>
      <c r="R43" s="11" t="n"/>
    </row>
    <row r="44">
      <c r="A44" s="6">
        <f>IF(AND(D44="",E44=""),"",IFERROR(INDEX('激励事件明细'!$C$2:$C$501,IF(D44&lt;&gt;"",MATCH(D44,'激励事件明细'!$A$2:$A$501,0),MATCH(E44,'激励事件明细'!$B$2:$B$501,0))),""))</f>
        <v/>
      </c>
      <c r="B44" s="6">
        <f>IF(A44="","",IFERROR(INDEX('激励事件明细'!$D$2:$D$501,IF(D44&lt;&gt;"",MATCH(D44,'激励事件明细'!$A$2:$A$501,0),MATCH(E44,'激励事件明细'!$B$2:$B$501,0))),""))</f>
        <v/>
      </c>
      <c r="C44" s="6">
        <f>IF(A44="","",IFERROR(INDEX('激励事件明细'!$H$2:$H$501,IF(D44&lt;&gt;"",MATCH(D44,'激励事件明细'!$A$2:$A$501,0),MATCH(E44,'激励事件明细'!$B$2:$B$501,0))),""))</f>
        <v/>
      </c>
      <c r="D44" s="11" t="n"/>
      <c r="E44" s="11" t="n"/>
      <c r="F44" s="14">
        <f>IF(A44="","",IFERROR(INDEX('激励事件明细'!$Z$2:$Z$501,IF(D44&lt;&gt;"",MATCH(D44,'激励事件明细'!$A$2:$A$501,0),MATCH(E44,'激励事件明细'!$B$2:$B$501,0))),""))</f>
        <v/>
      </c>
      <c r="G44" s="16">
        <f>IF(A44="","",IFERROR(INDEX('激励事件明细'!$AA$2:$AA$501,IF(D44&lt;&gt;"",MATCH(D44,'激励事件明细'!$A$2:$A$501,0),MATCH(E44,'激励事件明细'!$B$2:$B$501,0))),""))</f>
        <v/>
      </c>
      <c r="H44" s="16">
        <f>IF(A44="","",IFERROR(INDEX('激励事件明细'!$AB$2:$AB$501,IF(D44&lt;&gt;"",MATCH(D44,'激励事件明细'!$A$2:$A$501,0),MATCH(E44,'激励事件明细'!$B$2:$B$501,0))),""))</f>
        <v/>
      </c>
      <c r="I44" s="12" t="n"/>
      <c r="J44" s="13" t="n"/>
      <c r="K44" s="13" t="n"/>
      <c r="L44" s="11" t="n"/>
      <c r="M44" s="14">
        <f>IF(A44="","",IF(D44&lt;&gt;"",SUMIFS($K$2:$K$501,$D$2:$D$501,D44),SUMIFS($K$2:$K$501,$E$2:$E$501,E44)))</f>
        <v/>
      </c>
      <c r="N44" s="14">
        <f>IF(F44="","",MAX(0,F44-M44))</f>
        <v/>
      </c>
      <c r="O44" s="6">
        <f>IF(A44="","",IF(AND(I44&lt;&gt;"",I44&gt;H44),"是",IF(AND(TODAY()&gt;H44,N44&gt;0),"是","否")))</f>
        <v/>
      </c>
      <c r="P44" s="16">
        <f>IF(A44="","",IFERROR(INDEX('激励事件明细'!$P$2:$P$501,IF(D44&lt;&gt;"",MATCH(D44,'激励事件明细'!$A$2:$A$501,0),MATCH(E44,'激励事件明细'!$B$2:$B$501,0))),""))</f>
        <v/>
      </c>
      <c r="Q44" s="6">
        <f>IF(AND(D44="",E44=""),"异常：必须关联事件编号或税额批次",IF(AND(D44&lt;&gt;"",COUNTIF('激励事件明细'!$A$2:$A$501,D44)=0),"异常：事件编号不存在",IF(AND(E44&lt;&gt;"",COUNTIF('激励事件明细'!$B$2:$B$501,E44)=0),"异常：税额批次不存在",IF(M44&gt;F44,"异常：本批次超额缴税",IF(AND(I44&lt;&gt;"",I44&gt;H44),"异常：超过事件截止日",IF(AND(P44&lt;&gt;"",TODAY()&gt;=P44,N44&gt;0),"异常：离职前未缴清","正常"))))))</f>
        <v/>
      </c>
      <c r="R44" s="11" t="n"/>
    </row>
    <row r="45">
      <c r="A45" s="6">
        <f>IF(AND(D45="",E45=""),"",IFERROR(INDEX('激励事件明细'!$C$2:$C$501,IF(D45&lt;&gt;"",MATCH(D45,'激励事件明细'!$A$2:$A$501,0),MATCH(E45,'激励事件明细'!$B$2:$B$501,0))),""))</f>
        <v/>
      </c>
      <c r="B45" s="6">
        <f>IF(A45="","",IFERROR(INDEX('激励事件明细'!$D$2:$D$501,IF(D45&lt;&gt;"",MATCH(D45,'激励事件明细'!$A$2:$A$501,0),MATCH(E45,'激励事件明细'!$B$2:$B$501,0))),""))</f>
        <v/>
      </c>
      <c r="C45" s="6">
        <f>IF(A45="","",IFERROR(INDEX('激励事件明细'!$H$2:$H$501,IF(D45&lt;&gt;"",MATCH(D45,'激励事件明细'!$A$2:$A$501,0),MATCH(E45,'激励事件明细'!$B$2:$B$501,0))),""))</f>
        <v/>
      </c>
      <c r="D45" s="11" t="n"/>
      <c r="E45" s="11" t="n"/>
      <c r="F45" s="14">
        <f>IF(A45="","",IFERROR(INDEX('激励事件明细'!$Z$2:$Z$501,IF(D45&lt;&gt;"",MATCH(D45,'激励事件明细'!$A$2:$A$501,0),MATCH(E45,'激励事件明细'!$B$2:$B$501,0))),""))</f>
        <v/>
      </c>
      <c r="G45" s="16">
        <f>IF(A45="","",IFERROR(INDEX('激励事件明细'!$AA$2:$AA$501,IF(D45&lt;&gt;"",MATCH(D45,'激励事件明细'!$A$2:$A$501,0),MATCH(E45,'激励事件明细'!$B$2:$B$501,0))),""))</f>
        <v/>
      </c>
      <c r="H45" s="16">
        <f>IF(A45="","",IFERROR(INDEX('激励事件明细'!$AB$2:$AB$501,IF(D45&lt;&gt;"",MATCH(D45,'激励事件明细'!$A$2:$A$501,0),MATCH(E45,'激励事件明细'!$B$2:$B$501,0))),""))</f>
        <v/>
      </c>
      <c r="I45" s="12" t="n"/>
      <c r="J45" s="13" t="n"/>
      <c r="K45" s="13" t="n"/>
      <c r="L45" s="11" t="n"/>
      <c r="M45" s="14">
        <f>IF(A45="","",IF(D45&lt;&gt;"",SUMIFS($K$2:$K$501,$D$2:$D$501,D45),SUMIFS($K$2:$K$501,$E$2:$E$501,E45)))</f>
        <v/>
      </c>
      <c r="N45" s="14">
        <f>IF(F45="","",MAX(0,F45-M45))</f>
        <v/>
      </c>
      <c r="O45" s="6">
        <f>IF(A45="","",IF(AND(I45&lt;&gt;"",I45&gt;H45),"是",IF(AND(TODAY()&gt;H45,N45&gt;0),"是","否")))</f>
        <v/>
      </c>
      <c r="P45" s="16">
        <f>IF(A45="","",IFERROR(INDEX('激励事件明细'!$P$2:$P$501,IF(D45&lt;&gt;"",MATCH(D45,'激励事件明细'!$A$2:$A$501,0),MATCH(E45,'激励事件明细'!$B$2:$B$501,0))),""))</f>
        <v/>
      </c>
      <c r="Q45" s="6">
        <f>IF(AND(D45="",E45=""),"异常：必须关联事件编号或税额批次",IF(AND(D45&lt;&gt;"",COUNTIF('激励事件明细'!$A$2:$A$501,D45)=0),"异常：事件编号不存在",IF(AND(E45&lt;&gt;"",COUNTIF('激励事件明细'!$B$2:$B$501,E45)=0),"异常：税额批次不存在",IF(M45&gt;F45,"异常：本批次超额缴税",IF(AND(I45&lt;&gt;"",I45&gt;H45),"异常：超过事件截止日",IF(AND(P45&lt;&gt;"",TODAY()&gt;=P45,N45&gt;0),"异常：离职前未缴清","正常"))))))</f>
        <v/>
      </c>
      <c r="R45" s="11" t="n"/>
    </row>
    <row r="46">
      <c r="A46" s="6">
        <f>IF(AND(D46="",E46=""),"",IFERROR(INDEX('激励事件明细'!$C$2:$C$501,IF(D46&lt;&gt;"",MATCH(D46,'激励事件明细'!$A$2:$A$501,0),MATCH(E46,'激励事件明细'!$B$2:$B$501,0))),""))</f>
        <v/>
      </c>
      <c r="B46" s="6">
        <f>IF(A46="","",IFERROR(INDEX('激励事件明细'!$D$2:$D$501,IF(D46&lt;&gt;"",MATCH(D46,'激励事件明细'!$A$2:$A$501,0),MATCH(E46,'激励事件明细'!$B$2:$B$501,0))),""))</f>
        <v/>
      </c>
      <c r="C46" s="6">
        <f>IF(A46="","",IFERROR(INDEX('激励事件明细'!$H$2:$H$501,IF(D46&lt;&gt;"",MATCH(D46,'激励事件明细'!$A$2:$A$501,0),MATCH(E46,'激励事件明细'!$B$2:$B$501,0))),""))</f>
        <v/>
      </c>
      <c r="D46" s="11" t="n"/>
      <c r="E46" s="11" t="n"/>
      <c r="F46" s="14">
        <f>IF(A46="","",IFERROR(INDEX('激励事件明细'!$Z$2:$Z$501,IF(D46&lt;&gt;"",MATCH(D46,'激励事件明细'!$A$2:$A$501,0),MATCH(E46,'激励事件明细'!$B$2:$B$501,0))),""))</f>
        <v/>
      </c>
      <c r="G46" s="16">
        <f>IF(A46="","",IFERROR(INDEX('激励事件明细'!$AA$2:$AA$501,IF(D46&lt;&gt;"",MATCH(D46,'激励事件明细'!$A$2:$A$501,0),MATCH(E46,'激励事件明细'!$B$2:$B$501,0))),""))</f>
        <v/>
      </c>
      <c r="H46" s="16">
        <f>IF(A46="","",IFERROR(INDEX('激励事件明细'!$AB$2:$AB$501,IF(D46&lt;&gt;"",MATCH(D46,'激励事件明细'!$A$2:$A$501,0),MATCH(E46,'激励事件明细'!$B$2:$B$501,0))),""))</f>
        <v/>
      </c>
      <c r="I46" s="12" t="n"/>
      <c r="J46" s="13" t="n"/>
      <c r="K46" s="13" t="n"/>
      <c r="L46" s="11" t="n"/>
      <c r="M46" s="14">
        <f>IF(A46="","",IF(D46&lt;&gt;"",SUMIFS($K$2:$K$501,$D$2:$D$501,D46),SUMIFS($K$2:$K$501,$E$2:$E$501,E46)))</f>
        <v/>
      </c>
      <c r="N46" s="14">
        <f>IF(F46="","",MAX(0,F46-M46))</f>
        <v/>
      </c>
      <c r="O46" s="6">
        <f>IF(A46="","",IF(AND(I46&lt;&gt;"",I46&gt;H46),"是",IF(AND(TODAY()&gt;H46,N46&gt;0),"是","否")))</f>
        <v/>
      </c>
      <c r="P46" s="16">
        <f>IF(A46="","",IFERROR(INDEX('激励事件明细'!$P$2:$P$501,IF(D46&lt;&gt;"",MATCH(D46,'激励事件明细'!$A$2:$A$501,0),MATCH(E46,'激励事件明细'!$B$2:$B$501,0))),""))</f>
        <v/>
      </c>
      <c r="Q46" s="6">
        <f>IF(AND(D46="",E46=""),"异常：必须关联事件编号或税额批次",IF(AND(D46&lt;&gt;"",COUNTIF('激励事件明细'!$A$2:$A$501,D46)=0),"异常：事件编号不存在",IF(AND(E46&lt;&gt;"",COUNTIF('激励事件明细'!$B$2:$B$501,E46)=0),"异常：税额批次不存在",IF(M46&gt;F46,"异常：本批次超额缴税",IF(AND(I46&lt;&gt;"",I46&gt;H46),"异常：超过事件截止日",IF(AND(P46&lt;&gt;"",TODAY()&gt;=P46,N46&gt;0),"异常：离职前未缴清","正常"))))))</f>
        <v/>
      </c>
      <c r="R46" s="11" t="n"/>
    </row>
    <row r="47">
      <c r="A47" s="6">
        <f>IF(AND(D47="",E47=""),"",IFERROR(INDEX('激励事件明细'!$C$2:$C$501,IF(D47&lt;&gt;"",MATCH(D47,'激励事件明细'!$A$2:$A$501,0),MATCH(E47,'激励事件明细'!$B$2:$B$501,0))),""))</f>
        <v/>
      </c>
      <c r="B47" s="6">
        <f>IF(A47="","",IFERROR(INDEX('激励事件明细'!$D$2:$D$501,IF(D47&lt;&gt;"",MATCH(D47,'激励事件明细'!$A$2:$A$501,0),MATCH(E47,'激励事件明细'!$B$2:$B$501,0))),""))</f>
        <v/>
      </c>
      <c r="C47" s="6">
        <f>IF(A47="","",IFERROR(INDEX('激励事件明细'!$H$2:$H$501,IF(D47&lt;&gt;"",MATCH(D47,'激励事件明细'!$A$2:$A$501,0),MATCH(E47,'激励事件明细'!$B$2:$B$501,0))),""))</f>
        <v/>
      </c>
      <c r="D47" s="11" t="n"/>
      <c r="E47" s="11" t="n"/>
      <c r="F47" s="14">
        <f>IF(A47="","",IFERROR(INDEX('激励事件明细'!$Z$2:$Z$501,IF(D47&lt;&gt;"",MATCH(D47,'激励事件明细'!$A$2:$A$501,0),MATCH(E47,'激励事件明细'!$B$2:$B$501,0))),""))</f>
        <v/>
      </c>
      <c r="G47" s="16">
        <f>IF(A47="","",IFERROR(INDEX('激励事件明细'!$AA$2:$AA$501,IF(D47&lt;&gt;"",MATCH(D47,'激励事件明细'!$A$2:$A$501,0),MATCH(E47,'激励事件明细'!$B$2:$B$501,0))),""))</f>
        <v/>
      </c>
      <c r="H47" s="16">
        <f>IF(A47="","",IFERROR(INDEX('激励事件明细'!$AB$2:$AB$501,IF(D47&lt;&gt;"",MATCH(D47,'激励事件明细'!$A$2:$A$501,0),MATCH(E47,'激励事件明细'!$B$2:$B$501,0))),""))</f>
        <v/>
      </c>
      <c r="I47" s="12" t="n"/>
      <c r="J47" s="13" t="n"/>
      <c r="K47" s="13" t="n"/>
      <c r="L47" s="11" t="n"/>
      <c r="M47" s="14">
        <f>IF(A47="","",IF(D47&lt;&gt;"",SUMIFS($K$2:$K$501,$D$2:$D$501,D47),SUMIFS($K$2:$K$501,$E$2:$E$501,E47)))</f>
        <v/>
      </c>
      <c r="N47" s="14">
        <f>IF(F47="","",MAX(0,F47-M47))</f>
        <v/>
      </c>
      <c r="O47" s="6">
        <f>IF(A47="","",IF(AND(I47&lt;&gt;"",I47&gt;H47),"是",IF(AND(TODAY()&gt;H47,N47&gt;0),"是","否")))</f>
        <v/>
      </c>
      <c r="P47" s="16">
        <f>IF(A47="","",IFERROR(INDEX('激励事件明细'!$P$2:$P$501,IF(D47&lt;&gt;"",MATCH(D47,'激励事件明细'!$A$2:$A$501,0),MATCH(E47,'激励事件明细'!$B$2:$B$501,0))),""))</f>
        <v/>
      </c>
      <c r="Q47" s="6">
        <f>IF(AND(D47="",E47=""),"异常：必须关联事件编号或税额批次",IF(AND(D47&lt;&gt;"",COUNTIF('激励事件明细'!$A$2:$A$501,D47)=0),"异常：事件编号不存在",IF(AND(E47&lt;&gt;"",COUNTIF('激励事件明细'!$B$2:$B$501,E47)=0),"异常：税额批次不存在",IF(M47&gt;F47,"异常：本批次超额缴税",IF(AND(I47&lt;&gt;"",I47&gt;H47),"异常：超过事件截止日",IF(AND(P47&lt;&gt;"",TODAY()&gt;=P47,N47&gt;0),"异常：离职前未缴清","正常"))))))</f>
        <v/>
      </c>
      <c r="R47" s="11" t="n"/>
    </row>
    <row r="48">
      <c r="A48" s="6">
        <f>IF(AND(D48="",E48=""),"",IFERROR(INDEX('激励事件明细'!$C$2:$C$501,IF(D48&lt;&gt;"",MATCH(D48,'激励事件明细'!$A$2:$A$501,0),MATCH(E48,'激励事件明细'!$B$2:$B$501,0))),""))</f>
        <v/>
      </c>
      <c r="B48" s="6">
        <f>IF(A48="","",IFERROR(INDEX('激励事件明细'!$D$2:$D$501,IF(D48&lt;&gt;"",MATCH(D48,'激励事件明细'!$A$2:$A$501,0),MATCH(E48,'激励事件明细'!$B$2:$B$501,0))),""))</f>
        <v/>
      </c>
      <c r="C48" s="6">
        <f>IF(A48="","",IFERROR(INDEX('激励事件明细'!$H$2:$H$501,IF(D48&lt;&gt;"",MATCH(D48,'激励事件明细'!$A$2:$A$501,0),MATCH(E48,'激励事件明细'!$B$2:$B$501,0))),""))</f>
        <v/>
      </c>
      <c r="D48" s="11" t="n"/>
      <c r="E48" s="11" t="n"/>
      <c r="F48" s="14">
        <f>IF(A48="","",IFERROR(INDEX('激励事件明细'!$Z$2:$Z$501,IF(D48&lt;&gt;"",MATCH(D48,'激励事件明细'!$A$2:$A$501,0),MATCH(E48,'激励事件明细'!$B$2:$B$501,0))),""))</f>
        <v/>
      </c>
      <c r="G48" s="16">
        <f>IF(A48="","",IFERROR(INDEX('激励事件明细'!$AA$2:$AA$501,IF(D48&lt;&gt;"",MATCH(D48,'激励事件明细'!$A$2:$A$501,0),MATCH(E48,'激励事件明细'!$B$2:$B$501,0))),""))</f>
        <v/>
      </c>
      <c r="H48" s="16">
        <f>IF(A48="","",IFERROR(INDEX('激励事件明细'!$AB$2:$AB$501,IF(D48&lt;&gt;"",MATCH(D48,'激励事件明细'!$A$2:$A$501,0),MATCH(E48,'激励事件明细'!$B$2:$B$501,0))),""))</f>
        <v/>
      </c>
      <c r="I48" s="12" t="n"/>
      <c r="J48" s="13" t="n"/>
      <c r="K48" s="13" t="n"/>
      <c r="L48" s="11" t="n"/>
      <c r="M48" s="14">
        <f>IF(A48="","",IF(D48&lt;&gt;"",SUMIFS($K$2:$K$501,$D$2:$D$501,D48),SUMIFS($K$2:$K$501,$E$2:$E$501,E48)))</f>
        <v/>
      </c>
      <c r="N48" s="14">
        <f>IF(F48="","",MAX(0,F48-M48))</f>
        <v/>
      </c>
      <c r="O48" s="6">
        <f>IF(A48="","",IF(AND(I48&lt;&gt;"",I48&gt;H48),"是",IF(AND(TODAY()&gt;H48,N48&gt;0),"是","否")))</f>
        <v/>
      </c>
      <c r="P48" s="16">
        <f>IF(A48="","",IFERROR(INDEX('激励事件明细'!$P$2:$P$501,IF(D48&lt;&gt;"",MATCH(D48,'激励事件明细'!$A$2:$A$501,0),MATCH(E48,'激励事件明细'!$B$2:$B$501,0))),""))</f>
        <v/>
      </c>
      <c r="Q48" s="6">
        <f>IF(AND(D48="",E48=""),"异常：必须关联事件编号或税额批次",IF(AND(D48&lt;&gt;"",COUNTIF('激励事件明细'!$A$2:$A$501,D48)=0),"异常：事件编号不存在",IF(AND(E48&lt;&gt;"",COUNTIF('激励事件明细'!$B$2:$B$501,E48)=0),"异常：税额批次不存在",IF(M48&gt;F48,"异常：本批次超额缴税",IF(AND(I48&lt;&gt;"",I48&gt;H48),"异常：超过事件截止日",IF(AND(P48&lt;&gt;"",TODAY()&gt;=P48,N48&gt;0),"异常：离职前未缴清","正常"))))))</f>
        <v/>
      </c>
      <c r="R48" s="11" t="n"/>
    </row>
    <row r="49">
      <c r="A49" s="6">
        <f>IF(AND(D49="",E49=""),"",IFERROR(INDEX('激励事件明细'!$C$2:$C$501,IF(D49&lt;&gt;"",MATCH(D49,'激励事件明细'!$A$2:$A$501,0),MATCH(E49,'激励事件明细'!$B$2:$B$501,0))),""))</f>
        <v/>
      </c>
      <c r="B49" s="6">
        <f>IF(A49="","",IFERROR(INDEX('激励事件明细'!$D$2:$D$501,IF(D49&lt;&gt;"",MATCH(D49,'激励事件明细'!$A$2:$A$501,0),MATCH(E49,'激励事件明细'!$B$2:$B$501,0))),""))</f>
        <v/>
      </c>
      <c r="C49" s="6">
        <f>IF(A49="","",IFERROR(INDEX('激励事件明细'!$H$2:$H$501,IF(D49&lt;&gt;"",MATCH(D49,'激励事件明细'!$A$2:$A$501,0),MATCH(E49,'激励事件明细'!$B$2:$B$501,0))),""))</f>
        <v/>
      </c>
      <c r="D49" s="11" t="n"/>
      <c r="E49" s="11" t="n"/>
      <c r="F49" s="14">
        <f>IF(A49="","",IFERROR(INDEX('激励事件明细'!$Z$2:$Z$501,IF(D49&lt;&gt;"",MATCH(D49,'激励事件明细'!$A$2:$A$501,0),MATCH(E49,'激励事件明细'!$B$2:$B$501,0))),""))</f>
        <v/>
      </c>
      <c r="G49" s="16">
        <f>IF(A49="","",IFERROR(INDEX('激励事件明细'!$AA$2:$AA$501,IF(D49&lt;&gt;"",MATCH(D49,'激励事件明细'!$A$2:$A$501,0),MATCH(E49,'激励事件明细'!$B$2:$B$501,0))),""))</f>
        <v/>
      </c>
      <c r="H49" s="16">
        <f>IF(A49="","",IFERROR(INDEX('激励事件明细'!$AB$2:$AB$501,IF(D49&lt;&gt;"",MATCH(D49,'激励事件明细'!$A$2:$A$501,0),MATCH(E49,'激励事件明细'!$B$2:$B$501,0))),""))</f>
        <v/>
      </c>
      <c r="I49" s="12" t="n"/>
      <c r="J49" s="13" t="n"/>
      <c r="K49" s="13" t="n"/>
      <c r="L49" s="11" t="n"/>
      <c r="M49" s="14">
        <f>IF(A49="","",IF(D49&lt;&gt;"",SUMIFS($K$2:$K$501,$D$2:$D$501,D49),SUMIFS($K$2:$K$501,$E$2:$E$501,E49)))</f>
        <v/>
      </c>
      <c r="N49" s="14">
        <f>IF(F49="","",MAX(0,F49-M49))</f>
        <v/>
      </c>
      <c r="O49" s="6">
        <f>IF(A49="","",IF(AND(I49&lt;&gt;"",I49&gt;H49),"是",IF(AND(TODAY()&gt;H49,N49&gt;0),"是","否")))</f>
        <v/>
      </c>
      <c r="P49" s="16">
        <f>IF(A49="","",IFERROR(INDEX('激励事件明细'!$P$2:$P$501,IF(D49&lt;&gt;"",MATCH(D49,'激励事件明细'!$A$2:$A$501,0),MATCH(E49,'激励事件明细'!$B$2:$B$501,0))),""))</f>
        <v/>
      </c>
      <c r="Q49" s="6">
        <f>IF(AND(D49="",E49=""),"异常：必须关联事件编号或税额批次",IF(AND(D49&lt;&gt;"",COUNTIF('激励事件明细'!$A$2:$A$501,D49)=0),"异常：事件编号不存在",IF(AND(E49&lt;&gt;"",COUNTIF('激励事件明细'!$B$2:$B$501,E49)=0),"异常：税额批次不存在",IF(M49&gt;F49,"异常：本批次超额缴税",IF(AND(I49&lt;&gt;"",I49&gt;H49),"异常：超过事件截止日",IF(AND(P49&lt;&gt;"",TODAY()&gt;=P49,N49&gt;0),"异常：离职前未缴清","正常"))))))</f>
        <v/>
      </c>
      <c r="R49" s="11" t="n"/>
    </row>
    <row r="50">
      <c r="A50" s="6">
        <f>IF(AND(D50="",E50=""),"",IFERROR(INDEX('激励事件明细'!$C$2:$C$501,IF(D50&lt;&gt;"",MATCH(D50,'激励事件明细'!$A$2:$A$501,0),MATCH(E50,'激励事件明细'!$B$2:$B$501,0))),""))</f>
        <v/>
      </c>
      <c r="B50" s="6">
        <f>IF(A50="","",IFERROR(INDEX('激励事件明细'!$D$2:$D$501,IF(D50&lt;&gt;"",MATCH(D50,'激励事件明细'!$A$2:$A$501,0),MATCH(E50,'激励事件明细'!$B$2:$B$501,0))),""))</f>
        <v/>
      </c>
      <c r="C50" s="6">
        <f>IF(A50="","",IFERROR(INDEX('激励事件明细'!$H$2:$H$501,IF(D50&lt;&gt;"",MATCH(D50,'激励事件明细'!$A$2:$A$501,0),MATCH(E50,'激励事件明细'!$B$2:$B$501,0))),""))</f>
        <v/>
      </c>
      <c r="D50" s="11" t="n"/>
      <c r="E50" s="11" t="n"/>
      <c r="F50" s="14">
        <f>IF(A50="","",IFERROR(INDEX('激励事件明细'!$Z$2:$Z$501,IF(D50&lt;&gt;"",MATCH(D50,'激励事件明细'!$A$2:$A$501,0),MATCH(E50,'激励事件明细'!$B$2:$B$501,0))),""))</f>
        <v/>
      </c>
      <c r="G50" s="16">
        <f>IF(A50="","",IFERROR(INDEX('激励事件明细'!$AA$2:$AA$501,IF(D50&lt;&gt;"",MATCH(D50,'激励事件明细'!$A$2:$A$501,0),MATCH(E50,'激励事件明细'!$B$2:$B$501,0))),""))</f>
        <v/>
      </c>
      <c r="H50" s="16">
        <f>IF(A50="","",IFERROR(INDEX('激励事件明细'!$AB$2:$AB$501,IF(D50&lt;&gt;"",MATCH(D50,'激励事件明细'!$A$2:$A$501,0),MATCH(E50,'激励事件明细'!$B$2:$B$501,0))),""))</f>
        <v/>
      </c>
      <c r="I50" s="12" t="n"/>
      <c r="J50" s="13" t="n"/>
      <c r="K50" s="13" t="n"/>
      <c r="L50" s="11" t="n"/>
      <c r="M50" s="14">
        <f>IF(A50="","",IF(D50&lt;&gt;"",SUMIFS($K$2:$K$501,$D$2:$D$501,D50),SUMIFS($K$2:$K$501,$E$2:$E$501,E50)))</f>
        <v/>
      </c>
      <c r="N50" s="14">
        <f>IF(F50="","",MAX(0,F50-M50))</f>
        <v/>
      </c>
      <c r="O50" s="6">
        <f>IF(A50="","",IF(AND(I50&lt;&gt;"",I50&gt;H50),"是",IF(AND(TODAY()&gt;H50,N50&gt;0),"是","否")))</f>
        <v/>
      </c>
      <c r="P50" s="16">
        <f>IF(A50="","",IFERROR(INDEX('激励事件明细'!$P$2:$P$501,IF(D50&lt;&gt;"",MATCH(D50,'激励事件明细'!$A$2:$A$501,0),MATCH(E50,'激励事件明细'!$B$2:$B$501,0))),""))</f>
        <v/>
      </c>
      <c r="Q50" s="6">
        <f>IF(AND(D50="",E50=""),"异常：必须关联事件编号或税额批次",IF(AND(D50&lt;&gt;"",COUNTIF('激励事件明细'!$A$2:$A$501,D50)=0),"异常：事件编号不存在",IF(AND(E50&lt;&gt;"",COUNTIF('激励事件明细'!$B$2:$B$501,E50)=0),"异常：税额批次不存在",IF(M50&gt;F50,"异常：本批次超额缴税",IF(AND(I50&lt;&gt;"",I50&gt;H50),"异常：超过事件截止日",IF(AND(P50&lt;&gt;"",TODAY()&gt;=P50,N50&gt;0),"异常：离职前未缴清","正常"))))))</f>
        <v/>
      </c>
      <c r="R50" s="11" t="n"/>
    </row>
    <row r="51">
      <c r="A51" s="6">
        <f>IF(AND(D51="",E51=""),"",IFERROR(INDEX('激励事件明细'!$C$2:$C$501,IF(D51&lt;&gt;"",MATCH(D51,'激励事件明细'!$A$2:$A$501,0),MATCH(E51,'激励事件明细'!$B$2:$B$501,0))),""))</f>
        <v/>
      </c>
      <c r="B51" s="6">
        <f>IF(A51="","",IFERROR(INDEX('激励事件明细'!$D$2:$D$501,IF(D51&lt;&gt;"",MATCH(D51,'激励事件明细'!$A$2:$A$501,0),MATCH(E51,'激励事件明细'!$B$2:$B$501,0))),""))</f>
        <v/>
      </c>
      <c r="C51" s="6">
        <f>IF(A51="","",IFERROR(INDEX('激励事件明细'!$H$2:$H$501,IF(D51&lt;&gt;"",MATCH(D51,'激励事件明细'!$A$2:$A$501,0),MATCH(E51,'激励事件明细'!$B$2:$B$501,0))),""))</f>
        <v/>
      </c>
      <c r="D51" s="11" t="n"/>
      <c r="E51" s="11" t="n"/>
      <c r="F51" s="14">
        <f>IF(A51="","",IFERROR(INDEX('激励事件明细'!$Z$2:$Z$501,IF(D51&lt;&gt;"",MATCH(D51,'激励事件明细'!$A$2:$A$501,0),MATCH(E51,'激励事件明细'!$B$2:$B$501,0))),""))</f>
        <v/>
      </c>
      <c r="G51" s="16">
        <f>IF(A51="","",IFERROR(INDEX('激励事件明细'!$AA$2:$AA$501,IF(D51&lt;&gt;"",MATCH(D51,'激励事件明细'!$A$2:$A$501,0),MATCH(E51,'激励事件明细'!$B$2:$B$501,0))),""))</f>
        <v/>
      </c>
      <c r="H51" s="16">
        <f>IF(A51="","",IFERROR(INDEX('激励事件明细'!$AB$2:$AB$501,IF(D51&lt;&gt;"",MATCH(D51,'激励事件明细'!$A$2:$A$501,0),MATCH(E51,'激励事件明细'!$B$2:$B$501,0))),""))</f>
        <v/>
      </c>
      <c r="I51" s="12" t="n"/>
      <c r="J51" s="13" t="n"/>
      <c r="K51" s="13" t="n"/>
      <c r="L51" s="11" t="n"/>
      <c r="M51" s="14">
        <f>IF(A51="","",IF(D51&lt;&gt;"",SUMIFS($K$2:$K$501,$D$2:$D$501,D51),SUMIFS($K$2:$K$501,$E$2:$E$501,E51)))</f>
        <v/>
      </c>
      <c r="N51" s="14">
        <f>IF(F51="","",MAX(0,F51-M51))</f>
        <v/>
      </c>
      <c r="O51" s="6">
        <f>IF(A51="","",IF(AND(I51&lt;&gt;"",I51&gt;H51),"是",IF(AND(TODAY()&gt;H51,N51&gt;0),"是","否")))</f>
        <v/>
      </c>
      <c r="P51" s="16">
        <f>IF(A51="","",IFERROR(INDEX('激励事件明细'!$P$2:$P$501,IF(D51&lt;&gt;"",MATCH(D51,'激励事件明细'!$A$2:$A$501,0),MATCH(E51,'激励事件明细'!$B$2:$B$501,0))),""))</f>
        <v/>
      </c>
      <c r="Q51" s="6">
        <f>IF(AND(D51="",E51=""),"异常：必须关联事件编号或税额批次",IF(AND(D51&lt;&gt;"",COUNTIF('激励事件明细'!$A$2:$A$501,D51)=0),"异常：事件编号不存在",IF(AND(E51&lt;&gt;"",COUNTIF('激励事件明细'!$B$2:$B$501,E51)=0),"异常：税额批次不存在",IF(M51&gt;F51,"异常：本批次超额缴税",IF(AND(I51&lt;&gt;"",I51&gt;H51),"异常：超过事件截止日",IF(AND(P51&lt;&gt;"",TODAY()&gt;=P51,N51&gt;0),"异常：离职前未缴清","正常"))))))</f>
        <v/>
      </c>
      <c r="R51" s="11" t="n"/>
    </row>
    <row r="52">
      <c r="A52" s="6">
        <f>IF(AND(D52="",E52=""),"",IFERROR(INDEX('激励事件明细'!$C$2:$C$501,IF(D52&lt;&gt;"",MATCH(D52,'激励事件明细'!$A$2:$A$501,0),MATCH(E52,'激励事件明细'!$B$2:$B$501,0))),""))</f>
        <v/>
      </c>
      <c r="B52" s="6">
        <f>IF(A52="","",IFERROR(INDEX('激励事件明细'!$D$2:$D$501,IF(D52&lt;&gt;"",MATCH(D52,'激励事件明细'!$A$2:$A$501,0),MATCH(E52,'激励事件明细'!$B$2:$B$501,0))),""))</f>
        <v/>
      </c>
      <c r="C52" s="6">
        <f>IF(A52="","",IFERROR(INDEX('激励事件明细'!$H$2:$H$501,IF(D52&lt;&gt;"",MATCH(D52,'激励事件明细'!$A$2:$A$501,0),MATCH(E52,'激励事件明细'!$B$2:$B$501,0))),""))</f>
        <v/>
      </c>
      <c r="D52" s="11" t="n"/>
      <c r="E52" s="11" t="n"/>
      <c r="F52" s="14">
        <f>IF(A52="","",IFERROR(INDEX('激励事件明细'!$Z$2:$Z$501,IF(D52&lt;&gt;"",MATCH(D52,'激励事件明细'!$A$2:$A$501,0),MATCH(E52,'激励事件明细'!$B$2:$B$501,0))),""))</f>
        <v/>
      </c>
      <c r="G52" s="16">
        <f>IF(A52="","",IFERROR(INDEX('激励事件明细'!$AA$2:$AA$501,IF(D52&lt;&gt;"",MATCH(D52,'激励事件明细'!$A$2:$A$501,0),MATCH(E52,'激励事件明细'!$B$2:$B$501,0))),""))</f>
        <v/>
      </c>
      <c r="H52" s="16">
        <f>IF(A52="","",IFERROR(INDEX('激励事件明细'!$AB$2:$AB$501,IF(D52&lt;&gt;"",MATCH(D52,'激励事件明细'!$A$2:$A$501,0),MATCH(E52,'激励事件明细'!$B$2:$B$501,0))),""))</f>
        <v/>
      </c>
      <c r="I52" s="12" t="n"/>
      <c r="J52" s="13" t="n"/>
      <c r="K52" s="13" t="n"/>
      <c r="L52" s="11" t="n"/>
      <c r="M52" s="14">
        <f>IF(A52="","",IF(D52&lt;&gt;"",SUMIFS($K$2:$K$501,$D$2:$D$501,D52),SUMIFS($K$2:$K$501,$E$2:$E$501,E52)))</f>
        <v/>
      </c>
      <c r="N52" s="14">
        <f>IF(F52="","",MAX(0,F52-M52))</f>
        <v/>
      </c>
      <c r="O52" s="6">
        <f>IF(A52="","",IF(AND(I52&lt;&gt;"",I52&gt;H52),"是",IF(AND(TODAY()&gt;H52,N52&gt;0),"是","否")))</f>
        <v/>
      </c>
      <c r="P52" s="16">
        <f>IF(A52="","",IFERROR(INDEX('激励事件明细'!$P$2:$P$501,IF(D52&lt;&gt;"",MATCH(D52,'激励事件明细'!$A$2:$A$501,0),MATCH(E52,'激励事件明细'!$B$2:$B$501,0))),""))</f>
        <v/>
      </c>
      <c r="Q52" s="6">
        <f>IF(AND(D52="",E52=""),"异常：必须关联事件编号或税额批次",IF(AND(D52&lt;&gt;"",COUNTIF('激励事件明细'!$A$2:$A$501,D52)=0),"异常：事件编号不存在",IF(AND(E52&lt;&gt;"",COUNTIF('激励事件明细'!$B$2:$B$501,E52)=0),"异常：税额批次不存在",IF(M52&gt;F52,"异常：本批次超额缴税",IF(AND(I52&lt;&gt;"",I52&gt;H52),"异常：超过事件截止日",IF(AND(P52&lt;&gt;"",TODAY()&gt;=P52,N52&gt;0),"异常：离职前未缴清","正常"))))))</f>
        <v/>
      </c>
      <c r="R52" s="11" t="n"/>
    </row>
    <row r="53">
      <c r="A53" s="6">
        <f>IF(AND(D53="",E53=""),"",IFERROR(INDEX('激励事件明细'!$C$2:$C$501,IF(D53&lt;&gt;"",MATCH(D53,'激励事件明细'!$A$2:$A$501,0),MATCH(E53,'激励事件明细'!$B$2:$B$501,0))),""))</f>
        <v/>
      </c>
      <c r="B53" s="6">
        <f>IF(A53="","",IFERROR(INDEX('激励事件明细'!$D$2:$D$501,IF(D53&lt;&gt;"",MATCH(D53,'激励事件明细'!$A$2:$A$501,0),MATCH(E53,'激励事件明细'!$B$2:$B$501,0))),""))</f>
        <v/>
      </c>
      <c r="C53" s="6">
        <f>IF(A53="","",IFERROR(INDEX('激励事件明细'!$H$2:$H$501,IF(D53&lt;&gt;"",MATCH(D53,'激励事件明细'!$A$2:$A$501,0),MATCH(E53,'激励事件明细'!$B$2:$B$501,0))),""))</f>
        <v/>
      </c>
      <c r="D53" s="11" t="n"/>
      <c r="E53" s="11" t="n"/>
      <c r="F53" s="14">
        <f>IF(A53="","",IFERROR(INDEX('激励事件明细'!$Z$2:$Z$501,IF(D53&lt;&gt;"",MATCH(D53,'激励事件明细'!$A$2:$A$501,0),MATCH(E53,'激励事件明细'!$B$2:$B$501,0))),""))</f>
        <v/>
      </c>
      <c r="G53" s="16">
        <f>IF(A53="","",IFERROR(INDEX('激励事件明细'!$AA$2:$AA$501,IF(D53&lt;&gt;"",MATCH(D53,'激励事件明细'!$A$2:$A$501,0),MATCH(E53,'激励事件明细'!$B$2:$B$501,0))),""))</f>
        <v/>
      </c>
      <c r="H53" s="16">
        <f>IF(A53="","",IFERROR(INDEX('激励事件明细'!$AB$2:$AB$501,IF(D53&lt;&gt;"",MATCH(D53,'激励事件明细'!$A$2:$A$501,0),MATCH(E53,'激励事件明细'!$B$2:$B$501,0))),""))</f>
        <v/>
      </c>
      <c r="I53" s="12" t="n"/>
      <c r="J53" s="13" t="n"/>
      <c r="K53" s="13" t="n"/>
      <c r="L53" s="11" t="n"/>
      <c r="M53" s="14">
        <f>IF(A53="","",IF(D53&lt;&gt;"",SUMIFS($K$2:$K$501,$D$2:$D$501,D53),SUMIFS($K$2:$K$501,$E$2:$E$501,E53)))</f>
        <v/>
      </c>
      <c r="N53" s="14">
        <f>IF(F53="","",MAX(0,F53-M53))</f>
        <v/>
      </c>
      <c r="O53" s="6">
        <f>IF(A53="","",IF(AND(I53&lt;&gt;"",I53&gt;H53),"是",IF(AND(TODAY()&gt;H53,N53&gt;0),"是","否")))</f>
        <v/>
      </c>
      <c r="P53" s="16">
        <f>IF(A53="","",IFERROR(INDEX('激励事件明细'!$P$2:$P$501,IF(D53&lt;&gt;"",MATCH(D53,'激励事件明细'!$A$2:$A$501,0),MATCH(E53,'激励事件明细'!$B$2:$B$501,0))),""))</f>
        <v/>
      </c>
      <c r="Q53" s="6">
        <f>IF(AND(D53="",E53=""),"异常：必须关联事件编号或税额批次",IF(AND(D53&lt;&gt;"",COUNTIF('激励事件明细'!$A$2:$A$501,D53)=0),"异常：事件编号不存在",IF(AND(E53&lt;&gt;"",COUNTIF('激励事件明细'!$B$2:$B$501,E53)=0),"异常：税额批次不存在",IF(M53&gt;F53,"异常：本批次超额缴税",IF(AND(I53&lt;&gt;"",I53&gt;H53),"异常：超过事件截止日",IF(AND(P53&lt;&gt;"",TODAY()&gt;=P53,N53&gt;0),"异常：离职前未缴清","正常"))))))</f>
        <v/>
      </c>
      <c r="R53" s="11" t="n"/>
    </row>
    <row r="54">
      <c r="A54" s="6">
        <f>IF(AND(D54="",E54=""),"",IFERROR(INDEX('激励事件明细'!$C$2:$C$501,IF(D54&lt;&gt;"",MATCH(D54,'激励事件明细'!$A$2:$A$501,0),MATCH(E54,'激励事件明细'!$B$2:$B$501,0))),""))</f>
        <v/>
      </c>
      <c r="B54" s="6">
        <f>IF(A54="","",IFERROR(INDEX('激励事件明细'!$D$2:$D$501,IF(D54&lt;&gt;"",MATCH(D54,'激励事件明细'!$A$2:$A$501,0),MATCH(E54,'激励事件明细'!$B$2:$B$501,0))),""))</f>
        <v/>
      </c>
      <c r="C54" s="6">
        <f>IF(A54="","",IFERROR(INDEX('激励事件明细'!$H$2:$H$501,IF(D54&lt;&gt;"",MATCH(D54,'激励事件明细'!$A$2:$A$501,0),MATCH(E54,'激励事件明细'!$B$2:$B$501,0))),""))</f>
        <v/>
      </c>
      <c r="D54" s="11" t="n"/>
      <c r="E54" s="11" t="n"/>
      <c r="F54" s="14">
        <f>IF(A54="","",IFERROR(INDEX('激励事件明细'!$Z$2:$Z$501,IF(D54&lt;&gt;"",MATCH(D54,'激励事件明细'!$A$2:$A$501,0),MATCH(E54,'激励事件明细'!$B$2:$B$501,0))),""))</f>
        <v/>
      </c>
      <c r="G54" s="16">
        <f>IF(A54="","",IFERROR(INDEX('激励事件明细'!$AA$2:$AA$501,IF(D54&lt;&gt;"",MATCH(D54,'激励事件明细'!$A$2:$A$501,0),MATCH(E54,'激励事件明细'!$B$2:$B$501,0))),""))</f>
        <v/>
      </c>
      <c r="H54" s="16">
        <f>IF(A54="","",IFERROR(INDEX('激励事件明细'!$AB$2:$AB$501,IF(D54&lt;&gt;"",MATCH(D54,'激励事件明细'!$A$2:$A$501,0),MATCH(E54,'激励事件明细'!$B$2:$B$501,0))),""))</f>
        <v/>
      </c>
      <c r="I54" s="12" t="n"/>
      <c r="J54" s="13" t="n"/>
      <c r="K54" s="13" t="n"/>
      <c r="L54" s="11" t="n"/>
      <c r="M54" s="14">
        <f>IF(A54="","",IF(D54&lt;&gt;"",SUMIFS($K$2:$K$501,$D$2:$D$501,D54),SUMIFS($K$2:$K$501,$E$2:$E$501,E54)))</f>
        <v/>
      </c>
      <c r="N54" s="14">
        <f>IF(F54="","",MAX(0,F54-M54))</f>
        <v/>
      </c>
      <c r="O54" s="6">
        <f>IF(A54="","",IF(AND(I54&lt;&gt;"",I54&gt;H54),"是",IF(AND(TODAY()&gt;H54,N54&gt;0),"是","否")))</f>
        <v/>
      </c>
      <c r="P54" s="16">
        <f>IF(A54="","",IFERROR(INDEX('激励事件明细'!$P$2:$P$501,IF(D54&lt;&gt;"",MATCH(D54,'激励事件明细'!$A$2:$A$501,0),MATCH(E54,'激励事件明细'!$B$2:$B$501,0))),""))</f>
        <v/>
      </c>
      <c r="Q54" s="6">
        <f>IF(AND(D54="",E54=""),"异常：必须关联事件编号或税额批次",IF(AND(D54&lt;&gt;"",COUNTIF('激励事件明细'!$A$2:$A$501,D54)=0),"异常：事件编号不存在",IF(AND(E54&lt;&gt;"",COUNTIF('激励事件明细'!$B$2:$B$501,E54)=0),"异常：税额批次不存在",IF(M54&gt;F54,"异常：本批次超额缴税",IF(AND(I54&lt;&gt;"",I54&gt;H54),"异常：超过事件截止日",IF(AND(P54&lt;&gt;"",TODAY()&gt;=P54,N54&gt;0),"异常：离职前未缴清","正常"))))))</f>
        <v/>
      </c>
      <c r="R54" s="11" t="n"/>
    </row>
    <row r="55">
      <c r="A55" s="6">
        <f>IF(AND(D55="",E55=""),"",IFERROR(INDEX('激励事件明细'!$C$2:$C$501,IF(D55&lt;&gt;"",MATCH(D55,'激励事件明细'!$A$2:$A$501,0),MATCH(E55,'激励事件明细'!$B$2:$B$501,0))),""))</f>
        <v/>
      </c>
      <c r="B55" s="6">
        <f>IF(A55="","",IFERROR(INDEX('激励事件明细'!$D$2:$D$501,IF(D55&lt;&gt;"",MATCH(D55,'激励事件明细'!$A$2:$A$501,0),MATCH(E55,'激励事件明细'!$B$2:$B$501,0))),""))</f>
        <v/>
      </c>
      <c r="C55" s="6">
        <f>IF(A55="","",IFERROR(INDEX('激励事件明细'!$H$2:$H$501,IF(D55&lt;&gt;"",MATCH(D55,'激励事件明细'!$A$2:$A$501,0),MATCH(E55,'激励事件明细'!$B$2:$B$501,0))),""))</f>
        <v/>
      </c>
      <c r="D55" s="11" t="n"/>
      <c r="E55" s="11" t="n"/>
      <c r="F55" s="14">
        <f>IF(A55="","",IFERROR(INDEX('激励事件明细'!$Z$2:$Z$501,IF(D55&lt;&gt;"",MATCH(D55,'激励事件明细'!$A$2:$A$501,0),MATCH(E55,'激励事件明细'!$B$2:$B$501,0))),""))</f>
        <v/>
      </c>
      <c r="G55" s="16">
        <f>IF(A55="","",IFERROR(INDEX('激励事件明细'!$AA$2:$AA$501,IF(D55&lt;&gt;"",MATCH(D55,'激励事件明细'!$A$2:$A$501,0),MATCH(E55,'激励事件明细'!$B$2:$B$501,0))),""))</f>
        <v/>
      </c>
      <c r="H55" s="16">
        <f>IF(A55="","",IFERROR(INDEX('激励事件明细'!$AB$2:$AB$501,IF(D55&lt;&gt;"",MATCH(D55,'激励事件明细'!$A$2:$A$501,0),MATCH(E55,'激励事件明细'!$B$2:$B$501,0))),""))</f>
        <v/>
      </c>
      <c r="I55" s="12" t="n"/>
      <c r="J55" s="13" t="n"/>
      <c r="K55" s="13" t="n"/>
      <c r="L55" s="11" t="n"/>
      <c r="M55" s="14">
        <f>IF(A55="","",IF(D55&lt;&gt;"",SUMIFS($K$2:$K$501,$D$2:$D$501,D55),SUMIFS($K$2:$K$501,$E$2:$E$501,E55)))</f>
        <v/>
      </c>
      <c r="N55" s="14">
        <f>IF(F55="","",MAX(0,F55-M55))</f>
        <v/>
      </c>
      <c r="O55" s="6">
        <f>IF(A55="","",IF(AND(I55&lt;&gt;"",I55&gt;H55),"是",IF(AND(TODAY()&gt;H55,N55&gt;0),"是","否")))</f>
        <v/>
      </c>
      <c r="P55" s="16">
        <f>IF(A55="","",IFERROR(INDEX('激励事件明细'!$P$2:$P$501,IF(D55&lt;&gt;"",MATCH(D55,'激励事件明细'!$A$2:$A$501,0),MATCH(E55,'激励事件明细'!$B$2:$B$501,0))),""))</f>
        <v/>
      </c>
      <c r="Q55" s="6">
        <f>IF(AND(D55="",E55=""),"异常：必须关联事件编号或税额批次",IF(AND(D55&lt;&gt;"",COUNTIF('激励事件明细'!$A$2:$A$501,D55)=0),"异常：事件编号不存在",IF(AND(E55&lt;&gt;"",COUNTIF('激励事件明细'!$B$2:$B$501,E55)=0),"异常：税额批次不存在",IF(M55&gt;F55,"异常：本批次超额缴税",IF(AND(I55&lt;&gt;"",I55&gt;H55),"异常：超过事件截止日",IF(AND(P55&lt;&gt;"",TODAY()&gt;=P55,N55&gt;0),"异常：离职前未缴清","正常"))))))</f>
        <v/>
      </c>
      <c r="R55" s="11" t="n"/>
    </row>
    <row r="56">
      <c r="A56" s="6">
        <f>IF(AND(D56="",E56=""),"",IFERROR(INDEX('激励事件明细'!$C$2:$C$501,IF(D56&lt;&gt;"",MATCH(D56,'激励事件明细'!$A$2:$A$501,0),MATCH(E56,'激励事件明细'!$B$2:$B$501,0))),""))</f>
        <v/>
      </c>
      <c r="B56" s="6">
        <f>IF(A56="","",IFERROR(INDEX('激励事件明细'!$D$2:$D$501,IF(D56&lt;&gt;"",MATCH(D56,'激励事件明细'!$A$2:$A$501,0),MATCH(E56,'激励事件明细'!$B$2:$B$501,0))),""))</f>
        <v/>
      </c>
      <c r="C56" s="6">
        <f>IF(A56="","",IFERROR(INDEX('激励事件明细'!$H$2:$H$501,IF(D56&lt;&gt;"",MATCH(D56,'激励事件明细'!$A$2:$A$501,0),MATCH(E56,'激励事件明细'!$B$2:$B$501,0))),""))</f>
        <v/>
      </c>
      <c r="D56" s="11" t="n"/>
      <c r="E56" s="11" t="n"/>
      <c r="F56" s="14">
        <f>IF(A56="","",IFERROR(INDEX('激励事件明细'!$Z$2:$Z$501,IF(D56&lt;&gt;"",MATCH(D56,'激励事件明细'!$A$2:$A$501,0),MATCH(E56,'激励事件明细'!$B$2:$B$501,0))),""))</f>
        <v/>
      </c>
      <c r="G56" s="16">
        <f>IF(A56="","",IFERROR(INDEX('激励事件明细'!$AA$2:$AA$501,IF(D56&lt;&gt;"",MATCH(D56,'激励事件明细'!$A$2:$A$501,0),MATCH(E56,'激励事件明细'!$B$2:$B$501,0))),""))</f>
        <v/>
      </c>
      <c r="H56" s="16">
        <f>IF(A56="","",IFERROR(INDEX('激励事件明细'!$AB$2:$AB$501,IF(D56&lt;&gt;"",MATCH(D56,'激励事件明细'!$A$2:$A$501,0),MATCH(E56,'激励事件明细'!$B$2:$B$501,0))),""))</f>
        <v/>
      </c>
      <c r="I56" s="12" t="n"/>
      <c r="J56" s="13" t="n"/>
      <c r="K56" s="13" t="n"/>
      <c r="L56" s="11" t="n"/>
      <c r="M56" s="14">
        <f>IF(A56="","",IF(D56&lt;&gt;"",SUMIFS($K$2:$K$501,$D$2:$D$501,D56),SUMIFS($K$2:$K$501,$E$2:$E$501,E56)))</f>
        <v/>
      </c>
      <c r="N56" s="14">
        <f>IF(F56="","",MAX(0,F56-M56))</f>
        <v/>
      </c>
      <c r="O56" s="6">
        <f>IF(A56="","",IF(AND(I56&lt;&gt;"",I56&gt;H56),"是",IF(AND(TODAY()&gt;H56,N56&gt;0),"是","否")))</f>
        <v/>
      </c>
      <c r="P56" s="16">
        <f>IF(A56="","",IFERROR(INDEX('激励事件明细'!$P$2:$P$501,IF(D56&lt;&gt;"",MATCH(D56,'激励事件明细'!$A$2:$A$501,0),MATCH(E56,'激励事件明细'!$B$2:$B$501,0))),""))</f>
        <v/>
      </c>
      <c r="Q56" s="6">
        <f>IF(AND(D56="",E56=""),"异常：必须关联事件编号或税额批次",IF(AND(D56&lt;&gt;"",COUNTIF('激励事件明细'!$A$2:$A$501,D56)=0),"异常：事件编号不存在",IF(AND(E56&lt;&gt;"",COUNTIF('激励事件明细'!$B$2:$B$501,E56)=0),"异常：税额批次不存在",IF(M56&gt;F56,"异常：本批次超额缴税",IF(AND(I56&lt;&gt;"",I56&gt;H56),"异常：超过事件截止日",IF(AND(P56&lt;&gt;"",TODAY()&gt;=P56,N56&gt;0),"异常：离职前未缴清","正常"))))))</f>
        <v/>
      </c>
      <c r="R56" s="11" t="n"/>
    </row>
    <row r="57">
      <c r="A57" s="6">
        <f>IF(AND(D57="",E57=""),"",IFERROR(INDEX('激励事件明细'!$C$2:$C$501,IF(D57&lt;&gt;"",MATCH(D57,'激励事件明细'!$A$2:$A$501,0),MATCH(E57,'激励事件明细'!$B$2:$B$501,0))),""))</f>
        <v/>
      </c>
      <c r="B57" s="6">
        <f>IF(A57="","",IFERROR(INDEX('激励事件明细'!$D$2:$D$501,IF(D57&lt;&gt;"",MATCH(D57,'激励事件明细'!$A$2:$A$501,0),MATCH(E57,'激励事件明细'!$B$2:$B$501,0))),""))</f>
        <v/>
      </c>
      <c r="C57" s="6">
        <f>IF(A57="","",IFERROR(INDEX('激励事件明细'!$H$2:$H$501,IF(D57&lt;&gt;"",MATCH(D57,'激励事件明细'!$A$2:$A$501,0),MATCH(E57,'激励事件明细'!$B$2:$B$501,0))),""))</f>
        <v/>
      </c>
      <c r="D57" s="11" t="n"/>
      <c r="E57" s="11" t="n"/>
      <c r="F57" s="14">
        <f>IF(A57="","",IFERROR(INDEX('激励事件明细'!$Z$2:$Z$501,IF(D57&lt;&gt;"",MATCH(D57,'激励事件明细'!$A$2:$A$501,0),MATCH(E57,'激励事件明细'!$B$2:$B$501,0))),""))</f>
        <v/>
      </c>
      <c r="G57" s="16">
        <f>IF(A57="","",IFERROR(INDEX('激励事件明细'!$AA$2:$AA$501,IF(D57&lt;&gt;"",MATCH(D57,'激励事件明细'!$A$2:$A$501,0),MATCH(E57,'激励事件明细'!$B$2:$B$501,0))),""))</f>
        <v/>
      </c>
      <c r="H57" s="16">
        <f>IF(A57="","",IFERROR(INDEX('激励事件明细'!$AB$2:$AB$501,IF(D57&lt;&gt;"",MATCH(D57,'激励事件明细'!$A$2:$A$501,0),MATCH(E57,'激励事件明细'!$B$2:$B$501,0))),""))</f>
        <v/>
      </c>
      <c r="I57" s="12" t="n"/>
      <c r="J57" s="13" t="n"/>
      <c r="K57" s="13" t="n"/>
      <c r="L57" s="11" t="n"/>
      <c r="M57" s="14">
        <f>IF(A57="","",IF(D57&lt;&gt;"",SUMIFS($K$2:$K$501,$D$2:$D$501,D57),SUMIFS($K$2:$K$501,$E$2:$E$501,E57)))</f>
        <v/>
      </c>
      <c r="N57" s="14">
        <f>IF(F57="","",MAX(0,F57-M57))</f>
        <v/>
      </c>
      <c r="O57" s="6">
        <f>IF(A57="","",IF(AND(I57&lt;&gt;"",I57&gt;H57),"是",IF(AND(TODAY()&gt;H57,N57&gt;0),"是","否")))</f>
        <v/>
      </c>
      <c r="P57" s="16">
        <f>IF(A57="","",IFERROR(INDEX('激励事件明细'!$P$2:$P$501,IF(D57&lt;&gt;"",MATCH(D57,'激励事件明细'!$A$2:$A$501,0),MATCH(E57,'激励事件明细'!$B$2:$B$501,0))),""))</f>
        <v/>
      </c>
      <c r="Q57" s="6">
        <f>IF(AND(D57="",E57=""),"异常：必须关联事件编号或税额批次",IF(AND(D57&lt;&gt;"",COUNTIF('激励事件明细'!$A$2:$A$501,D57)=0),"异常：事件编号不存在",IF(AND(E57&lt;&gt;"",COUNTIF('激励事件明细'!$B$2:$B$501,E57)=0),"异常：税额批次不存在",IF(M57&gt;F57,"异常：本批次超额缴税",IF(AND(I57&lt;&gt;"",I57&gt;H57),"异常：超过事件截止日",IF(AND(P57&lt;&gt;"",TODAY()&gt;=P57,N57&gt;0),"异常：离职前未缴清","正常"))))))</f>
        <v/>
      </c>
      <c r="R57" s="11" t="n"/>
    </row>
    <row r="58">
      <c r="A58" s="6">
        <f>IF(AND(D58="",E58=""),"",IFERROR(INDEX('激励事件明细'!$C$2:$C$501,IF(D58&lt;&gt;"",MATCH(D58,'激励事件明细'!$A$2:$A$501,0),MATCH(E58,'激励事件明细'!$B$2:$B$501,0))),""))</f>
        <v/>
      </c>
      <c r="B58" s="6">
        <f>IF(A58="","",IFERROR(INDEX('激励事件明细'!$D$2:$D$501,IF(D58&lt;&gt;"",MATCH(D58,'激励事件明细'!$A$2:$A$501,0),MATCH(E58,'激励事件明细'!$B$2:$B$501,0))),""))</f>
        <v/>
      </c>
      <c r="C58" s="6">
        <f>IF(A58="","",IFERROR(INDEX('激励事件明细'!$H$2:$H$501,IF(D58&lt;&gt;"",MATCH(D58,'激励事件明细'!$A$2:$A$501,0),MATCH(E58,'激励事件明细'!$B$2:$B$501,0))),""))</f>
        <v/>
      </c>
      <c r="D58" s="11" t="n"/>
      <c r="E58" s="11" t="n"/>
      <c r="F58" s="14">
        <f>IF(A58="","",IFERROR(INDEX('激励事件明细'!$Z$2:$Z$501,IF(D58&lt;&gt;"",MATCH(D58,'激励事件明细'!$A$2:$A$501,0),MATCH(E58,'激励事件明细'!$B$2:$B$501,0))),""))</f>
        <v/>
      </c>
      <c r="G58" s="16">
        <f>IF(A58="","",IFERROR(INDEX('激励事件明细'!$AA$2:$AA$501,IF(D58&lt;&gt;"",MATCH(D58,'激励事件明细'!$A$2:$A$501,0),MATCH(E58,'激励事件明细'!$B$2:$B$501,0))),""))</f>
        <v/>
      </c>
      <c r="H58" s="16">
        <f>IF(A58="","",IFERROR(INDEX('激励事件明细'!$AB$2:$AB$501,IF(D58&lt;&gt;"",MATCH(D58,'激励事件明细'!$A$2:$A$501,0),MATCH(E58,'激励事件明细'!$B$2:$B$501,0))),""))</f>
        <v/>
      </c>
      <c r="I58" s="12" t="n"/>
      <c r="J58" s="13" t="n"/>
      <c r="K58" s="13" t="n"/>
      <c r="L58" s="11" t="n"/>
      <c r="M58" s="14">
        <f>IF(A58="","",IF(D58&lt;&gt;"",SUMIFS($K$2:$K$501,$D$2:$D$501,D58),SUMIFS($K$2:$K$501,$E$2:$E$501,E58)))</f>
        <v/>
      </c>
      <c r="N58" s="14">
        <f>IF(F58="","",MAX(0,F58-M58))</f>
        <v/>
      </c>
      <c r="O58" s="6">
        <f>IF(A58="","",IF(AND(I58&lt;&gt;"",I58&gt;H58),"是",IF(AND(TODAY()&gt;H58,N58&gt;0),"是","否")))</f>
        <v/>
      </c>
      <c r="P58" s="16">
        <f>IF(A58="","",IFERROR(INDEX('激励事件明细'!$P$2:$P$501,IF(D58&lt;&gt;"",MATCH(D58,'激励事件明细'!$A$2:$A$501,0),MATCH(E58,'激励事件明细'!$B$2:$B$501,0))),""))</f>
        <v/>
      </c>
      <c r="Q58" s="6">
        <f>IF(AND(D58="",E58=""),"异常：必须关联事件编号或税额批次",IF(AND(D58&lt;&gt;"",COUNTIF('激励事件明细'!$A$2:$A$501,D58)=0),"异常：事件编号不存在",IF(AND(E58&lt;&gt;"",COUNTIF('激励事件明细'!$B$2:$B$501,E58)=0),"异常：税额批次不存在",IF(M58&gt;F58,"异常：本批次超额缴税",IF(AND(I58&lt;&gt;"",I58&gt;H58),"异常：超过事件截止日",IF(AND(P58&lt;&gt;"",TODAY()&gt;=P58,N58&gt;0),"异常：离职前未缴清","正常"))))))</f>
        <v/>
      </c>
      <c r="R58" s="11" t="n"/>
    </row>
    <row r="59">
      <c r="A59" s="6">
        <f>IF(AND(D59="",E59=""),"",IFERROR(INDEX('激励事件明细'!$C$2:$C$501,IF(D59&lt;&gt;"",MATCH(D59,'激励事件明细'!$A$2:$A$501,0),MATCH(E59,'激励事件明细'!$B$2:$B$501,0))),""))</f>
        <v/>
      </c>
      <c r="B59" s="6">
        <f>IF(A59="","",IFERROR(INDEX('激励事件明细'!$D$2:$D$501,IF(D59&lt;&gt;"",MATCH(D59,'激励事件明细'!$A$2:$A$501,0),MATCH(E59,'激励事件明细'!$B$2:$B$501,0))),""))</f>
        <v/>
      </c>
      <c r="C59" s="6">
        <f>IF(A59="","",IFERROR(INDEX('激励事件明细'!$H$2:$H$501,IF(D59&lt;&gt;"",MATCH(D59,'激励事件明细'!$A$2:$A$501,0),MATCH(E59,'激励事件明细'!$B$2:$B$501,0))),""))</f>
        <v/>
      </c>
      <c r="D59" s="11" t="n"/>
      <c r="E59" s="11" t="n"/>
      <c r="F59" s="14">
        <f>IF(A59="","",IFERROR(INDEX('激励事件明细'!$Z$2:$Z$501,IF(D59&lt;&gt;"",MATCH(D59,'激励事件明细'!$A$2:$A$501,0),MATCH(E59,'激励事件明细'!$B$2:$B$501,0))),""))</f>
        <v/>
      </c>
      <c r="G59" s="16">
        <f>IF(A59="","",IFERROR(INDEX('激励事件明细'!$AA$2:$AA$501,IF(D59&lt;&gt;"",MATCH(D59,'激励事件明细'!$A$2:$A$501,0),MATCH(E59,'激励事件明细'!$B$2:$B$501,0))),""))</f>
        <v/>
      </c>
      <c r="H59" s="16">
        <f>IF(A59="","",IFERROR(INDEX('激励事件明细'!$AB$2:$AB$501,IF(D59&lt;&gt;"",MATCH(D59,'激励事件明细'!$A$2:$A$501,0),MATCH(E59,'激励事件明细'!$B$2:$B$501,0))),""))</f>
        <v/>
      </c>
      <c r="I59" s="12" t="n"/>
      <c r="J59" s="13" t="n"/>
      <c r="K59" s="13" t="n"/>
      <c r="L59" s="11" t="n"/>
      <c r="M59" s="14">
        <f>IF(A59="","",IF(D59&lt;&gt;"",SUMIFS($K$2:$K$501,$D$2:$D$501,D59),SUMIFS($K$2:$K$501,$E$2:$E$501,E59)))</f>
        <v/>
      </c>
      <c r="N59" s="14">
        <f>IF(F59="","",MAX(0,F59-M59))</f>
        <v/>
      </c>
      <c r="O59" s="6">
        <f>IF(A59="","",IF(AND(I59&lt;&gt;"",I59&gt;H59),"是",IF(AND(TODAY()&gt;H59,N59&gt;0),"是","否")))</f>
        <v/>
      </c>
      <c r="P59" s="16">
        <f>IF(A59="","",IFERROR(INDEX('激励事件明细'!$P$2:$P$501,IF(D59&lt;&gt;"",MATCH(D59,'激励事件明细'!$A$2:$A$501,0),MATCH(E59,'激励事件明细'!$B$2:$B$501,0))),""))</f>
        <v/>
      </c>
      <c r="Q59" s="6">
        <f>IF(AND(D59="",E59=""),"异常：必须关联事件编号或税额批次",IF(AND(D59&lt;&gt;"",COUNTIF('激励事件明细'!$A$2:$A$501,D59)=0),"异常：事件编号不存在",IF(AND(E59&lt;&gt;"",COUNTIF('激励事件明细'!$B$2:$B$501,E59)=0),"异常：税额批次不存在",IF(M59&gt;F59,"异常：本批次超额缴税",IF(AND(I59&lt;&gt;"",I59&gt;H59),"异常：超过事件截止日",IF(AND(P59&lt;&gt;"",TODAY()&gt;=P59,N59&gt;0),"异常：离职前未缴清","正常"))))))</f>
        <v/>
      </c>
      <c r="R59" s="11" t="n"/>
    </row>
    <row r="60">
      <c r="A60" s="6">
        <f>IF(AND(D60="",E60=""),"",IFERROR(INDEX('激励事件明细'!$C$2:$C$501,IF(D60&lt;&gt;"",MATCH(D60,'激励事件明细'!$A$2:$A$501,0),MATCH(E60,'激励事件明细'!$B$2:$B$501,0))),""))</f>
        <v/>
      </c>
      <c r="B60" s="6">
        <f>IF(A60="","",IFERROR(INDEX('激励事件明细'!$D$2:$D$501,IF(D60&lt;&gt;"",MATCH(D60,'激励事件明细'!$A$2:$A$501,0),MATCH(E60,'激励事件明细'!$B$2:$B$501,0))),""))</f>
        <v/>
      </c>
      <c r="C60" s="6">
        <f>IF(A60="","",IFERROR(INDEX('激励事件明细'!$H$2:$H$501,IF(D60&lt;&gt;"",MATCH(D60,'激励事件明细'!$A$2:$A$501,0),MATCH(E60,'激励事件明细'!$B$2:$B$501,0))),""))</f>
        <v/>
      </c>
      <c r="D60" s="11" t="n"/>
      <c r="E60" s="11" t="n"/>
      <c r="F60" s="14">
        <f>IF(A60="","",IFERROR(INDEX('激励事件明细'!$Z$2:$Z$501,IF(D60&lt;&gt;"",MATCH(D60,'激励事件明细'!$A$2:$A$501,0),MATCH(E60,'激励事件明细'!$B$2:$B$501,0))),""))</f>
        <v/>
      </c>
      <c r="G60" s="16">
        <f>IF(A60="","",IFERROR(INDEX('激励事件明细'!$AA$2:$AA$501,IF(D60&lt;&gt;"",MATCH(D60,'激励事件明细'!$A$2:$A$501,0),MATCH(E60,'激励事件明细'!$B$2:$B$501,0))),""))</f>
        <v/>
      </c>
      <c r="H60" s="16">
        <f>IF(A60="","",IFERROR(INDEX('激励事件明细'!$AB$2:$AB$501,IF(D60&lt;&gt;"",MATCH(D60,'激励事件明细'!$A$2:$A$501,0),MATCH(E60,'激励事件明细'!$B$2:$B$501,0))),""))</f>
        <v/>
      </c>
      <c r="I60" s="12" t="n"/>
      <c r="J60" s="13" t="n"/>
      <c r="K60" s="13" t="n"/>
      <c r="L60" s="11" t="n"/>
      <c r="M60" s="14">
        <f>IF(A60="","",IF(D60&lt;&gt;"",SUMIFS($K$2:$K$501,$D$2:$D$501,D60),SUMIFS($K$2:$K$501,$E$2:$E$501,E60)))</f>
        <v/>
      </c>
      <c r="N60" s="14">
        <f>IF(F60="","",MAX(0,F60-M60))</f>
        <v/>
      </c>
      <c r="O60" s="6">
        <f>IF(A60="","",IF(AND(I60&lt;&gt;"",I60&gt;H60),"是",IF(AND(TODAY()&gt;H60,N60&gt;0),"是","否")))</f>
        <v/>
      </c>
      <c r="P60" s="16">
        <f>IF(A60="","",IFERROR(INDEX('激励事件明细'!$P$2:$P$501,IF(D60&lt;&gt;"",MATCH(D60,'激励事件明细'!$A$2:$A$501,0),MATCH(E60,'激励事件明细'!$B$2:$B$501,0))),""))</f>
        <v/>
      </c>
      <c r="Q60" s="6">
        <f>IF(AND(D60="",E60=""),"异常：必须关联事件编号或税额批次",IF(AND(D60&lt;&gt;"",COUNTIF('激励事件明细'!$A$2:$A$501,D60)=0),"异常：事件编号不存在",IF(AND(E60&lt;&gt;"",COUNTIF('激励事件明细'!$B$2:$B$501,E60)=0),"异常：税额批次不存在",IF(M60&gt;F60,"异常：本批次超额缴税",IF(AND(I60&lt;&gt;"",I60&gt;H60),"异常：超过事件截止日",IF(AND(P60&lt;&gt;"",TODAY()&gt;=P60,N60&gt;0),"异常：离职前未缴清","正常"))))))</f>
        <v/>
      </c>
      <c r="R60" s="11" t="n"/>
    </row>
    <row r="61">
      <c r="A61" s="6">
        <f>IF(AND(D61="",E61=""),"",IFERROR(INDEX('激励事件明细'!$C$2:$C$501,IF(D61&lt;&gt;"",MATCH(D61,'激励事件明细'!$A$2:$A$501,0),MATCH(E61,'激励事件明细'!$B$2:$B$501,0))),""))</f>
        <v/>
      </c>
      <c r="B61" s="6">
        <f>IF(A61="","",IFERROR(INDEX('激励事件明细'!$D$2:$D$501,IF(D61&lt;&gt;"",MATCH(D61,'激励事件明细'!$A$2:$A$501,0),MATCH(E61,'激励事件明细'!$B$2:$B$501,0))),""))</f>
        <v/>
      </c>
      <c r="C61" s="6">
        <f>IF(A61="","",IFERROR(INDEX('激励事件明细'!$H$2:$H$501,IF(D61&lt;&gt;"",MATCH(D61,'激励事件明细'!$A$2:$A$501,0),MATCH(E61,'激励事件明细'!$B$2:$B$501,0))),""))</f>
        <v/>
      </c>
      <c r="D61" s="11" t="n"/>
      <c r="E61" s="11" t="n"/>
      <c r="F61" s="14">
        <f>IF(A61="","",IFERROR(INDEX('激励事件明细'!$Z$2:$Z$501,IF(D61&lt;&gt;"",MATCH(D61,'激励事件明细'!$A$2:$A$501,0),MATCH(E61,'激励事件明细'!$B$2:$B$501,0))),""))</f>
        <v/>
      </c>
      <c r="G61" s="16">
        <f>IF(A61="","",IFERROR(INDEX('激励事件明细'!$AA$2:$AA$501,IF(D61&lt;&gt;"",MATCH(D61,'激励事件明细'!$A$2:$A$501,0),MATCH(E61,'激励事件明细'!$B$2:$B$501,0))),""))</f>
        <v/>
      </c>
      <c r="H61" s="16">
        <f>IF(A61="","",IFERROR(INDEX('激励事件明细'!$AB$2:$AB$501,IF(D61&lt;&gt;"",MATCH(D61,'激励事件明细'!$A$2:$A$501,0),MATCH(E61,'激励事件明细'!$B$2:$B$501,0))),""))</f>
        <v/>
      </c>
      <c r="I61" s="12" t="n"/>
      <c r="J61" s="13" t="n"/>
      <c r="K61" s="13" t="n"/>
      <c r="L61" s="11" t="n"/>
      <c r="M61" s="14">
        <f>IF(A61="","",IF(D61&lt;&gt;"",SUMIFS($K$2:$K$501,$D$2:$D$501,D61),SUMIFS($K$2:$K$501,$E$2:$E$501,E61)))</f>
        <v/>
      </c>
      <c r="N61" s="14">
        <f>IF(F61="","",MAX(0,F61-M61))</f>
        <v/>
      </c>
      <c r="O61" s="6">
        <f>IF(A61="","",IF(AND(I61&lt;&gt;"",I61&gt;H61),"是",IF(AND(TODAY()&gt;H61,N61&gt;0),"是","否")))</f>
        <v/>
      </c>
      <c r="P61" s="16">
        <f>IF(A61="","",IFERROR(INDEX('激励事件明细'!$P$2:$P$501,IF(D61&lt;&gt;"",MATCH(D61,'激励事件明细'!$A$2:$A$501,0),MATCH(E61,'激励事件明细'!$B$2:$B$501,0))),""))</f>
        <v/>
      </c>
      <c r="Q61" s="6">
        <f>IF(AND(D61="",E61=""),"异常：必须关联事件编号或税额批次",IF(AND(D61&lt;&gt;"",COUNTIF('激励事件明细'!$A$2:$A$501,D61)=0),"异常：事件编号不存在",IF(AND(E61&lt;&gt;"",COUNTIF('激励事件明细'!$B$2:$B$501,E61)=0),"异常：税额批次不存在",IF(M61&gt;F61,"异常：本批次超额缴税",IF(AND(I61&lt;&gt;"",I61&gt;H61),"异常：超过事件截止日",IF(AND(P61&lt;&gt;"",TODAY()&gt;=P61,N61&gt;0),"异常：离职前未缴清","正常"))))))</f>
        <v/>
      </c>
      <c r="R61" s="11" t="n"/>
    </row>
    <row r="62">
      <c r="A62" s="6">
        <f>IF(AND(D62="",E62=""),"",IFERROR(INDEX('激励事件明细'!$C$2:$C$501,IF(D62&lt;&gt;"",MATCH(D62,'激励事件明细'!$A$2:$A$501,0),MATCH(E62,'激励事件明细'!$B$2:$B$501,0))),""))</f>
        <v/>
      </c>
      <c r="B62" s="6">
        <f>IF(A62="","",IFERROR(INDEX('激励事件明细'!$D$2:$D$501,IF(D62&lt;&gt;"",MATCH(D62,'激励事件明细'!$A$2:$A$501,0),MATCH(E62,'激励事件明细'!$B$2:$B$501,0))),""))</f>
        <v/>
      </c>
      <c r="C62" s="6">
        <f>IF(A62="","",IFERROR(INDEX('激励事件明细'!$H$2:$H$501,IF(D62&lt;&gt;"",MATCH(D62,'激励事件明细'!$A$2:$A$501,0),MATCH(E62,'激励事件明细'!$B$2:$B$501,0))),""))</f>
        <v/>
      </c>
      <c r="D62" s="11" t="n"/>
      <c r="E62" s="11" t="n"/>
      <c r="F62" s="14">
        <f>IF(A62="","",IFERROR(INDEX('激励事件明细'!$Z$2:$Z$501,IF(D62&lt;&gt;"",MATCH(D62,'激励事件明细'!$A$2:$A$501,0),MATCH(E62,'激励事件明细'!$B$2:$B$501,0))),""))</f>
        <v/>
      </c>
      <c r="G62" s="16">
        <f>IF(A62="","",IFERROR(INDEX('激励事件明细'!$AA$2:$AA$501,IF(D62&lt;&gt;"",MATCH(D62,'激励事件明细'!$A$2:$A$501,0),MATCH(E62,'激励事件明细'!$B$2:$B$501,0))),""))</f>
        <v/>
      </c>
      <c r="H62" s="16">
        <f>IF(A62="","",IFERROR(INDEX('激励事件明细'!$AB$2:$AB$501,IF(D62&lt;&gt;"",MATCH(D62,'激励事件明细'!$A$2:$A$501,0),MATCH(E62,'激励事件明细'!$B$2:$B$501,0))),""))</f>
        <v/>
      </c>
      <c r="I62" s="12" t="n"/>
      <c r="J62" s="13" t="n"/>
      <c r="K62" s="13" t="n"/>
      <c r="L62" s="11" t="n"/>
      <c r="M62" s="14">
        <f>IF(A62="","",IF(D62&lt;&gt;"",SUMIFS($K$2:$K$501,$D$2:$D$501,D62),SUMIFS($K$2:$K$501,$E$2:$E$501,E62)))</f>
        <v/>
      </c>
      <c r="N62" s="14">
        <f>IF(F62="","",MAX(0,F62-M62))</f>
        <v/>
      </c>
      <c r="O62" s="6">
        <f>IF(A62="","",IF(AND(I62&lt;&gt;"",I62&gt;H62),"是",IF(AND(TODAY()&gt;H62,N62&gt;0),"是","否")))</f>
        <v/>
      </c>
      <c r="P62" s="16">
        <f>IF(A62="","",IFERROR(INDEX('激励事件明细'!$P$2:$P$501,IF(D62&lt;&gt;"",MATCH(D62,'激励事件明细'!$A$2:$A$501,0),MATCH(E62,'激励事件明细'!$B$2:$B$501,0))),""))</f>
        <v/>
      </c>
      <c r="Q62" s="6">
        <f>IF(AND(D62="",E62=""),"异常：必须关联事件编号或税额批次",IF(AND(D62&lt;&gt;"",COUNTIF('激励事件明细'!$A$2:$A$501,D62)=0),"异常：事件编号不存在",IF(AND(E62&lt;&gt;"",COUNTIF('激励事件明细'!$B$2:$B$501,E62)=0),"异常：税额批次不存在",IF(M62&gt;F62,"异常：本批次超额缴税",IF(AND(I62&lt;&gt;"",I62&gt;H62),"异常：超过事件截止日",IF(AND(P62&lt;&gt;"",TODAY()&gt;=P62,N62&gt;0),"异常：离职前未缴清","正常"))))))</f>
        <v/>
      </c>
      <c r="R62" s="11" t="n"/>
    </row>
    <row r="63">
      <c r="A63" s="6">
        <f>IF(AND(D63="",E63=""),"",IFERROR(INDEX('激励事件明细'!$C$2:$C$501,IF(D63&lt;&gt;"",MATCH(D63,'激励事件明细'!$A$2:$A$501,0),MATCH(E63,'激励事件明细'!$B$2:$B$501,0))),""))</f>
        <v/>
      </c>
      <c r="B63" s="6">
        <f>IF(A63="","",IFERROR(INDEX('激励事件明细'!$D$2:$D$501,IF(D63&lt;&gt;"",MATCH(D63,'激励事件明细'!$A$2:$A$501,0),MATCH(E63,'激励事件明细'!$B$2:$B$501,0))),""))</f>
        <v/>
      </c>
      <c r="C63" s="6">
        <f>IF(A63="","",IFERROR(INDEX('激励事件明细'!$H$2:$H$501,IF(D63&lt;&gt;"",MATCH(D63,'激励事件明细'!$A$2:$A$501,0),MATCH(E63,'激励事件明细'!$B$2:$B$501,0))),""))</f>
        <v/>
      </c>
      <c r="D63" s="11" t="n"/>
      <c r="E63" s="11" t="n"/>
      <c r="F63" s="14">
        <f>IF(A63="","",IFERROR(INDEX('激励事件明细'!$Z$2:$Z$501,IF(D63&lt;&gt;"",MATCH(D63,'激励事件明细'!$A$2:$A$501,0),MATCH(E63,'激励事件明细'!$B$2:$B$501,0))),""))</f>
        <v/>
      </c>
      <c r="G63" s="16">
        <f>IF(A63="","",IFERROR(INDEX('激励事件明细'!$AA$2:$AA$501,IF(D63&lt;&gt;"",MATCH(D63,'激励事件明细'!$A$2:$A$501,0),MATCH(E63,'激励事件明细'!$B$2:$B$501,0))),""))</f>
        <v/>
      </c>
      <c r="H63" s="16">
        <f>IF(A63="","",IFERROR(INDEX('激励事件明细'!$AB$2:$AB$501,IF(D63&lt;&gt;"",MATCH(D63,'激励事件明细'!$A$2:$A$501,0),MATCH(E63,'激励事件明细'!$B$2:$B$501,0))),""))</f>
        <v/>
      </c>
      <c r="I63" s="12" t="n"/>
      <c r="J63" s="13" t="n"/>
      <c r="K63" s="13" t="n"/>
      <c r="L63" s="11" t="n"/>
      <c r="M63" s="14">
        <f>IF(A63="","",IF(D63&lt;&gt;"",SUMIFS($K$2:$K$501,$D$2:$D$501,D63),SUMIFS($K$2:$K$501,$E$2:$E$501,E63)))</f>
        <v/>
      </c>
      <c r="N63" s="14">
        <f>IF(F63="","",MAX(0,F63-M63))</f>
        <v/>
      </c>
      <c r="O63" s="6">
        <f>IF(A63="","",IF(AND(I63&lt;&gt;"",I63&gt;H63),"是",IF(AND(TODAY()&gt;H63,N63&gt;0),"是","否")))</f>
        <v/>
      </c>
      <c r="P63" s="16">
        <f>IF(A63="","",IFERROR(INDEX('激励事件明细'!$P$2:$P$501,IF(D63&lt;&gt;"",MATCH(D63,'激励事件明细'!$A$2:$A$501,0),MATCH(E63,'激励事件明细'!$B$2:$B$501,0))),""))</f>
        <v/>
      </c>
      <c r="Q63" s="6">
        <f>IF(AND(D63="",E63=""),"异常：必须关联事件编号或税额批次",IF(AND(D63&lt;&gt;"",COUNTIF('激励事件明细'!$A$2:$A$501,D63)=0),"异常：事件编号不存在",IF(AND(E63&lt;&gt;"",COUNTIF('激励事件明细'!$B$2:$B$501,E63)=0),"异常：税额批次不存在",IF(M63&gt;F63,"异常：本批次超额缴税",IF(AND(I63&lt;&gt;"",I63&gt;H63),"异常：超过事件截止日",IF(AND(P63&lt;&gt;"",TODAY()&gt;=P63,N63&gt;0),"异常：离职前未缴清","正常"))))))</f>
        <v/>
      </c>
      <c r="R63" s="11" t="n"/>
    </row>
    <row r="64">
      <c r="A64" s="6">
        <f>IF(AND(D64="",E64=""),"",IFERROR(INDEX('激励事件明细'!$C$2:$C$501,IF(D64&lt;&gt;"",MATCH(D64,'激励事件明细'!$A$2:$A$501,0),MATCH(E64,'激励事件明细'!$B$2:$B$501,0))),""))</f>
        <v/>
      </c>
      <c r="B64" s="6">
        <f>IF(A64="","",IFERROR(INDEX('激励事件明细'!$D$2:$D$501,IF(D64&lt;&gt;"",MATCH(D64,'激励事件明细'!$A$2:$A$501,0),MATCH(E64,'激励事件明细'!$B$2:$B$501,0))),""))</f>
        <v/>
      </c>
      <c r="C64" s="6">
        <f>IF(A64="","",IFERROR(INDEX('激励事件明细'!$H$2:$H$501,IF(D64&lt;&gt;"",MATCH(D64,'激励事件明细'!$A$2:$A$501,0),MATCH(E64,'激励事件明细'!$B$2:$B$501,0))),""))</f>
        <v/>
      </c>
      <c r="D64" s="11" t="n"/>
      <c r="E64" s="11" t="n"/>
      <c r="F64" s="14">
        <f>IF(A64="","",IFERROR(INDEX('激励事件明细'!$Z$2:$Z$501,IF(D64&lt;&gt;"",MATCH(D64,'激励事件明细'!$A$2:$A$501,0),MATCH(E64,'激励事件明细'!$B$2:$B$501,0))),""))</f>
        <v/>
      </c>
      <c r="G64" s="16">
        <f>IF(A64="","",IFERROR(INDEX('激励事件明细'!$AA$2:$AA$501,IF(D64&lt;&gt;"",MATCH(D64,'激励事件明细'!$A$2:$A$501,0),MATCH(E64,'激励事件明细'!$B$2:$B$501,0))),""))</f>
        <v/>
      </c>
      <c r="H64" s="16">
        <f>IF(A64="","",IFERROR(INDEX('激励事件明细'!$AB$2:$AB$501,IF(D64&lt;&gt;"",MATCH(D64,'激励事件明细'!$A$2:$A$501,0),MATCH(E64,'激励事件明细'!$B$2:$B$501,0))),""))</f>
        <v/>
      </c>
      <c r="I64" s="12" t="n"/>
      <c r="J64" s="13" t="n"/>
      <c r="K64" s="13" t="n"/>
      <c r="L64" s="11" t="n"/>
      <c r="M64" s="14">
        <f>IF(A64="","",IF(D64&lt;&gt;"",SUMIFS($K$2:$K$501,$D$2:$D$501,D64),SUMIFS($K$2:$K$501,$E$2:$E$501,E64)))</f>
        <v/>
      </c>
      <c r="N64" s="14">
        <f>IF(F64="","",MAX(0,F64-M64))</f>
        <v/>
      </c>
      <c r="O64" s="6">
        <f>IF(A64="","",IF(AND(I64&lt;&gt;"",I64&gt;H64),"是",IF(AND(TODAY()&gt;H64,N64&gt;0),"是","否")))</f>
        <v/>
      </c>
      <c r="P64" s="16">
        <f>IF(A64="","",IFERROR(INDEX('激励事件明细'!$P$2:$P$501,IF(D64&lt;&gt;"",MATCH(D64,'激励事件明细'!$A$2:$A$501,0),MATCH(E64,'激励事件明细'!$B$2:$B$501,0))),""))</f>
        <v/>
      </c>
      <c r="Q64" s="6">
        <f>IF(AND(D64="",E64=""),"异常：必须关联事件编号或税额批次",IF(AND(D64&lt;&gt;"",COUNTIF('激励事件明细'!$A$2:$A$501,D64)=0),"异常：事件编号不存在",IF(AND(E64&lt;&gt;"",COUNTIF('激励事件明细'!$B$2:$B$501,E64)=0),"异常：税额批次不存在",IF(M64&gt;F64,"异常：本批次超额缴税",IF(AND(I64&lt;&gt;"",I64&gt;H64),"异常：超过事件截止日",IF(AND(P64&lt;&gt;"",TODAY()&gt;=P64,N64&gt;0),"异常：离职前未缴清","正常"))))))</f>
        <v/>
      </c>
      <c r="R64" s="11" t="n"/>
    </row>
    <row r="65">
      <c r="A65" s="6">
        <f>IF(AND(D65="",E65=""),"",IFERROR(INDEX('激励事件明细'!$C$2:$C$501,IF(D65&lt;&gt;"",MATCH(D65,'激励事件明细'!$A$2:$A$501,0),MATCH(E65,'激励事件明细'!$B$2:$B$501,0))),""))</f>
        <v/>
      </c>
      <c r="B65" s="6">
        <f>IF(A65="","",IFERROR(INDEX('激励事件明细'!$D$2:$D$501,IF(D65&lt;&gt;"",MATCH(D65,'激励事件明细'!$A$2:$A$501,0),MATCH(E65,'激励事件明细'!$B$2:$B$501,0))),""))</f>
        <v/>
      </c>
      <c r="C65" s="6">
        <f>IF(A65="","",IFERROR(INDEX('激励事件明细'!$H$2:$H$501,IF(D65&lt;&gt;"",MATCH(D65,'激励事件明细'!$A$2:$A$501,0),MATCH(E65,'激励事件明细'!$B$2:$B$501,0))),""))</f>
        <v/>
      </c>
      <c r="D65" s="11" t="n"/>
      <c r="E65" s="11" t="n"/>
      <c r="F65" s="14">
        <f>IF(A65="","",IFERROR(INDEX('激励事件明细'!$Z$2:$Z$501,IF(D65&lt;&gt;"",MATCH(D65,'激励事件明细'!$A$2:$A$501,0),MATCH(E65,'激励事件明细'!$B$2:$B$501,0))),""))</f>
        <v/>
      </c>
      <c r="G65" s="16">
        <f>IF(A65="","",IFERROR(INDEX('激励事件明细'!$AA$2:$AA$501,IF(D65&lt;&gt;"",MATCH(D65,'激励事件明细'!$A$2:$A$501,0),MATCH(E65,'激励事件明细'!$B$2:$B$501,0))),""))</f>
        <v/>
      </c>
      <c r="H65" s="16">
        <f>IF(A65="","",IFERROR(INDEX('激励事件明细'!$AB$2:$AB$501,IF(D65&lt;&gt;"",MATCH(D65,'激励事件明细'!$A$2:$A$501,0),MATCH(E65,'激励事件明细'!$B$2:$B$501,0))),""))</f>
        <v/>
      </c>
      <c r="I65" s="12" t="n"/>
      <c r="J65" s="13" t="n"/>
      <c r="K65" s="13" t="n"/>
      <c r="L65" s="11" t="n"/>
      <c r="M65" s="14">
        <f>IF(A65="","",IF(D65&lt;&gt;"",SUMIFS($K$2:$K$501,$D$2:$D$501,D65),SUMIFS($K$2:$K$501,$E$2:$E$501,E65)))</f>
        <v/>
      </c>
      <c r="N65" s="14">
        <f>IF(F65="","",MAX(0,F65-M65))</f>
        <v/>
      </c>
      <c r="O65" s="6">
        <f>IF(A65="","",IF(AND(I65&lt;&gt;"",I65&gt;H65),"是",IF(AND(TODAY()&gt;H65,N65&gt;0),"是","否")))</f>
        <v/>
      </c>
      <c r="P65" s="16">
        <f>IF(A65="","",IFERROR(INDEX('激励事件明细'!$P$2:$P$501,IF(D65&lt;&gt;"",MATCH(D65,'激励事件明细'!$A$2:$A$501,0),MATCH(E65,'激励事件明细'!$B$2:$B$501,0))),""))</f>
        <v/>
      </c>
      <c r="Q65" s="6">
        <f>IF(AND(D65="",E65=""),"异常：必须关联事件编号或税额批次",IF(AND(D65&lt;&gt;"",COUNTIF('激励事件明细'!$A$2:$A$501,D65)=0),"异常：事件编号不存在",IF(AND(E65&lt;&gt;"",COUNTIF('激励事件明细'!$B$2:$B$501,E65)=0),"异常：税额批次不存在",IF(M65&gt;F65,"异常：本批次超额缴税",IF(AND(I65&lt;&gt;"",I65&gt;H65),"异常：超过事件截止日",IF(AND(P65&lt;&gt;"",TODAY()&gt;=P65,N65&gt;0),"异常：离职前未缴清","正常"))))))</f>
        <v/>
      </c>
      <c r="R65" s="11" t="n"/>
    </row>
    <row r="66">
      <c r="A66" s="6">
        <f>IF(AND(D66="",E66=""),"",IFERROR(INDEX('激励事件明细'!$C$2:$C$501,IF(D66&lt;&gt;"",MATCH(D66,'激励事件明细'!$A$2:$A$501,0),MATCH(E66,'激励事件明细'!$B$2:$B$501,0))),""))</f>
        <v/>
      </c>
      <c r="B66" s="6">
        <f>IF(A66="","",IFERROR(INDEX('激励事件明细'!$D$2:$D$501,IF(D66&lt;&gt;"",MATCH(D66,'激励事件明细'!$A$2:$A$501,0),MATCH(E66,'激励事件明细'!$B$2:$B$501,0))),""))</f>
        <v/>
      </c>
      <c r="C66" s="6">
        <f>IF(A66="","",IFERROR(INDEX('激励事件明细'!$H$2:$H$501,IF(D66&lt;&gt;"",MATCH(D66,'激励事件明细'!$A$2:$A$501,0),MATCH(E66,'激励事件明细'!$B$2:$B$501,0))),""))</f>
        <v/>
      </c>
      <c r="D66" s="11" t="n"/>
      <c r="E66" s="11" t="n"/>
      <c r="F66" s="14">
        <f>IF(A66="","",IFERROR(INDEX('激励事件明细'!$Z$2:$Z$501,IF(D66&lt;&gt;"",MATCH(D66,'激励事件明细'!$A$2:$A$501,0),MATCH(E66,'激励事件明细'!$B$2:$B$501,0))),""))</f>
        <v/>
      </c>
      <c r="G66" s="16">
        <f>IF(A66="","",IFERROR(INDEX('激励事件明细'!$AA$2:$AA$501,IF(D66&lt;&gt;"",MATCH(D66,'激励事件明细'!$A$2:$A$501,0),MATCH(E66,'激励事件明细'!$B$2:$B$501,0))),""))</f>
        <v/>
      </c>
      <c r="H66" s="16">
        <f>IF(A66="","",IFERROR(INDEX('激励事件明细'!$AB$2:$AB$501,IF(D66&lt;&gt;"",MATCH(D66,'激励事件明细'!$A$2:$A$501,0),MATCH(E66,'激励事件明细'!$B$2:$B$501,0))),""))</f>
        <v/>
      </c>
      <c r="I66" s="12" t="n"/>
      <c r="J66" s="13" t="n"/>
      <c r="K66" s="13" t="n"/>
      <c r="L66" s="11" t="n"/>
      <c r="M66" s="14">
        <f>IF(A66="","",IF(D66&lt;&gt;"",SUMIFS($K$2:$K$501,$D$2:$D$501,D66),SUMIFS($K$2:$K$501,$E$2:$E$501,E66)))</f>
        <v/>
      </c>
      <c r="N66" s="14">
        <f>IF(F66="","",MAX(0,F66-M66))</f>
        <v/>
      </c>
      <c r="O66" s="6">
        <f>IF(A66="","",IF(AND(I66&lt;&gt;"",I66&gt;H66),"是",IF(AND(TODAY()&gt;H66,N66&gt;0),"是","否")))</f>
        <v/>
      </c>
      <c r="P66" s="16">
        <f>IF(A66="","",IFERROR(INDEX('激励事件明细'!$P$2:$P$501,IF(D66&lt;&gt;"",MATCH(D66,'激励事件明细'!$A$2:$A$501,0),MATCH(E66,'激励事件明细'!$B$2:$B$501,0))),""))</f>
        <v/>
      </c>
      <c r="Q66" s="6">
        <f>IF(AND(D66="",E66=""),"异常：必须关联事件编号或税额批次",IF(AND(D66&lt;&gt;"",COUNTIF('激励事件明细'!$A$2:$A$501,D66)=0),"异常：事件编号不存在",IF(AND(E66&lt;&gt;"",COUNTIF('激励事件明细'!$B$2:$B$501,E66)=0),"异常：税额批次不存在",IF(M66&gt;F66,"异常：本批次超额缴税",IF(AND(I66&lt;&gt;"",I66&gt;H66),"异常：超过事件截止日",IF(AND(P66&lt;&gt;"",TODAY()&gt;=P66,N66&gt;0),"异常：离职前未缴清","正常"))))))</f>
        <v/>
      </c>
      <c r="R66" s="11" t="n"/>
    </row>
    <row r="67">
      <c r="A67" s="6">
        <f>IF(AND(D67="",E67=""),"",IFERROR(INDEX('激励事件明细'!$C$2:$C$501,IF(D67&lt;&gt;"",MATCH(D67,'激励事件明细'!$A$2:$A$501,0),MATCH(E67,'激励事件明细'!$B$2:$B$501,0))),""))</f>
        <v/>
      </c>
      <c r="B67" s="6">
        <f>IF(A67="","",IFERROR(INDEX('激励事件明细'!$D$2:$D$501,IF(D67&lt;&gt;"",MATCH(D67,'激励事件明细'!$A$2:$A$501,0),MATCH(E67,'激励事件明细'!$B$2:$B$501,0))),""))</f>
        <v/>
      </c>
      <c r="C67" s="6">
        <f>IF(A67="","",IFERROR(INDEX('激励事件明细'!$H$2:$H$501,IF(D67&lt;&gt;"",MATCH(D67,'激励事件明细'!$A$2:$A$501,0),MATCH(E67,'激励事件明细'!$B$2:$B$501,0))),""))</f>
        <v/>
      </c>
      <c r="D67" s="11" t="n"/>
      <c r="E67" s="11" t="n"/>
      <c r="F67" s="14">
        <f>IF(A67="","",IFERROR(INDEX('激励事件明细'!$Z$2:$Z$501,IF(D67&lt;&gt;"",MATCH(D67,'激励事件明细'!$A$2:$A$501,0),MATCH(E67,'激励事件明细'!$B$2:$B$501,0))),""))</f>
        <v/>
      </c>
      <c r="G67" s="16">
        <f>IF(A67="","",IFERROR(INDEX('激励事件明细'!$AA$2:$AA$501,IF(D67&lt;&gt;"",MATCH(D67,'激励事件明细'!$A$2:$A$501,0),MATCH(E67,'激励事件明细'!$B$2:$B$501,0))),""))</f>
        <v/>
      </c>
      <c r="H67" s="16">
        <f>IF(A67="","",IFERROR(INDEX('激励事件明细'!$AB$2:$AB$501,IF(D67&lt;&gt;"",MATCH(D67,'激励事件明细'!$A$2:$A$501,0),MATCH(E67,'激励事件明细'!$B$2:$B$501,0))),""))</f>
        <v/>
      </c>
      <c r="I67" s="12" t="n"/>
      <c r="J67" s="13" t="n"/>
      <c r="K67" s="13" t="n"/>
      <c r="L67" s="11" t="n"/>
      <c r="M67" s="14">
        <f>IF(A67="","",IF(D67&lt;&gt;"",SUMIFS($K$2:$K$501,$D$2:$D$501,D67),SUMIFS($K$2:$K$501,$E$2:$E$501,E67)))</f>
        <v/>
      </c>
      <c r="N67" s="14">
        <f>IF(F67="","",MAX(0,F67-M67))</f>
        <v/>
      </c>
      <c r="O67" s="6">
        <f>IF(A67="","",IF(AND(I67&lt;&gt;"",I67&gt;H67),"是",IF(AND(TODAY()&gt;H67,N67&gt;0),"是","否")))</f>
        <v/>
      </c>
      <c r="P67" s="16">
        <f>IF(A67="","",IFERROR(INDEX('激励事件明细'!$P$2:$P$501,IF(D67&lt;&gt;"",MATCH(D67,'激励事件明细'!$A$2:$A$501,0),MATCH(E67,'激励事件明细'!$B$2:$B$501,0))),""))</f>
        <v/>
      </c>
      <c r="Q67" s="6">
        <f>IF(AND(D67="",E67=""),"异常：必须关联事件编号或税额批次",IF(AND(D67&lt;&gt;"",COUNTIF('激励事件明细'!$A$2:$A$501,D67)=0),"异常：事件编号不存在",IF(AND(E67&lt;&gt;"",COUNTIF('激励事件明细'!$B$2:$B$501,E67)=0),"异常：税额批次不存在",IF(M67&gt;F67,"异常：本批次超额缴税",IF(AND(I67&lt;&gt;"",I67&gt;H67),"异常：超过事件截止日",IF(AND(P67&lt;&gt;"",TODAY()&gt;=P67,N67&gt;0),"异常：离职前未缴清","正常"))))))</f>
        <v/>
      </c>
      <c r="R67" s="11" t="n"/>
    </row>
    <row r="68">
      <c r="A68" s="6">
        <f>IF(AND(D68="",E68=""),"",IFERROR(INDEX('激励事件明细'!$C$2:$C$501,IF(D68&lt;&gt;"",MATCH(D68,'激励事件明细'!$A$2:$A$501,0),MATCH(E68,'激励事件明细'!$B$2:$B$501,0))),""))</f>
        <v/>
      </c>
      <c r="B68" s="6">
        <f>IF(A68="","",IFERROR(INDEX('激励事件明细'!$D$2:$D$501,IF(D68&lt;&gt;"",MATCH(D68,'激励事件明细'!$A$2:$A$501,0),MATCH(E68,'激励事件明细'!$B$2:$B$501,0))),""))</f>
        <v/>
      </c>
      <c r="C68" s="6">
        <f>IF(A68="","",IFERROR(INDEX('激励事件明细'!$H$2:$H$501,IF(D68&lt;&gt;"",MATCH(D68,'激励事件明细'!$A$2:$A$501,0),MATCH(E68,'激励事件明细'!$B$2:$B$501,0))),""))</f>
        <v/>
      </c>
      <c r="D68" s="11" t="n"/>
      <c r="E68" s="11" t="n"/>
      <c r="F68" s="14">
        <f>IF(A68="","",IFERROR(INDEX('激励事件明细'!$Z$2:$Z$501,IF(D68&lt;&gt;"",MATCH(D68,'激励事件明细'!$A$2:$A$501,0),MATCH(E68,'激励事件明细'!$B$2:$B$501,0))),""))</f>
        <v/>
      </c>
      <c r="G68" s="16">
        <f>IF(A68="","",IFERROR(INDEX('激励事件明细'!$AA$2:$AA$501,IF(D68&lt;&gt;"",MATCH(D68,'激励事件明细'!$A$2:$A$501,0),MATCH(E68,'激励事件明细'!$B$2:$B$501,0))),""))</f>
        <v/>
      </c>
      <c r="H68" s="16">
        <f>IF(A68="","",IFERROR(INDEX('激励事件明细'!$AB$2:$AB$501,IF(D68&lt;&gt;"",MATCH(D68,'激励事件明细'!$A$2:$A$501,0),MATCH(E68,'激励事件明细'!$B$2:$B$501,0))),""))</f>
        <v/>
      </c>
      <c r="I68" s="12" t="n"/>
      <c r="J68" s="13" t="n"/>
      <c r="K68" s="13" t="n"/>
      <c r="L68" s="11" t="n"/>
      <c r="M68" s="14">
        <f>IF(A68="","",IF(D68&lt;&gt;"",SUMIFS($K$2:$K$501,$D$2:$D$501,D68),SUMIFS($K$2:$K$501,$E$2:$E$501,E68)))</f>
        <v/>
      </c>
      <c r="N68" s="14">
        <f>IF(F68="","",MAX(0,F68-M68))</f>
        <v/>
      </c>
      <c r="O68" s="6">
        <f>IF(A68="","",IF(AND(I68&lt;&gt;"",I68&gt;H68),"是",IF(AND(TODAY()&gt;H68,N68&gt;0),"是","否")))</f>
        <v/>
      </c>
      <c r="P68" s="16">
        <f>IF(A68="","",IFERROR(INDEX('激励事件明细'!$P$2:$P$501,IF(D68&lt;&gt;"",MATCH(D68,'激励事件明细'!$A$2:$A$501,0),MATCH(E68,'激励事件明细'!$B$2:$B$501,0))),""))</f>
        <v/>
      </c>
      <c r="Q68" s="6">
        <f>IF(AND(D68="",E68=""),"异常：必须关联事件编号或税额批次",IF(AND(D68&lt;&gt;"",COUNTIF('激励事件明细'!$A$2:$A$501,D68)=0),"异常：事件编号不存在",IF(AND(E68&lt;&gt;"",COUNTIF('激励事件明细'!$B$2:$B$501,E68)=0),"异常：税额批次不存在",IF(M68&gt;F68,"异常：本批次超额缴税",IF(AND(I68&lt;&gt;"",I68&gt;H68),"异常：超过事件截止日",IF(AND(P68&lt;&gt;"",TODAY()&gt;=P68,N68&gt;0),"异常：离职前未缴清","正常"))))))</f>
        <v/>
      </c>
      <c r="R68" s="11" t="n"/>
    </row>
    <row r="69">
      <c r="A69" s="6">
        <f>IF(AND(D69="",E69=""),"",IFERROR(INDEX('激励事件明细'!$C$2:$C$501,IF(D69&lt;&gt;"",MATCH(D69,'激励事件明细'!$A$2:$A$501,0),MATCH(E69,'激励事件明细'!$B$2:$B$501,0))),""))</f>
        <v/>
      </c>
      <c r="B69" s="6">
        <f>IF(A69="","",IFERROR(INDEX('激励事件明细'!$D$2:$D$501,IF(D69&lt;&gt;"",MATCH(D69,'激励事件明细'!$A$2:$A$501,0),MATCH(E69,'激励事件明细'!$B$2:$B$501,0))),""))</f>
        <v/>
      </c>
      <c r="C69" s="6">
        <f>IF(A69="","",IFERROR(INDEX('激励事件明细'!$H$2:$H$501,IF(D69&lt;&gt;"",MATCH(D69,'激励事件明细'!$A$2:$A$501,0),MATCH(E69,'激励事件明细'!$B$2:$B$501,0))),""))</f>
        <v/>
      </c>
      <c r="D69" s="11" t="n"/>
      <c r="E69" s="11" t="n"/>
      <c r="F69" s="14">
        <f>IF(A69="","",IFERROR(INDEX('激励事件明细'!$Z$2:$Z$501,IF(D69&lt;&gt;"",MATCH(D69,'激励事件明细'!$A$2:$A$501,0),MATCH(E69,'激励事件明细'!$B$2:$B$501,0))),""))</f>
        <v/>
      </c>
      <c r="G69" s="16">
        <f>IF(A69="","",IFERROR(INDEX('激励事件明细'!$AA$2:$AA$501,IF(D69&lt;&gt;"",MATCH(D69,'激励事件明细'!$A$2:$A$501,0),MATCH(E69,'激励事件明细'!$B$2:$B$501,0))),""))</f>
        <v/>
      </c>
      <c r="H69" s="16">
        <f>IF(A69="","",IFERROR(INDEX('激励事件明细'!$AB$2:$AB$501,IF(D69&lt;&gt;"",MATCH(D69,'激励事件明细'!$A$2:$A$501,0),MATCH(E69,'激励事件明细'!$B$2:$B$501,0))),""))</f>
        <v/>
      </c>
      <c r="I69" s="12" t="n"/>
      <c r="J69" s="13" t="n"/>
      <c r="K69" s="13" t="n"/>
      <c r="L69" s="11" t="n"/>
      <c r="M69" s="14">
        <f>IF(A69="","",IF(D69&lt;&gt;"",SUMIFS($K$2:$K$501,$D$2:$D$501,D69),SUMIFS($K$2:$K$501,$E$2:$E$501,E69)))</f>
        <v/>
      </c>
      <c r="N69" s="14">
        <f>IF(F69="","",MAX(0,F69-M69))</f>
        <v/>
      </c>
      <c r="O69" s="6">
        <f>IF(A69="","",IF(AND(I69&lt;&gt;"",I69&gt;H69),"是",IF(AND(TODAY()&gt;H69,N69&gt;0),"是","否")))</f>
        <v/>
      </c>
      <c r="P69" s="16">
        <f>IF(A69="","",IFERROR(INDEX('激励事件明细'!$P$2:$P$501,IF(D69&lt;&gt;"",MATCH(D69,'激励事件明细'!$A$2:$A$501,0),MATCH(E69,'激励事件明细'!$B$2:$B$501,0))),""))</f>
        <v/>
      </c>
      <c r="Q69" s="6">
        <f>IF(AND(D69="",E69=""),"异常：必须关联事件编号或税额批次",IF(AND(D69&lt;&gt;"",COUNTIF('激励事件明细'!$A$2:$A$501,D69)=0),"异常：事件编号不存在",IF(AND(E69&lt;&gt;"",COUNTIF('激励事件明细'!$B$2:$B$501,E69)=0),"异常：税额批次不存在",IF(M69&gt;F69,"异常：本批次超额缴税",IF(AND(I69&lt;&gt;"",I69&gt;H69),"异常：超过事件截止日",IF(AND(P69&lt;&gt;"",TODAY()&gt;=P69,N69&gt;0),"异常：离职前未缴清","正常"))))))</f>
        <v/>
      </c>
      <c r="R69" s="11" t="n"/>
    </row>
    <row r="70">
      <c r="A70" s="6">
        <f>IF(AND(D70="",E70=""),"",IFERROR(INDEX('激励事件明细'!$C$2:$C$501,IF(D70&lt;&gt;"",MATCH(D70,'激励事件明细'!$A$2:$A$501,0),MATCH(E70,'激励事件明细'!$B$2:$B$501,0))),""))</f>
        <v/>
      </c>
      <c r="B70" s="6">
        <f>IF(A70="","",IFERROR(INDEX('激励事件明细'!$D$2:$D$501,IF(D70&lt;&gt;"",MATCH(D70,'激励事件明细'!$A$2:$A$501,0),MATCH(E70,'激励事件明细'!$B$2:$B$501,0))),""))</f>
        <v/>
      </c>
      <c r="C70" s="6">
        <f>IF(A70="","",IFERROR(INDEX('激励事件明细'!$H$2:$H$501,IF(D70&lt;&gt;"",MATCH(D70,'激励事件明细'!$A$2:$A$501,0),MATCH(E70,'激励事件明细'!$B$2:$B$501,0))),""))</f>
        <v/>
      </c>
      <c r="D70" s="11" t="n"/>
      <c r="E70" s="11" t="n"/>
      <c r="F70" s="14">
        <f>IF(A70="","",IFERROR(INDEX('激励事件明细'!$Z$2:$Z$501,IF(D70&lt;&gt;"",MATCH(D70,'激励事件明细'!$A$2:$A$501,0),MATCH(E70,'激励事件明细'!$B$2:$B$501,0))),""))</f>
        <v/>
      </c>
      <c r="G70" s="16">
        <f>IF(A70="","",IFERROR(INDEX('激励事件明细'!$AA$2:$AA$501,IF(D70&lt;&gt;"",MATCH(D70,'激励事件明细'!$A$2:$A$501,0),MATCH(E70,'激励事件明细'!$B$2:$B$501,0))),""))</f>
        <v/>
      </c>
      <c r="H70" s="16">
        <f>IF(A70="","",IFERROR(INDEX('激励事件明细'!$AB$2:$AB$501,IF(D70&lt;&gt;"",MATCH(D70,'激励事件明细'!$A$2:$A$501,0),MATCH(E70,'激励事件明细'!$B$2:$B$501,0))),""))</f>
        <v/>
      </c>
      <c r="I70" s="12" t="n"/>
      <c r="J70" s="13" t="n"/>
      <c r="K70" s="13" t="n"/>
      <c r="L70" s="11" t="n"/>
      <c r="M70" s="14">
        <f>IF(A70="","",IF(D70&lt;&gt;"",SUMIFS($K$2:$K$501,$D$2:$D$501,D70),SUMIFS($K$2:$K$501,$E$2:$E$501,E70)))</f>
        <v/>
      </c>
      <c r="N70" s="14">
        <f>IF(F70="","",MAX(0,F70-M70))</f>
        <v/>
      </c>
      <c r="O70" s="6">
        <f>IF(A70="","",IF(AND(I70&lt;&gt;"",I70&gt;H70),"是",IF(AND(TODAY()&gt;H70,N70&gt;0),"是","否")))</f>
        <v/>
      </c>
      <c r="P70" s="16">
        <f>IF(A70="","",IFERROR(INDEX('激励事件明细'!$P$2:$P$501,IF(D70&lt;&gt;"",MATCH(D70,'激励事件明细'!$A$2:$A$501,0),MATCH(E70,'激励事件明细'!$B$2:$B$501,0))),""))</f>
        <v/>
      </c>
      <c r="Q70" s="6">
        <f>IF(AND(D70="",E70=""),"异常：必须关联事件编号或税额批次",IF(AND(D70&lt;&gt;"",COUNTIF('激励事件明细'!$A$2:$A$501,D70)=0),"异常：事件编号不存在",IF(AND(E70&lt;&gt;"",COUNTIF('激励事件明细'!$B$2:$B$501,E70)=0),"异常：税额批次不存在",IF(M70&gt;F70,"异常：本批次超额缴税",IF(AND(I70&lt;&gt;"",I70&gt;H70),"异常：超过事件截止日",IF(AND(P70&lt;&gt;"",TODAY()&gt;=P70,N70&gt;0),"异常：离职前未缴清","正常"))))))</f>
        <v/>
      </c>
      <c r="R70" s="11" t="n"/>
    </row>
    <row r="71">
      <c r="A71" s="6">
        <f>IF(AND(D71="",E71=""),"",IFERROR(INDEX('激励事件明细'!$C$2:$C$501,IF(D71&lt;&gt;"",MATCH(D71,'激励事件明细'!$A$2:$A$501,0),MATCH(E71,'激励事件明细'!$B$2:$B$501,0))),""))</f>
        <v/>
      </c>
      <c r="B71" s="6">
        <f>IF(A71="","",IFERROR(INDEX('激励事件明细'!$D$2:$D$501,IF(D71&lt;&gt;"",MATCH(D71,'激励事件明细'!$A$2:$A$501,0),MATCH(E71,'激励事件明细'!$B$2:$B$501,0))),""))</f>
        <v/>
      </c>
      <c r="C71" s="6">
        <f>IF(A71="","",IFERROR(INDEX('激励事件明细'!$H$2:$H$501,IF(D71&lt;&gt;"",MATCH(D71,'激励事件明细'!$A$2:$A$501,0),MATCH(E71,'激励事件明细'!$B$2:$B$501,0))),""))</f>
        <v/>
      </c>
      <c r="D71" s="11" t="n"/>
      <c r="E71" s="11" t="n"/>
      <c r="F71" s="14">
        <f>IF(A71="","",IFERROR(INDEX('激励事件明细'!$Z$2:$Z$501,IF(D71&lt;&gt;"",MATCH(D71,'激励事件明细'!$A$2:$A$501,0),MATCH(E71,'激励事件明细'!$B$2:$B$501,0))),""))</f>
        <v/>
      </c>
      <c r="G71" s="16">
        <f>IF(A71="","",IFERROR(INDEX('激励事件明细'!$AA$2:$AA$501,IF(D71&lt;&gt;"",MATCH(D71,'激励事件明细'!$A$2:$A$501,0),MATCH(E71,'激励事件明细'!$B$2:$B$501,0))),""))</f>
        <v/>
      </c>
      <c r="H71" s="16">
        <f>IF(A71="","",IFERROR(INDEX('激励事件明细'!$AB$2:$AB$501,IF(D71&lt;&gt;"",MATCH(D71,'激励事件明细'!$A$2:$A$501,0),MATCH(E71,'激励事件明细'!$B$2:$B$501,0))),""))</f>
        <v/>
      </c>
      <c r="I71" s="12" t="n"/>
      <c r="J71" s="13" t="n"/>
      <c r="K71" s="13" t="n"/>
      <c r="L71" s="11" t="n"/>
      <c r="M71" s="14">
        <f>IF(A71="","",IF(D71&lt;&gt;"",SUMIFS($K$2:$K$501,$D$2:$D$501,D71),SUMIFS($K$2:$K$501,$E$2:$E$501,E71)))</f>
        <v/>
      </c>
      <c r="N71" s="14">
        <f>IF(F71="","",MAX(0,F71-M71))</f>
        <v/>
      </c>
      <c r="O71" s="6">
        <f>IF(A71="","",IF(AND(I71&lt;&gt;"",I71&gt;H71),"是",IF(AND(TODAY()&gt;H71,N71&gt;0),"是","否")))</f>
        <v/>
      </c>
      <c r="P71" s="16">
        <f>IF(A71="","",IFERROR(INDEX('激励事件明细'!$P$2:$P$501,IF(D71&lt;&gt;"",MATCH(D71,'激励事件明细'!$A$2:$A$501,0),MATCH(E71,'激励事件明细'!$B$2:$B$501,0))),""))</f>
        <v/>
      </c>
      <c r="Q71" s="6">
        <f>IF(AND(D71="",E71=""),"异常：必须关联事件编号或税额批次",IF(AND(D71&lt;&gt;"",COUNTIF('激励事件明细'!$A$2:$A$501,D71)=0),"异常：事件编号不存在",IF(AND(E71&lt;&gt;"",COUNTIF('激励事件明细'!$B$2:$B$501,E71)=0),"异常：税额批次不存在",IF(M71&gt;F71,"异常：本批次超额缴税",IF(AND(I71&lt;&gt;"",I71&gt;H71),"异常：超过事件截止日",IF(AND(P71&lt;&gt;"",TODAY()&gt;=P71,N71&gt;0),"异常：离职前未缴清","正常"))))))</f>
        <v/>
      </c>
      <c r="R71" s="11" t="n"/>
    </row>
    <row r="72">
      <c r="A72" s="6">
        <f>IF(AND(D72="",E72=""),"",IFERROR(INDEX('激励事件明细'!$C$2:$C$501,IF(D72&lt;&gt;"",MATCH(D72,'激励事件明细'!$A$2:$A$501,0),MATCH(E72,'激励事件明细'!$B$2:$B$501,0))),""))</f>
        <v/>
      </c>
      <c r="B72" s="6">
        <f>IF(A72="","",IFERROR(INDEX('激励事件明细'!$D$2:$D$501,IF(D72&lt;&gt;"",MATCH(D72,'激励事件明细'!$A$2:$A$501,0),MATCH(E72,'激励事件明细'!$B$2:$B$501,0))),""))</f>
        <v/>
      </c>
      <c r="C72" s="6">
        <f>IF(A72="","",IFERROR(INDEX('激励事件明细'!$H$2:$H$501,IF(D72&lt;&gt;"",MATCH(D72,'激励事件明细'!$A$2:$A$501,0),MATCH(E72,'激励事件明细'!$B$2:$B$501,0))),""))</f>
        <v/>
      </c>
      <c r="D72" s="11" t="n"/>
      <c r="E72" s="11" t="n"/>
      <c r="F72" s="14">
        <f>IF(A72="","",IFERROR(INDEX('激励事件明细'!$Z$2:$Z$501,IF(D72&lt;&gt;"",MATCH(D72,'激励事件明细'!$A$2:$A$501,0),MATCH(E72,'激励事件明细'!$B$2:$B$501,0))),""))</f>
        <v/>
      </c>
      <c r="G72" s="16">
        <f>IF(A72="","",IFERROR(INDEX('激励事件明细'!$AA$2:$AA$501,IF(D72&lt;&gt;"",MATCH(D72,'激励事件明细'!$A$2:$A$501,0),MATCH(E72,'激励事件明细'!$B$2:$B$501,0))),""))</f>
        <v/>
      </c>
      <c r="H72" s="16">
        <f>IF(A72="","",IFERROR(INDEX('激励事件明细'!$AB$2:$AB$501,IF(D72&lt;&gt;"",MATCH(D72,'激励事件明细'!$A$2:$A$501,0),MATCH(E72,'激励事件明细'!$B$2:$B$501,0))),""))</f>
        <v/>
      </c>
      <c r="I72" s="12" t="n"/>
      <c r="J72" s="13" t="n"/>
      <c r="K72" s="13" t="n"/>
      <c r="L72" s="11" t="n"/>
      <c r="M72" s="14">
        <f>IF(A72="","",IF(D72&lt;&gt;"",SUMIFS($K$2:$K$501,$D$2:$D$501,D72),SUMIFS($K$2:$K$501,$E$2:$E$501,E72)))</f>
        <v/>
      </c>
      <c r="N72" s="14">
        <f>IF(F72="","",MAX(0,F72-M72))</f>
        <v/>
      </c>
      <c r="O72" s="6">
        <f>IF(A72="","",IF(AND(I72&lt;&gt;"",I72&gt;H72),"是",IF(AND(TODAY()&gt;H72,N72&gt;0),"是","否")))</f>
        <v/>
      </c>
      <c r="P72" s="16">
        <f>IF(A72="","",IFERROR(INDEX('激励事件明细'!$P$2:$P$501,IF(D72&lt;&gt;"",MATCH(D72,'激励事件明细'!$A$2:$A$501,0),MATCH(E72,'激励事件明细'!$B$2:$B$501,0))),""))</f>
        <v/>
      </c>
      <c r="Q72" s="6">
        <f>IF(AND(D72="",E72=""),"异常：必须关联事件编号或税额批次",IF(AND(D72&lt;&gt;"",COUNTIF('激励事件明细'!$A$2:$A$501,D72)=0),"异常：事件编号不存在",IF(AND(E72&lt;&gt;"",COUNTIF('激励事件明细'!$B$2:$B$501,E72)=0),"异常：税额批次不存在",IF(M72&gt;F72,"异常：本批次超额缴税",IF(AND(I72&lt;&gt;"",I72&gt;H72),"异常：超过事件截止日",IF(AND(P72&lt;&gt;"",TODAY()&gt;=P72,N72&gt;0),"异常：离职前未缴清","正常"))))))</f>
        <v/>
      </c>
      <c r="R72" s="11" t="n"/>
    </row>
    <row r="73">
      <c r="A73" s="6">
        <f>IF(AND(D73="",E73=""),"",IFERROR(INDEX('激励事件明细'!$C$2:$C$501,IF(D73&lt;&gt;"",MATCH(D73,'激励事件明细'!$A$2:$A$501,0),MATCH(E73,'激励事件明细'!$B$2:$B$501,0))),""))</f>
        <v/>
      </c>
      <c r="B73" s="6">
        <f>IF(A73="","",IFERROR(INDEX('激励事件明细'!$D$2:$D$501,IF(D73&lt;&gt;"",MATCH(D73,'激励事件明细'!$A$2:$A$501,0),MATCH(E73,'激励事件明细'!$B$2:$B$501,0))),""))</f>
        <v/>
      </c>
      <c r="C73" s="6">
        <f>IF(A73="","",IFERROR(INDEX('激励事件明细'!$H$2:$H$501,IF(D73&lt;&gt;"",MATCH(D73,'激励事件明细'!$A$2:$A$501,0),MATCH(E73,'激励事件明细'!$B$2:$B$501,0))),""))</f>
        <v/>
      </c>
      <c r="D73" s="11" t="n"/>
      <c r="E73" s="11" t="n"/>
      <c r="F73" s="14">
        <f>IF(A73="","",IFERROR(INDEX('激励事件明细'!$Z$2:$Z$501,IF(D73&lt;&gt;"",MATCH(D73,'激励事件明细'!$A$2:$A$501,0),MATCH(E73,'激励事件明细'!$B$2:$B$501,0))),""))</f>
        <v/>
      </c>
      <c r="G73" s="16">
        <f>IF(A73="","",IFERROR(INDEX('激励事件明细'!$AA$2:$AA$501,IF(D73&lt;&gt;"",MATCH(D73,'激励事件明细'!$A$2:$A$501,0),MATCH(E73,'激励事件明细'!$B$2:$B$501,0))),""))</f>
        <v/>
      </c>
      <c r="H73" s="16">
        <f>IF(A73="","",IFERROR(INDEX('激励事件明细'!$AB$2:$AB$501,IF(D73&lt;&gt;"",MATCH(D73,'激励事件明细'!$A$2:$A$501,0),MATCH(E73,'激励事件明细'!$B$2:$B$501,0))),""))</f>
        <v/>
      </c>
      <c r="I73" s="12" t="n"/>
      <c r="J73" s="13" t="n"/>
      <c r="K73" s="13" t="n"/>
      <c r="L73" s="11" t="n"/>
      <c r="M73" s="14">
        <f>IF(A73="","",IF(D73&lt;&gt;"",SUMIFS($K$2:$K$501,$D$2:$D$501,D73),SUMIFS($K$2:$K$501,$E$2:$E$501,E73)))</f>
        <v/>
      </c>
      <c r="N73" s="14">
        <f>IF(F73="","",MAX(0,F73-M73))</f>
        <v/>
      </c>
      <c r="O73" s="6">
        <f>IF(A73="","",IF(AND(I73&lt;&gt;"",I73&gt;H73),"是",IF(AND(TODAY()&gt;H73,N73&gt;0),"是","否")))</f>
        <v/>
      </c>
      <c r="P73" s="16">
        <f>IF(A73="","",IFERROR(INDEX('激励事件明细'!$P$2:$P$501,IF(D73&lt;&gt;"",MATCH(D73,'激励事件明细'!$A$2:$A$501,0),MATCH(E73,'激励事件明细'!$B$2:$B$501,0))),""))</f>
        <v/>
      </c>
      <c r="Q73" s="6">
        <f>IF(AND(D73="",E73=""),"异常：必须关联事件编号或税额批次",IF(AND(D73&lt;&gt;"",COUNTIF('激励事件明细'!$A$2:$A$501,D73)=0),"异常：事件编号不存在",IF(AND(E73&lt;&gt;"",COUNTIF('激励事件明细'!$B$2:$B$501,E73)=0),"异常：税额批次不存在",IF(M73&gt;F73,"异常：本批次超额缴税",IF(AND(I73&lt;&gt;"",I73&gt;H73),"异常：超过事件截止日",IF(AND(P73&lt;&gt;"",TODAY()&gt;=P73,N73&gt;0),"异常：离职前未缴清","正常"))))))</f>
        <v/>
      </c>
      <c r="R73" s="11" t="n"/>
    </row>
    <row r="74">
      <c r="A74" s="6">
        <f>IF(AND(D74="",E74=""),"",IFERROR(INDEX('激励事件明细'!$C$2:$C$501,IF(D74&lt;&gt;"",MATCH(D74,'激励事件明细'!$A$2:$A$501,0),MATCH(E74,'激励事件明细'!$B$2:$B$501,0))),""))</f>
        <v/>
      </c>
      <c r="B74" s="6">
        <f>IF(A74="","",IFERROR(INDEX('激励事件明细'!$D$2:$D$501,IF(D74&lt;&gt;"",MATCH(D74,'激励事件明细'!$A$2:$A$501,0),MATCH(E74,'激励事件明细'!$B$2:$B$501,0))),""))</f>
        <v/>
      </c>
      <c r="C74" s="6">
        <f>IF(A74="","",IFERROR(INDEX('激励事件明细'!$H$2:$H$501,IF(D74&lt;&gt;"",MATCH(D74,'激励事件明细'!$A$2:$A$501,0),MATCH(E74,'激励事件明细'!$B$2:$B$501,0))),""))</f>
        <v/>
      </c>
      <c r="D74" s="11" t="n"/>
      <c r="E74" s="11" t="n"/>
      <c r="F74" s="14">
        <f>IF(A74="","",IFERROR(INDEX('激励事件明细'!$Z$2:$Z$501,IF(D74&lt;&gt;"",MATCH(D74,'激励事件明细'!$A$2:$A$501,0),MATCH(E74,'激励事件明细'!$B$2:$B$501,0))),""))</f>
        <v/>
      </c>
      <c r="G74" s="16">
        <f>IF(A74="","",IFERROR(INDEX('激励事件明细'!$AA$2:$AA$501,IF(D74&lt;&gt;"",MATCH(D74,'激励事件明细'!$A$2:$A$501,0),MATCH(E74,'激励事件明细'!$B$2:$B$501,0))),""))</f>
        <v/>
      </c>
      <c r="H74" s="16">
        <f>IF(A74="","",IFERROR(INDEX('激励事件明细'!$AB$2:$AB$501,IF(D74&lt;&gt;"",MATCH(D74,'激励事件明细'!$A$2:$A$501,0),MATCH(E74,'激励事件明细'!$B$2:$B$501,0))),""))</f>
        <v/>
      </c>
      <c r="I74" s="12" t="n"/>
      <c r="J74" s="13" t="n"/>
      <c r="K74" s="13" t="n"/>
      <c r="L74" s="11" t="n"/>
      <c r="M74" s="14">
        <f>IF(A74="","",IF(D74&lt;&gt;"",SUMIFS($K$2:$K$501,$D$2:$D$501,D74),SUMIFS($K$2:$K$501,$E$2:$E$501,E74)))</f>
        <v/>
      </c>
      <c r="N74" s="14">
        <f>IF(F74="","",MAX(0,F74-M74))</f>
        <v/>
      </c>
      <c r="O74" s="6">
        <f>IF(A74="","",IF(AND(I74&lt;&gt;"",I74&gt;H74),"是",IF(AND(TODAY()&gt;H74,N74&gt;0),"是","否")))</f>
        <v/>
      </c>
      <c r="P74" s="16">
        <f>IF(A74="","",IFERROR(INDEX('激励事件明细'!$P$2:$P$501,IF(D74&lt;&gt;"",MATCH(D74,'激励事件明细'!$A$2:$A$501,0),MATCH(E74,'激励事件明细'!$B$2:$B$501,0))),""))</f>
        <v/>
      </c>
      <c r="Q74" s="6">
        <f>IF(AND(D74="",E74=""),"异常：必须关联事件编号或税额批次",IF(AND(D74&lt;&gt;"",COUNTIF('激励事件明细'!$A$2:$A$501,D74)=0),"异常：事件编号不存在",IF(AND(E74&lt;&gt;"",COUNTIF('激励事件明细'!$B$2:$B$501,E74)=0),"异常：税额批次不存在",IF(M74&gt;F74,"异常：本批次超额缴税",IF(AND(I74&lt;&gt;"",I74&gt;H74),"异常：超过事件截止日",IF(AND(P74&lt;&gt;"",TODAY()&gt;=P74,N74&gt;0),"异常：离职前未缴清","正常"))))))</f>
        <v/>
      </c>
      <c r="R74" s="11" t="n"/>
    </row>
    <row r="75">
      <c r="A75" s="6">
        <f>IF(AND(D75="",E75=""),"",IFERROR(INDEX('激励事件明细'!$C$2:$C$501,IF(D75&lt;&gt;"",MATCH(D75,'激励事件明细'!$A$2:$A$501,0),MATCH(E75,'激励事件明细'!$B$2:$B$501,0))),""))</f>
        <v/>
      </c>
      <c r="B75" s="6">
        <f>IF(A75="","",IFERROR(INDEX('激励事件明细'!$D$2:$D$501,IF(D75&lt;&gt;"",MATCH(D75,'激励事件明细'!$A$2:$A$501,0),MATCH(E75,'激励事件明细'!$B$2:$B$501,0))),""))</f>
        <v/>
      </c>
      <c r="C75" s="6">
        <f>IF(A75="","",IFERROR(INDEX('激励事件明细'!$H$2:$H$501,IF(D75&lt;&gt;"",MATCH(D75,'激励事件明细'!$A$2:$A$501,0),MATCH(E75,'激励事件明细'!$B$2:$B$501,0))),""))</f>
        <v/>
      </c>
      <c r="D75" s="11" t="n"/>
      <c r="E75" s="11" t="n"/>
      <c r="F75" s="14">
        <f>IF(A75="","",IFERROR(INDEX('激励事件明细'!$Z$2:$Z$501,IF(D75&lt;&gt;"",MATCH(D75,'激励事件明细'!$A$2:$A$501,0),MATCH(E75,'激励事件明细'!$B$2:$B$501,0))),""))</f>
        <v/>
      </c>
      <c r="G75" s="16">
        <f>IF(A75="","",IFERROR(INDEX('激励事件明细'!$AA$2:$AA$501,IF(D75&lt;&gt;"",MATCH(D75,'激励事件明细'!$A$2:$A$501,0),MATCH(E75,'激励事件明细'!$B$2:$B$501,0))),""))</f>
        <v/>
      </c>
      <c r="H75" s="16">
        <f>IF(A75="","",IFERROR(INDEX('激励事件明细'!$AB$2:$AB$501,IF(D75&lt;&gt;"",MATCH(D75,'激励事件明细'!$A$2:$A$501,0),MATCH(E75,'激励事件明细'!$B$2:$B$501,0))),""))</f>
        <v/>
      </c>
      <c r="I75" s="12" t="n"/>
      <c r="J75" s="13" t="n"/>
      <c r="K75" s="13" t="n"/>
      <c r="L75" s="11" t="n"/>
      <c r="M75" s="14">
        <f>IF(A75="","",IF(D75&lt;&gt;"",SUMIFS($K$2:$K$501,$D$2:$D$501,D75),SUMIFS($K$2:$K$501,$E$2:$E$501,E75)))</f>
        <v/>
      </c>
      <c r="N75" s="14">
        <f>IF(F75="","",MAX(0,F75-M75))</f>
        <v/>
      </c>
      <c r="O75" s="6">
        <f>IF(A75="","",IF(AND(I75&lt;&gt;"",I75&gt;H75),"是",IF(AND(TODAY()&gt;H75,N75&gt;0),"是","否")))</f>
        <v/>
      </c>
      <c r="P75" s="16">
        <f>IF(A75="","",IFERROR(INDEX('激励事件明细'!$P$2:$P$501,IF(D75&lt;&gt;"",MATCH(D75,'激励事件明细'!$A$2:$A$501,0),MATCH(E75,'激励事件明细'!$B$2:$B$501,0))),""))</f>
        <v/>
      </c>
      <c r="Q75" s="6">
        <f>IF(AND(D75="",E75=""),"异常：必须关联事件编号或税额批次",IF(AND(D75&lt;&gt;"",COUNTIF('激励事件明细'!$A$2:$A$501,D75)=0),"异常：事件编号不存在",IF(AND(E75&lt;&gt;"",COUNTIF('激励事件明细'!$B$2:$B$501,E75)=0),"异常：税额批次不存在",IF(M75&gt;F75,"异常：本批次超额缴税",IF(AND(I75&lt;&gt;"",I75&gt;H75),"异常：超过事件截止日",IF(AND(P75&lt;&gt;"",TODAY()&gt;=P75,N75&gt;0),"异常：离职前未缴清","正常"))))))</f>
        <v/>
      </c>
      <c r="R75" s="11" t="n"/>
    </row>
    <row r="76">
      <c r="A76" s="6">
        <f>IF(AND(D76="",E76=""),"",IFERROR(INDEX('激励事件明细'!$C$2:$C$501,IF(D76&lt;&gt;"",MATCH(D76,'激励事件明细'!$A$2:$A$501,0),MATCH(E76,'激励事件明细'!$B$2:$B$501,0))),""))</f>
        <v/>
      </c>
      <c r="B76" s="6">
        <f>IF(A76="","",IFERROR(INDEX('激励事件明细'!$D$2:$D$501,IF(D76&lt;&gt;"",MATCH(D76,'激励事件明细'!$A$2:$A$501,0),MATCH(E76,'激励事件明细'!$B$2:$B$501,0))),""))</f>
        <v/>
      </c>
      <c r="C76" s="6">
        <f>IF(A76="","",IFERROR(INDEX('激励事件明细'!$H$2:$H$501,IF(D76&lt;&gt;"",MATCH(D76,'激励事件明细'!$A$2:$A$501,0),MATCH(E76,'激励事件明细'!$B$2:$B$501,0))),""))</f>
        <v/>
      </c>
      <c r="D76" s="11" t="n"/>
      <c r="E76" s="11" t="n"/>
      <c r="F76" s="14">
        <f>IF(A76="","",IFERROR(INDEX('激励事件明细'!$Z$2:$Z$501,IF(D76&lt;&gt;"",MATCH(D76,'激励事件明细'!$A$2:$A$501,0),MATCH(E76,'激励事件明细'!$B$2:$B$501,0))),""))</f>
        <v/>
      </c>
      <c r="G76" s="16">
        <f>IF(A76="","",IFERROR(INDEX('激励事件明细'!$AA$2:$AA$501,IF(D76&lt;&gt;"",MATCH(D76,'激励事件明细'!$A$2:$A$501,0),MATCH(E76,'激励事件明细'!$B$2:$B$501,0))),""))</f>
        <v/>
      </c>
      <c r="H76" s="16">
        <f>IF(A76="","",IFERROR(INDEX('激励事件明细'!$AB$2:$AB$501,IF(D76&lt;&gt;"",MATCH(D76,'激励事件明细'!$A$2:$A$501,0),MATCH(E76,'激励事件明细'!$B$2:$B$501,0))),""))</f>
        <v/>
      </c>
      <c r="I76" s="12" t="n"/>
      <c r="J76" s="13" t="n"/>
      <c r="K76" s="13" t="n"/>
      <c r="L76" s="11" t="n"/>
      <c r="M76" s="14">
        <f>IF(A76="","",IF(D76&lt;&gt;"",SUMIFS($K$2:$K$501,$D$2:$D$501,D76),SUMIFS($K$2:$K$501,$E$2:$E$501,E76)))</f>
        <v/>
      </c>
      <c r="N76" s="14">
        <f>IF(F76="","",MAX(0,F76-M76))</f>
        <v/>
      </c>
      <c r="O76" s="6">
        <f>IF(A76="","",IF(AND(I76&lt;&gt;"",I76&gt;H76),"是",IF(AND(TODAY()&gt;H76,N76&gt;0),"是","否")))</f>
        <v/>
      </c>
      <c r="P76" s="16">
        <f>IF(A76="","",IFERROR(INDEX('激励事件明细'!$P$2:$P$501,IF(D76&lt;&gt;"",MATCH(D76,'激励事件明细'!$A$2:$A$501,0),MATCH(E76,'激励事件明细'!$B$2:$B$501,0))),""))</f>
        <v/>
      </c>
      <c r="Q76" s="6">
        <f>IF(AND(D76="",E76=""),"异常：必须关联事件编号或税额批次",IF(AND(D76&lt;&gt;"",COUNTIF('激励事件明细'!$A$2:$A$501,D76)=0),"异常：事件编号不存在",IF(AND(E76&lt;&gt;"",COUNTIF('激励事件明细'!$B$2:$B$501,E76)=0),"异常：税额批次不存在",IF(M76&gt;F76,"异常：本批次超额缴税",IF(AND(I76&lt;&gt;"",I76&gt;H76),"异常：超过事件截止日",IF(AND(P76&lt;&gt;"",TODAY()&gt;=P76,N76&gt;0),"异常：离职前未缴清","正常"))))))</f>
        <v/>
      </c>
      <c r="R76" s="11" t="n"/>
    </row>
    <row r="77">
      <c r="A77" s="6">
        <f>IF(AND(D77="",E77=""),"",IFERROR(INDEX('激励事件明细'!$C$2:$C$501,IF(D77&lt;&gt;"",MATCH(D77,'激励事件明细'!$A$2:$A$501,0),MATCH(E77,'激励事件明细'!$B$2:$B$501,0))),""))</f>
        <v/>
      </c>
      <c r="B77" s="6">
        <f>IF(A77="","",IFERROR(INDEX('激励事件明细'!$D$2:$D$501,IF(D77&lt;&gt;"",MATCH(D77,'激励事件明细'!$A$2:$A$501,0),MATCH(E77,'激励事件明细'!$B$2:$B$501,0))),""))</f>
        <v/>
      </c>
      <c r="C77" s="6">
        <f>IF(A77="","",IFERROR(INDEX('激励事件明细'!$H$2:$H$501,IF(D77&lt;&gt;"",MATCH(D77,'激励事件明细'!$A$2:$A$501,0),MATCH(E77,'激励事件明细'!$B$2:$B$501,0))),""))</f>
        <v/>
      </c>
      <c r="D77" s="11" t="n"/>
      <c r="E77" s="11" t="n"/>
      <c r="F77" s="14">
        <f>IF(A77="","",IFERROR(INDEX('激励事件明细'!$Z$2:$Z$501,IF(D77&lt;&gt;"",MATCH(D77,'激励事件明细'!$A$2:$A$501,0),MATCH(E77,'激励事件明细'!$B$2:$B$501,0))),""))</f>
        <v/>
      </c>
      <c r="G77" s="16">
        <f>IF(A77="","",IFERROR(INDEX('激励事件明细'!$AA$2:$AA$501,IF(D77&lt;&gt;"",MATCH(D77,'激励事件明细'!$A$2:$A$501,0),MATCH(E77,'激励事件明细'!$B$2:$B$501,0))),""))</f>
        <v/>
      </c>
      <c r="H77" s="16">
        <f>IF(A77="","",IFERROR(INDEX('激励事件明细'!$AB$2:$AB$501,IF(D77&lt;&gt;"",MATCH(D77,'激励事件明细'!$A$2:$A$501,0),MATCH(E77,'激励事件明细'!$B$2:$B$501,0))),""))</f>
        <v/>
      </c>
      <c r="I77" s="12" t="n"/>
      <c r="J77" s="13" t="n"/>
      <c r="K77" s="13" t="n"/>
      <c r="L77" s="11" t="n"/>
      <c r="M77" s="14">
        <f>IF(A77="","",IF(D77&lt;&gt;"",SUMIFS($K$2:$K$501,$D$2:$D$501,D77),SUMIFS($K$2:$K$501,$E$2:$E$501,E77)))</f>
        <v/>
      </c>
      <c r="N77" s="14">
        <f>IF(F77="","",MAX(0,F77-M77))</f>
        <v/>
      </c>
      <c r="O77" s="6">
        <f>IF(A77="","",IF(AND(I77&lt;&gt;"",I77&gt;H77),"是",IF(AND(TODAY()&gt;H77,N77&gt;0),"是","否")))</f>
        <v/>
      </c>
      <c r="P77" s="16">
        <f>IF(A77="","",IFERROR(INDEX('激励事件明细'!$P$2:$P$501,IF(D77&lt;&gt;"",MATCH(D77,'激励事件明细'!$A$2:$A$501,0),MATCH(E77,'激励事件明细'!$B$2:$B$501,0))),""))</f>
        <v/>
      </c>
      <c r="Q77" s="6">
        <f>IF(AND(D77="",E77=""),"异常：必须关联事件编号或税额批次",IF(AND(D77&lt;&gt;"",COUNTIF('激励事件明细'!$A$2:$A$501,D77)=0),"异常：事件编号不存在",IF(AND(E77&lt;&gt;"",COUNTIF('激励事件明细'!$B$2:$B$501,E77)=0),"异常：税额批次不存在",IF(M77&gt;F77,"异常：本批次超额缴税",IF(AND(I77&lt;&gt;"",I77&gt;H77),"异常：超过事件截止日",IF(AND(P77&lt;&gt;"",TODAY()&gt;=P77,N77&gt;0),"异常：离职前未缴清","正常"))))))</f>
        <v/>
      </c>
      <c r="R77" s="11" t="n"/>
    </row>
    <row r="78">
      <c r="A78" s="6">
        <f>IF(AND(D78="",E78=""),"",IFERROR(INDEX('激励事件明细'!$C$2:$C$501,IF(D78&lt;&gt;"",MATCH(D78,'激励事件明细'!$A$2:$A$501,0),MATCH(E78,'激励事件明细'!$B$2:$B$501,0))),""))</f>
        <v/>
      </c>
      <c r="B78" s="6">
        <f>IF(A78="","",IFERROR(INDEX('激励事件明细'!$D$2:$D$501,IF(D78&lt;&gt;"",MATCH(D78,'激励事件明细'!$A$2:$A$501,0),MATCH(E78,'激励事件明细'!$B$2:$B$501,0))),""))</f>
        <v/>
      </c>
      <c r="C78" s="6">
        <f>IF(A78="","",IFERROR(INDEX('激励事件明细'!$H$2:$H$501,IF(D78&lt;&gt;"",MATCH(D78,'激励事件明细'!$A$2:$A$501,0),MATCH(E78,'激励事件明细'!$B$2:$B$501,0))),""))</f>
        <v/>
      </c>
      <c r="D78" s="11" t="n"/>
      <c r="E78" s="11" t="n"/>
      <c r="F78" s="14">
        <f>IF(A78="","",IFERROR(INDEX('激励事件明细'!$Z$2:$Z$501,IF(D78&lt;&gt;"",MATCH(D78,'激励事件明细'!$A$2:$A$501,0),MATCH(E78,'激励事件明细'!$B$2:$B$501,0))),""))</f>
        <v/>
      </c>
      <c r="G78" s="16">
        <f>IF(A78="","",IFERROR(INDEX('激励事件明细'!$AA$2:$AA$501,IF(D78&lt;&gt;"",MATCH(D78,'激励事件明细'!$A$2:$A$501,0),MATCH(E78,'激励事件明细'!$B$2:$B$501,0))),""))</f>
        <v/>
      </c>
      <c r="H78" s="16">
        <f>IF(A78="","",IFERROR(INDEX('激励事件明细'!$AB$2:$AB$501,IF(D78&lt;&gt;"",MATCH(D78,'激励事件明细'!$A$2:$A$501,0),MATCH(E78,'激励事件明细'!$B$2:$B$501,0))),""))</f>
        <v/>
      </c>
      <c r="I78" s="12" t="n"/>
      <c r="J78" s="13" t="n"/>
      <c r="K78" s="13" t="n"/>
      <c r="L78" s="11" t="n"/>
      <c r="M78" s="14">
        <f>IF(A78="","",IF(D78&lt;&gt;"",SUMIFS($K$2:$K$501,$D$2:$D$501,D78),SUMIFS($K$2:$K$501,$E$2:$E$501,E78)))</f>
        <v/>
      </c>
      <c r="N78" s="14">
        <f>IF(F78="","",MAX(0,F78-M78))</f>
        <v/>
      </c>
      <c r="O78" s="6">
        <f>IF(A78="","",IF(AND(I78&lt;&gt;"",I78&gt;H78),"是",IF(AND(TODAY()&gt;H78,N78&gt;0),"是","否")))</f>
        <v/>
      </c>
      <c r="P78" s="16">
        <f>IF(A78="","",IFERROR(INDEX('激励事件明细'!$P$2:$P$501,IF(D78&lt;&gt;"",MATCH(D78,'激励事件明细'!$A$2:$A$501,0),MATCH(E78,'激励事件明细'!$B$2:$B$501,0))),""))</f>
        <v/>
      </c>
      <c r="Q78" s="6">
        <f>IF(AND(D78="",E78=""),"异常：必须关联事件编号或税额批次",IF(AND(D78&lt;&gt;"",COUNTIF('激励事件明细'!$A$2:$A$501,D78)=0),"异常：事件编号不存在",IF(AND(E78&lt;&gt;"",COUNTIF('激励事件明细'!$B$2:$B$501,E78)=0),"异常：税额批次不存在",IF(M78&gt;F78,"异常：本批次超额缴税",IF(AND(I78&lt;&gt;"",I78&gt;H78),"异常：超过事件截止日",IF(AND(P78&lt;&gt;"",TODAY()&gt;=P78,N78&gt;0),"异常：离职前未缴清","正常"))))))</f>
        <v/>
      </c>
      <c r="R78" s="11" t="n"/>
    </row>
    <row r="79">
      <c r="A79" s="6">
        <f>IF(AND(D79="",E79=""),"",IFERROR(INDEX('激励事件明细'!$C$2:$C$501,IF(D79&lt;&gt;"",MATCH(D79,'激励事件明细'!$A$2:$A$501,0),MATCH(E79,'激励事件明细'!$B$2:$B$501,0))),""))</f>
        <v/>
      </c>
      <c r="B79" s="6">
        <f>IF(A79="","",IFERROR(INDEX('激励事件明细'!$D$2:$D$501,IF(D79&lt;&gt;"",MATCH(D79,'激励事件明细'!$A$2:$A$501,0),MATCH(E79,'激励事件明细'!$B$2:$B$501,0))),""))</f>
        <v/>
      </c>
      <c r="C79" s="6">
        <f>IF(A79="","",IFERROR(INDEX('激励事件明细'!$H$2:$H$501,IF(D79&lt;&gt;"",MATCH(D79,'激励事件明细'!$A$2:$A$501,0),MATCH(E79,'激励事件明细'!$B$2:$B$501,0))),""))</f>
        <v/>
      </c>
      <c r="D79" s="11" t="n"/>
      <c r="E79" s="11" t="n"/>
      <c r="F79" s="14">
        <f>IF(A79="","",IFERROR(INDEX('激励事件明细'!$Z$2:$Z$501,IF(D79&lt;&gt;"",MATCH(D79,'激励事件明细'!$A$2:$A$501,0),MATCH(E79,'激励事件明细'!$B$2:$B$501,0))),""))</f>
        <v/>
      </c>
      <c r="G79" s="16">
        <f>IF(A79="","",IFERROR(INDEX('激励事件明细'!$AA$2:$AA$501,IF(D79&lt;&gt;"",MATCH(D79,'激励事件明细'!$A$2:$A$501,0),MATCH(E79,'激励事件明细'!$B$2:$B$501,0))),""))</f>
        <v/>
      </c>
      <c r="H79" s="16">
        <f>IF(A79="","",IFERROR(INDEX('激励事件明细'!$AB$2:$AB$501,IF(D79&lt;&gt;"",MATCH(D79,'激励事件明细'!$A$2:$A$501,0),MATCH(E79,'激励事件明细'!$B$2:$B$501,0))),""))</f>
        <v/>
      </c>
      <c r="I79" s="12" t="n"/>
      <c r="J79" s="13" t="n"/>
      <c r="K79" s="13" t="n"/>
      <c r="L79" s="11" t="n"/>
      <c r="M79" s="14">
        <f>IF(A79="","",IF(D79&lt;&gt;"",SUMIFS($K$2:$K$501,$D$2:$D$501,D79),SUMIFS($K$2:$K$501,$E$2:$E$501,E79)))</f>
        <v/>
      </c>
      <c r="N79" s="14">
        <f>IF(F79="","",MAX(0,F79-M79))</f>
        <v/>
      </c>
      <c r="O79" s="6">
        <f>IF(A79="","",IF(AND(I79&lt;&gt;"",I79&gt;H79),"是",IF(AND(TODAY()&gt;H79,N79&gt;0),"是","否")))</f>
        <v/>
      </c>
      <c r="P79" s="16">
        <f>IF(A79="","",IFERROR(INDEX('激励事件明细'!$P$2:$P$501,IF(D79&lt;&gt;"",MATCH(D79,'激励事件明细'!$A$2:$A$501,0),MATCH(E79,'激励事件明细'!$B$2:$B$501,0))),""))</f>
        <v/>
      </c>
      <c r="Q79" s="6">
        <f>IF(AND(D79="",E79=""),"异常：必须关联事件编号或税额批次",IF(AND(D79&lt;&gt;"",COUNTIF('激励事件明细'!$A$2:$A$501,D79)=0),"异常：事件编号不存在",IF(AND(E79&lt;&gt;"",COUNTIF('激励事件明细'!$B$2:$B$501,E79)=0),"异常：税额批次不存在",IF(M79&gt;F79,"异常：本批次超额缴税",IF(AND(I79&lt;&gt;"",I79&gt;H79),"异常：超过事件截止日",IF(AND(P79&lt;&gt;"",TODAY()&gt;=P79,N79&gt;0),"异常：离职前未缴清","正常"))))))</f>
        <v/>
      </c>
      <c r="R79" s="11" t="n"/>
    </row>
    <row r="80">
      <c r="A80" s="6">
        <f>IF(AND(D80="",E80=""),"",IFERROR(INDEX('激励事件明细'!$C$2:$C$501,IF(D80&lt;&gt;"",MATCH(D80,'激励事件明细'!$A$2:$A$501,0),MATCH(E80,'激励事件明细'!$B$2:$B$501,0))),""))</f>
        <v/>
      </c>
      <c r="B80" s="6">
        <f>IF(A80="","",IFERROR(INDEX('激励事件明细'!$D$2:$D$501,IF(D80&lt;&gt;"",MATCH(D80,'激励事件明细'!$A$2:$A$501,0),MATCH(E80,'激励事件明细'!$B$2:$B$501,0))),""))</f>
        <v/>
      </c>
      <c r="C80" s="6">
        <f>IF(A80="","",IFERROR(INDEX('激励事件明细'!$H$2:$H$501,IF(D80&lt;&gt;"",MATCH(D80,'激励事件明细'!$A$2:$A$501,0),MATCH(E80,'激励事件明细'!$B$2:$B$501,0))),""))</f>
        <v/>
      </c>
      <c r="D80" s="11" t="n"/>
      <c r="E80" s="11" t="n"/>
      <c r="F80" s="14">
        <f>IF(A80="","",IFERROR(INDEX('激励事件明细'!$Z$2:$Z$501,IF(D80&lt;&gt;"",MATCH(D80,'激励事件明细'!$A$2:$A$501,0),MATCH(E80,'激励事件明细'!$B$2:$B$501,0))),""))</f>
        <v/>
      </c>
      <c r="G80" s="16">
        <f>IF(A80="","",IFERROR(INDEX('激励事件明细'!$AA$2:$AA$501,IF(D80&lt;&gt;"",MATCH(D80,'激励事件明细'!$A$2:$A$501,0),MATCH(E80,'激励事件明细'!$B$2:$B$501,0))),""))</f>
        <v/>
      </c>
      <c r="H80" s="16">
        <f>IF(A80="","",IFERROR(INDEX('激励事件明细'!$AB$2:$AB$501,IF(D80&lt;&gt;"",MATCH(D80,'激励事件明细'!$A$2:$A$501,0),MATCH(E80,'激励事件明细'!$B$2:$B$501,0))),""))</f>
        <v/>
      </c>
      <c r="I80" s="12" t="n"/>
      <c r="J80" s="13" t="n"/>
      <c r="K80" s="13" t="n"/>
      <c r="L80" s="11" t="n"/>
      <c r="M80" s="14">
        <f>IF(A80="","",IF(D80&lt;&gt;"",SUMIFS($K$2:$K$501,$D$2:$D$501,D80),SUMIFS($K$2:$K$501,$E$2:$E$501,E80)))</f>
        <v/>
      </c>
      <c r="N80" s="14">
        <f>IF(F80="","",MAX(0,F80-M80))</f>
        <v/>
      </c>
      <c r="O80" s="6">
        <f>IF(A80="","",IF(AND(I80&lt;&gt;"",I80&gt;H80),"是",IF(AND(TODAY()&gt;H80,N80&gt;0),"是","否")))</f>
        <v/>
      </c>
      <c r="P80" s="16">
        <f>IF(A80="","",IFERROR(INDEX('激励事件明细'!$P$2:$P$501,IF(D80&lt;&gt;"",MATCH(D80,'激励事件明细'!$A$2:$A$501,0),MATCH(E80,'激励事件明细'!$B$2:$B$501,0))),""))</f>
        <v/>
      </c>
      <c r="Q80" s="6">
        <f>IF(AND(D80="",E80=""),"异常：必须关联事件编号或税额批次",IF(AND(D80&lt;&gt;"",COUNTIF('激励事件明细'!$A$2:$A$501,D80)=0),"异常：事件编号不存在",IF(AND(E80&lt;&gt;"",COUNTIF('激励事件明细'!$B$2:$B$501,E80)=0),"异常：税额批次不存在",IF(M80&gt;F80,"异常：本批次超额缴税",IF(AND(I80&lt;&gt;"",I80&gt;H80),"异常：超过事件截止日",IF(AND(P80&lt;&gt;"",TODAY()&gt;=P80,N80&gt;0),"异常：离职前未缴清","正常"))))))</f>
        <v/>
      </c>
      <c r="R80" s="11" t="n"/>
    </row>
    <row r="81">
      <c r="A81" s="6">
        <f>IF(AND(D81="",E81=""),"",IFERROR(INDEX('激励事件明细'!$C$2:$C$501,IF(D81&lt;&gt;"",MATCH(D81,'激励事件明细'!$A$2:$A$501,0),MATCH(E81,'激励事件明细'!$B$2:$B$501,0))),""))</f>
        <v/>
      </c>
      <c r="B81" s="6">
        <f>IF(A81="","",IFERROR(INDEX('激励事件明细'!$D$2:$D$501,IF(D81&lt;&gt;"",MATCH(D81,'激励事件明细'!$A$2:$A$501,0),MATCH(E81,'激励事件明细'!$B$2:$B$501,0))),""))</f>
        <v/>
      </c>
      <c r="C81" s="6">
        <f>IF(A81="","",IFERROR(INDEX('激励事件明细'!$H$2:$H$501,IF(D81&lt;&gt;"",MATCH(D81,'激励事件明细'!$A$2:$A$501,0),MATCH(E81,'激励事件明细'!$B$2:$B$501,0))),""))</f>
        <v/>
      </c>
      <c r="D81" s="11" t="n"/>
      <c r="E81" s="11" t="n"/>
      <c r="F81" s="14">
        <f>IF(A81="","",IFERROR(INDEX('激励事件明细'!$Z$2:$Z$501,IF(D81&lt;&gt;"",MATCH(D81,'激励事件明细'!$A$2:$A$501,0),MATCH(E81,'激励事件明细'!$B$2:$B$501,0))),""))</f>
        <v/>
      </c>
      <c r="G81" s="16">
        <f>IF(A81="","",IFERROR(INDEX('激励事件明细'!$AA$2:$AA$501,IF(D81&lt;&gt;"",MATCH(D81,'激励事件明细'!$A$2:$A$501,0),MATCH(E81,'激励事件明细'!$B$2:$B$501,0))),""))</f>
        <v/>
      </c>
      <c r="H81" s="16">
        <f>IF(A81="","",IFERROR(INDEX('激励事件明细'!$AB$2:$AB$501,IF(D81&lt;&gt;"",MATCH(D81,'激励事件明细'!$A$2:$A$501,0),MATCH(E81,'激励事件明细'!$B$2:$B$501,0))),""))</f>
        <v/>
      </c>
      <c r="I81" s="12" t="n"/>
      <c r="J81" s="13" t="n"/>
      <c r="K81" s="13" t="n"/>
      <c r="L81" s="11" t="n"/>
      <c r="M81" s="14">
        <f>IF(A81="","",IF(D81&lt;&gt;"",SUMIFS($K$2:$K$501,$D$2:$D$501,D81),SUMIFS($K$2:$K$501,$E$2:$E$501,E81)))</f>
        <v/>
      </c>
      <c r="N81" s="14">
        <f>IF(F81="","",MAX(0,F81-M81))</f>
        <v/>
      </c>
      <c r="O81" s="6">
        <f>IF(A81="","",IF(AND(I81&lt;&gt;"",I81&gt;H81),"是",IF(AND(TODAY()&gt;H81,N81&gt;0),"是","否")))</f>
        <v/>
      </c>
      <c r="P81" s="16">
        <f>IF(A81="","",IFERROR(INDEX('激励事件明细'!$P$2:$P$501,IF(D81&lt;&gt;"",MATCH(D81,'激励事件明细'!$A$2:$A$501,0),MATCH(E81,'激励事件明细'!$B$2:$B$501,0))),""))</f>
        <v/>
      </c>
      <c r="Q81" s="6">
        <f>IF(AND(D81="",E81=""),"异常：必须关联事件编号或税额批次",IF(AND(D81&lt;&gt;"",COUNTIF('激励事件明细'!$A$2:$A$501,D81)=0),"异常：事件编号不存在",IF(AND(E81&lt;&gt;"",COUNTIF('激励事件明细'!$B$2:$B$501,E81)=0),"异常：税额批次不存在",IF(M81&gt;F81,"异常：本批次超额缴税",IF(AND(I81&lt;&gt;"",I81&gt;H81),"异常：超过事件截止日",IF(AND(P81&lt;&gt;"",TODAY()&gt;=P81,N81&gt;0),"异常：离职前未缴清","正常"))))))</f>
        <v/>
      </c>
      <c r="R81" s="11" t="n"/>
    </row>
    <row r="82">
      <c r="A82" s="6">
        <f>IF(AND(D82="",E82=""),"",IFERROR(INDEX('激励事件明细'!$C$2:$C$501,IF(D82&lt;&gt;"",MATCH(D82,'激励事件明细'!$A$2:$A$501,0),MATCH(E82,'激励事件明细'!$B$2:$B$501,0))),""))</f>
        <v/>
      </c>
      <c r="B82" s="6">
        <f>IF(A82="","",IFERROR(INDEX('激励事件明细'!$D$2:$D$501,IF(D82&lt;&gt;"",MATCH(D82,'激励事件明细'!$A$2:$A$501,0),MATCH(E82,'激励事件明细'!$B$2:$B$501,0))),""))</f>
        <v/>
      </c>
      <c r="C82" s="6">
        <f>IF(A82="","",IFERROR(INDEX('激励事件明细'!$H$2:$H$501,IF(D82&lt;&gt;"",MATCH(D82,'激励事件明细'!$A$2:$A$501,0),MATCH(E82,'激励事件明细'!$B$2:$B$501,0))),""))</f>
        <v/>
      </c>
      <c r="D82" s="11" t="n"/>
      <c r="E82" s="11" t="n"/>
      <c r="F82" s="14">
        <f>IF(A82="","",IFERROR(INDEX('激励事件明细'!$Z$2:$Z$501,IF(D82&lt;&gt;"",MATCH(D82,'激励事件明细'!$A$2:$A$501,0),MATCH(E82,'激励事件明细'!$B$2:$B$501,0))),""))</f>
        <v/>
      </c>
      <c r="G82" s="16">
        <f>IF(A82="","",IFERROR(INDEX('激励事件明细'!$AA$2:$AA$501,IF(D82&lt;&gt;"",MATCH(D82,'激励事件明细'!$A$2:$A$501,0),MATCH(E82,'激励事件明细'!$B$2:$B$501,0))),""))</f>
        <v/>
      </c>
      <c r="H82" s="16">
        <f>IF(A82="","",IFERROR(INDEX('激励事件明细'!$AB$2:$AB$501,IF(D82&lt;&gt;"",MATCH(D82,'激励事件明细'!$A$2:$A$501,0),MATCH(E82,'激励事件明细'!$B$2:$B$501,0))),""))</f>
        <v/>
      </c>
      <c r="I82" s="12" t="n"/>
      <c r="J82" s="13" t="n"/>
      <c r="K82" s="13" t="n"/>
      <c r="L82" s="11" t="n"/>
      <c r="M82" s="14">
        <f>IF(A82="","",IF(D82&lt;&gt;"",SUMIFS($K$2:$K$501,$D$2:$D$501,D82),SUMIFS($K$2:$K$501,$E$2:$E$501,E82)))</f>
        <v/>
      </c>
      <c r="N82" s="14">
        <f>IF(F82="","",MAX(0,F82-M82))</f>
        <v/>
      </c>
      <c r="O82" s="6">
        <f>IF(A82="","",IF(AND(I82&lt;&gt;"",I82&gt;H82),"是",IF(AND(TODAY()&gt;H82,N82&gt;0),"是","否")))</f>
        <v/>
      </c>
      <c r="P82" s="16">
        <f>IF(A82="","",IFERROR(INDEX('激励事件明细'!$P$2:$P$501,IF(D82&lt;&gt;"",MATCH(D82,'激励事件明细'!$A$2:$A$501,0),MATCH(E82,'激励事件明细'!$B$2:$B$501,0))),""))</f>
        <v/>
      </c>
      <c r="Q82" s="6">
        <f>IF(AND(D82="",E82=""),"异常：必须关联事件编号或税额批次",IF(AND(D82&lt;&gt;"",COUNTIF('激励事件明细'!$A$2:$A$501,D82)=0),"异常：事件编号不存在",IF(AND(E82&lt;&gt;"",COUNTIF('激励事件明细'!$B$2:$B$501,E82)=0),"异常：税额批次不存在",IF(M82&gt;F82,"异常：本批次超额缴税",IF(AND(I82&lt;&gt;"",I82&gt;H82),"异常：超过事件截止日",IF(AND(P82&lt;&gt;"",TODAY()&gt;=P82,N82&gt;0),"异常：离职前未缴清","正常"))))))</f>
        <v/>
      </c>
      <c r="R82" s="11" t="n"/>
    </row>
    <row r="83">
      <c r="A83" s="6">
        <f>IF(AND(D83="",E83=""),"",IFERROR(INDEX('激励事件明细'!$C$2:$C$501,IF(D83&lt;&gt;"",MATCH(D83,'激励事件明细'!$A$2:$A$501,0),MATCH(E83,'激励事件明细'!$B$2:$B$501,0))),""))</f>
        <v/>
      </c>
      <c r="B83" s="6">
        <f>IF(A83="","",IFERROR(INDEX('激励事件明细'!$D$2:$D$501,IF(D83&lt;&gt;"",MATCH(D83,'激励事件明细'!$A$2:$A$501,0),MATCH(E83,'激励事件明细'!$B$2:$B$501,0))),""))</f>
        <v/>
      </c>
      <c r="C83" s="6">
        <f>IF(A83="","",IFERROR(INDEX('激励事件明细'!$H$2:$H$501,IF(D83&lt;&gt;"",MATCH(D83,'激励事件明细'!$A$2:$A$501,0),MATCH(E83,'激励事件明细'!$B$2:$B$501,0))),""))</f>
        <v/>
      </c>
      <c r="D83" s="11" t="n"/>
      <c r="E83" s="11" t="n"/>
      <c r="F83" s="14">
        <f>IF(A83="","",IFERROR(INDEX('激励事件明细'!$Z$2:$Z$501,IF(D83&lt;&gt;"",MATCH(D83,'激励事件明细'!$A$2:$A$501,0),MATCH(E83,'激励事件明细'!$B$2:$B$501,0))),""))</f>
        <v/>
      </c>
      <c r="G83" s="16">
        <f>IF(A83="","",IFERROR(INDEX('激励事件明细'!$AA$2:$AA$501,IF(D83&lt;&gt;"",MATCH(D83,'激励事件明细'!$A$2:$A$501,0),MATCH(E83,'激励事件明细'!$B$2:$B$501,0))),""))</f>
        <v/>
      </c>
      <c r="H83" s="16">
        <f>IF(A83="","",IFERROR(INDEX('激励事件明细'!$AB$2:$AB$501,IF(D83&lt;&gt;"",MATCH(D83,'激励事件明细'!$A$2:$A$501,0),MATCH(E83,'激励事件明细'!$B$2:$B$501,0))),""))</f>
        <v/>
      </c>
      <c r="I83" s="12" t="n"/>
      <c r="J83" s="13" t="n"/>
      <c r="K83" s="13" t="n"/>
      <c r="L83" s="11" t="n"/>
      <c r="M83" s="14">
        <f>IF(A83="","",IF(D83&lt;&gt;"",SUMIFS($K$2:$K$501,$D$2:$D$501,D83),SUMIFS($K$2:$K$501,$E$2:$E$501,E83)))</f>
        <v/>
      </c>
      <c r="N83" s="14">
        <f>IF(F83="","",MAX(0,F83-M83))</f>
        <v/>
      </c>
      <c r="O83" s="6">
        <f>IF(A83="","",IF(AND(I83&lt;&gt;"",I83&gt;H83),"是",IF(AND(TODAY()&gt;H83,N83&gt;0),"是","否")))</f>
        <v/>
      </c>
      <c r="P83" s="16">
        <f>IF(A83="","",IFERROR(INDEX('激励事件明细'!$P$2:$P$501,IF(D83&lt;&gt;"",MATCH(D83,'激励事件明细'!$A$2:$A$501,0),MATCH(E83,'激励事件明细'!$B$2:$B$501,0))),""))</f>
        <v/>
      </c>
      <c r="Q83" s="6">
        <f>IF(AND(D83="",E83=""),"异常：必须关联事件编号或税额批次",IF(AND(D83&lt;&gt;"",COUNTIF('激励事件明细'!$A$2:$A$501,D83)=0),"异常：事件编号不存在",IF(AND(E83&lt;&gt;"",COUNTIF('激励事件明细'!$B$2:$B$501,E83)=0),"异常：税额批次不存在",IF(M83&gt;F83,"异常：本批次超额缴税",IF(AND(I83&lt;&gt;"",I83&gt;H83),"异常：超过事件截止日",IF(AND(P83&lt;&gt;"",TODAY()&gt;=P83,N83&gt;0),"异常：离职前未缴清","正常"))))))</f>
        <v/>
      </c>
      <c r="R83" s="11" t="n"/>
    </row>
    <row r="84">
      <c r="A84" s="6">
        <f>IF(AND(D84="",E84=""),"",IFERROR(INDEX('激励事件明细'!$C$2:$C$501,IF(D84&lt;&gt;"",MATCH(D84,'激励事件明细'!$A$2:$A$501,0),MATCH(E84,'激励事件明细'!$B$2:$B$501,0))),""))</f>
        <v/>
      </c>
      <c r="B84" s="6">
        <f>IF(A84="","",IFERROR(INDEX('激励事件明细'!$D$2:$D$501,IF(D84&lt;&gt;"",MATCH(D84,'激励事件明细'!$A$2:$A$501,0),MATCH(E84,'激励事件明细'!$B$2:$B$501,0))),""))</f>
        <v/>
      </c>
      <c r="C84" s="6">
        <f>IF(A84="","",IFERROR(INDEX('激励事件明细'!$H$2:$H$501,IF(D84&lt;&gt;"",MATCH(D84,'激励事件明细'!$A$2:$A$501,0),MATCH(E84,'激励事件明细'!$B$2:$B$501,0))),""))</f>
        <v/>
      </c>
      <c r="D84" s="11" t="n"/>
      <c r="E84" s="11" t="n"/>
      <c r="F84" s="14">
        <f>IF(A84="","",IFERROR(INDEX('激励事件明细'!$Z$2:$Z$501,IF(D84&lt;&gt;"",MATCH(D84,'激励事件明细'!$A$2:$A$501,0),MATCH(E84,'激励事件明细'!$B$2:$B$501,0))),""))</f>
        <v/>
      </c>
      <c r="G84" s="16">
        <f>IF(A84="","",IFERROR(INDEX('激励事件明细'!$AA$2:$AA$501,IF(D84&lt;&gt;"",MATCH(D84,'激励事件明细'!$A$2:$A$501,0),MATCH(E84,'激励事件明细'!$B$2:$B$501,0))),""))</f>
        <v/>
      </c>
      <c r="H84" s="16">
        <f>IF(A84="","",IFERROR(INDEX('激励事件明细'!$AB$2:$AB$501,IF(D84&lt;&gt;"",MATCH(D84,'激励事件明细'!$A$2:$A$501,0),MATCH(E84,'激励事件明细'!$B$2:$B$501,0))),""))</f>
        <v/>
      </c>
      <c r="I84" s="12" t="n"/>
      <c r="J84" s="13" t="n"/>
      <c r="K84" s="13" t="n"/>
      <c r="L84" s="11" t="n"/>
      <c r="M84" s="14">
        <f>IF(A84="","",IF(D84&lt;&gt;"",SUMIFS($K$2:$K$501,$D$2:$D$501,D84),SUMIFS($K$2:$K$501,$E$2:$E$501,E84)))</f>
        <v/>
      </c>
      <c r="N84" s="14">
        <f>IF(F84="","",MAX(0,F84-M84))</f>
        <v/>
      </c>
      <c r="O84" s="6">
        <f>IF(A84="","",IF(AND(I84&lt;&gt;"",I84&gt;H84),"是",IF(AND(TODAY()&gt;H84,N84&gt;0),"是","否")))</f>
        <v/>
      </c>
      <c r="P84" s="16">
        <f>IF(A84="","",IFERROR(INDEX('激励事件明细'!$P$2:$P$501,IF(D84&lt;&gt;"",MATCH(D84,'激励事件明细'!$A$2:$A$501,0),MATCH(E84,'激励事件明细'!$B$2:$B$501,0))),""))</f>
        <v/>
      </c>
      <c r="Q84" s="6">
        <f>IF(AND(D84="",E84=""),"异常：必须关联事件编号或税额批次",IF(AND(D84&lt;&gt;"",COUNTIF('激励事件明细'!$A$2:$A$501,D84)=0),"异常：事件编号不存在",IF(AND(E84&lt;&gt;"",COUNTIF('激励事件明细'!$B$2:$B$501,E84)=0),"异常：税额批次不存在",IF(M84&gt;F84,"异常：本批次超额缴税",IF(AND(I84&lt;&gt;"",I84&gt;H84),"异常：超过事件截止日",IF(AND(P84&lt;&gt;"",TODAY()&gt;=P84,N84&gt;0),"异常：离职前未缴清","正常"))))))</f>
        <v/>
      </c>
      <c r="R84" s="11" t="n"/>
    </row>
    <row r="85">
      <c r="A85" s="6">
        <f>IF(AND(D85="",E85=""),"",IFERROR(INDEX('激励事件明细'!$C$2:$C$501,IF(D85&lt;&gt;"",MATCH(D85,'激励事件明细'!$A$2:$A$501,0),MATCH(E85,'激励事件明细'!$B$2:$B$501,0))),""))</f>
        <v/>
      </c>
      <c r="B85" s="6">
        <f>IF(A85="","",IFERROR(INDEX('激励事件明细'!$D$2:$D$501,IF(D85&lt;&gt;"",MATCH(D85,'激励事件明细'!$A$2:$A$501,0),MATCH(E85,'激励事件明细'!$B$2:$B$501,0))),""))</f>
        <v/>
      </c>
      <c r="C85" s="6">
        <f>IF(A85="","",IFERROR(INDEX('激励事件明细'!$H$2:$H$501,IF(D85&lt;&gt;"",MATCH(D85,'激励事件明细'!$A$2:$A$501,0),MATCH(E85,'激励事件明细'!$B$2:$B$501,0))),""))</f>
        <v/>
      </c>
      <c r="D85" s="11" t="n"/>
      <c r="E85" s="11" t="n"/>
      <c r="F85" s="14">
        <f>IF(A85="","",IFERROR(INDEX('激励事件明细'!$Z$2:$Z$501,IF(D85&lt;&gt;"",MATCH(D85,'激励事件明细'!$A$2:$A$501,0),MATCH(E85,'激励事件明细'!$B$2:$B$501,0))),""))</f>
        <v/>
      </c>
      <c r="G85" s="16">
        <f>IF(A85="","",IFERROR(INDEX('激励事件明细'!$AA$2:$AA$501,IF(D85&lt;&gt;"",MATCH(D85,'激励事件明细'!$A$2:$A$501,0),MATCH(E85,'激励事件明细'!$B$2:$B$501,0))),""))</f>
        <v/>
      </c>
      <c r="H85" s="16">
        <f>IF(A85="","",IFERROR(INDEX('激励事件明细'!$AB$2:$AB$501,IF(D85&lt;&gt;"",MATCH(D85,'激励事件明细'!$A$2:$A$501,0),MATCH(E85,'激励事件明细'!$B$2:$B$501,0))),""))</f>
        <v/>
      </c>
      <c r="I85" s="12" t="n"/>
      <c r="J85" s="13" t="n"/>
      <c r="K85" s="13" t="n"/>
      <c r="L85" s="11" t="n"/>
      <c r="M85" s="14">
        <f>IF(A85="","",IF(D85&lt;&gt;"",SUMIFS($K$2:$K$501,$D$2:$D$501,D85),SUMIFS($K$2:$K$501,$E$2:$E$501,E85)))</f>
        <v/>
      </c>
      <c r="N85" s="14">
        <f>IF(F85="","",MAX(0,F85-M85))</f>
        <v/>
      </c>
      <c r="O85" s="6">
        <f>IF(A85="","",IF(AND(I85&lt;&gt;"",I85&gt;H85),"是",IF(AND(TODAY()&gt;H85,N85&gt;0),"是","否")))</f>
        <v/>
      </c>
      <c r="P85" s="16">
        <f>IF(A85="","",IFERROR(INDEX('激励事件明细'!$P$2:$P$501,IF(D85&lt;&gt;"",MATCH(D85,'激励事件明细'!$A$2:$A$501,0),MATCH(E85,'激励事件明细'!$B$2:$B$501,0))),""))</f>
        <v/>
      </c>
      <c r="Q85" s="6">
        <f>IF(AND(D85="",E85=""),"异常：必须关联事件编号或税额批次",IF(AND(D85&lt;&gt;"",COUNTIF('激励事件明细'!$A$2:$A$501,D85)=0),"异常：事件编号不存在",IF(AND(E85&lt;&gt;"",COUNTIF('激励事件明细'!$B$2:$B$501,E85)=0),"异常：税额批次不存在",IF(M85&gt;F85,"异常：本批次超额缴税",IF(AND(I85&lt;&gt;"",I85&gt;H85),"异常：超过事件截止日",IF(AND(P85&lt;&gt;"",TODAY()&gt;=P85,N85&gt;0),"异常：离职前未缴清","正常"))))))</f>
        <v/>
      </c>
      <c r="R85" s="11" t="n"/>
    </row>
    <row r="86">
      <c r="A86" s="6">
        <f>IF(AND(D86="",E86=""),"",IFERROR(INDEX('激励事件明细'!$C$2:$C$501,IF(D86&lt;&gt;"",MATCH(D86,'激励事件明细'!$A$2:$A$501,0),MATCH(E86,'激励事件明细'!$B$2:$B$501,0))),""))</f>
        <v/>
      </c>
      <c r="B86" s="6">
        <f>IF(A86="","",IFERROR(INDEX('激励事件明细'!$D$2:$D$501,IF(D86&lt;&gt;"",MATCH(D86,'激励事件明细'!$A$2:$A$501,0),MATCH(E86,'激励事件明细'!$B$2:$B$501,0))),""))</f>
        <v/>
      </c>
      <c r="C86" s="6">
        <f>IF(A86="","",IFERROR(INDEX('激励事件明细'!$H$2:$H$501,IF(D86&lt;&gt;"",MATCH(D86,'激励事件明细'!$A$2:$A$501,0),MATCH(E86,'激励事件明细'!$B$2:$B$501,0))),""))</f>
        <v/>
      </c>
      <c r="D86" s="11" t="n"/>
      <c r="E86" s="11" t="n"/>
      <c r="F86" s="14">
        <f>IF(A86="","",IFERROR(INDEX('激励事件明细'!$Z$2:$Z$501,IF(D86&lt;&gt;"",MATCH(D86,'激励事件明细'!$A$2:$A$501,0),MATCH(E86,'激励事件明细'!$B$2:$B$501,0))),""))</f>
        <v/>
      </c>
      <c r="G86" s="16">
        <f>IF(A86="","",IFERROR(INDEX('激励事件明细'!$AA$2:$AA$501,IF(D86&lt;&gt;"",MATCH(D86,'激励事件明细'!$A$2:$A$501,0),MATCH(E86,'激励事件明细'!$B$2:$B$501,0))),""))</f>
        <v/>
      </c>
      <c r="H86" s="16">
        <f>IF(A86="","",IFERROR(INDEX('激励事件明细'!$AB$2:$AB$501,IF(D86&lt;&gt;"",MATCH(D86,'激励事件明细'!$A$2:$A$501,0),MATCH(E86,'激励事件明细'!$B$2:$B$501,0))),""))</f>
        <v/>
      </c>
      <c r="I86" s="12" t="n"/>
      <c r="J86" s="13" t="n"/>
      <c r="K86" s="13" t="n"/>
      <c r="L86" s="11" t="n"/>
      <c r="M86" s="14">
        <f>IF(A86="","",IF(D86&lt;&gt;"",SUMIFS($K$2:$K$501,$D$2:$D$501,D86),SUMIFS($K$2:$K$501,$E$2:$E$501,E86)))</f>
        <v/>
      </c>
      <c r="N86" s="14">
        <f>IF(F86="","",MAX(0,F86-M86))</f>
        <v/>
      </c>
      <c r="O86" s="6">
        <f>IF(A86="","",IF(AND(I86&lt;&gt;"",I86&gt;H86),"是",IF(AND(TODAY()&gt;H86,N86&gt;0),"是","否")))</f>
        <v/>
      </c>
      <c r="P86" s="16">
        <f>IF(A86="","",IFERROR(INDEX('激励事件明细'!$P$2:$P$501,IF(D86&lt;&gt;"",MATCH(D86,'激励事件明细'!$A$2:$A$501,0),MATCH(E86,'激励事件明细'!$B$2:$B$501,0))),""))</f>
        <v/>
      </c>
      <c r="Q86" s="6">
        <f>IF(AND(D86="",E86=""),"异常：必须关联事件编号或税额批次",IF(AND(D86&lt;&gt;"",COUNTIF('激励事件明细'!$A$2:$A$501,D86)=0),"异常：事件编号不存在",IF(AND(E86&lt;&gt;"",COUNTIF('激励事件明细'!$B$2:$B$501,E86)=0),"异常：税额批次不存在",IF(M86&gt;F86,"异常：本批次超额缴税",IF(AND(I86&lt;&gt;"",I86&gt;H86),"异常：超过事件截止日",IF(AND(P86&lt;&gt;"",TODAY()&gt;=P86,N86&gt;0),"异常：离职前未缴清","正常"))))))</f>
        <v/>
      </c>
      <c r="R86" s="11" t="n"/>
    </row>
    <row r="87">
      <c r="A87" s="6">
        <f>IF(AND(D87="",E87=""),"",IFERROR(INDEX('激励事件明细'!$C$2:$C$501,IF(D87&lt;&gt;"",MATCH(D87,'激励事件明细'!$A$2:$A$501,0),MATCH(E87,'激励事件明细'!$B$2:$B$501,0))),""))</f>
        <v/>
      </c>
      <c r="B87" s="6">
        <f>IF(A87="","",IFERROR(INDEX('激励事件明细'!$D$2:$D$501,IF(D87&lt;&gt;"",MATCH(D87,'激励事件明细'!$A$2:$A$501,0),MATCH(E87,'激励事件明细'!$B$2:$B$501,0))),""))</f>
        <v/>
      </c>
      <c r="C87" s="6">
        <f>IF(A87="","",IFERROR(INDEX('激励事件明细'!$H$2:$H$501,IF(D87&lt;&gt;"",MATCH(D87,'激励事件明细'!$A$2:$A$501,0),MATCH(E87,'激励事件明细'!$B$2:$B$501,0))),""))</f>
        <v/>
      </c>
      <c r="D87" s="11" t="n"/>
      <c r="E87" s="11" t="n"/>
      <c r="F87" s="14">
        <f>IF(A87="","",IFERROR(INDEX('激励事件明细'!$Z$2:$Z$501,IF(D87&lt;&gt;"",MATCH(D87,'激励事件明细'!$A$2:$A$501,0),MATCH(E87,'激励事件明细'!$B$2:$B$501,0))),""))</f>
        <v/>
      </c>
      <c r="G87" s="16">
        <f>IF(A87="","",IFERROR(INDEX('激励事件明细'!$AA$2:$AA$501,IF(D87&lt;&gt;"",MATCH(D87,'激励事件明细'!$A$2:$A$501,0),MATCH(E87,'激励事件明细'!$B$2:$B$501,0))),""))</f>
        <v/>
      </c>
      <c r="H87" s="16">
        <f>IF(A87="","",IFERROR(INDEX('激励事件明细'!$AB$2:$AB$501,IF(D87&lt;&gt;"",MATCH(D87,'激励事件明细'!$A$2:$A$501,0),MATCH(E87,'激励事件明细'!$B$2:$B$501,0))),""))</f>
        <v/>
      </c>
      <c r="I87" s="12" t="n"/>
      <c r="J87" s="13" t="n"/>
      <c r="K87" s="13" t="n"/>
      <c r="L87" s="11" t="n"/>
      <c r="M87" s="14">
        <f>IF(A87="","",IF(D87&lt;&gt;"",SUMIFS($K$2:$K$501,$D$2:$D$501,D87),SUMIFS($K$2:$K$501,$E$2:$E$501,E87)))</f>
        <v/>
      </c>
      <c r="N87" s="14">
        <f>IF(F87="","",MAX(0,F87-M87))</f>
        <v/>
      </c>
      <c r="O87" s="6">
        <f>IF(A87="","",IF(AND(I87&lt;&gt;"",I87&gt;H87),"是",IF(AND(TODAY()&gt;H87,N87&gt;0),"是","否")))</f>
        <v/>
      </c>
      <c r="P87" s="16">
        <f>IF(A87="","",IFERROR(INDEX('激励事件明细'!$P$2:$P$501,IF(D87&lt;&gt;"",MATCH(D87,'激励事件明细'!$A$2:$A$501,0),MATCH(E87,'激励事件明细'!$B$2:$B$501,0))),""))</f>
        <v/>
      </c>
      <c r="Q87" s="6">
        <f>IF(AND(D87="",E87=""),"异常：必须关联事件编号或税额批次",IF(AND(D87&lt;&gt;"",COUNTIF('激励事件明细'!$A$2:$A$501,D87)=0),"异常：事件编号不存在",IF(AND(E87&lt;&gt;"",COUNTIF('激励事件明细'!$B$2:$B$501,E87)=0),"异常：税额批次不存在",IF(M87&gt;F87,"异常：本批次超额缴税",IF(AND(I87&lt;&gt;"",I87&gt;H87),"异常：超过事件截止日",IF(AND(P87&lt;&gt;"",TODAY()&gt;=P87,N87&gt;0),"异常：离职前未缴清","正常"))))))</f>
        <v/>
      </c>
      <c r="R87" s="11" t="n"/>
    </row>
    <row r="88">
      <c r="A88" s="6">
        <f>IF(AND(D88="",E88=""),"",IFERROR(INDEX('激励事件明细'!$C$2:$C$501,IF(D88&lt;&gt;"",MATCH(D88,'激励事件明细'!$A$2:$A$501,0),MATCH(E88,'激励事件明细'!$B$2:$B$501,0))),""))</f>
        <v/>
      </c>
      <c r="B88" s="6">
        <f>IF(A88="","",IFERROR(INDEX('激励事件明细'!$D$2:$D$501,IF(D88&lt;&gt;"",MATCH(D88,'激励事件明细'!$A$2:$A$501,0),MATCH(E88,'激励事件明细'!$B$2:$B$501,0))),""))</f>
        <v/>
      </c>
      <c r="C88" s="6">
        <f>IF(A88="","",IFERROR(INDEX('激励事件明细'!$H$2:$H$501,IF(D88&lt;&gt;"",MATCH(D88,'激励事件明细'!$A$2:$A$501,0),MATCH(E88,'激励事件明细'!$B$2:$B$501,0))),""))</f>
        <v/>
      </c>
      <c r="D88" s="11" t="n"/>
      <c r="E88" s="11" t="n"/>
      <c r="F88" s="14">
        <f>IF(A88="","",IFERROR(INDEX('激励事件明细'!$Z$2:$Z$501,IF(D88&lt;&gt;"",MATCH(D88,'激励事件明细'!$A$2:$A$501,0),MATCH(E88,'激励事件明细'!$B$2:$B$501,0))),""))</f>
        <v/>
      </c>
      <c r="G88" s="16">
        <f>IF(A88="","",IFERROR(INDEX('激励事件明细'!$AA$2:$AA$501,IF(D88&lt;&gt;"",MATCH(D88,'激励事件明细'!$A$2:$A$501,0),MATCH(E88,'激励事件明细'!$B$2:$B$501,0))),""))</f>
        <v/>
      </c>
      <c r="H88" s="16">
        <f>IF(A88="","",IFERROR(INDEX('激励事件明细'!$AB$2:$AB$501,IF(D88&lt;&gt;"",MATCH(D88,'激励事件明细'!$A$2:$A$501,0),MATCH(E88,'激励事件明细'!$B$2:$B$501,0))),""))</f>
        <v/>
      </c>
      <c r="I88" s="12" t="n"/>
      <c r="J88" s="13" t="n"/>
      <c r="K88" s="13" t="n"/>
      <c r="L88" s="11" t="n"/>
      <c r="M88" s="14">
        <f>IF(A88="","",IF(D88&lt;&gt;"",SUMIFS($K$2:$K$501,$D$2:$D$501,D88),SUMIFS($K$2:$K$501,$E$2:$E$501,E88)))</f>
        <v/>
      </c>
      <c r="N88" s="14">
        <f>IF(F88="","",MAX(0,F88-M88))</f>
        <v/>
      </c>
      <c r="O88" s="6">
        <f>IF(A88="","",IF(AND(I88&lt;&gt;"",I88&gt;H88),"是",IF(AND(TODAY()&gt;H88,N88&gt;0),"是","否")))</f>
        <v/>
      </c>
      <c r="P88" s="16">
        <f>IF(A88="","",IFERROR(INDEX('激励事件明细'!$P$2:$P$501,IF(D88&lt;&gt;"",MATCH(D88,'激励事件明细'!$A$2:$A$501,0),MATCH(E88,'激励事件明细'!$B$2:$B$501,0))),""))</f>
        <v/>
      </c>
      <c r="Q88" s="6">
        <f>IF(AND(D88="",E88=""),"异常：必须关联事件编号或税额批次",IF(AND(D88&lt;&gt;"",COUNTIF('激励事件明细'!$A$2:$A$501,D88)=0),"异常：事件编号不存在",IF(AND(E88&lt;&gt;"",COUNTIF('激励事件明细'!$B$2:$B$501,E88)=0),"异常：税额批次不存在",IF(M88&gt;F88,"异常：本批次超额缴税",IF(AND(I88&lt;&gt;"",I88&gt;H88),"异常：超过事件截止日",IF(AND(P88&lt;&gt;"",TODAY()&gt;=P88,N88&gt;0),"异常：离职前未缴清","正常"))))))</f>
        <v/>
      </c>
      <c r="R88" s="11" t="n"/>
    </row>
    <row r="89">
      <c r="A89" s="6">
        <f>IF(AND(D89="",E89=""),"",IFERROR(INDEX('激励事件明细'!$C$2:$C$501,IF(D89&lt;&gt;"",MATCH(D89,'激励事件明细'!$A$2:$A$501,0),MATCH(E89,'激励事件明细'!$B$2:$B$501,0))),""))</f>
        <v/>
      </c>
      <c r="B89" s="6">
        <f>IF(A89="","",IFERROR(INDEX('激励事件明细'!$D$2:$D$501,IF(D89&lt;&gt;"",MATCH(D89,'激励事件明细'!$A$2:$A$501,0),MATCH(E89,'激励事件明细'!$B$2:$B$501,0))),""))</f>
        <v/>
      </c>
      <c r="C89" s="6">
        <f>IF(A89="","",IFERROR(INDEX('激励事件明细'!$H$2:$H$501,IF(D89&lt;&gt;"",MATCH(D89,'激励事件明细'!$A$2:$A$501,0),MATCH(E89,'激励事件明细'!$B$2:$B$501,0))),""))</f>
        <v/>
      </c>
      <c r="D89" s="11" t="n"/>
      <c r="E89" s="11" t="n"/>
      <c r="F89" s="14">
        <f>IF(A89="","",IFERROR(INDEX('激励事件明细'!$Z$2:$Z$501,IF(D89&lt;&gt;"",MATCH(D89,'激励事件明细'!$A$2:$A$501,0),MATCH(E89,'激励事件明细'!$B$2:$B$501,0))),""))</f>
        <v/>
      </c>
      <c r="G89" s="16">
        <f>IF(A89="","",IFERROR(INDEX('激励事件明细'!$AA$2:$AA$501,IF(D89&lt;&gt;"",MATCH(D89,'激励事件明细'!$A$2:$A$501,0),MATCH(E89,'激励事件明细'!$B$2:$B$501,0))),""))</f>
        <v/>
      </c>
      <c r="H89" s="16">
        <f>IF(A89="","",IFERROR(INDEX('激励事件明细'!$AB$2:$AB$501,IF(D89&lt;&gt;"",MATCH(D89,'激励事件明细'!$A$2:$A$501,0),MATCH(E89,'激励事件明细'!$B$2:$B$501,0))),""))</f>
        <v/>
      </c>
      <c r="I89" s="12" t="n"/>
      <c r="J89" s="13" t="n"/>
      <c r="K89" s="13" t="n"/>
      <c r="L89" s="11" t="n"/>
      <c r="M89" s="14">
        <f>IF(A89="","",IF(D89&lt;&gt;"",SUMIFS($K$2:$K$501,$D$2:$D$501,D89),SUMIFS($K$2:$K$501,$E$2:$E$501,E89)))</f>
        <v/>
      </c>
      <c r="N89" s="14">
        <f>IF(F89="","",MAX(0,F89-M89))</f>
        <v/>
      </c>
      <c r="O89" s="6">
        <f>IF(A89="","",IF(AND(I89&lt;&gt;"",I89&gt;H89),"是",IF(AND(TODAY()&gt;H89,N89&gt;0),"是","否")))</f>
        <v/>
      </c>
      <c r="P89" s="16">
        <f>IF(A89="","",IFERROR(INDEX('激励事件明细'!$P$2:$P$501,IF(D89&lt;&gt;"",MATCH(D89,'激励事件明细'!$A$2:$A$501,0),MATCH(E89,'激励事件明细'!$B$2:$B$501,0))),""))</f>
        <v/>
      </c>
      <c r="Q89" s="6">
        <f>IF(AND(D89="",E89=""),"异常：必须关联事件编号或税额批次",IF(AND(D89&lt;&gt;"",COUNTIF('激励事件明细'!$A$2:$A$501,D89)=0),"异常：事件编号不存在",IF(AND(E89&lt;&gt;"",COUNTIF('激励事件明细'!$B$2:$B$501,E89)=0),"异常：税额批次不存在",IF(M89&gt;F89,"异常：本批次超额缴税",IF(AND(I89&lt;&gt;"",I89&gt;H89),"异常：超过事件截止日",IF(AND(P89&lt;&gt;"",TODAY()&gt;=P89,N89&gt;0),"异常：离职前未缴清","正常"))))))</f>
        <v/>
      </c>
      <c r="R89" s="11" t="n"/>
    </row>
    <row r="90">
      <c r="A90" s="6">
        <f>IF(AND(D90="",E90=""),"",IFERROR(INDEX('激励事件明细'!$C$2:$C$501,IF(D90&lt;&gt;"",MATCH(D90,'激励事件明细'!$A$2:$A$501,0),MATCH(E90,'激励事件明细'!$B$2:$B$501,0))),""))</f>
        <v/>
      </c>
      <c r="B90" s="6">
        <f>IF(A90="","",IFERROR(INDEX('激励事件明细'!$D$2:$D$501,IF(D90&lt;&gt;"",MATCH(D90,'激励事件明细'!$A$2:$A$501,0),MATCH(E90,'激励事件明细'!$B$2:$B$501,0))),""))</f>
        <v/>
      </c>
      <c r="C90" s="6">
        <f>IF(A90="","",IFERROR(INDEX('激励事件明细'!$H$2:$H$501,IF(D90&lt;&gt;"",MATCH(D90,'激励事件明细'!$A$2:$A$501,0),MATCH(E90,'激励事件明细'!$B$2:$B$501,0))),""))</f>
        <v/>
      </c>
      <c r="D90" s="11" t="n"/>
      <c r="E90" s="11" t="n"/>
      <c r="F90" s="14">
        <f>IF(A90="","",IFERROR(INDEX('激励事件明细'!$Z$2:$Z$501,IF(D90&lt;&gt;"",MATCH(D90,'激励事件明细'!$A$2:$A$501,0),MATCH(E90,'激励事件明细'!$B$2:$B$501,0))),""))</f>
        <v/>
      </c>
      <c r="G90" s="16">
        <f>IF(A90="","",IFERROR(INDEX('激励事件明细'!$AA$2:$AA$501,IF(D90&lt;&gt;"",MATCH(D90,'激励事件明细'!$A$2:$A$501,0),MATCH(E90,'激励事件明细'!$B$2:$B$501,0))),""))</f>
        <v/>
      </c>
      <c r="H90" s="16">
        <f>IF(A90="","",IFERROR(INDEX('激励事件明细'!$AB$2:$AB$501,IF(D90&lt;&gt;"",MATCH(D90,'激励事件明细'!$A$2:$A$501,0),MATCH(E90,'激励事件明细'!$B$2:$B$501,0))),""))</f>
        <v/>
      </c>
      <c r="I90" s="12" t="n"/>
      <c r="J90" s="13" t="n"/>
      <c r="K90" s="13" t="n"/>
      <c r="L90" s="11" t="n"/>
      <c r="M90" s="14">
        <f>IF(A90="","",IF(D90&lt;&gt;"",SUMIFS($K$2:$K$501,$D$2:$D$501,D90),SUMIFS($K$2:$K$501,$E$2:$E$501,E90)))</f>
        <v/>
      </c>
      <c r="N90" s="14">
        <f>IF(F90="","",MAX(0,F90-M90))</f>
        <v/>
      </c>
      <c r="O90" s="6">
        <f>IF(A90="","",IF(AND(I90&lt;&gt;"",I90&gt;H90),"是",IF(AND(TODAY()&gt;H90,N90&gt;0),"是","否")))</f>
        <v/>
      </c>
      <c r="P90" s="16">
        <f>IF(A90="","",IFERROR(INDEX('激励事件明细'!$P$2:$P$501,IF(D90&lt;&gt;"",MATCH(D90,'激励事件明细'!$A$2:$A$501,0),MATCH(E90,'激励事件明细'!$B$2:$B$501,0))),""))</f>
        <v/>
      </c>
      <c r="Q90" s="6">
        <f>IF(AND(D90="",E90=""),"异常：必须关联事件编号或税额批次",IF(AND(D90&lt;&gt;"",COUNTIF('激励事件明细'!$A$2:$A$501,D90)=0),"异常：事件编号不存在",IF(AND(E90&lt;&gt;"",COUNTIF('激励事件明细'!$B$2:$B$501,E90)=0),"异常：税额批次不存在",IF(M90&gt;F90,"异常：本批次超额缴税",IF(AND(I90&lt;&gt;"",I90&gt;H90),"异常：超过事件截止日",IF(AND(P90&lt;&gt;"",TODAY()&gt;=P90,N90&gt;0),"异常：离职前未缴清","正常"))))))</f>
        <v/>
      </c>
      <c r="R90" s="11" t="n"/>
    </row>
    <row r="91">
      <c r="A91" s="6">
        <f>IF(AND(D91="",E91=""),"",IFERROR(INDEX('激励事件明细'!$C$2:$C$501,IF(D91&lt;&gt;"",MATCH(D91,'激励事件明细'!$A$2:$A$501,0),MATCH(E91,'激励事件明细'!$B$2:$B$501,0))),""))</f>
        <v/>
      </c>
      <c r="B91" s="6">
        <f>IF(A91="","",IFERROR(INDEX('激励事件明细'!$D$2:$D$501,IF(D91&lt;&gt;"",MATCH(D91,'激励事件明细'!$A$2:$A$501,0),MATCH(E91,'激励事件明细'!$B$2:$B$501,0))),""))</f>
        <v/>
      </c>
      <c r="C91" s="6">
        <f>IF(A91="","",IFERROR(INDEX('激励事件明细'!$H$2:$H$501,IF(D91&lt;&gt;"",MATCH(D91,'激励事件明细'!$A$2:$A$501,0),MATCH(E91,'激励事件明细'!$B$2:$B$501,0))),""))</f>
        <v/>
      </c>
      <c r="D91" s="11" t="n"/>
      <c r="E91" s="11" t="n"/>
      <c r="F91" s="14">
        <f>IF(A91="","",IFERROR(INDEX('激励事件明细'!$Z$2:$Z$501,IF(D91&lt;&gt;"",MATCH(D91,'激励事件明细'!$A$2:$A$501,0),MATCH(E91,'激励事件明细'!$B$2:$B$501,0))),""))</f>
        <v/>
      </c>
      <c r="G91" s="16">
        <f>IF(A91="","",IFERROR(INDEX('激励事件明细'!$AA$2:$AA$501,IF(D91&lt;&gt;"",MATCH(D91,'激励事件明细'!$A$2:$A$501,0),MATCH(E91,'激励事件明细'!$B$2:$B$501,0))),""))</f>
        <v/>
      </c>
      <c r="H91" s="16">
        <f>IF(A91="","",IFERROR(INDEX('激励事件明细'!$AB$2:$AB$501,IF(D91&lt;&gt;"",MATCH(D91,'激励事件明细'!$A$2:$A$501,0),MATCH(E91,'激励事件明细'!$B$2:$B$501,0))),""))</f>
        <v/>
      </c>
      <c r="I91" s="12" t="n"/>
      <c r="J91" s="13" t="n"/>
      <c r="K91" s="13" t="n"/>
      <c r="L91" s="11" t="n"/>
      <c r="M91" s="14">
        <f>IF(A91="","",IF(D91&lt;&gt;"",SUMIFS($K$2:$K$501,$D$2:$D$501,D91),SUMIFS($K$2:$K$501,$E$2:$E$501,E91)))</f>
        <v/>
      </c>
      <c r="N91" s="14">
        <f>IF(F91="","",MAX(0,F91-M91))</f>
        <v/>
      </c>
      <c r="O91" s="6">
        <f>IF(A91="","",IF(AND(I91&lt;&gt;"",I91&gt;H91),"是",IF(AND(TODAY()&gt;H91,N91&gt;0),"是","否")))</f>
        <v/>
      </c>
      <c r="P91" s="16">
        <f>IF(A91="","",IFERROR(INDEX('激励事件明细'!$P$2:$P$501,IF(D91&lt;&gt;"",MATCH(D91,'激励事件明细'!$A$2:$A$501,0),MATCH(E91,'激励事件明细'!$B$2:$B$501,0))),""))</f>
        <v/>
      </c>
      <c r="Q91" s="6">
        <f>IF(AND(D91="",E91=""),"异常：必须关联事件编号或税额批次",IF(AND(D91&lt;&gt;"",COUNTIF('激励事件明细'!$A$2:$A$501,D91)=0),"异常：事件编号不存在",IF(AND(E91&lt;&gt;"",COUNTIF('激励事件明细'!$B$2:$B$501,E91)=0),"异常：税额批次不存在",IF(M91&gt;F91,"异常：本批次超额缴税",IF(AND(I91&lt;&gt;"",I91&gt;H91),"异常：超过事件截止日",IF(AND(P91&lt;&gt;"",TODAY()&gt;=P91,N91&gt;0),"异常：离职前未缴清","正常"))))))</f>
        <v/>
      </c>
      <c r="R91" s="11" t="n"/>
    </row>
    <row r="92">
      <c r="A92" s="6">
        <f>IF(AND(D92="",E92=""),"",IFERROR(INDEX('激励事件明细'!$C$2:$C$501,IF(D92&lt;&gt;"",MATCH(D92,'激励事件明细'!$A$2:$A$501,0),MATCH(E92,'激励事件明细'!$B$2:$B$501,0))),""))</f>
        <v/>
      </c>
      <c r="B92" s="6">
        <f>IF(A92="","",IFERROR(INDEX('激励事件明细'!$D$2:$D$501,IF(D92&lt;&gt;"",MATCH(D92,'激励事件明细'!$A$2:$A$501,0),MATCH(E92,'激励事件明细'!$B$2:$B$501,0))),""))</f>
        <v/>
      </c>
      <c r="C92" s="6">
        <f>IF(A92="","",IFERROR(INDEX('激励事件明细'!$H$2:$H$501,IF(D92&lt;&gt;"",MATCH(D92,'激励事件明细'!$A$2:$A$501,0),MATCH(E92,'激励事件明细'!$B$2:$B$501,0))),""))</f>
        <v/>
      </c>
      <c r="D92" s="11" t="n"/>
      <c r="E92" s="11" t="n"/>
      <c r="F92" s="14">
        <f>IF(A92="","",IFERROR(INDEX('激励事件明细'!$Z$2:$Z$501,IF(D92&lt;&gt;"",MATCH(D92,'激励事件明细'!$A$2:$A$501,0),MATCH(E92,'激励事件明细'!$B$2:$B$501,0))),""))</f>
        <v/>
      </c>
      <c r="G92" s="16">
        <f>IF(A92="","",IFERROR(INDEX('激励事件明细'!$AA$2:$AA$501,IF(D92&lt;&gt;"",MATCH(D92,'激励事件明细'!$A$2:$A$501,0),MATCH(E92,'激励事件明细'!$B$2:$B$501,0))),""))</f>
        <v/>
      </c>
      <c r="H92" s="16">
        <f>IF(A92="","",IFERROR(INDEX('激励事件明细'!$AB$2:$AB$501,IF(D92&lt;&gt;"",MATCH(D92,'激励事件明细'!$A$2:$A$501,0),MATCH(E92,'激励事件明细'!$B$2:$B$501,0))),""))</f>
        <v/>
      </c>
      <c r="I92" s="12" t="n"/>
      <c r="J92" s="13" t="n"/>
      <c r="K92" s="13" t="n"/>
      <c r="L92" s="11" t="n"/>
      <c r="M92" s="14">
        <f>IF(A92="","",IF(D92&lt;&gt;"",SUMIFS($K$2:$K$501,$D$2:$D$501,D92),SUMIFS($K$2:$K$501,$E$2:$E$501,E92)))</f>
        <v/>
      </c>
      <c r="N92" s="14">
        <f>IF(F92="","",MAX(0,F92-M92))</f>
        <v/>
      </c>
      <c r="O92" s="6">
        <f>IF(A92="","",IF(AND(I92&lt;&gt;"",I92&gt;H92),"是",IF(AND(TODAY()&gt;H92,N92&gt;0),"是","否")))</f>
        <v/>
      </c>
      <c r="P92" s="16">
        <f>IF(A92="","",IFERROR(INDEX('激励事件明细'!$P$2:$P$501,IF(D92&lt;&gt;"",MATCH(D92,'激励事件明细'!$A$2:$A$501,0),MATCH(E92,'激励事件明细'!$B$2:$B$501,0))),""))</f>
        <v/>
      </c>
      <c r="Q92" s="6">
        <f>IF(AND(D92="",E92=""),"异常：必须关联事件编号或税额批次",IF(AND(D92&lt;&gt;"",COUNTIF('激励事件明细'!$A$2:$A$501,D92)=0),"异常：事件编号不存在",IF(AND(E92&lt;&gt;"",COUNTIF('激励事件明细'!$B$2:$B$501,E92)=0),"异常：税额批次不存在",IF(M92&gt;F92,"异常：本批次超额缴税",IF(AND(I92&lt;&gt;"",I92&gt;H92),"异常：超过事件截止日",IF(AND(P92&lt;&gt;"",TODAY()&gt;=P92,N92&gt;0),"异常：离职前未缴清","正常"))))))</f>
        <v/>
      </c>
      <c r="R92" s="11" t="n"/>
    </row>
    <row r="93">
      <c r="A93" s="6">
        <f>IF(AND(D93="",E93=""),"",IFERROR(INDEX('激励事件明细'!$C$2:$C$501,IF(D93&lt;&gt;"",MATCH(D93,'激励事件明细'!$A$2:$A$501,0),MATCH(E93,'激励事件明细'!$B$2:$B$501,0))),""))</f>
        <v/>
      </c>
      <c r="B93" s="6">
        <f>IF(A93="","",IFERROR(INDEX('激励事件明细'!$D$2:$D$501,IF(D93&lt;&gt;"",MATCH(D93,'激励事件明细'!$A$2:$A$501,0),MATCH(E93,'激励事件明细'!$B$2:$B$501,0))),""))</f>
        <v/>
      </c>
      <c r="C93" s="6">
        <f>IF(A93="","",IFERROR(INDEX('激励事件明细'!$H$2:$H$501,IF(D93&lt;&gt;"",MATCH(D93,'激励事件明细'!$A$2:$A$501,0),MATCH(E93,'激励事件明细'!$B$2:$B$501,0))),""))</f>
        <v/>
      </c>
      <c r="D93" s="11" t="n"/>
      <c r="E93" s="11" t="n"/>
      <c r="F93" s="14">
        <f>IF(A93="","",IFERROR(INDEX('激励事件明细'!$Z$2:$Z$501,IF(D93&lt;&gt;"",MATCH(D93,'激励事件明细'!$A$2:$A$501,0),MATCH(E93,'激励事件明细'!$B$2:$B$501,0))),""))</f>
        <v/>
      </c>
      <c r="G93" s="16">
        <f>IF(A93="","",IFERROR(INDEX('激励事件明细'!$AA$2:$AA$501,IF(D93&lt;&gt;"",MATCH(D93,'激励事件明细'!$A$2:$A$501,0),MATCH(E93,'激励事件明细'!$B$2:$B$501,0))),""))</f>
        <v/>
      </c>
      <c r="H93" s="16">
        <f>IF(A93="","",IFERROR(INDEX('激励事件明细'!$AB$2:$AB$501,IF(D93&lt;&gt;"",MATCH(D93,'激励事件明细'!$A$2:$A$501,0),MATCH(E93,'激励事件明细'!$B$2:$B$501,0))),""))</f>
        <v/>
      </c>
      <c r="I93" s="12" t="n"/>
      <c r="J93" s="13" t="n"/>
      <c r="K93" s="13" t="n"/>
      <c r="L93" s="11" t="n"/>
      <c r="M93" s="14">
        <f>IF(A93="","",IF(D93&lt;&gt;"",SUMIFS($K$2:$K$501,$D$2:$D$501,D93),SUMIFS($K$2:$K$501,$E$2:$E$501,E93)))</f>
        <v/>
      </c>
      <c r="N93" s="14">
        <f>IF(F93="","",MAX(0,F93-M93))</f>
        <v/>
      </c>
      <c r="O93" s="6">
        <f>IF(A93="","",IF(AND(I93&lt;&gt;"",I93&gt;H93),"是",IF(AND(TODAY()&gt;H93,N93&gt;0),"是","否")))</f>
        <v/>
      </c>
      <c r="P93" s="16">
        <f>IF(A93="","",IFERROR(INDEX('激励事件明细'!$P$2:$P$501,IF(D93&lt;&gt;"",MATCH(D93,'激励事件明细'!$A$2:$A$501,0),MATCH(E93,'激励事件明细'!$B$2:$B$501,0))),""))</f>
        <v/>
      </c>
      <c r="Q93" s="6">
        <f>IF(AND(D93="",E93=""),"异常：必须关联事件编号或税额批次",IF(AND(D93&lt;&gt;"",COUNTIF('激励事件明细'!$A$2:$A$501,D93)=0),"异常：事件编号不存在",IF(AND(E93&lt;&gt;"",COUNTIF('激励事件明细'!$B$2:$B$501,E93)=0),"异常：税额批次不存在",IF(M93&gt;F93,"异常：本批次超额缴税",IF(AND(I93&lt;&gt;"",I93&gt;H93),"异常：超过事件截止日",IF(AND(P93&lt;&gt;"",TODAY()&gt;=P93,N93&gt;0),"异常：离职前未缴清","正常"))))))</f>
        <v/>
      </c>
      <c r="R93" s="11" t="n"/>
    </row>
    <row r="94">
      <c r="A94" s="6">
        <f>IF(AND(D94="",E94=""),"",IFERROR(INDEX('激励事件明细'!$C$2:$C$501,IF(D94&lt;&gt;"",MATCH(D94,'激励事件明细'!$A$2:$A$501,0),MATCH(E94,'激励事件明细'!$B$2:$B$501,0))),""))</f>
        <v/>
      </c>
      <c r="B94" s="6">
        <f>IF(A94="","",IFERROR(INDEX('激励事件明细'!$D$2:$D$501,IF(D94&lt;&gt;"",MATCH(D94,'激励事件明细'!$A$2:$A$501,0),MATCH(E94,'激励事件明细'!$B$2:$B$501,0))),""))</f>
        <v/>
      </c>
      <c r="C94" s="6">
        <f>IF(A94="","",IFERROR(INDEX('激励事件明细'!$H$2:$H$501,IF(D94&lt;&gt;"",MATCH(D94,'激励事件明细'!$A$2:$A$501,0),MATCH(E94,'激励事件明细'!$B$2:$B$501,0))),""))</f>
        <v/>
      </c>
      <c r="D94" s="11" t="n"/>
      <c r="E94" s="11" t="n"/>
      <c r="F94" s="14">
        <f>IF(A94="","",IFERROR(INDEX('激励事件明细'!$Z$2:$Z$501,IF(D94&lt;&gt;"",MATCH(D94,'激励事件明细'!$A$2:$A$501,0),MATCH(E94,'激励事件明细'!$B$2:$B$501,0))),""))</f>
        <v/>
      </c>
      <c r="G94" s="16">
        <f>IF(A94="","",IFERROR(INDEX('激励事件明细'!$AA$2:$AA$501,IF(D94&lt;&gt;"",MATCH(D94,'激励事件明细'!$A$2:$A$501,0),MATCH(E94,'激励事件明细'!$B$2:$B$501,0))),""))</f>
        <v/>
      </c>
      <c r="H94" s="16">
        <f>IF(A94="","",IFERROR(INDEX('激励事件明细'!$AB$2:$AB$501,IF(D94&lt;&gt;"",MATCH(D94,'激励事件明细'!$A$2:$A$501,0),MATCH(E94,'激励事件明细'!$B$2:$B$501,0))),""))</f>
        <v/>
      </c>
      <c r="I94" s="12" t="n"/>
      <c r="J94" s="13" t="n"/>
      <c r="K94" s="13" t="n"/>
      <c r="L94" s="11" t="n"/>
      <c r="M94" s="14">
        <f>IF(A94="","",IF(D94&lt;&gt;"",SUMIFS($K$2:$K$501,$D$2:$D$501,D94),SUMIFS($K$2:$K$501,$E$2:$E$501,E94)))</f>
        <v/>
      </c>
      <c r="N94" s="14">
        <f>IF(F94="","",MAX(0,F94-M94))</f>
        <v/>
      </c>
      <c r="O94" s="6">
        <f>IF(A94="","",IF(AND(I94&lt;&gt;"",I94&gt;H94),"是",IF(AND(TODAY()&gt;H94,N94&gt;0),"是","否")))</f>
        <v/>
      </c>
      <c r="P94" s="16">
        <f>IF(A94="","",IFERROR(INDEX('激励事件明细'!$P$2:$P$501,IF(D94&lt;&gt;"",MATCH(D94,'激励事件明细'!$A$2:$A$501,0),MATCH(E94,'激励事件明细'!$B$2:$B$501,0))),""))</f>
        <v/>
      </c>
      <c r="Q94" s="6">
        <f>IF(AND(D94="",E94=""),"异常：必须关联事件编号或税额批次",IF(AND(D94&lt;&gt;"",COUNTIF('激励事件明细'!$A$2:$A$501,D94)=0),"异常：事件编号不存在",IF(AND(E94&lt;&gt;"",COUNTIF('激励事件明细'!$B$2:$B$501,E94)=0),"异常：税额批次不存在",IF(M94&gt;F94,"异常：本批次超额缴税",IF(AND(I94&lt;&gt;"",I94&gt;H94),"异常：超过事件截止日",IF(AND(P94&lt;&gt;"",TODAY()&gt;=P94,N94&gt;0),"异常：离职前未缴清","正常"))))))</f>
        <v/>
      </c>
      <c r="R94" s="11" t="n"/>
    </row>
    <row r="95">
      <c r="A95" s="6">
        <f>IF(AND(D95="",E95=""),"",IFERROR(INDEX('激励事件明细'!$C$2:$C$501,IF(D95&lt;&gt;"",MATCH(D95,'激励事件明细'!$A$2:$A$501,0),MATCH(E95,'激励事件明细'!$B$2:$B$501,0))),""))</f>
        <v/>
      </c>
      <c r="B95" s="6">
        <f>IF(A95="","",IFERROR(INDEX('激励事件明细'!$D$2:$D$501,IF(D95&lt;&gt;"",MATCH(D95,'激励事件明细'!$A$2:$A$501,0),MATCH(E95,'激励事件明细'!$B$2:$B$501,0))),""))</f>
        <v/>
      </c>
      <c r="C95" s="6">
        <f>IF(A95="","",IFERROR(INDEX('激励事件明细'!$H$2:$H$501,IF(D95&lt;&gt;"",MATCH(D95,'激励事件明细'!$A$2:$A$501,0),MATCH(E95,'激励事件明细'!$B$2:$B$501,0))),""))</f>
        <v/>
      </c>
      <c r="D95" s="11" t="n"/>
      <c r="E95" s="11" t="n"/>
      <c r="F95" s="14">
        <f>IF(A95="","",IFERROR(INDEX('激励事件明细'!$Z$2:$Z$501,IF(D95&lt;&gt;"",MATCH(D95,'激励事件明细'!$A$2:$A$501,0),MATCH(E95,'激励事件明细'!$B$2:$B$501,0))),""))</f>
        <v/>
      </c>
      <c r="G95" s="16">
        <f>IF(A95="","",IFERROR(INDEX('激励事件明细'!$AA$2:$AA$501,IF(D95&lt;&gt;"",MATCH(D95,'激励事件明细'!$A$2:$A$501,0),MATCH(E95,'激励事件明细'!$B$2:$B$501,0))),""))</f>
        <v/>
      </c>
      <c r="H95" s="16">
        <f>IF(A95="","",IFERROR(INDEX('激励事件明细'!$AB$2:$AB$501,IF(D95&lt;&gt;"",MATCH(D95,'激励事件明细'!$A$2:$A$501,0),MATCH(E95,'激励事件明细'!$B$2:$B$501,0))),""))</f>
        <v/>
      </c>
      <c r="I95" s="12" t="n"/>
      <c r="J95" s="13" t="n"/>
      <c r="K95" s="13" t="n"/>
      <c r="L95" s="11" t="n"/>
      <c r="M95" s="14">
        <f>IF(A95="","",IF(D95&lt;&gt;"",SUMIFS($K$2:$K$501,$D$2:$D$501,D95),SUMIFS($K$2:$K$501,$E$2:$E$501,E95)))</f>
        <v/>
      </c>
      <c r="N95" s="14">
        <f>IF(F95="","",MAX(0,F95-M95))</f>
        <v/>
      </c>
      <c r="O95" s="6">
        <f>IF(A95="","",IF(AND(I95&lt;&gt;"",I95&gt;H95),"是",IF(AND(TODAY()&gt;H95,N95&gt;0),"是","否")))</f>
        <v/>
      </c>
      <c r="P95" s="16">
        <f>IF(A95="","",IFERROR(INDEX('激励事件明细'!$P$2:$P$501,IF(D95&lt;&gt;"",MATCH(D95,'激励事件明细'!$A$2:$A$501,0),MATCH(E95,'激励事件明细'!$B$2:$B$501,0))),""))</f>
        <v/>
      </c>
      <c r="Q95" s="6">
        <f>IF(AND(D95="",E95=""),"异常：必须关联事件编号或税额批次",IF(AND(D95&lt;&gt;"",COUNTIF('激励事件明细'!$A$2:$A$501,D95)=0),"异常：事件编号不存在",IF(AND(E95&lt;&gt;"",COUNTIF('激励事件明细'!$B$2:$B$501,E95)=0),"异常：税额批次不存在",IF(M95&gt;F95,"异常：本批次超额缴税",IF(AND(I95&lt;&gt;"",I95&gt;H95),"异常：超过事件截止日",IF(AND(P95&lt;&gt;"",TODAY()&gt;=P95,N95&gt;0),"异常：离职前未缴清","正常"))))))</f>
        <v/>
      </c>
      <c r="R95" s="11" t="n"/>
    </row>
    <row r="96">
      <c r="A96" s="6">
        <f>IF(AND(D96="",E96=""),"",IFERROR(INDEX('激励事件明细'!$C$2:$C$501,IF(D96&lt;&gt;"",MATCH(D96,'激励事件明细'!$A$2:$A$501,0),MATCH(E96,'激励事件明细'!$B$2:$B$501,0))),""))</f>
        <v/>
      </c>
      <c r="B96" s="6">
        <f>IF(A96="","",IFERROR(INDEX('激励事件明细'!$D$2:$D$501,IF(D96&lt;&gt;"",MATCH(D96,'激励事件明细'!$A$2:$A$501,0),MATCH(E96,'激励事件明细'!$B$2:$B$501,0))),""))</f>
        <v/>
      </c>
      <c r="C96" s="6">
        <f>IF(A96="","",IFERROR(INDEX('激励事件明细'!$H$2:$H$501,IF(D96&lt;&gt;"",MATCH(D96,'激励事件明细'!$A$2:$A$501,0),MATCH(E96,'激励事件明细'!$B$2:$B$501,0))),""))</f>
        <v/>
      </c>
      <c r="D96" s="11" t="n"/>
      <c r="E96" s="11" t="n"/>
      <c r="F96" s="14">
        <f>IF(A96="","",IFERROR(INDEX('激励事件明细'!$Z$2:$Z$501,IF(D96&lt;&gt;"",MATCH(D96,'激励事件明细'!$A$2:$A$501,0),MATCH(E96,'激励事件明细'!$B$2:$B$501,0))),""))</f>
        <v/>
      </c>
      <c r="G96" s="16">
        <f>IF(A96="","",IFERROR(INDEX('激励事件明细'!$AA$2:$AA$501,IF(D96&lt;&gt;"",MATCH(D96,'激励事件明细'!$A$2:$A$501,0),MATCH(E96,'激励事件明细'!$B$2:$B$501,0))),""))</f>
        <v/>
      </c>
      <c r="H96" s="16">
        <f>IF(A96="","",IFERROR(INDEX('激励事件明细'!$AB$2:$AB$501,IF(D96&lt;&gt;"",MATCH(D96,'激励事件明细'!$A$2:$A$501,0),MATCH(E96,'激励事件明细'!$B$2:$B$501,0))),""))</f>
        <v/>
      </c>
      <c r="I96" s="12" t="n"/>
      <c r="J96" s="13" t="n"/>
      <c r="K96" s="13" t="n"/>
      <c r="L96" s="11" t="n"/>
      <c r="M96" s="14">
        <f>IF(A96="","",IF(D96&lt;&gt;"",SUMIFS($K$2:$K$501,$D$2:$D$501,D96),SUMIFS($K$2:$K$501,$E$2:$E$501,E96)))</f>
        <v/>
      </c>
      <c r="N96" s="14">
        <f>IF(F96="","",MAX(0,F96-M96))</f>
        <v/>
      </c>
      <c r="O96" s="6">
        <f>IF(A96="","",IF(AND(I96&lt;&gt;"",I96&gt;H96),"是",IF(AND(TODAY()&gt;H96,N96&gt;0),"是","否")))</f>
        <v/>
      </c>
      <c r="P96" s="16">
        <f>IF(A96="","",IFERROR(INDEX('激励事件明细'!$P$2:$P$501,IF(D96&lt;&gt;"",MATCH(D96,'激励事件明细'!$A$2:$A$501,0),MATCH(E96,'激励事件明细'!$B$2:$B$501,0))),""))</f>
        <v/>
      </c>
      <c r="Q96" s="6">
        <f>IF(AND(D96="",E96=""),"异常：必须关联事件编号或税额批次",IF(AND(D96&lt;&gt;"",COUNTIF('激励事件明细'!$A$2:$A$501,D96)=0),"异常：事件编号不存在",IF(AND(E96&lt;&gt;"",COUNTIF('激励事件明细'!$B$2:$B$501,E96)=0),"异常：税额批次不存在",IF(M96&gt;F96,"异常：本批次超额缴税",IF(AND(I96&lt;&gt;"",I96&gt;H96),"异常：超过事件截止日",IF(AND(P96&lt;&gt;"",TODAY()&gt;=P96,N96&gt;0),"异常：离职前未缴清","正常"))))))</f>
        <v/>
      </c>
      <c r="R96" s="11" t="n"/>
    </row>
    <row r="97">
      <c r="A97" s="6">
        <f>IF(AND(D97="",E97=""),"",IFERROR(INDEX('激励事件明细'!$C$2:$C$501,IF(D97&lt;&gt;"",MATCH(D97,'激励事件明细'!$A$2:$A$501,0),MATCH(E97,'激励事件明细'!$B$2:$B$501,0))),""))</f>
        <v/>
      </c>
      <c r="B97" s="6">
        <f>IF(A97="","",IFERROR(INDEX('激励事件明细'!$D$2:$D$501,IF(D97&lt;&gt;"",MATCH(D97,'激励事件明细'!$A$2:$A$501,0),MATCH(E97,'激励事件明细'!$B$2:$B$501,0))),""))</f>
        <v/>
      </c>
      <c r="C97" s="6">
        <f>IF(A97="","",IFERROR(INDEX('激励事件明细'!$H$2:$H$501,IF(D97&lt;&gt;"",MATCH(D97,'激励事件明细'!$A$2:$A$501,0),MATCH(E97,'激励事件明细'!$B$2:$B$501,0))),""))</f>
        <v/>
      </c>
      <c r="D97" s="11" t="n"/>
      <c r="E97" s="11" t="n"/>
      <c r="F97" s="14">
        <f>IF(A97="","",IFERROR(INDEX('激励事件明细'!$Z$2:$Z$501,IF(D97&lt;&gt;"",MATCH(D97,'激励事件明细'!$A$2:$A$501,0),MATCH(E97,'激励事件明细'!$B$2:$B$501,0))),""))</f>
        <v/>
      </c>
      <c r="G97" s="16">
        <f>IF(A97="","",IFERROR(INDEX('激励事件明细'!$AA$2:$AA$501,IF(D97&lt;&gt;"",MATCH(D97,'激励事件明细'!$A$2:$A$501,0),MATCH(E97,'激励事件明细'!$B$2:$B$501,0))),""))</f>
        <v/>
      </c>
      <c r="H97" s="16">
        <f>IF(A97="","",IFERROR(INDEX('激励事件明细'!$AB$2:$AB$501,IF(D97&lt;&gt;"",MATCH(D97,'激励事件明细'!$A$2:$A$501,0),MATCH(E97,'激励事件明细'!$B$2:$B$501,0))),""))</f>
        <v/>
      </c>
      <c r="I97" s="12" t="n"/>
      <c r="J97" s="13" t="n"/>
      <c r="K97" s="13" t="n"/>
      <c r="L97" s="11" t="n"/>
      <c r="M97" s="14">
        <f>IF(A97="","",IF(D97&lt;&gt;"",SUMIFS($K$2:$K$501,$D$2:$D$501,D97),SUMIFS($K$2:$K$501,$E$2:$E$501,E97)))</f>
        <v/>
      </c>
      <c r="N97" s="14">
        <f>IF(F97="","",MAX(0,F97-M97))</f>
        <v/>
      </c>
      <c r="O97" s="6">
        <f>IF(A97="","",IF(AND(I97&lt;&gt;"",I97&gt;H97),"是",IF(AND(TODAY()&gt;H97,N97&gt;0),"是","否")))</f>
        <v/>
      </c>
      <c r="P97" s="16">
        <f>IF(A97="","",IFERROR(INDEX('激励事件明细'!$P$2:$P$501,IF(D97&lt;&gt;"",MATCH(D97,'激励事件明细'!$A$2:$A$501,0),MATCH(E97,'激励事件明细'!$B$2:$B$501,0))),""))</f>
        <v/>
      </c>
      <c r="Q97" s="6">
        <f>IF(AND(D97="",E97=""),"异常：必须关联事件编号或税额批次",IF(AND(D97&lt;&gt;"",COUNTIF('激励事件明细'!$A$2:$A$501,D97)=0),"异常：事件编号不存在",IF(AND(E97&lt;&gt;"",COUNTIF('激励事件明细'!$B$2:$B$501,E97)=0),"异常：税额批次不存在",IF(M97&gt;F97,"异常：本批次超额缴税",IF(AND(I97&lt;&gt;"",I97&gt;H97),"异常：超过事件截止日",IF(AND(P97&lt;&gt;"",TODAY()&gt;=P97,N97&gt;0),"异常：离职前未缴清","正常"))))))</f>
        <v/>
      </c>
      <c r="R97" s="11" t="n"/>
    </row>
    <row r="98">
      <c r="A98" s="6">
        <f>IF(AND(D98="",E98=""),"",IFERROR(INDEX('激励事件明细'!$C$2:$C$501,IF(D98&lt;&gt;"",MATCH(D98,'激励事件明细'!$A$2:$A$501,0),MATCH(E98,'激励事件明细'!$B$2:$B$501,0))),""))</f>
        <v/>
      </c>
      <c r="B98" s="6">
        <f>IF(A98="","",IFERROR(INDEX('激励事件明细'!$D$2:$D$501,IF(D98&lt;&gt;"",MATCH(D98,'激励事件明细'!$A$2:$A$501,0),MATCH(E98,'激励事件明细'!$B$2:$B$501,0))),""))</f>
        <v/>
      </c>
      <c r="C98" s="6">
        <f>IF(A98="","",IFERROR(INDEX('激励事件明细'!$H$2:$H$501,IF(D98&lt;&gt;"",MATCH(D98,'激励事件明细'!$A$2:$A$501,0),MATCH(E98,'激励事件明细'!$B$2:$B$501,0))),""))</f>
        <v/>
      </c>
      <c r="D98" s="11" t="n"/>
      <c r="E98" s="11" t="n"/>
      <c r="F98" s="14">
        <f>IF(A98="","",IFERROR(INDEX('激励事件明细'!$Z$2:$Z$501,IF(D98&lt;&gt;"",MATCH(D98,'激励事件明细'!$A$2:$A$501,0),MATCH(E98,'激励事件明细'!$B$2:$B$501,0))),""))</f>
        <v/>
      </c>
      <c r="G98" s="16">
        <f>IF(A98="","",IFERROR(INDEX('激励事件明细'!$AA$2:$AA$501,IF(D98&lt;&gt;"",MATCH(D98,'激励事件明细'!$A$2:$A$501,0),MATCH(E98,'激励事件明细'!$B$2:$B$501,0))),""))</f>
        <v/>
      </c>
      <c r="H98" s="16">
        <f>IF(A98="","",IFERROR(INDEX('激励事件明细'!$AB$2:$AB$501,IF(D98&lt;&gt;"",MATCH(D98,'激励事件明细'!$A$2:$A$501,0),MATCH(E98,'激励事件明细'!$B$2:$B$501,0))),""))</f>
        <v/>
      </c>
      <c r="I98" s="12" t="n"/>
      <c r="J98" s="13" t="n"/>
      <c r="K98" s="13" t="n"/>
      <c r="L98" s="11" t="n"/>
      <c r="M98" s="14">
        <f>IF(A98="","",IF(D98&lt;&gt;"",SUMIFS($K$2:$K$501,$D$2:$D$501,D98),SUMIFS($K$2:$K$501,$E$2:$E$501,E98)))</f>
        <v/>
      </c>
      <c r="N98" s="14">
        <f>IF(F98="","",MAX(0,F98-M98))</f>
        <v/>
      </c>
      <c r="O98" s="6">
        <f>IF(A98="","",IF(AND(I98&lt;&gt;"",I98&gt;H98),"是",IF(AND(TODAY()&gt;H98,N98&gt;0),"是","否")))</f>
        <v/>
      </c>
      <c r="P98" s="16">
        <f>IF(A98="","",IFERROR(INDEX('激励事件明细'!$P$2:$P$501,IF(D98&lt;&gt;"",MATCH(D98,'激励事件明细'!$A$2:$A$501,0),MATCH(E98,'激励事件明细'!$B$2:$B$501,0))),""))</f>
        <v/>
      </c>
      <c r="Q98" s="6">
        <f>IF(AND(D98="",E98=""),"异常：必须关联事件编号或税额批次",IF(AND(D98&lt;&gt;"",COUNTIF('激励事件明细'!$A$2:$A$501,D98)=0),"异常：事件编号不存在",IF(AND(E98&lt;&gt;"",COUNTIF('激励事件明细'!$B$2:$B$501,E98)=0),"异常：税额批次不存在",IF(M98&gt;F98,"异常：本批次超额缴税",IF(AND(I98&lt;&gt;"",I98&gt;H98),"异常：超过事件截止日",IF(AND(P98&lt;&gt;"",TODAY()&gt;=P98,N98&gt;0),"异常：离职前未缴清","正常"))))))</f>
        <v/>
      </c>
      <c r="R98" s="11" t="n"/>
    </row>
    <row r="99">
      <c r="A99" s="6">
        <f>IF(AND(D99="",E99=""),"",IFERROR(INDEX('激励事件明细'!$C$2:$C$501,IF(D99&lt;&gt;"",MATCH(D99,'激励事件明细'!$A$2:$A$501,0),MATCH(E99,'激励事件明细'!$B$2:$B$501,0))),""))</f>
        <v/>
      </c>
      <c r="B99" s="6">
        <f>IF(A99="","",IFERROR(INDEX('激励事件明细'!$D$2:$D$501,IF(D99&lt;&gt;"",MATCH(D99,'激励事件明细'!$A$2:$A$501,0),MATCH(E99,'激励事件明细'!$B$2:$B$501,0))),""))</f>
        <v/>
      </c>
      <c r="C99" s="6">
        <f>IF(A99="","",IFERROR(INDEX('激励事件明细'!$H$2:$H$501,IF(D99&lt;&gt;"",MATCH(D99,'激励事件明细'!$A$2:$A$501,0),MATCH(E99,'激励事件明细'!$B$2:$B$501,0))),""))</f>
        <v/>
      </c>
      <c r="D99" s="11" t="n"/>
      <c r="E99" s="11" t="n"/>
      <c r="F99" s="14">
        <f>IF(A99="","",IFERROR(INDEX('激励事件明细'!$Z$2:$Z$501,IF(D99&lt;&gt;"",MATCH(D99,'激励事件明细'!$A$2:$A$501,0),MATCH(E99,'激励事件明细'!$B$2:$B$501,0))),""))</f>
        <v/>
      </c>
      <c r="G99" s="16">
        <f>IF(A99="","",IFERROR(INDEX('激励事件明细'!$AA$2:$AA$501,IF(D99&lt;&gt;"",MATCH(D99,'激励事件明细'!$A$2:$A$501,0),MATCH(E99,'激励事件明细'!$B$2:$B$501,0))),""))</f>
        <v/>
      </c>
      <c r="H99" s="16">
        <f>IF(A99="","",IFERROR(INDEX('激励事件明细'!$AB$2:$AB$501,IF(D99&lt;&gt;"",MATCH(D99,'激励事件明细'!$A$2:$A$501,0),MATCH(E99,'激励事件明细'!$B$2:$B$501,0))),""))</f>
        <v/>
      </c>
      <c r="I99" s="12" t="n"/>
      <c r="J99" s="13" t="n"/>
      <c r="K99" s="13" t="n"/>
      <c r="L99" s="11" t="n"/>
      <c r="M99" s="14">
        <f>IF(A99="","",IF(D99&lt;&gt;"",SUMIFS($K$2:$K$501,$D$2:$D$501,D99),SUMIFS($K$2:$K$501,$E$2:$E$501,E99)))</f>
        <v/>
      </c>
      <c r="N99" s="14">
        <f>IF(F99="","",MAX(0,F99-M99))</f>
        <v/>
      </c>
      <c r="O99" s="6">
        <f>IF(A99="","",IF(AND(I99&lt;&gt;"",I99&gt;H99),"是",IF(AND(TODAY()&gt;H99,N99&gt;0),"是","否")))</f>
        <v/>
      </c>
      <c r="P99" s="16">
        <f>IF(A99="","",IFERROR(INDEX('激励事件明细'!$P$2:$P$501,IF(D99&lt;&gt;"",MATCH(D99,'激励事件明细'!$A$2:$A$501,0),MATCH(E99,'激励事件明细'!$B$2:$B$501,0))),""))</f>
        <v/>
      </c>
      <c r="Q99" s="6">
        <f>IF(AND(D99="",E99=""),"异常：必须关联事件编号或税额批次",IF(AND(D99&lt;&gt;"",COUNTIF('激励事件明细'!$A$2:$A$501,D99)=0),"异常：事件编号不存在",IF(AND(E99&lt;&gt;"",COUNTIF('激励事件明细'!$B$2:$B$501,E99)=0),"异常：税额批次不存在",IF(M99&gt;F99,"异常：本批次超额缴税",IF(AND(I99&lt;&gt;"",I99&gt;H99),"异常：超过事件截止日",IF(AND(P99&lt;&gt;"",TODAY()&gt;=P99,N99&gt;0),"异常：离职前未缴清","正常"))))))</f>
        <v/>
      </c>
      <c r="R99" s="11" t="n"/>
    </row>
    <row r="100">
      <c r="A100" s="6">
        <f>IF(AND(D100="",E100=""),"",IFERROR(INDEX('激励事件明细'!$C$2:$C$501,IF(D100&lt;&gt;"",MATCH(D100,'激励事件明细'!$A$2:$A$501,0),MATCH(E100,'激励事件明细'!$B$2:$B$501,0))),""))</f>
        <v/>
      </c>
      <c r="B100" s="6">
        <f>IF(A100="","",IFERROR(INDEX('激励事件明细'!$D$2:$D$501,IF(D100&lt;&gt;"",MATCH(D100,'激励事件明细'!$A$2:$A$501,0),MATCH(E100,'激励事件明细'!$B$2:$B$501,0))),""))</f>
        <v/>
      </c>
      <c r="C100" s="6">
        <f>IF(A100="","",IFERROR(INDEX('激励事件明细'!$H$2:$H$501,IF(D100&lt;&gt;"",MATCH(D100,'激励事件明细'!$A$2:$A$501,0),MATCH(E100,'激励事件明细'!$B$2:$B$501,0))),""))</f>
        <v/>
      </c>
      <c r="D100" s="11" t="n"/>
      <c r="E100" s="11" t="n"/>
      <c r="F100" s="14">
        <f>IF(A100="","",IFERROR(INDEX('激励事件明细'!$Z$2:$Z$501,IF(D100&lt;&gt;"",MATCH(D100,'激励事件明细'!$A$2:$A$501,0),MATCH(E100,'激励事件明细'!$B$2:$B$501,0))),""))</f>
        <v/>
      </c>
      <c r="G100" s="16">
        <f>IF(A100="","",IFERROR(INDEX('激励事件明细'!$AA$2:$AA$501,IF(D100&lt;&gt;"",MATCH(D100,'激励事件明细'!$A$2:$A$501,0),MATCH(E100,'激励事件明细'!$B$2:$B$501,0))),""))</f>
        <v/>
      </c>
      <c r="H100" s="16">
        <f>IF(A100="","",IFERROR(INDEX('激励事件明细'!$AB$2:$AB$501,IF(D100&lt;&gt;"",MATCH(D100,'激励事件明细'!$A$2:$A$501,0),MATCH(E100,'激励事件明细'!$B$2:$B$501,0))),""))</f>
        <v/>
      </c>
      <c r="I100" s="12" t="n"/>
      <c r="J100" s="13" t="n"/>
      <c r="K100" s="13" t="n"/>
      <c r="L100" s="11" t="n"/>
      <c r="M100" s="14">
        <f>IF(A100="","",IF(D100&lt;&gt;"",SUMIFS($K$2:$K$501,$D$2:$D$501,D100),SUMIFS($K$2:$K$501,$E$2:$E$501,E100)))</f>
        <v/>
      </c>
      <c r="N100" s="14">
        <f>IF(F100="","",MAX(0,F100-M100))</f>
        <v/>
      </c>
      <c r="O100" s="6">
        <f>IF(A100="","",IF(AND(I100&lt;&gt;"",I100&gt;H100),"是",IF(AND(TODAY()&gt;H100,N100&gt;0),"是","否")))</f>
        <v/>
      </c>
      <c r="P100" s="16">
        <f>IF(A100="","",IFERROR(INDEX('激励事件明细'!$P$2:$P$501,IF(D100&lt;&gt;"",MATCH(D100,'激励事件明细'!$A$2:$A$501,0),MATCH(E100,'激励事件明细'!$B$2:$B$501,0))),""))</f>
        <v/>
      </c>
      <c r="Q100" s="6">
        <f>IF(AND(D100="",E100=""),"异常：必须关联事件编号或税额批次",IF(AND(D100&lt;&gt;"",COUNTIF('激励事件明细'!$A$2:$A$501,D100)=0),"异常：事件编号不存在",IF(AND(E100&lt;&gt;"",COUNTIF('激励事件明细'!$B$2:$B$501,E100)=0),"异常：税额批次不存在",IF(M100&gt;F100,"异常：本批次超额缴税",IF(AND(I100&lt;&gt;"",I100&gt;H100),"异常：超过事件截止日",IF(AND(P100&lt;&gt;"",TODAY()&gt;=P100,N100&gt;0),"异常：离职前未缴清","正常"))))))</f>
        <v/>
      </c>
      <c r="R100" s="11" t="n"/>
    </row>
    <row r="101">
      <c r="A101" s="6">
        <f>IF(AND(D101="",E101=""),"",IFERROR(INDEX('激励事件明细'!$C$2:$C$501,IF(D101&lt;&gt;"",MATCH(D101,'激励事件明细'!$A$2:$A$501,0),MATCH(E101,'激励事件明细'!$B$2:$B$501,0))),""))</f>
        <v/>
      </c>
      <c r="B101" s="6">
        <f>IF(A101="","",IFERROR(INDEX('激励事件明细'!$D$2:$D$501,IF(D101&lt;&gt;"",MATCH(D101,'激励事件明细'!$A$2:$A$501,0),MATCH(E101,'激励事件明细'!$B$2:$B$501,0))),""))</f>
        <v/>
      </c>
      <c r="C101" s="6">
        <f>IF(A101="","",IFERROR(INDEX('激励事件明细'!$H$2:$H$501,IF(D101&lt;&gt;"",MATCH(D101,'激励事件明细'!$A$2:$A$501,0),MATCH(E101,'激励事件明细'!$B$2:$B$501,0))),""))</f>
        <v/>
      </c>
      <c r="D101" s="11" t="n"/>
      <c r="E101" s="11" t="n"/>
      <c r="F101" s="14">
        <f>IF(A101="","",IFERROR(INDEX('激励事件明细'!$Z$2:$Z$501,IF(D101&lt;&gt;"",MATCH(D101,'激励事件明细'!$A$2:$A$501,0),MATCH(E101,'激励事件明细'!$B$2:$B$501,0))),""))</f>
        <v/>
      </c>
      <c r="G101" s="16">
        <f>IF(A101="","",IFERROR(INDEX('激励事件明细'!$AA$2:$AA$501,IF(D101&lt;&gt;"",MATCH(D101,'激励事件明细'!$A$2:$A$501,0),MATCH(E101,'激励事件明细'!$B$2:$B$501,0))),""))</f>
        <v/>
      </c>
      <c r="H101" s="16">
        <f>IF(A101="","",IFERROR(INDEX('激励事件明细'!$AB$2:$AB$501,IF(D101&lt;&gt;"",MATCH(D101,'激励事件明细'!$A$2:$A$501,0),MATCH(E101,'激励事件明细'!$B$2:$B$501,0))),""))</f>
        <v/>
      </c>
      <c r="I101" s="12" t="n"/>
      <c r="J101" s="13" t="n"/>
      <c r="K101" s="13" t="n"/>
      <c r="L101" s="11" t="n"/>
      <c r="M101" s="14">
        <f>IF(A101="","",IF(D101&lt;&gt;"",SUMIFS($K$2:$K$501,$D$2:$D$501,D101),SUMIFS($K$2:$K$501,$E$2:$E$501,E101)))</f>
        <v/>
      </c>
      <c r="N101" s="14">
        <f>IF(F101="","",MAX(0,F101-M101))</f>
        <v/>
      </c>
      <c r="O101" s="6">
        <f>IF(A101="","",IF(AND(I101&lt;&gt;"",I101&gt;H101),"是",IF(AND(TODAY()&gt;H101,N101&gt;0),"是","否")))</f>
        <v/>
      </c>
      <c r="P101" s="16">
        <f>IF(A101="","",IFERROR(INDEX('激励事件明细'!$P$2:$P$501,IF(D101&lt;&gt;"",MATCH(D101,'激励事件明细'!$A$2:$A$501,0),MATCH(E101,'激励事件明细'!$B$2:$B$501,0))),""))</f>
        <v/>
      </c>
      <c r="Q101" s="6">
        <f>IF(AND(D101="",E101=""),"异常：必须关联事件编号或税额批次",IF(AND(D101&lt;&gt;"",COUNTIF('激励事件明细'!$A$2:$A$501,D101)=0),"异常：事件编号不存在",IF(AND(E101&lt;&gt;"",COUNTIF('激励事件明细'!$B$2:$B$501,E101)=0),"异常：税额批次不存在",IF(M101&gt;F101,"异常：本批次超额缴税",IF(AND(I101&lt;&gt;"",I101&gt;H101),"异常：超过事件截止日",IF(AND(P101&lt;&gt;"",TODAY()&gt;=P101,N101&gt;0),"异常：离职前未缴清","正常"))))))</f>
        <v/>
      </c>
      <c r="R101" s="11" t="n"/>
    </row>
    <row r="102">
      <c r="A102" s="6">
        <f>IF(AND(D102="",E102=""),"",IFERROR(INDEX('激励事件明细'!$C$2:$C$501,IF(D102&lt;&gt;"",MATCH(D102,'激励事件明细'!$A$2:$A$501,0),MATCH(E102,'激励事件明细'!$B$2:$B$501,0))),""))</f>
        <v/>
      </c>
      <c r="B102" s="6">
        <f>IF(A102="","",IFERROR(INDEX('激励事件明细'!$D$2:$D$501,IF(D102&lt;&gt;"",MATCH(D102,'激励事件明细'!$A$2:$A$501,0),MATCH(E102,'激励事件明细'!$B$2:$B$501,0))),""))</f>
        <v/>
      </c>
      <c r="C102" s="6">
        <f>IF(A102="","",IFERROR(INDEX('激励事件明细'!$H$2:$H$501,IF(D102&lt;&gt;"",MATCH(D102,'激励事件明细'!$A$2:$A$501,0),MATCH(E102,'激励事件明细'!$B$2:$B$501,0))),""))</f>
        <v/>
      </c>
      <c r="D102" s="11" t="n"/>
      <c r="E102" s="11" t="n"/>
      <c r="F102" s="14">
        <f>IF(A102="","",IFERROR(INDEX('激励事件明细'!$Z$2:$Z$501,IF(D102&lt;&gt;"",MATCH(D102,'激励事件明细'!$A$2:$A$501,0),MATCH(E102,'激励事件明细'!$B$2:$B$501,0))),""))</f>
        <v/>
      </c>
      <c r="G102" s="16">
        <f>IF(A102="","",IFERROR(INDEX('激励事件明细'!$AA$2:$AA$501,IF(D102&lt;&gt;"",MATCH(D102,'激励事件明细'!$A$2:$A$501,0),MATCH(E102,'激励事件明细'!$B$2:$B$501,0))),""))</f>
        <v/>
      </c>
      <c r="H102" s="16">
        <f>IF(A102="","",IFERROR(INDEX('激励事件明细'!$AB$2:$AB$501,IF(D102&lt;&gt;"",MATCH(D102,'激励事件明细'!$A$2:$A$501,0),MATCH(E102,'激励事件明细'!$B$2:$B$501,0))),""))</f>
        <v/>
      </c>
      <c r="I102" s="12" t="n"/>
      <c r="J102" s="13" t="n"/>
      <c r="K102" s="13" t="n"/>
      <c r="L102" s="11" t="n"/>
      <c r="M102" s="14">
        <f>IF(A102="","",IF(D102&lt;&gt;"",SUMIFS($K$2:$K$501,$D$2:$D$501,D102),SUMIFS($K$2:$K$501,$E$2:$E$501,E102)))</f>
        <v/>
      </c>
      <c r="N102" s="14">
        <f>IF(F102="","",MAX(0,F102-M102))</f>
        <v/>
      </c>
      <c r="O102" s="6">
        <f>IF(A102="","",IF(AND(I102&lt;&gt;"",I102&gt;H102),"是",IF(AND(TODAY()&gt;H102,N102&gt;0),"是","否")))</f>
        <v/>
      </c>
      <c r="P102" s="16">
        <f>IF(A102="","",IFERROR(INDEX('激励事件明细'!$P$2:$P$501,IF(D102&lt;&gt;"",MATCH(D102,'激励事件明细'!$A$2:$A$501,0),MATCH(E102,'激励事件明细'!$B$2:$B$501,0))),""))</f>
        <v/>
      </c>
      <c r="Q102" s="6">
        <f>IF(AND(D102="",E102=""),"异常：必须关联事件编号或税额批次",IF(AND(D102&lt;&gt;"",COUNTIF('激励事件明细'!$A$2:$A$501,D102)=0),"异常：事件编号不存在",IF(AND(E102&lt;&gt;"",COUNTIF('激励事件明细'!$B$2:$B$501,E102)=0),"异常：税额批次不存在",IF(M102&gt;F102,"异常：本批次超额缴税",IF(AND(I102&lt;&gt;"",I102&gt;H102),"异常：超过事件截止日",IF(AND(P102&lt;&gt;"",TODAY()&gt;=P102,N102&gt;0),"异常：离职前未缴清","正常"))))))</f>
        <v/>
      </c>
      <c r="R102" s="11" t="n"/>
    </row>
    <row r="103">
      <c r="A103" s="6">
        <f>IF(AND(D103="",E103=""),"",IFERROR(INDEX('激励事件明细'!$C$2:$C$501,IF(D103&lt;&gt;"",MATCH(D103,'激励事件明细'!$A$2:$A$501,0),MATCH(E103,'激励事件明细'!$B$2:$B$501,0))),""))</f>
        <v/>
      </c>
      <c r="B103" s="6">
        <f>IF(A103="","",IFERROR(INDEX('激励事件明细'!$D$2:$D$501,IF(D103&lt;&gt;"",MATCH(D103,'激励事件明细'!$A$2:$A$501,0),MATCH(E103,'激励事件明细'!$B$2:$B$501,0))),""))</f>
        <v/>
      </c>
      <c r="C103" s="6">
        <f>IF(A103="","",IFERROR(INDEX('激励事件明细'!$H$2:$H$501,IF(D103&lt;&gt;"",MATCH(D103,'激励事件明细'!$A$2:$A$501,0),MATCH(E103,'激励事件明细'!$B$2:$B$501,0))),""))</f>
        <v/>
      </c>
      <c r="D103" s="11" t="n"/>
      <c r="E103" s="11" t="n"/>
      <c r="F103" s="14">
        <f>IF(A103="","",IFERROR(INDEX('激励事件明细'!$Z$2:$Z$501,IF(D103&lt;&gt;"",MATCH(D103,'激励事件明细'!$A$2:$A$501,0),MATCH(E103,'激励事件明细'!$B$2:$B$501,0))),""))</f>
        <v/>
      </c>
      <c r="G103" s="16">
        <f>IF(A103="","",IFERROR(INDEX('激励事件明细'!$AA$2:$AA$501,IF(D103&lt;&gt;"",MATCH(D103,'激励事件明细'!$A$2:$A$501,0),MATCH(E103,'激励事件明细'!$B$2:$B$501,0))),""))</f>
        <v/>
      </c>
      <c r="H103" s="16">
        <f>IF(A103="","",IFERROR(INDEX('激励事件明细'!$AB$2:$AB$501,IF(D103&lt;&gt;"",MATCH(D103,'激励事件明细'!$A$2:$A$501,0),MATCH(E103,'激励事件明细'!$B$2:$B$501,0))),""))</f>
        <v/>
      </c>
      <c r="I103" s="12" t="n"/>
      <c r="J103" s="13" t="n"/>
      <c r="K103" s="13" t="n"/>
      <c r="L103" s="11" t="n"/>
      <c r="M103" s="14">
        <f>IF(A103="","",IF(D103&lt;&gt;"",SUMIFS($K$2:$K$501,$D$2:$D$501,D103),SUMIFS($K$2:$K$501,$E$2:$E$501,E103)))</f>
        <v/>
      </c>
      <c r="N103" s="14">
        <f>IF(F103="","",MAX(0,F103-M103))</f>
        <v/>
      </c>
      <c r="O103" s="6">
        <f>IF(A103="","",IF(AND(I103&lt;&gt;"",I103&gt;H103),"是",IF(AND(TODAY()&gt;H103,N103&gt;0),"是","否")))</f>
        <v/>
      </c>
      <c r="P103" s="16">
        <f>IF(A103="","",IFERROR(INDEX('激励事件明细'!$P$2:$P$501,IF(D103&lt;&gt;"",MATCH(D103,'激励事件明细'!$A$2:$A$501,0),MATCH(E103,'激励事件明细'!$B$2:$B$501,0))),""))</f>
        <v/>
      </c>
      <c r="Q103" s="6">
        <f>IF(AND(D103="",E103=""),"异常：必须关联事件编号或税额批次",IF(AND(D103&lt;&gt;"",COUNTIF('激励事件明细'!$A$2:$A$501,D103)=0),"异常：事件编号不存在",IF(AND(E103&lt;&gt;"",COUNTIF('激励事件明细'!$B$2:$B$501,E103)=0),"异常：税额批次不存在",IF(M103&gt;F103,"异常：本批次超额缴税",IF(AND(I103&lt;&gt;"",I103&gt;H103),"异常：超过事件截止日",IF(AND(P103&lt;&gt;"",TODAY()&gt;=P103,N103&gt;0),"异常：离职前未缴清","正常"))))))</f>
        <v/>
      </c>
      <c r="R103" s="11" t="n"/>
    </row>
    <row r="104">
      <c r="A104" s="6">
        <f>IF(AND(D104="",E104=""),"",IFERROR(INDEX('激励事件明细'!$C$2:$C$501,IF(D104&lt;&gt;"",MATCH(D104,'激励事件明细'!$A$2:$A$501,0),MATCH(E104,'激励事件明细'!$B$2:$B$501,0))),""))</f>
        <v/>
      </c>
      <c r="B104" s="6">
        <f>IF(A104="","",IFERROR(INDEX('激励事件明细'!$D$2:$D$501,IF(D104&lt;&gt;"",MATCH(D104,'激励事件明细'!$A$2:$A$501,0),MATCH(E104,'激励事件明细'!$B$2:$B$501,0))),""))</f>
        <v/>
      </c>
      <c r="C104" s="6">
        <f>IF(A104="","",IFERROR(INDEX('激励事件明细'!$H$2:$H$501,IF(D104&lt;&gt;"",MATCH(D104,'激励事件明细'!$A$2:$A$501,0),MATCH(E104,'激励事件明细'!$B$2:$B$501,0))),""))</f>
        <v/>
      </c>
      <c r="D104" s="11" t="n"/>
      <c r="E104" s="11" t="n"/>
      <c r="F104" s="14">
        <f>IF(A104="","",IFERROR(INDEX('激励事件明细'!$Z$2:$Z$501,IF(D104&lt;&gt;"",MATCH(D104,'激励事件明细'!$A$2:$A$501,0),MATCH(E104,'激励事件明细'!$B$2:$B$501,0))),""))</f>
        <v/>
      </c>
      <c r="G104" s="16">
        <f>IF(A104="","",IFERROR(INDEX('激励事件明细'!$AA$2:$AA$501,IF(D104&lt;&gt;"",MATCH(D104,'激励事件明细'!$A$2:$A$501,0),MATCH(E104,'激励事件明细'!$B$2:$B$501,0))),""))</f>
        <v/>
      </c>
      <c r="H104" s="16">
        <f>IF(A104="","",IFERROR(INDEX('激励事件明细'!$AB$2:$AB$501,IF(D104&lt;&gt;"",MATCH(D104,'激励事件明细'!$A$2:$A$501,0),MATCH(E104,'激励事件明细'!$B$2:$B$501,0))),""))</f>
        <v/>
      </c>
      <c r="I104" s="12" t="n"/>
      <c r="J104" s="13" t="n"/>
      <c r="K104" s="13" t="n"/>
      <c r="L104" s="11" t="n"/>
      <c r="M104" s="14">
        <f>IF(A104="","",IF(D104&lt;&gt;"",SUMIFS($K$2:$K$501,$D$2:$D$501,D104),SUMIFS($K$2:$K$501,$E$2:$E$501,E104)))</f>
        <v/>
      </c>
      <c r="N104" s="14">
        <f>IF(F104="","",MAX(0,F104-M104))</f>
        <v/>
      </c>
      <c r="O104" s="6">
        <f>IF(A104="","",IF(AND(I104&lt;&gt;"",I104&gt;H104),"是",IF(AND(TODAY()&gt;H104,N104&gt;0),"是","否")))</f>
        <v/>
      </c>
      <c r="P104" s="16">
        <f>IF(A104="","",IFERROR(INDEX('激励事件明细'!$P$2:$P$501,IF(D104&lt;&gt;"",MATCH(D104,'激励事件明细'!$A$2:$A$501,0),MATCH(E104,'激励事件明细'!$B$2:$B$501,0))),""))</f>
        <v/>
      </c>
      <c r="Q104" s="6">
        <f>IF(AND(D104="",E104=""),"异常：必须关联事件编号或税额批次",IF(AND(D104&lt;&gt;"",COUNTIF('激励事件明细'!$A$2:$A$501,D104)=0),"异常：事件编号不存在",IF(AND(E104&lt;&gt;"",COUNTIF('激励事件明细'!$B$2:$B$501,E104)=0),"异常：税额批次不存在",IF(M104&gt;F104,"异常：本批次超额缴税",IF(AND(I104&lt;&gt;"",I104&gt;H104),"异常：超过事件截止日",IF(AND(P104&lt;&gt;"",TODAY()&gt;=P104,N104&gt;0),"异常：离职前未缴清","正常"))))))</f>
        <v/>
      </c>
      <c r="R104" s="11" t="n"/>
    </row>
    <row r="105">
      <c r="A105" s="6">
        <f>IF(AND(D105="",E105=""),"",IFERROR(INDEX('激励事件明细'!$C$2:$C$501,IF(D105&lt;&gt;"",MATCH(D105,'激励事件明细'!$A$2:$A$501,0),MATCH(E105,'激励事件明细'!$B$2:$B$501,0))),""))</f>
        <v/>
      </c>
      <c r="B105" s="6">
        <f>IF(A105="","",IFERROR(INDEX('激励事件明细'!$D$2:$D$501,IF(D105&lt;&gt;"",MATCH(D105,'激励事件明细'!$A$2:$A$501,0),MATCH(E105,'激励事件明细'!$B$2:$B$501,0))),""))</f>
        <v/>
      </c>
      <c r="C105" s="6">
        <f>IF(A105="","",IFERROR(INDEX('激励事件明细'!$H$2:$H$501,IF(D105&lt;&gt;"",MATCH(D105,'激励事件明细'!$A$2:$A$501,0),MATCH(E105,'激励事件明细'!$B$2:$B$501,0))),""))</f>
        <v/>
      </c>
      <c r="D105" s="11" t="n"/>
      <c r="E105" s="11" t="n"/>
      <c r="F105" s="14">
        <f>IF(A105="","",IFERROR(INDEX('激励事件明细'!$Z$2:$Z$501,IF(D105&lt;&gt;"",MATCH(D105,'激励事件明细'!$A$2:$A$501,0),MATCH(E105,'激励事件明细'!$B$2:$B$501,0))),""))</f>
        <v/>
      </c>
      <c r="G105" s="16">
        <f>IF(A105="","",IFERROR(INDEX('激励事件明细'!$AA$2:$AA$501,IF(D105&lt;&gt;"",MATCH(D105,'激励事件明细'!$A$2:$A$501,0),MATCH(E105,'激励事件明细'!$B$2:$B$501,0))),""))</f>
        <v/>
      </c>
      <c r="H105" s="16">
        <f>IF(A105="","",IFERROR(INDEX('激励事件明细'!$AB$2:$AB$501,IF(D105&lt;&gt;"",MATCH(D105,'激励事件明细'!$A$2:$A$501,0),MATCH(E105,'激励事件明细'!$B$2:$B$501,0))),""))</f>
        <v/>
      </c>
      <c r="I105" s="12" t="n"/>
      <c r="J105" s="13" t="n"/>
      <c r="K105" s="13" t="n"/>
      <c r="L105" s="11" t="n"/>
      <c r="M105" s="14">
        <f>IF(A105="","",IF(D105&lt;&gt;"",SUMIFS($K$2:$K$501,$D$2:$D$501,D105),SUMIFS($K$2:$K$501,$E$2:$E$501,E105)))</f>
        <v/>
      </c>
      <c r="N105" s="14">
        <f>IF(F105="","",MAX(0,F105-M105))</f>
        <v/>
      </c>
      <c r="O105" s="6">
        <f>IF(A105="","",IF(AND(I105&lt;&gt;"",I105&gt;H105),"是",IF(AND(TODAY()&gt;H105,N105&gt;0),"是","否")))</f>
        <v/>
      </c>
      <c r="P105" s="16">
        <f>IF(A105="","",IFERROR(INDEX('激励事件明细'!$P$2:$P$501,IF(D105&lt;&gt;"",MATCH(D105,'激励事件明细'!$A$2:$A$501,0),MATCH(E105,'激励事件明细'!$B$2:$B$501,0))),""))</f>
        <v/>
      </c>
      <c r="Q105" s="6">
        <f>IF(AND(D105="",E105=""),"异常：必须关联事件编号或税额批次",IF(AND(D105&lt;&gt;"",COUNTIF('激励事件明细'!$A$2:$A$501,D105)=0),"异常：事件编号不存在",IF(AND(E105&lt;&gt;"",COUNTIF('激励事件明细'!$B$2:$B$501,E105)=0),"异常：税额批次不存在",IF(M105&gt;F105,"异常：本批次超额缴税",IF(AND(I105&lt;&gt;"",I105&gt;H105),"异常：超过事件截止日",IF(AND(P105&lt;&gt;"",TODAY()&gt;=P105,N105&gt;0),"异常：离职前未缴清","正常"))))))</f>
        <v/>
      </c>
      <c r="R105" s="11" t="n"/>
    </row>
    <row r="106">
      <c r="A106" s="6">
        <f>IF(AND(D106="",E106=""),"",IFERROR(INDEX('激励事件明细'!$C$2:$C$501,IF(D106&lt;&gt;"",MATCH(D106,'激励事件明细'!$A$2:$A$501,0),MATCH(E106,'激励事件明细'!$B$2:$B$501,0))),""))</f>
        <v/>
      </c>
      <c r="B106" s="6">
        <f>IF(A106="","",IFERROR(INDEX('激励事件明细'!$D$2:$D$501,IF(D106&lt;&gt;"",MATCH(D106,'激励事件明细'!$A$2:$A$501,0),MATCH(E106,'激励事件明细'!$B$2:$B$501,0))),""))</f>
        <v/>
      </c>
      <c r="C106" s="6">
        <f>IF(A106="","",IFERROR(INDEX('激励事件明细'!$H$2:$H$501,IF(D106&lt;&gt;"",MATCH(D106,'激励事件明细'!$A$2:$A$501,0),MATCH(E106,'激励事件明细'!$B$2:$B$501,0))),""))</f>
        <v/>
      </c>
      <c r="D106" s="11" t="n"/>
      <c r="E106" s="11" t="n"/>
      <c r="F106" s="14">
        <f>IF(A106="","",IFERROR(INDEX('激励事件明细'!$Z$2:$Z$501,IF(D106&lt;&gt;"",MATCH(D106,'激励事件明细'!$A$2:$A$501,0),MATCH(E106,'激励事件明细'!$B$2:$B$501,0))),""))</f>
        <v/>
      </c>
      <c r="G106" s="16">
        <f>IF(A106="","",IFERROR(INDEX('激励事件明细'!$AA$2:$AA$501,IF(D106&lt;&gt;"",MATCH(D106,'激励事件明细'!$A$2:$A$501,0),MATCH(E106,'激励事件明细'!$B$2:$B$501,0))),""))</f>
        <v/>
      </c>
      <c r="H106" s="16">
        <f>IF(A106="","",IFERROR(INDEX('激励事件明细'!$AB$2:$AB$501,IF(D106&lt;&gt;"",MATCH(D106,'激励事件明细'!$A$2:$A$501,0),MATCH(E106,'激励事件明细'!$B$2:$B$501,0))),""))</f>
        <v/>
      </c>
      <c r="I106" s="12" t="n"/>
      <c r="J106" s="13" t="n"/>
      <c r="K106" s="13" t="n"/>
      <c r="L106" s="11" t="n"/>
      <c r="M106" s="14">
        <f>IF(A106="","",IF(D106&lt;&gt;"",SUMIFS($K$2:$K$501,$D$2:$D$501,D106),SUMIFS($K$2:$K$501,$E$2:$E$501,E106)))</f>
        <v/>
      </c>
      <c r="N106" s="14">
        <f>IF(F106="","",MAX(0,F106-M106))</f>
        <v/>
      </c>
      <c r="O106" s="6">
        <f>IF(A106="","",IF(AND(I106&lt;&gt;"",I106&gt;H106),"是",IF(AND(TODAY()&gt;H106,N106&gt;0),"是","否")))</f>
        <v/>
      </c>
      <c r="P106" s="16">
        <f>IF(A106="","",IFERROR(INDEX('激励事件明细'!$P$2:$P$501,IF(D106&lt;&gt;"",MATCH(D106,'激励事件明细'!$A$2:$A$501,0),MATCH(E106,'激励事件明细'!$B$2:$B$501,0))),""))</f>
        <v/>
      </c>
      <c r="Q106" s="6">
        <f>IF(AND(D106="",E106=""),"异常：必须关联事件编号或税额批次",IF(AND(D106&lt;&gt;"",COUNTIF('激励事件明细'!$A$2:$A$501,D106)=0),"异常：事件编号不存在",IF(AND(E106&lt;&gt;"",COUNTIF('激励事件明细'!$B$2:$B$501,E106)=0),"异常：税额批次不存在",IF(M106&gt;F106,"异常：本批次超额缴税",IF(AND(I106&lt;&gt;"",I106&gt;H106),"异常：超过事件截止日",IF(AND(P106&lt;&gt;"",TODAY()&gt;=P106,N106&gt;0),"异常：离职前未缴清","正常"))))))</f>
        <v/>
      </c>
      <c r="R106" s="11" t="n"/>
    </row>
    <row r="107">
      <c r="A107" s="6">
        <f>IF(AND(D107="",E107=""),"",IFERROR(INDEX('激励事件明细'!$C$2:$C$501,IF(D107&lt;&gt;"",MATCH(D107,'激励事件明细'!$A$2:$A$501,0),MATCH(E107,'激励事件明细'!$B$2:$B$501,0))),""))</f>
        <v/>
      </c>
      <c r="B107" s="6">
        <f>IF(A107="","",IFERROR(INDEX('激励事件明细'!$D$2:$D$501,IF(D107&lt;&gt;"",MATCH(D107,'激励事件明细'!$A$2:$A$501,0),MATCH(E107,'激励事件明细'!$B$2:$B$501,0))),""))</f>
        <v/>
      </c>
      <c r="C107" s="6">
        <f>IF(A107="","",IFERROR(INDEX('激励事件明细'!$H$2:$H$501,IF(D107&lt;&gt;"",MATCH(D107,'激励事件明细'!$A$2:$A$501,0),MATCH(E107,'激励事件明细'!$B$2:$B$501,0))),""))</f>
        <v/>
      </c>
      <c r="D107" s="11" t="n"/>
      <c r="E107" s="11" t="n"/>
      <c r="F107" s="14">
        <f>IF(A107="","",IFERROR(INDEX('激励事件明细'!$Z$2:$Z$501,IF(D107&lt;&gt;"",MATCH(D107,'激励事件明细'!$A$2:$A$501,0),MATCH(E107,'激励事件明细'!$B$2:$B$501,0))),""))</f>
        <v/>
      </c>
      <c r="G107" s="16">
        <f>IF(A107="","",IFERROR(INDEX('激励事件明细'!$AA$2:$AA$501,IF(D107&lt;&gt;"",MATCH(D107,'激励事件明细'!$A$2:$A$501,0),MATCH(E107,'激励事件明细'!$B$2:$B$501,0))),""))</f>
        <v/>
      </c>
      <c r="H107" s="16">
        <f>IF(A107="","",IFERROR(INDEX('激励事件明细'!$AB$2:$AB$501,IF(D107&lt;&gt;"",MATCH(D107,'激励事件明细'!$A$2:$A$501,0),MATCH(E107,'激励事件明细'!$B$2:$B$501,0))),""))</f>
        <v/>
      </c>
      <c r="I107" s="12" t="n"/>
      <c r="J107" s="13" t="n"/>
      <c r="K107" s="13" t="n"/>
      <c r="L107" s="11" t="n"/>
      <c r="M107" s="14">
        <f>IF(A107="","",IF(D107&lt;&gt;"",SUMIFS($K$2:$K$501,$D$2:$D$501,D107),SUMIFS($K$2:$K$501,$E$2:$E$501,E107)))</f>
        <v/>
      </c>
      <c r="N107" s="14">
        <f>IF(F107="","",MAX(0,F107-M107))</f>
        <v/>
      </c>
      <c r="O107" s="6">
        <f>IF(A107="","",IF(AND(I107&lt;&gt;"",I107&gt;H107),"是",IF(AND(TODAY()&gt;H107,N107&gt;0),"是","否")))</f>
        <v/>
      </c>
      <c r="P107" s="16">
        <f>IF(A107="","",IFERROR(INDEX('激励事件明细'!$P$2:$P$501,IF(D107&lt;&gt;"",MATCH(D107,'激励事件明细'!$A$2:$A$501,0),MATCH(E107,'激励事件明细'!$B$2:$B$501,0))),""))</f>
        <v/>
      </c>
      <c r="Q107" s="6">
        <f>IF(AND(D107="",E107=""),"异常：必须关联事件编号或税额批次",IF(AND(D107&lt;&gt;"",COUNTIF('激励事件明细'!$A$2:$A$501,D107)=0),"异常：事件编号不存在",IF(AND(E107&lt;&gt;"",COUNTIF('激励事件明细'!$B$2:$B$501,E107)=0),"异常：税额批次不存在",IF(M107&gt;F107,"异常：本批次超额缴税",IF(AND(I107&lt;&gt;"",I107&gt;H107),"异常：超过事件截止日",IF(AND(P107&lt;&gt;"",TODAY()&gt;=P107,N107&gt;0),"异常：离职前未缴清","正常"))))))</f>
        <v/>
      </c>
      <c r="R107" s="11" t="n"/>
    </row>
    <row r="108">
      <c r="A108" s="6">
        <f>IF(AND(D108="",E108=""),"",IFERROR(INDEX('激励事件明细'!$C$2:$C$501,IF(D108&lt;&gt;"",MATCH(D108,'激励事件明细'!$A$2:$A$501,0),MATCH(E108,'激励事件明细'!$B$2:$B$501,0))),""))</f>
        <v/>
      </c>
      <c r="B108" s="6">
        <f>IF(A108="","",IFERROR(INDEX('激励事件明细'!$D$2:$D$501,IF(D108&lt;&gt;"",MATCH(D108,'激励事件明细'!$A$2:$A$501,0),MATCH(E108,'激励事件明细'!$B$2:$B$501,0))),""))</f>
        <v/>
      </c>
      <c r="C108" s="6">
        <f>IF(A108="","",IFERROR(INDEX('激励事件明细'!$H$2:$H$501,IF(D108&lt;&gt;"",MATCH(D108,'激励事件明细'!$A$2:$A$501,0),MATCH(E108,'激励事件明细'!$B$2:$B$501,0))),""))</f>
        <v/>
      </c>
      <c r="D108" s="11" t="n"/>
      <c r="E108" s="11" t="n"/>
      <c r="F108" s="14">
        <f>IF(A108="","",IFERROR(INDEX('激励事件明细'!$Z$2:$Z$501,IF(D108&lt;&gt;"",MATCH(D108,'激励事件明细'!$A$2:$A$501,0),MATCH(E108,'激励事件明细'!$B$2:$B$501,0))),""))</f>
        <v/>
      </c>
      <c r="G108" s="16">
        <f>IF(A108="","",IFERROR(INDEX('激励事件明细'!$AA$2:$AA$501,IF(D108&lt;&gt;"",MATCH(D108,'激励事件明细'!$A$2:$A$501,0),MATCH(E108,'激励事件明细'!$B$2:$B$501,0))),""))</f>
        <v/>
      </c>
      <c r="H108" s="16">
        <f>IF(A108="","",IFERROR(INDEX('激励事件明细'!$AB$2:$AB$501,IF(D108&lt;&gt;"",MATCH(D108,'激励事件明细'!$A$2:$A$501,0),MATCH(E108,'激励事件明细'!$B$2:$B$501,0))),""))</f>
        <v/>
      </c>
      <c r="I108" s="12" t="n"/>
      <c r="J108" s="13" t="n"/>
      <c r="K108" s="13" t="n"/>
      <c r="L108" s="11" t="n"/>
      <c r="M108" s="14">
        <f>IF(A108="","",IF(D108&lt;&gt;"",SUMIFS($K$2:$K$501,$D$2:$D$501,D108),SUMIFS($K$2:$K$501,$E$2:$E$501,E108)))</f>
        <v/>
      </c>
      <c r="N108" s="14">
        <f>IF(F108="","",MAX(0,F108-M108))</f>
        <v/>
      </c>
      <c r="O108" s="6">
        <f>IF(A108="","",IF(AND(I108&lt;&gt;"",I108&gt;H108),"是",IF(AND(TODAY()&gt;H108,N108&gt;0),"是","否")))</f>
        <v/>
      </c>
      <c r="P108" s="16">
        <f>IF(A108="","",IFERROR(INDEX('激励事件明细'!$P$2:$P$501,IF(D108&lt;&gt;"",MATCH(D108,'激励事件明细'!$A$2:$A$501,0),MATCH(E108,'激励事件明细'!$B$2:$B$501,0))),""))</f>
        <v/>
      </c>
      <c r="Q108" s="6">
        <f>IF(AND(D108="",E108=""),"异常：必须关联事件编号或税额批次",IF(AND(D108&lt;&gt;"",COUNTIF('激励事件明细'!$A$2:$A$501,D108)=0),"异常：事件编号不存在",IF(AND(E108&lt;&gt;"",COUNTIF('激励事件明细'!$B$2:$B$501,E108)=0),"异常：税额批次不存在",IF(M108&gt;F108,"异常：本批次超额缴税",IF(AND(I108&lt;&gt;"",I108&gt;H108),"异常：超过事件截止日",IF(AND(P108&lt;&gt;"",TODAY()&gt;=P108,N108&gt;0),"异常：离职前未缴清","正常"))))))</f>
        <v/>
      </c>
      <c r="R108" s="11" t="n"/>
    </row>
    <row r="109">
      <c r="A109" s="6">
        <f>IF(AND(D109="",E109=""),"",IFERROR(INDEX('激励事件明细'!$C$2:$C$501,IF(D109&lt;&gt;"",MATCH(D109,'激励事件明细'!$A$2:$A$501,0),MATCH(E109,'激励事件明细'!$B$2:$B$501,0))),""))</f>
        <v/>
      </c>
      <c r="B109" s="6">
        <f>IF(A109="","",IFERROR(INDEX('激励事件明细'!$D$2:$D$501,IF(D109&lt;&gt;"",MATCH(D109,'激励事件明细'!$A$2:$A$501,0),MATCH(E109,'激励事件明细'!$B$2:$B$501,0))),""))</f>
        <v/>
      </c>
      <c r="C109" s="6">
        <f>IF(A109="","",IFERROR(INDEX('激励事件明细'!$H$2:$H$501,IF(D109&lt;&gt;"",MATCH(D109,'激励事件明细'!$A$2:$A$501,0),MATCH(E109,'激励事件明细'!$B$2:$B$501,0))),""))</f>
        <v/>
      </c>
      <c r="D109" s="11" t="n"/>
      <c r="E109" s="11" t="n"/>
      <c r="F109" s="14">
        <f>IF(A109="","",IFERROR(INDEX('激励事件明细'!$Z$2:$Z$501,IF(D109&lt;&gt;"",MATCH(D109,'激励事件明细'!$A$2:$A$501,0),MATCH(E109,'激励事件明细'!$B$2:$B$501,0))),""))</f>
        <v/>
      </c>
      <c r="G109" s="16">
        <f>IF(A109="","",IFERROR(INDEX('激励事件明细'!$AA$2:$AA$501,IF(D109&lt;&gt;"",MATCH(D109,'激励事件明细'!$A$2:$A$501,0),MATCH(E109,'激励事件明细'!$B$2:$B$501,0))),""))</f>
        <v/>
      </c>
      <c r="H109" s="16">
        <f>IF(A109="","",IFERROR(INDEX('激励事件明细'!$AB$2:$AB$501,IF(D109&lt;&gt;"",MATCH(D109,'激励事件明细'!$A$2:$A$501,0),MATCH(E109,'激励事件明细'!$B$2:$B$501,0))),""))</f>
        <v/>
      </c>
      <c r="I109" s="12" t="n"/>
      <c r="J109" s="13" t="n"/>
      <c r="K109" s="13" t="n"/>
      <c r="L109" s="11" t="n"/>
      <c r="M109" s="14">
        <f>IF(A109="","",IF(D109&lt;&gt;"",SUMIFS($K$2:$K$501,$D$2:$D$501,D109),SUMIFS($K$2:$K$501,$E$2:$E$501,E109)))</f>
        <v/>
      </c>
      <c r="N109" s="14">
        <f>IF(F109="","",MAX(0,F109-M109))</f>
        <v/>
      </c>
      <c r="O109" s="6">
        <f>IF(A109="","",IF(AND(I109&lt;&gt;"",I109&gt;H109),"是",IF(AND(TODAY()&gt;H109,N109&gt;0),"是","否")))</f>
        <v/>
      </c>
      <c r="P109" s="16">
        <f>IF(A109="","",IFERROR(INDEX('激励事件明细'!$P$2:$P$501,IF(D109&lt;&gt;"",MATCH(D109,'激励事件明细'!$A$2:$A$501,0),MATCH(E109,'激励事件明细'!$B$2:$B$501,0))),""))</f>
        <v/>
      </c>
      <c r="Q109" s="6">
        <f>IF(AND(D109="",E109=""),"异常：必须关联事件编号或税额批次",IF(AND(D109&lt;&gt;"",COUNTIF('激励事件明细'!$A$2:$A$501,D109)=0),"异常：事件编号不存在",IF(AND(E109&lt;&gt;"",COUNTIF('激励事件明细'!$B$2:$B$501,E109)=0),"异常：税额批次不存在",IF(M109&gt;F109,"异常：本批次超额缴税",IF(AND(I109&lt;&gt;"",I109&gt;H109),"异常：超过事件截止日",IF(AND(P109&lt;&gt;"",TODAY()&gt;=P109,N109&gt;0),"异常：离职前未缴清","正常"))))))</f>
        <v/>
      </c>
      <c r="R109" s="11" t="n"/>
    </row>
    <row r="110">
      <c r="A110" s="6">
        <f>IF(AND(D110="",E110=""),"",IFERROR(INDEX('激励事件明细'!$C$2:$C$501,IF(D110&lt;&gt;"",MATCH(D110,'激励事件明细'!$A$2:$A$501,0),MATCH(E110,'激励事件明细'!$B$2:$B$501,0))),""))</f>
        <v/>
      </c>
      <c r="B110" s="6">
        <f>IF(A110="","",IFERROR(INDEX('激励事件明细'!$D$2:$D$501,IF(D110&lt;&gt;"",MATCH(D110,'激励事件明细'!$A$2:$A$501,0),MATCH(E110,'激励事件明细'!$B$2:$B$501,0))),""))</f>
        <v/>
      </c>
      <c r="C110" s="6">
        <f>IF(A110="","",IFERROR(INDEX('激励事件明细'!$H$2:$H$501,IF(D110&lt;&gt;"",MATCH(D110,'激励事件明细'!$A$2:$A$501,0),MATCH(E110,'激励事件明细'!$B$2:$B$501,0))),""))</f>
        <v/>
      </c>
      <c r="D110" s="11" t="n"/>
      <c r="E110" s="11" t="n"/>
      <c r="F110" s="14">
        <f>IF(A110="","",IFERROR(INDEX('激励事件明细'!$Z$2:$Z$501,IF(D110&lt;&gt;"",MATCH(D110,'激励事件明细'!$A$2:$A$501,0),MATCH(E110,'激励事件明细'!$B$2:$B$501,0))),""))</f>
        <v/>
      </c>
      <c r="G110" s="16">
        <f>IF(A110="","",IFERROR(INDEX('激励事件明细'!$AA$2:$AA$501,IF(D110&lt;&gt;"",MATCH(D110,'激励事件明细'!$A$2:$A$501,0),MATCH(E110,'激励事件明细'!$B$2:$B$501,0))),""))</f>
        <v/>
      </c>
      <c r="H110" s="16">
        <f>IF(A110="","",IFERROR(INDEX('激励事件明细'!$AB$2:$AB$501,IF(D110&lt;&gt;"",MATCH(D110,'激励事件明细'!$A$2:$A$501,0),MATCH(E110,'激励事件明细'!$B$2:$B$501,0))),""))</f>
        <v/>
      </c>
      <c r="I110" s="12" t="n"/>
      <c r="J110" s="13" t="n"/>
      <c r="K110" s="13" t="n"/>
      <c r="L110" s="11" t="n"/>
      <c r="M110" s="14">
        <f>IF(A110="","",IF(D110&lt;&gt;"",SUMIFS($K$2:$K$501,$D$2:$D$501,D110),SUMIFS($K$2:$K$501,$E$2:$E$501,E110)))</f>
        <v/>
      </c>
      <c r="N110" s="14">
        <f>IF(F110="","",MAX(0,F110-M110))</f>
        <v/>
      </c>
      <c r="O110" s="6">
        <f>IF(A110="","",IF(AND(I110&lt;&gt;"",I110&gt;H110),"是",IF(AND(TODAY()&gt;H110,N110&gt;0),"是","否")))</f>
        <v/>
      </c>
      <c r="P110" s="16">
        <f>IF(A110="","",IFERROR(INDEX('激励事件明细'!$P$2:$P$501,IF(D110&lt;&gt;"",MATCH(D110,'激励事件明细'!$A$2:$A$501,0),MATCH(E110,'激励事件明细'!$B$2:$B$501,0))),""))</f>
        <v/>
      </c>
      <c r="Q110" s="6">
        <f>IF(AND(D110="",E110=""),"异常：必须关联事件编号或税额批次",IF(AND(D110&lt;&gt;"",COUNTIF('激励事件明细'!$A$2:$A$501,D110)=0),"异常：事件编号不存在",IF(AND(E110&lt;&gt;"",COUNTIF('激励事件明细'!$B$2:$B$501,E110)=0),"异常：税额批次不存在",IF(M110&gt;F110,"异常：本批次超额缴税",IF(AND(I110&lt;&gt;"",I110&gt;H110),"异常：超过事件截止日",IF(AND(P110&lt;&gt;"",TODAY()&gt;=P110,N110&gt;0),"异常：离职前未缴清","正常"))))))</f>
        <v/>
      </c>
      <c r="R110" s="11" t="n"/>
    </row>
    <row r="111">
      <c r="A111" s="6">
        <f>IF(AND(D111="",E111=""),"",IFERROR(INDEX('激励事件明细'!$C$2:$C$501,IF(D111&lt;&gt;"",MATCH(D111,'激励事件明细'!$A$2:$A$501,0),MATCH(E111,'激励事件明细'!$B$2:$B$501,0))),""))</f>
        <v/>
      </c>
      <c r="B111" s="6">
        <f>IF(A111="","",IFERROR(INDEX('激励事件明细'!$D$2:$D$501,IF(D111&lt;&gt;"",MATCH(D111,'激励事件明细'!$A$2:$A$501,0),MATCH(E111,'激励事件明细'!$B$2:$B$501,0))),""))</f>
        <v/>
      </c>
      <c r="C111" s="6">
        <f>IF(A111="","",IFERROR(INDEX('激励事件明细'!$H$2:$H$501,IF(D111&lt;&gt;"",MATCH(D111,'激励事件明细'!$A$2:$A$501,0),MATCH(E111,'激励事件明细'!$B$2:$B$501,0))),""))</f>
        <v/>
      </c>
      <c r="D111" s="11" t="n"/>
      <c r="E111" s="11" t="n"/>
      <c r="F111" s="14">
        <f>IF(A111="","",IFERROR(INDEX('激励事件明细'!$Z$2:$Z$501,IF(D111&lt;&gt;"",MATCH(D111,'激励事件明细'!$A$2:$A$501,0),MATCH(E111,'激励事件明细'!$B$2:$B$501,0))),""))</f>
        <v/>
      </c>
      <c r="G111" s="16">
        <f>IF(A111="","",IFERROR(INDEX('激励事件明细'!$AA$2:$AA$501,IF(D111&lt;&gt;"",MATCH(D111,'激励事件明细'!$A$2:$A$501,0),MATCH(E111,'激励事件明细'!$B$2:$B$501,0))),""))</f>
        <v/>
      </c>
      <c r="H111" s="16">
        <f>IF(A111="","",IFERROR(INDEX('激励事件明细'!$AB$2:$AB$501,IF(D111&lt;&gt;"",MATCH(D111,'激励事件明细'!$A$2:$A$501,0),MATCH(E111,'激励事件明细'!$B$2:$B$501,0))),""))</f>
        <v/>
      </c>
      <c r="I111" s="12" t="n"/>
      <c r="J111" s="13" t="n"/>
      <c r="K111" s="13" t="n"/>
      <c r="L111" s="11" t="n"/>
      <c r="M111" s="14">
        <f>IF(A111="","",IF(D111&lt;&gt;"",SUMIFS($K$2:$K$501,$D$2:$D$501,D111),SUMIFS($K$2:$K$501,$E$2:$E$501,E111)))</f>
        <v/>
      </c>
      <c r="N111" s="14">
        <f>IF(F111="","",MAX(0,F111-M111))</f>
        <v/>
      </c>
      <c r="O111" s="6">
        <f>IF(A111="","",IF(AND(I111&lt;&gt;"",I111&gt;H111),"是",IF(AND(TODAY()&gt;H111,N111&gt;0),"是","否")))</f>
        <v/>
      </c>
      <c r="P111" s="16">
        <f>IF(A111="","",IFERROR(INDEX('激励事件明细'!$P$2:$P$501,IF(D111&lt;&gt;"",MATCH(D111,'激励事件明细'!$A$2:$A$501,0),MATCH(E111,'激励事件明细'!$B$2:$B$501,0))),""))</f>
        <v/>
      </c>
      <c r="Q111" s="6">
        <f>IF(AND(D111="",E111=""),"异常：必须关联事件编号或税额批次",IF(AND(D111&lt;&gt;"",COUNTIF('激励事件明细'!$A$2:$A$501,D111)=0),"异常：事件编号不存在",IF(AND(E111&lt;&gt;"",COUNTIF('激励事件明细'!$B$2:$B$501,E111)=0),"异常：税额批次不存在",IF(M111&gt;F111,"异常：本批次超额缴税",IF(AND(I111&lt;&gt;"",I111&gt;H111),"异常：超过事件截止日",IF(AND(P111&lt;&gt;"",TODAY()&gt;=P111,N111&gt;0),"异常：离职前未缴清","正常"))))))</f>
        <v/>
      </c>
      <c r="R111" s="11" t="n"/>
    </row>
    <row r="112">
      <c r="A112" s="6">
        <f>IF(AND(D112="",E112=""),"",IFERROR(INDEX('激励事件明细'!$C$2:$C$501,IF(D112&lt;&gt;"",MATCH(D112,'激励事件明细'!$A$2:$A$501,0),MATCH(E112,'激励事件明细'!$B$2:$B$501,0))),""))</f>
        <v/>
      </c>
      <c r="B112" s="6">
        <f>IF(A112="","",IFERROR(INDEX('激励事件明细'!$D$2:$D$501,IF(D112&lt;&gt;"",MATCH(D112,'激励事件明细'!$A$2:$A$501,0),MATCH(E112,'激励事件明细'!$B$2:$B$501,0))),""))</f>
        <v/>
      </c>
      <c r="C112" s="6">
        <f>IF(A112="","",IFERROR(INDEX('激励事件明细'!$H$2:$H$501,IF(D112&lt;&gt;"",MATCH(D112,'激励事件明细'!$A$2:$A$501,0),MATCH(E112,'激励事件明细'!$B$2:$B$501,0))),""))</f>
        <v/>
      </c>
      <c r="D112" s="11" t="n"/>
      <c r="E112" s="11" t="n"/>
      <c r="F112" s="14">
        <f>IF(A112="","",IFERROR(INDEX('激励事件明细'!$Z$2:$Z$501,IF(D112&lt;&gt;"",MATCH(D112,'激励事件明细'!$A$2:$A$501,0),MATCH(E112,'激励事件明细'!$B$2:$B$501,0))),""))</f>
        <v/>
      </c>
      <c r="G112" s="16">
        <f>IF(A112="","",IFERROR(INDEX('激励事件明细'!$AA$2:$AA$501,IF(D112&lt;&gt;"",MATCH(D112,'激励事件明细'!$A$2:$A$501,0),MATCH(E112,'激励事件明细'!$B$2:$B$501,0))),""))</f>
        <v/>
      </c>
      <c r="H112" s="16">
        <f>IF(A112="","",IFERROR(INDEX('激励事件明细'!$AB$2:$AB$501,IF(D112&lt;&gt;"",MATCH(D112,'激励事件明细'!$A$2:$A$501,0),MATCH(E112,'激励事件明细'!$B$2:$B$501,0))),""))</f>
        <v/>
      </c>
      <c r="I112" s="12" t="n"/>
      <c r="J112" s="13" t="n"/>
      <c r="K112" s="13" t="n"/>
      <c r="L112" s="11" t="n"/>
      <c r="M112" s="14">
        <f>IF(A112="","",IF(D112&lt;&gt;"",SUMIFS($K$2:$K$501,$D$2:$D$501,D112),SUMIFS($K$2:$K$501,$E$2:$E$501,E112)))</f>
        <v/>
      </c>
      <c r="N112" s="14">
        <f>IF(F112="","",MAX(0,F112-M112))</f>
        <v/>
      </c>
      <c r="O112" s="6">
        <f>IF(A112="","",IF(AND(I112&lt;&gt;"",I112&gt;H112),"是",IF(AND(TODAY()&gt;H112,N112&gt;0),"是","否")))</f>
        <v/>
      </c>
      <c r="P112" s="16">
        <f>IF(A112="","",IFERROR(INDEX('激励事件明细'!$P$2:$P$501,IF(D112&lt;&gt;"",MATCH(D112,'激励事件明细'!$A$2:$A$501,0),MATCH(E112,'激励事件明细'!$B$2:$B$501,0))),""))</f>
        <v/>
      </c>
      <c r="Q112" s="6">
        <f>IF(AND(D112="",E112=""),"异常：必须关联事件编号或税额批次",IF(AND(D112&lt;&gt;"",COUNTIF('激励事件明细'!$A$2:$A$501,D112)=0),"异常：事件编号不存在",IF(AND(E112&lt;&gt;"",COUNTIF('激励事件明细'!$B$2:$B$501,E112)=0),"异常：税额批次不存在",IF(M112&gt;F112,"异常：本批次超额缴税",IF(AND(I112&lt;&gt;"",I112&gt;H112),"异常：超过事件截止日",IF(AND(P112&lt;&gt;"",TODAY()&gt;=P112,N112&gt;0),"异常：离职前未缴清","正常"))))))</f>
        <v/>
      </c>
      <c r="R112" s="11" t="n"/>
    </row>
    <row r="113">
      <c r="A113" s="6">
        <f>IF(AND(D113="",E113=""),"",IFERROR(INDEX('激励事件明细'!$C$2:$C$501,IF(D113&lt;&gt;"",MATCH(D113,'激励事件明细'!$A$2:$A$501,0),MATCH(E113,'激励事件明细'!$B$2:$B$501,0))),""))</f>
        <v/>
      </c>
      <c r="B113" s="6">
        <f>IF(A113="","",IFERROR(INDEX('激励事件明细'!$D$2:$D$501,IF(D113&lt;&gt;"",MATCH(D113,'激励事件明细'!$A$2:$A$501,0),MATCH(E113,'激励事件明细'!$B$2:$B$501,0))),""))</f>
        <v/>
      </c>
      <c r="C113" s="6">
        <f>IF(A113="","",IFERROR(INDEX('激励事件明细'!$H$2:$H$501,IF(D113&lt;&gt;"",MATCH(D113,'激励事件明细'!$A$2:$A$501,0),MATCH(E113,'激励事件明细'!$B$2:$B$501,0))),""))</f>
        <v/>
      </c>
      <c r="D113" s="11" t="n"/>
      <c r="E113" s="11" t="n"/>
      <c r="F113" s="14">
        <f>IF(A113="","",IFERROR(INDEX('激励事件明细'!$Z$2:$Z$501,IF(D113&lt;&gt;"",MATCH(D113,'激励事件明细'!$A$2:$A$501,0),MATCH(E113,'激励事件明细'!$B$2:$B$501,0))),""))</f>
        <v/>
      </c>
      <c r="G113" s="16">
        <f>IF(A113="","",IFERROR(INDEX('激励事件明细'!$AA$2:$AA$501,IF(D113&lt;&gt;"",MATCH(D113,'激励事件明细'!$A$2:$A$501,0),MATCH(E113,'激励事件明细'!$B$2:$B$501,0))),""))</f>
        <v/>
      </c>
      <c r="H113" s="16">
        <f>IF(A113="","",IFERROR(INDEX('激励事件明细'!$AB$2:$AB$501,IF(D113&lt;&gt;"",MATCH(D113,'激励事件明细'!$A$2:$A$501,0),MATCH(E113,'激励事件明细'!$B$2:$B$501,0))),""))</f>
        <v/>
      </c>
      <c r="I113" s="12" t="n"/>
      <c r="J113" s="13" t="n"/>
      <c r="K113" s="13" t="n"/>
      <c r="L113" s="11" t="n"/>
      <c r="M113" s="14">
        <f>IF(A113="","",IF(D113&lt;&gt;"",SUMIFS($K$2:$K$501,$D$2:$D$501,D113),SUMIFS($K$2:$K$501,$E$2:$E$501,E113)))</f>
        <v/>
      </c>
      <c r="N113" s="14">
        <f>IF(F113="","",MAX(0,F113-M113))</f>
        <v/>
      </c>
      <c r="O113" s="6">
        <f>IF(A113="","",IF(AND(I113&lt;&gt;"",I113&gt;H113),"是",IF(AND(TODAY()&gt;H113,N113&gt;0),"是","否")))</f>
        <v/>
      </c>
      <c r="P113" s="16">
        <f>IF(A113="","",IFERROR(INDEX('激励事件明细'!$P$2:$P$501,IF(D113&lt;&gt;"",MATCH(D113,'激励事件明细'!$A$2:$A$501,0),MATCH(E113,'激励事件明细'!$B$2:$B$501,0))),""))</f>
        <v/>
      </c>
      <c r="Q113" s="6">
        <f>IF(AND(D113="",E113=""),"异常：必须关联事件编号或税额批次",IF(AND(D113&lt;&gt;"",COUNTIF('激励事件明细'!$A$2:$A$501,D113)=0),"异常：事件编号不存在",IF(AND(E113&lt;&gt;"",COUNTIF('激励事件明细'!$B$2:$B$501,E113)=0),"异常：税额批次不存在",IF(M113&gt;F113,"异常：本批次超额缴税",IF(AND(I113&lt;&gt;"",I113&gt;H113),"异常：超过事件截止日",IF(AND(P113&lt;&gt;"",TODAY()&gt;=P113,N113&gt;0),"异常：离职前未缴清","正常"))))))</f>
        <v/>
      </c>
      <c r="R113" s="11" t="n"/>
    </row>
    <row r="114">
      <c r="A114" s="6">
        <f>IF(AND(D114="",E114=""),"",IFERROR(INDEX('激励事件明细'!$C$2:$C$501,IF(D114&lt;&gt;"",MATCH(D114,'激励事件明细'!$A$2:$A$501,0),MATCH(E114,'激励事件明细'!$B$2:$B$501,0))),""))</f>
        <v/>
      </c>
      <c r="B114" s="6">
        <f>IF(A114="","",IFERROR(INDEX('激励事件明细'!$D$2:$D$501,IF(D114&lt;&gt;"",MATCH(D114,'激励事件明细'!$A$2:$A$501,0),MATCH(E114,'激励事件明细'!$B$2:$B$501,0))),""))</f>
        <v/>
      </c>
      <c r="C114" s="6">
        <f>IF(A114="","",IFERROR(INDEX('激励事件明细'!$H$2:$H$501,IF(D114&lt;&gt;"",MATCH(D114,'激励事件明细'!$A$2:$A$501,0),MATCH(E114,'激励事件明细'!$B$2:$B$501,0))),""))</f>
        <v/>
      </c>
      <c r="D114" s="11" t="n"/>
      <c r="E114" s="11" t="n"/>
      <c r="F114" s="14">
        <f>IF(A114="","",IFERROR(INDEX('激励事件明细'!$Z$2:$Z$501,IF(D114&lt;&gt;"",MATCH(D114,'激励事件明细'!$A$2:$A$501,0),MATCH(E114,'激励事件明细'!$B$2:$B$501,0))),""))</f>
        <v/>
      </c>
      <c r="G114" s="16">
        <f>IF(A114="","",IFERROR(INDEX('激励事件明细'!$AA$2:$AA$501,IF(D114&lt;&gt;"",MATCH(D114,'激励事件明细'!$A$2:$A$501,0),MATCH(E114,'激励事件明细'!$B$2:$B$501,0))),""))</f>
        <v/>
      </c>
      <c r="H114" s="16">
        <f>IF(A114="","",IFERROR(INDEX('激励事件明细'!$AB$2:$AB$501,IF(D114&lt;&gt;"",MATCH(D114,'激励事件明细'!$A$2:$A$501,0),MATCH(E114,'激励事件明细'!$B$2:$B$501,0))),""))</f>
        <v/>
      </c>
      <c r="I114" s="12" t="n"/>
      <c r="J114" s="13" t="n"/>
      <c r="K114" s="13" t="n"/>
      <c r="L114" s="11" t="n"/>
      <c r="M114" s="14">
        <f>IF(A114="","",IF(D114&lt;&gt;"",SUMIFS($K$2:$K$501,$D$2:$D$501,D114),SUMIFS($K$2:$K$501,$E$2:$E$501,E114)))</f>
        <v/>
      </c>
      <c r="N114" s="14">
        <f>IF(F114="","",MAX(0,F114-M114))</f>
        <v/>
      </c>
      <c r="O114" s="6">
        <f>IF(A114="","",IF(AND(I114&lt;&gt;"",I114&gt;H114),"是",IF(AND(TODAY()&gt;H114,N114&gt;0),"是","否")))</f>
        <v/>
      </c>
      <c r="P114" s="16">
        <f>IF(A114="","",IFERROR(INDEX('激励事件明细'!$P$2:$P$501,IF(D114&lt;&gt;"",MATCH(D114,'激励事件明细'!$A$2:$A$501,0),MATCH(E114,'激励事件明细'!$B$2:$B$501,0))),""))</f>
        <v/>
      </c>
      <c r="Q114" s="6">
        <f>IF(AND(D114="",E114=""),"异常：必须关联事件编号或税额批次",IF(AND(D114&lt;&gt;"",COUNTIF('激励事件明细'!$A$2:$A$501,D114)=0),"异常：事件编号不存在",IF(AND(E114&lt;&gt;"",COUNTIF('激励事件明细'!$B$2:$B$501,E114)=0),"异常：税额批次不存在",IF(M114&gt;F114,"异常：本批次超额缴税",IF(AND(I114&lt;&gt;"",I114&gt;H114),"异常：超过事件截止日",IF(AND(P114&lt;&gt;"",TODAY()&gt;=P114,N114&gt;0),"异常：离职前未缴清","正常"))))))</f>
        <v/>
      </c>
      <c r="R114" s="11" t="n"/>
    </row>
    <row r="115">
      <c r="A115" s="6">
        <f>IF(AND(D115="",E115=""),"",IFERROR(INDEX('激励事件明细'!$C$2:$C$501,IF(D115&lt;&gt;"",MATCH(D115,'激励事件明细'!$A$2:$A$501,0),MATCH(E115,'激励事件明细'!$B$2:$B$501,0))),""))</f>
        <v/>
      </c>
      <c r="B115" s="6">
        <f>IF(A115="","",IFERROR(INDEX('激励事件明细'!$D$2:$D$501,IF(D115&lt;&gt;"",MATCH(D115,'激励事件明细'!$A$2:$A$501,0),MATCH(E115,'激励事件明细'!$B$2:$B$501,0))),""))</f>
        <v/>
      </c>
      <c r="C115" s="6">
        <f>IF(A115="","",IFERROR(INDEX('激励事件明细'!$H$2:$H$501,IF(D115&lt;&gt;"",MATCH(D115,'激励事件明细'!$A$2:$A$501,0),MATCH(E115,'激励事件明细'!$B$2:$B$501,0))),""))</f>
        <v/>
      </c>
      <c r="D115" s="11" t="n"/>
      <c r="E115" s="11" t="n"/>
      <c r="F115" s="14">
        <f>IF(A115="","",IFERROR(INDEX('激励事件明细'!$Z$2:$Z$501,IF(D115&lt;&gt;"",MATCH(D115,'激励事件明细'!$A$2:$A$501,0),MATCH(E115,'激励事件明细'!$B$2:$B$501,0))),""))</f>
        <v/>
      </c>
      <c r="G115" s="16">
        <f>IF(A115="","",IFERROR(INDEX('激励事件明细'!$AA$2:$AA$501,IF(D115&lt;&gt;"",MATCH(D115,'激励事件明细'!$A$2:$A$501,0),MATCH(E115,'激励事件明细'!$B$2:$B$501,0))),""))</f>
        <v/>
      </c>
      <c r="H115" s="16">
        <f>IF(A115="","",IFERROR(INDEX('激励事件明细'!$AB$2:$AB$501,IF(D115&lt;&gt;"",MATCH(D115,'激励事件明细'!$A$2:$A$501,0),MATCH(E115,'激励事件明细'!$B$2:$B$501,0))),""))</f>
        <v/>
      </c>
      <c r="I115" s="12" t="n"/>
      <c r="J115" s="13" t="n"/>
      <c r="K115" s="13" t="n"/>
      <c r="L115" s="11" t="n"/>
      <c r="M115" s="14">
        <f>IF(A115="","",IF(D115&lt;&gt;"",SUMIFS($K$2:$K$501,$D$2:$D$501,D115),SUMIFS($K$2:$K$501,$E$2:$E$501,E115)))</f>
        <v/>
      </c>
      <c r="N115" s="14">
        <f>IF(F115="","",MAX(0,F115-M115))</f>
        <v/>
      </c>
      <c r="O115" s="6">
        <f>IF(A115="","",IF(AND(I115&lt;&gt;"",I115&gt;H115),"是",IF(AND(TODAY()&gt;H115,N115&gt;0),"是","否")))</f>
        <v/>
      </c>
      <c r="P115" s="16">
        <f>IF(A115="","",IFERROR(INDEX('激励事件明细'!$P$2:$P$501,IF(D115&lt;&gt;"",MATCH(D115,'激励事件明细'!$A$2:$A$501,0),MATCH(E115,'激励事件明细'!$B$2:$B$501,0))),""))</f>
        <v/>
      </c>
      <c r="Q115" s="6">
        <f>IF(AND(D115="",E115=""),"异常：必须关联事件编号或税额批次",IF(AND(D115&lt;&gt;"",COUNTIF('激励事件明细'!$A$2:$A$501,D115)=0),"异常：事件编号不存在",IF(AND(E115&lt;&gt;"",COUNTIF('激励事件明细'!$B$2:$B$501,E115)=0),"异常：税额批次不存在",IF(M115&gt;F115,"异常：本批次超额缴税",IF(AND(I115&lt;&gt;"",I115&gt;H115),"异常：超过事件截止日",IF(AND(P115&lt;&gt;"",TODAY()&gt;=P115,N115&gt;0),"异常：离职前未缴清","正常"))))))</f>
        <v/>
      </c>
      <c r="R115" s="11" t="n"/>
    </row>
    <row r="116">
      <c r="A116" s="6">
        <f>IF(AND(D116="",E116=""),"",IFERROR(INDEX('激励事件明细'!$C$2:$C$501,IF(D116&lt;&gt;"",MATCH(D116,'激励事件明细'!$A$2:$A$501,0),MATCH(E116,'激励事件明细'!$B$2:$B$501,0))),""))</f>
        <v/>
      </c>
      <c r="B116" s="6">
        <f>IF(A116="","",IFERROR(INDEX('激励事件明细'!$D$2:$D$501,IF(D116&lt;&gt;"",MATCH(D116,'激励事件明细'!$A$2:$A$501,0),MATCH(E116,'激励事件明细'!$B$2:$B$501,0))),""))</f>
        <v/>
      </c>
      <c r="C116" s="6">
        <f>IF(A116="","",IFERROR(INDEX('激励事件明细'!$H$2:$H$501,IF(D116&lt;&gt;"",MATCH(D116,'激励事件明细'!$A$2:$A$501,0),MATCH(E116,'激励事件明细'!$B$2:$B$501,0))),""))</f>
        <v/>
      </c>
      <c r="D116" s="11" t="n"/>
      <c r="E116" s="11" t="n"/>
      <c r="F116" s="14">
        <f>IF(A116="","",IFERROR(INDEX('激励事件明细'!$Z$2:$Z$501,IF(D116&lt;&gt;"",MATCH(D116,'激励事件明细'!$A$2:$A$501,0),MATCH(E116,'激励事件明细'!$B$2:$B$501,0))),""))</f>
        <v/>
      </c>
      <c r="G116" s="16">
        <f>IF(A116="","",IFERROR(INDEX('激励事件明细'!$AA$2:$AA$501,IF(D116&lt;&gt;"",MATCH(D116,'激励事件明细'!$A$2:$A$501,0),MATCH(E116,'激励事件明细'!$B$2:$B$501,0))),""))</f>
        <v/>
      </c>
      <c r="H116" s="16">
        <f>IF(A116="","",IFERROR(INDEX('激励事件明细'!$AB$2:$AB$501,IF(D116&lt;&gt;"",MATCH(D116,'激励事件明细'!$A$2:$A$501,0),MATCH(E116,'激励事件明细'!$B$2:$B$501,0))),""))</f>
        <v/>
      </c>
      <c r="I116" s="12" t="n"/>
      <c r="J116" s="13" t="n"/>
      <c r="K116" s="13" t="n"/>
      <c r="L116" s="11" t="n"/>
      <c r="M116" s="14">
        <f>IF(A116="","",IF(D116&lt;&gt;"",SUMIFS($K$2:$K$501,$D$2:$D$501,D116),SUMIFS($K$2:$K$501,$E$2:$E$501,E116)))</f>
        <v/>
      </c>
      <c r="N116" s="14">
        <f>IF(F116="","",MAX(0,F116-M116))</f>
        <v/>
      </c>
      <c r="O116" s="6">
        <f>IF(A116="","",IF(AND(I116&lt;&gt;"",I116&gt;H116),"是",IF(AND(TODAY()&gt;H116,N116&gt;0),"是","否")))</f>
        <v/>
      </c>
      <c r="P116" s="16">
        <f>IF(A116="","",IFERROR(INDEX('激励事件明细'!$P$2:$P$501,IF(D116&lt;&gt;"",MATCH(D116,'激励事件明细'!$A$2:$A$501,0),MATCH(E116,'激励事件明细'!$B$2:$B$501,0))),""))</f>
        <v/>
      </c>
      <c r="Q116" s="6">
        <f>IF(AND(D116="",E116=""),"异常：必须关联事件编号或税额批次",IF(AND(D116&lt;&gt;"",COUNTIF('激励事件明细'!$A$2:$A$501,D116)=0),"异常：事件编号不存在",IF(AND(E116&lt;&gt;"",COUNTIF('激励事件明细'!$B$2:$B$501,E116)=0),"异常：税额批次不存在",IF(M116&gt;F116,"异常：本批次超额缴税",IF(AND(I116&lt;&gt;"",I116&gt;H116),"异常：超过事件截止日",IF(AND(P116&lt;&gt;"",TODAY()&gt;=P116,N116&gt;0),"异常：离职前未缴清","正常"))))))</f>
        <v/>
      </c>
      <c r="R116" s="11" t="n"/>
    </row>
    <row r="117">
      <c r="A117" s="6">
        <f>IF(AND(D117="",E117=""),"",IFERROR(INDEX('激励事件明细'!$C$2:$C$501,IF(D117&lt;&gt;"",MATCH(D117,'激励事件明细'!$A$2:$A$501,0),MATCH(E117,'激励事件明细'!$B$2:$B$501,0))),""))</f>
        <v/>
      </c>
      <c r="B117" s="6">
        <f>IF(A117="","",IFERROR(INDEX('激励事件明细'!$D$2:$D$501,IF(D117&lt;&gt;"",MATCH(D117,'激励事件明细'!$A$2:$A$501,0),MATCH(E117,'激励事件明细'!$B$2:$B$501,0))),""))</f>
        <v/>
      </c>
      <c r="C117" s="6">
        <f>IF(A117="","",IFERROR(INDEX('激励事件明细'!$H$2:$H$501,IF(D117&lt;&gt;"",MATCH(D117,'激励事件明细'!$A$2:$A$501,0),MATCH(E117,'激励事件明细'!$B$2:$B$501,0))),""))</f>
        <v/>
      </c>
      <c r="D117" s="11" t="n"/>
      <c r="E117" s="11" t="n"/>
      <c r="F117" s="14">
        <f>IF(A117="","",IFERROR(INDEX('激励事件明细'!$Z$2:$Z$501,IF(D117&lt;&gt;"",MATCH(D117,'激励事件明细'!$A$2:$A$501,0),MATCH(E117,'激励事件明细'!$B$2:$B$501,0))),""))</f>
        <v/>
      </c>
      <c r="G117" s="16">
        <f>IF(A117="","",IFERROR(INDEX('激励事件明细'!$AA$2:$AA$501,IF(D117&lt;&gt;"",MATCH(D117,'激励事件明细'!$A$2:$A$501,0),MATCH(E117,'激励事件明细'!$B$2:$B$501,0))),""))</f>
        <v/>
      </c>
      <c r="H117" s="16">
        <f>IF(A117="","",IFERROR(INDEX('激励事件明细'!$AB$2:$AB$501,IF(D117&lt;&gt;"",MATCH(D117,'激励事件明细'!$A$2:$A$501,0),MATCH(E117,'激励事件明细'!$B$2:$B$501,0))),""))</f>
        <v/>
      </c>
      <c r="I117" s="12" t="n"/>
      <c r="J117" s="13" t="n"/>
      <c r="K117" s="13" t="n"/>
      <c r="L117" s="11" t="n"/>
      <c r="M117" s="14">
        <f>IF(A117="","",IF(D117&lt;&gt;"",SUMIFS($K$2:$K$501,$D$2:$D$501,D117),SUMIFS($K$2:$K$501,$E$2:$E$501,E117)))</f>
        <v/>
      </c>
      <c r="N117" s="14">
        <f>IF(F117="","",MAX(0,F117-M117))</f>
        <v/>
      </c>
      <c r="O117" s="6">
        <f>IF(A117="","",IF(AND(I117&lt;&gt;"",I117&gt;H117),"是",IF(AND(TODAY()&gt;H117,N117&gt;0),"是","否")))</f>
        <v/>
      </c>
      <c r="P117" s="16">
        <f>IF(A117="","",IFERROR(INDEX('激励事件明细'!$P$2:$P$501,IF(D117&lt;&gt;"",MATCH(D117,'激励事件明细'!$A$2:$A$501,0),MATCH(E117,'激励事件明细'!$B$2:$B$501,0))),""))</f>
        <v/>
      </c>
      <c r="Q117" s="6">
        <f>IF(AND(D117="",E117=""),"异常：必须关联事件编号或税额批次",IF(AND(D117&lt;&gt;"",COUNTIF('激励事件明细'!$A$2:$A$501,D117)=0),"异常：事件编号不存在",IF(AND(E117&lt;&gt;"",COUNTIF('激励事件明细'!$B$2:$B$501,E117)=0),"异常：税额批次不存在",IF(M117&gt;F117,"异常：本批次超额缴税",IF(AND(I117&lt;&gt;"",I117&gt;H117),"异常：超过事件截止日",IF(AND(P117&lt;&gt;"",TODAY()&gt;=P117,N117&gt;0),"异常：离职前未缴清","正常"))))))</f>
        <v/>
      </c>
      <c r="R117" s="11" t="n"/>
    </row>
    <row r="118">
      <c r="A118" s="6">
        <f>IF(AND(D118="",E118=""),"",IFERROR(INDEX('激励事件明细'!$C$2:$C$501,IF(D118&lt;&gt;"",MATCH(D118,'激励事件明细'!$A$2:$A$501,0),MATCH(E118,'激励事件明细'!$B$2:$B$501,0))),""))</f>
        <v/>
      </c>
      <c r="B118" s="6">
        <f>IF(A118="","",IFERROR(INDEX('激励事件明细'!$D$2:$D$501,IF(D118&lt;&gt;"",MATCH(D118,'激励事件明细'!$A$2:$A$501,0),MATCH(E118,'激励事件明细'!$B$2:$B$501,0))),""))</f>
        <v/>
      </c>
      <c r="C118" s="6">
        <f>IF(A118="","",IFERROR(INDEX('激励事件明细'!$H$2:$H$501,IF(D118&lt;&gt;"",MATCH(D118,'激励事件明细'!$A$2:$A$501,0),MATCH(E118,'激励事件明细'!$B$2:$B$501,0))),""))</f>
        <v/>
      </c>
      <c r="D118" s="11" t="n"/>
      <c r="E118" s="11" t="n"/>
      <c r="F118" s="14">
        <f>IF(A118="","",IFERROR(INDEX('激励事件明细'!$Z$2:$Z$501,IF(D118&lt;&gt;"",MATCH(D118,'激励事件明细'!$A$2:$A$501,0),MATCH(E118,'激励事件明细'!$B$2:$B$501,0))),""))</f>
        <v/>
      </c>
      <c r="G118" s="16">
        <f>IF(A118="","",IFERROR(INDEX('激励事件明细'!$AA$2:$AA$501,IF(D118&lt;&gt;"",MATCH(D118,'激励事件明细'!$A$2:$A$501,0),MATCH(E118,'激励事件明细'!$B$2:$B$501,0))),""))</f>
        <v/>
      </c>
      <c r="H118" s="16">
        <f>IF(A118="","",IFERROR(INDEX('激励事件明细'!$AB$2:$AB$501,IF(D118&lt;&gt;"",MATCH(D118,'激励事件明细'!$A$2:$A$501,0),MATCH(E118,'激励事件明细'!$B$2:$B$501,0))),""))</f>
        <v/>
      </c>
      <c r="I118" s="12" t="n"/>
      <c r="J118" s="13" t="n"/>
      <c r="K118" s="13" t="n"/>
      <c r="L118" s="11" t="n"/>
      <c r="M118" s="14">
        <f>IF(A118="","",IF(D118&lt;&gt;"",SUMIFS($K$2:$K$501,$D$2:$D$501,D118),SUMIFS($K$2:$K$501,$E$2:$E$501,E118)))</f>
        <v/>
      </c>
      <c r="N118" s="14">
        <f>IF(F118="","",MAX(0,F118-M118))</f>
        <v/>
      </c>
      <c r="O118" s="6">
        <f>IF(A118="","",IF(AND(I118&lt;&gt;"",I118&gt;H118),"是",IF(AND(TODAY()&gt;H118,N118&gt;0),"是","否")))</f>
        <v/>
      </c>
      <c r="P118" s="16">
        <f>IF(A118="","",IFERROR(INDEX('激励事件明细'!$P$2:$P$501,IF(D118&lt;&gt;"",MATCH(D118,'激励事件明细'!$A$2:$A$501,0),MATCH(E118,'激励事件明细'!$B$2:$B$501,0))),""))</f>
        <v/>
      </c>
      <c r="Q118" s="6">
        <f>IF(AND(D118="",E118=""),"异常：必须关联事件编号或税额批次",IF(AND(D118&lt;&gt;"",COUNTIF('激励事件明细'!$A$2:$A$501,D118)=0),"异常：事件编号不存在",IF(AND(E118&lt;&gt;"",COUNTIF('激励事件明细'!$B$2:$B$501,E118)=0),"异常：税额批次不存在",IF(M118&gt;F118,"异常：本批次超额缴税",IF(AND(I118&lt;&gt;"",I118&gt;H118),"异常：超过事件截止日",IF(AND(P118&lt;&gt;"",TODAY()&gt;=P118,N118&gt;0),"异常：离职前未缴清","正常"))))))</f>
        <v/>
      </c>
      <c r="R118" s="11" t="n"/>
    </row>
    <row r="119">
      <c r="A119" s="6">
        <f>IF(AND(D119="",E119=""),"",IFERROR(INDEX('激励事件明细'!$C$2:$C$501,IF(D119&lt;&gt;"",MATCH(D119,'激励事件明细'!$A$2:$A$501,0),MATCH(E119,'激励事件明细'!$B$2:$B$501,0))),""))</f>
        <v/>
      </c>
      <c r="B119" s="6">
        <f>IF(A119="","",IFERROR(INDEX('激励事件明细'!$D$2:$D$501,IF(D119&lt;&gt;"",MATCH(D119,'激励事件明细'!$A$2:$A$501,0),MATCH(E119,'激励事件明细'!$B$2:$B$501,0))),""))</f>
        <v/>
      </c>
      <c r="C119" s="6">
        <f>IF(A119="","",IFERROR(INDEX('激励事件明细'!$H$2:$H$501,IF(D119&lt;&gt;"",MATCH(D119,'激励事件明细'!$A$2:$A$501,0),MATCH(E119,'激励事件明细'!$B$2:$B$501,0))),""))</f>
        <v/>
      </c>
      <c r="D119" s="11" t="n"/>
      <c r="E119" s="11" t="n"/>
      <c r="F119" s="14">
        <f>IF(A119="","",IFERROR(INDEX('激励事件明细'!$Z$2:$Z$501,IF(D119&lt;&gt;"",MATCH(D119,'激励事件明细'!$A$2:$A$501,0),MATCH(E119,'激励事件明细'!$B$2:$B$501,0))),""))</f>
        <v/>
      </c>
      <c r="G119" s="16">
        <f>IF(A119="","",IFERROR(INDEX('激励事件明细'!$AA$2:$AA$501,IF(D119&lt;&gt;"",MATCH(D119,'激励事件明细'!$A$2:$A$501,0),MATCH(E119,'激励事件明细'!$B$2:$B$501,0))),""))</f>
        <v/>
      </c>
      <c r="H119" s="16">
        <f>IF(A119="","",IFERROR(INDEX('激励事件明细'!$AB$2:$AB$501,IF(D119&lt;&gt;"",MATCH(D119,'激励事件明细'!$A$2:$A$501,0),MATCH(E119,'激励事件明细'!$B$2:$B$501,0))),""))</f>
        <v/>
      </c>
      <c r="I119" s="12" t="n"/>
      <c r="J119" s="13" t="n"/>
      <c r="K119" s="13" t="n"/>
      <c r="L119" s="11" t="n"/>
      <c r="M119" s="14">
        <f>IF(A119="","",IF(D119&lt;&gt;"",SUMIFS($K$2:$K$501,$D$2:$D$501,D119),SUMIFS($K$2:$K$501,$E$2:$E$501,E119)))</f>
        <v/>
      </c>
      <c r="N119" s="14">
        <f>IF(F119="","",MAX(0,F119-M119))</f>
        <v/>
      </c>
      <c r="O119" s="6">
        <f>IF(A119="","",IF(AND(I119&lt;&gt;"",I119&gt;H119),"是",IF(AND(TODAY()&gt;H119,N119&gt;0),"是","否")))</f>
        <v/>
      </c>
      <c r="P119" s="16">
        <f>IF(A119="","",IFERROR(INDEX('激励事件明细'!$P$2:$P$501,IF(D119&lt;&gt;"",MATCH(D119,'激励事件明细'!$A$2:$A$501,0),MATCH(E119,'激励事件明细'!$B$2:$B$501,0))),""))</f>
        <v/>
      </c>
      <c r="Q119" s="6">
        <f>IF(AND(D119="",E119=""),"异常：必须关联事件编号或税额批次",IF(AND(D119&lt;&gt;"",COUNTIF('激励事件明细'!$A$2:$A$501,D119)=0),"异常：事件编号不存在",IF(AND(E119&lt;&gt;"",COUNTIF('激励事件明细'!$B$2:$B$501,E119)=0),"异常：税额批次不存在",IF(M119&gt;F119,"异常：本批次超额缴税",IF(AND(I119&lt;&gt;"",I119&gt;H119),"异常：超过事件截止日",IF(AND(P119&lt;&gt;"",TODAY()&gt;=P119,N119&gt;0),"异常：离职前未缴清","正常"))))))</f>
        <v/>
      </c>
      <c r="R119" s="11" t="n"/>
    </row>
    <row r="120">
      <c r="A120" s="6">
        <f>IF(AND(D120="",E120=""),"",IFERROR(INDEX('激励事件明细'!$C$2:$C$501,IF(D120&lt;&gt;"",MATCH(D120,'激励事件明细'!$A$2:$A$501,0),MATCH(E120,'激励事件明细'!$B$2:$B$501,0))),""))</f>
        <v/>
      </c>
      <c r="B120" s="6">
        <f>IF(A120="","",IFERROR(INDEX('激励事件明细'!$D$2:$D$501,IF(D120&lt;&gt;"",MATCH(D120,'激励事件明细'!$A$2:$A$501,0),MATCH(E120,'激励事件明细'!$B$2:$B$501,0))),""))</f>
        <v/>
      </c>
      <c r="C120" s="6">
        <f>IF(A120="","",IFERROR(INDEX('激励事件明细'!$H$2:$H$501,IF(D120&lt;&gt;"",MATCH(D120,'激励事件明细'!$A$2:$A$501,0),MATCH(E120,'激励事件明细'!$B$2:$B$501,0))),""))</f>
        <v/>
      </c>
      <c r="D120" s="11" t="n"/>
      <c r="E120" s="11" t="n"/>
      <c r="F120" s="14">
        <f>IF(A120="","",IFERROR(INDEX('激励事件明细'!$Z$2:$Z$501,IF(D120&lt;&gt;"",MATCH(D120,'激励事件明细'!$A$2:$A$501,0),MATCH(E120,'激励事件明细'!$B$2:$B$501,0))),""))</f>
        <v/>
      </c>
      <c r="G120" s="16">
        <f>IF(A120="","",IFERROR(INDEX('激励事件明细'!$AA$2:$AA$501,IF(D120&lt;&gt;"",MATCH(D120,'激励事件明细'!$A$2:$A$501,0),MATCH(E120,'激励事件明细'!$B$2:$B$501,0))),""))</f>
        <v/>
      </c>
      <c r="H120" s="16">
        <f>IF(A120="","",IFERROR(INDEX('激励事件明细'!$AB$2:$AB$501,IF(D120&lt;&gt;"",MATCH(D120,'激励事件明细'!$A$2:$A$501,0),MATCH(E120,'激励事件明细'!$B$2:$B$501,0))),""))</f>
        <v/>
      </c>
      <c r="I120" s="12" t="n"/>
      <c r="J120" s="13" t="n"/>
      <c r="K120" s="13" t="n"/>
      <c r="L120" s="11" t="n"/>
      <c r="M120" s="14">
        <f>IF(A120="","",IF(D120&lt;&gt;"",SUMIFS($K$2:$K$501,$D$2:$D$501,D120),SUMIFS($K$2:$K$501,$E$2:$E$501,E120)))</f>
        <v/>
      </c>
      <c r="N120" s="14">
        <f>IF(F120="","",MAX(0,F120-M120))</f>
        <v/>
      </c>
      <c r="O120" s="6">
        <f>IF(A120="","",IF(AND(I120&lt;&gt;"",I120&gt;H120),"是",IF(AND(TODAY()&gt;H120,N120&gt;0),"是","否")))</f>
        <v/>
      </c>
      <c r="P120" s="16">
        <f>IF(A120="","",IFERROR(INDEX('激励事件明细'!$P$2:$P$501,IF(D120&lt;&gt;"",MATCH(D120,'激励事件明细'!$A$2:$A$501,0),MATCH(E120,'激励事件明细'!$B$2:$B$501,0))),""))</f>
        <v/>
      </c>
      <c r="Q120" s="6">
        <f>IF(AND(D120="",E120=""),"异常：必须关联事件编号或税额批次",IF(AND(D120&lt;&gt;"",COUNTIF('激励事件明细'!$A$2:$A$501,D120)=0),"异常：事件编号不存在",IF(AND(E120&lt;&gt;"",COUNTIF('激励事件明细'!$B$2:$B$501,E120)=0),"异常：税额批次不存在",IF(M120&gt;F120,"异常：本批次超额缴税",IF(AND(I120&lt;&gt;"",I120&gt;H120),"异常：超过事件截止日",IF(AND(P120&lt;&gt;"",TODAY()&gt;=P120,N120&gt;0),"异常：离职前未缴清","正常"))))))</f>
        <v/>
      </c>
      <c r="R120" s="11" t="n"/>
    </row>
    <row r="121">
      <c r="A121" s="6">
        <f>IF(AND(D121="",E121=""),"",IFERROR(INDEX('激励事件明细'!$C$2:$C$501,IF(D121&lt;&gt;"",MATCH(D121,'激励事件明细'!$A$2:$A$501,0),MATCH(E121,'激励事件明细'!$B$2:$B$501,0))),""))</f>
        <v/>
      </c>
      <c r="B121" s="6">
        <f>IF(A121="","",IFERROR(INDEX('激励事件明细'!$D$2:$D$501,IF(D121&lt;&gt;"",MATCH(D121,'激励事件明细'!$A$2:$A$501,0),MATCH(E121,'激励事件明细'!$B$2:$B$501,0))),""))</f>
        <v/>
      </c>
      <c r="C121" s="6">
        <f>IF(A121="","",IFERROR(INDEX('激励事件明细'!$H$2:$H$501,IF(D121&lt;&gt;"",MATCH(D121,'激励事件明细'!$A$2:$A$501,0),MATCH(E121,'激励事件明细'!$B$2:$B$501,0))),""))</f>
        <v/>
      </c>
      <c r="D121" s="11" t="n"/>
      <c r="E121" s="11" t="n"/>
      <c r="F121" s="14">
        <f>IF(A121="","",IFERROR(INDEX('激励事件明细'!$Z$2:$Z$501,IF(D121&lt;&gt;"",MATCH(D121,'激励事件明细'!$A$2:$A$501,0),MATCH(E121,'激励事件明细'!$B$2:$B$501,0))),""))</f>
        <v/>
      </c>
      <c r="G121" s="16">
        <f>IF(A121="","",IFERROR(INDEX('激励事件明细'!$AA$2:$AA$501,IF(D121&lt;&gt;"",MATCH(D121,'激励事件明细'!$A$2:$A$501,0),MATCH(E121,'激励事件明细'!$B$2:$B$501,0))),""))</f>
        <v/>
      </c>
      <c r="H121" s="16">
        <f>IF(A121="","",IFERROR(INDEX('激励事件明细'!$AB$2:$AB$501,IF(D121&lt;&gt;"",MATCH(D121,'激励事件明细'!$A$2:$A$501,0),MATCH(E121,'激励事件明细'!$B$2:$B$501,0))),""))</f>
        <v/>
      </c>
      <c r="I121" s="12" t="n"/>
      <c r="J121" s="13" t="n"/>
      <c r="K121" s="13" t="n"/>
      <c r="L121" s="11" t="n"/>
      <c r="M121" s="14">
        <f>IF(A121="","",IF(D121&lt;&gt;"",SUMIFS($K$2:$K$501,$D$2:$D$501,D121),SUMIFS($K$2:$K$501,$E$2:$E$501,E121)))</f>
        <v/>
      </c>
      <c r="N121" s="14">
        <f>IF(F121="","",MAX(0,F121-M121))</f>
        <v/>
      </c>
      <c r="O121" s="6">
        <f>IF(A121="","",IF(AND(I121&lt;&gt;"",I121&gt;H121),"是",IF(AND(TODAY()&gt;H121,N121&gt;0),"是","否")))</f>
        <v/>
      </c>
      <c r="P121" s="16">
        <f>IF(A121="","",IFERROR(INDEX('激励事件明细'!$P$2:$P$501,IF(D121&lt;&gt;"",MATCH(D121,'激励事件明细'!$A$2:$A$501,0),MATCH(E121,'激励事件明细'!$B$2:$B$501,0))),""))</f>
        <v/>
      </c>
      <c r="Q121" s="6">
        <f>IF(AND(D121="",E121=""),"异常：必须关联事件编号或税额批次",IF(AND(D121&lt;&gt;"",COUNTIF('激励事件明细'!$A$2:$A$501,D121)=0),"异常：事件编号不存在",IF(AND(E121&lt;&gt;"",COUNTIF('激励事件明细'!$B$2:$B$501,E121)=0),"异常：税额批次不存在",IF(M121&gt;F121,"异常：本批次超额缴税",IF(AND(I121&lt;&gt;"",I121&gt;H121),"异常：超过事件截止日",IF(AND(P121&lt;&gt;"",TODAY()&gt;=P121,N121&gt;0),"异常：离职前未缴清","正常"))))))</f>
        <v/>
      </c>
      <c r="R121" s="11" t="n"/>
    </row>
    <row r="122">
      <c r="A122" s="6">
        <f>IF(AND(D122="",E122=""),"",IFERROR(INDEX('激励事件明细'!$C$2:$C$501,IF(D122&lt;&gt;"",MATCH(D122,'激励事件明细'!$A$2:$A$501,0),MATCH(E122,'激励事件明细'!$B$2:$B$501,0))),""))</f>
        <v/>
      </c>
      <c r="B122" s="6">
        <f>IF(A122="","",IFERROR(INDEX('激励事件明细'!$D$2:$D$501,IF(D122&lt;&gt;"",MATCH(D122,'激励事件明细'!$A$2:$A$501,0),MATCH(E122,'激励事件明细'!$B$2:$B$501,0))),""))</f>
        <v/>
      </c>
      <c r="C122" s="6">
        <f>IF(A122="","",IFERROR(INDEX('激励事件明细'!$H$2:$H$501,IF(D122&lt;&gt;"",MATCH(D122,'激励事件明细'!$A$2:$A$501,0),MATCH(E122,'激励事件明细'!$B$2:$B$501,0))),""))</f>
        <v/>
      </c>
      <c r="D122" s="11" t="n"/>
      <c r="E122" s="11" t="n"/>
      <c r="F122" s="14">
        <f>IF(A122="","",IFERROR(INDEX('激励事件明细'!$Z$2:$Z$501,IF(D122&lt;&gt;"",MATCH(D122,'激励事件明细'!$A$2:$A$501,0),MATCH(E122,'激励事件明细'!$B$2:$B$501,0))),""))</f>
        <v/>
      </c>
      <c r="G122" s="16">
        <f>IF(A122="","",IFERROR(INDEX('激励事件明细'!$AA$2:$AA$501,IF(D122&lt;&gt;"",MATCH(D122,'激励事件明细'!$A$2:$A$501,0),MATCH(E122,'激励事件明细'!$B$2:$B$501,0))),""))</f>
        <v/>
      </c>
      <c r="H122" s="16">
        <f>IF(A122="","",IFERROR(INDEX('激励事件明细'!$AB$2:$AB$501,IF(D122&lt;&gt;"",MATCH(D122,'激励事件明细'!$A$2:$A$501,0),MATCH(E122,'激励事件明细'!$B$2:$B$501,0))),""))</f>
        <v/>
      </c>
      <c r="I122" s="12" t="n"/>
      <c r="J122" s="13" t="n"/>
      <c r="K122" s="13" t="n"/>
      <c r="L122" s="11" t="n"/>
      <c r="M122" s="14">
        <f>IF(A122="","",IF(D122&lt;&gt;"",SUMIFS($K$2:$K$501,$D$2:$D$501,D122),SUMIFS($K$2:$K$501,$E$2:$E$501,E122)))</f>
        <v/>
      </c>
      <c r="N122" s="14">
        <f>IF(F122="","",MAX(0,F122-M122))</f>
        <v/>
      </c>
      <c r="O122" s="6">
        <f>IF(A122="","",IF(AND(I122&lt;&gt;"",I122&gt;H122),"是",IF(AND(TODAY()&gt;H122,N122&gt;0),"是","否")))</f>
        <v/>
      </c>
      <c r="P122" s="16">
        <f>IF(A122="","",IFERROR(INDEX('激励事件明细'!$P$2:$P$501,IF(D122&lt;&gt;"",MATCH(D122,'激励事件明细'!$A$2:$A$501,0),MATCH(E122,'激励事件明细'!$B$2:$B$501,0))),""))</f>
        <v/>
      </c>
      <c r="Q122" s="6">
        <f>IF(AND(D122="",E122=""),"异常：必须关联事件编号或税额批次",IF(AND(D122&lt;&gt;"",COUNTIF('激励事件明细'!$A$2:$A$501,D122)=0),"异常：事件编号不存在",IF(AND(E122&lt;&gt;"",COUNTIF('激励事件明细'!$B$2:$B$501,E122)=0),"异常：税额批次不存在",IF(M122&gt;F122,"异常：本批次超额缴税",IF(AND(I122&lt;&gt;"",I122&gt;H122),"异常：超过事件截止日",IF(AND(P122&lt;&gt;"",TODAY()&gt;=P122,N122&gt;0),"异常：离职前未缴清","正常"))))))</f>
        <v/>
      </c>
      <c r="R122" s="11" t="n"/>
    </row>
    <row r="123">
      <c r="A123" s="6">
        <f>IF(AND(D123="",E123=""),"",IFERROR(INDEX('激励事件明细'!$C$2:$C$501,IF(D123&lt;&gt;"",MATCH(D123,'激励事件明细'!$A$2:$A$501,0),MATCH(E123,'激励事件明细'!$B$2:$B$501,0))),""))</f>
        <v/>
      </c>
      <c r="B123" s="6">
        <f>IF(A123="","",IFERROR(INDEX('激励事件明细'!$D$2:$D$501,IF(D123&lt;&gt;"",MATCH(D123,'激励事件明细'!$A$2:$A$501,0),MATCH(E123,'激励事件明细'!$B$2:$B$501,0))),""))</f>
        <v/>
      </c>
      <c r="C123" s="6">
        <f>IF(A123="","",IFERROR(INDEX('激励事件明细'!$H$2:$H$501,IF(D123&lt;&gt;"",MATCH(D123,'激励事件明细'!$A$2:$A$501,0),MATCH(E123,'激励事件明细'!$B$2:$B$501,0))),""))</f>
        <v/>
      </c>
      <c r="D123" s="11" t="n"/>
      <c r="E123" s="11" t="n"/>
      <c r="F123" s="14">
        <f>IF(A123="","",IFERROR(INDEX('激励事件明细'!$Z$2:$Z$501,IF(D123&lt;&gt;"",MATCH(D123,'激励事件明细'!$A$2:$A$501,0),MATCH(E123,'激励事件明细'!$B$2:$B$501,0))),""))</f>
        <v/>
      </c>
      <c r="G123" s="16">
        <f>IF(A123="","",IFERROR(INDEX('激励事件明细'!$AA$2:$AA$501,IF(D123&lt;&gt;"",MATCH(D123,'激励事件明细'!$A$2:$A$501,0),MATCH(E123,'激励事件明细'!$B$2:$B$501,0))),""))</f>
        <v/>
      </c>
      <c r="H123" s="16">
        <f>IF(A123="","",IFERROR(INDEX('激励事件明细'!$AB$2:$AB$501,IF(D123&lt;&gt;"",MATCH(D123,'激励事件明细'!$A$2:$A$501,0),MATCH(E123,'激励事件明细'!$B$2:$B$501,0))),""))</f>
        <v/>
      </c>
      <c r="I123" s="12" t="n"/>
      <c r="J123" s="13" t="n"/>
      <c r="K123" s="13" t="n"/>
      <c r="L123" s="11" t="n"/>
      <c r="M123" s="14">
        <f>IF(A123="","",IF(D123&lt;&gt;"",SUMIFS($K$2:$K$501,$D$2:$D$501,D123),SUMIFS($K$2:$K$501,$E$2:$E$501,E123)))</f>
        <v/>
      </c>
      <c r="N123" s="14">
        <f>IF(F123="","",MAX(0,F123-M123))</f>
        <v/>
      </c>
      <c r="O123" s="6">
        <f>IF(A123="","",IF(AND(I123&lt;&gt;"",I123&gt;H123),"是",IF(AND(TODAY()&gt;H123,N123&gt;0),"是","否")))</f>
        <v/>
      </c>
      <c r="P123" s="16">
        <f>IF(A123="","",IFERROR(INDEX('激励事件明细'!$P$2:$P$501,IF(D123&lt;&gt;"",MATCH(D123,'激励事件明细'!$A$2:$A$501,0),MATCH(E123,'激励事件明细'!$B$2:$B$501,0))),""))</f>
        <v/>
      </c>
      <c r="Q123" s="6">
        <f>IF(AND(D123="",E123=""),"异常：必须关联事件编号或税额批次",IF(AND(D123&lt;&gt;"",COUNTIF('激励事件明细'!$A$2:$A$501,D123)=0),"异常：事件编号不存在",IF(AND(E123&lt;&gt;"",COUNTIF('激励事件明细'!$B$2:$B$501,E123)=0),"异常：税额批次不存在",IF(M123&gt;F123,"异常：本批次超额缴税",IF(AND(I123&lt;&gt;"",I123&gt;H123),"异常：超过事件截止日",IF(AND(P123&lt;&gt;"",TODAY()&gt;=P123,N123&gt;0),"异常：离职前未缴清","正常"))))))</f>
        <v/>
      </c>
      <c r="R123" s="11" t="n"/>
    </row>
    <row r="124">
      <c r="A124" s="6">
        <f>IF(AND(D124="",E124=""),"",IFERROR(INDEX('激励事件明细'!$C$2:$C$501,IF(D124&lt;&gt;"",MATCH(D124,'激励事件明细'!$A$2:$A$501,0),MATCH(E124,'激励事件明细'!$B$2:$B$501,0))),""))</f>
        <v/>
      </c>
      <c r="B124" s="6">
        <f>IF(A124="","",IFERROR(INDEX('激励事件明细'!$D$2:$D$501,IF(D124&lt;&gt;"",MATCH(D124,'激励事件明细'!$A$2:$A$501,0),MATCH(E124,'激励事件明细'!$B$2:$B$501,0))),""))</f>
        <v/>
      </c>
      <c r="C124" s="6">
        <f>IF(A124="","",IFERROR(INDEX('激励事件明细'!$H$2:$H$501,IF(D124&lt;&gt;"",MATCH(D124,'激励事件明细'!$A$2:$A$501,0),MATCH(E124,'激励事件明细'!$B$2:$B$501,0))),""))</f>
        <v/>
      </c>
      <c r="D124" s="11" t="n"/>
      <c r="E124" s="11" t="n"/>
      <c r="F124" s="14">
        <f>IF(A124="","",IFERROR(INDEX('激励事件明细'!$Z$2:$Z$501,IF(D124&lt;&gt;"",MATCH(D124,'激励事件明细'!$A$2:$A$501,0),MATCH(E124,'激励事件明细'!$B$2:$B$501,0))),""))</f>
        <v/>
      </c>
      <c r="G124" s="16">
        <f>IF(A124="","",IFERROR(INDEX('激励事件明细'!$AA$2:$AA$501,IF(D124&lt;&gt;"",MATCH(D124,'激励事件明细'!$A$2:$A$501,0),MATCH(E124,'激励事件明细'!$B$2:$B$501,0))),""))</f>
        <v/>
      </c>
      <c r="H124" s="16">
        <f>IF(A124="","",IFERROR(INDEX('激励事件明细'!$AB$2:$AB$501,IF(D124&lt;&gt;"",MATCH(D124,'激励事件明细'!$A$2:$A$501,0),MATCH(E124,'激励事件明细'!$B$2:$B$501,0))),""))</f>
        <v/>
      </c>
      <c r="I124" s="12" t="n"/>
      <c r="J124" s="13" t="n"/>
      <c r="K124" s="13" t="n"/>
      <c r="L124" s="11" t="n"/>
      <c r="M124" s="14">
        <f>IF(A124="","",IF(D124&lt;&gt;"",SUMIFS($K$2:$K$501,$D$2:$D$501,D124),SUMIFS($K$2:$K$501,$E$2:$E$501,E124)))</f>
        <v/>
      </c>
      <c r="N124" s="14">
        <f>IF(F124="","",MAX(0,F124-M124))</f>
        <v/>
      </c>
      <c r="O124" s="6">
        <f>IF(A124="","",IF(AND(I124&lt;&gt;"",I124&gt;H124),"是",IF(AND(TODAY()&gt;H124,N124&gt;0),"是","否")))</f>
        <v/>
      </c>
      <c r="P124" s="16">
        <f>IF(A124="","",IFERROR(INDEX('激励事件明细'!$P$2:$P$501,IF(D124&lt;&gt;"",MATCH(D124,'激励事件明细'!$A$2:$A$501,0),MATCH(E124,'激励事件明细'!$B$2:$B$501,0))),""))</f>
        <v/>
      </c>
      <c r="Q124" s="6">
        <f>IF(AND(D124="",E124=""),"异常：必须关联事件编号或税额批次",IF(AND(D124&lt;&gt;"",COUNTIF('激励事件明细'!$A$2:$A$501,D124)=0),"异常：事件编号不存在",IF(AND(E124&lt;&gt;"",COUNTIF('激励事件明细'!$B$2:$B$501,E124)=0),"异常：税额批次不存在",IF(M124&gt;F124,"异常：本批次超额缴税",IF(AND(I124&lt;&gt;"",I124&gt;H124),"异常：超过事件截止日",IF(AND(P124&lt;&gt;"",TODAY()&gt;=P124,N124&gt;0),"异常：离职前未缴清","正常"))))))</f>
        <v/>
      </c>
      <c r="R124" s="11" t="n"/>
    </row>
    <row r="125">
      <c r="A125" s="6">
        <f>IF(AND(D125="",E125=""),"",IFERROR(INDEX('激励事件明细'!$C$2:$C$501,IF(D125&lt;&gt;"",MATCH(D125,'激励事件明细'!$A$2:$A$501,0),MATCH(E125,'激励事件明细'!$B$2:$B$501,0))),""))</f>
        <v/>
      </c>
      <c r="B125" s="6">
        <f>IF(A125="","",IFERROR(INDEX('激励事件明细'!$D$2:$D$501,IF(D125&lt;&gt;"",MATCH(D125,'激励事件明细'!$A$2:$A$501,0),MATCH(E125,'激励事件明细'!$B$2:$B$501,0))),""))</f>
        <v/>
      </c>
      <c r="C125" s="6">
        <f>IF(A125="","",IFERROR(INDEX('激励事件明细'!$H$2:$H$501,IF(D125&lt;&gt;"",MATCH(D125,'激励事件明细'!$A$2:$A$501,0),MATCH(E125,'激励事件明细'!$B$2:$B$501,0))),""))</f>
        <v/>
      </c>
      <c r="D125" s="11" t="n"/>
      <c r="E125" s="11" t="n"/>
      <c r="F125" s="14">
        <f>IF(A125="","",IFERROR(INDEX('激励事件明细'!$Z$2:$Z$501,IF(D125&lt;&gt;"",MATCH(D125,'激励事件明细'!$A$2:$A$501,0),MATCH(E125,'激励事件明细'!$B$2:$B$501,0))),""))</f>
        <v/>
      </c>
      <c r="G125" s="16">
        <f>IF(A125="","",IFERROR(INDEX('激励事件明细'!$AA$2:$AA$501,IF(D125&lt;&gt;"",MATCH(D125,'激励事件明细'!$A$2:$A$501,0),MATCH(E125,'激励事件明细'!$B$2:$B$501,0))),""))</f>
        <v/>
      </c>
      <c r="H125" s="16">
        <f>IF(A125="","",IFERROR(INDEX('激励事件明细'!$AB$2:$AB$501,IF(D125&lt;&gt;"",MATCH(D125,'激励事件明细'!$A$2:$A$501,0),MATCH(E125,'激励事件明细'!$B$2:$B$501,0))),""))</f>
        <v/>
      </c>
      <c r="I125" s="12" t="n"/>
      <c r="J125" s="13" t="n"/>
      <c r="K125" s="13" t="n"/>
      <c r="L125" s="11" t="n"/>
      <c r="M125" s="14">
        <f>IF(A125="","",IF(D125&lt;&gt;"",SUMIFS($K$2:$K$501,$D$2:$D$501,D125),SUMIFS($K$2:$K$501,$E$2:$E$501,E125)))</f>
        <v/>
      </c>
      <c r="N125" s="14">
        <f>IF(F125="","",MAX(0,F125-M125))</f>
        <v/>
      </c>
      <c r="O125" s="6">
        <f>IF(A125="","",IF(AND(I125&lt;&gt;"",I125&gt;H125),"是",IF(AND(TODAY()&gt;H125,N125&gt;0),"是","否")))</f>
        <v/>
      </c>
      <c r="P125" s="16">
        <f>IF(A125="","",IFERROR(INDEX('激励事件明细'!$P$2:$P$501,IF(D125&lt;&gt;"",MATCH(D125,'激励事件明细'!$A$2:$A$501,0),MATCH(E125,'激励事件明细'!$B$2:$B$501,0))),""))</f>
        <v/>
      </c>
      <c r="Q125" s="6">
        <f>IF(AND(D125="",E125=""),"异常：必须关联事件编号或税额批次",IF(AND(D125&lt;&gt;"",COUNTIF('激励事件明细'!$A$2:$A$501,D125)=0),"异常：事件编号不存在",IF(AND(E125&lt;&gt;"",COUNTIF('激励事件明细'!$B$2:$B$501,E125)=0),"异常：税额批次不存在",IF(M125&gt;F125,"异常：本批次超额缴税",IF(AND(I125&lt;&gt;"",I125&gt;H125),"异常：超过事件截止日",IF(AND(P125&lt;&gt;"",TODAY()&gt;=P125,N125&gt;0),"异常：离职前未缴清","正常"))))))</f>
        <v/>
      </c>
      <c r="R125" s="11" t="n"/>
    </row>
    <row r="126">
      <c r="A126" s="6">
        <f>IF(AND(D126="",E126=""),"",IFERROR(INDEX('激励事件明细'!$C$2:$C$501,IF(D126&lt;&gt;"",MATCH(D126,'激励事件明细'!$A$2:$A$501,0),MATCH(E126,'激励事件明细'!$B$2:$B$501,0))),""))</f>
        <v/>
      </c>
      <c r="B126" s="6">
        <f>IF(A126="","",IFERROR(INDEX('激励事件明细'!$D$2:$D$501,IF(D126&lt;&gt;"",MATCH(D126,'激励事件明细'!$A$2:$A$501,0),MATCH(E126,'激励事件明细'!$B$2:$B$501,0))),""))</f>
        <v/>
      </c>
      <c r="C126" s="6">
        <f>IF(A126="","",IFERROR(INDEX('激励事件明细'!$H$2:$H$501,IF(D126&lt;&gt;"",MATCH(D126,'激励事件明细'!$A$2:$A$501,0),MATCH(E126,'激励事件明细'!$B$2:$B$501,0))),""))</f>
        <v/>
      </c>
      <c r="D126" s="11" t="n"/>
      <c r="E126" s="11" t="n"/>
      <c r="F126" s="14">
        <f>IF(A126="","",IFERROR(INDEX('激励事件明细'!$Z$2:$Z$501,IF(D126&lt;&gt;"",MATCH(D126,'激励事件明细'!$A$2:$A$501,0),MATCH(E126,'激励事件明细'!$B$2:$B$501,0))),""))</f>
        <v/>
      </c>
      <c r="G126" s="16">
        <f>IF(A126="","",IFERROR(INDEX('激励事件明细'!$AA$2:$AA$501,IF(D126&lt;&gt;"",MATCH(D126,'激励事件明细'!$A$2:$A$501,0),MATCH(E126,'激励事件明细'!$B$2:$B$501,0))),""))</f>
        <v/>
      </c>
      <c r="H126" s="16">
        <f>IF(A126="","",IFERROR(INDEX('激励事件明细'!$AB$2:$AB$501,IF(D126&lt;&gt;"",MATCH(D126,'激励事件明细'!$A$2:$A$501,0),MATCH(E126,'激励事件明细'!$B$2:$B$501,0))),""))</f>
        <v/>
      </c>
      <c r="I126" s="12" t="n"/>
      <c r="J126" s="13" t="n"/>
      <c r="K126" s="13" t="n"/>
      <c r="L126" s="11" t="n"/>
      <c r="M126" s="14">
        <f>IF(A126="","",IF(D126&lt;&gt;"",SUMIFS($K$2:$K$501,$D$2:$D$501,D126),SUMIFS($K$2:$K$501,$E$2:$E$501,E126)))</f>
        <v/>
      </c>
      <c r="N126" s="14">
        <f>IF(F126="","",MAX(0,F126-M126))</f>
        <v/>
      </c>
      <c r="O126" s="6">
        <f>IF(A126="","",IF(AND(I126&lt;&gt;"",I126&gt;H126),"是",IF(AND(TODAY()&gt;H126,N126&gt;0),"是","否")))</f>
        <v/>
      </c>
      <c r="P126" s="16">
        <f>IF(A126="","",IFERROR(INDEX('激励事件明细'!$P$2:$P$501,IF(D126&lt;&gt;"",MATCH(D126,'激励事件明细'!$A$2:$A$501,0),MATCH(E126,'激励事件明细'!$B$2:$B$501,0))),""))</f>
        <v/>
      </c>
      <c r="Q126" s="6">
        <f>IF(AND(D126="",E126=""),"异常：必须关联事件编号或税额批次",IF(AND(D126&lt;&gt;"",COUNTIF('激励事件明细'!$A$2:$A$501,D126)=0),"异常：事件编号不存在",IF(AND(E126&lt;&gt;"",COUNTIF('激励事件明细'!$B$2:$B$501,E126)=0),"异常：税额批次不存在",IF(M126&gt;F126,"异常：本批次超额缴税",IF(AND(I126&lt;&gt;"",I126&gt;H126),"异常：超过事件截止日",IF(AND(P126&lt;&gt;"",TODAY()&gt;=P126,N126&gt;0),"异常：离职前未缴清","正常"))))))</f>
        <v/>
      </c>
      <c r="R126" s="11" t="n"/>
    </row>
    <row r="127">
      <c r="A127" s="6">
        <f>IF(AND(D127="",E127=""),"",IFERROR(INDEX('激励事件明细'!$C$2:$C$501,IF(D127&lt;&gt;"",MATCH(D127,'激励事件明细'!$A$2:$A$501,0),MATCH(E127,'激励事件明细'!$B$2:$B$501,0))),""))</f>
        <v/>
      </c>
      <c r="B127" s="6">
        <f>IF(A127="","",IFERROR(INDEX('激励事件明细'!$D$2:$D$501,IF(D127&lt;&gt;"",MATCH(D127,'激励事件明细'!$A$2:$A$501,0),MATCH(E127,'激励事件明细'!$B$2:$B$501,0))),""))</f>
        <v/>
      </c>
      <c r="C127" s="6">
        <f>IF(A127="","",IFERROR(INDEX('激励事件明细'!$H$2:$H$501,IF(D127&lt;&gt;"",MATCH(D127,'激励事件明细'!$A$2:$A$501,0),MATCH(E127,'激励事件明细'!$B$2:$B$501,0))),""))</f>
        <v/>
      </c>
      <c r="D127" s="11" t="n"/>
      <c r="E127" s="11" t="n"/>
      <c r="F127" s="14">
        <f>IF(A127="","",IFERROR(INDEX('激励事件明细'!$Z$2:$Z$501,IF(D127&lt;&gt;"",MATCH(D127,'激励事件明细'!$A$2:$A$501,0),MATCH(E127,'激励事件明细'!$B$2:$B$501,0))),""))</f>
        <v/>
      </c>
      <c r="G127" s="16">
        <f>IF(A127="","",IFERROR(INDEX('激励事件明细'!$AA$2:$AA$501,IF(D127&lt;&gt;"",MATCH(D127,'激励事件明细'!$A$2:$A$501,0),MATCH(E127,'激励事件明细'!$B$2:$B$501,0))),""))</f>
        <v/>
      </c>
      <c r="H127" s="16">
        <f>IF(A127="","",IFERROR(INDEX('激励事件明细'!$AB$2:$AB$501,IF(D127&lt;&gt;"",MATCH(D127,'激励事件明细'!$A$2:$A$501,0),MATCH(E127,'激励事件明细'!$B$2:$B$501,0))),""))</f>
        <v/>
      </c>
      <c r="I127" s="12" t="n"/>
      <c r="J127" s="13" t="n"/>
      <c r="K127" s="13" t="n"/>
      <c r="L127" s="11" t="n"/>
      <c r="M127" s="14">
        <f>IF(A127="","",IF(D127&lt;&gt;"",SUMIFS($K$2:$K$501,$D$2:$D$501,D127),SUMIFS($K$2:$K$501,$E$2:$E$501,E127)))</f>
        <v/>
      </c>
      <c r="N127" s="14">
        <f>IF(F127="","",MAX(0,F127-M127))</f>
        <v/>
      </c>
      <c r="O127" s="6">
        <f>IF(A127="","",IF(AND(I127&lt;&gt;"",I127&gt;H127),"是",IF(AND(TODAY()&gt;H127,N127&gt;0),"是","否")))</f>
        <v/>
      </c>
      <c r="P127" s="16">
        <f>IF(A127="","",IFERROR(INDEX('激励事件明细'!$P$2:$P$501,IF(D127&lt;&gt;"",MATCH(D127,'激励事件明细'!$A$2:$A$501,0),MATCH(E127,'激励事件明细'!$B$2:$B$501,0))),""))</f>
        <v/>
      </c>
      <c r="Q127" s="6">
        <f>IF(AND(D127="",E127=""),"异常：必须关联事件编号或税额批次",IF(AND(D127&lt;&gt;"",COUNTIF('激励事件明细'!$A$2:$A$501,D127)=0),"异常：事件编号不存在",IF(AND(E127&lt;&gt;"",COUNTIF('激励事件明细'!$B$2:$B$501,E127)=0),"异常：税额批次不存在",IF(M127&gt;F127,"异常：本批次超额缴税",IF(AND(I127&lt;&gt;"",I127&gt;H127),"异常：超过事件截止日",IF(AND(P127&lt;&gt;"",TODAY()&gt;=P127,N127&gt;0),"异常：离职前未缴清","正常"))))))</f>
        <v/>
      </c>
      <c r="R127" s="11" t="n"/>
    </row>
    <row r="128">
      <c r="A128" s="6">
        <f>IF(AND(D128="",E128=""),"",IFERROR(INDEX('激励事件明细'!$C$2:$C$501,IF(D128&lt;&gt;"",MATCH(D128,'激励事件明细'!$A$2:$A$501,0),MATCH(E128,'激励事件明细'!$B$2:$B$501,0))),""))</f>
        <v/>
      </c>
      <c r="B128" s="6">
        <f>IF(A128="","",IFERROR(INDEX('激励事件明细'!$D$2:$D$501,IF(D128&lt;&gt;"",MATCH(D128,'激励事件明细'!$A$2:$A$501,0),MATCH(E128,'激励事件明细'!$B$2:$B$501,0))),""))</f>
        <v/>
      </c>
      <c r="C128" s="6">
        <f>IF(A128="","",IFERROR(INDEX('激励事件明细'!$H$2:$H$501,IF(D128&lt;&gt;"",MATCH(D128,'激励事件明细'!$A$2:$A$501,0),MATCH(E128,'激励事件明细'!$B$2:$B$501,0))),""))</f>
        <v/>
      </c>
      <c r="D128" s="11" t="n"/>
      <c r="E128" s="11" t="n"/>
      <c r="F128" s="14">
        <f>IF(A128="","",IFERROR(INDEX('激励事件明细'!$Z$2:$Z$501,IF(D128&lt;&gt;"",MATCH(D128,'激励事件明细'!$A$2:$A$501,0),MATCH(E128,'激励事件明细'!$B$2:$B$501,0))),""))</f>
        <v/>
      </c>
      <c r="G128" s="16">
        <f>IF(A128="","",IFERROR(INDEX('激励事件明细'!$AA$2:$AA$501,IF(D128&lt;&gt;"",MATCH(D128,'激励事件明细'!$A$2:$A$501,0),MATCH(E128,'激励事件明细'!$B$2:$B$501,0))),""))</f>
        <v/>
      </c>
      <c r="H128" s="16">
        <f>IF(A128="","",IFERROR(INDEX('激励事件明细'!$AB$2:$AB$501,IF(D128&lt;&gt;"",MATCH(D128,'激励事件明细'!$A$2:$A$501,0),MATCH(E128,'激励事件明细'!$B$2:$B$501,0))),""))</f>
        <v/>
      </c>
      <c r="I128" s="12" t="n"/>
      <c r="J128" s="13" t="n"/>
      <c r="K128" s="13" t="n"/>
      <c r="L128" s="11" t="n"/>
      <c r="M128" s="14">
        <f>IF(A128="","",IF(D128&lt;&gt;"",SUMIFS($K$2:$K$501,$D$2:$D$501,D128),SUMIFS($K$2:$K$501,$E$2:$E$501,E128)))</f>
        <v/>
      </c>
      <c r="N128" s="14">
        <f>IF(F128="","",MAX(0,F128-M128))</f>
        <v/>
      </c>
      <c r="O128" s="6">
        <f>IF(A128="","",IF(AND(I128&lt;&gt;"",I128&gt;H128),"是",IF(AND(TODAY()&gt;H128,N128&gt;0),"是","否")))</f>
        <v/>
      </c>
      <c r="P128" s="16">
        <f>IF(A128="","",IFERROR(INDEX('激励事件明细'!$P$2:$P$501,IF(D128&lt;&gt;"",MATCH(D128,'激励事件明细'!$A$2:$A$501,0),MATCH(E128,'激励事件明细'!$B$2:$B$501,0))),""))</f>
        <v/>
      </c>
      <c r="Q128" s="6">
        <f>IF(AND(D128="",E128=""),"异常：必须关联事件编号或税额批次",IF(AND(D128&lt;&gt;"",COUNTIF('激励事件明细'!$A$2:$A$501,D128)=0),"异常：事件编号不存在",IF(AND(E128&lt;&gt;"",COUNTIF('激励事件明细'!$B$2:$B$501,E128)=0),"异常：税额批次不存在",IF(M128&gt;F128,"异常：本批次超额缴税",IF(AND(I128&lt;&gt;"",I128&gt;H128),"异常：超过事件截止日",IF(AND(P128&lt;&gt;"",TODAY()&gt;=P128,N128&gt;0),"异常：离职前未缴清","正常"))))))</f>
        <v/>
      </c>
      <c r="R128" s="11" t="n"/>
    </row>
    <row r="129">
      <c r="A129" s="6">
        <f>IF(AND(D129="",E129=""),"",IFERROR(INDEX('激励事件明细'!$C$2:$C$501,IF(D129&lt;&gt;"",MATCH(D129,'激励事件明细'!$A$2:$A$501,0),MATCH(E129,'激励事件明细'!$B$2:$B$501,0))),""))</f>
        <v/>
      </c>
      <c r="B129" s="6">
        <f>IF(A129="","",IFERROR(INDEX('激励事件明细'!$D$2:$D$501,IF(D129&lt;&gt;"",MATCH(D129,'激励事件明细'!$A$2:$A$501,0),MATCH(E129,'激励事件明细'!$B$2:$B$501,0))),""))</f>
        <v/>
      </c>
      <c r="C129" s="6">
        <f>IF(A129="","",IFERROR(INDEX('激励事件明细'!$H$2:$H$501,IF(D129&lt;&gt;"",MATCH(D129,'激励事件明细'!$A$2:$A$501,0),MATCH(E129,'激励事件明细'!$B$2:$B$501,0))),""))</f>
        <v/>
      </c>
      <c r="D129" s="11" t="n"/>
      <c r="E129" s="11" t="n"/>
      <c r="F129" s="14">
        <f>IF(A129="","",IFERROR(INDEX('激励事件明细'!$Z$2:$Z$501,IF(D129&lt;&gt;"",MATCH(D129,'激励事件明细'!$A$2:$A$501,0),MATCH(E129,'激励事件明细'!$B$2:$B$501,0))),""))</f>
        <v/>
      </c>
      <c r="G129" s="16">
        <f>IF(A129="","",IFERROR(INDEX('激励事件明细'!$AA$2:$AA$501,IF(D129&lt;&gt;"",MATCH(D129,'激励事件明细'!$A$2:$A$501,0),MATCH(E129,'激励事件明细'!$B$2:$B$501,0))),""))</f>
        <v/>
      </c>
      <c r="H129" s="16">
        <f>IF(A129="","",IFERROR(INDEX('激励事件明细'!$AB$2:$AB$501,IF(D129&lt;&gt;"",MATCH(D129,'激励事件明细'!$A$2:$A$501,0),MATCH(E129,'激励事件明细'!$B$2:$B$501,0))),""))</f>
        <v/>
      </c>
      <c r="I129" s="12" t="n"/>
      <c r="J129" s="13" t="n"/>
      <c r="K129" s="13" t="n"/>
      <c r="L129" s="11" t="n"/>
      <c r="M129" s="14">
        <f>IF(A129="","",IF(D129&lt;&gt;"",SUMIFS($K$2:$K$501,$D$2:$D$501,D129),SUMIFS($K$2:$K$501,$E$2:$E$501,E129)))</f>
        <v/>
      </c>
      <c r="N129" s="14">
        <f>IF(F129="","",MAX(0,F129-M129))</f>
        <v/>
      </c>
      <c r="O129" s="6">
        <f>IF(A129="","",IF(AND(I129&lt;&gt;"",I129&gt;H129),"是",IF(AND(TODAY()&gt;H129,N129&gt;0),"是","否")))</f>
        <v/>
      </c>
      <c r="P129" s="16">
        <f>IF(A129="","",IFERROR(INDEX('激励事件明细'!$P$2:$P$501,IF(D129&lt;&gt;"",MATCH(D129,'激励事件明细'!$A$2:$A$501,0),MATCH(E129,'激励事件明细'!$B$2:$B$501,0))),""))</f>
        <v/>
      </c>
      <c r="Q129" s="6">
        <f>IF(AND(D129="",E129=""),"异常：必须关联事件编号或税额批次",IF(AND(D129&lt;&gt;"",COUNTIF('激励事件明细'!$A$2:$A$501,D129)=0),"异常：事件编号不存在",IF(AND(E129&lt;&gt;"",COUNTIF('激励事件明细'!$B$2:$B$501,E129)=0),"异常：税额批次不存在",IF(M129&gt;F129,"异常：本批次超额缴税",IF(AND(I129&lt;&gt;"",I129&gt;H129),"异常：超过事件截止日",IF(AND(P129&lt;&gt;"",TODAY()&gt;=P129,N129&gt;0),"异常：离职前未缴清","正常"))))))</f>
        <v/>
      </c>
      <c r="R129" s="11" t="n"/>
    </row>
    <row r="130">
      <c r="A130" s="6">
        <f>IF(AND(D130="",E130=""),"",IFERROR(INDEX('激励事件明细'!$C$2:$C$501,IF(D130&lt;&gt;"",MATCH(D130,'激励事件明细'!$A$2:$A$501,0),MATCH(E130,'激励事件明细'!$B$2:$B$501,0))),""))</f>
        <v/>
      </c>
      <c r="B130" s="6">
        <f>IF(A130="","",IFERROR(INDEX('激励事件明细'!$D$2:$D$501,IF(D130&lt;&gt;"",MATCH(D130,'激励事件明细'!$A$2:$A$501,0),MATCH(E130,'激励事件明细'!$B$2:$B$501,0))),""))</f>
        <v/>
      </c>
      <c r="C130" s="6">
        <f>IF(A130="","",IFERROR(INDEX('激励事件明细'!$H$2:$H$501,IF(D130&lt;&gt;"",MATCH(D130,'激励事件明细'!$A$2:$A$501,0),MATCH(E130,'激励事件明细'!$B$2:$B$501,0))),""))</f>
        <v/>
      </c>
      <c r="D130" s="11" t="n"/>
      <c r="E130" s="11" t="n"/>
      <c r="F130" s="14">
        <f>IF(A130="","",IFERROR(INDEX('激励事件明细'!$Z$2:$Z$501,IF(D130&lt;&gt;"",MATCH(D130,'激励事件明细'!$A$2:$A$501,0),MATCH(E130,'激励事件明细'!$B$2:$B$501,0))),""))</f>
        <v/>
      </c>
      <c r="G130" s="16">
        <f>IF(A130="","",IFERROR(INDEX('激励事件明细'!$AA$2:$AA$501,IF(D130&lt;&gt;"",MATCH(D130,'激励事件明细'!$A$2:$A$501,0),MATCH(E130,'激励事件明细'!$B$2:$B$501,0))),""))</f>
        <v/>
      </c>
      <c r="H130" s="16">
        <f>IF(A130="","",IFERROR(INDEX('激励事件明细'!$AB$2:$AB$501,IF(D130&lt;&gt;"",MATCH(D130,'激励事件明细'!$A$2:$A$501,0),MATCH(E130,'激励事件明细'!$B$2:$B$501,0))),""))</f>
        <v/>
      </c>
      <c r="I130" s="12" t="n"/>
      <c r="J130" s="13" t="n"/>
      <c r="K130" s="13" t="n"/>
      <c r="L130" s="11" t="n"/>
      <c r="M130" s="14">
        <f>IF(A130="","",IF(D130&lt;&gt;"",SUMIFS($K$2:$K$501,$D$2:$D$501,D130),SUMIFS($K$2:$K$501,$E$2:$E$501,E130)))</f>
        <v/>
      </c>
      <c r="N130" s="14">
        <f>IF(F130="","",MAX(0,F130-M130))</f>
        <v/>
      </c>
      <c r="O130" s="6">
        <f>IF(A130="","",IF(AND(I130&lt;&gt;"",I130&gt;H130),"是",IF(AND(TODAY()&gt;H130,N130&gt;0),"是","否")))</f>
        <v/>
      </c>
      <c r="P130" s="16">
        <f>IF(A130="","",IFERROR(INDEX('激励事件明细'!$P$2:$P$501,IF(D130&lt;&gt;"",MATCH(D130,'激励事件明细'!$A$2:$A$501,0),MATCH(E130,'激励事件明细'!$B$2:$B$501,0))),""))</f>
        <v/>
      </c>
      <c r="Q130" s="6">
        <f>IF(AND(D130="",E130=""),"异常：必须关联事件编号或税额批次",IF(AND(D130&lt;&gt;"",COUNTIF('激励事件明细'!$A$2:$A$501,D130)=0),"异常：事件编号不存在",IF(AND(E130&lt;&gt;"",COUNTIF('激励事件明细'!$B$2:$B$501,E130)=0),"异常：税额批次不存在",IF(M130&gt;F130,"异常：本批次超额缴税",IF(AND(I130&lt;&gt;"",I130&gt;H130),"异常：超过事件截止日",IF(AND(P130&lt;&gt;"",TODAY()&gt;=P130,N130&gt;0),"异常：离职前未缴清","正常"))))))</f>
        <v/>
      </c>
      <c r="R130" s="11" t="n"/>
    </row>
    <row r="131">
      <c r="A131" s="6">
        <f>IF(AND(D131="",E131=""),"",IFERROR(INDEX('激励事件明细'!$C$2:$C$501,IF(D131&lt;&gt;"",MATCH(D131,'激励事件明细'!$A$2:$A$501,0),MATCH(E131,'激励事件明细'!$B$2:$B$501,0))),""))</f>
        <v/>
      </c>
      <c r="B131" s="6">
        <f>IF(A131="","",IFERROR(INDEX('激励事件明细'!$D$2:$D$501,IF(D131&lt;&gt;"",MATCH(D131,'激励事件明细'!$A$2:$A$501,0),MATCH(E131,'激励事件明细'!$B$2:$B$501,0))),""))</f>
        <v/>
      </c>
      <c r="C131" s="6">
        <f>IF(A131="","",IFERROR(INDEX('激励事件明细'!$H$2:$H$501,IF(D131&lt;&gt;"",MATCH(D131,'激励事件明细'!$A$2:$A$501,0),MATCH(E131,'激励事件明细'!$B$2:$B$501,0))),""))</f>
        <v/>
      </c>
      <c r="D131" s="11" t="n"/>
      <c r="E131" s="11" t="n"/>
      <c r="F131" s="14">
        <f>IF(A131="","",IFERROR(INDEX('激励事件明细'!$Z$2:$Z$501,IF(D131&lt;&gt;"",MATCH(D131,'激励事件明细'!$A$2:$A$501,0),MATCH(E131,'激励事件明细'!$B$2:$B$501,0))),""))</f>
        <v/>
      </c>
      <c r="G131" s="16">
        <f>IF(A131="","",IFERROR(INDEX('激励事件明细'!$AA$2:$AA$501,IF(D131&lt;&gt;"",MATCH(D131,'激励事件明细'!$A$2:$A$501,0),MATCH(E131,'激励事件明细'!$B$2:$B$501,0))),""))</f>
        <v/>
      </c>
      <c r="H131" s="16">
        <f>IF(A131="","",IFERROR(INDEX('激励事件明细'!$AB$2:$AB$501,IF(D131&lt;&gt;"",MATCH(D131,'激励事件明细'!$A$2:$A$501,0),MATCH(E131,'激励事件明细'!$B$2:$B$501,0))),""))</f>
        <v/>
      </c>
      <c r="I131" s="12" t="n"/>
      <c r="J131" s="13" t="n"/>
      <c r="K131" s="13" t="n"/>
      <c r="L131" s="11" t="n"/>
      <c r="M131" s="14">
        <f>IF(A131="","",IF(D131&lt;&gt;"",SUMIFS($K$2:$K$501,$D$2:$D$501,D131),SUMIFS($K$2:$K$501,$E$2:$E$501,E131)))</f>
        <v/>
      </c>
      <c r="N131" s="14">
        <f>IF(F131="","",MAX(0,F131-M131))</f>
        <v/>
      </c>
      <c r="O131" s="6">
        <f>IF(A131="","",IF(AND(I131&lt;&gt;"",I131&gt;H131),"是",IF(AND(TODAY()&gt;H131,N131&gt;0),"是","否")))</f>
        <v/>
      </c>
      <c r="P131" s="16">
        <f>IF(A131="","",IFERROR(INDEX('激励事件明细'!$P$2:$P$501,IF(D131&lt;&gt;"",MATCH(D131,'激励事件明细'!$A$2:$A$501,0),MATCH(E131,'激励事件明细'!$B$2:$B$501,0))),""))</f>
        <v/>
      </c>
      <c r="Q131" s="6">
        <f>IF(AND(D131="",E131=""),"异常：必须关联事件编号或税额批次",IF(AND(D131&lt;&gt;"",COUNTIF('激励事件明细'!$A$2:$A$501,D131)=0),"异常：事件编号不存在",IF(AND(E131&lt;&gt;"",COUNTIF('激励事件明细'!$B$2:$B$501,E131)=0),"异常：税额批次不存在",IF(M131&gt;F131,"异常：本批次超额缴税",IF(AND(I131&lt;&gt;"",I131&gt;H131),"异常：超过事件截止日",IF(AND(P131&lt;&gt;"",TODAY()&gt;=P131,N131&gt;0),"异常：离职前未缴清","正常"))))))</f>
        <v/>
      </c>
      <c r="R131" s="11" t="n"/>
    </row>
    <row r="132">
      <c r="A132" s="6">
        <f>IF(AND(D132="",E132=""),"",IFERROR(INDEX('激励事件明细'!$C$2:$C$501,IF(D132&lt;&gt;"",MATCH(D132,'激励事件明细'!$A$2:$A$501,0),MATCH(E132,'激励事件明细'!$B$2:$B$501,0))),""))</f>
        <v/>
      </c>
      <c r="B132" s="6">
        <f>IF(A132="","",IFERROR(INDEX('激励事件明细'!$D$2:$D$501,IF(D132&lt;&gt;"",MATCH(D132,'激励事件明细'!$A$2:$A$501,0),MATCH(E132,'激励事件明细'!$B$2:$B$501,0))),""))</f>
        <v/>
      </c>
      <c r="C132" s="6">
        <f>IF(A132="","",IFERROR(INDEX('激励事件明细'!$H$2:$H$501,IF(D132&lt;&gt;"",MATCH(D132,'激励事件明细'!$A$2:$A$501,0),MATCH(E132,'激励事件明细'!$B$2:$B$501,0))),""))</f>
        <v/>
      </c>
      <c r="D132" s="11" t="n"/>
      <c r="E132" s="11" t="n"/>
      <c r="F132" s="14">
        <f>IF(A132="","",IFERROR(INDEX('激励事件明细'!$Z$2:$Z$501,IF(D132&lt;&gt;"",MATCH(D132,'激励事件明细'!$A$2:$A$501,0),MATCH(E132,'激励事件明细'!$B$2:$B$501,0))),""))</f>
        <v/>
      </c>
      <c r="G132" s="16">
        <f>IF(A132="","",IFERROR(INDEX('激励事件明细'!$AA$2:$AA$501,IF(D132&lt;&gt;"",MATCH(D132,'激励事件明细'!$A$2:$A$501,0),MATCH(E132,'激励事件明细'!$B$2:$B$501,0))),""))</f>
        <v/>
      </c>
      <c r="H132" s="16">
        <f>IF(A132="","",IFERROR(INDEX('激励事件明细'!$AB$2:$AB$501,IF(D132&lt;&gt;"",MATCH(D132,'激励事件明细'!$A$2:$A$501,0),MATCH(E132,'激励事件明细'!$B$2:$B$501,0))),""))</f>
        <v/>
      </c>
      <c r="I132" s="12" t="n"/>
      <c r="J132" s="13" t="n"/>
      <c r="K132" s="13" t="n"/>
      <c r="L132" s="11" t="n"/>
      <c r="M132" s="14">
        <f>IF(A132="","",IF(D132&lt;&gt;"",SUMIFS($K$2:$K$501,$D$2:$D$501,D132),SUMIFS($K$2:$K$501,$E$2:$E$501,E132)))</f>
        <v/>
      </c>
      <c r="N132" s="14">
        <f>IF(F132="","",MAX(0,F132-M132))</f>
        <v/>
      </c>
      <c r="O132" s="6">
        <f>IF(A132="","",IF(AND(I132&lt;&gt;"",I132&gt;H132),"是",IF(AND(TODAY()&gt;H132,N132&gt;0),"是","否")))</f>
        <v/>
      </c>
      <c r="P132" s="16">
        <f>IF(A132="","",IFERROR(INDEX('激励事件明细'!$P$2:$P$501,IF(D132&lt;&gt;"",MATCH(D132,'激励事件明细'!$A$2:$A$501,0),MATCH(E132,'激励事件明细'!$B$2:$B$501,0))),""))</f>
        <v/>
      </c>
      <c r="Q132" s="6">
        <f>IF(AND(D132="",E132=""),"异常：必须关联事件编号或税额批次",IF(AND(D132&lt;&gt;"",COUNTIF('激励事件明细'!$A$2:$A$501,D132)=0),"异常：事件编号不存在",IF(AND(E132&lt;&gt;"",COUNTIF('激励事件明细'!$B$2:$B$501,E132)=0),"异常：税额批次不存在",IF(M132&gt;F132,"异常：本批次超额缴税",IF(AND(I132&lt;&gt;"",I132&gt;H132),"异常：超过事件截止日",IF(AND(P132&lt;&gt;"",TODAY()&gt;=P132,N132&gt;0),"异常：离职前未缴清","正常"))))))</f>
        <v/>
      </c>
      <c r="R132" s="11" t="n"/>
    </row>
    <row r="133">
      <c r="A133" s="6">
        <f>IF(AND(D133="",E133=""),"",IFERROR(INDEX('激励事件明细'!$C$2:$C$501,IF(D133&lt;&gt;"",MATCH(D133,'激励事件明细'!$A$2:$A$501,0),MATCH(E133,'激励事件明细'!$B$2:$B$501,0))),""))</f>
        <v/>
      </c>
      <c r="B133" s="6">
        <f>IF(A133="","",IFERROR(INDEX('激励事件明细'!$D$2:$D$501,IF(D133&lt;&gt;"",MATCH(D133,'激励事件明细'!$A$2:$A$501,0),MATCH(E133,'激励事件明细'!$B$2:$B$501,0))),""))</f>
        <v/>
      </c>
      <c r="C133" s="6">
        <f>IF(A133="","",IFERROR(INDEX('激励事件明细'!$H$2:$H$501,IF(D133&lt;&gt;"",MATCH(D133,'激励事件明细'!$A$2:$A$501,0),MATCH(E133,'激励事件明细'!$B$2:$B$501,0))),""))</f>
        <v/>
      </c>
      <c r="D133" s="11" t="n"/>
      <c r="E133" s="11" t="n"/>
      <c r="F133" s="14">
        <f>IF(A133="","",IFERROR(INDEX('激励事件明细'!$Z$2:$Z$501,IF(D133&lt;&gt;"",MATCH(D133,'激励事件明细'!$A$2:$A$501,0),MATCH(E133,'激励事件明细'!$B$2:$B$501,0))),""))</f>
        <v/>
      </c>
      <c r="G133" s="16">
        <f>IF(A133="","",IFERROR(INDEX('激励事件明细'!$AA$2:$AA$501,IF(D133&lt;&gt;"",MATCH(D133,'激励事件明细'!$A$2:$A$501,0),MATCH(E133,'激励事件明细'!$B$2:$B$501,0))),""))</f>
        <v/>
      </c>
      <c r="H133" s="16">
        <f>IF(A133="","",IFERROR(INDEX('激励事件明细'!$AB$2:$AB$501,IF(D133&lt;&gt;"",MATCH(D133,'激励事件明细'!$A$2:$A$501,0),MATCH(E133,'激励事件明细'!$B$2:$B$501,0))),""))</f>
        <v/>
      </c>
      <c r="I133" s="12" t="n"/>
      <c r="J133" s="13" t="n"/>
      <c r="K133" s="13" t="n"/>
      <c r="L133" s="11" t="n"/>
      <c r="M133" s="14">
        <f>IF(A133="","",IF(D133&lt;&gt;"",SUMIFS($K$2:$K$501,$D$2:$D$501,D133),SUMIFS($K$2:$K$501,$E$2:$E$501,E133)))</f>
        <v/>
      </c>
      <c r="N133" s="14">
        <f>IF(F133="","",MAX(0,F133-M133))</f>
        <v/>
      </c>
      <c r="O133" s="6">
        <f>IF(A133="","",IF(AND(I133&lt;&gt;"",I133&gt;H133),"是",IF(AND(TODAY()&gt;H133,N133&gt;0),"是","否")))</f>
        <v/>
      </c>
      <c r="P133" s="16">
        <f>IF(A133="","",IFERROR(INDEX('激励事件明细'!$P$2:$P$501,IF(D133&lt;&gt;"",MATCH(D133,'激励事件明细'!$A$2:$A$501,0),MATCH(E133,'激励事件明细'!$B$2:$B$501,0))),""))</f>
        <v/>
      </c>
      <c r="Q133" s="6">
        <f>IF(AND(D133="",E133=""),"异常：必须关联事件编号或税额批次",IF(AND(D133&lt;&gt;"",COUNTIF('激励事件明细'!$A$2:$A$501,D133)=0),"异常：事件编号不存在",IF(AND(E133&lt;&gt;"",COUNTIF('激励事件明细'!$B$2:$B$501,E133)=0),"异常：税额批次不存在",IF(M133&gt;F133,"异常：本批次超额缴税",IF(AND(I133&lt;&gt;"",I133&gt;H133),"异常：超过事件截止日",IF(AND(P133&lt;&gt;"",TODAY()&gt;=P133,N133&gt;0),"异常：离职前未缴清","正常"))))))</f>
        <v/>
      </c>
      <c r="R133" s="11" t="n"/>
    </row>
    <row r="134">
      <c r="A134" s="6">
        <f>IF(AND(D134="",E134=""),"",IFERROR(INDEX('激励事件明细'!$C$2:$C$501,IF(D134&lt;&gt;"",MATCH(D134,'激励事件明细'!$A$2:$A$501,0),MATCH(E134,'激励事件明细'!$B$2:$B$501,0))),""))</f>
        <v/>
      </c>
      <c r="B134" s="6">
        <f>IF(A134="","",IFERROR(INDEX('激励事件明细'!$D$2:$D$501,IF(D134&lt;&gt;"",MATCH(D134,'激励事件明细'!$A$2:$A$501,0),MATCH(E134,'激励事件明细'!$B$2:$B$501,0))),""))</f>
        <v/>
      </c>
      <c r="C134" s="6">
        <f>IF(A134="","",IFERROR(INDEX('激励事件明细'!$H$2:$H$501,IF(D134&lt;&gt;"",MATCH(D134,'激励事件明细'!$A$2:$A$501,0),MATCH(E134,'激励事件明细'!$B$2:$B$501,0))),""))</f>
        <v/>
      </c>
      <c r="D134" s="11" t="n"/>
      <c r="E134" s="11" t="n"/>
      <c r="F134" s="14">
        <f>IF(A134="","",IFERROR(INDEX('激励事件明细'!$Z$2:$Z$501,IF(D134&lt;&gt;"",MATCH(D134,'激励事件明细'!$A$2:$A$501,0),MATCH(E134,'激励事件明细'!$B$2:$B$501,0))),""))</f>
        <v/>
      </c>
      <c r="G134" s="16">
        <f>IF(A134="","",IFERROR(INDEX('激励事件明细'!$AA$2:$AA$501,IF(D134&lt;&gt;"",MATCH(D134,'激励事件明细'!$A$2:$A$501,0),MATCH(E134,'激励事件明细'!$B$2:$B$501,0))),""))</f>
        <v/>
      </c>
      <c r="H134" s="16">
        <f>IF(A134="","",IFERROR(INDEX('激励事件明细'!$AB$2:$AB$501,IF(D134&lt;&gt;"",MATCH(D134,'激励事件明细'!$A$2:$A$501,0),MATCH(E134,'激励事件明细'!$B$2:$B$501,0))),""))</f>
        <v/>
      </c>
      <c r="I134" s="12" t="n"/>
      <c r="J134" s="13" t="n"/>
      <c r="K134" s="13" t="n"/>
      <c r="L134" s="11" t="n"/>
      <c r="M134" s="14">
        <f>IF(A134="","",IF(D134&lt;&gt;"",SUMIFS($K$2:$K$501,$D$2:$D$501,D134),SUMIFS($K$2:$K$501,$E$2:$E$501,E134)))</f>
        <v/>
      </c>
      <c r="N134" s="14">
        <f>IF(F134="","",MAX(0,F134-M134))</f>
        <v/>
      </c>
      <c r="O134" s="6">
        <f>IF(A134="","",IF(AND(I134&lt;&gt;"",I134&gt;H134),"是",IF(AND(TODAY()&gt;H134,N134&gt;0),"是","否")))</f>
        <v/>
      </c>
      <c r="P134" s="16">
        <f>IF(A134="","",IFERROR(INDEX('激励事件明细'!$P$2:$P$501,IF(D134&lt;&gt;"",MATCH(D134,'激励事件明细'!$A$2:$A$501,0),MATCH(E134,'激励事件明细'!$B$2:$B$501,0))),""))</f>
        <v/>
      </c>
      <c r="Q134" s="6">
        <f>IF(AND(D134="",E134=""),"异常：必须关联事件编号或税额批次",IF(AND(D134&lt;&gt;"",COUNTIF('激励事件明细'!$A$2:$A$501,D134)=0),"异常：事件编号不存在",IF(AND(E134&lt;&gt;"",COUNTIF('激励事件明细'!$B$2:$B$501,E134)=0),"异常：税额批次不存在",IF(M134&gt;F134,"异常：本批次超额缴税",IF(AND(I134&lt;&gt;"",I134&gt;H134),"异常：超过事件截止日",IF(AND(P134&lt;&gt;"",TODAY()&gt;=P134,N134&gt;0),"异常：离职前未缴清","正常"))))))</f>
        <v/>
      </c>
      <c r="R134" s="11" t="n"/>
    </row>
    <row r="135">
      <c r="A135" s="6">
        <f>IF(AND(D135="",E135=""),"",IFERROR(INDEX('激励事件明细'!$C$2:$C$501,IF(D135&lt;&gt;"",MATCH(D135,'激励事件明细'!$A$2:$A$501,0),MATCH(E135,'激励事件明细'!$B$2:$B$501,0))),""))</f>
        <v/>
      </c>
      <c r="B135" s="6">
        <f>IF(A135="","",IFERROR(INDEX('激励事件明细'!$D$2:$D$501,IF(D135&lt;&gt;"",MATCH(D135,'激励事件明细'!$A$2:$A$501,0),MATCH(E135,'激励事件明细'!$B$2:$B$501,0))),""))</f>
        <v/>
      </c>
      <c r="C135" s="6">
        <f>IF(A135="","",IFERROR(INDEX('激励事件明细'!$H$2:$H$501,IF(D135&lt;&gt;"",MATCH(D135,'激励事件明细'!$A$2:$A$501,0),MATCH(E135,'激励事件明细'!$B$2:$B$501,0))),""))</f>
        <v/>
      </c>
      <c r="D135" s="11" t="n"/>
      <c r="E135" s="11" t="n"/>
      <c r="F135" s="14">
        <f>IF(A135="","",IFERROR(INDEX('激励事件明细'!$Z$2:$Z$501,IF(D135&lt;&gt;"",MATCH(D135,'激励事件明细'!$A$2:$A$501,0),MATCH(E135,'激励事件明细'!$B$2:$B$501,0))),""))</f>
        <v/>
      </c>
      <c r="G135" s="16">
        <f>IF(A135="","",IFERROR(INDEX('激励事件明细'!$AA$2:$AA$501,IF(D135&lt;&gt;"",MATCH(D135,'激励事件明细'!$A$2:$A$501,0),MATCH(E135,'激励事件明细'!$B$2:$B$501,0))),""))</f>
        <v/>
      </c>
      <c r="H135" s="16">
        <f>IF(A135="","",IFERROR(INDEX('激励事件明细'!$AB$2:$AB$501,IF(D135&lt;&gt;"",MATCH(D135,'激励事件明细'!$A$2:$A$501,0),MATCH(E135,'激励事件明细'!$B$2:$B$501,0))),""))</f>
        <v/>
      </c>
      <c r="I135" s="12" t="n"/>
      <c r="J135" s="13" t="n"/>
      <c r="K135" s="13" t="n"/>
      <c r="L135" s="11" t="n"/>
      <c r="M135" s="14">
        <f>IF(A135="","",IF(D135&lt;&gt;"",SUMIFS($K$2:$K$501,$D$2:$D$501,D135),SUMIFS($K$2:$K$501,$E$2:$E$501,E135)))</f>
        <v/>
      </c>
      <c r="N135" s="14">
        <f>IF(F135="","",MAX(0,F135-M135))</f>
        <v/>
      </c>
      <c r="O135" s="6">
        <f>IF(A135="","",IF(AND(I135&lt;&gt;"",I135&gt;H135),"是",IF(AND(TODAY()&gt;H135,N135&gt;0),"是","否")))</f>
        <v/>
      </c>
      <c r="P135" s="16">
        <f>IF(A135="","",IFERROR(INDEX('激励事件明细'!$P$2:$P$501,IF(D135&lt;&gt;"",MATCH(D135,'激励事件明细'!$A$2:$A$501,0),MATCH(E135,'激励事件明细'!$B$2:$B$501,0))),""))</f>
        <v/>
      </c>
      <c r="Q135" s="6">
        <f>IF(AND(D135="",E135=""),"异常：必须关联事件编号或税额批次",IF(AND(D135&lt;&gt;"",COUNTIF('激励事件明细'!$A$2:$A$501,D135)=0),"异常：事件编号不存在",IF(AND(E135&lt;&gt;"",COUNTIF('激励事件明细'!$B$2:$B$501,E135)=0),"异常：税额批次不存在",IF(M135&gt;F135,"异常：本批次超额缴税",IF(AND(I135&lt;&gt;"",I135&gt;H135),"异常：超过事件截止日",IF(AND(P135&lt;&gt;"",TODAY()&gt;=P135,N135&gt;0),"异常：离职前未缴清","正常"))))))</f>
        <v/>
      </c>
      <c r="R135" s="11" t="n"/>
    </row>
    <row r="136">
      <c r="A136" s="6">
        <f>IF(AND(D136="",E136=""),"",IFERROR(INDEX('激励事件明细'!$C$2:$C$501,IF(D136&lt;&gt;"",MATCH(D136,'激励事件明细'!$A$2:$A$501,0),MATCH(E136,'激励事件明细'!$B$2:$B$501,0))),""))</f>
        <v/>
      </c>
      <c r="B136" s="6">
        <f>IF(A136="","",IFERROR(INDEX('激励事件明细'!$D$2:$D$501,IF(D136&lt;&gt;"",MATCH(D136,'激励事件明细'!$A$2:$A$501,0),MATCH(E136,'激励事件明细'!$B$2:$B$501,0))),""))</f>
        <v/>
      </c>
      <c r="C136" s="6">
        <f>IF(A136="","",IFERROR(INDEX('激励事件明细'!$H$2:$H$501,IF(D136&lt;&gt;"",MATCH(D136,'激励事件明细'!$A$2:$A$501,0),MATCH(E136,'激励事件明细'!$B$2:$B$501,0))),""))</f>
        <v/>
      </c>
      <c r="D136" s="11" t="n"/>
      <c r="E136" s="11" t="n"/>
      <c r="F136" s="14">
        <f>IF(A136="","",IFERROR(INDEX('激励事件明细'!$Z$2:$Z$501,IF(D136&lt;&gt;"",MATCH(D136,'激励事件明细'!$A$2:$A$501,0),MATCH(E136,'激励事件明细'!$B$2:$B$501,0))),""))</f>
        <v/>
      </c>
      <c r="G136" s="16">
        <f>IF(A136="","",IFERROR(INDEX('激励事件明细'!$AA$2:$AA$501,IF(D136&lt;&gt;"",MATCH(D136,'激励事件明细'!$A$2:$A$501,0),MATCH(E136,'激励事件明细'!$B$2:$B$501,0))),""))</f>
        <v/>
      </c>
      <c r="H136" s="16">
        <f>IF(A136="","",IFERROR(INDEX('激励事件明细'!$AB$2:$AB$501,IF(D136&lt;&gt;"",MATCH(D136,'激励事件明细'!$A$2:$A$501,0),MATCH(E136,'激励事件明细'!$B$2:$B$501,0))),""))</f>
        <v/>
      </c>
      <c r="I136" s="12" t="n"/>
      <c r="J136" s="13" t="n"/>
      <c r="K136" s="13" t="n"/>
      <c r="L136" s="11" t="n"/>
      <c r="M136" s="14">
        <f>IF(A136="","",IF(D136&lt;&gt;"",SUMIFS($K$2:$K$501,$D$2:$D$501,D136),SUMIFS($K$2:$K$501,$E$2:$E$501,E136)))</f>
        <v/>
      </c>
      <c r="N136" s="14">
        <f>IF(F136="","",MAX(0,F136-M136))</f>
        <v/>
      </c>
      <c r="O136" s="6">
        <f>IF(A136="","",IF(AND(I136&lt;&gt;"",I136&gt;H136),"是",IF(AND(TODAY()&gt;H136,N136&gt;0),"是","否")))</f>
        <v/>
      </c>
      <c r="P136" s="16">
        <f>IF(A136="","",IFERROR(INDEX('激励事件明细'!$P$2:$P$501,IF(D136&lt;&gt;"",MATCH(D136,'激励事件明细'!$A$2:$A$501,0),MATCH(E136,'激励事件明细'!$B$2:$B$501,0))),""))</f>
        <v/>
      </c>
      <c r="Q136" s="6">
        <f>IF(AND(D136="",E136=""),"异常：必须关联事件编号或税额批次",IF(AND(D136&lt;&gt;"",COUNTIF('激励事件明细'!$A$2:$A$501,D136)=0),"异常：事件编号不存在",IF(AND(E136&lt;&gt;"",COUNTIF('激励事件明细'!$B$2:$B$501,E136)=0),"异常：税额批次不存在",IF(M136&gt;F136,"异常：本批次超额缴税",IF(AND(I136&lt;&gt;"",I136&gt;H136),"异常：超过事件截止日",IF(AND(P136&lt;&gt;"",TODAY()&gt;=P136,N136&gt;0),"异常：离职前未缴清","正常"))))))</f>
        <v/>
      </c>
      <c r="R136" s="11" t="n"/>
    </row>
    <row r="137">
      <c r="A137" s="6">
        <f>IF(AND(D137="",E137=""),"",IFERROR(INDEX('激励事件明细'!$C$2:$C$501,IF(D137&lt;&gt;"",MATCH(D137,'激励事件明细'!$A$2:$A$501,0),MATCH(E137,'激励事件明细'!$B$2:$B$501,0))),""))</f>
        <v/>
      </c>
      <c r="B137" s="6">
        <f>IF(A137="","",IFERROR(INDEX('激励事件明细'!$D$2:$D$501,IF(D137&lt;&gt;"",MATCH(D137,'激励事件明细'!$A$2:$A$501,0),MATCH(E137,'激励事件明细'!$B$2:$B$501,0))),""))</f>
        <v/>
      </c>
      <c r="C137" s="6">
        <f>IF(A137="","",IFERROR(INDEX('激励事件明细'!$H$2:$H$501,IF(D137&lt;&gt;"",MATCH(D137,'激励事件明细'!$A$2:$A$501,0),MATCH(E137,'激励事件明细'!$B$2:$B$501,0))),""))</f>
        <v/>
      </c>
      <c r="D137" s="11" t="n"/>
      <c r="E137" s="11" t="n"/>
      <c r="F137" s="14">
        <f>IF(A137="","",IFERROR(INDEX('激励事件明细'!$Z$2:$Z$501,IF(D137&lt;&gt;"",MATCH(D137,'激励事件明细'!$A$2:$A$501,0),MATCH(E137,'激励事件明细'!$B$2:$B$501,0))),""))</f>
        <v/>
      </c>
      <c r="G137" s="16">
        <f>IF(A137="","",IFERROR(INDEX('激励事件明细'!$AA$2:$AA$501,IF(D137&lt;&gt;"",MATCH(D137,'激励事件明细'!$A$2:$A$501,0),MATCH(E137,'激励事件明细'!$B$2:$B$501,0))),""))</f>
        <v/>
      </c>
      <c r="H137" s="16">
        <f>IF(A137="","",IFERROR(INDEX('激励事件明细'!$AB$2:$AB$501,IF(D137&lt;&gt;"",MATCH(D137,'激励事件明细'!$A$2:$A$501,0),MATCH(E137,'激励事件明细'!$B$2:$B$501,0))),""))</f>
        <v/>
      </c>
      <c r="I137" s="12" t="n"/>
      <c r="J137" s="13" t="n"/>
      <c r="K137" s="13" t="n"/>
      <c r="L137" s="11" t="n"/>
      <c r="M137" s="14">
        <f>IF(A137="","",IF(D137&lt;&gt;"",SUMIFS($K$2:$K$501,$D$2:$D$501,D137),SUMIFS($K$2:$K$501,$E$2:$E$501,E137)))</f>
        <v/>
      </c>
      <c r="N137" s="14">
        <f>IF(F137="","",MAX(0,F137-M137))</f>
        <v/>
      </c>
      <c r="O137" s="6">
        <f>IF(A137="","",IF(AND(I137&lt;&gt;"",I137&gt;H137),"是",IF(AND(TODAY()&gt;H137,N137&gt;0),"是","否")))</f>
        <v/>
      </c>
      <c r="P137" s="16">
        <f>IF(A137="","",IFERROR(INDEX('激励事件明细'!$P$2:$P$501,IF(D137&lt;&gt;"",MATCH(D137,'激励事件明细'!$A$2:$A$501,0),MATCH(E137,'激励事件明细'!$B$2:$B$501,0))),""))</f>
        <v/>
      </c>
      <c r="Q137" s="6">
        <f>IF(AND(D137="",E137=""),"异常：必须关联事件编号或税额批次",IF(AND(D137&lt;&gt;"",COUNTIF('激励事件明细'!$A$2:$A$501,D137)=0),"异常：事件编号不存在",IF(AND(E137&lt;&gt;"",COUNTIF('激励事件明细'!$B$2:$B$501,E137)=0),"异常：税额批次不存在",IF(M137&gt;F137,"异常：本批次超额缴税",IF(AND(I137&lt;&gt;"",I137&gt;H137),"异常：超过事件截止日",IF(AND(P137&lt;&gt;"",TODAY()&gt;=P137,N137&gt;0),"异常：离职前未缴清","正常"))))))</f>
        <v/>
      </c>
      <c r="R137" s="11" t="n"/>
    </row>
    <row r="138">
      <c r="A138" s="6">
        <f>IF(AND(D138="",E138=""),"",IFERROR(INDEX('激励事件明细'!$C$2:$C$501,IF(D138&lt;&gt;"",MATCH(D138,'激励事件明细'!$A$2:$A$501,0),MATCH(E138,'激励事件明细'!$B$2:$B$501,0))),""))</f>
        <v/>
      </c>
      <c r="B138" s="6">
        <f>IF(A138="","",IFERROR(INDEX('激励事件明细'!$D$2:$D$501,IF(D138&lt;&gt;"",MATCH(D138,'激励事件明细'!$A$2:$A$501,0),MATCH(E138,'激励事件明细'!$B$2:$B$501,0))),""))</f>
        <v/>
      </c>
      <c r="C138" s="6">
        <f>IF(A138="","",IFERROR(INDEX('激励事件明细'!$H$2:$H$501,IF(D138&lt;&gt;"",MATCH(D138,'激励事件明细'!$A$2:$A$501,0),MATCH(E138,'激励事件明细'!$B$2:$B$501,0))),""))</f>
        <v/>
      </c>
      <c r="D138" s="11" t="n"/>
      <c r="E138" s="11" t="n"/>
      <c r="F138" s="14">
        <f>IF(A138="","",IFERROR(INDEX('激励事件明细'!$Z$2:$Z$501,IF(D138&lt;&gt;"",MATCH(D138,'激励事件明细'!$A$2:$A$501,0),MATCH(E138,'激励事件明细'!$B$2:$B$501,0))),""))</f>
        <v/>
      </c>
      <c r="G138" s="16">
        <f>IF(A138="","",IFERROR(INDEX('激励事件明细'!$AA$2:$AA$501,IF(D138&lt;&gt;"",MATCH(D138,'激励事件明细'!$A$2:$A$501,0),MATCH(E138,'激励事件明细'!$B$2:$B$501,0))),""))</f>
        <v/>
      </c>
      <c r="H138" s="16">
        <f>IF(A138="","",IFERROR(INDEX('激励事件明细'!$AB$2:$AB$501,IF(D138&lt;&gt;"",MATCH(D138,'激励事件明细'!$A$2:$A$501,0),MATCH(E138,'激励事件明细'!$B$2:$B$501,0))),""))</f>
        <v/>
      </c>
      <c r="I138" s="12" t="n"/>
      <c r="J138" s="13" t="n"/>
      <c r="K138" s="13" t="n"/>
      <c r="L138" s="11" t="n"/>
      <c r="M138" s="14">
        <f>IF(A138="","",IF(D138&lt;&gt;"",SUMIFS($K$2:$K$501,$D$2:$D$501,D138),SUMIFS($K$2:$K$501,$E$2:$E$501,E138)))</f>
        <v/>
      </c>
      <c r="N138" s="14">
        <f>IF(F138="","",MAX(0,F138-M138))</f>
        <v/>
      </c>
      <c r="O138" s="6">
        <f>IF(A138="","",IF(AND(I138&lt;&gt;"",I138&gt;H138),"是",IF(AND(TODAY()&gt;H138,N138&gt;0),"是","否")))</f>
        <v/>
      </c>
      <c r="P138" s="16">
        <f>IF(A138="","",IFERROR(INDEX('激励事件明细'!$P$2:$P$501,IF(D138&lt;&gt;"",MATCH(D138,'激励事件明细'!$A$2:$A$501,0),MATCH(E138,'激励事件明细'!$B$2:$B$501,0))),""))</f>
        <v/>
      </c>
      <c r="Q138" s="6">
        <f>IF(AND(D138="",E138=""),"异常：必须关联事件编号或税额批次",IF(AND(D138&lt;&gt;"",COUNTIF('激励事件明细'!$A$2:$A$501,D138)=0),"异常：事件编号不存在",IF(AND(E138&lt;&gt;"",COUNTIF('激励事件明细'!$B$2:$B$501,E138)=0),"异常：税额批次不存在",IF(M138&gt;F138,"异常：本批次超额缴税",IF(AND(I138&lt;&gt;"",I138&gt;H138),"异常：超过事件截止日",IF(AND(P138&lt;&gt;"",TODAY()&gt;=P138,N138&gt;0),"异常：离职前未缴清","正常"))))))</f>
        <v/>
      </c>
      <c r="R138" s="11" t="n"/>
    </row>
    <row r="139">
      <c r="A139" s="6">
        <f>IF(AND(D139="",E139=""),"",IFERROR(INDEX('激励事件明细'!$C$2:$C$501,IF(D139&lt;&gt;"",MATCH(D139,'激励事件明细'!$A$2:$A$501,0),MATCH(E139,'激励事件明细'!$B$2:$B$501,0))),""))</f>
        <v/>
      </c>
      <c r="B139" s="6">
        <f>IF(A139="","",IFERROR(INDEX('激励事件明细'!$D$2:$D$501,IF(D139&lt;&gt;"",MATCH(D139,'激励事件明细'!$A$2:$A$501,0),MATCH(E139,'激励事件明细'!$B$2:$B$501,0))),""))</f>
        <v/>
      </c>
      <c r="C139" s="6">
        <f>IF(A139="","",IFERROR(INDEX('激励事件明细'!$H$2:$H$501,IF(D139&lt;&gt;"",MATCH(D139,'激励事件明细'!$A$2:$A$501,0),MATCH(E139,'激励事件明细'!$B$2:$B$501,0))),""))</f>
        <v/>
      </c>
      <c r="D139" s="11" t="n"/>
      <c r="E139" s="11" t="n"/>
      <c r="F139" s="14">
        <f>IF(A139="","",IFERROR(INDEX('激励事件明细'!$Z$2:$Z$501,IF(D139&lt;&gt;"",MATCH(D139,'激励事件明细'!$A$2:$A$501,0),MATCH(E139,'激励事件明细'!$B$2:$B$501,0))),""))</f>
        <v/>
      </c>
      <c r="G139" s="16">
        <f>IF(A139="","",IFERROR(INDEX('激励事件明细'!$AA$2:$AA$501,IF(D139&lt;&gt;"",MATCH(D139,'激励事件明细'!$A$2:$A$501,0),MATCH(E139,'激励事件明细'!$B$2:$B$501,0))),""))</f>
        <v/>
      </c>
      <c r="H139" s="16">
        <f>IF(A139="","",IFERROR(INDEX('激励事件明细'!$AB$2:$AB$501,IF(D139&lt;&gt;"",MATCH(D139,'激励事件明细'!$A$2:$A$501,0),MATCH(E139,'激励事件明细'!$B$2:$B$501,0))),""))</f>
        <v/>
      </c>
      <c r="I139" s="12" t="n"/>
      <c r="J139" s="13" t="n"/>
      <c r="K139" s="13" t="n"/>
      <c r="L139" s="11" t="n"/>
      <c r="M139" s="14">
        <f>IF(A139="","",IF(D139&lt;&gt;"",SUMIFS($K$2:$K$501,$D$2:$D$501,D139),SUMIFS($K$2:$K$501,$E$2:$E$501,E139)))</f>
        <v/>
      </c>
      <c r="N139" s="14">
        <f>IF(F139="","",MAX(0,F139-M139))</f>
        <v/>
      </c>
      <c r="O139" s="6">
        <f>IF(A139="","",IF(AND(I139&lt;&gt;"",I139&gt;H139),"是",IF(AND(TODAY()&gt;H139,N139&gt;0),"是","否")))</f>
        <v/>
      </c>
      <c r="P139" s="16">
        <f>IF(A139="","",IFERROR(INDEX('激励事件明细'!$P$2:$P$501,IF(D139&lt;&gt;"",MATCH(D139,'激励事件明细'!$A$2:$A$501,0),MATCH(E139,'激励事件明细'!$B$2:$B$501,0))),""))</f>
        <v/>
      </c>
      <c r="Q139" s="6">
        <f>IF(AND(D139="",E139=""),"异常：必须关联事件编号或税额批次",IF(AND(D139&lt;&gt;"",COUNTIF('激励事件明细'!$A$2:$A$501,D139)=0),"异常：事件编号不存在",IF(AND(E139&lt;&gt;"",COUNTIF('激励事件明细'!$B$2:$B$501,E139)=0),"异常：税额批次不存在",IF(M139&gt;F139,"异常：本批次超额缴税",IF(AND(I139&lt;&gt;"",I139&gt;H139),"异常：超过事件截止日",IF(AND(P139&lt;&gt;"",TODAY()&gt;=P139,N139&gt;0),"异常：离职前未缴清","正常"))))))</f>
        <v/>
      </c>
      <c r="R139" s="11" t="n"/>
    </row>
    <row r="140">
      <c r="A140" s="6">
        <f>IF(AND(D140="",E140=""),"",IFERROR(INDEX('激励事件明细'!$C$2:$C$501,IF(D140&lt;&gt;"",MATCH(D140,'激励事件明细'!$A$2:$A$501,0),MATCH(E140,'激励事件明细'!$B$2:$B$501,0))),""))</f>
        <v/>
      </c>
      <c r="B140" s="6">
        <f>IF(A140="","",IFERROR(INDEX('激励事件明细'!$D$2:$D$501,IF(D140&lt;&gt;"",MATCH(D140,'激励事件明细'!$A$2:$A$501,0),MATCH(E140,'激励事件明细'!$B$2:$B$501,0))),""))</f>
        <v/>
      </c>
      <c r="C140" s="6">
        <f>IF(A140="","",IFERROR(INDEX('激励事件明细'!$H$2:$H$501,IF(D140&lt;&gt;"",MATCH(D140,'激励事件明细'!$A$2:$A$501,0),MATCH(E140,'激励事件明细'!$B$2:$B$501,0))),""))</f>
        <v/>
      </c>
      <c r="D140" s="11" t="n"/>
      <c r="E140" s="11" t="n"/>
      <c r="F140" s="14">
        <f>IF(A140="","",IFERROR(INDEX('激励事件明细'!$Z$2:$Z$501,IF(D140&lt;&gt;"",MATCH(D140,'激励事件明细'!$A$2:$A$501,0),MATCH(E140,'激励事件明细'!$B$2:$B$501,0))),""))</f>
        <v/>
      </c>
      <c r="G140" s="16">
        <f>IF(A140="","",IFERROR(INDEX('激励事件明细'!$AA$2:$AA$501,IF(D140&lt;&gt;"",MATCH(D140,'激励事件明细'!$A$2:$A$501,0),MATCH(E140,'激励事件明细'!$B$2:$B$501,0))),""))</f>
        <v/>
      </c>
      <c r="H140" s="16">
        <f>IF(A140="","",IFERROR(INDEX('激励事件明细'!$AB$2:$AB$501,IF(D140&lt;&gt;"",MATCH(D140,'激励事件明细'!$A$2:$A$501,0),MATCH(E140,'激励事件明细'!$B$2:$B$501,0))),""))</f>
        <v/>
      </c>
      <c r="I140" s="12" t="n"/>
      <c r="J140" s="13" t="n"/>
      <c r="K140" s="13" t="n"/>
      <c r="L140" s="11" t="n"/>
      <c r="M140" s="14">
        <f>IF(A140="","",IF(D140&lt;&gt;"",SUMIFS($K$2:$K$501,$D$2:$D$501,D140),SUMIFS($K$2:$K$501,$E$2:$E$501,E140)))</f>
        <v/>
      </c>
      <c r="N140" s="14">
        <f>IF(F140="","",MAX(0,F140-M140))</f>
        <v/>
      </c>
      <c r="O140" s="6">
        <f>IF(A140="","",IF(AND(I140&lt;&gt;"",I140&gt;H140),"是",IF(AND(TODAY()&gt;H140,N140&gt;0),"是","否")))</f>
        <v/>
      </c>
      <c r="P140" s="16">
        <f>IF(A140="","",IFERROR(INDEX('激励事件明细'!$P$2:$P$501,IF(D140&lt;&gt;"",MATCH(D140,'激励事件明细'!$A$2:$A$501,0),MATCH(E140,'激励事件明细'!$B$2:$B$501,0))),""))</f>
        <v/>
      </c>
      <c r="Q140" s="6">
        <f>IF(AND(D140="",E140=""),"异常：必须关联事件编号或税额批次",IF(AND(D140&lt;&gt;"",COUNTIF('激励事件明细'!$A$2:$A$501,D140)=0),"异常：事件编号不存在",IF(AND(E140&lt;&gt;"",COUNTIF('激励事件明细'!$B$2:$B$501,E140)=0),"异常：税额批次不存在",IF(M140&gt;F140,"异常：本批次超额缴税",IF(AND(I140&lt;&gt;"",I140&gt;H140),"异常：超过事件截止日",IF(AND(P140&lt;&gt;"",TODAY()&gt;=P140,N140&gt;0),"异常：离职前未缴清","正常"))))))</f>
        <v/>
      </c>
      <c r="R140" s="11" t="n"/>
    </row>
    <row r="141">
      <c r="A141" s="6">
        <f>IF(AND(D141="",E141=""),"",IFERROR(INDEX('激励事件明细'!$C$2:$C$501,IF(D141&lt;&gt;"",MATCH(D141,'激励事件明细'!$A$2:$A$501,0),MATCH(E141,'激励事件明细'!$B$2:$B$501,0))),""))</f>
        <v/>
      </c>
      <c r="B141" s="6">
        <f>IF(A141="","",IFERROR(INDEX('激励事件明细'!$D$2:$D$501,IF(D141&lt;&gt;"",MATCH(D141,'激励事件明细'!$A$2:$A$501,0),MATCH(E141,'激励事件明细'!$B$2:$B$501,0))),""))</f>
        <v/>
      </c>
      <c r="C141" s="6">
        <f>IF(A141="","",IFERROR(INDEX('激励事件明细'!$H$2:$H$501,IF(D141&lt;&gt;"",MATCH(D141,'激励事件明细'!$A$2:$A$501,0),MATCH(E141,'激励事件明细'!$B$2:$B$501,0))),""))</f>
        <v/>
      </c>
      <c r="D141" s="11" t="n"/>
      <c r="E141" s="11" t="n"/>
      <c r="F141" s="14">
        <f>IF(A141="","",IFERROR(INDEX('激励事件明细'!$Z$2:$Z$501,IF(D141&lt;&gt;"",MATCH(D141,'激励事件明细'!$A$2:$A$501,0),MATCH(E141,'激励事件明细'!$B$2:$B$501,0))),""))</f>
        <v/>
      </c>
      <c r="G141" s="16">
        <f>IF(A141="","",IFERROR(INDEX('激励事件明细'!$AA$2:$AA$501,IF(D141&lt;&gt;"",MATCH(D141,'激励事件明细'!$A$2:$A$501,0),MATCH(E141,'激励事件明细'!$B$2:$B$501,0))),""))</f>
        <v/>
      </c>
      <c r="H141" s="16">
        <f>IF(A141="","",IFERROR(INDEX('激励事件明细'!$AB$2:$AB$501,IF(D141&lt;&gt;"",MATCH(D141,'激励事件明细'!$A$2:$A$501,0),MATCH(E141,'激励事件明细'!$B$2:$B$501,0))),""))</f>
        <v/>
      </c>
      <c r="I141" s="12" t="n"/>
      <c r="J141" s="13" t="n"/>
      <c r="K141" s="13" t="n"/>
      <c r="L141" s="11" t="n"/>
      <c r="M141" s="14">
        <f>IF(A141="","",IF(D141&lt;&gt;"",SUMIFS($K$2:$K$501,$D$2:$D$501,D141),SUMIFS($K$2:$K$501,$E$2:$E$501,E141)))</f>
        <v/>
      </c>
      <c r="N141" s="14">
        <f>IF(F141="","",MAX(0,F141-M141))</f>
        <v/>
      </c>
      <c r="O141" s="6">
        <f>IF(A141="","",IF(AND(I141&lt;&gt;"",I141&gt;H141),"是",IF(AND(TODAY()&gt;H141,N141&gt;0),"是","否")))</f>
        <v/>
      </c>
      <c r="P141" s="16">
        <f>IF(A141="","",IFERROR(INDEX('激励事件明细'!$P$2:$P$501,IF(D141&lt;&gt;"",MATCH(D141,'激励事件明细'!$A$2:$A$501,0),MATCH(E141,'激励事件明细'!$B$2:$B$501,0))),""))</f>
        <v/>
      </c>
      <c r="Q141" s="6">
        <f>IF(AND(D141="",E141=""),"异常：必须关联事件编号或税额批次",IF(AND(D141&lt;&gt;"",COUNTIF('激励事件明细'!$A$2:$A$501,D141)=0),"异常：事件编号不存在",IF(AND(E141&lt;&gt;"",COUNTIF('激励事件明细'!$B$2:$B$501,E141)=0),"异常：税额批次不存在",IF(M141&gt;F141,"异常：本批次超额缴税",IF(AND(I141&lt;&gt;"",I141&gt;H141),"异常：超过事件截止日",IF(AND(P141&lt;&gt;"",TODAY()&gt;=P141,N141&gt;0),"异常：离职前未缴清","正常"))))))</f>
        <v/>
      </c>
      <c r="R141" s="11" t="n"/>
    </row>
    <row r="142">
      <c r="A142" s="6">
        <f>IF(AND(D142="",E142=""),"",IFERROR(INDEX('激励事件明细'!$C$2:$C$501,IF(D142&lt;&gt;"",MATCH(D142,'激励事件明细'!$A$2:$A$501,0),MATCH(E142,'激励事件明细'!$B$2:$B$501,0))),""))</f>
        <v/>
      </c>
      <c r="B142" s="6">
        <f>IF(A142="","",IFERROR(INDEX('激励事件明细'!$D$2:$D$501,IF(D142&lt;&gt;"",MATCH(D142,'激励事件明细'!$A$2:$A$501,0),MATCH(E142,'激励事件明细'!$B$2:$B$501,0))),""))</f>
        <v/>
      </c>
      <c r="C142" s="6">
        <f>IF(A142="","",IFERROR(INDEX('激励事件明细'!$H$2:$H$501,IF(D142&lt;&gt;"",MATCH(D142,'激励事件明细'!$A$2:$A$501,0),MATCH(E142,'激励事件明细'!$B$2:$B$501,0))),""))</f>
        <v/>
      </c>
      <c r="D142" s="11" t="n"/>
      <c r="E142" s="11" t="n"/>
      <c r="F142" s="14">
        <f>IF(A142="","",IFERROR(INDEX('激励事件明细'!$Z$2:$Z$501,IF(D142&lt;&gt;"",MATCH(D142,'激励事件明细'!$A$2:$A$501,0),MATCH(E142,'激励事件明细'!$B$2:$B$501,0))),""))</f>
        <v/>
      </c>
      <c r="G142" s="16">
        <f>IF(A142="","",IFERROR(INDEX('激励事件明细'!$AA$2:$AA$501,IF(D142&lt;&gt;"",MATCH(D142,'激励事件明细'!$A$2:$A$501,0),MATCH(E142,'激励事件明细'!$B$2:$B$501,0))),""))</f>
        <v/>
      </c>
      <c r="H142" s="16">
        <f>IF(A142="","",IFERROR(INDEX('激励事件明细'!$AB$2:$AB$501,IF(D142&lt;&gt;"",MATCH(D142,'激励事件明细'!$A$2:$A$501,0),MATCH(E142,'激励事件明细'!$B$2:$B$501,0))),""))</f>
        <v/>
      </c>
      <c r="I142" s="12" t="n"/>
      <c r="J142" s="13" t="n"/>
      <c r="K142" s="13" t="n"/>
      <c r="L142" s="11" t="n"/>
      <c r="M142" s="14">
        <f>IF(A142="","",IF(D142&lt;&gt;"",SUMIFS($K$2:$K$501,$D$2:$D$501,D142),SUMIFS($K$2:$K$501,$E$2:$E$501,E142)))</f>
        <v/>
      </c>
      <c r="N142" s="14">
        <f>IF(F142="","",MAX(0,F142-M142))</f>
        <v/>
      </c>
      <c r="O142" s="6">
        <f>IF(A142="","",IF(AND(I142&lt;&gt;"",I142&gt;H142),"是",IF(AND(TODAY()&gt;H142,N142&gt;0),"是","否")))</f>
        <v/>
      </c>
      <c r="P142" s="16">
        <f>IF(A142="","",IFERROR(INDEX('激励事件明细'!$P$2:$P$501,IF(D142&lt;&gt;"",MATCH(D142,'激励事件明细'!$A$2:$A$501,0),MATCH(E142,'激励事件明细'!$B$2:$B$501,0))),""))</f>
        <v/>
      </c>
      <c r="Q142" s="6">
        <f>IF(AND(D142="",E142=""),"异常：必须关联事件编号或税额批次",IF(AND(D142&lt;&gt;"",COUNTIF('激励事件明细'!$A$2:$A$501,D142)=0),"异常：事件编号不存在",IF(AND(E142&lt;&gt;"",COUNTIF('激励事件明细'!$B$2:$B$501,E142)=0),"异常：税额批次不存在",IF(M142&gt;F142,"异常：本批次超额缴税",IF(AND(I142&lt;&gt;"",I142&gt;H142),"异常：超过事件截止日",IF(AND(P142&lt;&gt;"",TODAY()&gt;=P142,N142&gt;0),"异常：离职前未缴清","正常"))))))</f>
        <v/>
      </c>
      <c r="R142" s="11" t="n"/>
    </row>
    <row r="143">
      <c r="A143" s="6">
        <f>IF(AND(D143="",E143=""),"",IFERROR(INDEX('激励事件明细'!$C$2:$C$501,IF(D143&lt;&gt;"",MATCH(D143,'激励事件明细'!$A$2:$A$501,0),MATCH(E143,'激励事件明细'!$B$2:$B$501,0))),""))</f>
        <v/>
      </c>
      <c r="B143" s="6">
        <f>IF(A143="","",IFERROR(INDEX('激励事件明细'!$D$2:$D$501,IF(D143&lt;&gt;"",MATCH(D143,'激励事件明细'!$A$2:$A$501,0),MATCH(E143,'激励事件明细'!$B$2:$B$501,0))),""))</f>
        <v/>
      </c>
      <c r="C143" s="6">
        <f>IF(A143="","",IFERROR(INDEX('激励事件明细'!$H$2:$H$501,IF(D143&lt;&gt;"",MATCH(D143,'激励事件明细'!$A$2:$A$501,0),MATCH(E143,'激励事件明细'!$B$2:$B$501,0))),""))</f>
        <v/>
      </c>
      <c r="D143" s="11" t="n"/>
      <c r="E143" s="11" t="n"/>
      <c r="F143" s="14">
        <f>IF(A143="","",IFERROR(INDEX('激励事件明细'!$Z$2:$Z$501,IF(D143&lt;&gt;"",MATCH(D143,'激励事件明细'!$A$2:$A$501,0),MATCH(E143,'激励事件明细'!$B$2:$B$501,0))),""))</f>
        <v/>
      </c>
      <c r="G143" s="16">
        <f>IF(A143="","",IFERROR(INDEX('激励事件明细'!$AA$2:$AA$501,IF(D143&lt;&gt;"",MATCH(D143,'激励事件明细'!$A$2:$A$501,0),MATCH(E143,'激励事件明细'!$B$2:$B$501,0))),""))</f>
        <v/>
      </c>
      <c r="H143" s="16">
        <f>IF(A143="","",IFERROR(INDEX('激励事件明细'!$AB$2:$AB$501,IF(D143&lt;&gt;"",MATCH(D143,'激励事件明细'!$A$2:$A$501,0),MATCH(E143,'激励事件明细'!$B$2:$B$501,0))),""))</f>
        <v/>
      </c>
      <c r="I143" s="12" t="n"/>
      <c r="J143" s="13" t="n"/>
      <c r="K143" s="13" t="n"/>
      <c r="L143" s="11" t="n"/>
      <c r="M143" s="14">
        <f>IF(A143="","",IF(D143&lt;&gt;"",SUMIFS($K$2:$K$501,$D$2:$D$501,D143),SUMIFS($K$2:$K$501,$E$2:$E$501,E143)))</f>
        <v/>
      </c>
      <c r="N143" s="14">
        <f>IF(F143="","",MAX(0,F143-M143))</f>
        <v/>
      </c>
      <c r="O143" s="6">
        <f>IF(A143="","",IF(AND(I143&lt;&gt;"",I143&gt;H143),"是",IF(AND(TODAY()&gt;H143,N143&gt;0),"是","否")))</f>
        <v/>
      </c>
      <c r="P143" s="16">
        <f>IF(A143="","",IFERROR(INDEX('激励事件明细'!$P$2:$P$501,IF(D143&lt;&gt;"",MATCH(D143,'激励事件明细'!$A$2:$A$501,0),MATCH(E143,'激励事件明细'!$B$2:$B$501,0))),""))</f>
        <v/>
      </c>
      <c r="Q143" s="6">
        <f>IF(AND(D143="",E143=""),"异常：必须关联事件编号或税额批次",IF(AND(D143&lt;&gt;"",COUNTIF('激励事件明细'!$A$2:$A$501,D143)=0),"异常：事件编号不存在",IF(AND(E143&lt;&gt;"",COUNTIF('激励事件明细'!$B$2:$B$501,E143)=0),"异常：税额批次不存在",IF(M143&gt;F143,"异常：本批次超额缴税",IF(AND(I143&lt;&gt;"",I143&gt;H143),"异常：超过事件截止日",IF(AND(P143&lt;&gt;"",TODAY()&gt;=P143,N143&gt;0),"异常：离职前未缴清","正常"))))))</f>
        <v/>
      </c>
      <c r="R143" s="11" t="n"/>
    </row>
    <row r="144">
      <c r="A144" s="6">
        <f>IF(AND(D144="",E144=""),"",IFERROR(INDEX('激励事件明细'!$C$2:$C$501,IF(D144&lt;&gt;"",MATCH(D144,'激励事件明细'!$A$2:$A$501,0),MATCH(E144,'激励事件明细'!$B$2:$B$501,0))),""))</f>
        <v/>
      </c>
      <c r="B144" s="6">
        <f>IF(A144="","",IFERROR(INDEX('激励事件明细'!$D$2:$D$501,IF(D144&lt;&gt;"",MATCH(D144,'激励事件明细'!$A$2:$A$501,0),MATCH(E144,'激励事件明细'!$B$2:$B$501,0))),""))</f>
        <v/>
      </c>
      <c r="C144" s="6">
        <f>IF(A144="","",IFERROR(INDEX('激励事件明细'!$H$2:$H$501,IF(D144&lt;&gt;"",MATCH(D144,'激励事件明细'!$A$2:$A$501,0),MATCH(E144,'激励事件明细'!$B$2:$B$501,0))),""))</f>
        <v/>
      </c>
      <c r="D144" s="11" t="n"/>
      <c r="E144" s="11" t="n"/>
      <c r="F144" s="14">
        <f>IF(A144="","",IFERROR(INDEX('激励事件明细'!$Z$2:$Z$501,IF(D144&lt;&gt;"",MATCH(D144,'激励事件明细'!$A$2:$A$501,0),MATCH(E144,'激励事件明细'!$B$2:$B$501,0))),""))</f>
        <v/>
      </c>
      <c r="G144" s="16">
        <f>IF(A144="","",IFERROR(INDEX('激励事件明细'!$AA$2:$AA$501,IF(D144&lt;&gt;"",MATCH(D144,'激励事件明细'!$A$2:$A$501,0),MATCH(E144,'激励事件明细'!$B$2:$B$501,0))),""))</f>
        <v/>
      </c>
      <c r="H144" s="16">
        <f>IF(A144="","",IFERROR(INDEX('激励事件明细'!$AB$2:$AB$501,IF(D144&lt;&gt;"",MATCH(D144,'激励事件明细'!$A$2:$A$501,0),MATCH(E144,'激励事件明细'!$B$2:$B$501,0))),""))</f>
        <v/>
      </c>
      <c r="I144" s="12" t="n"/>
      <c r="J144" s="13" t="n"/>
      <c r="K144" s="13" t="n"/>
      <c r="L144" s="11" t="n"/>
      <c r="M144" s="14">
        <f>IF(A144="","",IF(D144&lt;&gt;"",SUMIFS($K$2:$K$501,$D$2:$D$501,D144),SUMIFS($K$2:$K$501,$E$2:$E$501,E144)))</f>
        <v/>
      </c>
      <c r="N144" s="14">
        <f>IF(F144="","",MAX(0,F144-M144))</f>
        <v/>
      </c>
      <c r="O144" s="6">
        <f>IF(A144="","",IF(AND(I144&lt;&gt;"",I144&gt;H144),"是",IF(AND(TODAY()&gt;H144,N144&gt;0),"是","否")))</f>
        <v/>
      </c>
      <c r="P144" s="16">
        <f>IF(A144="","",IFERROR(INDEX('激励事件明细'!$P$2:$P$501,IF(D144&lt;&gt;"",MATCH(D144,'激励事件明细'!$A$2:$A$501,0),MATCH(E144,'激励事件明细'!$B$2:$B$501,0))),""))</f>
        <v/>
      </c>
      <c r="Q144" s="6">
        <f>IF(AND(D144="",E144=""),"异常：必须关联事件编号或税额批次",IF(AND(D144&lt;&gt;"",COUNTIF('激励事件明细'!$A$2:$A$501,D144)=0),"异常：事件编号不存在",IF(AND(E144&lt;&gt;"",COUNTIF('激励事件明细'!$B$2:$B$501,E144)=0),"异常：税额批次不存在",IF(M144&gt;F144,"异常：本批次超额缴税",IF(AND(I144&lt;&gt;"",I144&gt;H144),"异常：超过事件截止日",IF(AND(P144&lt;&gt;"",TODAY()&gt;=P144,N144&gt;0),"异常：离职前未缴清","正常"))))))</f>
        <v/>
      </c>
      <c r="R144" s="11" t="n"/>
    </row>
    <row r="145">
      <c r="A145" s="6">
        <f>IF(AND(D145="",E145=""),"",IFERROR(INDEX('激励事件明细'!$C$2:$C$501,IF(D145&lt;&gt;"",MATCH(D145,'激励事件明细'!$A$2:$A$501,0),MATCH(E145,'激励事件明细'!$B$2:$B$501,0))),""))</f>
        <v/>
      </c>
      <c r="B145" s="6">
        <f>IF(A145="","",IFERROR(INDEX('激励事件明细'!$D$2:$D$501,IF(D145&lt;&gt;"",MATCH(D145,'激励事件明细'!$A$2:$A$501,0),MATCH(E145,'激励事件明细'!$B$2:$B$501,0))),""))</f>
        <v/>
      </c>
      <c r="C145" s="6">
        <f>IF(A145="","",IFERROR(INDEX('激励事件明细'!$H$2:$H$501,IF(D145&lt;&gt;"",MATCH(D145,'激励事件明细'!$A$2:$A$501,0),MATCH(E145,'激励事件明细'!$B$2:$B$501,0))),""))</f>
        <v/>
      </c>
      <c r="D145" s="11" t="n"/>
      <c r="E145" s="11" t="n"/>
      <c r="F145" s="14">
        <f>IF(A145="","",IFERROR(INDEX('激励事件明细'!$Z$2:$Z$501,IF(D145&lt;&gt;"",MATCH(D145,'激励事件明细'!$A$2:$A$501,0),MATCH(E145,'激励事件明细'!$B$2:$B$501,0))),""))</f>
        <v/>
      </c>
      <c r="G145" s="16">
        <f>IF(A145="","",IFERROR(INDEX('激励事件明细'!$AA$2:$AA$501,IF(D145&lt;&gt;"",MATCH(D145,'激励事件明细'!$A$2:$A$501,0),MATCH(E145,'激励事件明细'!$B$2:$B$501,0))),""))</f>
        <v/>
      </c>
      <c r="H145" s="16">
        <f>IF(A145="","",IFERROR(INDEX('激励事件明细'!$AB$2:$AB$501,IF(D145&lt;&gt;"",MATCH(D145,'激励事件明细'!$A$2:$A$501,0),MATCH(E145,'激励事件明细'!$B$2:$B$501,0))),""))</f>
        <v/>
      </c>
      <c r="I145" s="12" t="n"/>
      <c r="J145" s="13" t="n"/>
      <c r="K145" s="13" t="n"/>
      <c r="L145" s="11" t="n"/>
      <c r="M145" s="14">
        <f>IF(A145="","",IF(D145&lt;&gt;"",SUMIFS($K$2:$K$501,$D$2:$D$501,D145),SUMIFS($K$2:$K$501,$E$2:$E$501,E145)))</f>
        <v/>
      </c>
      <c r="N145" s="14">
        <f>IF(F145="","",MAX(0,F145-M145))</f>
        <v/>
      </c>
      <c r="O145" s="6">
        <f>IF(A145="","",IF(AND(I145&lt;&gt;"",I145&gt;H145),"是",IF(AND(TODAY()&gt;H145,N145&gt;0),"是","否")))</f>
        <v/>
      </c>
      <c r="P145" s="16">
        <f>IF(A145="","",IFERROR(INDEX('激励事件明细'!$P$2:$P$501,IF(D145&lt;&gt;"",MATCH(D145,'激励事件明细'!$A$2:$A$501,0),MATCH(E145,'激励事件明细'!$B$2:$B$501,0))),""))</f>
        <v/>
      </c>
      <c r="Q145" s="6">
        <f>IF(AND(D145="",E145=""),"异常：必须关联事件编号或税额批次",IF(AND(D145&lt;&gt;"",COUNTIF('激励事件明细'!$A$2:$A$501,D145)=0),"异常：事件编号不存在",IF(AND(E145&lt;&gt;"",COUNTIF('激励事件明细'!$B$2:$B$501,E145)=0),"异常：税额批次不存在",IF(M145&gt;F145,"异常：本批次超额缴税",IF(AND(I145&lt;&gt;"",I145&gt;H145),"异常：超过事件截止日",IF(AND(P145&lt;&gt;"",TODAY()&gt;=P145,N145&gt;0),"异常：离职前未缴清","正常"))))))</f>
        <v/>
      </c>
      <c r="R145" s="11" t="n"/>
    </row>
    <row r="146">
      <c r="A146" s="6">
        <f>IF(AND(D146="",E146=""),"",IFERROR(INDEX('激励事件明细'!$C$2:$C$501,IF(D146&lt;&gt;"",MATCH(D146,'激励事件明细'!$A$2:$A$501,0),MATCH(E146,'激励事件明细'!$B$2:$B$501,0))),""))</f>
        <v/>
      </c>
      <c r="B146" s="6">
        <f>IF(A146="","",IFERROR(INDEX('激励事件明细'!$D$2:$D$501,IF(D146&lt;&gt;"",MATCH(D146,'激励事件明细'!$A$2:$A$501,0),MATCH(E146,'激励事件明细'!$B$2:$B$501,0))),""))</f>
        <v/>
      </c>
      <c r="C146" s="6">
        <f>IF(A146="","",IFERROR(INDEX('激励事件明细'!$H$2:$H$501,IF(D146&lt;&gt;"",MATCH(D146,'激励事件明细'!$A$2:$A$501,0),MATCH(E146,'激励事件明细'!$B$2:$B$501,0))),""))</f>
        <v/>
      </c>
      <c r="D146" s="11" t="n"/>
      <c r="E146" s="11" t="n"/>
      <c r="F146" s="14">
        <f>IF(A146="","",IFERROR(INDEX('激励事件明细'!$Z$2:$Z$501,IF(D146&lt;&gt;"",MATCH(D146,'激励事件明细'!$A$2:$A$501,0),MATCH(E146,'激励事件明细'!$B$2:$B$501,0))),""))</f>
        <v/>
      </c>
      <c r="G146" s="16">
        <f>IF(A146="","",IFERROR(INDEX('激励事件明细'!$AA$2:$AA$501,IF(D146&lt;&gt;"",MATCH(D146,'激励事件明细'!$A$2:$A$501,0),MATCH(E146,'激励事件明细'!$B$2:$B$501,0))),""))</f>
        <v/>
      </c>
      <c r="H146" s="16">
        <f>IF(A146="","",IFERROR(INDEX('激励事件明细'!$AB$2:$AB$501,IF(D146&lt;&gt;"",MATCH(D146,'激励事件明细'!$A$2:$A$501,0),MATCH(E146,'激励事件明细'!$B$2:$B$501,0))),""))</f>
        <v/>
      </c>
      <c r="I146" s="12" t="n"/>
      <c r="J146" s="13" t="n"/>
      <c r="K146" s="13" t="n"/>
      <c r="L146" s="11" t="n"/>
      <c r="M146" s="14">
        <f>IF(A146="","",IF(D146&lt;&gt;"",SUMIFS($K$2:$K$501,$D$2:$D$501,D146),SUMIFS($K$2:$K$501,$E$2:$E$501,E146)))</f>
        <v/>
      </c>
      <c r="N146" s="14">
        <f>IF(F146="","",MAX(0,F146-M146))</f>
        <v/>
      </c>
      <c r="O146" s="6">
        <f>IF(A146="","",IF(AND(I146&lt;&gt;"",I146&gt;H146),"是",IF(AND(TODAY()&gt;H146,N146&gt;0),"是","否")))</f>
        <v/>
      </c>
      <c r="P146" s="16">
        <f>IF(A146="","",IFERROR(INDEX('激励事件明细'!$P$2:$P$501,IF(D146&lt;&gt;"",MATCH(D146,'激励事件明细'!$A$2:$A$501,0),MATCH(E146,'激励事件明细'!$B$2:$B$501,0))),""))</f>
        <v/>
      </c>
      <c r="Q146" s="6">
        <f>IF(AND(D146="",E146=""),"异常：必须关联事件编号或税额批次",IF(AND(D146&lt;&gt;"",COUNTIF('激励事件明细'!$A$2:$A$501,D146)=0),"异常：事件编号不存在",IF(AND(E146&lt;&gt;"",COUNTIF('激励事件明细'!$B$2:$B$501,E146)=0),"异常：税额批次不存在",IF(M146&gt;F146,"异常：本批次超额缴税",IF(AND(I146&lt;&gt;"",I146&gt;H146),"异常：超过事件截止日",IF(AND(P146&lt;&gt;"",TODAY()&gt;=P146,N146&gt;0),"异常：离职前未缴清","正常"))))))</f>
        <v/>
      </c>
      <c r="R146" s="11" t="n"/>
    </row>
    <row r="147">
      <c r="A147" s="6">
        <f>IF(AND(D147="",E147=""),"",IFERROR(INDEX('激励事件明细'!$C$2:$C$501,IF(D147&lt;&gt;"",MATCH(D147,'激励事件明细'!$A$2:$A$501,0),MATCH(E147,'激励事件明细'!$B$2:$B$501,0))),""))</f>
        <v/>
      </c>
      <c r="B147" s="6">
        <f>IF(A147="","",IFERROR(INDEX('激励事件明细'!$D$2:$D$501,IF(D147&lt;&gt;"",MATCH(D147,'激励事件明细'!$A$2:$A$501,0),MATCH(E147,'激励事件明细'!$B$2:$B$501,0))),""))</f>
        <v/>
      </c>
      <c r="C147" s="6">
        <f>IF(A147="","",IFERROR(INDEX('激励事件明细'!$H$2:$H$501,IF(D147&lt;&gt;"",MATCH(D147,'激励事件明细'!$A$2:$A$501,0),MATCH(E147,'激励事件明细'!$B$2:$B$501,0))),""))</f>
        <v/>
      </c>
      <c r="D147" s="11" t="n"/>
      <c r="E147" s="11" t="n"/>
      <c r="F147" s="14">
        <f>IF(A147="","",IFERROR(INDEX('激励事件明细'!$Z$2:$Z$501,IF(D147&lt;&gt;"",MATCH(D147,'激励事件明细'!$A$2:$A$501,0),MATCH(E147,'激励事件明细'!$B$2:$B$501,0))),""))</f>
        <v/>
      </c>
      <c r="G147" s="16">
        <f>IF(A147="","",IFERROR(INDEX('激励事件明细'!$AA$2:$AA$501,IF(D147&lt;&gt;"",MATCH(D147,'激励事件明细'!$A$2:$A$501,0),MATCH(E147,'激励事件明细'!$B$2:$B$501,0))),""))</f>
        <v/>
      </c>
      <c r="H147" s="16">
        <f>IF(A147="","",IFERROR(INDEX('激励事件明细'!$AB$2:$AB$501,IF(D147&lt;&gt;"",MATCH(D147,'激励事件明细'!$A$2:$A$501,0),MATCH(E147,'激励事件明细'!$B$2:$B$501,0))),""))</f>
        <v/>
      </c>
      <c r="I147" s="12" t="n"/>
      <c r="J147" s="13" t="n"/>
      <c r="K147" s="13" t="n"/>
      <c r="L147" s="11" t="n"/>
      <c r="M147" s="14">
        <f>IF(A147="","",IF(D147&lt;&gt;"",SUMIFS($K$2:$K$501,$D$2:$D$501,D147),SUMIFS($K$2:$K$501,$E$2:$E$501,E147)))</f>
        <v/>
      </c>
      <c r="N147" s="14">
        <f>IF(F147="","",MAX(0,F147-M147))</f>
        <v/>
      </c>
      <c r="O147" s="6">
        <f>IF(A147="","",IF(AND(I147&lt;&gt;"",I147&gt;H147),"是",IF(AND(TODAY()&gt;H147,N147&gt;0),"是","否")))</f>
        <v/>
      </c>
      <c r="P147" s="16">
        <f>IF(A147="","",IFERROR(INDEX('激励事件明细'!$P$2:$P$501,IF(D147&lt;&gt;"",MATCH(D147,'激励事件明细'!$A$2:$A$501,0),MATCH(E147,'激励事件明细'!$B$2:$B$501,0))),""))</f>
        <v/>
      </c>
      <c r="Q147" s="6">
        <f>IF(AND(D147="",E147=""),"异常：必须关联事件编号或税额批次",IF(AND(D147&lt;&gt;"",COUNTIF('激励事件明细'!$A$2:$A$501,D147)=0),"异常：事件编号不存在",IF(AND(E147&lt;&gt;"",COUNTIF('激励事件明细'!$B$2:$B$501,E147)=0),"异常：税额批次不存在",IF(M147&gt;F147,"异常：本批次超额缴税",IF(AND(I147&lt;&gt;"",I147&gt;H147),"异常：超过事件截止日",IF(AND(P147&lt;&gt;"",TODAY()&gt;=P147,N147&gt;0),"异常：离职前未缴清","正常"))))))</f>
        <v/>
      </c>
      <c r="R147" s="11" t="n"/>
    </row>
    <row r="148">
      <c r="A148" s="6">
        <f>IF(AND(D148="",E148=""),"",IFERROR(INDEX('激励事件明细'!$C$2:$C$501,IF(D148&lt;&gt;"",MATCH(D148,'激励事件明细'!$A$2:$A$501,0),MATCH(E148,'激励事件明细'!$B$2:$B$501,0))),""))</f>
        <v/>
      </c>
      <c r="B148" s="6">
        <f>IF(A148="","",IFERROR(INDEX('激励事件明细'!$D$2:$D$501,IF(D148&lt;&gt;"",MATCH(D148,'激励事件明细'!$A$2:$A$501,0),MATCH(E148,'激励事件明细'!$B$2:$B$501,0))),""))</f>
        <v/>
      </c>
      <c r="C148" s="6">
        <f>IF(A148="","",IFERROR(INDEX('激励事件明细'!$H$2:$H$501,IF(D148&lt;&gt;"",MATCH(D148,'激励事件明细'!$A$2:$A$501,0),MATCH(E148,'激励事件明细'!$B$2:$B$501,0))),""))</f>
        <v/>
      </c>
      <c r="D148" s="11" t="n"/>
      <c r="E148" s="11" t="n"/>
      <c r="F148" s="14">
        <f>IF(A148="","",IFERROR(INDEX('激励事件明细'!$Z$2:$Z$501,IF(D148&lt;&gt;"",MATCH(D148,'激励事件明细'!$A$2:$A$501,0),MATCH(E148,'激励事件明细'!$B$2:$B$501,0))),""))</f>
        <v/>
      </c>
      <c r="G148" s="16">
        <f>IF(A148="","",IFERROR(INDEX('激励事件明细'!$AA$2:$AA$501,IF(D148&lt;&gt;"",MATCH(D148,'激励事件明细'!$A$2:$A$501,0),MATCH(E148,'激励事件明细'!$B$2:$B$501,0))),""))</f>
        <v/>
      </c>
      <c r="H148" s="16">
        <f>IF(A148="","",IFERROR(INDEX('激励事件明细'!$AB$2:$AB$501,IF(D148&lt;&gt;"",MATCH(D148,'激励事件明细'!$A$2:$A$501,0),MATCH(E148,'激励事件明细'!$B$2:$B$501,0))),""))</f>
        <v/>
      </c>
      <c r="I148" s="12" t="n"/>
      <c r="J148" s="13" t="n"/>
      <c r="K148" s="13" t="n"/>
      <c r="L148" s="11" t="n"/>
      <c r="M148" s="14">
        <f>IF(A148="","",IF(D148&lt;&gt;"",SUMIFS($K$2:$K$501,$D$2:$D$501,D148),SUMIFS($K$2:$K$501,$E$2:$E$501,E148)))</f>
        <v/>
      </c>
      <c r="N148" s="14">
        <f>IF(F148="","",MAX(0,F148-M148))</f>
        <v/>
      </c>
      <c r="O148" s="6">
        <f>IF(A148="","",IF(AND(I148&lt;&gt;"",I148&gt;H148),"是",IF(AND(TODAY()&gt;H148,N148&gt;0),"是","否")))</f>
        <v/>
      </c>
      <c r="P148" s="16">
        <f>IF(A148="","",IFERROR(INDEX('激励事件明细'!$P$2:$P$501,IF(D148&lt;&gt;"",MATCH(D148,'激励事件明细'!$A$2:$A$501,0),MATCH(E148,'激励事件明细'!$B$2:$B$501,0))),""))</f>
        <v/>
      </c>
      <c r="Q148" s="6">
        <f>IF(AND(D148="",E148=""),"异常：必须关联事件编号或税额批次",IF(AND(D148&lt;&gt;"",COUNTIF('激励事件明细'!$A$2:$A$501,D148)=0),"异常：事件编号不存在",IF(AND(E148&lt;&gt;"",COUNTIF('激励事件明细'!$B$2:$B$501,E148)=0),"异常：税额批次不存在",IF(M148&gt;F148,"异常：本批次超额缴税",IF(AND(I148&lt;&gt;"",I148&gt;H148),"异常：超过事件截止日",IF(AND(P148&lt;&gt;"",TODAY()&gt;=P148,N148&gt;0),"异常：离职前未缴清","正常"))))))</f>
        <v/>
      </c>
      <c r="R148" s="11" t="n"/>
    </row>
    <row r="149">
      <c r="A149" s="6">
        <f>IF(AND(D149="",E149=""),"",IFERROR(INDEX('激励事件明细'!$C$2:$C$501,IF(D149&lt;&gt;"",MATCH(D149,'激励事件明细'!$A$2:$A$501,0),MATCH(E149,'激励事件明细'!$B$2:$B$501,0))),""))</f>
        <v/>
      </c>
      <c r="B149" s="6">
        <f>IF(A149="","",IFERROR(INDEX('激励事件明细'!$D$2:$D$501,IF(D149&lt;&gt;"",MATCH(D149,'激励事件明细'!$A$2:$A$501,0),MATCH(E149,'激励事件明细'!$B$2:$B$501,0))),""))</f>
        <v/>
      </c>
      <c r="C149" s="6">
        <f>IF(A149="","",IFERROR(INDEX('激励事件明细'!$H$2:$H$501,IF(D149&lt;&gt;"",MATCH(D149,'激励事件明细'!$A$2:$A$501,0),MATCH(E149,'激励事件明细'!$B$2:$B$501,0))),""))</f>
        <v/>
      </c>
      <c r="D149" s="11" t="n"/>
      <c r="E149" s="11" t="n"/>
      <c r="F149" s="14">
        <f>IF(A149="","",IFERROR(INDEX('激励事件明细'!$Z$2:$Z$501,IF(D149&lt;&gt;"",MATCH(D149,'激励事件明细'!$A$2:$A$501,0),MATCH(E149,'激励事件明细'!$B$2:$B$501,0))),""))</f>
        <v/>
      </c>
      <c r="G149" s="16">
        <f>IF(A149="","",IFERROR(INDEX('激励事件明细'!$AA$2:$AA$501,IF(D149&lt;&gt;"",MATCH(D149,'激励事件明细'!$A$2:$A$501,0),MATCH(E149,'激励事件明细'!$B$2:$B$501,0))),""))</f>
        <v/>
      </c>
      <c r="H149" s="16">
        <f>IF(A149="","",IFERROR(INDEX('激励事件明细'!$AB$2:$AB$501,IF(D149&lt;&gt;"",MATCH(D149,'激励事件明细'!$A$2:$A$501,0),MATCH(E149,'激励事件明细'!$B$2:$B$501,0))),""))</f>
        <v/>
      </c>
      <c r="I149" s="12" t="n"/>
      <c r="J149" s="13" t="n"/>
      <c r="K149" s="13" t="n"/>
      <c r="L149" s="11" t="n"/>
      <c r="M149" s="14">
        <f>IF(A149="","",IF(D149&lt;&gt;"",SUMIFS($K$2:$K$501,$D$2:$D$501,D149),SUMIFS($K$2:$K$501,$E$2:$E$501,E149)))</f>
        <v/>
      </c>
      <c r="N149" s="14">
        <f>IF(F149="","",MAX(0,F149-M149))</f>
        <v/>
      </c>
      <c r="O149" s="6">
        <f>IF(A149="","",IF(AND(I149&lt;&gt;"",I149&gt;H149),"是",IF(AND(TODAY()&gt;H149,N149&gt;0),"是","否")))</f>
        <v/>
      </c>
      <c r="P149" s="16">
        <f>IF(A149="","",IFERROR(INDEX('激励事件明细'!$P$2:$P$501,IF(D149&lt;&gt;"",MATCH(D149,'激励事件明细'!$A$2:$A$501,0),MATCH(E149,'激励事件明细'!$B$2:$B$501,0))),""))</f>
        <v/>
      </c>
      <c r="Q149" s="6">
        <f>IF(AND(D149="",E149=""),"异常：必须关联事件编号或税额批次",IF(AND(D149&lt;&gt;"",COUNTIF('激励事件明细'!$A$2:$A$501,D149)=0),"异常：事件编号不存在",IF(AND(E149&lt;&gt;"",COUNTIF('激励事件明细'!$B$2:$B$501,E149)=0),"异常：税额批次不存在",IF(M149&gt;F149,"异常：本批次超额缴税",IF(AND(I149&lt;&gt;"",I149&gt;H149),"异常：超过事件截止日",IF(AND(P149&lt;&gt;"",TODAY()&gt;=P149,N149&gt;0),"异常：离职前未缴清","正常"))))))</f>
        <v/>
      </c>
      <c r="R149" s="11" t="n"/>
    </row>
    <row r="150">
      <c r="A150" s="6">
        <f>IF(AND(D150="",E150=""),"",IFERROR(INDEX('激励事件明细'!$C$2:$C$501,IF(D150&lt;&gt;"",MATCH(D150,'激励事件明细'!$A$2:$A$501,0),MATCH(E150,'激励事件明细'!$B$2:$B$501,0))),""))</f>
        <v/>
      </c>
      <c r="B150" s="6">
        <f>IF(A150="","",IFERROR(INDEX('激励事件明细'!$D$2:$D$501,IF(D150&lt;&gt;"",MATCH(D150,'激励事件明细'!$A$2:$A$501,0),MATCH(E150,'激励事件明细'!$B$2:$B$501,0))),""))</f>
        <v/>
      </c>
      <c r="C150" s="6">
        <f>IF(A150="","",IFERROR(INDEX('激励事件明细'!$H$2:$H$501,IF(D150&lt;&gt;"",MATCH(D150,'激励事件明细'!$A$2:$A$501,0),MATCH(E150,'激励事件明细'!$B$2:$B$501,0))),""))</f>
        <v/>
      </c>
      <c r="D150" s="11" t="n"/>
      <c r="E150" s="11" t="n"/>
      <c r="F150" s="14">
        <f>IF(A150="","",IFERROR(INDEX('激励事件明细'!$Z$2:$Z$501,IF(D150&lt;&gt;"",MATCH(D150,'激励事件明细'!$A$2:$A$501,0),MATCH(E150,'激励事件明细'!$B$2:$B$501,0))),""))</f>
        <v/>
      </c>
      <c r="G150" s="16">
        <f>IF(A150="","",IFERROR(INDEX('激励事件明细'!$AA$2:$AA$501,IF(D150&lt;&gt;"",MATCH(D150,'激励事件明细'!$A$2:$A$501,0),MATCH(E150,'激励事件明细'!$B$2:$B$501,0))),""))</f>
        <v/>
      </c>
      <c r="H150" s="16">
        <f>IF(A150="","",IFERROR(INDEX('激励事件明细'!$AB$2:$AB$501,IF(D150&lt;&gt;"",MATCH(D150,'激励事件明细'!$A$2:$A$501,0),MATCH(E150,'激励事件明细'!$B$2:$B$501,0))),""))</f>
        <v/>
      </c>
      <c r="I150" s="12" t="n"/>
      <c r="J150" s="13" t="n"/>
      <c r="K150" s="13" t="n"/>
      <c r="L150" s="11" t="n"/>
      <c r="M150" s="14">
        <f>IF(A150="","",IF(D150&lt;&gt;"",SUMIFS($K$2:$K$501,$D$2:$D$501,D150),SUMIFS($K$2:$K$501,$E$2:$E$501,E150)))</f>
        <v/>
      </c>
      <c r="N150" s="14">
        <f>IF(F150="","",MAX(0,F150-M150))</f>
        <v/>
      </c>
      <c r="O150" s="6">
        <f>IF(A150="","",IF(AND(I150&lt;&gt;"",I150&gt;H150),"是",IF(AND(TODAY()&gt;H150,N150&gt;0),"是","否")))</f>
        <v/>
      </c>
      <c r="P150" s="16">
        <f>IF(A150="","",IFERROR(INDEX('激励事件明细'!$P$2:$P$501,IF(D150&lt;&gt;"",MATCH(D150,'激励事件明细'!$A$2:$A$501,0),MATCH(E150,'激励事件明细'!$B$2:$B$501,0))),""))</f>
        <v/>
      </c>
      <c r="Q150" s="6">
        <f>IF(AND(D150="",E150=""),"异常：必须关联事件编号或税额批次",IF(AND(D150&lt;&gt;"",COUNTIF('激励事件明细'!$A$2:$A$501,D150)=0),"异常：事件编号不存在",IF(AND(E150&lt;&gt;"",COUNTIF('激励事件明细'!$B$2:$B$501,E150)=0),"异常：税额批次不存在",IF(M150&gt;F150,"异常：本批次超额缴税",IF(AND(I150&lt;&gt;"",I150&gt;H150),"异常：超过事件截止日",IF(AND(P150&lt;&gt;"",TODAY()&gt;=P150,N150&gt;0),"异常：离职前未缴清","正常"))))))</f>
        <v/>
      </c>
      <c r="R150" s="11" t="n"/>
    </row>
    <row r="151">
      <c r="A151" s="6">
        <f>IF(AND(D151="",E151=""),"",IFERROR(INDEX('激励事件明细'!$C$2:$C$501,IF(D151&lt;&gt;"",MATCH(D151,'激励事件明细'!$A$2:$A$501,0),MATCH(E151,'激励事件明细'!$B$2:$B$501,0))),""))</f>
        <v/>
      </c>
      <c r="B151" s="6">
        <f>IF(A151="","",IFERROR(INDEX('激励事件明细'!$D$2:$D$501,IF(D151&lt;&gt;"",MATCH(D151,'激励事件明细'!$A$2:$A$501,0),MATCH(E151,'激励事件明细'!$B$2:$B$501,0))),""))</f>
        <v/>
      </c>
      <c r="C151" s="6">
        <f>IF(A151="","",IFERROR(INDEX('激励事件明细'!$H$2:$H$501,IF(D151&lt;&gt;"",MATCH(D151,'激励事件明细'!$A$2:$A$501,0),MATCH(E151,'激励事件明细'!$B$2:$B$501,0))),""))</f>
        <v/>
      </c>
      <c r="D151" s="11" t="n"/>
      <c r="E151" s="11" t="n"/>
      <c r="F151" s="14">
        <f>IF(A151="","",IFERROR(INDEX('激励事件明细'!$Z$2:$Z$501,IF(D151&lt;&gt;"",MATCH(D151,'激励事件明细'!$A$2:$A$501,0),MATCH(E151,'激励事件明细'!$B$2:$B$501,0))),""))</f>
        <v/>
      </c>
      <c r="G151" s="16">
        <f>IF(A151="","",IFERROR(INDEX('激励事件明细'!$AA$2:$AA$501,IF(D151&lt;&gt;"",MATCH(D151,'激励事件明细'!$A$2:$A$501,0),MATCH(E151,'激励事件明细'!$B$2:$B$501,0))),""))</f>
        <v/>
      </c>
      <c r="H151" s="16">
        <f>IF(A151="","",IFERROR(INDEX('激励事件明细'!$AB$2:$AB$501,IF(D151&lt;&gt;"",MATCH(D151,'激励事件明细'!$A$2:$A$501,0),MATCH(E151,'激励事件明细'!$B$2:$B$501,0))),""))</f>
        <v/>
      </c>
      <c r="I151" s="12" t="n"/>
      <c r="J151" s="13" t="n"/>
      <c r="K151" s="13" t="n"/>
      <c r="L151" s="11" t="n"/>
      <c r="M151" s="14">
        <f>IF(A151="","",IF(D151&lt;&gt;"",SUMIFS($K$2:$K$501,$D$2:$D$501,D151),SUMIFS($K$2:$K$501,$E$2:$E$501,E151)))</f>
        <v/>
      </c>
      <c r="N151" s="14">
        <f>IF(F151="","",MAX(0,F151-M151))</f>
        <v/>
      </c>
      <c r="O151" s="6">
        <f>IF(A151="","",IF(AND(I151&lt;&gt;"",I151&gt;H151),"是",IF(AND(TODAY()&gt;H151,N151&gt;0),"是","否")))</f>
        <v/>
      </c>
      <c r="P151" s="16">
        <f>IF(A151="","",IFERROR(INDEX('激励事件明细'!$P$2:$P$501,IF(D151&lt;&gt;"",MATCH(D151,'激励事件明细'!$A$2:$A$501,0),MATCH(E151,'激励事件明细'!$B$2:$B$501,0))),""))</f>
        <v/>
      </c>
      <c r="Q151" s="6">
        <f>IF(AND(D151="",E151=""),"异常：必须关联事件编号或税额批次",IF(AND(D151&lt;&gt;"",COUNTIF('激励事件明细'!$A$2:$A$501,D151)=0),"异常：事件编号不存在",IF(AND(E151&lt;&gt;"",COUNTIF('激励事件明细'!$B$2:$B$501,E151)=0),"异常：税额批次不存在",IF(M151&gt;F151,"异常：本批次超额缴税",IF(AND(I151&lt;&gt;"",I151&gt;H151),"异常：超过事件截止日",IF(AND(P151&lt;&gt;"",TODAY()&gt;=P151,N151&gt;0),"异常：离职前未缴清","正常"))))))</f>
        <v/>
      </c>
      <c r="R151" s="11" t="n"/>
    </row>
    <row r="152">
      <c r="A152" s="6">
        <f>IF(AND(D152="",E152=""),"",IFERROR(INDEX('激励事件明细'!$C$2:$C$501,IF(D152&lt;&gt;"",MATCH(D152,'激励事件明细'!$A$2:$A$501,0),MATCH(E152,'激励事件明细'!$B$2:$B$501,0))),""))</f>
        <v/>
      </c>
      <c r="B152" s="6">
        <f>IF(A152="","",IFERROR(INDEX('激励事件明细'!$D$2:$D$501,IF(D152&lt;&gt;"",MATCH(D152,'激励事件明细'!$A$2:$A$501,0),MATCH(E152,'激励事件明细'!$B$2:$B$501,0))),""))</f>
        <v/>
      </c>
      <c r="C152" s="6">
        <f>IF(A152="","",IFERROR(INDEX('激励事件明细'!$H$2:$H$501,IF(D152&lt;&gt;"",MATCH(D152,'激励事件明细'!$A$2:$A$501,0),MATCH(E152,'激励事件明细'!$B$2:$B$501,0))),""))</f>
        <v/>
      </c>
      <c r="D152" s="11" t="n"/>
      <c r="E152" s="11" t="n"/>
      <c r="F152" s="14">
        <f>IF(A152="","",IFERROR(INDEX('激励事件明细'!$Z$2:$Z$501,IF(D152&lt;&gt;"",MATCH(D152,'激励事件明细'!$A$2:$A$501,0),MATCH(E152,'激励事件明细'!$B$2:$B$501,0))),""))</f>
        <v/>
      </c>
      <c r="G152" s="16">
        <f>IF(A152="","",IFERROR(INDEX('激励事件明细'!$AA$2:$AA$501,IF(D152&lt;&gt;"",MATCH(D152,'激励事件明细'!$A$2:$A$501,0),MATCH(E152,'激励事件明细'!$B$2:$B$501,0))),""))</f>
        <v/>
      </c>
      <c r="H152" s="16">
        <f>IF(A152="","",IFERROR(INDEX('激励事件明细'!$AB$2:$AB$501,IF(D152&lt;&gt;"",MATCH(D152,'激励事件明细'!$A$2:$A$501,0),MATCH(E152,'激励事件明细'!$B$2:$B$501,0))),""))</f>
        <v/>
      </c>
      <c r="I152" s="12" t="n"/>
      <c r="J152" s="13" t="n"/>
      <c r="K152" s="13" t="n"/>
      <c r="L152" s="11" t="n"/>
      <c r="M152" s="14">
        <f>IF(A152="","",IF(D152&lt;&gt;"",SUMIFS($K$2:$K$501,$D$2:$D$501,D152),SUMIFS($K$2:$K$501,$E$2:$E$501,E152)))</f>
        <v/>
      </c>
      <c r="N152" s="14">
        <f>IF(F152="","",MAX(0,F152-M152))</f>
        <v/>
      </c>
      <c r="O152" s="6">
        <f>IF(A152="","",IF(AND(I152&lt;&gt;"",I152&gt;H152),"是",IF(AND(TODAY()&gt;H152,N152&gt;0),"是","否")))</f>
        <v/>
      </c>
      <c r="P152" s="16">
        <f>IF(A152="","",IFERROR(INDEX('激励事件明细'!$P$2:$P$501,IF(D152&lt;&gt;"",MATCH(D152,'激励事件明细'!$A$2:$A$501,0),MATCH(E152,'激励事件明细'!$B$2:$B$501,0))),""))</f>
        <v/>
      </c>
      <c r="Q152" s="6">
        <f>IF(AND(D152="",E152=""),"异常：必须关联事件编号或税额批次",IF(AND(D152&lt;&gt;"",COUNTIF('激励事件明细'!$A$2:$A$501,D152)=0),"异常：事件编号不存在",IF(AND(E152&lt;&gt;"",COUNTIF('激励事件明细'!$B$2:$B$501,E152)=0),"异常：税额批次不存在",IF(M152&gt;F152,"异常：本批次超额缴税",IF(AND(I152&lt;&gt;"",I152&gt;H152),"异常：超过事件截止日",IF(AND(P152&lt;&gt;"",TODAY()&gt;=P152,N152&gt;0),"异常：离职前未缴清","正常"))))))</f>
        <v/>
      </c>
      <c r="R152" s="11" t="n"/>
    </row>
    <row r="153">
      <c r="A153" s="6">
        <f>IF(AND(D153="",E153=""),"",IFERROR(INDEX('激励事件明细'!$C$2:$C$501,IF(D153&lt;&gt;"",MATCH(D153,'激励事件明细'!$A$2:$A$501,0),MATCH(E153,'激励事件明细'!$B$2:$B$501,0))),""))</f>
        <v/>
      </c>
      <c r="B153" s="6">
        <f>IF(A153="","",IFERROR(INDEX('激励事件明细'!$D$2:$D$501,IF(D153&lt;&gt;"",MATCH(D153,'激励事件明细'!$A$2:$A$501,0),MATCH(E153,'激励事件明细'!$B$2:$B$501,0))),""))</f>
        <v/>
      </c>
      <c r="C153" s="6">
        <f>IF(A153="","",IFERROR(INDEX('激励事件明细'!$H$2:$H$501,IF(D153&lt;&gt;"",MATCH(D153,'激励事件明细'!$A$2:$A$501,0),MATCH(E153,'激励事件明细'!$B$2:$B$501,0))),""))</f>
        <v/>
      </c>
      <c r="D153" s="11" t="n"/>
      <c r="E153" s="11" t="n"/>
      <c r="F153" s="14">
        <f>IF(A153="","",IFERROR(INDEX('激励事件明细'!$Z$2:$Z$501,IF(D153&lt;&gt;"",MATCH(D153,'激励事件明细'!$A$2:$A$501,0),MATCH(E153,'激励事件明细'!$B$2:$B$501,0))),""))</f>
        <v/>
      </c>
      <c r="G153" s="16">
        <f>IF(A153="","",IFERROR(INDEX('激励事件明细'!$AA$2:$AA$501,IF(D153&lt;&gt;"",MATCH(D153,'激励事件明细'!$A$2:$A$501,0),MATCH(E153,'激励事件明细'!$B$2:$B$501,0))),""))</f>
        <v/>
      </c>
      <c r="H153" s="16">
        <f>IF(A153="","",IFERROR(INDEX('激励事件明细'!$AB$2:$AB$501,IF(D153&lt;&gt;"",MATCH(D153,'激励事件明细'!$A$2:$A$501,0),MATCH(E153,'激励事件明细'!$B$2:$B$501,0))),""))</f>
        <v/>
      </c>
      <c r="I153" s="12" t="n"/>
      <c r="J153" s="13" t="n"/>
      <c r="K153" s="13" t="n"/>
      <c r="L153" s="11" t="n"/>
      <c r="M153" s="14">
        <f>IF(A153="","",IF(D153&lt;&gt;"",SUMIFS($K$2:$K$501,$D$2:$D$501,D153),SUMIFS($K$2:$K$501,$E$2:$E$501,E153)))</f>
        <v/>
      </c>
      <c r="N153" s="14">
        <f>IF(F153="","",MAX(0,F153-M153))</f>
        <v/>
      </c>
      <c r="O153" s="6">
        <f>IF(A153="","",IF(AND(I153&lt;&gt;"",I153&gt;H153),"是",IF(AND(TODAY()&gt;H153,N153&gt;0),"是","否")))</f>
        <v/>
      </c>
      <c r="P153" s="16">
        <f>IF(A153="","",IFERROR(INDEX('激励事件明细'!$P$2:$P$501,IF(D153&lt;&gt;"",MATCH(D153,'激励事件明细'!$A$2:$A$501,0),MATCH(E153,'激励事件明细'!$B$2:$B$501,0))),""))</f>
        <v/>
      </c>
      <c r="Q153" s="6">
        <f>IF(AND(D153="",E153=""),"异常：必须关联事件编号或税额批次",IF(AND(D153&lt;&gt;"",COUNTIF('激励事件明细'!$A$2:$A$501,D153)=0),"异常：事件编号不存在",IF(AND(E153&lt;&gt;"",COUNTIF('激励事件明细'!$B$2:$B$501,E153)=0),"异常：税额批次不存在",IF(M153&gt;F153,"异常：本批次超额缴税",IF(AND(I153&lt;&gt;"",I153&gt;H153),"异常：超过事件截止日",IF(AND(P153&lt;&gt;"",TODAY()&gt;=P153,N153&gt;0),"异常：离职前未缴清","正常"))))))</f>
        <v/>
      </c>
      <c r="R153" s="11" t="n"/>
    </row>
    <row r="154">
      <c r="A154" s="6">
        <f>IF(AND(D154="",E154=""),"",IFERROR(INDEX('激励事件明细'!$C$2:$C$501,IF(D154&lt;&gt;"",MATCH(D154,'激励事件明细'!$A$2:$A$501,0),MATCH(E154,'激励事件明细'!$B$2:$B$501,0))),""))</f>
        <v/>
      </c>
      <c r="B154" s="6">
        <f>IF(A154="","",IFERROR(INDEX('激励事件明细'!$D$2:$D$501,IF(D154&lt;&gt;"",MATCH(D154,'激励事件明细'!$A$2:$A$501,0),MATCH(E154,'激励事件明细'!$B$2:$B$501,0))),""))</f>
        <v/>
      </c>
      <c r="C154" s="6">
        <f>IF(A154="","",IFERROR(INDEX('激励事件明细'!$H$2:$H$501,IF(D154&lt;&gt;"",MATCH(D154,'激励事件明细'!$A$2:$A$501,0),MATCH(E154,'激励事件明细'!$B$2:$B$501,0))),""))</f>
        <v/>
      </c>
      <c r="D154" s="11" t="n"/>
      <c r="E154" s="11" t="n"/>
      <c r="F154" s="14">
        <f>IF(A154="","",IFERROR(INDEX('激励事件明细'!$Z$2:$Z$501,IF(D154&lt;&gt;"",MATCH(D154,'激励事件明细'!$A$2:$A$501,0),MATCH(E154,'激励事件明细'!$B$2:$B$501,0))),""))</f>
        <v/>
      </c>
      <c r="G154" s="16">
        <f>IF(A154="","",IFERROR(INDEX('激励事件明细'!$AA$2:$AA$501,IF(D154&lt;&gt;"",MATCH(D154,'激励事件明细'!$A$2:$A$501,0),MATCH(E154,'激励事件明细'!$B$2:$B$501,0))),""))</f>
        <v/>
      </c>
      <c r="H154" s="16">
        <f>IF(A154="","",IFERROR(INDEX('激励事件明细'!$AB$2:$AB$501,IF(D154&lt;&gt;"",MATCH(D154,'激励事件明细'!$A$2:$A$501,0),MATCH(E154,'激励事件明细'!$B$2:$B$501,0))),""))</f>
        <v/>
      </c>
      <c r="I154" s="12" t="n"/>
      <c r="J154" s="13" t="n"/>
      <c r="K154" s="13" t="n"/>
      <c r="L154" s="11" t="n"/>
      <c r="M154" s="14">
        <f>IF(A154="","",IF(D154&lt;&gt;"",SUMIFS($K$2:$K$501,$D$2:$D$501,D154),SUMIFS($K$2:$K$501,$E$2:$E$501,E154)))</f>
        <v/>
      </c>
      <c r="N154" s="14">
        <f>IF(F154="","",MAX(0,F154-M154))</f>
        <v/>
      </c>
      <c r="O154" s="6">
        <f>IF(A154="","",IF(AND(I154&lt;&gt;"",I154&gt;H154),"是",IF(AND(TODAY()&gt;H154,N154&gt;0),"是","否")))</f>
        <v/>
      </c>
      <c r="P154" s="16">
        <f>IF(A154="","",IFERROR(INDEX('激励事件明细'!$P$2:$P$501,IF(D154&lt;&gt;"",MATCH(D154,'激励事件明细'!$A$2:$A$501,0),MATCH(E154,'激励事件明细'!$B$2:$B$501,0))),""))</f>
        <v/>
      </c>
      <c r="Q154" s="6">
        <f>IF(AND(D154="",E154=""),"异常：必须关联事件编号或税额批次",IF(AND(D154&lt;&gt;"",COUNTIF('激励事件明细'!$A$2:$A$501,D154)=0),"异常：事件编号不存在",IF(AND(E154&lt;&gt;"",COUNTIF('激励事件明细'!$B$2:$B$501,E154)=0),"异常：税额批次不存在",IF(M154&gt;F154,"异常：本批次超额缴税",IF(AND(I154&lt;&gt;"",I154&gt;H154),"异常：超过事件截止日",IF(AND(P154&lt;&gt;"",TODAY()&gt;=P154,N154&gt;0),"异常：离职前未缴清","正常"))))))</f>
        <v/>
      </c>
      <c r="R154" s="11" t="n"/>
    </row>
    <row r="155">
      <c r="A155" s="6">
        <f>IF(AND(D155="",E155=""),"",IFERROR(INDEX('激励事件明细'!$C$2:$C$501,IF(D155&lt;&gt;"",MATCH(D155,'激励事件明细'!$A$2:$A$501,0),MATCH(E155,'激励事件明细'!$B$2:$B$501,0))),""))</f>
        <v/>
      </c>
      <c r="B155" s="6">
        <f>IF(A155="","",IFERROR(INDEX('激励事件明细'!$D$2:$D$501,IF(D155&lt;&gt;"",MATCH(D155,'激励事件明细'!$A$2:$A$501,0),MATCH(E155,'激励事件明细'!$B$2:$B$501,0))),""))</f>
        <v/>
      </c>
      <c r="C155" s="6">
        <f>IF(A155="","",IFERROR(INDEX('激励事件明细'!$H$2:$H$501,IF(D155&lt;&gt;"",MATCH(D155,'激励事件明细'!$A$2:$A$501,0),MATCH(E155,'激励事件明细'!$B$2:$B$501,0))),""))</f>
        <v/>
      </c>
      <c r="D155" s="11" t="n"/>
      <c r="E155" s="11" t="n"/>
      <c r="F155" s="14">
        <f>IF(A155="","",IFERROR(INDEX('激励事件明细'!$Z$2:$Z$501,IF(D155&lt;&gt;"",MATCH(D155,'激励事件明细'!$A$2:$A$501,0),MATCH(E155,'激励事件明细'!$B$2:$B$501,0))),""))</f>
        <v/>
      </c>
      <c r="G155" s="16">
        <f>IF(A155="","",IFERROR(INDEX('激励事件明细'!$AA$2:$AA$501,IF(D155&lt;&gt;"",MATCH(D155,'激励事件明细'!$A$2:$A$501,0),MATCH(E155,'激励事件明细'!$B$2:$B$501,0))),""))</f>
        <v/>
      </c>
      <c r="H155" s="16">
        <f>IF(A155="","",IFERROR(INDEX('激励事件明细'!$AB$2:$AB$501,IF(D155&lt;&gt;"",MATCH(D155,'激励事件明细'!$A$2:$A$501,0),MATCH(E155,'激励事件明细'!$B$2:$B$501,0))),""))</f>
        <v/>
      </c>
      <c r="I155" s="12" t="n"/>
      <c r="J155" s="13" t="n"/>
      <c r="K155" s="13" t="n"/>
      <c r="L155" s="11" t="n"/>
      <c r="M155" s="14">
        <f>IF(A155="","",IF(D155&lt;&gt;"",SUMIFS($K$2:$K$501,$D$2:$D$501,D155),SUMIFS($K$2:$K$501,$E$2:$E$501,E155)))</f>
        <v/>
      </c>
      <c r="N155" s="14">
        <f>IF(F155="","",MAX(0,F155-M155))</f>
        <v/>
      </c>
      <c r="O155" s="6">
        <f>IF(A155="","",IF(AND(I155&lt;&gt;"",I155&gt;H155),"是",IF(AND(TODAY()&gt;H155,N155&gt;0),"是","否")))</f>
        <v/>
      </c>
      <c r="P155" s="16">
        <f>IF(A155="","",IFERROR(INDEX('激励事件明细'!$P$2:$P$501,IF(D155&lt;&gt;"",MATCH(D155,'激励事件明细'!$A$2:$A$501,0),MATCH(E155,'激励事件明细'!$B$2:$B$501,0))),""))</f>
        <v/>
      </c>
      <c r="Q155" s="6">
        <f>IF(AND(D155="",E155=""),"异常：必须关联事件编号或税额批次",IF(AND(D155&lt;&gt;"",COUNTIF('激励事件明细'!$A$2:$A$501,D155)=0),"异常：事件编号不存在",IF(AND(E155&lt;&gt;"",COUNTIF('激励事件明细'!$B$2:$B$501,E155)=0),"异常：税额批次不存在",IF(M155&gt;F155,"异常：本批次超额缴税",IF(AND(I155&lt;&gt;"",I155&gt;H155),"异常：超过事件截止日",IF(AND(P155&lt;&gt;"",TODAY()&gt;=P155,N155&gt;0),"异常：离职前未缴清","正常"))))))</f>
        <v/>
      </c>
      <c r="R155" s="11" t="n"/>
    </row>
    <row r="156">
      <c r="A156" s="6">
        <f>IF(AND(D156="",E156=""),"",IFERROR(INDEX('激励事件明细'!$C$2:$C$501,IF(D156&lt;&gt;"",MATCH(D156,'激励事件明细'!$A$2:$A$501,0),MATCH(E156,'激励事件明细'!$B$2:$B$501,0))),""))</f>
        <v/>
      </c>
      <c r="B156" s="6">
        <f>IF(A156="","",IFERROR(INDEX('激励事件明细'!$D$2:$D$501,IF(D156&lt;&gt;"",MATCH(D156,'激励事件明细'!$A$2:$A$501,0),MATCH(E156,'激励事件明细'!$B$2:$B$501,0))),""))</f>
        <v/>
      </c>
      <c r="C156" s="6">
        <f>IF(A156="","",IFERROR(INDEX('激励事件明细'!$H$2:$H$501,IF(D156&lt;&gt;"",MATCH(D156,'激励事件明细'!$A$2:$A$501,0),MATCH(E156,'激励事件明细'!$B$2:$B$501,0))),""))</f>
        <v/>
      </c>
      <c r="D156" s="11" t="n"/>
      <c r="E156" s="11" t="n"/>
      <c r="F156" s="14">
        <f>IF(A156="","",IFERROR(INDEX('激励事件明细'!$Z$2:$Z$501,IF(D156&lt;&gt;"",MATCH(D156,'激励事件明细'!$A$2:$A$501,0),MATCH(E156,'激励事件明细'!$B$2:$B$501,0))),""))</f>
        <v/>
      </c>
      <c r="G156" s="16">
        <f>IF(A156="","",IFERROR(INDEX('激励事件明细'!$AA$2:$AA$501,IF(D156&lt;&gt;"",MATCH(D156,'激励事件明细'!$A$2:$A$501,0),MATCH(E156,'激励事件明细'!$B$2:$B$501,0))),""))</f>
        <v/>
      </c>
      <c r="H156" s="16">
        <f>IF(A156="","",IFERROR(INDEX('激励事件明细'!$AB$2:$AB$501,IF(D156&lt;&gt;"",MATCH(D156,'激励事件明细'!$A$2:$A$501,0),MATCH(E156,'激励事件明细'!$B$2:$B$501,0))),""))</f>
        <v/>
      </c>
      <c r="I156" s="12" t="n"/>
      <c r="J156" s="13" t="n"/>
      <c r="K156" s="13" t="n"/>
      <c r="L156" s="11" t="n"/>
      <c r="M156" s="14">
        <f>IF(A156="","",IF(D156&lt;&gt;"",SUMIFS($K$2:$K$501,$D$2:$D$501,D156),SUMIFS($K$2:$K$501,$E$2:$E$501,E156)))</f>
        <v/>
      </c>
      <c r="N156" s="14">
        <f>IF(F156="","",MAX(0,F156-M156))</f>
        <v/>
      </c>
      <c r="O156" s="6">
        <f>IF(A156="","",IF(AND(I156&lt;&gt;"",I156&gt;H156),"是",IF(AND(TODAY()&gt;H156,N156&gt;0),"是","否")))</f>
        <v/>
      </c>
      <c r="P156" s="16">
        <f>IF(A156="","",IFERROR(INDEX('激励事件明细'!$P$2:$P$501,IF(D156&lt;&gt;"",MATCH(D156,'激励事件明细'!$A$2:$A$501,0),MATCH(E156,'激励事件明细'!$B$2:$B$501,0))),""))</f>
        <v/>
      </c>
      <c r="Q156" s="6">
        <f>IF(AND(D156="",E156=""),"异常：必须关联事件编号或税额批次",IF(AND(D156&lt;&gt;"",COUNTIF('激励事件明细'!$A$2:$A$501,D156)=0),"异常：事件编号不存在",IF(AND(E156&lt;&gt;"",COUNTIF('激励事件明细'!$B$2:$B$501,E156)=0),"异常：税额批次不存在",IF(M156&gt;F156,"异常：本批次超额缴税",IF(AND(I156&lt;&gt;"",I156&gt;H156),"异常：超过事件截止日",IF(AND(P156&lt;&gt;"",TODAY()&gt;=P156,N156&gt;0),"异常：离职前未缴清","正常"))))))</f>
        <v/>
      </c>
      <c r="R156" s="11" t="n"/>
    </row>
    <row r="157">
      <c r="A157" s="6">
        <f>IF(AND(D157="",E157=""),"",IFERROR(INDEX('激励事件明细'!$C$2:$C$501,IF(D157&lt;&gt;"",MATCH(D157,'激励事件明细'!$A$2:$A$501,0),MATCH(E157,'激励事件明细'!$B$2:$B$501,0))),""))</f>
        <v/>
      </c>
      <c r="B157" s="6">
        <f>IF(A157="","",IFERROR(INDEX('激励事件明细'!$D$2:$D$501,IF(D157&lt;&gt;"",MATCH(D157,'激励事件明细'!$A$2:$A$501,0),MATCH(E157,'激励事件明细'!$B$2:$B$501,0))),""))</f>
        <v/>
      </c>
      <c r="C157" s="6">
        <f>IF(A157="","",IFERROR(INDEX('激励事件明细'!$H$2:$H$501,IF(D157&lt;&gt;"",MATCH(D157,'激励事件明细'!$A$2:$A$501,0),MATCH(E157,'激励事件明细'!$B$2:$B$501,0))),""))</f>
        <v/>
      </c>
      <c r="D157" s="11" t="n"/>
      <c r="E157" s="11" t="n"/>
      <c r="F157" s="14">
        <f>IF(A157="","",IFERROR(INDEX('激励事件明细'!$Z$2:$Z$501,IF(D157&lt;&gt;"",MATCH(D157,'激励事件明细'!$A$2:$A$501,0),MATCH(E157,'激励事件明细'!$B$2:$B$501,0))),""))</f>
        <v/>
      </c>
      <c r="G157" s="16">
        <f>IF(A157="","",IFERROR(INDEX('激励事件明细'!$AA$2:$AA$501,IF(D157&lt;&gt;"",MATCH(D157,'激励事件明细'!$A$2:$A$501,0),MATCH(E157,'激励事件明细'!$B$2:$B$501,0))),""))</f>
        <v/>
      </c>
      <c r="H157" s="16">
        <f>IF(A157="","",IFERROR(INDEX('激励事件明细'!$AB$2:$AB$501,IF(D157&lt;&gt;"",MATCH(D157,'激励事件明细'!$A$2:$A$501,0),MATCH(E157,'激励事件明细'!$B$2:$B$501,0))),""))</f>
        <v/>
      </c>
      <c r="I157" s="12" t="n"/>
      <c r="J157" s="13" t="n"/>
      <c r="K157" s="13" t="n"/>
      <c r="L157" s="11" t="n"/>
      <c r="M157" s="14">
        <f>IF(A157="","",IF(D157&lt;&gt;"",SUMIFS($K$2:$K$501,$D$2:$D$501,D157),SUMIFS($K$2:$K$501,$E$2:$E$501,E157)))</f>
        <v/>
      </c>
      <c r="N157" s="14">
        <f>IF(F157="","",MAX(0,F157-M157))</f>
        <v/>
      </c>
      <c r="O157" s="6">
        <f>IF(A157="","",IF(AND(I157&lt;&gt;"",I157&gt;H157),"是",IF(AND(TODAY()&gt;H157,N157&gt;0),"是","否")))</f>
        <v/>
      </c>
      <c r="P157" s="16">
        <f>IF(A157="","",IFERROR(INDEX('激励事件明细'!$P$2:$P$501,IF(D157&lt;&gt;"",MATCH(D157,'激励事件明细'!$A$2:$A$501,0),MATCH(E157,'激励事件明细'!$B$2:$B$501,0))),""))</f>
        <v/>
      </c>
      <c r="Q157" s="6">
        <f>IF(AND(D157="",E157=""),"异常：必须关联事件编号或税额批次",IF(AND(D157&lt;&gt;"",COUNTIF('激励事件明细'!$A$2:$A$501,D157)=0),"异常：事件编号不存在",IF(AND(E157&lt;&gt;"",COUNTIF('激励事件明细'!$B$2:$B$501,E157)=0),"异常：税额批次不存在",IF(M157&gt;F157,"异常：本批次超额缴税",IF(AND(I157&lt;&gt;"",I157&gt;H157),"异常：超过事件截止日",IF(AND(P157&lt;&gt;"",TODAY()&gt;=P157,N157&gt;0),"异常：离职前未缴清","正常"))))))</f>
        <v/>
      </c>
      <c r="R157" s="11" t="n"/>
    </row>
    <row r="158">
      <c r="A158" s="6">
        <f>IF(AND(D158="",E158=""),"",IFERROR(INDEX('激励事件明细'!$C$2:$C$501,IF(D158&lt;&gt;"",MATCH(D158,'激励事件明细'!$A$2:$A$501,0),MATCH(E158,'激励事件明细'!$B$2:$B$501,0))),""))</f>
        <v/>
      </c>
      <c r="B158" s="6">
        <f>IF(A158="","",IFERROR(INDEX('激励事件明细'!$D$2:$D$501,IF(D158&lt;&gt;"",MATCH(D158,'激励事件明细'!$A$2:$A$501,0),MATCH(E158,'激励事件明细'!$B$2:$B$501,0))),""))</f>
        <v/>
      </c>
      <c r="C158" s="6">
        <f>IF(A158="","",IFERROR(INDEX('激励事件明细'!$H$2:$H$501,IF(D158&lt;&gt;"",MATCH(D158,'激励事件明细'!$A$2:$A$501,0),MATCH(E158,'激励事件明细'!$B$2:$B$501,0))),""))</f>
        <v/>
      </c>
      <c r="D158" s="11" t="n"/>
      <c r="E158" s="11" t="n"/>
      <c r="F158" s="14">
        <f>IF(A158="","",IFERROR(INDEX('激励事件明细'!$Z$2:$Z$501,IF(D158&lt;&gt;"",MATCH(D158,'激励事件明细'!$A$2:$A$501,0),MATCH(E158,'激励事件明细'!$B$2:$B$501,0))),""))</f>
        <v/>
      </c>
      <c r="G158" s="16">
        <f>IF(A158="","",IFERROR(INDEX('激励事件明细'!$AA$2:$AA$501,IF(D158&lt;&gt;"",MATCH(D158,'激励事件明细'!$A$2:$A$501,0),MATCH(E158,'激励事件明细'!$B$2:$B$501,0))),""))</f>
        <v/>
      </c>
      <c r="H158" s="16">
        <f>IF(A158="","",IFERROR(INDEX('激励事件明细'!$AB$2:$AB$501,IF(D158&lt;&gt;"",MATCH(D158,'激励事件明细'!$A$2:$A$501,0),MATCH(E158,'激励事件明细'!$B$2:$B$501,0))),""))</f>
        <v/>
      </c>
      <c r="I158" s="12" t="n"/>
      <c r="J158" s="13" t="n"/>
      <c r="K158" s="13" t="n"/>
      <c r="L158" s="11" t="n"/>
      <c r="M158" s="14">
        <f>IF(A158="","",IF(D158&lt;&gt;"",SUMIFS($K$2:$K$501,$D$2:$D$501,D158),SUMIFS($K$2:$K$501,$E$2:$E$501,E158)))</f>
        <v/>
      </c>
      <c r="N158" s="14">
        <f>IF(F158="","",MAX(0,F158-M158))</f>
        <v/>
      </c>
      <c r="O158" s="6">
        <f>IF(A158="","",IF(AND(I158&lt;&gt;"",I158&gt;H158),"是",IF(AND(TODAY()&gt;H158,N158&gt;0),"是","否")))</f>
        <v/>
      </c>
      <c r="P158" s="16">
        <f>IF(A158="","",IFERROR(INDEX('激励事件明细'!$P$2:$P$501,IF(D158&lt;&gt;"",MATCH(D158,'激励事件明细'!$A$2:$A$501,0),MATCH(E158,'激励事件明细'!$B$2:$B$501,0))),""))</f>
        <v/>
      </c>
      <c r="Q158" s="6">
        <f>IF(AND(D158="",E158=""),"异常：必须关联事件编号或税额批次",IF(AND(D158&lt;&gt;"",COUNTIF('激励事件明细'!$A$2:$A$501,D158)=0),"异常：事件编号不存在",IF(AND(E158&lt;&gt;"",COUNTIF('激励事件明细'!$B$2:$B$501,E158)=0),"异常：税额批次不存在",IF(M158&gt;F158,"异常：本批次超额缴税",IF(AND(I158&lt;&gt;"",I158&gt;H158),"异常：超过事件截止日",IF(AND(P158&lt;&gt;"",TODAY()&gt;=P158,N158&gt;0),"异常：离职前未缴清","正常"))))))</f>
        <v/>
      </c>
      <c r="R158" s="11" t="n"/>
    </row>
    <row r="159">
      <c r="A159" s="6">
        <f>IF(AND(D159="",E159=""),"",IFERROR(INDEX('激励事件明细'!$C$2:$C$501,IF(D159&lt;&gt;"",MATCH(D159,'激励事件明细'!$A$2:$A$501,0),MATCH(E159,'激励事件明细'!$B$2:$B$501,0))),""))</f>
        <v/>
      </c>
      <c r="B159" s="6">
        <f>IF(A159="","",IFERROR(INDEX('激励事件明细'!$D$2:$D$501,IF(D159&lt;&gt;"",MATCH(D159,'激励事件明细'!$A$2:$A$501,0),MATCH(E159,'激励事件明细'!$B$2:$B$501,0))),""))</f>
        <v/>
      </c>
      <c r="C159" s="6">
        <f>IF(A159="","",IFERROR(INDEX('激励事件明细'!$H$2:$H$501,IF(D159&lt;&gt;"",MATCH(D159,'激励事件明细'!$A$2:$A$501,0),MATCH(E159,'激励事件明细'!$B$2:$B$501,0))),""))</f>
        <v/>
      </c>
      <c r="D159" s="11" t="n"/>
      <c r="E159" s="11" t="n"/>
      <c r="F159" s="14">
        <f>IF(A159="","",IFERROR(INDEX('激励事件明细'!$Z$2:$Z$501,IF(D159&lt;&gt;"",MATCH(D159,'激励事件明细'!$A$2:$A$501,0),MATCH(E159,'激励事件明细'!$B$2:$B$501,0))),""))</f>
        <v/>
      </c>
      <c r="G159" s="16">
        <f>IF(A159="","",IFERROR(INDEX('激励事件明细'!$AA$2:$AA$501,IF(D159&lt;&gt;"",MATCH(D159,'激励事件明细'!$A$2:$A$501,0),MATCH(E159,'激励事件明细'!$B$2:$B$501,0))),""))</f>
        <v/>
      </c>
      <c r="H159" s="16">
        <f>IF(A159="","",IFERROR(INDEX('激励事件明细'!$AB$2:$AB$501,IF(D159&lt;&gt;"",MATCH(D159,'激励事件明细'!$A$2:$A$501,0),MATCH(E159,'激励事件明细'!$B$2:$B$501,0))),""))</f>
        <v/>
      </c>
      <c r="I159" s="12" t="n"/>
      <c r="J159" s="13" t="n"/>
      <c r="K159" s="13" t="n"/>
      <c r="L159" s="11" t="n"/>
      <c r="M159" s="14">
        <f>IF(A159="","",IF(D159&lt;&gt;"",SUMIFS($K$2:$K$501,$D$2:$D$501,D159),SUMIFS($K$2:$K$501,$E$2:$E$501,E159)))</f>
        <v/>
      </c>
      <c r="N159" s="14">
        <f>IF(F159="","",MAX(0,F159-M159))</f>
        <v/>
      </c>
      <c r="O159" s="6">
        <f>IF(A159="","",IF(AND(I159&lt;&gt;"",I159&gt;H159),"是",IF(AND(TODAY()&gt;H159,N159&gt;0),"是","否")))</f>
        <v/>
      </c>
      <c r="P159" s="16">
        <f>IF(A159="","",IFERROR(INDEX('激励事件明细'!$P$2:$P$501,IF(D159&lt;&gt;"",MATCH(D159,'激励事件明细'!$A$2:$A$501,0),MATCH(E159,'激励事件明细'!$B$2:$B$501,0))),""))</f>
        <v/>
      </c>
      <c r="Q159" s="6">
        <f>IF(AND(D159="",E159=""),"异常：必须关联事件编号或税额批次",IF(AND(D159&lt;&gt;"",COUNTIF('激励事件明细'!$A$2:$A$501,D159)=0),"异常：事件编号不存在",IF(AND(E159&lt;&gt;"",COUNTIF('激励事件明细'!$B$2:$B$501,E159)=0),"异常：税额批次不存在",IF(M159&gt;F159,"异常：本批次超额缴税",IF(AND(I159&lt;&gt;"",I159&gt;H159),"异常：超过事件截止日",IF(AND(P159&lt;&gt;"",TODAY()&gt;=P159,N159&gt;0),"异常：离职前未缴清","正常"))))))</f>
        <v/>
      </c>
      <c r="R159" s="11" t="n"/>
    </row>
    <row r="160">
      <c r="A160" s="6">
        <f>IF(AND(D160="",E160=""),"",IFERROR(INDEX('激励事件明细'!$C$2:$C$501,IF(D160&lt;&gt;"",MATCH(D160,'激励事件明细'!$A$2:$A$501,0),MATCH(E160,'激励事件明细'!$B$2:$B$501,0))),""))</f>
        <v/>
      </c>
      <c r="B160" s="6">
        <f>IF(A160="","",IFERROR(INDEX('激励事件明细'!$D$2:$D$501,IF(D160&lt;&gt;"",MATCH(D160,'激励事件明细'!$A$2:$A$501,0),MATCH(E160,'激励事件明细'!$B$2:$B$501,0))),""))</f>
        <v/>
      </c>
      <c r="C160" s="6">
        <f>IF(A160="","",IFERROR(INDEX('激励事件明细'!$H$2:$H$501,IF(D160&lt;&gt;"",MATCH(D160,'激励事件明细'!$A$2:$A$501,0),MATCH(E160,'激励事件明细'!$B$2:$B$501,0))),""))</f>
        <v/>
      </c>
      <c r="D160" s="11" t="n"/>
      <c r="E160" s="11" t="n"/>
      <c r="F160" s="14">
        <f>IF(A160="","",IFERROR(INDEX('激励事件明细'!$Z$2:$Z$501,IF(D160&lt;&gt;"",MATCH(D160,'激励事件明细'!$A$2:$A$501,0),MATCH(E160,'激励事件明细'!$B$2:$B$501,0))),""))</f>
        <v/>
      </c>
      <c r="G160" s="16">
        <f>IF(A160="","",IFERROR(INDEX('激励事件明细'!$AA$2:$AA$501,IF(D160&lt;&gt;"",MATCH(D160,'激励事件明细'!$A$2:$A$501,0),MATCH(E160,'激励事件明细'!$B$2:$B$501,0))),""))</f>
        <v/>
      </c>
      <c r="H160" s="16">
        <f>IF(A160="","",IFERROR(INDEX('激励事件明细'!$AB$2:$AB$501,IF(D160&lt;&gt;"",MATCH(D160,'激励事件明细'!$A$2:$A$501,0),MATCH(E160,'激励事件明细'!$B$2:$B$501,0))),""))</f>
        <v/>
      </c>
      <c r="I160" s="12" t="n"/>
      <c r="J160" s="13" t="n"/>
      <c r="K160" s="13" t="n"/>
      <c r="L160" s="11" t="n"/>
      <c r="M160" s="14">
        <f>IF(A160="","",IF(D160&lt;&gt;"",SUMIFS($K$2:$K$501,$D$2:$D$501,D160),SUMIFS($K$2:$K$501,$E$2:$E$501,E160)))</f>
        <v/>
      </c>
      <c r="N160" s="14">
        <f>IF(F160="","",MAX(0,F160-M160))</f>
        <v/>
      </c>
      <c r="O160" s="6">
        <f>IF(A160="","",IF(AND(I160&lt;&gt;"",I160&gt;H160),"是",IF(AND(TODAY()&gt;H160,N160&gt;0),"是","否")))</f>
        <v/>
      </c>
      <c r="P160" s="16">
        <f>IF(A160="","",IFERROR(INDEX('激励事件明细'!$P$2:$P$501,IF(D160&lt;&gt;"",MATCH(D160,'激励事件明细'!$A$2:$A$501,0),MATCH(E160,'激励事件明细'!$B$2:$B$501,0))),""))</f>
        <v/>
      </c>
      <c r="Q160" s="6">
        <f>IF(AND(D160="",E160=""),"异常：必须关联事件编号或税额批次",IF(AND(D160&lt;&gt;"",COUNTIF('激励事件明细'!$A$2:$A$501,D160)=0),"异常：事件编号不存在",IF(AND(E160&lt;&gt;"",COUNTIF('激励事件明细'!$B$2:$B$501,E160)=0),"异常：税额批次不存在",IF(M160&gt;F160,"异常：本批次超额缴税",IF(AND(I160&lt;&gt;"",I160&gt;H160),"异常：超过事件截止日",IF(AND(P160&lt;&gt;"",TODAY()&gt;=P160,N160&gt;0),"异常：离职前未缴清","正常"))))))</f>
        <v/>
      </c>
      <c r="R160" s="11" t="n"/>
    </row>
    <row r="161">
      <c r="A161" s="6">
        <f>IF(AND(D161="",E161=""),"",IFERROR(INDEX('激励事件明细'!$C$2:$C$501,IF(D161&lt;&gt;"",MATCH(D161,'激励事件明细'!$A$2:$A$501,0),MATCH(E161,'激励事件明细'!$B$2:$B$501,0))),""))</f>
        <v/>
      </c>
      <c r="B161" s="6">
        <f>IF(A161="","",IFERROR(INDEX('激励事件明细'!$D$2:$D$501,IF(D161&lt;&gt;"",MATCH(D161,'激励事件明细'!$A$2:$A$501,0),MATCH(E161,'激励事件明细'!$B$2:$B$501,0))),""))</f>
        <v/>
      </c>
      <c r="C161" s="6">
        <f>IF(A161="","",IFERROR(INDEX('激励事件明细'!$H$2:$H$501,IF(D161&lt;&gt;"",MATCH(D161,'激励事件明细'!$A$2:$A$501,0),MATCH(E161,'激励事件明细'!$B$2:$B$501,0))),""))</f>
        <v/>
      </c>
      <c r="D161" s="11" t="n"/>
      <c r="E161" s="11" t="n"/>
      <c r="F161" s="14">
        <f>IF(A161="","",IFERROR(INDEX('激励事件明细'!$Z$2:$Z$501,IF(D161&lt;&gt;"",MATCH(D161,'激励事件明细'!$A$2:$A$501,0),MATCH(E161,'激励事件明细'!$B$2:$B$501,0))),""))</f>
        <v/>
      </c>
      <c r="G161" s="16">
        <f>IF(A161="","",IFERROR(INDEX('激励事件明细'!$AA$2:$AA$501,IF(D161&lt;&gt;"",MATCH(D161,'激励事件明细'!$A$2:$A$501,0),MATCH(E161,'激励事件明细'!$B$2:$B$501,0))),""))</f>
        <v/>
      </c>
      <c r="H161" s="16">
        <f>IF(A161="","",IFERROR(INDEX('激励事件明细'!$AB$2:$AB$501,IF(D161&lt;&gt;"",MATCH(D161,'激励事件明细'!$A$2:$A$501,0),MATCH(E161,'激励事件明细'!$B$2:$B$501,0))),""))</f>
        <v/>
      </c>
      <c r="I161" s="12" t="n"/>
      <c r="J161" s="13" t="n"/>
      <c r="K161" s="13" t="n"/>
      <c r="L161" s="11" t="n"/>
      <c r="M161" s="14">
        <f>IF(A161="","",IF(D161&lt;&gt;"",SUMIFS($K$2:$K$501,$D$2:$D$501,D161),SUMIFS($K$2:$K$501,$E$2:$E$501,E161)))</f>
        <v/>
      </c>
      <c r="N161" s="14">
        <f>IF(F161="","",MAX(0,F161-M161))</f>
        <v/>
      </c>
      <c r="O161" s="6">
        <f>IF(A161="","",IF(AND(I161&lt;&gt;"",I161&gt;H161),"是",IF(AND(TODAY()&gt;H161,N161&gt;0),"是","否")))</f>
        <v/>
      </c>
      <c r="P161" s="16">
        <f>IF(A161="","",IFERROR(INDEX('激励事件明细'!$P$2:$P$501,IF(D161&lt;&gt;"",MATCH(D161,'激励事件明细'!$A$2:$A$501,0),MATCH(E161,'激励事件明细'!$B$2:$B$501,0))),""))</f>
        <v/>
      </c>
      <c r="Q161" s="6">
        <f>IF(AND(D161="",E161=""),"异常：必须关联事件编号或税额批次",IF(AND(D161&lt;&gt;"",COUNTIF('激励事件明细'!$A$2:$A$501,D161)=0),"异常：事件编号不存在",IF(AND(E161&lt;&gt;"",COUNTIF('激励事件明细'!$B$2:$B$501,E161)=0),"异常：税额批次不存在",IF(M161&gt;F161,"异常：本批次超额缴税",IF(AND(I161&lt;&gt;"",I161&gt;H161),"异常：超过事件截止日",IF(AND(P161&lt;&gt;"",TODAY()&gt;=P161,N161&gt;0),"异常：离职前未缴清","正常"))))))</f>
        <v/>
      </c>
      <c r="R161" s="11" t="n"/>
    </row>
    <row r="162">
      <c r="A162" s="6">
        <f>IF(AND(D162="",E162=""),"",IFERROR(INDEX('激励事件明细'!$C$2:$C$501,IF(D162&lt;&gt;"",MATCH(D162,'激励事件明细'!$A$2:$A$501,0),MATCH(E162,'激励事件明细'!$B$2:$B$501,0))),""))</f>
        <v/>
      </c>
      <c r="B162" s="6">
        <f>IF(A162="","",IFERROR(INDEX('激励事件明细'!$D$2:$D$501,IF(D162&lt;&gt;"",MATCH(D162,'激励事件明细'!$A$2:$A$501,0),MATCH(E162,'激励事件明细'!$B$2:$B$501,0))),""))</f>
        <v/>
      </c>
      <c r="C162" s="6">
        <f>IF(A162="","",IFERROR(INDEX('激励事件明细'!$H$2:$H$501,IF(D162&lt;&gt;"",MATCH(D162,'激励事件明细'!$A$2:$A$501,0),MATCH(E162,'激励事件明细'!$B$2:$B$501,0))),""))</f>
        <v/>
      </c>
      <c r="D162" s="11" t="n"/>
      <c r="E162" s="11" t="n"/>
      <c r="F162" s="14">
        <f>IF(A162="","",IFERROR(INDEX('激励事件明细'!$Z$2:$Z$501,IF(D162&lt;&gt;"",MATCH(D162,'激励事件明细'!$A$2:$A$501,0),MATCH(E162,'激励事件明细'!$B$2:$B$501,0))),""))</f>
        <v/>
      </c>
      <c r="G162" s="16">
        <f>IF(A162="","",IFERROR(INDEX('激励事件明细'!$AA$2:$AA$501,IF(D162&lt;&gt;"",MATCH(D162,'激励事件明细'!$A$2:$A$501,0),MATCH(E162,'激励事件明细'!$B$2:$B$501,0))),""))</f>
        <v/>
      </c>
      <c r="H162" s="16">
        <f>IF(A162="","",IFERROR(INDEX('激励事件明细'!$AB$2:$AB$501,IF(D162&lt;&gt;"",MATCH(D162,'激励事件明细'!$A$2:$A$501,0),MATCH(E162,'激励事件明细'!$B$2:$B$501,0))),""))</f>
        <v/>
      </c>
      <c r="I162" s="12" t="n"/>
      <c r="J162" s="13" t="n"/>
      <c r="K162" s="13" t="n"/>
      <c r="L162" s="11" t="n"/>
      <c r="M162" s="14">
        <f>IF(A162="","",IF(D162&lt;&gt;"",SUMIFS($K$2:$K$501,$D$2:$D$501,D162),SUMIFS($K$2:$K$501,$E$2:$E$501,E162)))</f>
        <v/>
      </c>
      <c r="N162" s="14">
        <f>IF(F162="","",MAX(0,F162-M162))</f>
        <v/>
      </c>
      <c r="O162" s="6">
        <f>IF(A162="","",IF(AND(I162&lt;&gt;"",I162&gt;H162),"是",IF(AND(TODAY()&gt;H162,N162&gt;0),"是","否")))</f>
        <v/>
      </c>
      <c r="P162" s="16">
        <f>IF(A162="","",IFERROR(INDEX('激励事件明细'!$P$2:$P$501,IF(D162&lt;&gt;"",MATCH(D162,'激励事件明细'!$A$2:$A$501,0),MATCH(E162,'激励事件明细'!$B$2:$B$501,0))),""))</f>
        <v/>
      </c>
      <c r="Q162" s="6">
        <f>IF(AND(D162="",E162=""),"异常：必须关联事件编号或税额批次",IF(AND(D162&lt;&gt;"",COUNTIF('激励事件明细'!$A$2:$A$501,D162)=0),"异常：事件编号不存在",IF(AND(E162&lt;&gt;"",COUNTIF('激励事件明细'!$B$2:$B$501,E162)=0),"异常：税额批次不存在",IF(M162&gt;F162,"异常：本批次超额缴税",IF(AND(I162&lt;&gt;"",I162&gt;H162),"异常：超过事件截止日",IF(AND(P162&lt;&gt;"",TODAY()&gt;=P162,N162&gt;0),"异常：离职前未缴清","正常"))))))</f>
        <v/>
      </c>
      <c r="R162" s="11" t="n"/>
    </row>
    <row r="163">
      <c r="A163" s="6">
        <f>IF(AND(D163="",E163=""),"",IFERROR(INDEX('激励事件明细'!$C$2:$C$501,IF(D163&lt;&gt;"",MATCH(D163,'激励事件明细'!$A$2:$A$501,0),MATCH(E163,'激励事件明细'!$B$2:$B$501,0))),""))</f>
        <v/>
      </c>
      <c r="B163" s="6">
        <f>IF(A163="","",IFERROR(INDEX('激励事件明细'!$D$2:$D$501,IF(D163&lt;&gt;"",MATCH(D163,'激励事件明细'!$A$2:$A$501,0),MATCH(E163,'激励事件明细'!$B$2:$B$501,0))),""))</f>
        <v/>
      </c>
      <c r="C163" s="6">
        <f>IF(A163="","",IFERROR(INDEX('激励事件明细'!$H$2:$H$501,IF(D163&lt;&gt;"",MATCH(D163,'激励事件明细'!$A$2:$A$501,0),MATCH(E163,'激励事件明细'!$B$2:$B$501,0))),""))</f>
        <v/>
      </c>
      <c r="D163" s="11" t="n"/>
      <c r="E163" s="11" t="n"/>
      <c r="F163" s="14">
        <f>IF(A163="","",IFERROR(INDEX('激励事件明细'!$Z$2:$Z$501,IF(D163&lt;&gt;"",MATCH(D163,'激励事件明细'!$A$2:$A$501,0),MATCH(E163,'激励事件明细'!$B$2:$B$501,0))),""))</f>
        <v/>
      </c>
      <c r="G163" s="16">
        <f>IF(A163="","",IFERROR(INDEX('激励事件明细'!$AA$2:$AA$501,IF(D163&lt;&gt;"",MATCH(D163,'激励事件明细'!$A$2:$A$501,0),MATCH(E163,'激励事件明细'!$B$2:$B$501,0))),""))</f>
        <v/>
      </c>
      <c r="H163" s="16">
        <f>IF(A163="","",IFERROR(INDEX('激励事件明细'!$AB$2:$AB$501,IF(D163&lt;&gt;"",MATCH(D163,'激励事件明细'!$A$2:$A$501,0),MATCH(E163,'激励事件明细'!$B$2:$B$501,0))),""))</f>
        <v/>
      </c>
      <c r="I163" s="12" t="n"/>
      <c r="J163" s="13" t="n"/>
      <c r="K163" s="13" t="n"/>
      <c r="L163" s="11" t="n"/>
      <c r="M163" s="14">
        <f>IF(A163="","",IF(D163&lt;&gt;"",SUMIFS($K$2:$K$501,$D$2:$D$501,D163),SUMIFS($K$2:$K$501,$E$2:$E$501,E163)))</f>
        <v/>
      </c>
      <c r="N163" s="14">
        <f>IF(F163="","",MAX(0,F163-M163))</f>
        <v/>
      </c>
      <c r="O163" s="6">
        <f>IF(A163="","",IF(AND(I163&lt;&gt;"",I163&gt;H163),"是",IF(AND(TODAY()&gt;H163,N163&gt;0),"是","否")))</f>
        <v/>
      </c>
      <c r="P163" s="16">
        <f>IF(A163="","",IFERROR(INDEX('激励事件明细'!$P$2:$P$501,IF(D163&lt;&gt;"",MATCH(D163,'激励事件明细'!$A$2:$A$501,0),MATCH(E163,'激励事件明细'!$B$2:$B$501,0))),""))</f>
        <v/>
      </c>
      <c r="Q163" s="6">
        <f>IF(AND(D163="",E163=""),"异常：必须关联事件编号或税额批次",IF(AND(D163&lt;&gt;"",COUNTIF('激励事件明细'!$A$2:$A$501,D163)=0),"异常：事件编号不存在",IF(AND(E163&lt;&gt;"",COUNTIF('激励事件明细'!$B$2:$B$501,E163)=0),"异常：税额批次不存在",IF(M163&gt;F163,"异常：本批次超额缴税",IF(AND(I163&lt;&gt;"",I163&gt;H163),"异常：超过事件截止日",IF(AND(P163&lt;&gt;"",TODAY()&gt;=P163,N163&gt;0),"异常：离职前未缴清","正常"))))))</f>
        <v/>
      </c>
      <c r="R163" s="11" t="n"/>
    </row>
    <row r="164">
      <c r="A164" s="6">
        <f>IF(AND(D164="",E164=""),"",IFERROR(INDEX('激励事件明细'!$C$2:$C$501,IF(D164&lt;&gt;"",MATCH(D164,'激励事件明细'!$A$2:$A$501,0),MATCH(E164,'激励事件明细'!$B$2:$B$501,0))),""))</f>
        <v/>
      </c>
      <c r="B164" s="6">
        <f>IF(A164="","",IFERROR(INDEX('激励事件明细'!$D$2:$D$501,IF(D164&lt;&gt;"",MATCH(D164,'激励事件明细'!$A$2:$A$501,0),MATCH(E164,'激励事件明细'!$B$2:$B$501,0))),""))</f>
        <v/>
      </c>
      <c r="C164" s="6">
        <f>IF(A164="","",IFERROR(INDEX('激励事件明细'!$H$2:$H$501,IF(D164&lt;&gt;"",MATCH(D164,'激励事件明细'!$A$2:$A$501,0),MATCH(E164,'激励事件明细'!$B$2:$B$501,0))),""))</f>
        <v/>
      </c>
      <c r="D164" s="11" t="n"/>
      <c r="E164" s="11" t="n"/>
      <c r="F164" s="14">
        <f>IF(A164="","",IFERROR(INDEX('激励事件明细'!$Z$2:$Z$501,IF(D164&lt;&gt;"",MATCH(D164,'激励事件明细'!$A$2:$A$501,0),MATCH(E164,'激励事件明细'!$B$2:$B$501,0))),""))</f>
        <v/>
      </c>
      <c r="G164" s="16">
        <f>IF(A164="","",IFERROR(INDEX('激励事件明细'!$AA$2:$AA$501,IF(D164&lt;&gt;"",MATCH(D164,'激励事件明细'!$A$2:$A$501,0),MATCH(E164,'激励事件明细'!$B$2:$B$501,0))),""))</f>
        <v/>
      </c>
      <c r="H164" s="16">
        <f>IF(A164="","",IFERROR(INDEX('激励事件明细'!$AB$2:$AB$501,IF(D164&lt;&gt;"",MATCH(D164,'激励事件明细'!$A$2:$A$501,0),MATCH(E164,'激励事件明细'!$B$2:$B$501,0))),""))</f>
        <v/>
      </c>
      <c r="I164" s="12" t="n"/>
      <c r="J164" s="13" t="n"/>
      <c r="K164" s="13" t="n"/>
      <c r="L164" s="11" t="n"/>
      <c r="M164" s="14">
        <f>IF(A164="","",IF(D164&lt;&gt;"",SUMIFS($K$2:$K$501,$D$2:$D$501,D164),SUMIFS($K$2:$K$501,$E$2:$E$501,E164)))</f>
        <v/>
      </c>
      <c r="N164" s="14">
        <f>IF(F164="","",MAX(0,F164-M164))</f>
        <v/>
      </c>
      <c r="O164" s="6">
        <f>IF(A164="","",IF(AND(I164&lt;&gt;"",I164&gt;H164),"是",IF(AND(TODAY()&gt;H164,N164&gt;0),"是","否")))</f>
        <v/>
      </c>
      <c r="P164" s="16">
        <f>IF(A164="","",IFERROR(INDEX('激励事件明细'!$P$2:$P$501,IF(D164&lt;&gt;"",MATCH(D164,'激励事件明细'!$A$2:$A$501,0),MATCH(E164,'激励事件明细'!$B$2:$B$501,0))),""))</f>
        <v/>
      </c>
      <c r="Q164" s="6">
        <f>IF(AND(D164="",E164=""),"异常：必须关联事件编号或税额批次",IF(AND(D164&lt;&gt;"",COUNTIF('激励事件明细'!$A$2:$A$501,D164)=0),"异常：事件编号不存在",IF(AND(E164&lt;&gt;"",COUNTIF('激励事件明细'!$B$2:$B$501,E164)=0),"异常：税额批次不存在",IF(M164&gt;F164,"异常：本批次超额缴税",IF(AND(I164&lt;&gt;"",I164&gt;H164),"异常：超过事件截止日",IF(AND(P164&lt;&gt;"",TODAY()&gt;=P164,N164&gt;0),"异常：离职前未缴清","正常"))))))</f>
        <v/>
      </c>
      <c r="R164" s="11" t="n"/>
    </row>
    <row r="165">
      <c r="A165" s="6">
        <f>IF(AND(D165="",E165=""),"",IFERROR(INDEX('激励事件明细'!$C$2:$C$501,IF(D165&lt;&gt;"",MATCH(D165,'激励事件明细'!$A$2:$A$501,0),MATCH(E165,'激励事件明细'!$B$2:$B$501,0))),""))</f>
        <v/>
      </c>
      <c r="B165" s="6">
        <f>IF(A165="","",IFERROR(INDEX('激励事件明细'!$D$2:$D$501,IF(D165&lt;&gt;"",MATCH(D165,'激励事件明细'!$A$2:$A$501,0),MATCH(E165,'激励事件明细'!$B$2:$B$501,0))),""))</f>
        <v/>
      </c>
      <c r="C165" s="6">
        <f>IF(A165="","",IFERROR(INDEX('激励事件明细'!$H$2:$H$501,IF(D165&lt;&gt;"",MATCH(D165,'激励事件明细'!$A$2:$A$501,0),MATCH(E165,'激励事件明细'!$B$2:$B$501,0))),""))</f>
        <v/>
      </c>
      <c r="D165" s="11" t="n"/>
      <c r="E165" s="11" t="n"/>
      <c r="F165" s="14">
        <f>IF(A165="","",IFERROR(INDEX('激励事件明细'!$Z$2:$Z$501,IF(D165&lt;&gt;"",MATCH(D165,'激励事件明细'!$A$2:$A$501,0),MATCH(E165,'激励事件明细'!$B$2:$B$501,0))),""))</f>
        <v/>
      </c>
      <c r="G165" s="16">
        <f>IF(A165="","",IFERROR(INDEX('激励事件明细'!$AA$2:$AA$501,IF(D165&lt;&gt;"",MATCH(D165,'激励事件明细'!$A$2:$A$501,0),MATCH(E165,'激励事件明细'!$B$2:$B$501,0))),""))</f>
        <v/>
      </c>
      <c r="H165" s="16">
        <f>IF(A165="","",IFERROR(INDEX('激励事件明细'!$AB$2:$AB$501,IF(D165&lt;&gt;"",MATCH(D165,'激励事件明细'!$A$2:$A$501,0),MATCH(E165,'激励事件明细'!$B$2:$B$501,0))),""))</f>
        <v/>
      </c>
      <c r="I165" s="12" t="n"/>
      <c r="J165" s="13" t="n"/>
      <c r="K165" s="13" t="n"/>
      <c r="L165" s="11" t="n"/>
      <c r="M165" s="14">
        <f>IF(A165="","",IF(D165&lt;&gt;"",SUMIFS($K$2:$K$501,$D$2:$D$501,D165),SUMIFS($K$2:$K$501,$E$2:$E$501,E165)))</f>
        <v/>
      </c>
      <c r="N165" s="14">
        <f>IF(F165="","",MAX(0,F165-M165))</f>
        <v/>
      </c>
      <c r="O165" s="6">
        <f>IF(A165="","",IF(AND(I165&lt;&gt;"",I165&gt;H165),"是",IF(AND(TODAY()&gt;H165,N165&gt;0),"是","否")))</f>
        <v/>
      </c>
      <c r="P165" s="16">
        <f>IF(A165="","",IFERROR(INDEX('激励事件明细'!$P$2:$P$501,IF(D165&lt;&gt;"",MATCH(D165,'激励事件明细'!$A$2:$A$501,0),MATCH(E165,'激励事件明细'!$B$2:$B$501,0))),""))</f>
        <v/>
      </c>
      <c r="Q165" s="6">
        <f>IF(AND(D165="",E165=""),"异常：必须关联事件编号或税额批次",IF(AND(D165&lt;&gt;"",COUNTIF('激励事件明细'!$A$2:$A$501,D165)=0),"异常：事件编号不存在",IF(AND(E165&lt;&gt;"",COUNTIF('激励事件明细'!$B$2:$B$501,E165)=0),"异常：税额批次不存在",IF(M165&gt;F165,"异常：本批次超额缴税",IF(AND(I165&lt;&gt;"",I165&gt;H165),"异常：超过事件截止日",IF(AND(P165&lt;&gt;"",TODAY()&gt;=P165,N165&gt;0),"异常：离职前未缴清","正常"))))))</f>
        <v/>
      </c>
      <c r="R165" s="11" t="n"/>
    </row>
    <row r="166">
      <c r="A166" s="6">
        <f>IF(AND(D166="",E166=""),"",IFERROR(INDEX('激励事件明细'!$C$2:$C$501,IF(D166&lt;&gt;"",MATCH(D166,'激励事件明细'!$A$2:$A$501,0),MATCH(E166,'激励事件明细'!$B$2:$B$501,0))),""))</f>
        <v/>
      </c>
      <c r="B166" s="6">
        <f>IF(A166="","",IFERROR(INDEX('激励事件明细'!$D$2:$D$501,IF(D166&lt;&gt;"",MATCH(D166,'激励事件明细'!$A$2:$A$501,0),MATCH(E166,'激励事件明细'!$B$2:$B$501,0))),""))</f>
        <v/>
      </c>
      <c r="C166" s="6">
        <f>IF(A166="","",IFERROR(INDEX('激励事件明细'!$H$2:$H$501,IF(D166&lt;&gt;"",MATCH(D166,'激励事件明细'!$A$2:$A$501,0),MATCH(E166,'激励事件明细'!$B$2:$B$501,0))),""))</f>
        <v/>
      </c>
      <c r="D166" s="11" t="n"/>
      <c r="E166" s="11" t="n"/>
      <c r="F166" s="14">
        <f>IF(A166="","",IFERROR(INDEX('激励事件明细'!$Z$2:$Z$501,IF(D166&lt;&gt;"",MATCH(D166,'激励事件明细'!$A$2:$A$501,0),MATCH(E166,'激励事件明细'!$B$2:$B$501,0))),""))</f>
        <v/>
      </c>
      <c r="G166" s="16">
        <f>IF(A166="","",IFERROR(INDEX('激励事件明细'!$AA$2:$AA$501,IF(D166&lt;&gt;"",MATCH(D166,'激励事件明细'!$A$2:$A$501,0),MATCH(E166,'激励事件明细'!$B$2:$B$501,0))),""))</f>
        <v/>
      </c>
      <c r="H166" s="16">
        <f>IF(A166="","",IFERROR(INDEX('激励事件明细'!$AB$2:$AB$501,IF(D166&lt;&gt;"",MATCH(D166,'激励事件明细'!$A$2:$A$501,0),MATCH(E166,'激励事件明细'!$B$2:$B$501,0))),""))</f>
        <v/>
      </c>
      <c r="I166" s="12" t="n"/>
      <c r="J166" s="13" t="n"/>
      <c r="K166" s="13" t="n"/>
      <c r="L166" s="11" t="n"/>
      <c r="M166" s="14">
        <f>IF(A166="","",IF(D166&lt;&gt;"",SUMIFS($K$2:$K$501,$D$2:$D$501,D166),SUMIFS($K$2:$K$501,$E$2:$E$501,E166)))</f>
        <v/>
      </c>
      <c r="N166" s="14">
        <f>IF(F166="","",MAX(0,F166-M166))</f>
        <v/>
      </c>
      <c r="O166" s="6">
        <f>IF(A166="","",IF(AND(I166&lt;&gt;"",I166&gt;H166),"是",IF(AND(TODAY()&gt;H166,N166&gt;0),"是","否")))</f>
        <v/>
      </c>
      <c r="P166" s="16">
        <f>IF(A166="","",IFERROR(INDEX('激励事件明细'!$P$2:$P$501,IF(D166&lt;&gt;"",MATCH(D166,'激励事件明细'!$A$2:$A$501,0),MATCH(E166,'激励事件明细'!$B$2:$B$501,0))),""))</f>
        <v/>
      </c>
      <c r="Q166" s="6">
        <f>IF(AND(D166="",E166=""),"异常：必须关联事件编号或税额批次",IF(AND(D166&lt;&gt;"",COUNTIF('激励事件明细'!$A$2:$A$501,D166)=0),"异常：事件编号不存在",IF(AND(E166&lt;&gt;"",COUNTIF('激励事件明细'!$B$2:$B$501,E166)=0),"异常：税额批次不存在",IF(M166&gt;F166,"异常：本批次超额缴税",IF(AND(I166&lt;&gt;"",I166&gt;H166),"异常：超过事件截止日",IF(AND(P166&lt;&gt;"",TODAY()&gt;=P166,N166&gt;0),"异常：离职前未缴清","正常"))))))</f>
        <v/>
      </c>
      <c r="R166" s="11" t="n"/>
    </row>
    <row r="167">
      <c r="A167" s="6">
        <f>IF(AND(D167="",E167=""),"",IFERROR(INDEX('激励事件明细'!$C$2:$C$501,IF(D167&lt;&gt;"",MATCH(D167,'激励事件明细'!$A$2:$A$501,0),MATCH(E167,'激励事件明细'!$B$2:$B$501,0))),""))</f>
        <v/>
      </c>
      <c r="B167" s="6">
        <f>IF(A167="","",IFERROR(INDEX('激励事件明细'!$D$2:$D$501,IF(D167&lt;&gt;"",MATCH(D167,'激励事件明细'!$A$2:$A$501,0),MATCH(E167,'激励事件明细'!$B$2:$B$501,0))),""))</f>
        <v/>
      </c>
      <c r="C167" s="6">
        <f>IF(A167="","",IFERROR(INDEX('激励事件明细'!$H$2:$H$501,IF(D167&lt;&gt;"",MATCH(D167,'激励事件明细'!$A$2:$A$501,0),MATCH(E167,'激励事件明细'!$B$2:$B$501,0))),""))</f>
        <v/>
      </c>
      <c r="D167" s="11" t="n"/>
      <c r="E167" s="11" t="n"/>
      <c r="F167" s="14">
        <f>IF(A167="","",IFERROR(INDEX('激励事件明细'!$Z$2:$Z$501,IF(D167&lt;&gt;"",MATCH(D167,'激励事件明细'!$A$2:$A$501,0),MATCH(E167,'激励事件明细'!$B$2:$B$501,0))),""))</f>
        <v/>
      </c>
      <c r="G167" s="16">
        <f>IF(A167="","",IFERROR(INDEX('激励事件明细'!$AA$2:$AA$501,IF(D167&lt;&gt;"",MATCH(D167,'激励事件明细'!$A$2:$A$501,0),MATCH(E167,'激励事件明细'!$B$2:$B$501,0))),""))</f>
        <v/>
      </c>
      <c r="H167" s="16">
        <f>IF(A167="","",IFERROR(INDEX('激励事件明细'!$AB$2:$AB$501,IF(D167&lt;&gt;"",MATCH(D167,'激励事件明细'!$A$2:$A$501,0),MATCH(E167,'激励事件明细'!$B$2:$B$501,0))),""))</f>
        <v/>
      </c>
      <c r="I167" s="12" t="n"/>
      <c r="J167" s="13" t="n"/>
      <c r="K167" s="13" t="n"/>
      <c r="L167" s="11" t="n"/>
      <c r="M167" s="14">
        <f>IF(A167="","",IF(D167&lt;&gt;"",SUMIFS($K$2:$K$501,$D$2:$D$501,D167),SUMIFS($K$2:$K$501,$E$2:$E$501,E167)))</f>
        <v/>
      </c>
      <c r="N167" s="14">
        <f>IF(F167="","",MAX(0,F167-M167))</f>
        <v/>
      </c>
      <c r="O167" s="6">
        <f>IF(A167="","",IF(AND(I167&lt;&gt;"",I167&gt;H167),"是",IF(AND(TODAY()&gt;H167,N167&gt;0),"是","否")))</f>
        <v/>
      </c>
      <c r="P167" s="16">
        <f>IF(A167="","",IFERROR(INDEX('激励事件明细'!$P$2:$P$501,IF(D167&lt;&gt;"",MATCH(D167,'激励事件明细'!$A$2:$A$501,0),MATCH(E167,'激励事件明细'!$B$2:$B$501,0))),""))</f>
        <v/>
      </c>
      <c r="Q167" s="6">
        <f>IF(AND(D167="",E167=""),"异常：必须关联事件编号或税额批次",IF(AND(D167&lt;&gt;"",COUNTIF('激励事件明细'!$A$2:$A$501,D167)=0),"异常：事件编号不存在",IF(AND(E167&lt;&gt;"",COUNTIF('激励事件明细'!$B$2:$B$501,E167)=0),"异常：税额批次不存在",IF(M167&gt;F167,"异常：本批次超额缴税",IF(AND(I167&lt;&gt;"",I167&gt;H167),"异常：超过事件截止日",IF(AND(P167&lt;&gt;"",TODAY()&gt;=P167,N167&gt;0),"异常：离职前未缴清","正常"))))))</f>
        <v/>
      </c>
      <c r="R167" s="11" t="n"/>
    </row>
    <row r="168">
      <c r="A168" s="6">
        <f>IF(AND(D168="",E168=""),"",IFERROR(INDEX('激励事件明细'!$C$2:$C$501,IF(D168&lt;&gt;"",MATCH(D168,'激励事件明细'!$A$2:$A$501,0),MATCH(E168,'激励事件明细'!$B$2:$B$501,0))),""))</f>
        <v/>
      </c>
      <c r="B168" s="6">
        <f>IF(A168="","",IFERROR(INDEX('激励事件明细'!$D$2:$D$501,IF(D168&lt;&gt;"",MATCH(D168,'激励事件明细'!$A$2:$A$501,0),MATCH(E168,'激励事件明细'!$B$2:$B$501,0))),""))</f>
        <v/>
      </c>
      <c r="C168" s="6">
        <f>IF(A168="","",IFERROR(INDEX('激励事件明细'!$H$2:$H$501,IF(D168&lt;&gt;"",MATCH(D168,'激励事件明细'!$A$2:$A$501,0),MATCH(E168,'激励事件明细'!$B$2:$B$501,0))),""))</f>
        <v/>
      </c>
      <c r="D168" s="11" t="n"/>
      <c r="E168" s="11" t="n"/>
      <c r="F168" s="14">
        <f>IF(A168="","",IFERROR(INDEX('激励事件明细'!$Z$2:$Z$501,IF(D168&lt;&gt;"",MATCH(D168,'激励事件明细'!$A$2:$A$501,0),MATCH(E168,'激励事件明细'!$B$2:$B$501,0))),""))</f>
        <v/>
      </c>
      <c r="G168" s="16">
        <f>IF(A168="","",IFERROR(INDEX('激励事件明细'!$AA$2:$AA$501,IF(D168&lt;&gt;"",MATCH(D168,'激励事件明细'!$A$2:$A$501,0),MATCH(E168,'激励事件明细'!$B$2:$B$501,0))),""))</f>
        <v/>
      </c>
      <c r="H168" s="16">
        <f>IF(A168="","",IFERROR(INDEX('激励事件明细'!$AB$2:$AB$501,IF(D168&lt;&gt;"",MATCH(D168,'激励事件明细'!$A$2:$A$501,0),MATCH(E168,'激励事件明细'!$B$2:$B$501,0))),""))</f>
        <v/>
      </c>
      <c r="I168" s="12" t="n"/>
      <c r="J168" s="13" t="n"/>
      <c r="K168" s="13" t="n"/>
      <c r="L168" s="11" t="n"/>
      <c r="M168" s="14">
        <f>IF(A168="","",IF(D168&lt;&gt;"",SUMIFS($K$2:$K$501,$D$2:$D$501,D168),SUMIFS($K$2:$K$501,$E$2:$E$501,E168)))</f>
        <v/>
      </c>
      <c r="N168" s="14">
        <f>IF(F168="","",MAX(0,F168-M168))</f>
        <v/>
      </c>
      <c r="O168" s="6">
        <f>IF(A168="","",IF(AND(I168&lt;&gt;"",I168&gt;H168),"是",IF(AND(TODAY()&gt;H168,N168&gt;0),"是","否")))</f>
        <v/>
      </c>
      <c r="P168" s="16">
        <f>IF(A168="","",IFERROR(INDEX('激励事件明细'!$P$2:$P$501,IF(D168&lt;&gt;"",MATCH(D168,'激励事件明细'!$A$2:$A$501,0),MATCH(E168,'激励事件明细'!$B$2:$B$501,0))),""))</f>
        <v/>
      </c>
      <c r="Q168" s="6">
        <f>IF(AND(D168="",E168=""),"异常：必须关联事件编号或税额批次",IF(AND(D168&lt;&gt;"",COUNTIF('激励事件明细'!$A$2:$A$501,D168)=0),"异常：事件编号不存在",IF(AND(E168&lt;&gt;"",COUNTIF('激励事件明细'!$B$2:$B$501,E168)=0),"异常：税额批次不存在",IF(M168&gt;F168,"异常：本批次超额缴税",IF(AND(I168&lt;&gt;"",I168&gt;H168),"异常：超过事件截止日",IF(AND(P168&lt;&gt;"",TODAY()&gt;=P168,N168&gt;0),"异常：离职前未缴清","正常"))))))</f>
        <v/>
      </c>
      <c r="R168" s="11" t="n"/>
    </row>
    <row r="169">
      <c r="A169" s="6">
        <f>IF(AND(D169="",E169=""),"",IFERROR(INDEX('激励事件明细'!$C$2:$C$501,IF(D169&lt;&gt;"",MATCH(D169,'激励事件明细'!$A$2:$A$501,0),MATCH(E169,'激励事件明细'!$B$2:$B$501,0))),""))</f>
        <v/>
      </c>
      <c r="B169" s="6">
        <f>IF(A169="","",IFERROR(INDEX('激励事件明细'!$D$2:$D$501,IF(D169&lt;&gt;"",MATCH(D169,'激励事件明细'!$A$2:$A$501,0),MATCH(E169,'激励事件明细'!$B$2:$B$501,0))),""))</f>
        <v/>
      </c>
      <c r="C169" s="6">
        <f>IF(A169="","",IFERROR(INDEX('激励事件明细'!$H$2:$H$501,IF(D169&lt;&gt;"",MATCH(D169,'激励事件明细'!$A$2:$A$501,0),MATCH(E169,'激励事件明细'!$B$2:$B$501,0))),""))</f>
        <v/>
      </c>
      <c r="D169" s="11" t="n"/>
      <c r="E169" s="11" t="n"/>
      <c r="F169" s="14">
        <f>IF(A169="","",IFERROR(INDEX('激励事件明细'!$Z$2:$Z$501,IF(D169&lt;&gt;"",MATCH(D169,'激励事件明细'!$A$2:$A$501,0),MATCH(E169,'激励事件明细'!$B$2:$B$501,0))),""))</f>
        <v/>
      </c>
      <c r="G169" s="16">
        <f>IF(A169="","",IFERROR(INDEX('激励事件明细'!$AA$2:$AA$501,IF(D169&lt;&gt;"",MATCH(D169,'激励事件明细'!$A$2:$A$501,0),MATCH(E169,'激励事件明细'!$B$2:$B$501,0))),""))</f>
        <v/>
      </c>
      <c r="H169" s="16">
        <f>IF(A169="","",IFERROR(INDEX('激励事件明细'!$AB$2:$AB$501,IF(D169&lt;&gt;"",MATCH(D169,'激励事件明细'!$A$2:$A$501,0),MATCH(E169,'激励事件明细'!$B$2:$B$501,0))),""))</f>
        <v/>
      </c>
      <c r="I169" s="12" t="n"/>
      <c r="J169" s="13" t="n"/>
      <c r="K169" s="13" t="n"/>
      <c r="L169" s="11" t="n"/>
      <c r="M169" s="14">
        <f>IF(A169="","",IF(D169&lt;&gt;"",SUMIFS($K$2:$K$501,$D$2:$D$501,D169),SUMIFS($K$2:$K$501,$E$2:$E$501,E169)))</f>
        <v/>
      </c>
      <c r="N169" s="14">
        <f>IF(F169="","",MAX(0,F169-M169))</f>
        <v/>
      </c>
      <c r="O169" s="6">
        <f>IF(A169="","",IF(AND(I169&lt;&gt;"",I169&gt;H169),"是",IF(AND(TODAY()&gt;H169,N169&gt;0),"是","否")))</f>
        <v/>
      </c>
      <c r="P169" s="16">
        <f>IF(A169="","",IFERROR(INDEX('激励事件明细'!$P$2:$P$501,IF(D169&lt;&gt;"",MATCH(D169,'激励事件明细'!$A$2:$A$501,0),MATCH(E169,'激励事件明细'!$B$2:$B$501,0))),""))</f>
        <v/>
      </c>
      <c r="Q169" s="6">
        <f>IF(AND(D169="",E169=""),"异常：必须关联事件编号或税额批次",IF(AND(D169&lt;&gt;"",COUNTIF('激励事件明细'!$A$2:$A$501,D169)=0),"异常：事件编号不存在",IF(AND(E169&lt;&gt;"",COUNTIF('激励事件明细'!$B$2:$B$501,E169)=0),"异常：税额批次不存在",IF(M169&gt;F169,"异常：本批次超额缴税",IF(AND(I169&lt;&gt;"",I169&gt;H169),"异常：超过事件截止日",IF(AND(P169&lt;&gt;"",TODAY()&gt;=P169,N169&gt;0),"异常：离职前未缴清","正常"))))))</f>
        <v/>
      </c>
      <c r="R169" s="11" t="n"/>
    </row>
    <row r="170">
      <c r="A170" s="6">
        <f>IF(AND(D170="",E170=""),"",IFERROR(INDEX('激励事件明细'!$C$2:$C$501,IF(D170&lt;&gt;"",MATCH(D170,'激励事件明细'!$A$2:$A$501,0),MATCH(E170,'激励事件明细'!$B$2:$B$501,0))),""))</f>
        <v/>
      </c>
      <c r="B170" s="6">
        <f>IF(A170="","",IFERROR(INDEX('激励事件明细'!$D$2:$D$501,IF(D170&lt;&gt;"",MATCH(D170,'激励事件明细'!$A$2:$A$501,0),MATCH(E170,'激励事件明细'!$B$2:$B$501,0))),""))</f>
        <v/>
      </c>
      <c r="C170" s="6">
        <f>IF(A170="","",IFERROR(INDEX('激励事件明细'!$H$2:$H$501,IF(D170&lt;&gt;"",MATCH(D170,'激励事件明细'!$A$2:$A$501,0),MATCH(E170,'激励事件明细'!$B$2:$B$501,0))),""))</f>
        <v/>
      </c>
      <c r="D170" s="11" t="n"/>
      <c r="E170" s="11" t="n"/>
      <c r="F170" s="14">
        <f>IF(A170="","",IFERROR(INDEX('激励事件明细'!$Z$2:$Z$501,IF(D170&lt;&gt;"",MATCH(D170,'激励事件明细'!$A$2:$A$501,0),MATCH(E170,'激励事件明细'!$B$2:$B$501,0))),""))</f>
        <v/>
      </c>
      <c r="G170" s="16">
        <f>IF(A170="","",IFERROR(INDEX('激励事件明细'!$AA$2:$AA$501,IF(D170&lt;&gt;"",MATCH(D170,'激励事件明细'!$A$2:$A$501,0),MATCH(E170,'激励事件明细'!$B$2:$B$501,0))),""))</f>
        <v/>
      </c>
      <c r="H170" s="16">
        <f>IF(A170="","",IFERROR(INDEX('激励事件明细'!$AB$2:$AB$501,IF(D170&lt;&gt;"",MATCH(D170,'激励事件明细'!$A$2:$A$501,0),MATCH(E170,'激励事件明细'!$B$2:$B$501,0))),""))</f>
        <v/>
      </c>
      <c r="I170" s="12" t="n"/>
      <c r="J170" s="13" t="n"/>
      <c r="K170" s="13" t="n"/>
      <c r="L170" s="11" t="n"/>
      <c r="M170" s="14">
        <f>IF(A170="","",IF(D170&lt;&gt;"",SUMIFS($K$2:$K$501,$D$2:$D$501,D170),SUMIFS($K$2:$K$501,$E$2:$E$501,E170)))</f>
        <v/>
      </c>
      <c r="N170" s="14">
        <f>IF(F170="","",MAX(0,F170-M170))</f>
        <v/>
      </c>
      <c r="O170" s="6">
        <f>IF(A170="","",IF(AND(I170&lt;&gt;"",I170&gt;H170),"是",IF(AND(TODAY()&gt;H170,N170&gt;0),"是","否")))</f>
        <v/>
      </c>
      <c r="P170" s="16">
        <f>IF(A170="","",IFERROR(INDEX('激励事件明细'!$P$2:$P$501,IF(D170&lt;&gt;"",MATCH(D170,'激励事件明细'!$A$2:$A$501,0),MATCH(E170,'激励事件明细'!$B$2:$B$501,0))),""))</f>
        <v/>
      </c>
      <c r="Q170" s="6">
        <f>IF(AND(D170="",E170=""),"异常：必须关联事件编号或税额批次",IF(AND(D170&lt;&gt;"",COUNTIF('激励事件明细'!$A$2:$A$501,D170)=0),"异常：事件编号不存在",IF(AND(E170&lt;&gt;"",COUNTIF('激励事件明细'!$B$2:$B$501,E170)=0),"异常：税额批次不存在",IF(M170&gt;F170,"异常：本批次超额缴税",IF(AND(I170&lt;&gt;"",I170&gt;H170),"异常：超过事件截止日",IF(AND(P170&lt;&gt;"",TODAY()&gt;=P170,N170&gt;0),"异常：离职前未缴清","正常"))))))</f>
        <v/>
      </c>
      <c r="R170" s="11" t="n"/>
    </row>
    <row r="171">
      <c r="A171" s="6">
        <f>IF(AND(D171="",E171=""),"",IFERROR(INDEX('激励事件明细'!$C$2:$C$501,IF(D171&lt;&gt;"",MATCH(D171,'激励事件明细'!$A$2:$A$501,0),MATCH(E171,'激励事件明细'!$B$2:$B$501,0))),""))</f>
        <v/>
      </c>
      <c r="B171" s="6">
        <f>IF(A171="","",IFERROR(INDEX('激励事件明细'!$D$2:$D$501,IF(D171&lt;&gt;"",MATCH(D171,'激励事件明细'!$A$2:$A$501,0),MATCH(E171,'激励事件明细'!$B$2:$B$501,0))),""))</f>
        <v/>
      </c>
      <c r="C171" s="6">
        <f>IF(A171="","",IFERROR(INDEX('激励事件明细'!$H$2:$H$501,IF(D171&lt;&gt;"",MATCH(D171,'激励事件明细'!$A$2:$A$501,0),MATCH(E171,'激励事件明细'!$B$2:$B$501,0))),""))</f>
        <v/>
      </c>
      <c r="D171" s="11" t="n"/>
      <c r="E171" s="11" t="n"/>
      <c r="F171" s="14">
        <f>IF(A171="","",IFERROR(INDEX('激励事件明细'!$Z$2:$Z$501,IF(D171&lt;&gt;"",MATCH(D171,'激励事件明细'!$A$2:$A$501,0),MATCH(E171,'激励事件明细'!$B$2:$B$501,0))),""))</f>
        <v/>
      </c>
      <c r="G171" s="16">
        <f>IF(A171="","",IFERROR(INDEX('激励事件明细'!$AA$2:$AA$501,IF(D171&lt;&gt;"",MATCH(D171,'激励事件明细'!$A$2:$A$501,0),MATCH(E171,'激励事件明细'!$B$2:$B$501,0))),""))</f>
        <v/>
      </c>
      <c r="H171" s="16">
        <f>IF(A171="","",IFERROR(INDEX('激励事件明细'!$AB$2:$AB$501,IF(D171&lt;&gt;"",MATCH(D171,'激励事件明细'!$A$2:$A$501,0),MATCH(E171,'激励事件明细'!$B$2:$B$501,0))),""))</f>
        <v/>
      </c>
      <c r="I171" s="12" t="n"/>
      <c r="J171" s="13" t="n"/>
      <c r="K171" s="13" t="n"/>
      <c r="L171" s="11" t="n"/>
      <c r="M171" s="14">
        <f>IF(A171="","",IF(D171&lt;&gt;"",SUMIFS($K$2:$K$501,$D$2:$D$501,D171),SUMIFS($K$2:$K$501,$E$2:$E$501,E171)))</f>
        <v/>
      </c>
      <c r="N171" s="14">
        <f>IF(F171="","",MAX(0,F171-M171))</f>
        <v/>
      </c>
      <c r="O171" s="6">
        <f>IF(A171="","",IF(AND(I171&lt;&gt;"",I171&gt;H171),"是",IF(AND(TODAY()&gt;H171,N171&gt;0),"是","否")))</f>
        <v/>
      </c>
      <c r="P171" s="16">
        <f>IF(A171="","",IFERROR(INDEX('激励事件明细'!$P$2:$P$501,IF(D171&lt;&gt;"",MATCH(D171,'激励事件明细'!$A$2:$A$501,0),MATCH(E171,'激励事件明细'!$B$2:$B$501,0))),""))</f>
        <v/>
      </c>
      <c r="Q171" s="6">
        <f>IF(AND(D171="",E171=""),"异常：必须关联事件编号或税额批次",IF(AND(D171&lt;&gt;"",COUNTIF('激励事件明细'!$A$2:$A$501,D171)=0),"异常：事件编号不存在",IF(AND(E171&lt;&gt;"",COUNTIF('激励事件明细'!$B$2:$B$501,E171)=0),"异常：税额批次不存在",IF(M171&gt;F171,"异常：本批次超额缴税",IF(AND(I171&lt;&gt;"",I171&gt;H171),"异常：超过事件截止日",IF(AND(P171&lt;&gt;"",TODAY()&gt;=P171,N171&gt;0),"异常：离职前未缴清","正常"))))))</f>
        <v/>
      </c>
      <c r="R171" s="11" t="n"/>
    </row>
    <row r="172">
      <c r="A172" s="6">
        <f>IF(AND(D172="",E172=""),"",IFERROR(INDEX('激励事件明细'!$C$2:$C$501,IF(D172&lt;&gt;"",MATCH(D172,'激励事件明细'!$A$2:$A$501,0),MATCH(E172,'激励事件明细'!$B$2:$B$501,0))),""))</f>
        <v/>
      </c>
      <c r="B172" s="6">
        <f>IF(A172="","",IFERROR(INDEX('激励事件明细'!$D$2:$D$501,IF(D172&lt;&gt;"",MATCH(D172,'激励事件明细'!$A$2:$A$501,0),MATCH(E172,'激励事件明细'!$B$2:$B$501,0))),""))</f>
        <v/>
      </c>
      <c r="C172" s="6">
        <f>IF(A172="","",IFERROR(INDEX('激励事件明细'!$H$2:$H$501,IF(D172&lt;&gt;"",MATCH(D172,'激励事件明细'!$A$2:$A$501,0),MATCH(E172,'激励事件明细'!$B$2:$B$501,0))),""))</f>
        <v/>
      </c>
      <c r="D172" s="11" t="n"/>
      <c r="E172" s="11" t="n"/>
      <c r="F172" s="14">
        <f>IF(A172="","",IFERROR(INDEX('激励事件明细'!$Z$2:$Z$501,IF(D172&lt;&gt;"",MATCH(D172,'激励事件明细'!$A$2:$A$501,0),MATCH(E172,'激励事件明细'!$B$2:$B$501,0))),""))</f>
        <v/>
      </c>
      <c r="G172" s="16">
        <f>IF(A172="","",IFERROR(INDEX('激励事件明细'!$AA$2:$AA$501,IF(D172&lt;&gt;"",MATCH(D172,'激励事件明细'!$A$2:$A$501,0),MATCH(E172,'激励事件明细'!$B$2:$B$501,0))),""))</f>
        <v/>
      </c>
      <c r="H172" s="16">
        <f>IF(A172="","",IFERROR(INDEX('激励事件明细'!$AB$2:$AB$501,IF(D172&lt;&gt;"",MATCH(D172,'激励事件明细'!$A$2:$A$501,0),MATCH(E172,'激励事件明细'!$B$2:$B$501,0))),""))</f>
        <v/>
      </c>
      <c r="I172" s="12" t="n"/>
      <c r="J172" s="13" t="n"/>
      <c r="K172" s="13" t="n"/>
      <c r="L172" s="11" t="n"/>
      <c r="M172" s="14">
        <f>IF(A172="","",IF(D172&lt;&gt;"",SUMIFS($K$2:$K$501,$D$2:$D$501,D172),SUMIFS($K$2:$K$501,$E$2:$E$501,E172)))</f>
        <v/>
      </c>
      <c r="N172" s="14">
        <f>IF(F172="","",MAX(0,F172-M172))</f>
        <v/>
      </c>
      <c r="O172" s="6">
        <f>IF(A172="","",IF(AND(I172&lt;&gt;"",I172&gt;H172),"是",IF(AND(TODAY()&gt;H172,N172&gt;0),"是","否")))</f>
        <v/>
      </c>
      <c r="P172" s="16">
        <f>IF(A172="","",IFERROR(INDEX('激励事件明细'!$P$2:$P$501,IF(D172&lt;&gt;"",MATCH(D172,'激励事件明细'!$A$2:$A$501,0),MATCH(E172,'激励事件明细'!$B$2:$B$501,0))),""))</f>
        <v/>
      </c>
      <c r="Q172" s="6">
        <f>IF(AND(D172="",E172=""),"异常：必须关联事件编号或税额批次",IF(AND(D172&lt;&gt;"",COUNTIF('激励事件明细'!$A$2:$A$501,D172)=0),"异常：事件编号不存在",IF(AND(E172&lt;&gt;"",COUNTIF('激励事件明细'!$B$2:$B$501,E172)=0),"异常：税额批次不存在",IF(M172&gt;F172,"异常：本批次超额缴税",IF(AND(I172&lt;&gt;"",I172&gt;H172),"异常：超过事件截止日",IF(AND(P172&lt;&gt;"",TODAY()&gt;=P172,N172&gt;0),"异常：离职前未缴清","正常"))))))</f>
        <v/>
      </c>
      <c r="R172" s="11" t="n"/>
    </row>
    <row r="173">
      <c r="A173" s="6">
        <f>IF(AND(D173="",E173=""),"",IFERROR(INDEX('激励事件明细'!$C$2:$C$501,IF(D173&lt;&gt;"",MATCH(D173,'激励事件明细'!$A$2:$A$501,0),MATCH(E173,'激励事件明细'!$B$2:$B$501,0))),""))</f>
        <v/>
      </c>
      <c r="B173" s="6">
        <f>IF(A173="","",IFERROR(INDEX('激励事件明细'!$D$2:$D$501,IF(D173&lt;&gt;"",MATCH(D173,'激励事件明细'!$A$2:$A$501,0),MATCH(E173,'激励事件明细'!$B$2:$B$501,0))),""))</f>
        <v/>
      </c>
      <c r="C173" s="6">
        <f>IF(A173="","",IFERROR(INDEX('激励事件明细'!$H$2:$H$501,IF(D173&lt;&gt;"",MATCH(D173,'激励事件明细'!$A$2:$A$501,0),MATCH(E173,'激励事件明细'!$B$2:$B$501,0))),""))</f>
        <v/>
      </c>
      <c r="D173" s="11" t="n"/>
      <c r="E173" s="11" t="n"/>
      <c r="F173" s="14">
        <f>IF(A173="","",IFERROR(INDEX('激励事件明细'!$Z$2:$Z$501,IF(D173&lt;&gt;"",MATCH(D173,'激励事件明细'!$A$2:$A$501,0),MATCH(E173,'激励事件明细'!$B$2:$B$501,0))),""))</f>
        <v/>
      </c>
      <c r="G173" s="16">
        <f>IF(A173="","",IFERROR(INDEX('激励事件明细'!$AA$2:$AA$501,IF(D173&lt;&gt;"",MATCH(D173,'激励事件明细'!$A$2:$A$501,0),MATCH(E173,'激励事件明细'!$B$2:$B$501,0))),""))</f>
        <v/>
      </c>
      <c r="H173" s="16">
        <f>IF(A173="","",IFERROR(INDEX('激励事件明细'!$AB$2:$AB$501,IF(D173&lt;&gt;"",MATCH(D173,'激励事件明细'!$A$2:$A$501,0),MATCH(E173,'激励事件明细'!$B$2:$B$501,0))),""))</f>
        <v/>
      </c>
      <c r="I173" s="12" t="n"/>
      <c r="J173" s="13" t="n"/>
      <c r="K173" s="13" t="n"/>
      <c r="L173" s="11" t="n"/>
      <c r="M173" s="14">
        <f>IF(A173="","",IF(D173&lt;&gt;"",SUMIFS($K$2:$K$501,$D$2:$D$501,D173),SUMIFS($K$2:$K$501,$E$2:$E$501,E173)))</f>
        <v/>
      </c>
      <c r="N173" s="14">
        <f>IF(F173="","",MAX(0,F173-M173))</f>
        <v/>
      </c>
      <c r="O173" s="6">
        <f>IF(A173="","",IF(AND(I173&lt;&gt;"",I173&gt;H173),"是",IF(AND(TODAY()&gt;H173,N173&gt;0),"是","否")))</f>
        <v/>
      </c>
      <c r="P173" s="16">
        <f>IF(A173="","",IFERROR(INDEX('激励事件明细'!$P$2:$P$501,IF(D173&lt;&gt;"",MATCH(D173,'激励事件明细'!$A$2:$A$501,0),MATCH(E173,'激励事件明细'!$B$2:$B$501,0))),""))</f>
        <v/>
      </c>
      <c r="Q173" s="6">
        <f>IF(AND(D173="",E173=""),"异常：必须关联事件编号或税额批次",IF(AND(D173&lt;&gt;"",COUNTIF('激励事件明细'!$A$2:$A$501,D173)=0),"异常：事件编号不存在",IF(AND(E173&lt;&gt;"",COUNTIF('激励事件明细'!$B$2:$B$501,E173)=0),"异常：税额批次不存在",IF(M173&gt;F173,"异常：本批次超额缴税",IF(AND(I173&lt;&gt;"",I173&gt;H173),"异常：超过事件截止日",IF(AND(P173&lt;&gt;"",TODAY()&gt;=P173,N173&gt;0),"异常：离职前未缴清","正常"))))))</f>
        <v/>
      </c>
      <c r="R173" s="11" t="n"/>
    </row>
    <row r="174">
      <c r="A174" s="6">
        <f>IF(AND(D174="",E174=""),"",IFERROR(INDEX('激励事件明细'!$C$2:$C$501,IF(D174&lt;&gt;"",MATCH(D174,'激励事件明细'!$A$2:$A$501,0),MATCH(E174,'激励事件明细'!$B$2:$B$501,0))),""))</f>
        <v/>
      </c>
      <c r="B174" s="6">
        <f>IF(A174="","",IFERROR(INDEX('激励事件明细'!$D$2:$D$501,IF(D174&lt;&gt;"",MATCH(D174,'激励事件明细'!$A$2:$A$501,0),MATCH(E174,'激励事件明细'!$B$2:$B$501,0))),""))</f>
        <v/>
      </c>
      <c r="C174" s="6">
        <f>IF(A174="","",IFERROR(INDEX('激励事件明细'!$H$2:$H$501,IF(D174&lt;&gt;"",MATCH(D174,'激励事件明细'!$A$2:$A$501,0),MATCH(E174,'激励事件明细'!$B$2:$B$501,0))),""))</f>
        <v/>
      </c>
      <c r="D174" s="11" t="n"/>
      <c r="E174" s="11" t="n"/>
      <c r="F174" s="14">
        <f>IF(A174="","",IFERROR(INDEX('激励事件明细'!$Z$2:$Z$501,IF(D174&lt;&gt;"",MATCH(D174,'激励事件明细'!$A$2:$A$501,0),MATCH(E174,'激励事件明细'!$B$2:$B$501,0))),""))</f>
        <v/>
      </c>
      <c r="G174" s="16">
        <f>IF(A174="","",IFERROR(INDEX('激励事件明细'!$AA$2:$AA$501,IF(D174&lt;&gt;"",MATCH(D174,'激励事件明细'!$A$2:$A$501,0),MATCH(E174,'激励事件明细'!$B$2:$B$501,0))),""))</f>
        <v/>
      </c>
      <c r="H174" s="16">
        <f>IF(A174="","",IFERROR(INDEX('激励事件明细'!$AB$2:$AB$501,IF(D174&lt;&gt;"",MATCH(D174,'激励事件明细'!$A$2:$A$501,0),MATCH(E174,'激励事件明细'!$B$2:$B$501,0))),""))</f>
        <v/>
      </c>
      <c r="I174" s="12" t="n"/>
      <c r="J174" s="13" t="n"/>
      <c r="K174" s="13" t="n"/>
      <c r="L174" s="11" t="n"/>
      <c r="M174" s="14">
        <f>IF(A174="","",IF(D174&lt;&gt;"",SUMIFS($K$2:$K$501,$D$2:$D$501,D174),SUMIFS($K$2:$K$501,$E$2:$E$501,E174)))</f>
        <v/>
      </c>
      <c r="N174" s="14">
        <f>IF(F174="","",MAX(0,F174-M174))</f>
        <v/>
      </c>
      <c r="O174" s="6">
        <f>IF(A174="","",IF(AND(I174&lt;&gt;"",I174&gt;H174),"是",IF(AND(TODAY()&gt;H174,N174&gt;0),"是","否")))</f>
        <v/>
      </c>
      <c r="P174" s="16">
        <f>IF(A174="","",IFERROR(INDEX('激励事件明细'!$P$2:$P$501,IF(D174&lt;&gt;"",MATCH(D174,'激励事件明细'!$A$2:$A$501,0),MATCH(E174,'激励事件明细'!$B$2:$B$501,0))),""))</f>
        <v/>
      </c>
      <c r="Q174" s="6">
        <f>IF(AND(D174="",E174=""),"异常：必须关联事件编号或税额批次",IF(AND(D174&lt;&gt;"",COUNTIF('激励事件明细'!$A$2:$A$501,D174)=0),"异常：事件编号不存在",IF(AND(E174&lt;&gt;"",COUNTIF('激励事件明细'!$B$2:$B$501,E174)=0),"异常：税额批次不存在",IF(M174&gt;F174,"异常：本批次超额缴税",IF(AND(I174&lt;&gt;"",I174&gt;H174),"异常：超过事件截止日",IF(AND(P174&lt;&gt;"",TODAY()&gt;=P174,N174&gt;0),"异常：离职前未缴清","正常"))))))</f>
        <v/>
      </c>
      <c r="R174" s="11" t="n"/>
    </row>
    <row r="175">
      <c r="A175" s="6">
        <f>IF(AND(D175="",E175=""),"",IFERROR(INDEX('激励事件明细'!$C$2:$C$501,IF(D175&lt;&gt;"",MATCH(D175,'激励事件明细'!$A$2:$A$501,0),MATCH(E175,'激励事件明细'!$B$2:$B$501,0))),""))</f>
        <v/>
      </c>
      <c r="B175" s="6">
        <f>IF(A175="","",IFERROR(INDEX('激励事件明细'!$D$2:$D$501,IF(D175&lt;&gt;"",MATCH(D175,'激励事件明细'!$A$2:$A$501,0),MATCH(E175,'激励事件明细'!$B$2:$B$501,0))),""))</f>
        <v/>
      </c>
      <c r="C175" s="6">
        <f>IF(A175="","",IFERROR(INDEX('激励事件明细'!$H$2:$H$501,IF(D175&lt;&gt;"",MATCH(D175,'激励事件明细'!$A$2:$A$501,0),MATCH(E175,'激励事件明细'!$B$2:$B$501,0))),""))</f>
        <v/>
      </c>
      <c r="D175" s="11" t="n"/>
      <c r="E175" s="11" t="n"/>
      <c r="F175" s="14">
        <f>IF(A175="","",IFERROR(INDEX('激励事件明细'!$Z$2:$Z$501,IF(D175&lt;&gt;"",MATCH(D175,'激励事件明细'!$A$2:$A$501,0),MATCH(E175,'激励事件明细'!$B$2:$B$501,0))),""))</f>
        <v/>
      </c>
      <c r="G175" s="16">
        <f>IF(A175="","",IFERROR(INDEX('激励事件明细'!$AA$2:$AA$501,IF(D175&lt;&gt;"",MATCH(D175,'激励事件明细'!$A$2:$A$501,0),MATCH(E175,'激励事件明细'!$B$2:$B$501,0))),""))</f>
        <v/>
      </c>
      <c r="H175" s="16">
        <f>IF(A175="","",IFERROR(INDEX('激励事件明细'!$AB$2:$AB$501,IF(D175&lt;&gt;"",MATCH(D175,'激励事件明细'!$A$2:$A$501,0),MATCH(E175,'激励事件明细'!$B$2:$B$501,0))),""))</f>
        <v/>
      </c>
      <c r="I175" s="12" t="n"/>
      <c r="J175" s="13" t="n"/>
      <c r="K175" s="13" t="n"/>
      <c r="L175" s="11" t="n"/>
      <c r="M175" s="14">
        <f>IF(A175="","",IF(D175&lt;&gt;"",SUMIFS($K$2:$K$501,$D$2:$D$501,D175),SUMIFS($K$2:$K$501,$E$2:$E$501,E175)))</f>
        <v/>
      </c>
      <c r="N175" s="14">
        <f>IF(F175="","",MAX(0,F175-M175))</f>
        <v/>
      </c>
      <c r="O175" s="6">
        <f>IF(A175="","",IF(AND(I175&lt;&gt;"",I175&gt;H175),"是",IF(AND(TODAY()&gt;H175,N175&gt;0),"是","否")))</f>
        <v/>
      </c>
      <c r="P175" s="16">
        <f>IF(A175="","",IFERROR(INDEX('激励事件明细'!$P$2:$P$501,IF(D175&lt;&gt;"",MATCH(D175,'激励事件明细'!$A$2:$A$501,0),MATCH(E175,'激励事件明细'!$B$2:$B$501,0))),""))</f>
        <v/>
      </c>
      <c r="Q175" s="6">
        <f>IF(AND(D175="",E175=""),"异常：必须关联事件编号或税额批次",IF(AND(D175&lt;&gt;"",COUNTIF('激励事件明细'!$A$2:$A$501,D175)=0),"异常：事件编号不存在",IF(AND(E175&lt;&gt;"",COUNTIF('激励事件明细'!$B$2:$B$501,E175)=0),"异常：税额批次不存在",IF(M175&gt;F175,"异常：本批次超额缴税",IF(AND(I175&lt;&gt;"",I175&gt;H175),"异常：超过事件截止日",IF(AND(P175&lt;&gt;"",TODAY()&gt;=P175,N175&gt;0),"异常：离职前未缴清","正常"))))))</f>
        <v/>
      </c>
      <c r="R175" s="11" t="n"/>
    </row>
    <row r="176">
      <c r="A176" s="6">
        <f>IF(AND(D176="",E176=""),"",IFERROR(INDEX('激励事件明细'!$C$2:$C$501,IF(D176&lt;&gt;"",MATCH(D176,'激励事件明细'!$A$2:$A$501,0),MATCH(E176,'激励事件明细'!$B$2:$B$501,0))),""))</f>
        <v/>
      </c>
      <c r="B176" s="6">
        <f>IF(A176="","",IFERROR(INDEX('激励事件明细'!$D$2:$D$501,IF(D176&lt;&gt;"",MATCH(D176,'激励事件明细'!$A$2:$A$501,0),MATCH(E176,'激励事件明细'!$B$2:$B$501,0))),""))</f>
        <v/>
      </c>
      <c r="C176" s="6">
        <f>IF(A176="","",IFERROR(INDEX('激励事件明细'!$H$2:$H$501,IF(D176&lt;&gt;"",MATCH(D176,'激励事件明细'!$A$2:$A$501,0),MATCH(E176,'激励事件明细'!$B$2:$B$501,0))),""))</f>
        <v/>
      </c>
      <c r="D176" s="11" t="n"/>
      <c r="E176" s="11" t="n"/>
      <c r="F176" s="14">
        <f>IF(A176="","",IFERROR(INDEX('激励事件明细'!$Z$2:$Z$501,IF(D176&lt;&gt;"",MATCH(D176,'激励事件明细'!$A$2:$A$501,0),MATCH(E176,'激励事件明细'!$B$2:$B$501,0))),""))</f>
        <v/>
      </c>
      <c r="G176" s="16">
        <f>IF(A176="","",IFERROR(INDEX('激励事件明细'!$AA$2:$AA$501,IF(D176&lt;&gt;"",MATCH(D176,'激励事件明细'!$A$2:$A$501,0),MATCH(E176,'激励事件明细'!$B$2:$B$501,0))),""))</f>
        <v/>
      </c>
      <c r="H176" s="16">
        <f>IF(A176="","",IFERROR(INDEX('激励事件明细'!$AB$2:$AB$501,IF(D176&lt;&gt;"",MATCH(D176,'激励事件明细'!$A$2:$A$501,0),MATCH(E176,'激励事件明细'!$B$2:$B$501,0))),""))</f>
        <v/>
      </c>
      <c r="I176" s="12" t="n"/>
      <c r="J176" s="13" t="n"/>
      <c r="K176" s="13" t="n"/>
      <c r="L176" s="11" t="n"/>
      <c r="M176" s="14">
        <f>IF(A176="","",IF(D176&lt;&gt;"",SUMIFS($K$2:$K$501,$D$2:$D$501,D176),SUMIFS($K$2:$K$501,$E$2:$E$501,E176)))</f>
        <v/>
      </c>
      <c r="N176" s="14">
        <f>IF(F176="","",MAX(0,F176-M176))</f>
        <v/>
      </c>
      <c r="O176" s="6">
        <f>IF(A176="","",IF(AND(I176&lt;&gt;"",I176&gt;H176),"是",IF(AND(TODAY()&gt;H176,N176&gt;0),"是","否")))</f>
        <v/>
      </c>
      <c r="P176" s="16">
        <f>IF(A176="","",IFERROR(INDEX('激励事件明细'!$P$2:$P$501,IF(D176&lt;&gt;"",MATCH(D176,'激励事件明细'!$A$2:$A$501,0),MATCH(E176,'激励事件明细'!$B$2:$B$501,0))),""))</f>
        <v/>
      </c>
      <c r="Q176" s="6">
        <f>IF(AND(D176="",E176=""),"异常：必须关联事件编号或税额批次",IF(AND(D176&lt;&gt;"",COUNTIF('激励事件明细'!$A$2:$A$501,D176)=0),"异常：事件编号不存在",IF(AND(E176&lt;&gt;"",COUNTIF('激励事件明细'!$B$2:$B$501,E176)=0),"异常：税额批次不存在",IF(M176&gt;F176,"异常：本批次超额缴税",IF(AND(I176&lt;&gt;"",I176&gt;H176),"异常：超过事件截止日",IF(AND(P176&lt;&gt;"",TODAY()&gt;=P176,N176&gt;0),"异常：离职前未缴清","正常"))))))</f>
        <v/>
      </c>
      <c r="R176" s="11" t="n"/>
    </row>
    <row r="177">
      <c r="A177" s="6">
        <f>IF(AND(D177="",E177=""),"",IFERROR(INDEX('激励事件明细'!$C$2:$C$501,IF(D177&lt;&gt;"",MATCH(D177,'激励事件明细'!$A$2:$A$501,0),MATCH(E177,'激励事件明细'!$B$2:$B$501,0))),""))</f>
        <v/>
      </c>
      <c r="B177" s="6">
        <f>IF(A177="","",IFERROR(INDEX('激励事件明细'!$D$2:$D$501,IF(D177&lt;&gt;"",MATCH(D177,'激励事件明细'!$A$2:$A$501,0),MATCH(E177,'激励事件明细'!$B$2:$B$501,0))),""))</f>
        <v/>
      </c>
      <c r="C177" s="6">
        <f>IF(A177="","",IFERROR(INDEX('激励事件明细'!$H$2:$H$501,IF(D177&lt;&gt;"",MATCH(D177,'激励事件明细'!$A$2:$A$501,0),MATCH(E177,'激励事件明细'!$B$2:$B$501,0))),""))</f>
        <v/>
      </c>
      <c r="D177" s="11" t="n"/>
      <c r="E177" s="11" t="n"/>
      <c r="F177" s="14">
        <f>IF(A177="","",IFERROR(INDEX('激励事件明细'!$Z$2:$Z$501,IF(D177&lt;&gt;"",MATCH(D177,'激励事件明细'!$A$2:$A$501,0),MATCH(E177,'激励事件明细'!$B$2:$B$501,0))),""))</f>
        <v/>
      </c>
      <c r="G177" s="16">
        <f>IF(A177="","",IFERROR(INDEX('激励事件明细'!$AA$2:$AA$501,IF(D177&lt;&gt;"",MATCH(D177,'激励事件明细'!$A$2:$A$501,0),MATCH(E177,'激励事件明细'!$B$2:$B$501,0))),""))</f>
        <v/>
      </c>
      <c r="H177" s="16">
        <f>IF(A177="","",IFERROR(INDEX('激励事件明细'!$AB$2:$AB$501,IF(D177&lt;&gt;"",MATCH(D177,'激励事件明细'!$A$2:$A$501,0),MATCH(E177,'激励事件明细'!$B$2:$B$501,0))),""))</f>
        <v/>
      </c>
      <c r="I177" s="12" t="n"/>
      <c r="J177" s="13" t="n"/>
      <c r="K177" s="13" t="n"/>
      <c r="L177" s="11" t="n"/>
      <c r="M177" s="14">
        <f>IF(A177="","",IF(D177&lt;&gt;"",SUMIFS($K$2:$K$501,$D$2:$D$501,D177),SUMIFS($K$2:$K$501,$E$2:$E$501,E177)))</f>
        <v/>
      </c>
      <c r="N177" s="14">
        <f>IF(F177="","",MAX(0,F177-M177))</f>
        <v/>
      </c>
      <c r="O177" s="6">
        <f>IF(A177="","",IF(AND(I177&lt;&gt;"",I177&gt;H177),"是",IF(AND(TODAY()&gt;H177,N177&gt;0),"是","否")))</f>
        <v/>
      </c>
      <c r="P177" s="16">
        <f>IF(A177="","",IFERROR(INDEX('激励事件明细'!$P$2:$P$501,IF(D177&lt;&gt;"",MATCH(D177,'激励事件明细'!$A$2:$A$501,0),MATCH(E177,'激励事件明细'!$B$2:$B$501,0))),""))</f>
        <v/>
      </c>
      <c r="Q177" s="6">
        <f>IF(AND(D177="",E177=""),"异常：必须关联事件编号或税额批次",IF(AND(D177&lt;&gt;"",COUNTIF('激励事件明细'!$A$2:$A$501,D177)=0),"异常：事件编号不存在",IF(AND(E177&lt;&gt;"",COUNTIF('激励事件明细'!$B$2:$B$501,E177)=0),"异常：税额批次不存在",IF(M177&gt;F177,"异常：本批次超额缴税",IF(AND(I177&lt;&gt;"",I177&gt;H177),"异常：超过事件截止日",IF(AND(P177&lt;&gt;"",TODAY()&gt;=P177,N177&gt;0),"异常：离职前未缴清","正常"))))))</f>
        <v/>
      </c>
      <c r="R177" s="11" t="n"/>
    </row>
    <row r="178">
      <c r="A178" s="6">
        <f>IF(AND(D178="",E178=""),"",IFERROR(INDEX('激励事件明细'!$C$2:$C$501,IF(D178&lt;&gt;"",MATCH(D178,'激励事件明细'!$A$2:$A$501,0),MATCH(E178,'激励事件明细'!$B$2:$B$501,0))),""))</f>
        <v/>
      </c>
      <c r="B178" s="6">
        <f>IF(A178="","",IFERROR(INDEX('激励事件明细'!$D$2:$D$501,IF(D178&lt;&gt;"",MATCH(D178,'激励事件明细'!$A$2:$A$501,0),MATCH(E178,'激励事件明细'!$B$2:$B$501,0))),""))</f>
        <v/>
      </c>
      <c r="C178" s="6">
        <f>IF(A178="","",IFERROR(INDEX('激励事件明细'!$H$2:$H$501,IF(D178&lt;&gt;"",MATCH(D178,'激励事件明细'!$A$2:$A$501,0),MATCH(E178,'激励事件明细'!$B$2:$B$501,0))),""))</f>
        <v/>
      </c>
      <c r="D178" s="11" t="n"/>
      <c r="E178" s="11" t="n"/>
      <c r="F178" s="14">
        <f>IF(A178="","",IFERROR(INDEX('激励事件明细'!$Z$2:$Z$501,IF(D178&lt;&gt;"",MATCH(D178,'激励事件明细'!$A$2:$A$501,0),MATCH(E178,'激励事件明细'!$B$2:$B$501,0))),""))</f>
        <v/>
      </c>
      <c r="G178" s="16">
        <f>IF(A178="","",IFERROR(INDEX('激励事件明细'!$AA$2:$AA$501,IF(D178&lt;&gt;"",MATCH(D178,'激励事件明细'!$A$2:$A$501,0),MATCH(E178,'激励事件明细'!$B$2:$B$501,0))),""))</f>
        <v/>
      </c>
      <c r="H178" s="16">
        <f>IF(A178="","",IFERROR(INDEX('激励事件明细'!$AB$2:$AB$501,IF(D178&lt;&gt;"",MATCH(D178,'激励事件明细'!$A$2:$A$501,0),MATCH(E178,'激励事件明细'!$B$2:$B$501,0))),""))</f>
        <v/>
      </c>
      <c r="I178" s="12" t="n"/>
      <c r="J178" s="13" t="n"/>
      <c r="K178" s="13" t="n"/>
      <c r="L178" s="11" t="n"/>
      <c r="M178" s="14">
        <f>IF(A178="","",IF(D178&lt;&gt;"",SUMIFS($K$2:$K$501,$D$2:$D$501,D178),SUMIFS($K$2:$K$501,$E$2:$E$501,E178)))</f>
        <v/>
      </c>
      <c r="N178" s="14">
        <f>IF(F178="","",MAX(0,F178-M178))</f>
        <v/>
      </c>
      <c r="O178" s="6">
        <f>IF(A178="","",IF(AND(I178&lt;&gt;"",I178&gt;H178),"是",IF(AND(TODAY()&gt;H178,N178&gt;0),"是","否")))</f>
        <v/>
      </c>
      <c r="P178" s="16">
        <f>IF(A178="","",IFERROR(INDEX('激励事件明细'!$P$2:$P$501,IF(D178&lt;&gt;"",MATCH(D178,'激励事件明细'!$A$2:$A$501,0),MATCH(E178,'激励事件明细'!$B$2:$B$501,0))),""))</f>
        <v/>
      </c>
      <c r="Q178" s="6">
        <f>IF(AND(D178="",E178=""),"异常：必须关联事件编号或税额批次",IF(AND(D178&lt;&gt;"",COUNTIF('激励事件明细'!$A$2:$A$501,D178)=0),"异常：事件编号不存在",IF(AND(E178&lt;&gt;"",COUNTIF('激励事件明细'!$B$2:$B$501,E178)=0),"异常：税额批次不存在",IF(M178&gt;F178,"异常：本批次超额缴税",IF(AND(I178&lt;&gt;"",I178&gt;H178),"异常：超过事件截止日",IF(AND(P178&lt;&gt;"",TODAY()&gt;=P178,N178&gt;0),"异常：离职前未缴清","正常"))))))</f>
        <v/>
      </c>
      <c r="R178" s="11" t="n"/>
    </row>
    <row r="179">
      <c r="A179" s="6">
        <f>IF(AND(D179="",E179=""),"",IFERROR(INDEX('激励事件明细'!$C$2:$C$501,IF(D179&lt;&gt;"",MATCH(D179,'激励事件明细'!$A$2:$A$501,0),MATCH(E179,'激励事件明细'!$B$2:$B$501,0))),""))</f>
        <v/>
      </c>
      <c r="B179" s="6">
        <f>IF(A179="","",IFERROR(INDEX('激励事件明细'!$D$2:$D$501,IF(D179&lt;&gt;"",MATCH(D179,'激励事件明细'!$A$2:$A$501,0),MATCH(E179,'激励事件明细'!$B$2:$B$501,0))),""))</f>
        <v/>
      </c>
      <c r="C179" s="6">
        <f>IF(A179="","",IFERROR(INDEX('激励事件明细'!$H$2:$H$501,IF(D179&lt;&gt;"",MATCH(D179,'激励事件明细'!$A$2:$A$501,0),MATCH(E179,'激励事件明细'!$B$2:$B$501,0))),""))</f>
        <v/>
      </c>
      <c r="D179" s="11" t="n"/>
      <c r="E179" s="11" t="n"/>
      <c r="F179" s="14">
        <f>IF(A179="","",IFERROR(INDEX('激励事件明细'!$Z$2:$Z$501,IF(D179&lt;&gt;"",MATCH(D179,'激励事件明细'!$A$2:$A$501,0),MATCH(E179,'激励事件明细'!$B$2:$B$501,0))),""))</f>
        <v/>
      </c>
      <c r="G179" s="16">
        <f>IF(A179="","",IFERROR(INDEX('激励事件明细'!$AA$2:$AA$501,IF(D179&lt;&gt;"",MATCH(D179,'激励事件明细'!$A$2:$A$501,0),MATCH(E179,'激励事件明细'!$B$2:$B$501,0))),""))</f>
        <v/>
      </c>
      <c r="H179" s="16">
        <f>IF(A179="","",IFERROR(INDEX('激励事件明细'!$AB$2:$AB$501,IF(D179&lt;&gt;"",MATCH(D179,'激励事件明细'!$A$2:$A$501,0),MATCH(E179,'激励事件明细'!$B$2:$B$501,0))),""))</f>
        <v/>
      </c>
      <c r="I179" s="12" t="n"/>
      <c r="J179" s="13" t="n"/>
      <c r="K179" s="13" t="n"/>
      <c r="L179" s="11" t="n"/>
      <c r="M179" s="14">
        <f>IF(A179="","",IF(D179&lt;&gt;"",SUMIFS($K$2:$K$501,$D$2:$D$501,D179),SUMIFS($K$2:$K$501,$E$2:$E$501,E179)))</f>
        <v/>
      </c>
      <c r="N179" s="14">
        <f>IF(F179="","",MAX(0,F179-M179))</f>
        <v/>
      </c>
      <c r="O179" s="6">
        <f>IF(A179="","",IF(AND(I179&lt;&gt;"",I179&gt;H179),"是",IF(AND(TODAY()&gt;H179,N179&gt;0),"是","否")))</f>
        <v/>
      </c>
      <c r="P179" s="16">
        <f>IF(A179="","",IFERROR(INDEX('激励事件明细'!$P$2:$P$501,IF(D179&lt;&gt;"",MATCH(D179,'激励事件明细'!$A$2:$A$501,0),MATCH(E179,'激励事件明细'!$B$2:$B$501,0))),""))</f>
        <v/>
      </c>
      <c r="Q179" s="6">
        <f>IF(AND(D179="",E179=""),"异常：必须关联事件编号或税额批次",IF(AND(D179&lt;&gt;"",COUNTIF('激励事件明细'!$A$2:$A$501,D179)=0),"异常：事件编号不存在",IF(AND(E179&lt;&gt;"",COUNTIF('激励事件明细'!$B$2:$B$501,E179)=0),"异常：税额批次不存在",IF(M179&gt;F179,"异常：本批次超额缴税",IF(AND(I179&lt;&gt;"",I179&gt;H179),"异常：超过事件截止日",IF(AND(P179&lt;&gt;"",TODAY()&gt;=P179,N179&gt;0),"异常：离职前未缴清","正常"))))))</f>
        <v/>
      </c>
      <c r="R179" s="11" t="n"/>
    </row>
    <row r="180">
      <c r="A180" s="6">
        <f>IF(AND(D180="",E180=""),"",IFERROR(INDEX('激励事件明细'!$C$2:$C$501,IF(D180&lt;&gt;"",MATCH(D180,'激励事件明细'!$A$2:$A$501,0),MATCH(E180,'激励事件明细'!$B$2:$B$501,0))),""))</f>
        <v/>
      </c>
      <c r="B180" s="6">
        <f>IF(A180="","",IFERROR(INDEX('激励事件明细'!$D$2:$D$501,IF(D180&lt;&gt;"",MATCH(D180,'激励事件明细'!$A$2:$A$501,0),MATCH(E180,'激励事件明细'!$B$2:$B$501,0))),""))</f>
        <v/>
      </c>
      <c r="C180" s="6">
        <f>IF(A180="","",IFERROR(INDEX('激励事件明细'!$H$2:$H$501,IF(D180&lt;&gt;"",MATCH(D180,'激励事件明细'!$A$2:$A$501,0),MATCH(E180,'激励事件明细'!$B$2:$B$501,0))),""))</f>
        <v/>
      </c>
      <c r="D180" s="11" t="n"/>
      <c r="E180" s="11" t="n"/>
      <c r="F180" s="14">
        <f>IF(A180="","",IFERROR(INDEX('激励事件明细'!$Z$2:$Z$501,IF(D180&lt;&gt;"",MATCH(D180,'激励事件明细'!$A$2:$A$501,0),MATCH(E180,'激励事件明细'!$B$2:$B$501,0))),""))</f>
        <v/>
      </c>
      <c r="G180" s="16">
        <f>IF(A180="","",IFERROR(INDEX('激励事件明细'!$AA$2:$AA$501,IF(D180&lt;&gt;"",MATCH(D180,'激励事件明细'!$A$2:$A$501,0),MATCH(E180,'激励事件明细'!$B$2:$B$501,0))),""))</f>
        <v/>
      </c>
      <c r="H180" s="16">
        <f>IF(A180="","",IFERROR(INDEX('激励事件明细'!$AB$2:$AB$501,IF(D180&lt;&gt;"",MATCH(D180,'激励事件明细'!$A$2:$A$501,0),MATCH(E180,'激励事件明细'!$B$2:$B$501,0))),""))</f>
        <v/>
      </c>
      <c r="I180" s="12" t="n"/>
      <c r="J180" s="13" t="n"/>
      <c r="K180" s="13" t="n"/>
      <c r="L180" s="11" t="n"/>
      <c r="M180" s="14">
        <f>IF(A180="","",IF(D180&lt;&gt;"",SUMIFS($K$2:$K$501,$D$2:$D$501,D180),SUMIFS($K$2:$K$501,$E$2:$E$501,E180)))</f>
        <v/>
      </c>
      <c r="N180" s="14">
        <f>IF(F180="","",MAX(0,F180-M180))</f>
        <v/>
      </c>
      <c r="O180" s="6">
        <f>IF(A180="","",IF(AND(I180&lt;&gt;"",I180&gt;H180),"是",IF(AND(TODAY()&gt;H180,N180&gt;0),"是","否")))</f>
        <v/>
      </c>
      <c r="P180" s="16">
        <f>IF(A180="","",IFERROR(INDEX('激励事件明细'!$P$2:$P$501,IF(D180&lt;&gt;"",MATCH(D180,'激励事件明细'!$A$2:$A$501,0),MATCH(E180,'激励事件明细'!$B$2:$B$501,0))),""))</f>
        <v/>
      </c>
      <c r="Q180" s="6">
        <f>IF(AND(D180="",E180=""),"异常：必须关联事件编号或税额批次",IF(AND(D180&lt;&gt;"",COUNTIF('激励事件明细'!$A$2:$A$501,D180)=0),"异常：事件编号不存在",IF(AND(E180&lt;&gt;"",COUNTIF('激励事件明细'!$B$2:$B$501,E180)=0),"异常：税额批次不存在",IF(M180&gt;F180,"异常：本批次超额缴税",IF(AND(I180&lt;&gt;"",I180&gt;H180),"异常：超过事件截止日",IF(AND(P180&lt;&gt;"",TODAY()&gt;=P180,N180&gt;0),"异常：离职前未缴清","正常"))))))</f>
        <v/>
      </c>
      <c r="R180" s="11" t="n"/>
    </row>
    <row r="181">
      <c r="A181" s="6">
        <f>IF(AND(D181="",E181=""),"",IFERROR(INDEX('激励事件明细'!$C$2:$C$501,IF(D181&lt;&gt;"",MATCH(D181,'激励事件明细'!$A$2:$A$501,0),MATCH(E181,'激励事件明细'!$B$2:$B$501,0))),""))</f>
        <v/>
      </c>
      <c r="B181" s="6">
        <f>IF(A181="","",IFERROR(INDEX('激励事件明细'!$D$2:$D$501,IF(D181&lt;&gt;"",MATCH(D181,'激励事件明细'!$A$2:$A$501,0),MATCH(E181,'激励事件明细'!$B$2:$B$501,0))),""))</f>
        <v/>
      </c>
      <c r="C181" s="6">
        <f>IF(A181="","",IFERROR(INDEX('激励事件明细'!$H$2:$H$501,IF(D181&lt;&gt;"",MATCH(D181,'激励事件明细'!$A$2:$A$501,0),MATCH(E181,'激励事件明细'!$B$2:$B$501,0))),""))</f>
        <v/>
      </c>
      <c r="D181" s="11" t="n"/>
      <c r="E181" s="11" t="n"/>
      <c r="F181" s="14">
        <f>IF(A181="","",IFERROR(INDEX('激励事件明细'!$Z$2:$Z$501,IF(D181&lt;&gt;"",MATCH(D181,'激励事件明细'!$A$2:$A$501,0),MATCH(E181,'激励事件明细'!$B$2:$B$501,0))),""))</f>
        <v/>
      </c>
      <c r="G181" s="16">
        <f>IF(A181="","",IFERROR(INDEX('激励事件明细'!$AA$2:$AA$501,IF(D181&lt;&gt;"",MATCH(D181,'激励事件明细'!$A$2:$A$501,0),MATCH(E181,'激励事件明细'!$B$2:$B$501,0))),""))</f>
        <v/>
      </c>
      <c r="H181" s="16">
        <f>IF(A181="","",IFERROR(INDEX('激励事件明细'!$AB$2:$AB$501,IF(D181&lt;&gt;"",MATCH(D181,'激励事件明细'!$A$2:$A$501,0),MATCH(E181,'激励事件明细'!$B$2:$B$501,0))),""))</f>
        <v/>
      </c>
      <c r="I181" s="12" t="n"/>
      <c r="J181" s="13" t="n"/>
      <c r="K181" s="13" t="n"/>
      <c r="L181" s="11" t="n"/>
      <c r="M181" s="14">
        <f>IF(A181="","",IF(D181&lt;&gt;"",SUMIFS($K$2:$K$501,$D$2:$D$501,D181),SUMIFS($K$2:$K$501,$E$2:$E$501,E181)))</f>
        <v/>
      </c>
      <c r="N181" s="14">
        <f>IF(F181="","",MAX(0,F181-M181))</f>
        <v/>
      </c>
      <c r="O181" s="6">
        <f>IF(A181="","",IF(AND(I181&lt;&gt;"",I181&gt;H181),"是",IF(AND(TODAY()&gt;H181,N181&gt;0),"是","否")))</f>
        <v/>
      </c>
      <c r="P181" s="16">
        <f>IF(A181="","",IFERROR(INDEX('激励事件明细'!$P$2:$P$501,IF(D181&lt;&gt;"",MATCH(D181,'激励事件明细'!$A$2:$A$501,0),MATCH(E181,'激励事件明细'!$B$2:$B$501,0))),""))</f>
        <v/>
      </c>
      <c r="Q181" s="6">
        <f>IF(AND(D181="",E181=""),"异常：必须关联事件编号或税额批次",IF(AND(D181&lt;&gt;"",COUNTIF('激励事件明细'!$A$2:$A$501,D181)=0),"异常：事件编号不存在",IF(AND(E181&lt;&gt;"",COUNTIF('激励事件明细'!$B$2:$B$501,E181)=0),"异常：税额批次不存在",IF(M181&gt;F181,"异常：本批次超额缴税",IF(AND(I181&lt;&gt;"",I181&gt;H181),"异常：超过事件截止日",IF(AND(P181&lt;&gt;"",TODAY()&gt;=P181,N181&gt;0),"异常：离职前未缴清","正常"))))))</f>
        <v/>
      </c>
      <c r="R181" s="11" t="n"/>
    </row>
    <row r="182">
      <c r="A182" s="6">
        <f>IF(AND(D182="",E182=""),"",IFERROR(INDEX('激励事件明细'!$C$2:$C$501,IF(D182&lt;&gt;"",MATCH(D182,'激励事件明细'!$A$2:$A$501,0),MATCH(E182,'激励事件明细'!$B$2:$B$501,0))),""))</f>
        <v/>
      </c>
      <c r="B182" s="6">
        <f>IF(A182="","",IFERROR(INDEX('激励事件明细'!$D$2:$D$501,IF(D182&lt;&gt;"",MATCH(D182,'激励事件明细'!$A$2:$A$501,0),MATCH(E182,'激励事件明细'!$B$2:$B$501,0))),""))</f>
        <v/>
      </c>
      <c r="C182" s="6">
        <f>IF(A182="","",IFERROR(INDEX('激励事件明细'!$H$2:$H$501,IF(D182&lt;&gt;"",MATCH(D182,'激励事件明细'!$A$2:$A$501,0),MATCH(E182,'激励事件明细'!$B$2:$B$501,0))),""))</f>
        <v/>
      </c>
      <c r="D182" s="11" t="n"/>
      <c r="E182" s="11" t="n"/>
      <c r="F182" s="14">
        <f>IF(A182="","",IFERROR(INDEX('激励事件明细'!$Z$2:$Z$501,IF(D182&lt;&gt;"",MATCH(D182,'激励事件明细'!$A$2:$A$501,0),MATCH(E182,'激励事件明细'!$B$2:$B$501,0))),""))</f>
        <v/>
      </c>
      <c r="G182" s="16">
        <f>IF(A182="","",IFERROR(INDEX('激励事件明细'!$AA$2:$AA$501,IF(D182&lt;&gt;"",MATCH(D182,'激励事件明细'!$A$2:$A$501,0),MATCH(E182,'激励事件明细'!$B$2:$B$501,0))),""))</f>
        <v/>
      </c>
      <c r="H182" s="16">
        <f>IF(A182="","",IFERROR(INDEX('激励事件明细'!$AB$2:$AB$501,IF(D182&lt;&gt;"",MATCH(D182,'激励事件明细'!$A$2:$A$501,0),MATCH(E182,'激励事件明细'!$B$2:$B$501,0))),""))</f>
        <v/>
      </c>
      <c r="I182" s="12" t="n"/>
      <c r="J182" s="13" t="n"/>
      <c r="K182" s="13" t="n"/>
      <c r="L182" s="11" t="n"/>
      <c r="M182" s="14">
        <f>IF(A182="","",IF(D182&lt;&gt;"",SUMIFS($K$2:$K$501,$D$2:$D$501,D182),SUMIFS($K$2:$K$501,$E$2:$E$501,E182)))</f>
        <v/>
      </c>
      <c r="N182" s="14">
        <f>IF(F182="","",MAX(0,F182-M182))</f>
        <v/>
      </c>
      <c r="O182" s="6">
        <f>IF(A182="","",IF(AND(I182&lt;&gt;"",I182&gt;H182),"是",IF(AND(TODAY()&gt;H182,N182&gt;0),"是","否")))</f>
        <v/>
      </c>
      <c r="P182" s="16">
        <f>IF(A182="","",IFERROR(INDEX('激励事件明细'!$P$2:$P$501,IF(D182&lt;&gt;"",MATCH(D182,'激励事件明细'!$A$2:$A$501,0),MATCH(E182,'激励事件明细'!$B$2:$B$501,0))),""))</f>
        <v/>
      </c>
      <c r="Q182" s="6">
        <f>IF(AND(D182="",E182=""),"异常：必须关联事件编号或税额批次",IF(AND(D182&lt;&gt;"",COUNTIF('激励事件明细'!$A$2:$A$501,D182)=0),"异常：事件编号不存在",IF(AND(E182&lt;&gt;"",COUNTIF('激励事件明细'!$B$2:$B$501,E182)=0),"异常：税额批次不存在",IF(M182&gt;F182,"异常：本批次超额缴税",IF(AND(I182&lt;&gt;"",I182&gt;H182),"异常：超过事件截止日",IF(AND(P182&lt;&gt;"",TODAY()&gt;=P182,N182&gt;0),"异常：离职前未缴清","正常"))))))</f>
        <v/>
      </c>
      <c r="R182" s="11" t="n"/>
    </row>
    <row r="183">
      <c r="A183" s="6">
        <f>IF(AND(D183="",E183=""),"",IFERROR(INDEX('激励事件明细'!$C$2:$C$501,IF(D183&lt;&gt;"",MATCH(D183,'激励事件明细'!$A$2:$A$501,0),MATCH(E183,'激励事件明细'!$B$2:$B$501,0))),""))</f>
        <v/>
      </c>
      <c r="B183" s="6">
        <f>IF(A183="","",IFERROR(INDEX('激励事件明细'!$D$2:$D$501,IF(D183&lt;&gt;"",MATCH(D183,'激励事件明细'!$A$2:$A$501,0),MATCH(E183,'激励事件明细'!$B$2:$B$501,0))),""))</f>
        <v/>
      </c>
      <c r="C183" s="6">
        <f>IF(A183="","",IFERROR(INDEX('激励事件明细'!$H$2:$H$501,IF(D183&lt;&gt;"",MATCH(D183,'激励事件明细'!$A$2:$A$501,0),MATCH(E183,'激励事件明细'!$B$2:$B$501,0))),""))</f>
        <v/>
      </c>
      <c r="D183" s="11" t="n"/>
      <c r="E183" s="11" t="n"/>
      <c r="F183" s="14">
        <f>IF(A183="","",IFERROR(INDEX('激励事件明细'!$Z$2:$Z$501,IF(D183&lt;&gt;"",MATCH(D183,'激励事件明细'!$A$2:$A$501,0),MATCH(E183,'激励事件明细'!$B$2:$B$501,0))),""))</f>
        <v/>
      </c>
      <c r="G183" s="16">
        <f>IF(A183="","",IFERROR(INDEX('激励事件明细'!$AA$2:$AA$501,IF(D183&lt;&gt;"",MATCH(D183,'激励事件明细'!$A$2:$A$501,0),MATCH(E183,'激励事件明细'!$B$2:$B$501,0))),""))</f>
        <v/>
      </c>
      <c r="H183" s="16">
        <f>IF(A183="","",IFERROR(INDEX('激励事件明细'!$AB$2:$AB$501,IF(D183&lt;&gt;"",MATCH(D183,'激励事件明细'!$A$2:$A$501,0),MATCH(E183,'激励事件明细'!$B$2:$B$501,0))),""))</f>
        <v/>
      </c>
      <c r="I183" s="12" t="n"/>
      <c r="J183" s="13" t="n"/>
      <c r="K183" s="13" t="n"/>
      <c r="L183" s="11" t="n"/>
      <c r="M183" s="14">
        <f>IF(A183="","",IF(D183&lt;&gt;"",SUMIFS($K$2:$K$501,$D$2:$D$501,D183),SUMIFS($K$2:$K$501,$E$2:$E$501,E183)))</f>
        <v/>
      </c>
      <c r="N183" s="14">
        <f>IF(F183="","",MAX(0,F183-M183))</f>
        <v/>
      </c>
      <c r="O183" s="6">
        <f>IF(A183="","",IF(AND(I183&lt;&gt;"",I183&gt;H183),"是",IF(AND(TODAY()&gt;H183,N183&gt;0),"是","否")))</f>
        <v/>
      </c>
      <c r="P183" s="16">
        <f>IF(A183="","",IFERROR(INDEX('激励事件明细'!$P$2:$P$501,IF(D183&lt;&gt;"",MATCH(D183,'激励事件明细'!$A$2:$A$501,0),MATCH(E183,'激励事件明细'!$B$2:$B$501,0))),""))</f>
        <v/>
      </c>
      <c r="Q183" s="6">
        <f>IF(AND(D183="",E183=""),"异常：必须关联事件编号或税额批次",IF(AND(D183&lt;&gt;"",COUNTIF('激励事件明细'!$A$2:$A$501,D183)=0),"异常：事件编号不存在",IF(AND(E183&lt;&gt;"",COUNTIF('激励事件明细'!$B$2:$B$501,E183)=0),"异常：税额批次不存在",IF(M183&gt;F183,"异常：本批次超额缴税",IF(AND(I183&lt;&gt;"",I183&gt;H183),"异常：超过事件截止日",IF(AND(P183&lt;&gt;"",TODAY()&gt;=P183,N183&gt;0),"异常：离职前未缴清","正常"))))))</f>
        <v/>
      </c>
      <c r="R183" s="11" t="n"/>
    </row>
    <row r="184">
      <c r="A184" s="6">
        <f>IF(AND(D184="",E184=""),"",IFERROR(INDEX('激励事件明细'!$C$2:$C$501,IF(D184&lt;&gt;"",MATCH(D184,'激励事件明细'!$A$2:$A$501,0),MATCH(E184,'激励事件明细'!$B$2:$B$501,0))),""))</f>
        <v/>
      </c>
      <c r="B184" s="6">
        <f>IF(A184="","",IFERROR(INDEX('激励事件明细'!$D$2:$D$501,IF(D184&lt;&gt;"",MATCH(D184,'激励事件明细'!$A$2:$A$501,0),MATCH(E184,'激励事件明细'!$B$2:$B$501,0))),""))</f>
        <v/>
      </c>
      <c r="C184" s="6">
        <f>IF(A184="","",IFERROR(INDEX('激励事件明细'!$H$2:$H$501,IF(D184&lt;&gt;"",MATCH(D184,'激励事件明细'!$A$2:$A$501,0),MATCH(E184,'激励事件明细'!$B$2:$B$501,0))),""))</f>
        <v/>
      </c>
      <c r="D184" s="11" t="n"/>
      <c r="E184" s="11" t="n"/>
      <c r="F184" s="14">
        <f>IF(A184="","",IFERROR(INDEX('激励事件明细'!$Z$2:$Z$501,IF(D184&lt;&gt;"",MATCH(D184,'激励事件明细'!$A$2:$A$501,0),MATCH(E184,'激励事件明细'!$B$2:$B$501,0))),""))</f>
        <v/>
      </c>
      <c r="G184" s="16">
        <f>IF(A184="","",IFERROR(INDEX('激励事件明细'!$AA$2:$AA$501,IF(D184&lt;&gt;"",MATCH(D184,'激励事件明细'!$A$2:$A$501,0),MATCH(E184,'激励事件明细'!$B$2:$B$501,0))),""))</f>
        <v/>
      </c>
      <c r="H184" s="16">
        <f>IF(A184="","",IFERROR(INDEX('激励事件明细'!$AB$2:$AB$501,IF(D184&lt;&gt;"",MATCH(D184,'激励事件明细'!$A$2:$A$501,0),MATCH(E184,'激励事件明细'!$B$2:$B$501,0))),""))</f>
        <v/>
      </c>
      <c r="I184" s="12" t="n"/>
      <c r="J184" s="13" t="n"/>
      <c r="K184" s="13" t="n"/>
      <c r="L184" s="11" t="n"/>
      <c r="M184" s="14">
        <f>IF(A184="","",IF(D184&lt;&gt;"",SUMIFS($K$2:$K$501,$D$2:$D$501,D184),SUMIFS($K$2:$K$501,$E$2:$E$501,E184)))</f>
        <v/>
      </c>
      <c r="N184" s="14">
        <f>IF(F184="","",MAX(0,F184-M184))</f>
        <v/>
      </c>
      <c r="O184" s="6">
        <f>IF(A184="","",IF(AND(I184&lt;&gt;"",I184&gt;H184),"是",IF(AND(TODAY()&gt;H184,N184&gt;0),"是","否")))</f>
        <v/>
      </c>
      <c r="P184" s="16">
        <f>IF(A184="","",IFERROR(INDEX('激励事件明细'!$P$2:$P$501,IF(D184&lt;&gt;"",MATCH(D184,'激励事件明细'!$A$2:$A$501,0),MATCH(E184,'激励事件明细'!$B$2:$B$501,0))),""))</f>
        <v/>
      </c>
      <c r="Q184" s="6">
        <f>IF(AND(D184="",E184=""),"异常：必须关联事件编号或税额批次",IF(AND(D184&lt;&gt;"",COUNTIF('激励事件明细'!$A$2:$A$501,D184)=0),"异常：事件编号不存在",IF(AND(E184&lt;&gt;"",COUNTIF('激励事件明细'!$B$2:$B$501,E184)=0),"异常：税额批次不存在",IF(M184&gt;F184,"异常：本批次超额缴税",IF(AND(I184&lt;&gt;"",I184&gt;H184),"异常：超过事件截止日",IF(AND(P184&lt;&gt;"",TODAY()&gt;=P184,N184&gt;0),"异常：离职前未缴清","正常"))))))</f>
        <v/>
      </c>
      <c r="R184" s="11" t="n"/>
    </row>
    <row r="185">
      <c r="A185" s="6">
        <f>IF(AND(D185="",E185=""),"",IFERROR(INDEX('激励事件明细'!$C$2:$C$501,IF(D185&lt;&gt;"",MATCH(D185,'激励事件明细'!$A$2:$A$501,0),MATCH(E185,'激励事件明细'!$B$2:$B$501,0))),""))</f>
        <v/>
      </c>
      <c r="B185" s="6">
        <f>IF(A185="","",IFERROR(INDEX('激励事件明细'!$D$2:$D$501,IF(D185&lt;&gt;"",MATCH(D185,'激励事件明细'!$A$2:$A$501,0),MATCH(E185,'激励事件明细'!$B$2:$B$501,0))),""))</f>
        <v/>
      </c>
      <c r="C185" s="6">
        <f>IF(A185="","",IFERROR(INDEX('激励事件明细'!$H$2:$H$501,IF(D185&lt;&gt;"",MATCH(D185,'激励事件明细'!$A$2:$A$501,0),MATCH(E185,'激励事件明细'!$B$2:$B$501,0))),""))</f>
        <v/>
      </c>
      <c r="D185" s="11" t="n"/>
      <c r="E185" s="11" t="n"/>
      <c r="F185" s="14">
        <f>IF(A185="","",IFERROR(INDEX('激励事件明细'!$Z$2:$Z$501,IF(D185&lt;&gt;"",MATCH(D185,'激励事件明细'!$A$2:$A$501,0),MATCH(E185,'激励事件明细'!$B$2:$B$501,0))),""))</f>
        <v/>
      </c>
      <c r="G185" s="16">
        <f>IF(A185="","",IFERROR(INDEX('激励事件明细'!$AA$2:$AA$501,IF(D185&lt;&gt;"",MATCH(D185,'激励事件明细'!$A$2:$A$501,0),MATCH(E185,'激励事件明细'!$B$2:$B$501,0))),""))</f>
        <v/>
      </c>
      <c r="H185" s="16">
        <f>IF(A185="","",IFERROR(INDEX('激励事件明细'!$AB$2:$AB$501,IF(D185&lt;&gt;"",MATCH(D185,'激励事件明细'!$A$2:$A$501,0),MATCH(E185,'激励事件明细'!$B$2:$B$501,0))),""))</f>
        <v/>
      </c>
      <c r="I185" s="12" t="n"/>
      <c r="J185" s="13" t="n"/>
      <c r="K185" s="13" t="n"/>
      <c r="L185" s="11" t="n"/>
      <c r="M185" s="14">
        <f>IF(A185="","",IF(D185&lt;&gt;"",SUMIFS($K$2:$K$501,$D$2:$D$501,D185),SUMIFS($K$2:$K$501,$E$2:$E$501,E185)))</f>
        <v/>
      </c>
      <c r="N185" s="14">
        <f>IF(F185="","",MAX(0,F185-M185))</f>
        <v/>
      </c>
      <c r="O185" s="6">
        <f>IF(A185="","",IF(AND(I185&lt;&gt;"",I185&gt;H185),"是",IF(AND(TODAY()&gt;H185,N185&gt;0),"是","否")))</f>
        <v/>
      </c>
      <c r="P185" s="16">
        <f>IF(A185="","",IFERROR(INDEX('激励事件明细'!$P$2:$P$501,IF(D185&lt;&gt;"",MATCH(D185,'激励事件明细'!$A$2:$A$501,0),MATCH(E185,'激励事件明细'!$B$2:$B$501,0))),""))</f>
        <v/>
      </c>
      <c r="Q185" s="6">
        <f>IF(AND(D185="",E185=""),"异常：必须关联事件编号或税额批次",IF(AND(D185&lt;&gt;"",COUNTIF('激励事件明细'!$A$2:$A$501,D185)=0),"异常：事件编号不存在",IF(AND(E185&lt;&gt;"",COUNTIF('激励事件明细'!$B$2:$B$501,E185)=0),"异常：税额批次不存在",IF(M185&gt;F185,"异常：本批次超额缴税",IF(AND(I185&lt;&gt;"",I185&gt;H185),"异常：超过事件截止日",IF(AND(P185&lt;&gt;"",TODAY()&gt;=P185,N185&gt;0),"异常：离职前未缴清","正常"))))))</f>
        <v/>
      </c>
      <c r="R185" s="11" t="n"/>
    </row>
    <row r="186">
      <c r="A186" s="6">
        <f>IF(AND(D186="",E186=""),"",IFERROR(INDEX('激励事件明细'!$C$2:$C$501,IF(D186&lt;&gt;"",MATCH(D186,'激励事件明细'!$A$2:$A$501,0),MATCH(E186,'激励事件明细'!$B$2:$B$501,0))),""))</f>
        <v/>
      </c>
      <c r="B186" s="6">
        <f>IF(A186="","",IFERROR(INDEX('激励事件明细'!$D$2:$D$501,IF(D186&lt;&gt;"",MATCH(D186,'激励事件明细'!$A$2:$A$501,0),MATCH(E186,'激励事件明细'!$B$2:$B$501,0))),""))</f>
        <v/>
      </c>
      <c r="C186" s="6">
        <f>IF(A186="","",IFERROR(INDEX('激励事件明细'!$H$2:$H$501,IF(D186&lt;&gt;"",MATCH(D186,'激励事件明细'!$A$2:$A$501,0),MATCH(E186,'激励事件明细'!$B$2:$B$501,0))),""))</f>
        <v/>
      </c>
      <c r="D186" s="11" t="n"/>
      <c r="E186" s="11" t="n"/>
      <c r="F186" s="14">
        <f>IF(A186="","",IFERROR(INDEX('激励事件明细'!$Z$2:$Z$501,IF(D186&lt;&gt;"",MATCH(D186,'激励事件明细'!$A$2:$A$501,0),MATCH(E186,'激励事件明细'!$B$2:$B$501,0))),""))</f>
        <v/>
      </c>
      <c r="G186" s="16">
        <f>IF(A186="","",IFERROR(INDEX('激励事件明细'!$AA$2:$AA$501,IF(D186&lt;&gt;"",MATCH(D186,'激励事件明细'!$A$2:$A$501,0),MATCH(E186,'激励事件明细'!$B$2:$B$501,0))),""))</f>
        <v/>
      </c>
      <c r="H186" s="16">
        <f>IF(A186="","",IFERROR(INDEX('激励事件明细'!$AB$2:$AB$501,IF(D186&lt;&gt;"",MATCH(D186,'激励事件明细'!$A$2:$A$501,0),MATCH(E186,'激励事件明细'!$B$2:$B$501,0))),""))</f>
        <v/>
      </c>
      <c r="I186" s="12" t="n"/>
      <c r="J186" s="13" t="n"/>
      <c r="K186" s="13" t="n"/>
      <c r="L186" s="11" t="n"/>
      <c r="M186" s="14">
        <f>IF(A186="","",IF(D186&lt;&gt;"",SUMIFS($K$2:$K$501,$D$2:$D$501,D186),SUMIFS($K$2:$K$501,$E$2:$E$501,E186)))</f>
        <v/>
      </c>
      <c r="N186" s="14">
        <f>IF(F186="","",MAX(0,F186-M186))</f>
        <v/>
      </c>
      <c r="O186" s="6">
        <f>IF(A186="","",IF(AND(I186&lt;&gt;"",I186&gt;H186),"是",IF(AND(TODAY()&gt;H186,N186&gt;0),"是","否")))</f>
        <v/>
      </c>
      <c r="P186" s="16">
        <f>IF(A186="","",IFERROR(INDEX('激励事件明细'!$P$2:$P$501,IF(D186&lt;&gt;"",MATCH(D186,'激励事件明细'!$A$2:$A$501,0),MATCH(E186,'激励事件明细'!$B$2:$B$501,0))),""))</f>
        <v/>
      </c>
      <c r="Q186" s="6">
        <f>IF(AND(D186="",E186=""),"异常：必须关联事件编号或税额批次",IF(AND(D186&lt;&gt;"",COUNTIF('激励事件明细'!$A$2:$A$501,D186)=0),"异常：事件编号不存在",IF(AND(E186&lt;&gt;"",COUNTIF('激励事件明细'!$B$2:$B$501,E186)=0),"异常：税额批次不存在",IF(M186&gt;F186,"异常：本批次超额缴税",IF(AND(I186&lt;&gt;"",I186&gt;H186),"异常：超过事件截止日",IF(AND(P186&lt;&gt;"",TODAY()&gt;=P186,N186&gt;0),"异常：离职前未缴清","正常"))))))</f>
        <v/>
      </c>
      <c r="R186" s="11" t="n"/>
    </row>
    <row r="187">
      <c r="A187" s="6">
        <f>IF(AND(D187="",E187=""),"",IFERROR(INDEX('激励事件明细'!$C$2:$C$501,IF(D187&lt;&gt;"",MATCH(D187,'激励事件明细'!$A$2:$A$501,0),MATCH(E187,'激励事件明细'!$B$2:$B$501,0))),""))</f>
        <v/>
      </c>
      <c r="B187" s="6">
        <f>IF(A187="","",IFERROR(INDEX('激励事件明细'!$D$2:$D$501,IF(D187&lt;&gt;"",MATCH(D187,'激励事件明细'!$A$2:$A$501,0),MATCH(E187,'激励事件明细'!$B$2:$B$501,0))),""))</f>
        <v/>
      </c>
      <c r="C187" s="6">
        <f>IF(A187="","",IFERROR(INDEX('激励事件明细'!$H$2:$H$501,IF(D187&lt;&gt;"",MATCH(D187,'激励事件明细'!$A$2:$A$501,0),MATCH(E187,'激励事件明细'!$B$2:$B$501,0))),""))</f>
        <v/>
      </c>
      <c r="D187" s="11" t="n"/>
      <c r="E187" s="11" t="n"/>
      <c r="F187" s="14">
        <f>IF(A187="","",IFERROR(INDEX('激励事件明细'!$Z$2:$Z$501,IF(D187&lt;&gt;"",MATCH(D187,'激励事件明细'!$A$2:$A$501,0),MATCH(E187,'激励事件明细'!$B$2:$B$501,0))),""))</f>
        <v/>
      </c>
      <c r="G187" s="16">
        <f>IF(A187="","",IFERROR(INDEX('激励事件明细'!$AA$2:$AA$501,IF(D187&lt;&gt;"",MATCH(D187,'激励事件明细'!$A$2:$A$501,0),MATCH(E187,'激励事件明细'!$B$2:$B$501,0))),""))</f>
        <v/>
      </c>
      <c r="H187" s="16">
        <f>IF(A187="","",IFERROR(INDEX('激励事件明细'!$AB$2:$AB$501,IF(D187&lt;&gt;"",MATCH(D187,'激励事件明细'!$A$2:$A$501,0),MATCH(E187,'激励事件明细'!$B$2:$B$501,0))),""))</f>
        <v/>
      </c>
      <c r="I187" s="12" t="n"/>
      <c r="J187" s="13" t="n"/>
      <c r="K187" s="13" t="n"/>
      <c r="L187" s="11" t="n"/>
      <c r="M187" s="14">
        <f>IF(A187="","",IF(D187&lt;&gt;"",SUMIFS($K$2:$K$501,$D$2:$D$501,D187),SUMIFS($K$2:$K$501,$E$2:$E$501,E187)))</f>
        <v/>
      </c>
      <c r="N187" s="14">
        <f>IF(F187="","",MAX(0,F187-M187))</f>
        <v/>
      </c>
      <c r="O187" s="6">
        <f>IF(A187="","",IF(AND(I187&lt;&gt;"",I187&gt;H187),"是",IF(AND(TODAY()&gt;H187,N187&gt;0),"是","否")))</f>
        <v/>
      </c>
      <c r="P187" s="16">
        <f>IF(A187="","",IFERROR(INDEX('激励事件明细'!$P$2:$P$501,IF(D187&lt;&gt;"",MATCH(D187,'激励事件明细'!$A$2:$A$501,0),MATCH(E187,'激励事件明细'!$B$2:$B$501,0))),""))</f>
        <v/>
      </c>
      <c r="Q187" s="6">
        <f>IF(AND(D187="",E187=""),"异常：必须关联事件编号或税额批次",IF(AND(D187&lt;&gt;"",COUNTIF('激励事件明细'!$A$2:$A$501,D187)=0),"异常：事件编号不存在",IF(AND(E187&lt;&gt;"",COUNTIF('激励事件明细'!$B$2:$B$501,E187)=0),"异常：税额批次不存在",IF(M187&gt;F187,"异常：本批次超额缴税",IF(AND(I187&lt;&gt;"",I187&gt;H187),"异常：超过事件截止日",IF(AND(P187&lt;&gt;"",TODAY()&gt;=P187,N187&gt;0),"异常：离职前未缴清","正常"))))))</f>
        <v/>
      </c>
      <c r="R187" s="11" t="n"/>
    </row>
    <row r="188">
      <c r="A188" s="6">
        <f>IF(AND(D188="",E188=""),"",IFERROR(INDEX('激励事件明细'!$C$2:$C$501,IF(D188&lt;&gt;"",MATCH(D188,'激励事件明细'!$A$2:$A$501,0),MATCH(E188,'激励事件明细'!$B$2:$B$501,0))),""))</f>
        <v/>
      </c>
      <c r="B188" s="6">
        <f>IF(A188="","",IFERROR(INDEX('激励事件明细'!$D$2:$D$501,IF(D188&lt;&gt;"",MATCH(D188,'激励事件明细'!$A$2:$A$501,0),MATCH(E188,'激励事件明细'!$B$2:$B$501,0))),""))</f>
        <v/>
      </c>
      <c r="C188" s="6">
        <f>IF(A188="","",IFERROR(INDEX('激励事件明细'!$H$2:$H$501,IF(D188&lt;&gt;"",MATCH(D188,'激励事件明细'!$A$2:$A$501,0),MATCH(E188,'激励事件明细'!$B$2:$B$501,0))),""))</f>
        <v/>
      </c>
      <c r="D188" s="11" t="n"/>
      <c r="E188" s="11" t="n"/>
      <c r="F188" s="14">
        <f>IF(A188="","",IFERROR(INDEX('激励事件明细'!$Z$2:$Z$501,IF(D188&lt;&gt;"",MATCH(D188,'激励事件明细'!$A$2:$A$501,0),MATCH(E188,'激励事件明细'!$B$2:$B$501,0))),""))</f>
        <v/>
      </c>
      <c r="G188" s="16">
        <f>IF(A188="","",IFERROR(INDEX('激励事件明细'!$AA$2:$AA$501,IF(D188&lt;&gt;"",MATCH(D188,'激励事件明细'!$A$2:$A$501,0),MATCH(E188,'激励事件明细'!$B$2:$B$501,0))),""))</f>
        <v/>
      </c>
      <c r="H188" s="16">
        <f>IF(A188="","",IFERROR(INDEX('激励事件明细'!$AB$2:$AB$501,IF(D188&lt;&gt;"",MATCH(D188,'激励事件明细'!$A$2:$A$501,0),MATCH(E188,'激励事件明细'!$B$2:$B$501,0))),""))</f>
        <v/>
      </c>
      <c r="I188" s="12" t="n"/>
      <c r="J188" s="13" t="n"/>
      <c r="K188" s="13" t="n"/>
      <c r="L188" s="11" t="n"/>
      <c r="M188" s="14">
        <f>IF(A188="","",IF(D188&lt;&gt;"",SUMIFS($K$2:$K$501,$D$2:$D$501,D188),SUMIFS($K$2:$K$501,$E$2:$E$501,E188)))</f>
        <v/>
      </c>
      <c r="N188" s="14">
        <f>IF(F188="","",MAX(0,F188-M188))</f>
        <v/>
      </c>
      <c r="O188" s="6">
        <f>IF(A188="","",IF(AND(I188&lt;&gt;"",I188&gt;H188),"是",IF(AND(TODAY()&gt;H188,N188&gt;0),"是","否")))</f>
        <v/>
      </c>
      <c r="P188" s="16">
        <f>IF(A188="","",IFERROR(INDEX('激励事件明细'!$P$2:$P$501,IF(D188&lt;&gt;"",MATCH(D188,'激励事件明细'!$A$2:$A$501,0),MATCH(E188,'激励事件明细'!$B$2:$B$501,0))),""))</f>
        <v/>
      </c>
      <c r="Q188" s="6">
        <f>IF(AND(D188="",E188=""),"异常：必须关联事件编号或税额批次",IF(AND(D188&lt;&gt;"",COUNTIF('激励事件明细'!$A$2:$A$501,D188)=0),"异常：事件编号不存在",IF(AND(E188&lt;&gt;"",COUNTIF('激励事件明细'!$B$2:$B$501,E188)=0),"异常：税额批次不存在",IF(M188&gt;F188,"异常：本批次超额缴税",IF(AND(I188&lt;&gt;"",I188&gt;H188),"异常：超过事件截止日",IF(AND(P188&lt;&gt;"",TODAY()&gt;=P188,N188&gt;0),"异常：离职前未缴清","正常"))))))</f>
        <v/>
      </c>
      <c r="R188" s="11" t="n"/>
    </row>
    <row r="189">
      <c r="A189" s="6">
        <f>IF(AND(D189="",E189=""),"",IFERROR(INDEX('激励事件明细'!$C$2:$C$501,IF(D189&lt;&gt;"",MATCH(D189,'激励事件明细'!$A$2:$A$501,0),MATCH(E189,'激励事件明细'!$B$2:$B$501,0))),""))</f>
        <v/>
      </c>
      <c r="B189" s="6">
        <f>IF(A189="","",IFERROR(INDEX('激励事件明细'!$D$2:$D$501,IF(D189&lt;&gt;"",MATCH(D189,'激励事件明细'!$A$2:$A$501,0),MATCH(E189,'激励事件明细'!$B$2:$B$501,0))),""))</f>
        <v/>
      </c>
      <c r="C189" s="6">
        <f>IF(A189="","",IFERROR(INDEX('激励事件明细'!$H$2:$H$501,IF(D189&lt;&gt;"",MATCH(D189,'激励事件明细'!$A$2:$A$501,0),MATCH(E189,'激励事件明细'!$B$2:$B$501,0))),""))</f>
        <v/>
      </c>
      <c r="D189" s="11" t="n"/>
      <c r="E189" s="11" t="n"/>
      <c r="F189" s="14">
        <f>IF(A189="","",IFERROR(INDEX('激励事件明细'!$Z$2:$Z$501,IF(D189&lt;&gt;"",MATCH(D189,'激励事件明细'!$A$2:$A$501,0),MATCH(E189,'激励事件明细'!$B$2:$B$501,0))),""))</f>
        <v/>
      </c>
      <c r="G189" s="16">
        <f>IF(A189="","",IFERROR(INDEX('激励事件明细'!$AA$2:$AA$501,IF(D189&lt;&gt;"",MATCH(D189,'激励事件明细'!$A$2:$A$501,0),MATCH(E189,'激励事件明细'!$B$2:$B$501,0))),""))</f>
        <v/>
      </c>
      <c r="H189" s="16">
        <f>IF(A189="","",IFERROR(INDEX('激励事件明细'!$AB$2:$AB$501,IF(D189&lt;&gt;"",MATCH(D189,'激励事件明细'!$A$2:$A$501,0),MATCH(E189,'激励事件明细'!$B$2:$B$501,0))),""))</f>
        <v/>
      </c>
      <c r="I189" s="12" t="n"/>
      <c r="J189" s="13" t="n"/>
      <c r="K189" s="13" t="n"/>
      <c r="L189" s="11" t="n"/>
      <c r="M189" s="14">
        <f>IF(A189="","",IF(D189&lt;&gt;"",SUMIFS($K$2:$K$501,$D$2:$D$501,D189),SUMIFS($K$2:$K$501,$E$2:$E$501,E189)))</f>
        <v/>
      </c>
      <c r="N189" s="14">
        <f>IF(F189="","",MAX(0,F189-M189))</f>
        <v/>
      </c>
      <c r="O189" s="6">
        <f>IF(A189="","",IF(AND(I189&lt;&gt;"",I189&gt;H189),"是",IF(AND(TODAY()&gt;H189,N189&gt;0),"是","否")))</f>
        <v/>
      </c>
      <c r="P189" s="16">
        <f>IF(A189="","",IFERROR(INDEX('激励事件明细'!$P$2:$P$501,IF(D189&lt;&gt;"",MATCH(D189,'激励事件明细'!$A$2:$A$501,0),MATCH(E189,'激励事件明细'!$B$2:$B$501,0))),""))</f>
        <v/>
      </c>
      <c r="Q189" s="6">
        <f>IF(AND(D189="",E189=""),"异常：必须关联事件编号或税额批次",IF(AND(D189&lt;&gt;"",COUNTIF('激励事件明细'!$A$2:$A$501,D189)=0),"异常：事件编号不存在",IF(AND(E189&lt;&gt;"",COUNTIF('激励事件明细'!$B$2:$B$501,E189)=0),"异常：税额批次不存在",IF(M189&gt;F189,"异常：本批次超额缴税",IF(AND(I189&lt;&gt;"",I189&gt;H189),"异常：超过事件截止日",IF(AND(P189&lt;&gt;"",TODAY()&gt;=P189,N189&gt;0),"异常：离职前未缴清","正常"))))))</f>
        <v/>
      </c>
      <c r="R189" s="11" t="n"/>
    </row>
    <row r="190">
      <c r="A190" s="6">
        <f>IF(AND(D190="",E190=""),"",IFERROR(INDEX('激励事件明细'!$C$2:$C$501,IF(D190&lt;&gt;"",MATCH(D190,'激励事件明细'!$A$2:$A$501,0),MATCH(E190,'激励事件明细'!$B$2:$B$501,0))),""))</f>
        <v/>
      </c>
      <c r="B190" s="6">
        <f>IF(A190="","",IFERROR(INDEX('激励事件明细'!$D$2:$D$501,IF(D190&lt;&gt;"",MATCH(D190,'激励事件明细'!$A$2:$A$501,0),MATCH(E190,'激励事件明细'!$B$2:$B$501,0))),""))</f>
        <v/>
      </c>
      <c r="C190" s="6">
        <f>IF(A190="","",IFERROR(INDEX('激励事件明细'!$H$2:$H$501,IF(D190&lt;&gt;"",MATCH(D190,'激励事件明细'!$A$2:$A$501,0),MATCH(E190,'激励事件明细'!$B$2:$B$501,0))),""))</f>
        <v/>
      </c>
      <c r="D190" s="11" t="n"/>
      <c r="E190" s="11" t="n"/>
      <c r="F190" s="14">
        <f>IF(A190="","",IFERROR(INDEX('激励事件明细'!$Z$2:$Z$501,IF(D190&lt;&gt;"",MATCH(D190,'激励事件明细'!$A$2:$A$501,0),MATCH(E190,'激励事件明细'!$B$2:$B$501,0))),""))</f>
        <v/>
      </c>
      <c r="G190" s="16">
        <f>IF(A190="","",IFERROR(INDEX('激励事件明细'!$AA$2:$AA$501,IF(D190&lt;&gt;"",MATCH(D190,'激励事件明细'!$A$2:$A$501,0),MATCH(E190,'激励事件明细'!$B$2:$B$501,0))),""))</f>
        <v/>
      </c>
      <c r="H190" s="16">
        <f>IF(A190="","",IFERROR(INDEX('激励事件明细'!$AB$2:$AB$501,IF(D190&lt;&gt;"",MATCH(D190,'激励事件明细'!$A$2:$A$501,0),MATCH(E190,'激励事件明细'!$B$2:$B$501,0))),""))</f>
        <v/>
      </c>
      <c r="I190" s="12" t="n"/>
      <c r="J190" s="13" t="n"/>
      <c r="K190" s="13" t="n"/>
      <c r="L190" s="11" t="n"/>
      <c r="M190" s="14">
        <f>IF(A190="","",IF(D190&lt;&gt;"",SUMIFS($K$2:$K$501,$D$2:$D$501,D190),SUMIFS($K$2:$K$501,$E$2:$E$501,E190)))</f>
        <v/>
      </c>
      <c r="N190" s="14">
        <f>IF(F190="","",MAX(0,F190-M190))</f>
        <v/>
      </c>
      <c r="O190" s="6">
        <f>IF(A190="","",IF(AND(I190&lt;&gt;"",I190&gt;H190),"是",IF(AND(TODAY()&gt;H190,N190&gt;0),"是","否")))</f>
        <v/>
      </c>
      <c r="P190" s="16">
        <f>IF(A190="","",IFERROR(INDEX('激励事件明细'!$P$2:$P$501,IF(D190&lt;&gt;"",MATCH(D190,'激励事件明细'!$A$2:$A$501,0),MATCH(E190,'激励事件明细'!$B$2:$B$501,0))),""))</f>
        <v/>
      </c>
      <c r="Q190" s="6">
        <f>IF(AND(D190="",E190=""),"异常：必须关联事件编号或税额批次",IF(AND(D190&lt;&gt;"",COUNTIF('激励事件明细'!$A$2:$A$501,D190)=0),"异常：事件编号不存在",IF(AND(E190&lt;&gt;"",COUNTIF('激励事件明细'!$B$2:$B$501,E190)=0),"异常：税额批次不存在",IF(M190&gt;F190,"异常：本批次超额缴税",IF(AND(I190&lt;&gt;"",I190&gt;H190),"异常：超过事件截止日",IF(AND(P190&lt;&gt;"",TODAY()&gt;=P190,N190&gt;0),"异常：离职前未缴清","正常"))))))</f>
        <v/>
      </c>
      <c r="R190" s="11" t="n"/>
    </row>
    <row r="191">
      <c r="A191" s="6">
        <f>IF(AND(D191="",E191=""),"",IFERROR(INDEX('激励事件明细'!$C$2:$C$501,IF(D191&lt;&gt;"",MATCH(D191,'激励事件明细'!$A$2:$A$501,0),MATCH(E191,'激励事件明细'!$B$2:$B$501,0))),""))</f>
        <v/>
      </c>
      <c r="B191" s="6">
        <f>IF(A191="","",IFERROR(INDEX('激励事件明细'!$D$2:$D$501,IF(D191&lt;&gt;"",MATCH(D191,'激励事件明细'!$A$2:$A$501,0),MATCH(E191,'激励事件明细'!$B$2:$B$501,0))),""))</f>
        <v/>
      </c>
      <c r="C191" s="6">
        <f>IF(A191="","",IFERROR(INDEX('激励事件明细'!$H$2:$H$501,IF(D191&lt;&gt;"",MATCH(D191,'激励事件明细'!$A$2:$A$501,0),MATCH(E191,'激励事件明细'!$B$2:$B$501,0))),""))</f>
        <v/>
      </c>
      <c r="D191" s="11" t="n"/>
      <c r="E191" s="11" t="n"/>
      <c r="F191" s="14">
        <f>IF(A191="","",IFERROR(INDEX('激励事件明细'!$Z$2:$Z$501,IF(D191&lt;&gt;"",MATCH(D191,'激励事件明细'!$A$2:$A$501,0),MATCH(E191,'激励事件明细'!$B$2:$B$501,0))),""))</f>
        <v/>
      </c>
      <c r="G191" s="16">
        <f>IF(A191="","",IFERROR(INDEX('激励事件明细'!$AA$2:$AA$501,IF(D191&lt;&gt;"",MATCH(D191,'激励事件明细'!$A$2:$A$501,0),MATCH(E191,'激励事件明细'!$B$2:$B$501,0))),""))</f>
        <v/>
      </c>
      <c r="H191" s="16">
        <f>IF(A191="","",IFERROR(INDEX('激励事件明细'!$AB$2:$AB$501,IF(D191&lt;&gt;"",MATCH(D191,'激励事件明细'!$A$2:$A$501,0),MATCH(E191,'激励事件明细'!$B$2:$B$501,0))),""))</f>
        <v/>
      </c>
      <c r="I191" s="12" t="n"/>
      <c r="J191" s="13" t="n"/>
      <c r="K191" s="13" t="n"/>
      <c r="L191" s="11" t="n"/>
      <c r="M191" s="14">
        <f>IF(A191="","",IF(D191&lt;&gt;"",SUMIFS($K$2:$K$501,$D$2:$D$501,D191),SUMIFS($K$2:$K$501,$E$2:$E$501,E191)))</f>
        <v/>
      </c>
      <c r="N191" s="14">
        <f>IF(F191="","",MAX(0,F191-M191))</f>
        <v/>
      </c>
      <c r="O191" s="6">
        <f>IF(A191="","",IF(AND(I191&lt;&gt;"",I191&gt;H191),"是",IF(AND(TODAY()&gt;H191,N191&gt;0),"是","否")))</f>
        <v/>
      </c>
      <c r="P191" s="16">
        <f>IF(A191="","",IFERROR(INDEX('激励事件明细'!$P$2:$P$501,IF(D191&lt;&gt;"",MATCH(D191,'激励事件明细'!$A$2:$A$501,0),MATCH(E191,'激励事件明细'!$B$2:$B$501,0))),""))</f>
        <v/>
      </c>
      <c r="Q191" s="6">
        <f>IF(AND(D191="",E191=""),"异常：必须关联事件编号或税额批次",IF(AND(D191&lt;&gt;"",COUNTIF('激励事件明细'!$A$2:$A$501,D191)=0),"异常：事件编号不存在",IF(AND(E191&lt;&gt;"",COUNTIF('激励事件明细'!$B$2:$B$501,E191)=0),"异常：税额批次不存在",IF(M191&gt;F191,"异常：本批次超额缴税",IF(AND(I191&lt;&gt;"",I191&gt;H191),"异常：超过事件截止日",IF(AND(P191&lt;&gt;"",TODAY()&gt;=P191,N191&gt;0),"异常：离职前未缴清","正常"))))))</f>
        <v/>
      </c>
      <c r="R191" s="11" t="n"/>
    </row>
    <row r="192">
      <c r="A192" s="6">
        <f>IF(AND(D192="",E192=""),"",IFERROR(INDEX('激励事件明细'!$C$2:$C$501,IF(D192&lt;&gt;"",MATCH(D192,'激励事件明细'!$A$2:$A$501,0),MATCH(E192,'激励事件明细'!$B$2:$B$501,0))),""))</f>
        <v/>
      </c>
      <c r="B192" s="6">
        <f>IF(A192="","",IFERROR(INDEX('激励事件明细'!$D$2:$D$501,IF(D192&lt;&gt;"",MATCH(D192,'激励事件明细'!$A$2:$A$501,0),MATCH(E192,'激励事件明细'!$B$2:$B$501,0))),""))</f>
        <v/>
      </c>
      <c r="C192" s="6">
        <f>IF(A192="","",IFERROR(INDEX('激励事件明细'!$H$2:$H$501,IF(D192&lt;&gt;"",MATCH(D192,'激励事件明细'!$A$2:$A$501,0),MATCH(E192,'激励事件明细'!$B$2:$B$501,0))),""))</f>
        <v/>
      </c>
      <c r="D192" s="11" t="n"/>
      <c r="E192" s="11" t="n"/>
      <c r="F192" s="14">
        <f>IF(A192="","",IFERROR(INDEX('激励事件明细'!$Z$2:$Z$501,IF(D192&lt;&gt;"",MATCH(D192,'激励事件明细'!$A$2:$A$501,0),MATCH(E192,'激励事件明细'!$B$2:$B$501,0))),""))</f>
        <v/>
      </c>
      <c r="G192" s="16">
        <f>IF(A192="","",IFERROR(INDEX('激励事件明细'!$AA$2:$AA$501,IF(D192&lt;&gt;"",MATCH(D192,'激励事件明细'!$A$2:$A$501,0),MATCH(E192,'激励事件明细'!$B$2:$B$501,0))),""))</f>
        <v/>
      </c>
      <c r="H192" s="16">
        <f>IF(A192="","",IFERROR(INDEX('激励事件明细'!$AB$2:$AB$501,IF(D192&lt;&gt;"",MATCH(D192,'激励事件明细'!$A$2:$A$501,0),MATCH(E192,'激励事件明细'!$B$2:$B$501,0))),""))</f>
        <v/>
      </c>
      <c r="I192" s="12" t="n"/>
      <c r="J192" s="13" t="n"/>
      <c r="K192" s="13" t="n"/>
      <c r="L192" s="11" t="n"/>
      <c r="M192" s="14">
        <f>IF(A192="","",IF(D192&lt;&gt;"",SUMIFS($K$2:$K$501,$D$2:$D$501,D192),SUMIFS($K$2:$K$501,$E$2:$E$501,E192)))</f>
        <v/>
      </c>
      <c r="N192" s="14">
        <f>IF(F192="","",MAX(0,F192-M192))</f>
        <v/>
      </c>
      <c r="O192" s="6">
        <f>IF(A192="","",IF(AND(I192&lt;&gt;"",I192&gt;H192),"是",IF(AND(TODAY()&gt;H192,N192&gt;0),"是","否")))</f>
        <v/>
      </c>
      <c r="P192" s="16">
        <f>IF(A192="","",IFERROR(INDEX('激励事件明细'!$P$2:$P$501,IF(D192&lt;&gt;"",MATCH(D192,'激励事件明细'!$A$2:$A$501,0),MATCH(E192,'激励事件明细'!$B$2:$B$501,0))),""))</f>
        <v/>
      </c>
      <c r="Q192" s="6">
        <f>IF(AND(D192="",E192=""),"异常：必须关联事件编号或税额批次",IF(AND(D192&lt;&gt;"",COUNTIF('激励事件明细'!$A$2:$A$501,D192)=0),"异常：事件编号不存在",IF(AND(E192&lt;&gt;"",COUNTIF('激励事件明细'!$B$2:$B$501,E192)=0),"异常：税额批次不存在",IF(M192&gt;F192,"异常：本批次超额缴税",IF(AND(I192&lt;&gt;"",I192&gt;H192),"异常：超过事件截止日",IF(AND(P192&lt;&gt;"",TODAY()&gt;=P192,N192&gt;0),"异常：离职前未缴清","正常"))))))</f>
        <v/>
      </c>
      <c r="R192" s="11" t="n"/>
    </row>
    <row r="193">
      <c r="A193" s="6">
        <f>IF(AND(D193="",E193=""),"",IFERROR(INDEX('激励事件明细'!$C$2:$C$501,IF(D193&lt;&gt;"",MATCH(D193,'激励事件明细'!$A$2:$A$501,0),MATCH(E193,'激励事件明细'!$B$2:$B$501,0))),""))</f>
        <v/>
      </c>
      <c r="B193" s="6">
        <f>IF(A193="","",IFERROR(INDEX('激励事件明细'!$D$2:$D$501,IF(D193&lt;&gt;"",MATCH(D193,'激励事件明细'!$A$2:$A$501,0),MATCH(E193,'激励事件明细'!$B$2:$B$501,0))),""))</f>
        <v/>
      </c>
      <c r="C193" s="6">
        <f>IF(A193="","",IFERROR(INDEX('激励事件明细'!$H$2:$H$501,IF(D193&lt;&gt;"",MATCH(D193,'激励事件明细'!$A$2:$A$501,0),MATCH(E193,'激励事件明细'!$B$2:$B$501,0))),""))</f>
        <v/>
      </c>
      <c r="D193" s="11" t="n"/>
      <c r="E193" s="11" t="n"/>
      <c r="F193" s="14">
        <f>IF(A193="","",IFERROR(INDEX('激励事件明细'!$Z$2:$Z$501,IF(D193&lt;&gt;"",MATCH(D193,'激励事件明细'!$A$2:$A$501,0),MATCH(E193,'激励事件明细'!$B$2:$B$501,0))),""))</f>
        <v/>
      </c>
      <c r="G193" s="16">
        <f>IF(A193="","",IFERROR(INDEX('激励事件明细'!$AA$2:$AA$501,IF(D193&lt;&gt;"",MATCH(D193,'激励事件明细'!$A$2:$A$501,0),MATCH(E193,'激励事件明细'!$B$2:$B$501,0))),""))</f>
        <v/>
      </c>
      <c r="H193" s="16">
        <f>IF(A193="","",IFERROR(INDEX('激励事件明细'!$AB$2:$AB$501,IF(D193&lt;&gt;"",MATCH(D193,'激励事件明细'!$A$2:$A$501,0),MATCH(E193,'激励事件明细'!$B$2:$B$501,0))),""))</f>
        <v/>
      </c>
      <c r="I193" s="12" t="n"/>
      <c r="J193" s="13" t="n"/>
      <c r="K193" s="13" t="n"/>
      <c r="L193" s="11" t="n"/>
      <c r="M193" s="14">
        <f>IF(A193="","",IF(D193&lt;&gt;"",SUMIFS($K$2:$K$501,$D$2:$D$501,D193),SUMIFS($K$2:$K$501,$E$2:$E$501,E193)))</f>
        <v/>
      </c>
      <c r="N193" s="14">
        <f>IF(F193="","",MAX(0,F193-M193))</f>
        <v/>
      </c>
      <c r="O193" s="6">
        <f>IF(A193="","",IF(AND(I193&lt;&gt;"",I193&gt;H193),"是",IF(AND(TODAY()&gt;H193,N193&gt;0),"是","否")))</f>
        <v/>
      </c>
      <c r="P193" s="16">
        <f>IF(A193="","",IFERROR(INDEX('激励事件明细'!$P$2:$P$501,IF(D193&lt;&gt;"",MATCH(D193,'激励事件明细'!$A$2:$A$501,0),MATCH(E193,'激励事件明细'!$B$2:$B$501,0))),""))</f>
        <v/>
      </c>
      <c r="Q193" s="6">
        <f>IF(AND(D193="",E193=""),"异常：必须关联事件编号或税额批次",IF(AND(D193&lt;&gt;"",COUNTIF('激励事件明细'!$A$2:$A$501,D193)=0),"异常：事件编号不存在",IF(AND(E193&lt;&gt;"",COUNTIF('激励事件明细'!$B$2:$B$501,E193)=0),"异常：税额批次不存在",IF(M193&gt;F193,"异常：本批次超额缴税",IF(AND(I193&lt;&gt;"",I193&gt;H193),"异常：超过事件截止日",IF(AND(P193&lt;&gt;"",TODAY()&gt;=P193,N193&gt;0),"异常：离职前未缴清","正常"))))))</f>
        <v/>
      </c>
      <c r="R193" s="11" t="n"/>
    </row>
    <row r="194">
      <c r="A194" s="6">
        <f>IF(AND(D194="",E194=""),"",IFERROR(INDEX('激励事件明细'!$C$2:$C$501,IF(D194&lt;&gt;"",MATCH(D194,'激励事件明细'!$A$2:$A$501,0),MATCH(E194,'激励事件明细'!$B$2:$B$501,0))),""))</f>
        <v/>
      </c>
      <c r="B194" s="6">
        <f>IF(A194="","",IFERROR(INDEX('激励事件明细'!$D$2:$D$501,IF(D194&lt;&gt;"",MATCH(D194,'激励事件明细'!$A$2:$A$501,0),MATCH(E194,'激励事件明细'!$B$2:$B$501,0))),""))</f>
        <v/>
      </c>
      <c r="C194" s="6">
        <f>IF(A194="","",IFERROR(INDEX('激励事件明细'!$H$2:$H$501,IF(D194&lt;&gt;"",MATCH(D194,'激励事件明细'!$A$2:$A$501,0),MATCH(E194,'激励事件明细'!$B$2:$B$501,0))),""))</f>
        <v/>
      </c>
      <c r="D194" s="11" t="n"/>
      <c r="E194" s="11" t="n"/>
      <c r="F194" s="14">
        <f>IF(A194="","",IFERROR(INDEX('激励事件明细'!$Z$2:$Z$501,IF(D194&lt;&gt;"",MATCH(D194,'激励事件明细'!$A$2:$A$501,0),MATCH(E194,'激励事件明细'!$B$2:$B$501,0))),""))</f>
        <v/>
      </c>
      <c r="G194" s="16">
        <f>IF(A194="","",IFERROR(INDEX('激励事件明细'!$AA$2:$AA$501,IF(D194&lt;&gt;"",MATCH(D194,'激励事件明细'!$A$2:$A$501,0),MATCH(E194,'激励事件明细'!$B$2:$B$501,0))),""))</f>
        <v/>
      </c>
      <c r="H194" s="16">
        <f>IF(A194="","",IFERROR(INDEX('激励事件明细'!$AB$2:$AB$501,IF(D194&lt;&gt;"",MATCH(D194,'激励事件明细'!$A$2:$A$501,0),MATCH(E194,'激励事件明细'!$B$2:$B$501,0))),""))</f>
        <v/>
      </c>
      <c r="I194" s="12" t="n"/>
      <c r="J194" s="13" t="n"/>
      <c r="K194" s="13" t="n"/>
      <c r="L194" s="11" t="n"/>
      <c r="M194" s="14">
        <f>IF(A194="","",IF(D194&lt;&gt;"",SUMIFS($K$2:$K$501,$D$2:$D$501,D194),SUMIFS($K$2:$K$501,$E$2:$E$501,E194)))</f>
        <v/>
      </c>
      <c r="N194" s="14">
        <f>IF(F194="","",MAX(0,F194-M194))</f>
        <v/>
      </c>
      <c r="O194" s="6">
        <f>IF(A194="","",IF(AND(I194&lt;&gt;"",I194&gt;H194),"是",IF(AND(TODAY()&gt;H194,N194&gt;0),"是","否")))</f>
        <v/>
      </c>
      <c r="P194" s="16">
        <f>IF(A194="","",IFERROR(INDEX('激励事件明细'!$P$2:$P$501,IF(D194&lt;&gt;"",MATCH(D194,'激励事件明细'!$A$2:$A$501,0),MATCH(E194,'激励事件明细'!$B$2:$B$501,0))),""))</f>
        <v/>
      </c>
      <c r="Q194" s="6">
        <f>IF(AND(D194="",E194=""),"异常：必须关联事件编号或税额批次",IF(AND(D194&lt;&gt;"",COUNTIF('激励事件明细'!$A$2:$A$501,D194)=0),"异常：事件编号不存在",IF(AND(E194&lt;&gt;"",COUNTIF('激励事件明细'!$B$2:$B$501,E194)=0),"异常：税额批次不存在",IF(M194&gt;F194,"异常：本批次超额缴税",IF(AND(I194&lt;&gt;"",I194&gt;H194),"异常：超过事件截止日",IF(AND(P194&lt;&gt;"",TODAY()&gt;=P194,N194&gt;0),"异常：离职前未缴清","正常"))))))</f>
        <v/>
      </c>
      <c r="R194" s="11" t="n"/>
    </row>
    <row r="195">
      <c r="A195" s="6">
        <f>IF(AND(D195="",E195=""),"",IFERROR(INDEX('激励事件明细'!$C$2:$C$501,IF(D195&lt;&gt;"",MATCH(D195,'激励事件明细'!$A$2:$A$501,0),MATCH(E195,'激励事件明细'!$B$2:$B$501,0))),""))</f>
        <v/>
      </c>
      <c r="B195" s="6">
        <f>IF(A195="","",IFERROR(INDEX('激励事件明细'!$D$2:$D$501,IF(D195&lt;&gt;"",MATCH(D195,'激励事件明细'!$A$2:$A$501,0),MATCH(E195,'激励事件明细'!$B$2:$B$501,0))),""))</f>
        <v/>
      </c>
      <c r="C195" s="6">
        <f>IF(A195="","",IFERROR(INDEX('激励事件明细'!$H$2:$H$501,IF(D195&lt;&gt;"",MATCH(D195,'激励事件明细'!$A$2:$A$501,0),MATCH(E195,'激励事件明细'!$B$2:$B$501,0))),""))</f>
        <v/>
      </c>
      <c r="D195" s="11" t="n"/>
      <c r="E195" s="11" t="n"/>
      <c r="F195" s="14">
        <f>IF(A195="","",IFERROR(INDEX('激励事件明细'!$Z$2:$Z$501,IF(D195&lt;&gt;"",MATCH(D195,'激励事件明细'!$A$2:$A$501,0),MATCH(E195,'激励事件明细'!$B$2:$B$501,0))),""))</f>
        <v/>
      </c>
      <c r="G195" s="16">
        <f>IF(A195="","",IFERROR(INDEX('激励事件明细'!$AA$2:$AA$501,IF(D195&lt;&gt;"",MATCH(D195,'激励事件明细'!$A$2:$A$501,0),MATCH(E195,'激励事件明细'!$B$2:$B$501,0))),""))</f>
        <v/>
      </c>
      <c r="H195" s="16">
        <f>IF(A195="","",IFERROR(INDEX('激励事件明细'!$AB$2:$AB$501,IF(D195&lt;&gt;"",MATCH(D195,'激励事件明细'!$A$2:$A$501,0),MATCH(E195,'激励事件明细'!$B$2:$B$501,0))),""))</f>
        <v/>
      </c>
      <c r="I195" s="12" t="n"/>
      <c r="J195" s="13" t="n"/>
      <c r="K195" s="13" t="n"/>
      <c r="L195" s="11" t="n"/>
      <c r="M195" s="14">
        <f>IF(A195="","",IF(D195&lt;&gt;"",SUMIFS($K$2:$K$501,$D$2:$D$501,D195),SUMIFS($K$2:$K$501,$E$2:$E$501,E195)))</f>
        <v/>
      </c>
      <c r="N195" s="14">
        <f>IF(F195="","",MAX(0,F195-M195))</f>
        <v/>
      </c>
      <c r="O195" s="6">
        <f>IF(A195="","",IF(AND(I195&lt;&gt;"",I195&gt;H195),"是",IF(AND(TODAY()&gt;H195,N195&gt;0),"是","否")))</f>
        <v/>
      </c>
      <c r="P195" s="16">
        <f>IF(A195="","",IFERROR(INDEX('激励事件明细'!$P$2:$P$501,IF(D195&lt;&gt;"",MATCH(D195,'激励事件明细'!$A$2:$A$501,0),MATCH(E195,'激励事件明细'!$B$2:$B$501,0))),""))</f>
        <v/>
      </c>
      <c r="Q195" s="6">
        <f>IF(AND(D195="",E195=""),"异常：必须关联事件编号或税额批次",IF(AND(D195&lt;&gt;"",COUNTIF('激励事件明细'!$A$2:$A$501,D195)=0),"异常：事件编号不存在",IF(AND(E195&lt;&gt;"",COUNTIF('激励事件明细'!$B$2:$B$501,E195)=0),"异常：税额批次不存在",IF(M195&gt;F195,"异常：本批次超额缴税",IF(AND(I195&lt;&gt;"",I195&gt;H195),"异常：超过事件截止日",IF(AND(P195&lt;&gt;"",TODAY()&gt;=P195,N195&gt;0),"异常：离职前未缴清","正常"))))))</f>
        <v/>
      </c>
      <c r="R195" s="11" t="n"/>
    </row>
    <row r="196">
      <c r="A196" s="6">
        <f>IF(AND(D196="",E196=""),"",IFERROR(INDEX('激励事件明细'!$C$2:$C$501,IF(D196&lt;&gt;"",MATCH(D196,'激励事件明细'!$A$2:$A$501,0),MATCH(E196,'激励事件明细'!$B$2:$B$501,0))),""))</f>
        <v/>
      </c>
      <c r="B196" s="6">
        <f>IF(A196="","",IFERROR(INDEX('激励事件明细'!$D$2:$D$501,IF(D196&lt;&gt;"",MATCH(D196,'激励事件明细'!$A$2:$A$501,0),MATCH(E196,'激励事件明细'!$B$2:$B$501,0))),""))</f>
        <v/>
      </c>
      <c r="C196" s="6">
        <f>IF(A196="","",IFERROR(INDEX('激励事件明细'!$H$2:$H$501,IF(D196&lt;&gt;"",MATCH(D196,'激励事件明细'!$A$2:$A$501,0),MATCH(E196,'激励事件明细'!$B$2:$B$501,0))),""))</f>
        <v/>
      </c>
      <c r="D196" s="11" t="n"/>
      <c r="E196" s="11" t="n"/>
      <c r="F196" s="14">
        <f>IF(A196="","",IFERROR(INDEX('激励事件明细'!$Z$2:$Z$501,IF(D196&lt;&gt;"",MATCH(D196,'激励事件明细'!$A$2:$A$501,0),MATCH(E196,'激励事件明细'!$B$2:$B$501,0))),""))</f>
        <v/>
      </c>
      <c r="G196" s="16">
        <f>IF(A196="","",IFERROR(INDEX('激励事件明细'!$AA$2:$AA$501,IF(D196&lt;&gt;"",MATCH(D196,'激励事件明细'!$A$2:$A$501,0),MATCH(E196,'激励事件明细'!$B$2:$B$501,0))),""))</f>
        <v/>
      </c>
      <c r="H196" s="16">
        <f>IF(A196="","",IFERROR(INDEX('激励事件明细'!$AB$2:$AB$501,IF(D196&lt;&gt;"",MATCH(D196,'激励事件明细'!$A$2:$A$501,0),MATCH(E196,'激励事件明细'!$B$2:$B$501,0))),""))</f>
        <v/>
      </c>
      <c r="I196" s="12" t="n"/>
      <c r="J196" s="13" t="n"/>
      <c r="K196" s="13" t="n"/>
      <c r="L196" s="11" t="n"/>
      <c r="M196" s="14">
        <f>IF(A196="","",IF(D196&lt;&gt;"",SUMIFS($K$2:$K$501,$D$2:$D$501,D196),SUMIFS($K$2:$K$501,$E$2:$E$501,E196)))</f>
        <v/>
      </c>
      <c r="N196" s="14">
        <f>IF(F196="","",MAX(0,F196-M196))</f>
        <v/>
      </c>
      <c r="O196" s="6">
        <f>IF(A196="","",IF(AND(I196&lt;&gt;"",I196&gt;H196),"是",IF(AND(TODAY()&gt;H196,N196&gt;0),"是","否")))</f>
        <v/>
      </c>
      <c r="P196" s="16">
        <f>IF(A196="","",IFERROR(INDEX('激励事件明细'!$P$2:$P$501,IF(D196&lt;&gt;"",MATCH(D196,'激励事件明细'!$A$2:$A$501,0),MATCH(E196,'激励事件明细'!$B$2:$B$501,0))),""))</f>
        <v/>
      </c>
      <c r="Q196" s="6">
        <f>IF(AND(D196="",E196=""),"异常：必须关联事件编号或税额批次",IF(AND(D196&lt;&gt;"",COUNTIF('激励事件明细'!$A$2:$A$501,D196)=0),"异常：事件编号不存在",IF(AND(E196&lt;&gt;"",COUNTIF('激励事件明细'!$B$2:$B$501,E196)=0),"异常：税额批次不存在",IF(M196&gt;F196,"异常：本批次超额缴税",IF(AND(I196&lt;&gt;"",I196&gt;H196),"异常：超过事件截止日",IF(AND(P196&lt;&gt;"",TODAY()&gt;=P196,N196&gt;0),"异常：离职前未缴清","正常"))))))</f>
        <v/>
      </c>
      <c r="R196" s="11" t="n"/>
    </row>
    <row r="197">
      <c r="A197" s="6">
        <f>IF(AND(D197="",E197=""),"",IFERROR(INDEX('激励事件明细'!$C$2:$C$501,IF(D197&lt;&gt;"",MATCH(D197,'激励事件明细'!$A$2:$A$501,0),MATCH(E197,'激励事件明细'!$B$2:$B$501,0))),""))</f>
        <v/>
      </c>
      <c r="B197" s="6">
        <f>IF(A197="","",IFERROR(INDEX('激励事件明细'!$D$2:$D$501,IF(D197&lt;&gt;"",MATCH(D197,'激励事件明细'!$A$2:$A$501,0),MATCH(E197,'激励事件明细'!$B$2:$B$501,0))),""))</f>
        <v/>
      </c>
      <c r="C197" s="6">
        <f>IF(A197="","",IFERROR(INDEX('激励事件明细'!$H$2:$H$501,IF(D197&lt;&gt;"",MATCH(D197,'激励事件明细'!$A$2:$A$501,0),MATCH(E197,'激励事件明细'!$B$2:$B$501,0))),""))</f>
        <v/>
      </c>
      <c r="D197" s="11" t="n"/>
      <c r="E197" s="11" t="n"/>
      <c r="F197" s="14">
        <f>IF(A197="","",IFERROR(INDEX('激励事件明细'!$Z$2:$Z$501,IF(D197&lt;&gt;"",MATCH(D197,'激励事件明细'!$A$2:$A$501,0),MATCH(E197,'激励事件明细'!$B$2:$B$501,0))),""))</f>
        <v/>
      </c>
      <c r="G197" s="16">
        <f>IF(A197="","",IFERROR(INDEX('激励事件明细'!$AA$2:$AA$501,IF(D197&lt;&gt;"",MATCH(D197,'激励事件明细'!$A$2:$A$501,0),MATCH(E197,'激励事件明细'!$B$2:$B$501,0))),""))</f>
        <v/>
      </c>
      <c r="H197" s="16">
        <f>IF(A197="","",IFERROR(INDEX('激励事件明细'!$AB$2:$AB$501,IF(D197&lt;&gt;"",MATCH(D197,'激励事件明细'!$A$2:$A$501,0),MATCH(E197,'激励事件明细'!$B$2:$B$501,0))),""))</f>
        <v/>
      </c>
      <c r="I197" s="12" t="n"/>
      <c r="J197" s="13" t="n"/>
      <c r="K197" s="13" t="n"/>
      <c r="L197" s="11" t="n"/>
      <c r="M197" s="14">
        <f>IF(A197="","",IF(D197&lt;&gt;"",SUMIFS($K$2:$K$501,$D$2:$D$501,D197),SUMIFS($K$2:$K$501,$E$2:$E$501,E197)))</f>
        <v/>
      </c>
      <c r="N197" s="14">
        <f>IF(F197="","",MAX(0,F197-M197))</f>
        <v/>
      </c>
      <c r="O197" s="6">
        <f>IF(A197="","",IF(AND(I197&lt;&gt;"",I197&gt;H197),"是",IF(AND(TODAY()&gt;H197,N197&gt;0),"是","否")))</f>
        <v/>
      </c>
      <c r="P197" s="16">
        <f>IF(A197="","",IFERROR(INDEX('激励事件明细'!$P$2:$P$501,IF(D197&lt;&gt;"",MATCH(D197,'激励事件明细'!$A$2:$A$501,0),MATCH(E197,'激励事件明细'!$B$2:$B$501,0))),""))</f>
        <v/>
      </c>
      <c r="Q197" s="6">
        <f>IF(AND(D197="",E197=""),"异常：必须关联事件编号或税额批次",IF(AND(D197&lt;&gt;"",COUNTIF('激励事件明细'!$A$2:$A$501,D197)=0),"异常：事件编号不存在",IF(AND(E197&lt;&gt;"",COUNTIF('激励事件明细'!$B$2:$B$501,E197)=0),"异常：税额批次不存在",IF(M197&gt;F197,"异常：本批次超额缴税",IF(AND(I197&lt;&gt;"",I197&gt;H197),"异常：超过事件截止日",IF(AND(P197&lt;&gt;"",TODAY()&gt;=P197,N197&gt;0),"异常：离职前未缴清","正常"))))))</f>
        <v/>
      </c>
      <c r="R197" s="11" t="n"/>
    </row>
    <row r="198">
      <c r="A198" s="6">
        <f>IF(AND(D198="",E198=""),"",IFERROR(INDEX('激励事件明细'!$C$2:$C$501,IF(D198&lt;&gt;"",MATCH(D198,'激励事件明细'!$A$2:$A$501,0),MATCH(E198,'激励事件明细'!$B$2:$B$501,0))),""))</f>
        <v/>
      </c>
      <c r="B198" s="6">
        <f>IF(A198="","",IFERROR(INDEX('激励事件明细'!$D$2:$D$501,IF(D198&lt;&gt;"",MATCH(D198,'激励事件明细'!$A$2:$A$501,0),MATCH(E198,'激励事件明细'!$B$2:$B$501,0))),""))</f>
        <v/>
      </c>
      <c r="C198" s="6">
        <f>IF(A198="","",IFERROR(INDEX('激励事件明细'!$H$2:$H$501,IF(D198&lt;&gt;"",MATCH(D198,'激励事件明细'!$A$2:$A$501,0),MATCH(E198,'激励事件明细'!$B$2:$B$501,0))),""))</f>
        <v/>
      </c>
      <c r="D198" s="11" t="n"/>
      <c r="E198" s="11" t="n"/>
      <c r="F198" s="14">
        <f>IF(A198="","",IFERROR(INDEX('激励事件明细'!$Z$2:$Z$501,IF(D198&lt;&gt;"",MATCH(D198,'激励事件明细'!$A$2:$A$501,0),MATCH(E198,'激励事件明细'!$B$2:$B$501,0))),""))</f>
        <v/>
      </c>
      <c r="G198" s="16">
        <f>IF(A198="","",IFERROR(INDEX('激励事件明细'!$AA$2:$AA$501,IF(D198&lt;&gt;"",MATCH(D198,'激励事件明细'!$A$2:$A$501,0),MATCH(E198,'激励事件明细'!$B$2:$B$501,0))),""))</f>
        <v/>
      </c>
      <c r="H198" s="16">
        <f>IF(A198="","",IFERROR(INDEX('激励事件明细'!$AB$2:$AB$501,IF(D198&lt;&gt;"",MATCH(D198,'激励事件明细'!$A$2:$A$501,0),MATCH(E198,'激励事件明细'!$B$2:$B$501,0))),""))</f>
        <v/>
      </c>
      <c r="I198" s="12" t="n"/>
      <c r="J198" s="13" t="n"/>
      <c r="K198" s="13" t="n"/>
      <c r="L198" s="11" t="n"/>
      <c r="M198" s="14">
        <f>IF(A198="","",IF(D198&lt;&gt;"",SUMIFS($K$2:$K$501,$D$2:$D$501,D198),SUMIFS($K$2:$K$501,$E$2:$E$501,E198)))</f>
        <v/>
      </c>
      <c r="N198" s="14">
        <f>IF(F198="","",MAX(0,F198-M198))</f>
        <v/>
      </c>
      <c r="O198" s="6">
        <f>IF(A198="","",IF(AND(I198&lt;&gt;"",I198&gt;H198),"是",IF(AND(TODAY()&gt;H198,N198&gt;0),"是","否")))</f>
        <v/>
      </c>
      <c r="P198" s="16">
        <f>IF(A198="","",IFERROR(INDEX('激励事件明细'!$P$2:$P$501,IF(D198&lt;&gt;"",MATCH(D198,'激励事件明细'!$A$2:$A$501,0),MATCH(E198,'激励事件明细'!$B$2:$B$501,0))),""))</f>
        <v/>
      </c>
      <c r="Q198" s="6">
        <f>IF(AND(D198="",E198=""),"异常：必须关联事件编号或税额批次",IF(AND(D198&lt;&gt;"",COUNTIF('激励事件明细'!$A$2:$A$501,D198)=0),"异常：事件编号不存在",IF(AND(E198&lt;&gt;"",COUNTIF('激励事件明细'!$B$2:$B$501,E198)=0),"异常：税额批次不存在",IF(M198&gt;F198,"异常：本批次超额缴税",IF(AND(I198&lt;&gt;"",I198&gt;H198),"异常：超过事件截止日",IF(AND(P198&lt;&gt;"",TODAY()&gt;=P198,N198&gt;0),"异常：离职前未缴清","正常"))))))</f>
        <v/>
      </c>
      <c r="R198" s="11" t="n"/>
    </row>
    <row r="199">
      <c r="A199" s="6">
        <f>IF(AND(D199="",E199=""),"",IFERROR(INDEX('激励事件明细'!$C$2:$C$501,IF(D199&lt;&gt;"",MATCH(D199,'激励事件明细'!$A$2:$A$501,0),MATCH(E199,'激励事件明细'!$B$2:$B$501,0))),""))</f>
        <v/>
      </c>
      <c r="B199" s="6">
        <f>IF(A199="","",IFERROR(INDEX('激励事件明细'!$D$2:$D$501,IF(D199&lt;&gt;"",MATCH(D199,'激励事件明细'!$A$2:$A$501,0),MATCH(E199,'激励事件明细'!$B$2:$B$501,0))),""))</f>
        <v/>
      </c>
      <c r="C199" s="6">
        <f>IF(A199="","",IFERROR(INDEX('激励事件明细'!$H$2:$H$501,IF(D199&lt;&gt;"",MATCH(D199,'激励事件明细'!$A$2:$A$501,0),MATCH(E199,'激励事件明细'!$B$2:$B$501,0))),""))</f>
        <v/>
      </c>
      <c r="D199" s="11" t="n"/>
      <c r="E199" s="11" t="n"/>
      <c r="F199" s="14">
        <f>IF(A199="","",IFERROR(INDEX('激励事件明细'!$Z$2:$Z$501,IF(D199&lt;&gt;"",MATCH(D199,'激励事件明细'!$A$2:$A$501,0),MATCH(E199,'激励事件明细'!$B$2:$B$501,0))),""))</f>
        <v/>
      </c>
      <c r="G199" s="16">
        <f>IF(A199="","",IFERROR(INDEX('激励事件明细'!$AA$2:$AA$501,IF(D199&lt;&gt;"",MATCH(D199,'激励事件明细'!$A$2:$A$501,0),MATCH(E199,'激励事件明细'!$B$2:$B$501,0))),""))</f>
        <v/>
      </c>
      <c r="H199" s="16">
        <f>IF(A199="","",IFERROR(INDEX('激励事件明细'!$AB$2:$AB$501,IF(D199&lt;&gt;"",MATCH(D199,'激励事件明细'!$A$2:$A$501,0),MATCH(E199,'激励事件明细'!$B$2:$B$501,0))),""))</f>
        <v/>
      </c>
      <c r="I199" s="12" t="n"/>
      <c r="J199" s="13" t="n"/>
      <c r="K199" s="13" t="n"/>
      <c r="L199" s="11" t="n"/>
      <c r="M199" s="14">
        <f>IF(A199="","",IF(D199&lt;&gt;"",SUMIFS($K$2:$K$501,$D$2:$D$501,D199),SUMIFS($K$2:$K$501,$E$2:$E$501,E199)))</f>
        <v/>
      </c>
      <c r="N199" s="14">
        <f>IF(F199="","",MAX(0,F199-M199))</f>
        <v/>
      </c>
      <c r="O199" s="6">
        <f>IF(A199="","",IF(AND(I199&lt;&gt;"",I199&gt;H199),"是",IF(AND(TODAY()&gt;H199,N199&gt;0),"是","否")))</f>
        <v/>
      </c>
      <c r="P199" s="16">
        <f>IF(A199="","",IFERROR(INDEX('激励事件明细'!$P$2:$P$501,IF(D199&lt;&gt;"",MATCH(D199,'激励事件明细'!$A$2:$A$501,0),MATCH(E199,'激励事件明细'!$B$2:$B$501,0))),""))</f>
        <v/>
      </c>
      <c r="Q199" s="6">
        <f>IF(AND(D199="",E199=""),"异常：必须关联事件编号或税额批次",IF(AND(D199&lt;&gt;"",COUNTIF('激励事件明细'!$A$2:$A$501,D199)=0),"异常：事件编号不存在",IF(AND(E199&lt;&gt;"",COUNTIF('激励事件明细'!$B$2:$B$501,E199)=0),"异常：税额批次不存在",IF(M199&gt;F199,"异常：本批次超额缴税",IF(AND(I199&lt;&gt;"",I199&gt;H199),"异常：超过事件截止日",IF(AND(P199&lt;&gt;"",TODAY()&gt;=P199,N199&gt;0),"异常：离职前未缴清","正常"))))))</f>
        <v/>
      </c>
      <c r="R199" s="11" t="n"/>
    </row>
    <row r="200">
      <c r="A200" s="6">
        <f>IF(AND(D200="",E200=""),"",IFERROR(INDEX('激励事件明细'!$C$2:$C$501,IF(D200&lt;&gt;"",MATCH(D200,'激励事件明细'!$A$2:$A$501,0),MATCH(E200,'激励事件明细'!$B$2:$B$501,0))),""))</f>
        <v/>
      </c>
      <c r="B200" s="6">
        <f>IF(A200="","",IFERROR(INDEX('激励事件明细'!$D$2:$D$501,IF(D200&lt;&gt;"",MATCH(D200,'激励事件明细'!$A$2:$A$501,0),MATCH(E200,'激励事件明细'!$B$2:$B$501,0))),""))</f>
        <v/>
      </c>
      <c r="C200" s="6">
        <f>IF(A200="","",IFERROR(INDEX('激励事件明细'!$H$2:$H$501,IF(D200&lt;&gt;"",MATCH(D200,'激励事件明细'!$A$2:$A$501,0),MATCH(E200,'激励事件明细'!$B$2:$B$501,0))),""))</f>
        <v/>
      </c>
      <c r="D200" s="11" t="n"/>
      <c r="E200" s="11" t="n"/>
      <c r="F200" s="14">
        <f>IF(A200="","",IFERROR(INDEX('激励事件明细'!$Z$2:$Z$501,IF(D200&lt;&gt;"",MATCH(D200,'激励事件明细'!$A$2:$A$501,0),MATCH(E200,'激励事件明细'!$B$2:$B$501,0))),""))</f>
        <v/>
      </c>
      <c r="G200" s="16">
        <f>IF(A200="","",IFERROR(INDEX('激励事件明细'!$AA$2:$AA$501,IF(D200&lt;&gt;"",MATCH(D200,'激励事件明细'!$A$2:$A$501,0),MATCH(E200,'激励事件明细'!$B$2:$B$501,0))),""))</f>
        <v/>
      </c>
      <c r="H200" s="16">
        <f>IF(A200="","",IFERROR(INDEX('激励事件明细'!$AB$2:$AB$501,IF(D200&lt;&gt;"",MATCH(D200,'激励事件明细'!$A$2:$A$501,0),MATCH(E200,'激励事件明细'!$B$2:$B$501,0))),""))</f>
        <v/>
      </c>
      <c r="I200" s="12" t="n"/>
      <c r="J200" s="13" t="n"/>
      <c r="K200" s="13" t="n"/>
      <c r="L200" s="11" t="n"/>
      <c r="M200" s="14">
        <f>IF(A200="","",IF(D200&lt;&gt;"",SUMIFS($K$2:$K$501,$D$2:$D$501,D200),SUMIFS($K$2:$K$501,$E$2:$E$501,E200)))</f>
        <v/>
      </c>
      <c r="N200" s="14">
        <f>IF(F200="","",MAX(0,F200-M200))</f>
        <v/>
      </c>
      <c r="O200" s="6">
        <f>IF(A200="","",IF(AND(I200&lt;&gt;"",I200&gt;H200),"是",IF(AND(TODAY()&gt;H200,N200&gt;0),"是","否")))</f>
        <v/>
      </c>
      <c r="P200" s="16">
        <f>IF(A200="","",IFERROR(INDEX('激励事件明细'!$P$2:$P$501,IF(D200&lt;&gt;"",MATCH(D200,'激励事件明细'!$A$2:$A$501,0),MATCH(E200,'激励事件明细'!$B$2:$B$501,0))),""))</f>
        <v/>
      </c>
      <c r="Q200" s="6">
        <f>IF(AND(D200="",E200=""),"异常：必须关联事件编号或税额批次",IF(AND(D200&lt;&gt;"",COUNTIF('激励事件明细'!$A$2:$A$501,D200)=0),"异常：事件编号不存在",IF(AND(E200&lt;&gt;"",COUNTIF('激励事件明细'!$B$2:$B$501,E200)=0),"异常：税额批次不存在",IF(M200&gt;F200,"异常：本批次超额缴税",IF(AND(I200&lt;&gt;"",I200&gt;H200),"异常：超过事件截止日",IF(AND(P200&lt;&gt;"",TODAY()&gt;=P200,N200&gt;0),"异常：离职前未缴清","正常"))))))</f>
        <v/>
      </c>
      <c r="R200" s="11" t="n"/>
    </row>
    <row r="201">
      <c r="A201" s="6">
        <f>IF(AND(D201="",E201=""),"",IFERROR(INDEX('激励事件明细'!$C$2:$C$501,IF(D201&lt;&gt;"",MATCH(D201,'激励事件明细'!$A$2:$A$501,0),MATCH(E201,'激励事件明细'!$B$2:$B$501,0))),""))</f>
        <v/>
      </c>
      <c r="B201" s="6">
        <f>IF(A201="","",IFERROR(INDEX('激励事件明细'!$D$2:$D$501,IF(D201&lt;&gt;"",MATCH(D201,'激励事件明细'!$A$2:$A$501,0),MATCH(E201,'激励事件明细'!$B$2:$B$501,0))),""))</f>
        <v/>
      </c>
      <c r="C201" s="6">
        <f>IF(A201="","",IFERROR(INDEX('激励事件明细'!$H$2:$H$501,IF(D201&lt;&gt;"",MATCH(D201,'激励事件明细'!$A$2:$A$501,0),MATCH(E201,'激励事件明细'!$B$2:$B$501,0))),""))</f>
        <v/>
      </c>
      <c r="D201" s="11" t="n"/>
      <c r="E201" s="11" t="n"/>
      <c r="F201" s="14">
        <f>IF(A201="","",IFERROR(INDEX('激励事件明细'!$Z$2:$Z$501,IF(D201&lt;&gt;"",MATCH(D201,'激励事件明细'!$A$2:$A$501,0),MATCH(E201,'激励事件明细'!$B$2:$B$501,0))),""))</f>
        <v/>
      </c>
      <c r="G201" s="16">
        <f>IF(A201="","",IFERROR(INDEX('激励事件明细'!$AA$2:$AA$501,IF(D201&lt;&gt;"",MATCH(D201,'激励事件明细'!$A$2:$A$501,0),MATCH(E201,'激励事件明细'!$B$2:$B$501,0))),""))</f>
        <v/>
      </c>
      <c r="H201" s="16">
        <f>IF(A201="","",IFERROR(INDEX('激励事件明细'!$AB$2:$AB$501,IF(D201&lt;&gt;"",MATCH(D201,'激励事件明细'!$A$2:$A$501,0),MATCH(E201,'激励事件明细'!$B$2:$B$501,0))),""))</f>
        <v/>
      </c>
      <c r="I201" s="12" t="n"/>
      <c r="J201" s="13" t="n"/>
      <c r="K201" s="13" t="n"/>
      <c r="L201" s="11" t="n"/>
      <c r="M201" s="14">
        <f>IF(A201="","",IF(D201&lt;&gt;"",SUMIFS($K$2:$K$501,$D$2:$D$501,D201),SUMIFS($K$2:$K$501,$E$2:$E$501,E201)))</f>
        <v/>
      </c>
      <c r="N201" s="14">
        <f>IF(F201="","",MAX(0,F201-M201))</f>
        <v/>
      </c>
      <c r="O201" s="6">
        <f>IF(A201="","",IF(AND(I201&lt;&gt;"",I201&gt;H201),"是",IF(AND(TODAY()&gt;H201,N201&gt;0),"是","否")))</f>
        <v/>
      </c>
      <c r="P201" s="16">
        <f>IF(A201="","",IFERROR(INDEX('激励事件明细'!$P$2:$P$501,IF(D201&lt;&gt;"",MATCH(D201,'激励事件明细'!$A$2:$A$501,0),MATCH(E201,'激励事件明细'!$B$2:$B$501,0))),""))</f>
        <v/>
      </c>
      <c r="Q201" s="6">
        <f>IF(AND(D201="",E201=""),"异常：必须关联事件编号或税额批次",IF(AND(D201&lt;&gt;"",COUNTIF('激励事件明细'!$A$2:$A$501,D201)=0),"异常：事件编号不存在",IF(AND(E201&lt;&gt;"",COUNTIF('激励事件明细'!$B$2:$B$501,E201)=0),"异常：税额批次不存在",IF(M201&gt;F201,"异常：本批次超额缴税",IF(AND(I201&lt;&gt;"",I201&gt;H201),"异常：超过事件截止日",IF(AND(P201&lt;&gt;"",TODAY()&gt;=P201,N201&gt;0),"异常：离职前未缴清","正常"))))))</f>
        <v/>
      </c>
      <c r="R201" s="11" t="n"/>
    </row>
    <row r="202">
      <c r="A202" s="6">
        <f>IF(AND(D202="",E202=""),"",IFERROR(INDEX('激励事件明细'!$C$2:$C$501,IF(D202&lt;&gt;"",MATCH(D202,'激励事件明细'!$A$2:$A$501,0),MATCH(E202,'激励事件明细'!$B$2:$B$501,0))),""))</f>
        <v/>
      </c>
      <c r="B202" s="6">
        <f>IF(A202="","",IFERROR(INDEX('激励事件明细'!$D$2:$D$501,IF(D202&lt;&gt;"",MATCH(D202,'激励事件明细'!$A$2:$A$501,0),MATCH(E202,'激励事件明细'!$B$2:$B$501,0))),""))</f>
        <v/>
      </c>
      <c r="C202" s="6">
        <f>IF(A202="","",IFERROR(INDEX('激励事件明细'!$H$2:$H$501,IF(D202&lt;&gt;"",MATCH(D202,'激励事件明细'!$A$2:$A$501,0),MATCH(E202,'激励事件明细'!$B$2:$B$501,0))),""))</f>
        <v/>
      </c>
      <c r="D202" s="11" t="n"/>
      <c r="E202" s="11" t="n"/>
      <c r="F202" s="14">
        <f>IF(A202="","",IFERROR(INDEX('激励事件明细'!$Z$2:$Z$501,IF(D202&lt;&gt;"",MATCH(D202,'激励事件明细'!$A$2:$A$501,0),MATCH(E202,'激励事件明细'!$B$2:$B$501,0))),""))</f>
        <v/>
      </c>
      <c r="G202" s="16">
        <f>IF(A202="","",IFERROR(INDEX('激励事件明细'!$AA$2:$AA$501,IF(D202&lt;&gt;"",MATCH(D202,'激励事件明细'!$A$2:$A$501,0),MATCH(E202,'激励事件明细'!$B$2:$B$501,0))),""))</f>
        <v/>
      </c>
      <c r="H202" s="16">
        <f>IF(A202="","",IFERROR(INDEX('激励事件明细'!$AB$2:$AB$501,IF(D202&lt;&gt;"",MATCH(D202,'激励事件明细'!$A$2:$A$501,0),MATCH(E202,'激励事件明细'!$B$2:$B$501,0))),""))</f>
        <v/>
      </c>
      <c r="I202" s="12" t="n"/>
      <c r="J202" s="13" t="n"/>
      <c r="K202" s="13" t="n"/>
      <c r="L202" s="11" t="n"/>
      <c r="M202" s="14">
        <f>IF(A202="","",IF(D202&lt;&gt;"",SUMIFS($K$2:$K$501,$D$2:$D$501,D202),SUMIFS($K$2:$K$501,$E$2:$E$501,E202)))</f>
        <v/>
      </c>
      <c r="N202" s="14">
        <f>IF(F202="","",MAX(0,F202-M202))</f>
        <v/>
      </c>
      <c r="O202" s="6">
        <f>IF(A202="","",IF(AND(I202&lt;&gt;"",I202&gt;H202),"是",IF(AND(TODAY()&gt;H202,N202&gt;0),"是","否")))</f>
        <v/>
      </c>
      <c r="P202" s="16">
        <f>IF(A202="","",IFERROR(INDEX('激励事件明细'!$P$2:$P$501,IF(D202&lt;&gt;"",MATCH(D202,'激励事件明细'!$A$2:$A$501,0),MATCH(E202,'激励事件明细'!$B$2:$B$501,0))),""))</f>
        <v/>
      </c>
      <c r="Q202" s="6">
        <f>IF(AND(D202="",E202=""),"异常：必须关联事件编号或税额批次",IF(AND(D202&lt;&gt;"",COUNTIF('激励事件明细'!$A$2:$A$501,D202)=0),"异常：事件编号不存在",IF(AND(E202&lt;&gt;"",COUNTIF('激励事件明细'!$B$2:$B$501,E202)=0),"异常：税额批次不存在",IF(M202&gt;F202,"异常：本批次超额缴税",IF(AND(I202&lt;&gt;"",I202&gt;H202),"异常：超过事件截止日",IF(AND(P202&lt;&gt;"",TODAY()&gt;=P202,N202&gt;0),"异常：离职前未缴清","正常"))))))</f>
        <v/>
      </c>
      <c r="R202" s="11" t="n"/>
    </row>
    <row r="203">
      <c r="A203" s="6">
        <f>IF(AND(D203="",E203=""),"",IFERROR(INDEX('激励事件明细'!$C$2:$C$501,IF(D203&lt;&gt;"",MATCH(D203,'激励事件明细'!$A$2:$A$501,0),MATCH(E203,'激励事件明细'!$B$2:$B$501,0))),""))</f>
        <v/>
      </c>
      <c r="B203" s="6">
        <f>IF(A203="","",IFERROR(INDEX('激励事件明细'!$D$2:$D$501,IF(D203&lt;&gt;"",MATCH(D203,'激励事件明细'!$A$2:$A$501,0),MATCH(E203,'激励事件明细'!$B$2:$B$501,0))),""))</f>
        <v/>
      </c>
      <c r="C203" s="6">
        <f>IF(A203="","",IFERROR(INDEX('激励事件明细'!$H$2:$H$501,IF(D203&lt;&gt;"",MATCH(D203,'激励事件明细'!$A$2:$A$501,0),MATCH(E203,'激励事件明细'!$B$2:$B$501,0))),""))</f>
        <v/>
      </c>
      <c r="D203" s="11" t="n"/>
      <c r="E203" s="11" t="n"/>
      <c r="F203" s="14">
        <f>IF(A203="","",IFERROR(INDEX('激励事件明细'!$Z$2:$Z$501,IF(D203&lt;&gt;"",MATCH(D203,'激励事件明细'!$A$2:$A$501,0),MATCH(E203,'激励事件明细'!$B$2:$B$501,0))),""))</f>
        <v/>
      </c>
      <c r="G203" s="16">
        <f>IF(A203="","",IFERROR(INDEX('激励事件明细'!$AA$2:$AA$501,IF(D203&lt;&gt;"",MATCH(D203,'激励事件明细'!$A$2:$A$501,0),MATCH(E203,'激励事件明细'!$B$2:$B$501,0))),""))</f>
        <v/>
      </c>
      <c r="H203" s="16">
        <f>IF(A203="","",IFERROR(INDEX('激励事件明细'!$AB$2:$AB$501,IF(D203&lt;&gt;"",MATCH(D203,'激励事件明细'!$A$2:$A$501,0),MATCH(E203,'激励事件明细'!$B$2:$B$501,0))),""))</f>
        <v/>
      </c>
      <c r="I203" s="12" t="n"/>
      <c r="J203" s="13" t="n"/>
      <c r="K203" s="13" t="n"/>
      <c r="L203" s="11" t="n"/>
      <c r="M203" s="14">
        <f>IF(A203="","",IF(D203&lt;&gt;"",SUMIFS($K$2:$K$501,$D$2:$D$501,D203),SUMIFS($K$2:$K$501,$E$2:$E$501,E203)))</f>
        <v/>
      </c>
      <c r="N203" s="14">
        <f>IF(F203="","",MAX(0,F203-M203))</f>
        <v/>
      </c>
      <c r="O203" s="6">
        <f>IF(A203="","",IF(AND(I203&lt;&gt;"",I203&gt;H203),"是",IF(AND(TODAY()&gt;H203,N203&gt;0),"是","否")))</f>
        <v/>
      </c>
      <c r="P203" s="16">
        <f>IF(A203="","",IFERROR(INDEX('激励事件明细'!$P$2:$P$501,IF(D203&lt;&gt;"",MATCH(D203,'激励事件明细'!$A$2:$A$501,0),MATCH(E203,'激励事件明细'!$B$2:$B$501,0))),""))</f>
        <v/>
      </c>
      <c r="Q203" s="6">
        <f>IF(AND(D203="",E203=""),"异常：必须关联事件编号或税额批次",IF(AND(D203&lt;&gt;"",COUNTIF('激励事件明细'!$A$2:$A$501,D203)=0),"异常：事件编号不存在",IF(AND(E203&lt;&gt;"",COUNTIF('激励事件明细'!$B$2:$B$501,E203)=0),"异常：税额批次不存在",IF(M203&gt;F203,"异常：本批次超额缴税",IF(AND(I203&lt;&gt;"",I203&gt;H203),"异常：超过事件截止日",IF(AND(P203&lt;&gt;"",TODAY()&gt;=P203,N203&gt;0),"异常：离职前未缴清","正常"))))))</f>
        <v/>
      </c>
      <c r="R203" s="11" t="n"/>
    </row>
    <row r="204">
      <c r="A204" s="6">
        <f>IF(AND(D204="",E204=""),"",IFERROR(INDEX('激励事件明细'!$C$2:$C$501,IF(D204&lt;&gt;"",MATCH(D204,'激励事件明细'!$A$2:$A$501,0),MATCH(E204,'激励事件明细'!$B$2:$B$501,0))),""))</f>
        <v/>
      </c>
      <c r="B204" s="6">
        <f>IF(A204="","",IFERROR(INDEX('激励事件明细'!$D$2:$D$501,IF(D204&lt;&gt;"",MATCH(D204,'激励事件明细'!$A$2:$A$501,0),MATCH(E204,'激励事件明细'!$B$2:$B$501,0))),""))</f>
        <v/>
      </c>
      <c r="C204" s="6">
        <f>IF(A204="","",IFERROR(INDEX('激励事件明细'!$H$2:$H$501,IF(D204&lt;&gt;"",MATCH(D204,'激励事件明细'!$A$2:$A$501,0),MATCH(E204,'激励事件明细'!$B$2:$B$501,0))),""))</f>
        <v/>
      </c>
      <c r="D204" s="11" t="n"/>
      <c r="E204" s="11" t="n"/>
      <c r="F204" s="14">
        <f>IF(A204="","",IFERROR(INDEX('激励事件明细'!$Z$2:$Z$501,IF(D204&lt;&gt;"",MATCH(D204,'激励事件明细'!$A$2:$A$501,0),MATCH(E204,'激励事件明细'!$B$2:$B$501,0))),""))</f>
        <v/>
      </c>
      <c r="G204" s="16">
        <f>IF(A204="","",IFERROR(INDEX('激励事件明细'!$AA$2:$AA$501,IF(D204&lt;&gt;"",MATCH(D204,'激励事件明细'!$A$2:$A$501,0),MATCH(E204,'激励事件明细'!$B$2:$B$501,0))),""))</f>
        <v/>
      </c>
      <c r="H204" s="16">
        <f>IF(A204="","",IFERROR(INDEX('激励事件明细'!$AB$2:$AB$501,IF(D204&lt;&gt;"",MATCH(D204,'激励事件明细'!$A$2:$A$501,0),MATCH(E204,'激励事件明细'!$B$2:$B$501,0))),""))</f>
        <v/>
      </c>
      <c r="I204" s="12" t="n"/>
      <c r="J204" s="13" t="n"/>
      <c r="K204" s="13" t="n"/>
      <c r="L204" s="11" t="n"/>
      <c r="M204" s="14">
        <f>IF(A204="","",IF(D204&lt;&gt;"",SUMIFS($K$2:$K$501,$D$2:$D$501,D204),SUMIFS($K$2:$K$501,$E$2:$E$501,E204)))</f>
        <v/>
      </c>
      <c r="N204" s="14">
        <f>IF(F204="","",MAX(0,F204-M204))</f>
        <v/>
      </c>
      <c r="O204" s="6">
        <f>IF(A204="","",IF(AND(I204&lt;&gt;"",I204&gt;H204),"是",IF(AND(TODAY()&gt;H204,N204&gt;0),"是","否")))</f>
        <v/>
      </c>
      <c r="P204" s="16">
        <f>IF(A204="","",IFERROR(INDEX('激励事件明细'!$P$2:$P$501,IF(D204&lt;&gt;"",MATCH(D204,'激励事件明细'!$A$2:$A$501,0),MATCH(E204,'激励事件明细'!$B$2:$B$501,0))),""))</f>
        <v/>
      </c>
      <c r="Q204" s="6">
        <f>IF(AND(D204="",E204=""),"异常：必须关联事件编号或税额批次",IF(AND(D204&lt;&gt;"",COUNTIF('激励事件明细'!$A$2:$A$501,D204)=0),"异常：事件编号不存在",IF(AND(E204&lt;&gt;"",COUNTIF('激励事件明细'!$B$2:$B$501,E204)=0),"异常：税额批次不存在",IF(M204&gt;F204,"异常：本批次超额缴税",IF(AND(I204&lt;&gt;"",I204&gt;H204),"异常：超过事件截止日",IF(AND(P204&lt;&gt;"",TODAY()&gt;=P204,N204&gt;0),"异常：离职前未缴清","正常"))))))</f>
        <v/>
      </c>
      <c r="R204" s="11" t="n"/>
    </row>
    <row r="205">
      <c r="A205" s="6">
        <f>IF(AND(D205="",E205=""),"",IFERROR(INDEX('激励事件明细'!$C$2:$C$501,IF(D205&lt;&gt;"",MATCH(D205,'激励事件明细'!$A$2:$A$501,0),MATCH(E205,'激励事件明细'!$B$2:$B$501,0))),""))</f>
        <v/>
      </c>
      <c r="B205" s="6">
        <f>IF(A205="","",IFERROR(INDEX('激励事件明细'!$D$2:$D$501,IF(D205&lt;&gt;"",MATCH(D205,'激励事件明细'!$A$2:$A$501,0),MATCH(E205,'激励事件明细'!$B$2:$B$501,0))),""))</f>
        <v/>
      </c>
      <c r="C205" s="6">
        <f>IF(A205="","",IFERROR(INDEX('激励事件明细'!$H$2:$H$501,IF(D205&lt;&gt;"",MATCH(D205,'激励事件明细'!$A$2:$A$501,0),MATCH(E205,'激励事件明细'!$B$2:$B$501,0))),""))</f>
        <v/>
      </c>
      <c r="D205" s="11" t="n"/>
      <c r="E205" s="11" t="n"/>
      <c r="F205" s="14">
        <f>IF(A205="","",IFERROR(INDEX('激励事件明细'!$Z$2:$Z$501,IF(D205&lt;&gt;"",MATCH(D205,'激励事件明细'!$A$2:$A$501,0),MATCH(E205,'激励事件明细'!$B$2:$B$501,0))),""))</f>
        <v/>
      </c>
      <c r="G205" s="16">
        <f>IF(A205="","",IFERROR(INDEX('激励事件明细'!$AA$2:$AA$501,IF(D205&lt;&gt;"",MATCH(D205,'激励事件明细'!$A$2:$A$501,0),MATCH(E205,'激励事件明细'!$B$2:$B$501,0))),""))</f>
        <v/>
      </c>
      <c r="H205" s="16">
        <f>IF(A205="","",IFERROR(INDEX('激励事件明细'!$AB$2:$AB$501,IF(D205&lt;&gt;"",MATCH(D205,'激励事件明细'!$A$2:$A$501,0),MATCH(E205,'激励事件明细'!$B$2:$B$501,0))),""))</f>
        <v/>
      </c>
      <c r="I205" s="12" t="n"/>
      <c r="J205" s="13" t="n"/>
      <c r="K205" s="13" t="n"/>
      <c r="L205" s="11" t="n"/>
      <c r="M205" s="14">
        <f>IF(A205="","",IF(D205&lt;&gt;"",SUMIFS($K$2:$K$501,$D$2:$D$501,D205),SUMIFS($K$2:$K$501,$E$2:$E$501,E205)))</f>
        <v/>
      </c>
      <c r="N205" s="14">
        <f>IF(F205="","",MAX(0,F205-M205))</f>
        <v/>
      </c>
      <c r="O205" s="6">
        <f>IF(A205="","",IF(AND(I205&lt;&gt;"",I205&gt;H205),"是",IF(AND(TODAY()&gt;H205,N205&gt;0),"是","否")))</f>
        <v/>
      </c>
      <c r="P205" s="16">
        <f>IF(A205="","",IFERROR(INDEX('激励事件明细'!$P$2:$P$501,IF(D205&lt;&gt;"",MATCH(D205,'激励事件明细'!$A$2:$A$501,0),MATCH(E205,'激励事件明细'!$B$2:$B$501,0))),""))</f>
        <v/>
      </c>
      <c r="Q205" s="6">
        <f>IF(AND(D205="",E205=""),"异常：必须关联事件编号或税额批次",IF(AND(D205&lt;&gt;"",COUNTIF('激励事件明细'!$A$2:$A$501,D205)=0),"异常：事件编号不存在",IF(AND(E205&lt;&gt;"",COUNTIF('激励事件明细'!$B$2:$B$501,E205)=0),"异常：税额批次不存在",IF(M205&gt;F205,"异常：本批次超额缴税",IF(AND(I205&lt;&gt;"",I205&gt;H205),"异常：超过事件截止日",IF(AND(P205&lt;&gt;"",TODAY()&gt;=P205,N205&gt;0),"异常：离职前未缴清","正常"))))))</f>
        <v/>
      </c>
      <c r="R205" s="11" t="n"/>
    </row>
    <row r="206">
      <c r="A206" s="6">
        <f>IF(AND(D206="",E206=""),"",IFERROR(INDEX('激励事件明细'!$C$2:$C$501,IF(D206&lt;&gt;"",MATCH(D206,'激励事件明细'!$A$2:$A$501,0),MATCH(E206,'激励事件明细'!$B$2:$B$501,0))),""))</f>
        <v/>
      </c>
      <c r="B206" s="6">
        <f>IF(A206="","",IFERROR(INDEX('激励事件明细'!$D$2:$D$501,IF(D206&lt;&gt;"",MATCH(D206,'激励事件明细'!$A$2:$A$501,0),MATCH(E206,'激励事件明细'!$B$2:$B$501,0))),""))</f>
        <v/>
      </c>
      <c r="C206" s="6">
        <f>IF(A206="","",IFERROR(INDEX('激励事件明细'!$H$2:$H$501,IF(D206&lt;&gt;"",MATCH(D206,'激励事件明细'!$A$2:$A$501,0),MATCH(E206,'激励事件明细'!$B$2:$B$501,0))),""))</f>
        <v/>
      </c>
      <c r="D206" s="11" t="n"/>
      <c r="E206" s="11" t="n"/>
      <c r="F206" s="14">
        <f>IF(A206="","",IFERROR(INDEX('激励事件明细'!$Z$2:$Z$501,IF(D206&lt;&gt;"",MATCH(D206,'激励事件明细'!$A$2:$A$501,0),MATCH(E206,'激励事件明细'!$B$2:$B$501,0))),""))</f>
        <v/>
      </c>
      <c r="G206" s="16">
        <f>IF(A206="","",IFERROR(INDEX('激励事件明细'!$AA$2:$AA$501,IF(D206&lt;&gt;"",MATCH(D206,'激励事件明细'!$A$2:$A$501,0),MATCH(E206,'激励事件明细'!$B$2:$B$501,0))),""))</f>
        <v/>
      </c>
      <c r="H206" s="16">
        <f>IF(A206="","",IFERROR(INDEX('激励事件明细'!$AB$2:$AB$501,IF(D206&lt;&gt;"",MATCH(D206,'激励事件明细'!$A$2:$A$501,0),MATCH(E206,'激励事件明细'!$B$2:$B$501,0))),""))</f>
        <v/>
      </c>
      <c r="I206" s="12" t="n"/>
      <c r="J206" s="13" t="n"/>
      <c r="K206" s="13" t="n"/>
      <c r="L206" s="11" t="n"/>
      <c r="M206" s="14">
        <f>IF(A206="","",IF(D206&lt;&gt;"",SUMIFS($K$2:$K$501,$D$2:$D$501,D206),SUMIFS($K$2:$K$501,$E$2:$E$501,E206)))</f>
        <v/>
      </c>
      <c r="N206" s="14">
        <f>IF(F206="","",MAX(0,F206-M206))</f>
        <v/>
      </c>
      <c r="O206" s="6">
        <f>IF(A206="","",IF(AND(I206&lt;&gt;"",I206&gt;H206),"是",IF(AND(TODAY()&gt;H206,N206&gt;0),"是","否")))</f>
        <v/>
      </c>
      <c r="P206" s="16">
        <f>IF(A206="","",IFERROR(INDEX('激励事件明细'!$P$2:$P$501,IF(D206&lt;&gt;"",MATCH(D206,'激励事件明细'!$A$2:$A$501,0),MATCH(E206,'激励事件明细'!$B$2:$B$501,0))),""))</f>
        <v/>
      </c>
      <c r="Q206" s="6">
        <f>IF(AND(D206="",E206=""),"异常：必须关联事件编号或税额批次",IF(AND(D206&lt;&gt;"",COUNTIF('激励事件明细'!$A$2:$A$501,D206)=0),"异常：事件编号不存在",IF(AND(E206&lt;&gt;"",COUNTIF('激励事件明细'!$B$2:$B$501,E206)=0),"异常：税额批次不存在",IF(M206&gt;F206,"异常：本批次超额缴税",IF(AND(I206&lt;&gt;"",I206&gt;H206),"异常：超过事件截止日",IF(AND(P206&lt;&gt;"",TODAY()&gt;=P206,N206&gt;0),"异常：离职前未缴清","正常"))))))</f>
        <v/>
      </c>
      <c r="R206" s="11" t="n"/>
    </row>
    <row r="207">
      <c r="A207" s="6">
        <f>IF(AND(D207="",E207=""),"",IFERROR(INDEX('激励事件明细'!$C$2:$C$501,IF(D207&lt;&gt;"",MATCH(D207,'激励事件明细'!$A$2:$A$501,0),MATCH(E207,'激励事件明细'!$B$2:$B$501,0))),""))</f>
        <v/>
      </c>
      <c r="B207" s="6">
        <f>IF(A207="","",IFERROR(INDEX('激励事件明细'!$D$2:$D$501,IF(D207&lt;&gt;"",MATCH(D207,'激励事件明细'!$A$2:$A$501,0),MATCH(E207,'激励事件明细'!$B$2:$B$501,0))),""))</f>
        <v/>
      </c>
      <c r="C207" s="6">
        <f>IF(A207="","",IFERROR(INDEX('激励事件明细'!$H$2:$H$501,IF(D207&lt;&gt;"",MATCH(D207,'激励事件明细'!$A$2:$A$501,0),MATCH(E207,'激励事件明细'!$B$2:$B$501,0))),""))</f>
        <v/>
      </c>
      <c r="D207" s="11" t="n"/>
      <c r="E207" s="11" t="n"/>
      <c r="F207" s="14">
        <f>IF(A207="","",IFERROR(INDEX('激励事件明细'!$Z$2:$Z$501,IF(D207&lt;&gt;"",MATCH(D207,'激励事件明细'!$A$2:$A$501,0),MATCH(E207,'激励事件明细'!$B$2:$B$501,0))),""))</f>
        <v/>
      </c>
      <c r="G207" s="16">
        <f>IF(A207="","",IFERROR(INDEX('激励事件明细'!$AA$2:$AA$501,IF(D207&lt;&gt;"",MATCH(D207,'激励事件明细'!$A$2:$A$501,0),MATCH(E207,'激励事件明细'!$B$2:$B$501,0))),""))</f>
        <v/>
      </c>
      <c r="H207" s="16">
        <f>IF(A207="","",IFERROR(INDEX('激励事件明细'!$AB$2:$AB$501,IF(D207&lt;&gt;"",MATCH(D207,'激励事件明细'!$A$2:$A$501,0),MATCH(E207,'激励事件明细'!$B$2:$B$501,0))),""))</f>
        <v/>
      </c>
      <c r="I207" s="12" t="n"/>
      <c r="J207" s="13" t="n"/>
      <c r="K207" s="13" t="n"/>
      <c r="L207" s="11" t="n"/>
      <c r="M207" s="14">
        <f>IF(A207="","",IF(D207&lt;&gt;"",SUMIFS($K$2:$K$501,$D$2:$D$501,D207),SUMIFS($K$2:$K$501,$E$2:$E$501,E207)))</f>
        <v/>
      </c>
      <c r="N207" s="14">
        <f>IF(F207="","",MAX(0,F207-M207))</f>
        <v/>
      </c>
      <c r="O207" s="6">
        <f>IF(A207="","",IF(AND(I207&lt;&gt;"",I207&gt;H207),"是",IF(AND(TODAY()&gt;H207,N207&gt;0),"是","否")))</f>
        <v/>
      </c>
      <c r="P207" s="16">
        <f>IF(A207="","",IFERROR(INDEX('激励事件明细'!$P$2:$P$501,IF(D207&lt;&gt;"",MATCH(D207,'激励事件明细'!$A$2:$A$501,0),MATCH(E207,'激励事件明细'!$B$2:$B$501,0))),""))</f>
        <v/>
      </c>
      <c r="Q207" s="6">
        <f>IF(AND(D207="",E207=""),"异常：必须关联事件编号或税额批次",IF(AND(D207&lt;&gt;"",COUNTIF('激励事件明细'!$A$2:$A$501,D207)=0),"异常：事件编号不存在",IF(AND(E207&lt;&gt;"",COUNTIF('激励事件明细'!$B$2:$B$501,E207)=0),"异常：税额批次不存在",IF(M207&gt;F207,"异常：本批次超额缴税",IF(AND(I207&lt;&gt;"",I207&gt;H207),"异常：超过事件截止日",IF(AND(P207&lt;&gt;"",TODAY()&gt;=P207,N207&gt;0),"异常：离职前未缴清","正常"))))))</f>
        <v/>
      </c>
      <c r="R207" s="11" t="n"/>
    </row>
    <row r="208">
      <c r="A208" s="6">
        <f>IF(AND(D208="",E208=""),"",IFERROR(INDEX('激励事件明细'!$C$2:$C$501,IF(D208&lt;&gt;"",MATCH(D208,'激励事件明细'!$A$2:$A$501,0),MATCH(E208,'激励事件明细'!$B$2:$B$501,0))),""))</f>
        <v/>
      </c>
      <c r="B208" s="6">
        <f>IF(A208="","",IFERROR(INDEX('激励事件明细'!$D$2:$D$501,IF(D208&lt;&gt;"",MATCH(D208,'激励事件明细'!$A$2:$A$501,0),MATCH(E208,'激励事件明细'!$B$2:$B$501,0))),""))</f>
        <v/>
      </c>
      <c r="C208" s="6">
        <f>IF(A208="","",IFERROR(INDEX('激励事件明细'!$H$2:$H$501,IF(D208&lt;&gt;"",MATCH(D208,'激励事件明细'!$A$2:$A$501,0),MATCH(E208,'激励事件明细'!$B$2:$B$501,0))),""))</f>
        <v/>
      </c>
      <c r="D208" s="11" t="n"/>
      <c r="E208" s="11" t="n"/>
      <c r="F208" s="14">
        <f>IF(A208="","",IFERROR(INDEX('激励事件明细'!$Z$2:$Z$501,IF(D208&lt;&gt;"",MATCH(D208,'激励事件明细'!$A$2:$A$501,0),MATCH(E208,'激励事件明细'!$B$2:$B$501,0))),""))</f>
        <v/>
      </c>
      <c r="G208" s="16">
        <f>IF(A208="","",IFERROR(INDEX('激励事件明细'!$AA$2:$AA$501,IF(D208&lt;&gt;"",MATCH(D208,'激励事件明细'!$A$2:$A$501,0),MATCH(E208,'激励事件明细'!$B$2:$B$501,0))),""))</f>
        <v/>
      </c>
      <c r="H208" s="16">
        <f>IF(A208="","",IFERROR(INDEX('激励事件明细'!$AB$2:$AB$501,IF(D208&lt;&gt;"",MATCH(D208,'激励事件明细'!$A$2:$A$501,0),MATCH(E208,'激励事件明细'!$B$2:$B$501,0))),""))</f>
        <v/>
      </c>
      <c r="I208" s="12" t="n"/>
      <c r="J208" s="13" t="n"/>
      <c r="K208" s="13" t="n"/>
      <c r="L208" s="11" t="n"/>
      <c r="M208" s="14">
        <f>IF(A208="","",IF(D208&lt;&gt;"",SUMIFS($K$2:$K$501,$D$2:$D$501,D208),SUMIFS($K$2:$K$501,$E$2:$E$501,E208)))</f>
        <v/>
      </c>
      <c r="N208" s="14">
        <f>IF(F208="","",MAX(0,F208-M208))</f>
        <v/>
      </c>
      <c r="O208" s="6">
        <f>IF(A208="","",IF(AND(I208&lt;&gt;"",I208&gt;H208),"是",IF(AND(TODAY()&gt;H208,N208&gt;0),"是","否")))</f>
        <v/>
      </c>
      <c r="P208" s="16">
        <f>IF(A208="","",IFERROR(INDEX('激励事件明细'!$P$2:$P$501,IF(D208&lt;&gt;"",MATCH(D208,'激励事件明细'!$A$2:$A$501,0),MATCH(E208,'激励事件明细'!$B$2:$B$501,0))),""))</f>
        <v/>
      </c>
      <c r="Q208" s="6">
        <f>IF(AND(D208="",E208=""),"异常：必须关联事件编号或税额批次",IF(AND(D208&lt;&gt;"",COUNTIF('激励事件明细'!$A$2:$A$501,D208)=0),"异常：事件编号不存在",IF(AND(E208&lt;&gt;"",COUNTIF('激励事件明细'!$B$2:$B$501,E208)=0),"异常：税额批次不存在",IF(M208&gt;F208,"异常：本批次超额缴税",IF(AND(I208&lt;&gt;"",I208&gt;H208),"异常：超过事件截止日",IF(AND(P208&lt;&gt;"",TODAY()&gt;=P208,N208&gt;0),"异常：离职前未缴清","正常"))))))</f>
        <v/>
      </c>
      <c r="R208" s="11" t="n"/>
    </row>
    <row r="209">
      <c r="A209" s="6">
        <f>IF(AND(D209="",E209=""),"",IFERROR(INDEX('激励事件明细'!$C$2:$C$501,IF(D209&lt;&gt;"",MATCH(D209,'激励事件明细'!$A$2:$A$501,0),MATCH(E209,'激励事件明细'!$B$2:$B$501,0))),""))</f>
        <v/>
      </c>
      <c r="B209" s="6">
        <f>IF(A209="","",IFERROR(INDEX('激励事件明细'!$D$2:$D$501,IF(D209&lt;&gt;"",MATCH(D209,'激励事件明细'!$A$2:$A$501,0),MATCH(E209,'激励事件明细'!$B$2:$B$501,0))),""))</f>
        <v/>
      </c>
      <c r="C209" s="6">
        <f>IF(A209="","",IFERROR(INDEX('激励事件明细'!$H$2:$H$501,IF(D209&lt;&gt;"",MATCH(D209,'激励事件明细'!$A$2:$A$501,0),MATCH(E209,'激励事件明细'!$B$2:$B$501,0))),""))</f>
        <v/>
      </c>
      <c r="D209" s="11" t="n"/>
      <c r="E209" s="11" t="n"/>
      <c r="F209" s="14">
        <f>IF(A209="","",IFERROR(INDEX('激励事件明细'!$Z$2:$Z$501,IF(D209&lt;&gt;"",MATCH(D209,'激励事件明细'!$A$2:$A$501,0),MATCH(E209,'激励事件明细'!$B$2:$B$501,0))),""))</f>
        <v/>
      </c>
      <c r="G209" s="16">
        <f>IF(A209="","",IFERROR(INDEX('激励事件明细'!$AA$2:$AA$501,IF(D209&lt;&gt;"",MATCH(D209,'激励事件明细'!$A$2:$A$501,0),MATCH(E209,'激励事件明细'!$B$2:$B$501,0))),""))</f>
        <v/>
      </c>
      <c r="H209" s="16">
        <f>IF(A209="","",IFERROR(INDEX('激励事件明细'!$AB$2:$AB$501,IF(D209&lt;&gt;"",MATCH(D209,'激励事件明细'!$A$2:$A$501,0),MATCH(E209,'激励事件明细'!$B$2:$B$501,0))),""))</f>
        <v/>
      </c>
      <c r="I209" s="12" t="n"/>
      <c r="J209" s="13" t="n"/>
      <c r="K209" s="13" t="n"/>
      <c r="L209" s="11" t="n"/>
      <c r="M209" s="14">
        <f>IF(A209="","",IF(D209&lt;&gt;"",SUMIFS($K$2:$K$501,$D$2:$D$501,D209),SUMIFS($K$2:$K$501,$E$2:$E$501,E209)))</f>
        <v/>
      </c>
      <c r="N209" s="14">
        <f>IF(F209="","",MAX(0,F209-M209))</f>
        <v/>
      </c>
      <c r="O209" s="6">
        <f>IF(A209="","",IF(AND(I209&lt;&gt;"",I209&gt;H209),"是",IF(AND(TODAY()&gt;H209,N209&gt;0),"是","否")))</f>
        <v/>
      </c>
      <c r="P209" s="16">
        <f>IF(A209="","",IFERROR(INDEX('激励事件明细'!$P$2:$P$501,IF(D209&lt;&gt;"",MATCH(D209,'激励事件明细'!$A$2:$A$501,0),MATCH(E209,'激励事件明细'!$B$2:$B$501,0))),""))</f>
        <v/>
      </c>
      <c r="Q209" s="6">
        <f>IF(AND(D209="",E209=""),"异常：必须关联事件编号或税额批次",IF(AND(D209&lt;&gt;"",COUNTIF('激励事件明细'!$A$2:$A$501,D209)=0),"异常：事件编号不存在",IF(AND(E209&lt;&gt;"",COUNTIF('激励事件明细'!$B$2:$B$501,E209)=0),"异常：税额批次不存在",IF(M209&gt;F209,"异常：本批次超额缴税",IF(AND(I209&lt;&gt;"",I209&gt;H209),"异常：超过事件截止日",IF(AND(P209&lt;&gt;"",TODAY()&gt;=P209,N209&gt;0),"异常：离职前未缴清","正常"))))))</f>
        <v/>
      </c>
      <c r="R209" s="11" t="n"/>
    </row>
    <row r="210">
      <c r="A210" s="6">
        <f>IF(AND(D210="",E210=""),"",IFERROR(INDEX('激励事件明细'!$C$2:$C$501,IF(D210&lt;&gt;"",MATCH(D210,'激励事件明细'!$A$2:$A$501,0),MATCH(E210,'激励事件明细'!$B$2:$B$501,0))),""))</f>
        <v/>
      </c>
      <c r="B210" s="6">
        <f>IF(A210="","",IFERROR(INDEX('激励事件明细'!$D$2:$D$501,IF(D210&lt;&gt;"",MATCH(D210,'激励事件明细'!$A$2:$A$501,0),MATCH(E210,'激励事件明细'!$B$2:$B$501,0))),""))</f>
        <v/>
      </c>
      <c r="C210" s="6">
        <f>IF(A210="","",IFERROR(INDEX('激励事件明细'!$H$2:$H$501,IF(D210&lt;&gt;"",MATCH(D210,'激励事件明细'!$A$2:$A$501,0),MATCH(E210,'激励事件明细'!$B$2:$B$501,0))),""))</f>
        <v/>
      </c>
      <c r="D210" s="11" t="n"/>
      <c r="E210" s="11" t="n"/>
      <c r="F210" s="14">
        <f>IF(A210="","",IFERROR(INDEX('激励事件明细'!$Z$2:$Z$501,IF(D210&lt;&gt;"",MATCH(D210,'激励事件明细'!$A$2:$A$501,0),MATCH(E210,'激励事件明细'!$B$2:$B$501,0))),""))</f>
        <v/>
      </c>
      <c r="G210" s="16">
        <f>IF(A210="","",IFERROR(INDEX('激励事件明细'!$AA$2:$AA$501,IF(D210&lt;&gt;"",MATCH(D210,'激励事件明细'!$A$2:$A$501,0),MATCH(E210,'激励事件明细'!$B$2:$B$501,0))),""))</f>
        <v/>
      </c>
      <c r="H210" s="16">
        <f>IF(A210="","",IFERROR(INDEX('激励事件明细'!$AB$2:$AB$501,IF(D210&lt;&gt;"",MATCH(D210,'激励事件明细'!$A$2:$A$501,0),MATCH(E210,'激励事件明细'!$B$2:$B$501,0))),""))</f>
        <v/>
      </c>
      <c r="I210" s="12" t="n"/>
      <c r="J210" s="13" t="n"/>
      <c r="K210" s="13" t="n"/>
      <c r="L210" s="11" t="n"/>
      <c r="M210" s="14">
        <f>IF(A210="","",IF(D210&lt;&gt;"",SUMIFS($K$2:$K$501,$D$2:$D$501,D210),SUMIFS($K$2:$K$501,$E$2:$E$501,E210)))</f>
        <v/>
      </c>
      <c r="N210" s="14">
        <f>IF(F210="","",MAX(0,F210-M210))</f>
        <v/>
      </c>
      <c r="O210" s="6">
        <f>IF(A210="","",IF(AND(I210&lt;&gt;"",I210&gt;H210),"是",IF(AND(TODAY()&gt;H210,N210&gt;0),"是","否")))</f>
        <v/>
      </c>
      <c r="P210" s="16">
        <f>IF(A210="","",IFERROR(INDEX('激励事件明细'!$P$2:$P$501,IF(D210&lt;&gt;"",MATCH(D210,'激励事件明细'!$A$2:$A$501,0),MATCH(E210,'激励事件明细'!$B$2:$B$501,0))),""))</f>
        <v/>
      </c>
      <c r="Q210" s="6">
        <f>IF(AND(D210="",E210=""),"异常：必须关联事件编号或税额批次",IF(AND(D210&lt;&gt;"",COUNTIF('激励事件明细'!$A$2:$A$501,D210)=0),"异常：事件编号不存在",IF(AND(E210&lt;&gt;"",COUNTIF('激励事件明细'!$B$2:$B$501,E210)=0),"异常：税额批次不存在",IF(M210&gt;F210,"异常：本批次超额缴税",IF(AND(I210&lt;&gt;"",I210&gt;H210),"异常：超过事件截止日",IF(AND(P210&lt;&gt;"",TODAY()&gt;=P210,N210&gt;0),"异常：离职前未缴清","正常"))))))</f>
        <v/>
      </c>
      <c r="R210" s="11" t="n"/>
    </row>
    <row r="211">
      <c r="A211" s="6">
        <f>IF(AND(D211="",E211=""),"",IFERROR(INDEX('激励事件明细'!$C$2:$C$501,IF(D211&lt;&gt;"",MATCH(D211,'激励事件明细'!$A$2:$A$501,0),MATCH(E211,'激励事件明细'!$B$2:$B$501,0))),""))</f>
        <v/>
      </c>
      <c r="B211" s="6">
        <f>IF(A211="","",IFERROR(INDEX('激励事件明细'!$D$2:$D$501,IF(D211&lt;&gt;"",MATCH(D211,'激励事件明细'!$A$2:$A$501,0),MATCH(E211,'激励事件明细'!$B$2:$B$501,0))),""))</f>
        <v/>
      </c>
      <c r="C211" s="6">
        <f>IF(A211="","",IFERROR(INDEX('激励事件明细'!$H$2:$H$501,IF(D211&lt;&gt;"",MATCH(D211,'激励事件明细'!$A$2:$A$501,0),MATCH(E211,'激励事件明细'!$B$2:$B$501,0))),""))</f>
        <v/>
      </c>
      <c r="D211" s="11" t="n"/>
      <c r="E211" s="11" t="n"/>
      <c r="F211" s="14">
        <f>IF(A211="","",IFERROR(INDEX('激励事件明细'!$Z$2:$Z$501,IF(D211&lt;&gt;"",MATCH(D211,'激励事件明细'!$A$2:$A$501,0),MATCH(E211,'激励事件明细'!$B$2:$B$501,0))),""))</f>
        <v/>
      </c>
      <c r="G211" s="16">
        <f>IF(A211="","",IFERROR(INDEX('激励事件明细'!$AA$2:$AA$501,IF(D211&lt;&gt;"",MATCH(D211,'激励事件明细'!$A$2:$A$501,0),MATCH(E211,'激励事件明细'!$B$2:$B$501,0))),""))</f>
        <v/>
      </c>
      <c r="H211" s="16">
        <f>IF(A211="","",IFERROR(INDEX('激励事件明细'!$AB$2:$AB$501,IF(D211&lt;&gt;"",MATCH(D211,'激励事件明细'!$A$2:$A$501,0),MATCH(E211,'激励事件明细'!$B$2:$B$501,0))),""))</f>
        <v/>
      </c>
      <c r="I211" s="12" t="n"/>
      <c r="J211" s="13" t="n"/>
      <c r="K211" s="13" t="n"/>
      <c r="L211" s="11" t="n"/>
      <c r="M211" s="14">
        <f>IF(A211="","",IF(D211&lt;&gt;"",SUMIFS($K$2:$K$501,$D$2:$D$501,D211),SUMIFS($K$2:$K$501,$E$2:$E$501,E211)))</f>
        <v/>
      </c>
      <c r="N211" s="14">
        <f>IF(F211="","",MAX(0,F211-M211))</f>
        <v/>
      </c>
      <c r="O211" s="6">
        <f>IF(A211="","",IF(AND(I211&lt;&gt;"",I211&gt;H211),"是",IF(AND(TODAY()&gt;H211,N211&gt;0),"是","否")))</f>
        <v/>
      </c>
      <c r="P211" s="16">
        <f>IF(A211="","",IFERROR(INDEX('激励事件明细'!$P$2:$P$501,IF(D211&lt;&gt;"",MATCH(D211,'激励事件明细'!$A$2:$A$501,0),MATCH(E211,'激励事件明细'!$B$2:$B$501,0))),""))</f>
        <v/>
      </c>
      <c r="Q211" s="6">
        <f>IF(AND(D211="",E211=""),"异常：必须关联事件编号或税额批次",IF(AND(D211&lt;&gt;"",COUNTIF('激励事件明细'!$A$2:$A$501,D211)=0),"异常：事件编号不存在",IF(AND(E211&lt;&gt;"",COUNTIF('激励事件明细'!$B$2:$B$501,E211)=0),"异常：税额批次不存在",IF(M211&gt;F211,"异常：本批次超额缴税",IF(AND(I211&lt;&gt;"",I211&gt;H211),"异常：超过事件截止日",IF(AND(P211&lt;&gt;"",TODAY()&gt;=P211,N211&gt;0),"异常：离职前未缴清","正常"))))))</f>
        <v/>
      </c>
      <c r="R211" s="11" t="n"/>
    </row>
    <row r="212">
      <c r="A212" s="6">
        <f>IF(AND(D212="",E212=""),"",IFERROR(INDEX('激励事件明细'!$C$2:$C$501,IF(D212&lt;&gt;"",MATCH(D212,'激励事件明细'!$A$2:$A$501,0),MATCH(E212,'激励事件明细'!$B$2:$B$501,0))),""))</f>
        <v/>
      </c>
      <c r="B212" s="6">
        <f>IF(A212="","",IFERROR(INDEX('激励事件明细'!$D$2:$D$501,IF(D212&lt;&gt;"",MATCH(D212,'激励事件明细'!$A$2:$A$501,0),MATCH(E212,'激励事件明细'!$B$2:$B$501,0))),""))</f>
        <v/>
      </c>
      <c r="C212" s="6">
        <f>IF(A212="","",IFERROR(INDEX('激励事件明细'!$H$2:$H$501,IF(D212&lt;&gt;"",MATCH(D212,'激励事件明细'!$A$2:$A$501,0),MATCH(E212,'激励事件明细'!$B$2:$B$501,0))),""))</f>
        <v/>
      </c>
      <c r="D212" s="11" t="n"/>
      <c r="E212" s="11" t="n"/>
      <c r="F212" s="14">
        <f>IF(A212="","",IFERROR(INDEX('激励事件明细'!$Z$2:$Z$501,IF(D212&lt;&gt;"",MATCH(D212,'激励事件明细'!$A$2:$A$501,0),MATCH(E212,'激励事件明细'!$B$2:$B$501,0))),""))</f>
        <v/>
      </c>
      <c r="G212" s="16">
        <f>IF(A212="","",IFERROR(INDEX('激励事件明细'!$AA$2:$AA$501,IF(D212&lt;&gt;"",MATCH(D212,'激励事件明细'!$A$2:$A$501,0),MATCH(E212,'激励事件明细'!$B$2:$B$501,0))),""))</f>
        <v/>
      </c>
      <c r="H212" s="16">
        <f>IF(A212="","",IFERROR(INDEX('激励事件明细'!$AB$2:$AB$501,IF(D212&lt;&gt;"",MATCH(D212,'激励事件明细'!$A$2:$A$501,0),MATCH(E212,'激励事件明细'!$B$2:$B$501,0))),""))</f>
        <v/>
      </c>
      <c r="I212" s="12" t="n"/>
      <c r="J212" s="13" t="n"/>
      <c r="K212" s="13" t="n"/>
      <c r="L212" s="11" t="n"/>
      <c r="M212" s="14">
        <f>IF(A212="","",IF(D212&lt;&gt;"",SUMIFS($K$2:$K$501,$D$2:$D$501,D212),SUMIFS($K$2:$K$501,$E$2:$E$501,E212)))</f>
        <v/>
      </c>
      <c r="N212" s="14">
        <f>IF(F212="","",MAX(0,F212-M212))</f>
        <v/>
      </c>
      <c r="O212" s="6">
        <f>IF(A212="","",IF(AND(I212&lt;&gt;"",I212&gt;H212),"是",IF(AND(TODAY()&gt;H212,N212&gt;0),"是","否")))</f>
        <v/>
      </c>
      <c r="P212" s="16">
        <f>IF(A212="","",IFERROR(INDEX('激励事件明细'!$P$2:$P$501,IF(D212&lt;&gt;"",MATCH(D212,'激励事件明细'!$A$2:$A$501,0),MATCH(E212,'激励事件明细'!$B$2:$B$501,0))),""))</f>
        <v/>
      </c>
      <c r="Q212" s="6">
        <f>IF(AND(D212="",E212=""),"异常：必须关联事件编号或税额批次",IF(AND(D212&lt;&gt;"",COUNTIF('激励事件明细'!$A$2:$A$501,D212)=0),"异常：事件编号不存在",IF(AND(E212&lt;&gt;"",COUNTIF('激励事件明细'!$B$2:$B$501,E212)=0),"异常：税额批次不存在",IF(M212&gt;F212,"异常：本批次超额缴税",IF(AND(I212&lt;&gt;"",I212&gt;H212),"异常：超过事件截止日",IF(AND(P212&lt;&gt;"",TODAY()&gt;=P212,N212&gt;0),"异常：离职前未缴清","正常"))))))</f>
        <v/>
      </c>
      <c r="R212" s="11" t="n"/>
    </row>
    <row r="213">
      <c r="A213" s="6">
        <f>IF(AND(D213="",E213=""),"",IFERROR(INDEX('激励事件明细'!$C$2:$C$501,IF(D213&lt;&gt;"",MATCH(D213,'激励事件明细'!$A$2:$A$501,0),MATCH(E213,'激励事件明细'!$B$2:$B$501,0))),""))</f>
        <v/>
      </c>
      <c r="B213" s="6">
        <f>IF(A213="","",IFERROR(INDEX('激励事件明细'!$D$2:$D$501,IF(D213&lt;&gt;"",MATCH(D213,'激励事件明细'!$A$2:$A$501,0),MATCH(E213,'激励事件明细'!$B$2:$B$501,0))),""))</f>
        <v/>
      </c>
      <c r="C213" s="6">
        <f>IF(A213="","",IFERROR(INDEX('激励事件明细'!$H$2:$H$501,IF(D213&lt;&gt;"",MATCH(D213,'激励事件明细'!$A$2:$A$501,0),MATCH(E213,'激励事件明细'!$B$2:$B$501,0))),""))</f>
        <v/>
      </c>
      <c r="D213" s="11" t="n"/>
      <c r="E213" s="11" t="n"/>
      <c r="F213" s="14">
        <f>IF(A213="","",IFERROR(INDEX('激励事件明细'!$Z$2:$Z$501,IF(D213&lt;&gt;"",MATCH(D213,'激励事件明细'!$A$2:$A$501,0),MATCH(E213,'激励事件明细'!$B$2:$B$501,0))),""))</f>
        <v/>
      </c>
      <c r="G213" s="16">
        <f>IF(A213="","",IFERROR(INDEX('激励事件明细'!$AA$2:$AA$501,IF(D213&lt;&gt;"",MATCH(D213,'激励事件明细'!$A$2:$A$501,0),MATCH(E213,'激励事件明细'!$B$2:$B$501,0))),""))</f>
        <v/>
      </c>
      <c r="H213" s="16">
        <f>IF(A213="","",IFERROR(INDEX('激励事件明细'!$AB$2:$AB$501,IF(D213&lt;&gt;"",MATCH(D213,'激励事件明细'!$A$2:$A$501,0),MATCH(E213,'激励事件明细'!$B$2:$B$501,0))),""))</f>
        <v/>
      </c>
      <c r="I213" s="12" t="n"/>
      <c r="J213" s="13" t="n"/>
      <c r="K213" s="13" t="n"/>
      <c r="L213" s="11" t="n"/>
      <c r="M213" s="14">
        <f>IF(A213="","",IF(D213&lt;&gt;"",SUMIFS($K$2:$K$501,$D$2:$D$501,D213),SUMIFS($K$2:$K$501,$E$2:$E$501,E213)))</f>
        <v/>
      </c>
      <c r="N213" s="14">
        <f>IF(F213="","",MAX(0,F213-M213))</f>
        <v/>
      </c>
      <c r="O213" s="6">
        <f>IF(A213="","",IF(AND(I213&lt;&gt;"",I213&gt;H213),"是",IF(AND(TODAY()&gt;H213,N213&gt;0),"是","否")))</f>
        <v/>
      </c>
      <c r="P213" s="16">
        <f>IF(A213="","",IFERROR(INDEX('激励事件明细'!$P$2:$P$501,IF(D213&lt;&gt;"",MATCH(D213,'激励事件明细'!$A$2:$A$501,0),MATCH(E213,'激励事件明细'!$B$2:$B$501,0))),""))</f>
        <v/>
      </c>
      <c r="Q213" s="6">
        <f>IF(AND(D213="",E213=""),"异常：必须关联事件编号或税额批次",IF(AND(D213&lt;&gt;"",COUNTIF('激励事件明细'!$A$2:$A$501,D213)=0),"异常：事件编号不存在",IF(AND(E213&lt;&gt;"",COUNTIF('激励事件明细'!$B$2:$B$501,E213)=0),"异常：税额批次不存在",IF(M213&gt;F213,"异常：本批次超额缴税",IF(AND(I213&lt;&gt;"",I213&gt;H213),"异常：超过事件截止日",IF(AND(P213&lt;&gt;"",TODAY()&gt;=P213,N213&gt;0),"异常：离职前未缴清","正常"))))))</f>
        <v/>
      </c>
      <c r="R213" s="11" t="n"/>
    </row>
    <row r="214">
      <c r="A214" s="6">
        <f>IF(AND(D214="",E214=""),"",IFERROR(INDEX('激励事件明细'!$C$2:$C$501,IF(D214&lt;&gt;"",MATCH(D214,'激励事件明细'!$A$2:$A$501,0),MATCH(E214,'激励事件明细'!$B$2:$B$501,0))),""))</f>
        <v/>
      </c>
      <c r="B214" s="6">
        <f>IF(A214="","",IFERROR(INDEX('激励事件明细'!$D$2:$D$501,IF(D214&lt;&gt;"",MATCH(D214,'激励事件明细'!$A$2:$A$501,0),MATCH(E214,'激励事件明细'!$B$2:$B$501,0))),""))</f>
        <v/>
      </c>
      <c r="C214" s="6">
        <f>IF(A214="","",IFERROR(INDEX('激励事件明细'!$H$2:$H$501,IF(D214&lt;&gt;"",MATCH(D214,'激励事件明细'!$A$2:$A$501,0),MATCH(E214,'激励事件明细'!$B$2:$B$501,0))),""))</f>
        <v/>
      </c>
      <c r="D214" s="11" t="n"/>
      <c r="E214" s="11" t="n"/>
      <c r="F214" s="14">
        <f>IF(A214="","",IFERROR(INDEX('激励事件明细'!$Z$2:$Z$501,IF(D214&lt;&gt;"",MATCH(D214,'激励事件明细'!$A$2:$A$501,0),MATCH(E214,'激励事件明细'!$B$2:$B$501,0))),""))</f>
        <v/>
      </c>
      <c r="G214" s="16">
        <f>IF(A214="","",IFERROR(INDEX('激励事件明细'!$AA$2:$AA$501,IF(D214&lt;&gt;"",MATCH(D214,'激励事件明细'!$A$2:$A$501,0),MATCH(E214,'激励事件明细'!$B$2:$B$501,0))),""))</f>
        <v/>
      </c>
      <c r="H214" s="16">
        <f>IF(A214="","",IFERROR(INDEX('激励事件明细'!$AB$2:$AB$501,IF(D214&lt;&gt;"",MATCH(D214,'激励事件明细'!$A$2:$A$501,0),MATCH(E214,'激励事件明细'!$B$2:$B$501,0))),""))</f>
        <v/>
      </c>
      <c r="I214" s="12" t="n"/>
      <c r="J214" s="13" t="n"/>
      <c r="K214" s="13" t="n"/>
      <c r="L214" s="11" t="n"/>
      <c r="M214" s="14">
        <f>IF(A214="","",IF(D214&lt;&gt;"",SUMIFS($K$2:$K$501,$D$2:$D$501,D214),SUMIFS($K$2:$K$501,$E$2:$E$501,E214)))</f>
        <v/>
      </c>
      <c r="N214" s="14">
        <f>IF(F214="","",MAX(0,F214-M214))</f>
        <v/>
      </c>
      <c r="O214" s="6">
        <f>IF(A214="","",IF(AND(I214&lt;&gt;"",I214&gt;H214),"是",IF(AND(TODAY()&gt;H214,N214&gt;0),"是","否")))</f>
        <v/>
      </c>
      <c r="P214" s="16">
        <f>IF(A214="","",IFERROR(INDEX('激励事件明细'!$P$2:$P$501,IF(D214&lt;&gt;"",MATCH(D214,'激励事件明细'!$A$2:$A$501,0),MATCH(E214,'激励事件明细'!$B$2:$B$501,0))),""))</f>
        <v/>
      </c>
      <c r="Q214" s="6">
        <f>IF(AND(D214="",E214=""),"异常：必须关联事件编号或税额批次",IF(AND(D214&lt;&gt;"",COUNTIF('激励事件明细'!$A$2:$A$501,D214)=0),"异常：事件编号不存在",IF(AND(E214&lt;&gt;"",COUNTIF('激励事件明细'!$B$2:$B$501,E214)=0),"异常：税额批次不存在",IF(M214&gt;F214,"异常：本批次超额缴税",IF(AND(I214&lt;&gt;"",I214&gt;H214),"异常：超过事件截止日",IF(AND(P214&lt;&gt;"",TODAY()&gt;=P214,N214&gt;0),"异常：离职前未缴清","正常"))))))</f>
        <v/>
      </c>
      <c r="R214" s="11" t="n"/>
    </row>
    <row r="215">
      <c r="A215" s="6">
        <f>IF(AND(D215="",E215=""),"",IFERROR(INDEX('激励事件明细'!$C$2:$C$501,IF(D215&lt;&gt;"",MATCH(D215,'激励事件明细'!$A$2:$A$501,0),MATCH(E215,'激励事件明细'!$B$2:$B$501,0))),""))</f>
        <v/>
      </c>
      <c r="B215" s="6">
        <f>IF(A215="","",IFERROR(INDEX('激励事件明细'!$D$2:$D$501,IF(D215&lt;&gt;"",MATCH(D215,'激励事件明细'!$A$2:$A$501,0),MATCH(E215,'激励事件明细'!$B$2:$B$501,0))),""))</f>
        <v/>
      </c>
      <c r="C215" s="6">
        <f>IF(A215="","",IFERROR(INDEX('激励事件明细'!$H$2:$H$501,IF(D215&lt;&gt;"",MATCH(D215,'激励事件明细'!$A$2:$A$501,0),MATCH(E215,'激励事件明细'!$B$2:$B$501,0))),""))</f>
        <v/>
      </c>
      <c r="D215" s="11" t="n"/>
      <c r="E215" s="11" t="n"/>
      <c r="F215" s="14">
        <f>IF(A215="","",IFERROR(INDEX('激励事件明细'!$Z$2:$Z$501,IF(D215&lt;&gt;"",MATCH(D215,'激励事件明细'!$A$2:$A$501,0),MATCH(E215,'激励事件明细'!$B$2:$B$501,0))),""))</f>
        <v/>
      </c>
      <c r="G215" s="16">
        <f>IF(A215="","",IFERROR(INDEX('激励事件明细'!$AA$2:$AA$501,IF(D215&lt;&gt;"",MATCH(D215,'激励事件明细'!$A$2:$A$501,0),MATCH(E215,'激励事件明细'!$B$2:$B$501,0))),""))</f>
        <v/>
      </c>
      <c r="H215" s="16">
        <f>IF(A215="","",IFERROR(INDEX('激励事件明细'!$AB$2:$AB$501,IF(D215&lt;&gt;"",MATCH(D215,'激励事件明细'!$A$2:$A$501,0),MATCH(E215,'激励事件明细'!$B$2:$B$501,0))),""))</f>
        <v/>
      </c>
      <c r="I215" s="12" t="n"/>
      <c r="J215" s="13" t="n"/>
      <c r="K215" s="13" t="n"/>
      <c r="L215" s="11" t="n"/>
      <c r="M215" s="14">
        <f>IF(A215="","",IF(D215&lt;&gt;"",SUMIFS($K$2:$K$501,$D$2:$D$501,D215),SUMIFS($K$2:$K$501,$E$2:$E$501,E215)))</f>
        <v/>
      </c>
      <c r="N215" s="14">
        <f>IF(F215="","",MAX(0,F215-M215))</f>
        <v/>
      </c>
      <c r="O215" s="6">
        <f>IF(A215="","",IF(AND(I215&lt;&gt;"",I215&gt;H215),"是",IF(AND(TODAY()&gt;H215,N215&gt;0),"是","否")))</f>
        <v/>
      </c>
      <c r="P215" s="16">
        <f>IF(A215="","",IFERROR(INDEX('激励事件明细'!$P$2:$P$501,IF(D215&lt;&gt;"",MATCH(D215,'激励事件明细'!$A$2:$A$501,0),MATCH(E215,'激励事件明细'!$B$2:$B$501,0))),""))</f>
        <v/>
      </c>
      <c r="Q215" s="6">
        <f>IF(AND(D215="",E215=""),"异常：必须关联事件编号或税额批次",IF(AND(D215&lt;&gt;"",COUNTIF('激励事件明细'!$A$2:$A$501,D215)=0),"异常：事件编号不存在",IF(AND(E215&lt;&gt;"",COUNTIF('激励事件明细'!$B$2:$B$501,E215)=0),"异常：税额批次不存在",IF(M215&gt;F215,"异常：本批次超额缴税",IF(AND(I215&lt;&gt;"",I215&gt;H215),"异常：超过事件截止日",IF(AND(P215&lt;&gt;"",TODAY()&gt;=P215,N215&gt;0),"异常：离职前未缴清","正常"))))))</f>
        <v/>
      </c>
      <c r="R215" s="11" t="n"/>
    </row>
    <row r="216">
      <c r="A216" s="6">
        <f>IF(AND(D216="",E216=""),"",IFERROR(INDEX('激励事件明细'!$C$2:$C$501,IF(D216&lt;&gt;"",MATCH(D216,'激励事件明细'!$A$2:$A$501,0),MATCH(E216,'激励事件明细'!$B$2:$B$501,0))),""))</f>
        <v/>
      </c>
      <c r="B216" s="6">
        <f>IF(A216="","",IFERROR(INDEX('激励事件明细'!$D$2:$D$501,IF(D216&lt;&gt;"",MATCH(D216,'激励事件明细'!$A$2:$A$501,0),MATCH(E216,'激励事件明细'!$B$2:$B$501,0))),""))</f>
        <v/>
      </c>
      <c r="C216" s="6">
        <f>IF(A216="","",IFERROR(INDEX('激励事件明细'!$H$2:$H$501,IF(D216&lt;&gt;"",MATCH(D216,'激励事件明细'!$A$2:$A$501,0),MATCH(E216,'激励事件明细'!$B$2:$B$501,0))),""))</f>
        <v/>
      </c>
      <c r="D216" s="11" t="n"/>
      <c r="E216" s="11" t="n"/>
      <c r="F216" s="14">
        <f>IF(A216="","",IFERROR(INDEX('激励事件明细'!$Z$2:$Z$501,IF(D216&lt;&gt;"",MATCH(D216,'激励事件明细'!$A$2:$A$501,0),MATCH(E216,'激励事件明细'!$B$2:$B$501,0))),""))</f>
        <v/>
      </c>
      <c r="G216" s="16">
        <f>IF(A216="","",IFERROR(INDEX('激励事件明细'!$AA$2:$AA$501,IF(D216&lt;&gt;"",MATCH(D216,'激励事件明细'!$A$2:$A$501,0),MATCH(E216,'激励事件明细'!$B$2:$B$501,0))),""))</f>
        <v/>
      </c>
      <c r="H216" s="16">
        <f>IF(A216="","",IFERROR(INDEX('激励事件明细'!$AB$2:$AB$501,IF(D216&lt;&gt;"",MATCH(D216,'激励事件明细'!$A$2:$A$501,0),MATCH(E216,'激励事件明细'!$B$2:$B$501,0))),""))</f>
        <v/>
      </c>
      <c r="I216" s="12" t="n"/>
      <c r="J216" s="13" t="n"/>
      <c r="K216" s="13" t="n"/>
      <c r="L216" s="11" t="n"/>
      <c r="M216" s="14">
        <f>IF(A216="","",IF(D216&lt;&gt;"",SUMIFS($K$2:$K$501,$D$2:$D$501,D216),SUMIFS($K$2:$K$501,$E$2:$E$501,E216)))</f>
        <v/>
      </c>
      <c r="N216" s="14">
        <f>IF(F216="","",MAX(0,F216-M216))</f>
        <v/>
      </c>
      <c r="O216" s="6">
        <f>IF(A216="","",IF(AND(I216&lt;&gt;"",I216&gt;H216),"是",IF(AND(TODAY()&gt;H216,N216&gt;0),"是","否")))</f>
        <v/>
      </c>
      <c r="P216" s="16">
        <f>IF(A216="","",IFERROR(INDEX('激励事件明细'!$P$2:$P$501,IF(D216&lt;&gt;"",MATCH(D216,'激励事件明细'!$A$2:$A$501,0),MATCH(E216,'激励事件明细'!$B$2:$B$501,0))),""))</f>
        <v/>
      </c>
      <c r="Q216" s="6">
        <f>IF(AND(D216="",E216=""),"异常：必须关联事件编号或税额批次",IF(AND(D216&lt;&gt;"",COUNTIF('激励事件明细'!$A$2:$A$501,D216)=0),"异常：事件编号不存在",IF(AND(E216&lt;&gt;"",COUNTIF('激励事件明细'!$B$2:$B$501,E216)=0),"异常：税额批次不存在",IF(M216&gt;F216,"异常：本批次超额缴税",IF(AND(I216&lt;&gt;"",I216&gt;H216),"异常：超过事件截止日",IF(AND(P216&lt;&gt;"",TODAY()&gt;=P216,N216&gt;0),"异常：离职前未缴清","正常"))))))</f>
        <v/>
      </c>
      <c r="R216" s="11" t="n"/>
    </row>
    <row r="217">
      <c r="A217" s="6">
        <f>IF(AND(D217="",E217=""),"",IFERROR(INDEX('激励事件明细'!$C$2:$C$501,IF(D217&lt;&gt;"",MATCH(D217,'激励事件明细'!$A$2:$A$501,0),MATCH(E217,'激励事件明细'!$B$2:$B$501,0))),""))</f>
        <v/>
      </c>
      <c r="B217" s="6">
        <f>IF(A217="","",IFERROR(INDEX('激励事件明细'!$D$2:$D$501,IF(D217&lt;&gt;"",MATCH(D217,'激励事件明细'!$A$2:$A$501,0),MATCH(E217,'激励事件明细'!$B$2:$B$501,0))),""))</f>
        <v/>
      </c>
      <c r="C217" s="6">
        <f>IF(A217="","",IFERROR(INDEX('激励事件明细'!$H$2:$H$501,IF(D217&lt;&gt;"",MATCH(D217,'激励事件明细'!$A$2:$A$501,0),MATCH(E217,'激励事件明细'!$B$2:$B$501,0))),""))</f>
        <v/>
      </c>
      <c r="D217" s="11" t="n"/>
      <c r="E217" s="11" t="n"/>
      <c r="F217" s="14">
        <f>IF(A217="","",IFERROR(INDEX('激励事件明细'!$Z$2:$Z$501,IF(D217&lt;&gt;"",MATCH(D217,'激励事件明细'!$A$2:$A$501,0),MATCH(E217,'激励事件明细'!$B$2:$B$501,0))),""))</f>
        <v/>
      </c>
      <c r="G217" s="16">
        <f>IF(A217="","",IFERROR(INDEX('激励事件明细'!$AA$2:$AA$501,IF(D217&lt;&gt;"",MATCH(D217,'激励事件明细'!$A$2:$A$501,0),MATCH(E217,'激励事件明细'!$B$2:$B$501,0))),""))</f>
        <v/>
      </c>
      <c r="H217" s="16">
        <f>IF(A217="","",IFERROR(INDEX('激励事件明细'!$AB$2:$AB$501,IF(D217&lt;&gt;"",MATCH(D217,'激励事件明细'!$A$2:$A$501,0),MATCH(E217,'激励事件明细'!$B$2:$B$501,0))),""))</f>
        <v/>
      </c>
      <c r="I217" s="12" t="n"/>
      <c r="J217" s="13" t="n"/>
      <c r="K217" s="13" t="n"/>
      <c r="L217" s="11" t="n"/>
      <c r="M217" s="14">
        <f>IF(A217="","",IF(D217&lt;&gt;"",SUMIFS($K$2:$K$501,$D$2:$D$501,D217),SUMIFS($K$2:$K$501,$E$2:$E$501,E217)))</f>
        <v/>
      </c>
      <c r="N217" s="14">
        <f>IF(F217="","",MAX(0,F217-M217))</f>
        <v/>
      </c>
      <c r="O217" s="6">
        <f>IF(A217="","",IF(AND(I217&lt;&gt;"",I217&gt;H217),"是",IF(AND(TODAY()&gt;H217,N217&gt;0),"是","否")))</f>
        <v/>
      </c>
      <c r="P217" s="16">
        <f>IF(A217="","",IFERROR(INDEX('激励事件明细'!$P$2:$P$501,IF(D217&lt;&gt;"",MATCH(D217,'激励事件明细'!$A$2:$A$501,0),MATCH(E217,'激励事件明细'!$B$2:$B$501,0))),""))</f>
        <v/>
      </c>
      <c r="Q217" s="6">
        <f>IF(AND(D217="",E217=""),"异常：必须关联事件编号或税额批次",IF(AND(D217&lt;&gt;"",COUNTIF('激励事件明细'!$A$2:$A$501,D217)=0),"异常：事件编号不存在",IF(AND(E217&lt;&gt;"",COUNTIF('激励事件明细'!$B$2:$B$501,E217)=0),"异常：税额批次不存在",IF(M217&gt;F217,"异常：本批次超额缴税",IF(AND(I217&lt;&gt;"",I217&gt;H217),"异常：超过事件截止日",IF(AND(P217&lt;&gt;"",TODAY()&gt;=P217,N217&gt;0),"异常：离职前未缴清","正常"))))))</f>
        <v/>
      </c>
      <c r="R217" s="11" t="n"/>
    </row>
    <row r="218">
      <c r="A218" s="6">
        <f>IF(AND(D218="",E218=""),"",IFERROR(INDEX('激励事件明细'!$C$2:$C$501,IF(D218&lt;&gt;"",MATCH(D218,'激励事件明细'!$A$2:$A$501,0),MATCH(E218,'激励事件明细'!$B$2:$B$501,0))),""))</f>
        <v/>
      </c>
      <c r="B218" s="6">
        <f>IF(A218="","",IFERROR(INDEX('激励事件明细'!$D$2:$D$501,IF(D218&lt;&gt;"",MATCH(D218,'激励事件明细'!$A$2:$A$501,0),MATCH(E218,'激励事件明细'!$B$2:$B$501,0))),""))</f>
        <v/>
      </c>
      <c r="C218" s="6">
        <f>IF(A218="","",IFERROR(INDEX('激励事件明细'!$H$2:$H$501,IF(D218&lt;&gt;"",MATCH(D218,'激励事件明细'!$A$2:$A$501,0),MATCH(E218,'激励事件明细'!$B$2:$B$501,0))),""))</f>
        <v/>
      </c>
      <c r="D218" s="11" t="n"/>
      <c r="E218" s="11" t="n"/>
      <c r="F218" s="14">
        <f>IF(A218="","",IFERROR(INDEX('激励事件明细'!$Z$2:$Z$501,IF(D218&lt;&gt;"",MATCH(D218,'激励事件明细'!$A$2:$A$501,0),MATCH(E218,'激励事件明细'!$B$2:$B$501,0))),""))</f>
        <v/>
      </c>
      <c r="G218" s="16">
        <f>IF(A218="","",IFERROR(INDEX('激励事件明细'!$AA$2:$AA$501,IF(D218&lt;&gt;"",MATCH(D218,'激励事件明细'!$A$2:$A$501,0),MATCH(E218,'激励事件明细'!$B$2:$B$501,0))),""))</f>
        <v/>
      </c>
      <c r="H218" s="16">
        <f>IF(A218="","",IFERROR(INDEX('激励事件明细'!$AB$2:$AB$501,IF(D218&lt;&gt;"",MATCH(D218,'激励事件明细'!$A$2:$A$501,0),MATCH(E218,'激励事件明细'!$B$2:$B$501,0))),""))</f>
        <v/>
      </c>
      <c r="I218" s="12" t="n"/>
      <c r="J218" s="13" t="n"/>
      <c r="K218" s="13" t="n"/>
      <c r="L218" s="11" t="n"/>
      <c r="M218" s="14">
        <f>IF(A218="","",IF(D218&lt;&gt;"",SUMIFS($K$2:$K$501,$D$2:$D$501,D218),SUMIFS($K$2:$K$501,$E$2:$E$501,E218)))</f>
        <v/>
      </c>
      <c r="N218" s="14">
        <f>IF(F218="","",MAX(0,F218-M218))</f>
        <v/>
      </c>
      <c r="O218" s="6">
        <f>IF(A218="","",IF(AND(I218&lt;&gt;"",I218&gt;H218),"是",IF(AND(TODAY()&gt;H218,N218&gt;0),"是","否")))</f>
        <v/>
      </c>
      <c r="P218" s="16">
        <f>IF(A218="","",IFERROR(INDEX('激励事件明细'!$P$2:$P$501,IF(D218&lt;&gt;"",MATCH(D218,'激励事件明细'!$A$2:$A$501,0),MATCH(E218,'激励事件明细'!$B$2:$B$501,0))),""))</f>
        <v/>
      </c>
      <c r="Q218" s="6">
        <f>IF(AND(D218="",E218=""),"异常：必须关联事件编号或税额批次",IF(AND(D218&lt;&gt;"",COUNTIF('激励事件明细'!$A$2:$A$501,D218)=0),"异常：事件编号不存在",IF(AND(E218&lt;&gt;"",COUNTIF('激励事件明细'!$B$2:$B$501,E218)=0),"异常：税额批次不存在",IF(M218&gt;F218,"异常：本批次超额缴税",IF(AND(I218&lt;&gt;"",I218&gt;H218),"异常：超过事件截止日",IF(AND(P218&lt;&gt;"",TODAY()&gt;=P218,N218&gt;0),"异常：离职前未缴清","正常"))))))</f>
        <v/>
      </c>
      <c r="R218" s="11" t="n"/>
    </row>
    <row r="219">
      <c r="A219" s="6">
        <f>IF(AND(D219="",E219=""),"",IFERROR(INDEX('激励事件明细'!$C$2:$C$501,IF(D219&lt;&gt;"",MATCH(D219,'激励事件明细'!$A$2:$A$501,0),MATCH(E219,'激励事件明细'!$B$2:$B$501,0))),""))</f>
        <v/>
      </c>
      <c r="B219" s="6">
        <f>IF(A219="","",IFERROR(INDEX('激励事件明细'!$D$2:$D$501,IF(D219&lt;&gt;"",MATCH(D219,'激励事件明细'!$A$2:$A$501,0),MATCH(E219,'激励事件明细'!$B$2:$B$501,0))),""))</f>
        <v/>
      </c>
      <c r="C219" s="6">
        <f>IF(A219="","",IFERROR(INDEX('激励事件明细'!$H$2:$H$501,IF(D219&lt;&gt;"",MATCH(D219,'激励事件明细'!$A$2:$A$501,0),MATCH(E219,'激励事件明细'!$B$2:$B$501,0))),""))</f>
        <v/>
      </c>
      <c r="D219" s="11" t="n"/>
      <c r="E219" s="11" t="n"/>
      <c r="F219" s="14">
        <f>IF(A219="","",IFERROR(INDEX('激励事件明细'!$Z$2:$Z$501,IF(D219&lt;&gt;"",MATCH(D219,'激励事件明细'!$A$2:$A$501,0),MATCH(E219,'激励事件明细'!$B$2:$B$501,0))),""))</f>
        <v/>
      </c>
      <c r="G219" s="16">
        <f>IF(A219="","",IFERROR(INDEX('激励事件明细'!$AA$2:$AA$501,IF(D219&lt;&gt;"",MATCH(D219,'激励事件明细'!$A$2:$A$501,0),MATCH(E219,'激励事件明细'!$B$2:$B$501,0))),""))</f>
        <v/>
      </c>
      <c r="H219" s="16">
        <f>IF(A219="","",IFERROR(INDEX('激励事件明细'!$AB$2:$AB$501,IF(D219&lt;&gt;"",MATCH(D219,'激励事件明细'!$A$2:$A$501,0),MATCH(E219,'激励事件明细'!$B$2:$B$501,0))),""))</f>
        <v/>
      </c>
      <c r="I219" s="12" t="n"/>
      <c r="J219" s="13" t="n"/>
      <c r="K219" s="13" t="n"/>
      <c r="L219" s="11" t="n"/>
      <c r="M219" s="14">
        <f>IF(A219="","",IF(D219&lt;&gt;"",SUMIFS($K$2:$K$501,$D$2:$D$501,D219),SUMIFS($K$2:$K$501,$E$2:$E$501,E219)))</f>
        <v/>
      </c>
      <c r="N219" s="14">
        <f>IF(F219="","",MAX(0,F219-M219))</f>
        <v/>
      </c>
      <c r="O219" s="6">
        <f>IF(A219="","",IF(AND(I219&lt;&gt;"",I219&gt;H219),"是",IF(AND(TODAY()&gt;H219,N219&gt;0),"是","否")))</f>
        <v/>
      </c>
      <c r="P219" s="16">
        <f>IF(A219="","",IFERROR(INDEX('激励事件明细'!$P$2:$P$501,IF(D219&lt;&gt;"",MATCH(D219,'激励事件明细'!$A$2:$A$501,0),MATCH(E219,'激励事件明细'!$B$2:$B$501,0))),""))</f>
        <v/>
      </c>
      <c r="Q219" s="6">
        <f>IF(AND(D219="",E219=""),"异常：必须关联事件编号或税额批次",IF(AND(D219&lt;&gt;"",COUNTIF('激励事件明细'!$A$2:$A$501,D219)=0),"异常：事件编号不存在",IF(AND(E219&lt;&gt;"",COUNTIF('激励事件明细'!$B$2:$B$501,E219)=0),"异常：税额批次不存在",IF(M219&gt;F219,"异常：本批次超额缴税",IF(AND(I219&lt;&gt;"",I219&gt;H219),"异常：超过事件截止日",IF(AND(P219&lt;&gt;"",TODAY()&gt;=P219,N219&gt;0),"异常：离职前未缴清","正常"))))))</f>
        <v/>
      </c>
      <c r="R219" s="11" t="n"/>
    </row>
    <row r="220">
      <c r="A220" s="6">
        <f>IF(AND(D220="",E220=""),"",IFERROR(INDEX('激励事件明细'!$C$2:$C$501,IF(D220&lt;&gt;"",MATCH(D220,'激励事件明细'!$A$2:$A$501,0),MATCH(E220,'激励事件明细'!$B$2:$B$501,0))),""))</f>
        <v/>
      </c>
      <c r="B220" s="6">
        <f>IF(A220="","",IFERROR(INDEX('激励事件明细'!$D$2:$D$501,IF(D220&lt;&gt;"",MATCH(D220,'激励事件明细'!$A$2:$A$501,0),MATCH(E220,'激励事件明细'!$B$2:$B$501,0))),""))</f>
        <v/>
      </c>
      <c r="C220" s="6">
        <f>IF(A220="","",IFERROR(INDEX('激励事件明细'!$H$2:$H$501,IF(D220&lt;&gt;"",MATCH(D220,'激励事件明细'!$A$2:$A$501,0),MATCH(E220,'激励事件明细'!$B$2:$B$501,0))),""))</f>
        <v/>
      </c>
      <c r="D220" s="11" t="n"/>
      <c r="E220" s="11" t="n"/>
      <c r="F220" s="14">
        <f>IF(A220="","",IFERROR(INDEX('激励事件明细'!$Z$2:$Z$501,IF(D220&lt;&gt;"",MATCH(D220,'激励事件明细'!$A$2:$A$501,0),MATCH(E220,'激励事件明细'!$B$2:$B$501,0))),""))</f>
        <v/>
      </c>
      <c r="G220" s="16">
        <f>IF(A220="","",IFERROR(INDEX('激励事件明细'!$AA$2:$AA$501,IF(D220&lt;&gt;"",MATCH(D220,'激励事件明细'!$A$2:$A$501,0),MATCH(E220,'激励事件明细'!$B$2:$B$501,0))),""))</f>
        <v/>
      </c>
      <c r="H220" s="16">
        <f>IF(A220="","",IFERROR(INDEX('激励事件明细'!$AB$2:$AB$501,IF(D220&lt;&gt;"",MATCH(D220,'激励事件明细'!$A$2:$A$501,0),MATCH(E220,'激励事件明细'!$B$2:$B$501,0))),""))</f>
        <v/>
      </c>
      <c r="I220" s="12" t="n"/>
      <c r="J220" s="13" t="n"/>
      <c r="K220" s="13" t="n"/>
      <c r="L220" s="11" t="n"/>
      <c r="M220" s="14">
        <f>IF(A220="","",IF(D220&lt;&gt;"",SUMIFS($K$2:$K$501,$D$2:$D$501,D220),SUMIFS($K$2:$K$501,$E$2:$E$501,E220)))</f>
        <v/>
      </c>
      <c r="N220" s="14">
        <f>IF(F220="","",MAX(0,F220-M220))</f>
        <v/>
      </c>
      <c r="O220" s="6">
        <f>IF(A220="","",IF(AND(I220&lt;&gt;"",I220&gt;H220),"是",IF(AND(TODAY()&gt;H220,N220&gt;0),"是","否")))</f>
        <v/>
      </c>
      <c r="P220" s="16">
        <f>IF(A220="","",IFERROR(INDEX('激励事件明细'!$P$2:$P$501,IF(D220&lt;&gt;"",MATCH(D220,'激励事件明细'!$A$2:$A$501,0),MATCH(E220,'激励事件明细'!$B$2:$B$501,0))),""))</f>
        <v/>
      </c>
      <c r="Q220" s="6">
        <f>IF(AND(D220="",E220=""),"异常：必须关联事件编号或税额批次",IF(AND(D220&lt;&gt;"",COUNTIF('激励事件明细'!$A$2:$A$501,D220)=0),"异常：事件编号不存在",IF(AND(E220&lt;&gt;"",COUNTIF('激励事件明细'!$B$2:$B$501,E220)=0),"异常：税额批次不存在",IF(M220&gt;F220,"异常：本批次超额缴税",IF(AND(I220&lt;&gt;"",I220&gt;H220),"异常：超过事件截止日",IF(AND(P220&lt;&gt;"",TODAY()&gt;=P220,N220&gt;0),"异常：离职前未缴清","正常"))))))</f>
        <v/>
      </c>
      <c r="R220" s="11" t="n"/>
    </row>
    <row r="221">
      <c r="A221" s="6">
        <f>IF(AND(D221="",E221=""),"",IFERROR(INDEX('激励事件明细'!$C$2:$C$501,IF(D221&lt;&gt;"",MATCH(D221,'激励事件明细'!$A$2:$A$501,0),MATCH(E221,'激励事件明细'!$B$2:$B$501,0))),""))</f>
        <v/>
      </c>
      <c r="B221" s="6">
        <f>IF(A221="","",IFERROR(INDEX('激励事件明细'!$D$2:$D$501,IF(D221&lt;&gt;"",MATCH(D221,'激励事件明细'!$A$2:$A$501,0),MATCH(E221,'激励事件明细'!$B$2:$B$501,0))),""))</f>
        <v/>
      </c>
      <c r="C221" s="6">
        <f>IF(A221="","",IFERROR(INDEX('激励事件明细'!$H$2:$H$501,IF(D221&lt;&gt;"",MATCH(D221,'激励事件明细'!$A$2:$A$501,0),MATCH(E221,'激励事件明细'!$B$2:$B$501,0))),""))</f>
        <v/>
      </c>
      <c r="D221" s="11" t="n"/>
      <c r="E221" s="11" t="n"/>
      <c r="F221" s="14">
        <f>IF(A221="","",IFERROR(INDEX('激励事件明细'!$Z$2:$Z$501,IF(D221&lt;&gt;"",MATCH(D221,'激励事件明细'!$A$2:$A$501,0),MATCH(E221,'激励事件明细'!$B$2:$B$501,0))),""))</f>
        <v/>
      </c>
      <c r="G221" s="16">
        <f>IF(A221="","",IFERROR(INDEX('激励事件明细'!$AA$2:$AA$501,IF(D221&lt;&gt;"",MATCH(D221,'激励事件明细'!$A$2:$A$501,0),MATCH(E221,'激励事件明细'!$B$2:$B$501,0))),""))</f>
        <v/>
      </c>
      <c r="H221" s="16">
        <f>IF(A221="","",IFERROR(INDEX('激励事件明细'!$AB$2:$AB$501,IF(D221&lt;&gt;"",MATCH(D221,'激励事件明细'!$A$2:$A$501,0),MATCH(E221,'激励事件明细'!$B$2:$B$501,0))),""))</f>
        <v/>
      </c>
      <c r="I221" s="12" t="n"/>
      <c r="J221" s="13" t="n"/>
      <c r="K221" s="13" t="n"/>
      <c r="L221" s="11" t="n"/>
      <c r="M221" s="14">
        <f>IF(A221="","",IF(D221&lt;&gt;"",SUMIFS($K$2:$K$501,$D$2:$D$501,D221),SUMIFS($K$2:$K$501,$E$2:$E$501,E221)))</f>
        <v/>
      </c>
      <c r="N221" s="14">
        <f>IF(F221="","",MAX(0,F221-M221))</f>
        <v/>
      </c>
      <c r="O221" s="6">
        <f>IF(A221="","",IF(AND(I221&lt;&gt;"",I221&gt;H221),"是",IF(AND(TODAY()&gt;H221,N221&gt;0),"是","否")))</f>
        <v/>
      </c>
      <c r="P221" s="16">
        <f>IF(A221="","",IFERROR(INDEX('激励事件明细'!$P$2:$P$501,IF(D221&lt;&gt;"",MATCH(D221,'激励事件明细'!$A$2:$A$501,0),MATCH(E221,'激励事件明细'!$B$2:$B$501,0))),""))</f>
        <v/>
      </c>
      <c r="Q221" s="6">
        <f>IF(AND(D221="",E221=""),"异常：必须关联事件编号或税额批次",IF(AND(D221&lt;&gt;"",COUNTIF('激励事件明细'!$A$2:$A$501,D221)=0),"异常：事件编号不存在",IF(AND(E221&lt;&gt;"",COUNTIF('激励事件明细'!$B$2:$B$501,E221)=0),"异常：税额批次不存在",IF(M221&gt;F221,"异常：本批次超额缴税",IF(AND(I221&lt;&gt;"",I221&gt;H221),"异常：超过事件截止日",IF(AND(P221&lt;&gt;"",TODAY()&gt;=P221,N221&gt;0),"异常：离职前未缴清","正常"))))))</f>
        <v/>
      </c>
      <c r="R221" s="11" t="n"/>
    </row>
    <row r="222">
      <c r="A222" s="6">
        <f>IF(AND(D222="",E222=""),"",IFERROR(INDEX('激励事件明细'!$C$2:$C$501,IF(D222&lt;&gt;"",MATCH(D222,'激励事件明细'!$A$2:$A$501,0),MATCH(E222,'激励事件明细'!$B$2:$B$501,0))),""))</f>
        <v/>
      </c>
      <c r="B222" s="6">
        <f>IF(A222="","",IFERROR(INDEX('激励事件明细'!$D$2:$D$501,IF(D222&lt;&gt;"",MATCH(D222,'激励事件明细'!$A$2:$A$501,0),MATCH(E222,'激励事件明细'!$B$2:$B$501,0))),""))</f>
        <v/>
      </c>
      <c r="C222" s="6">
        <f>IF(A222="","",IFERROR(INDEX('激励事件明细'!$H$2:$H$501,IF(D222&lt;&gt;"",MATCH(D222,'激励事件明细'!$A$2:$A$501,0),MATCH(E222,'激励事件明细'!$B$2:$B$501,0))),""))</f>
        <v/>
      </c>
      <c r="D222" s="11" t="n"/>
      <c r="E222" s="11" t="n"/>
      <c r="F222" s="14">
        <f>IF(A222="","",IFERROR(INDEX('激励事件明细'!$Z$2:$Z$501,IF(D222&lt;&gt;"",MATCH(D222,'激励事件明细'!$A$2:$A$501,0),MATCH(E222,'激励事件明细'!$B$2:$B$501,0))),""))</f>
        <v/>
      </c>
      <c r="G222" s="16">
        <f>IF(A222="","",IFERROR(INDEX('激励事件明细'!$AA$2:$AA$501,IF(D222&lt;&gt;"",MATCH(D222,'激励事件明细'!$A$2:$A$501,0),MATCH(E222,'激励事件明细'!$B$2:$B$501,0))),""))</f>
        <v/>
      </c>
      <c r="H222" s="16">
        <f>IF(A222="","",IFERROR(INDEX('激励事件明细'!$AB$2:$AB$501,IF(D222&lt;&gt;"",MATCH(D222,'激励事件明细'!$A$2:$A$501,0),MATCH(E222,'激励事件明细'!$B$2:$B$501,0))),""))</f>
        <v/>
      </c>
      <c r="I222" s="12" t="n"/>
      <c r="J222" s="13" t="n"/>
      <c r="K222" s="13" t="n"/>
      <c r="L222" s="11" t="n"/>
      <c r="M222" s="14">
        <f>IF(A222="","",IF(D222&lt;&gt;"",SUMIFS($K$2:$K$501,$D$2:$D$501,D222),SUMIFS($K$2:$K$501,$E$2:$E$501,E222)))</f>
        <v/>
      </c>
      <c r="N222" s="14">
        <f>IF(F222="","",MAX(0,F222-M222))</f>
        <v/>
      </c>
      <c r="O222" s="6">
        <f>IF(A222="","",IF(AND(I222&lt;&gt;"",I222&gt;H222),"是",IF(AND(TODAY()&gt;H222,N222&gt;0),"是","否")))</f>
        <v/>
      </c>
      <c r="P222" s="16">
        <f>IF(A222="","",IFERROR(INDEX('激励事件明细'!$P$2:$P$501,IF(D222&lt;&gt;"",MATCH(D222,'激励事件明细'!$A$2:$A$501,0),MATCH(E222,'激励事件明细'!$B$2:$B$501,0))),""))</f>
        <v/>
      </c>
      <c r="Q222" s="6">
        <f>IF(AND(D222="",E222=""),"异常：必须关联事件编号或税额批次",IF(AND(D222&lt;&gt;"",COUNTIF('激励事件明细'!$A$2:$A$501,D222)=0),"异常：事件编号不存在",IF(AND(E222&lt;&gt;"",COUNTIF('激励事件明细'!$B$2:$B$501,E222)=0),"异常：税额批次不存在",IF(M222&gt;F222,"异常：本批次超额缴税",IF(AND(I222&lt;&gt;"",I222&gt;H222),"异常：超过事件截止日",IF(AND(P222&lt;&gt;"",TODAY()&gt;=P222,N222&gt;0),"异常：离职前未缴清","正常"))))))</f>
        <v/>
      </c>
      <c r="R222" s="11" t="n"/>
    </row>
    <row r="223">
      <c r="A223" s="6">
        <f>IF(AND(D223="",E223=""),"",IFERROR(INDEX('激励事件明细'!$C$2:$C$501,IF(D223&lt;&gt;"",MATCH(D223,'激励事件明细'!$A$2:$A$501,0),MATCH(E223,'激励事件明细'!$B$2:$B$501,0))),""))</f>
        <v/>
      </c>
      <c r="B223" s="6">
        <f>IF(A223="","",IFERROR(INDEX('激励事件明细'!$D$2:$D$501,IF(D223&lt;&gt;"",MATCH(D223,'激励事件明细'!$A$2:$A$501,0),MATCH(E223,'激励事件明细'!$B$2:$B$501,0))),""))</f>
        <v/>
      </c>
      <c r="C223" s="6">
        <f>IF(A223="","",IFERROR(INDEX('激励事件明细'!$H$2:$H$501,IF(D223&lt;&gt;"",MATCH(D223,'激励事件明细'!$A$2:$A$501,0),MATCH(E223,'激励事件明细'!$B$2:$B$501,0))),""))</f>
        <v/>
      </c>
      <c r="D223" s="11" t="n"/>
      <c r="E223" s="11" t="n"/>
      <c r="F223" s="14">
        <f>IF(A223="","",IFERROR(INDEX('激励事件明细'!$Z$2:$Z$501,IF(D223&lt;&gt;"",MATCH(D223,'激励事件明细'!$A$2:$A$501,0),MATCH(E223,'激励事件明细'!$B$2:$B$501,0))),""))</f>
        <v/>
      </c>
      <c r="G223" s="16">
        <f>IF(A223="","",IFERROR(INDEX('激励事件明细'!$AA$2:$AA$501,IF(D223&lt;&gt;"",MATCH(D223,'激励事件明细'!$A$2:$A$501,0),MATCH(E223,'激励事件明细'!$B$2:$B$501,0))),""))</f>
        <v/>
      </c>
      <c r="H223" s="16">
        <f>IF(A223="","",IFERROR(INDEX('激励事件明细'!$AB$2:$AB$501,IF(D223&lt;&gt;"",MATCH(D223,'激励事件明细'!$A$2:$A$501,0),MATCH(E223,'激励事件明细'!$B$2:$B$501,0))),""))</f>
        <v/>
      </c>
      <c r="I223" s="12" t="n"/>
      <c r="J223" s="13" t="n"/>
      <c r="K223" s="13" t="n"/>
      <c r="L223" s="11" t="n"/>
      <c r="M223" s="14">
        <f>IF(A223="","",IF(D223&lt;&gt;"",SUMIFS($K$2:$K$501,$D$2:$D$501,D223),SUMIFS($K$2:$K$501,$E$2:$E$501,E223)))</f>
        <v/>
      </c>
      <c r="N223" s="14">
        <f>IF(F223="","",MAX(0,F223-M223))</f>
        <v/>
      </c>
      <c r="O223" s="6">
        <f>IF(A223="","",IF(AND(I223&lt;&gt;"",I223&gt;H223),"是",IF(AND(TODAY()&gt;H223,N223&gt;0),"是","否")))</f>
        <v/>
      </c>
      <c r="P223" s="16">
        <f>IF(A223="","",IFERROR(INDEX('激励事件明细'!$P$2:$P$501,IF(D223&lt;&gt;"",MATCH(D223,'激励事件明细'!$A$2:$A$501,0),MATCH(E223,'激励事件明细'!$B$2:$B$501,0))),""))</f>
        <v/>
      </c>
      <c r="Q223" s="6">
        <f>IF(AND(D223="",E223=""),"异常：必须关联事件编号或税额批次",IF(AND(D223&lt;&gt;"",COUNTIF('激励事件明细'!$A$2:$A$501,D223)=0),"异常：事件编号不存在",IF(AND(E223&lt;&gt;"",COUNTIF('激励事件明细'!$B$2:$B$501,E223)=0),"异常：税额批次不存在",IF(M223&gt;F223,"异常：本批次超额缴税",IF(AND(I223&lt;&gt;"",I223&gt;H223),"异常：超过事件截止日",IF(AND(P223&lt;&gt;"",TODAY()&gt;=P223,N223&gt;0),"异常：离职前未缴清","正常"))))))</f>
        <v/>
      </c>
      <c r="R223" s="11" t="n"/>
    </row>
    <row r="224">
      <c r="A224" s="6">
        <f>IF(AND(D224="",E224=""),"",IFERROR(INDEX('激励事件明细'!$C$2:$C$501,IF(D224&lt;&gt;"",MATCH(D224,'激励事件明细'!$A$2:$A$501,0),MATCH(E224,'激励事件明细'!$B$2:$B$501,0))),""))</f>
        <v/>
      </c>
      <c r="B224" s="6">
        <f>IF(A224="","",IFERROR(INDEX('激励事件明细'!$D$2:$D$501,IF(D224&lt;&gt;"",MATCH(D224,'激励事件明细'!$A$2:$A$501,0),MATCH(E224,'激励事件明细'!$B$2:$B$501,0))),""))</f>
        <v/>
      </c>
      <c r="C224" s="6">
        <f>IF(A224="","",IFERROR(INDEX('激励事件明细'!$H$2:$H$501,IF(D224&lt;&gt;"",MATCH(D224,'激励事件明细'!$A$2:$A$501,0),MATCH(E224,'激励事件明细'!$B$2:$B$501,0))),""))</f>
        <v/>
      </c>
      <c r="D224" s="11" t="n"/>
      <c r="E224" s="11" t="n"/>
      <c r="F224" s="14">
        <f>IF(A224="","",IFERROR(INDEX('激励事件明细'!$Z$2:$Z$501,IF(D224&lt;&gt;"",MATCH(D224,'激励事件明细'!$A$2:$A$501,0),MATCH(E224,'激励事件明细'!$B$2:$B$501,0))),""))</f>
        <v/>
      </c>
      <c r="G224" s="16">
        <f>IF(A224="","",IFERROR(INDEX('激励事件明细'!$AA$2:$AA$501,IF(D224&lt;&gt;"",MATCH(D224,'激励事件明细'!$A$2:$A$501,0),MATCH(E224,'激励事件明细'!$B$2:$B$501,0))),""))</f>
        <v/>
      </c>
      <c r="H224" s="16">
        <f>IF(A224="","",IFERROR(INDEX('激励事件明细'!$AB$2:$AB$501,IF(D224&lt;&gt;"",MATCH(D224,'激励事件明细'!$A$2:$A$501,0),MATCH(E224,'激励事件明细'!$B$2:$B$501,0))),""))</f>
        <v/>
      </c>
      <c r="I224" s="12" t="n"/>
      <c r="J224" s="13" t="n"/>
      <c r="K224" s="13" t="n"/>
      <c r="L224" s="11" t="n"/>
      <c r="M224" s="14">
        <f>IF(A224="","",IF(D224&lt;&gt;"",SUMIFS($K$2:$K$501,$D$2:$D$501,D224),SUMIFS($K$2:$K$501,$E$2:$E$501,E224)))</f>
        <v/>
      </c>
      <c r="N224" s="14">
        <f>IF(F224="","",MAX(0,F224-M224))</f>
        <v/>
      </c>
      <c r="O224" s="6">
        <f>IF(A224="","",IF(AND(I224&lt;&gt;"",I224&gt;H224),"是",IF(AND(TODAY()&gt;H224,N224&gt;0),"是","否")))</f>
        <v/>
      </c>
      <c r="P224" s="16">
        <f>IF(A224="","",IFERROR(INDEX('激励事件明细'!$P$2:$P$501,IF(D224&lt;&gt;"",MATCH(D224,'激励事件明细'!$A$2:$A$501,0),MATCH(E224,'激励事件明细'!$B$2:$B$501,0))),""))</f>
        <v/>
      </c>
      <c r="Q224" s="6">
        <f>IF(AND(D224="",E224=""),"异常：必须关联事件编号或税额批次",IF(AND(D224&lt;&gt;"",COUNTIF('激励事件明细'!$A$2:$A$501,D224)=0),"异常：事件编号不存在",IF(AND(E224&lt;&gt;"",COUNTIF('激励事件明细'!$B$2:$B$501,E224)=0),"异常：税额批次不存在",IF(M224&gt;F224,"异常：本批次超额缴税",IF(AND(I224&lt;&gt;"",I224&gt;H224),"异常：超过事件截止日",IF(AND(P224&lt;&gt;"",TODAY()&gt;=P224,N224&gt;0),"异常：离职前未缴清","正常"))))))</f>
        <v/>
      </c>
      <c r="R224" s="11" t="n"/>
    </row>
    <row r="225">
      <c r="A225" s="6">
        <f>IF(AND(D225="",E225=""),"",IFERROR(INDEX('激励事件明细'!$C$2:$C$501,IF(D225&lt;&gt;"",MATCH(D225,'激励事件明细'!$A$2:$A$501,0),MATCH(E225,'激励事件明细'!$B$2:$B$501,0))),""))</f>
        <v/>
      </c>
      <c r="B225" s="6">
        <f>IF(A225="","",IFERROR(INDEX('激励事件明细'!$D$2:$D$501,IF(D225&lt;&gt;"",MATCH(D225,'激励事件明细'!$A$2:$A$501,0),MATCH(E225,'激励事件明细'!$B$2:$B$501,0))),""))</f>
        <v/>
      </c>
      <c r="C225" s="6">
        <f>IF(A225="","",IFERROR(INDEX('激励事件明细'!$H$2:$H$501,IF(D225&lt;&gt;"",MATCH(D225,'激励事件明细'!$A$2:$A$501,0),MATCH(E225,'激励事件明细'!$B$2:$B$501,0))),""))</f>
        <v/>
      </c>
      <c r="D225" s="11" t="n"/>
      <c r="E225" s="11" t="n"/>
      <c r="F225" s="14">
        <f>IF(A225="","",IFERROR(INDEX('激励事件明细'!$Z$2:$Z$501,IF(D225&lt;&gt;"",MATCH(D225,'激励事件明细'!$A$2:$A$501,0),MATCH(E225,'激励事件明细'!$B$2:$B$501,0))),""))</f>
        <v/>
      </c>
      <c r="G225" s="16">
        <f>IF(A225="","",IFERROR(INDEX('激励事件明细'!$AA$2:$AA$501,IF(D225&lt;&gt;"",MATCH(D225,'激励事件明细'!$A$2:$A$501,0),MATCH(E225,'激励事件明细'!$B$2:$B$501,0))),""))</f>
        <v/>
      </c>
      <c r="H225" s="16">
        <f>IF(A225="","",IFERROR(INDEX('激励事件明细'!$AB$2:$AB$501,IF(D225&lt;&gt;"",MATCH(D225,'激励事件明细'!$A$2:$A$501,0),MATCH(E225,'激励事件明细'!$B$2:$B$501,0))),""))</f>
        <v/>
      </c>
      <c r="I225" s="12" t="n"/>
      <c r="J225" s="13" t="n"/>
      <c r="K225" s="13" t="n"/>
      <c r="L225" s="11" t="n"/>
      <c r="M225" s="14">
        <f>IF(A225="","",IF(D225&lt;&gt;"",SUMIFS($K$2:$K$501,$D$2:$D$501,D225),SUMIFS($K$2:$K$501,$E$2:$E$501,E225)))</f>
        <v/>
      </c>
      <c r="N225" s="14">
        <f>IF(F225="","",MAX(0,F225-M225))</f>
        <v/>
      </c>
      <c r="O225" s="6">
        <f>IF(A225="","",IF(AND(I225&lt;&gt;"",I225&gt;H225),"是",IF(AND(TODAY()&gt;H225,N225&gt;0),"是","否")))</f>
        <v/>
      </c>
      <c r="P225" s="16">
        <f>IF(A225="","",IFERROR(INDEX('激励事件明细'!$P$2:$P$501,IF(D225&lt;&gt;"",MATCH(D225,'激励事件明细'!$A$2:$A$501,0),MATCH(E225,'激励事件明细'!$B$2:$B$501,0))),""))</f>
        <v/>
      </c>
      <c r="Q225" s="6">
        <f>IF(AND(D225="",E225=""),"异常：必须关联事件编号或税额批次",IF(AND(D225&lt;&gt;"",COUNTIF('激励事件明细'!$A$2:$A$501,D225)=0),"异常：事件编号不存在",IF(AND(E225&lt;&gt;"",COUNTIF('激励事件明细'!$B$2:$B$501,E225)=0),"异常：税额批次不存在",IF(M225&gt;F225,"异常：本批次超额缴税",IF(AND(I225&lt;&gt;"",I225&gt;H225),"异常：超过事件截止日",IF(AND(P225&lt;&gt;"",TODAY()&gt;=P225,N225&gt;0),"异常：离职前未缴清","正常"))))))</f>
        <v/>
      </c>
      <c r="R225" s="11" t="n"/>
    </row>
    <row r="226">
      <c r="A226" s="6">
        <f>IF(AND(D226="",E226=""),"",IFERROR(INDEX('激励事件明细'!$C$2:$C$501,IF(D226&lt;&gt;"",MATCH(D226,'激励事件明细'!$A$2:$A$501,0),MATCH(E226,'激励事件明细'!$B$2:$B$501,0))),""))</f>
        <v/>
      </c>
      <c r="B226" s="6">
        <f>IF(A226="","",IFERROR(INDEX('激励事件明细'!$D$2:$D$501,IF(D226&lt;&gt;"",MATCH(D226,'激励事件明细'!$A$2:$A$501,0),MATCH(E226,'激励事件明细'!$B$2:$B$501,0))),""))</f>
        <v/>
      </c>
      <c r="C226" s="6">
        <f>IF(A226="","",IFERROR(INDEX('激励事件明细'!$H$2:$H$501,IF(D226&lt;&gt;"",MATCH(D226,'激励事件明细'!$A$2:$A$501,0),MATCH(E226,'激励事件明细'!$B$2:$B$501,0))),""))</f>
        <v/>
      </c>
      <c r="D226" s="11" t="n"/>
      <c r="E226" s="11" t="n"/>
      <c r="F226" s="14">
        <f>IF(A226="","",IFERROR(INDEX('激励事件明细'!$Z$2:$Z$501,IF(D226&lt;&gt;"",MATCH(D226,'激励事件明细'!$A$2:$A$501,0),MATCH(E226,'激励事件明细'!$B$2:$B$501,0))),""))</f>
        <v/>
      </c>
      <c r="G226" s="16">
        <f>IF(A226="","",IFERROR(INDEX('激励事件明细'!$AA$2:$AA$501,IF(D226&lt;&gt;"",MATCH(D226,'激励事件明细'!$A$2:$A$501,0),MATCH(E226,'激励事件明细'!$B$2:$B$501,0))),""))</f>
        <v/>
      </c>
      <c r="H226" s="16">
        <f>IF(A226="","",IFERROR(INDEX('激励事件明细'!$AB$2:$AB$501,IF(D226&lt;&gt;"",MATCH(D226,'激励事件明细'!$A$2:$A$501,0),MATCH(E226,'激励事件明细'!$B$2:$B$501,0))),""))</f>
        <v/>
      </c>
      <c r="I226" s="12" t="n"/>
      <c r="J226" s="13" t="n"/>
      <c r="K226" s="13" t="n"/>
      <c r="L226" s="11" t="n"/>
      <c r="M226" s="14">
        <f>IF(A226="","",IF(D226&lt;&gt;"",SUMIFS($K$2:$K$501,$D$2:$D$501,D226),SUMIFS($K$2:$K$501,$E$2:$E$501,E226)))</f>
        <v/>
      </c>
      <c r="N226" s="14">
        <f>IF(F226="","",MAX(0,F226-M226))</f>
        <v/>
      </c>
      <c r="O226" s="6">
        <f>IF(A226="","",IF(AND(I226&lt;&gt;"",I226&gt;H226),"是",IF(AND(TODAY()&gt;H226,N226&gt;0),"是","否")))</f>
        <v/>
      </c>
      <c r="P226" s="16">
        <f>IF(A226="","",IFERROR(INDEX('激励事件明细'!$P$2:$P$501,IF(D226&lt;&gt;"",MATCH(D226,'激励事件明细'!$A$2:$A$501,0),MATCH(E226,'激励事件明细'!$B$2:$B$501,0))),""))</f>
        <v/>
      </c>
      <c r="Q226" s="6">
        <f>IF(AND(D226="",E226=""),"异常：必须关联事件编号或税额批次",IF(AND(D226&lt;&gt;"",COUNTIF('激励事件明细'!$A$2:$A$501,D226)=0),"异常：事件编号不存在",IF(AND(E226&lt;&gt;"",COUNTIF('激励事件明细'!$B$2:$B$501,E226)=0),"异常：税额批次不存在",IF(M226&gt;F226,"异常：本批次超额缴税",IF(AND(I226&lt;&gt;"",I226&gt;H226),"异常：超过事件截止日",IF(AND(P226&lt;&gt;"",TODAY()&gt;=P226,N226&gt;0),"异常：离职前未缴清","正常"))))))</f>
        <v/>
      </c>
      <c r="R226" s="11" t="n"/>
    </row>
    <row r="227">
      <c r="A227" s="6">
        <f>IF(AND(D227="",E227=""),"",IFERROR(INDEX('激励事件明细'!$C$2:$C$501,IF(D227&lt;&gt;"",MATCH(D227,'激励事件明细'!$A$2:$A$501,0),MATCH(E227,'激励事件明细'!$B$2:$B$501,0))),""))</f>
        <v/>
      </c>
      <c r="B227" s="6">
        <f>IF(A227="","",IFERROR(INDEX('激励事件明细'!$D$2:$D$501,IF(D227&lt;&gt;"",MATCH(D227,'激励事件明细'!$A$2:$A$501,0),MATCH(E227,'激励事件明细'!$B$2:$B$501,0))),""))</f>
        <v/>
      </c>
      <c r="C227" s="6">
        <f>IF(A227="","",IFERROR(INDEX('激励事件明细'!$H$2:$H$501,IF(D227&lt;&gt;"",MATCH(D227,'激励事件明细'!$A$2:$A$501,0),MATCH(E227,'激励事件明细'!$B$2:$B$501,0))),""))</f>
        <v/>
      </c>
      <c r="D227" s="11" t="n"/>
      <c r="E227" s="11" t="n"/>
      <c r="F227" s="14">
        <f>IF(A227="","",IFERROR(INDEX('激励事件明细'!$Z$2:$Z$501,IF(D227&lt;&gt;"",MATCH(D227,'激励事件明细'!$A$2:$A$501,0),MATCH(E227,'激励事件明细'!$B$2:$B$501,0))),""))</f>
        <v/>
      </c>
      <c r="G227" s="16">
        <f>IF(A227="","",IFERROR(INDEX('激励事件明细'!$AA$2:$AA$501,IF(D227&lt;&gt;"",MATCH(D227,'激励事件明细'!$A$2:$A$501,0),MATCH(E227,'激励事件明细'!$B$2:$B$501,0))),""))</f>
        <v/>
      </c>
      <c r="H227" s="16">
        <f>IF(A227="","",IFERROR(INDEX('激励事件明细'!$AB$2:$AB$501,IF(D227&lt;&gt;"",MATCH(D227,'激励事件明细'!$A$2:$A$501,0),MATCH(E227,'激励事件明细'!$B$2:$B$501,0))),""))</f>
        <v/>
      </c>
      <c r="I227" s="12" t="n"/>
      <c r="J227" s="13" t="n"/>
      <c r="K227" s="13" t="n"/>
      <c r="L227" s="11" t="n"/>
      <c r="M227" s="14">
        <f>IF(A227="","",IF(D227&lt;&gt;"",SUMIFS($K$2:$K$501,$D$2:$D$501,D227),SUMIFS($K$2:$K$501,$E$2:$E$501,E227)))</f>
        <v/>
      </c>
      <c r="N227" s="14">
        <f>IF(F227="","",MAX(0,F227-M227))</f>
        <v/>
      </c>
      <c r="O227" s="6">
        <f>IF(A227="","",IF(AND(I227&lt;&gt;"",I227&gt;H227),"是",IF(AND(TODAY()&gt;H227,N227&gt;0),"是","否")))</f>
        <v/>
      </c>
      <c r="P227" s="16">
        <f>IF(A227="","",IFERROR(INDEX('激励事件明细'!$P$2:$P$501,IF(D227&lt;&gt;"",MATCH(D227,'激励事件明细'!$A$2:$A$501,0),MATCH(E227,'激励事件明细'!$B$2:$B$501,0))),""))</f>
        <v/>
      </c>
      <c r="Q227" s="6">
        <f>IF(AND(D227="",E227=""),"异常：必须关联事件编号或税额批次",IF(AND(D227&lt;&gt;"",COUNTIF('激励事件明细'!$A$2:$A$501,D227)=0),"异常：事件编号不存在",IF(AND(E227&lt;&gt;"",COUNTIF('激励事件明细'!$B$2:$B$501,E227)=0),"异常：税额批次不存在",IF(M227&gt;F227,"异常：本批次超额缴税",IF(AND(I227&lt;&gt;"",I227&gt;H227),"异常：超过事件截止日",IF(AND(P227&lt;&gt;"",TODAY()&gt;=P227,N227&gt;0),"异常：离职前未缴清","正常"))))))</f>
        <v/>
      </c>
      <c r="R227" s="11" t="n"/>
    </row>
    <row r="228">
      <c r="A228" s="6">
        <f>IF(AND(D228="",E228=""),"",IFERROR(INDEX('激励事件明细'!$C$2:$C$501,IF(D228&lt;&gt;"",MATCH(D228,'激励事件明细'!$A$2:$A$501,0),MATCH(E228,'激励事件明细'!$B$2:$B$501,0))),""))</f>
        <v/>
      </c>
      <c r="B228" s="6">
        <f>IF(A228="","",IFERROR(INDEX('激励事件明细'!$D$2:$D$501,IF(D228&lt;&gt;"",MATCH(D228,'激励事件明细'!$A$2:$A$501,0),MATCH(E228,'激励事件明细'!$B$2:$B$501,0))),""))</f>
        <v/>
      </c>
      <c r="C228" s="6">
        <f>IF(A228="","",IFERROR(INDEX('激励事件明细'!$H$2:$H$501,IF(D228&lt;&gt;"",MATCH(D228,'激励事件明细'!$A$2:$A$501,0),MATCH(E228,'激励事件明细'!$B$2:$B$501,0))),""))</f>
        <v/>
      </c>
      <c r="D228" s="11" t="n"/>
      <c r="E228" s="11" t="n"/>
      <c r="F228" s="14">
        <f>IF(A228="","",IFERROR(INDEX('激励事件明细'!$Z$2:$Z$501,IF(D228&lt;&gt;"",MATCH(D228,'激励事件明细'!$A$2:$A$501,0),MATCH(E228,'激励事件明细'!$B$2:$B$501,0))),""))</f>
        <v/>
      </c>
      <c r="G228" s="16">
        <f>IF(A228="","",IFERROR(INDEX('激励事件明细'!$AA$2:$AA$501,IF(D228&lt;&gt;"",MATCH(D228,'激励事件明细'!$A$2:$A$501,0),MATCH(E228,'激励事件明细'!$B$2:$B$501,0))),""))</f>
        <v/>
      </c>
      <c r="H228" s="16">
        <f>IF(A228="","",IFERROR(INDEX('激励事件明细'!$AB$2:$AB$501,IF(D228&lt;&gt;"",MATCH(D228,'激励事件明细'!$A$2:$A$501,0),MATCH(E228,'激励事件明细'!$B$2:$B$501,0))),""))</f>
        <v/>
      </c>
      <c r="I228" s="12" t="n"/>
      <c r="J228" s="13" t="n"/>
      <c r="K228" s="13" t="n"/>
      <c r="L228" s="11" t="n"/>
      <c r="M228" s="14">
        <f>IF(A228="","",IF(D228&lt;&gt;"",SUMIFS($K$2:$K$501,$D$2:$D$501,D228),SUMIFS($K$2:$K$501,$E$2:$E$501,E228)))</f>
        <v/>
      </c>
      <c r="N228" s="14">
        <f>IF(F228="","",MAX(0,F228-M228))</f>
        <v/>
      </c>
      <c r="O228" s="6">
        <f>IF(A228="","",IF(AND(I228&lt;&gt;"",I228&gt;H228),"是",IF(AND(TODAY()&gt;H228,N228&gt;0),"是","否")))</f>
        <v/>
      </c>
      <c r="P228" s="16">
        <f>IF(A228="","",IFERROR(INDEX('激励事件明细'!$P$2:$P$501,IF(D228&lt;&gt;"",MATCH(D228,'激励事件明细'!$A$2:$A$501,0),MATCH(E228,'激励事件明细'!$B$2:$B$501,0))),""))</f>
        <v/>
      </c>
      <c r="Q228" s="6">
        <f>IF(AND(D228="",E228=""),"异常：必须关联事件编号或税额批次",IF(AND(D228&lt;&gt;"",COUNTIF('激励事件明细'!$A$2:$A$501,D228)=0),"异常：事件编号不存在",IF(AND(E228&lt;&gt;"",COUNTIF('激励事件明细'!$B$2:$B$501,E228)=0),"异常：税额批次不存在",IF(M228&gt;F228,"异常：本批次超额缴税",IF(AND(I228&lt;&gt;"",I228&gt;H228),"异常：超过事件截止日",IF(AND(P228&lt;&gt;"",TODAY()&gt;=P228,N228&gt;0),"异常：离职前未缴清","正常"))))))</f>
        <v/>
      </c>
      <c r="R228" s="11" t="n"/>
    </row>
    <row r="229">
      <c r="A229" s="6">
        <f>IF(AND(D229="",E229=""),"",IFERROR(INDEX('激励事件明细'!$C$2:$C$501,IF(D229&lt;&gt;"",MATCH(D229,'激励事件明细'!$A$2:$A$501,0),MATCH(E229,'激励事件明细'!$B$2:$B$501,0))),""))</f>
        <v/>
      </c>
      <c r="B229" s="6">
        <f>IF(A229="","",IFERROR(INDEX('激励事件明细'!$D$2:$D$501,IF(D229&lt;&gt;"",MATCH(D229,'激励事件明细'!$A$2:$A$501,0),MATCH(E229,'激励事件明细'!$B$2:$B$501,0))),""))</f>
        <v/>
      </c>
      <c r="C229" s="6">
        <f>IF(A229="","",IFERROR(INDEX('激励事件明细'!$H$2:$H$501,IF(D229&lt;&gt;"",MATCH(D229,'激励事件明细'!$A$2:$A$501,0),MATCH(E229,'激励事件明细'!$B$2:$B$501,0))),""))</f>
        <v/>
      </c>
      <c r="D229" s="11" t="n"/>
      <c r="E229" s="11" t="n"/>
      <c r="F229" s="14">
        <f>IF(A229="","",IFERROR(INDEX('激励事件明细'!$Z$2:$Z$501,IF(D229&lt;&gt;"",MATCH(D229,'激励事件明细'!$A$2:$A$501,0),MATCH(E229,'激励事件明细'!$B$2:$B$501,0))),""))</f>
        <v/>
      </c>
      <c r="G229" s="16">
        <f>IF(A229="","",IFERROR(INDEX('激励事件明细'!$AA$2:$AA$501,IF(D229&lt;&gt;"",MATCH(D229,'激励事件明细'!$A$2:$A$501,0),MATCH(E229,'激励事件明细'!$B$2:$B$501,0))),""))</f>
        <v/>
      </c>
      <c r="H229" s="16">
        <f>IF(A229="","",IFERROR(INDEX('激励事件明细'!$AB$2:$AB$501,IF(D229&lt;&gt;"",MATCH(D229,'激励事件明细'!$A$2:$A$501,0),MATCH(E229,'激励事件明细'!$B$2:$B$501,0))),""))</f>
        <v/>
      </c>
      <c r="I229" s="12" t="n"/>
      <c r="J229" s="13" t="n"/>
      <c r="K229" s="13" t="n"/>
      <c r="L229" s="11" t="n"/>
      <c r="M229" s="14">
        <f>IF(A229="","",IF(D229&lt;&gt;"",SUMIFS($K$2:$K$501,$D$2:$D$501,D229),SUMIFS($K$2:$K$501,$E$2:$E$501,E229)))</f>
        <v/>
      </c>
      <c r="N229" s="14">
        <f>IF(F229="","",MAX(0,F229-M229))</f>
        <v/>
      </c>
      <c r="O229" s="6">
        <f>IF(A229="","",IF(AND(I229&lt;&gt;"",I229&gt;H229),"是",IF(AND(TODAY()&gt;H229,N229&gt;0),"是","否")))</f>
        <v/>
      </c>
      <c r="P229" s="16">
        <f>IF(A229="","",IFERROR(INDEX('激励事件明细'!$P$2:$P$501,IF(D229&lt;&gt;"",MATCH(D229,'激励事件明细'!$A$2:$A$501,0),MATCH(E229,'激励事件明细'!$B$2:$B$501,0))),""))</f>
        <v/>
      </c>
      <c r="Q229" s="6">
        <f>IF(AND(D229="",E229=""),"异常：必须关联事件编号或税额批次",IF(AND(D229&lt;&gt;"",COUNTIF('激励事件明细'!$A$2:$A$501,D229)=0),"异常：事件编号不存在",IF(AND(E229&lt;&gt;"",COUNTIF('激励事件明细'!$B$2:$B$501,E229)=0),"异常：税额批次不存在",IF(M229&gt;F229,"异常：本批次超额缴税",IF(AND(I229&lt;&gt;"",I229&gt;H229),"异常：超过事件截止日",IF(AND(P229&lt;&gt;"",TODAY()&gt;=P229,N229&gt;0),"异常：离职前未缴清","正常"))))))</f>
        <v/>
      </c>
      <c r="R229" s="11" t="n"/>
    </row>
    <row r="230">
      <c r="A230" s="6">
        <f>IF(AND(D230="",E230=""),"",IFERROR(INDEX('激励事件明细'!$C$2:$C$501,IF(D230&lt;&gt;"",MATCH(D230,'激励事件明细'!$A$2:$A$501,0),MATCH(E230,'激励事件明细'!$B$2:$B$501,0))),""))</f>
        <v/>
      </c>
      <c r="B230" s="6">
        <f>IF(A230="","",IFERROR(INDEX('激励事件明细'!$D$2:$D$501,IF(D230&lt;&gt;"",MATCH(D230,'激励事件明细'!$A$2:$A$501,0),MATCH(E230,'激励事件明细'!$B$2:$B$501,0))),""))</f>
        <v/>
      </c>
      <c r="C230" s="6">
        <f>IF(A230="","",IFERROR(INDEX('激励事件明细'!$H$2:$H$501,IF(D230&lt;&gt;"",MATCH(D230,'激励事件明细'!$A$2:$A$501,0),MATCH(E230,'激励事件明细'!$B$2:$B$501,0))),""))</f>
        <v/>
      </c>
      <c r="D230" s="11" t="n"/>
      <c r="E230" s="11" t="n"/>
      <c r="F230" s="14">
        <f>IF(A230="","",IFERROR(INDEX('激励事件明细'!$Z$2:$Z$501,IF(D230&lt;&gt;"",MATCH(D230,'激励事件明细'!$A$2:$A$501,0),MATCH(E230,'激励事件明细'!$B$2:$B$501,0))),""))</f>
        <v/>
      </c>
      <c r="G230" s="16">
        <f>IF(A230="","",IFERROR(INDEX('激励事件明细'!$AA$2:$AA$501,IF(D230&lt;&gt;"",MATCH(D230,'激励事件明细'!$A$2:$A$501,0),MATCH(E230,'激励事件明细'!$B$2:$B$501,0))),""))</f>
        <v/>
      </c>
      <c r="H230" s="16">
        <f>IF(A230="","",IFERROR(INDEX('激励事件明细'!$AB$2:$AB$501,IF(D230&lt;&gt;"",MATCH(D230,'激励事件明细'!$A$2:$A$501,0),MATCH(E230,'激励事件明细'!$B$2:$B$501,0))),""))</f>
        <v/>
      </c>
      <c r="I230" s="12" t="n"/>
      <c r="J230" s="13" t="n"/>
      <c r="K230" s="13" t="n"/>
      <c r="L230" s="11" t="n"/>
      <c r="M230" s="14">
        <f>IF(A230="","",IF(D230&lt;&gt;"",SUMIFS($K$2:$K$501,$D$2:$D$501,D230),SUMIFS($K$2:$K$501,$E$2:$E$501,E230)))</f>
        <v/>
      </c>
      <c r="N230" s="14">
        <f>IF(F230="","",MAX(0,F230-M230))</f>
        <v/>
      </c>
      <c r="O230" s="6">
        <f>IF(A230="","",IF(AND(I230&lt;&gt;"",I230&gt;H230),"是",IF(AND(TODAY()&gt;H230,N230&gt;0),"是","否")))</f>
        <v/>
      </c>
      <c r="P230" s="16">
        <f>IF(A230="","",IFERROR(INDEX('激励事件明细'!$P$2:$P$501,IF(D230&lt;&gt;"",MATCH(D230,'激励事件明细'!$A$2:$A$501,0),MATCH(E230,'激励事件明细'!$B$2:$B$501,0))),""))</f>
        <v/>
      </c>
      <c r="Q230" s="6">
        <f>IF(AND(D230="",E230=""),"异常：必须关联事件编号或税额批次",IF(AND(D230&lt;&gt;"",COUNTIF('激励事件明细'!$A$2:$A$501,D230)=0),"异常：事件编号不存在",IF(AND(E230&lt;&gt;"",COUNTIF('激励事件明细'!$B$2:$B$501,E230)=0),"异常：税额批次不存在",IF(M230&gt;F230,"异常：本批次超额缴税",IF(AND(I230&lt;&gt;"",I230&gt;H230),"异常：超过事件截止日",IF(AND(P230&lt;&gt;"",TODAY()&gt;=P230,N230&gt;0),"异常：离职前未缴清","正常"))))))</f>
        <v/>
      </c>
      <c r="R230" s="11" t="n"/>
    </row>
    <row r="231">
      <c r="A231" s="6">
        <f>IF(AND(D231="",E231=""),"",IFERROR(INDEX('激励事件明细'!$C$2:$C$501,IF(D231&lt;&gt;"",MATCH(D231,'激励事件明细'!$A$2:$A$501,0),MATCH(E231,'激励事件明细'!$B$2:$B$501,0))),""))</f>
        <v/>
      </c>
      <c r="B231" s="6">
        <f>IF(A231="","",IFERROR(INDEX('激励事件明细'!$D$2:$D$501,IF(D231&lt;&gt;"",MATCH(D231,'激励事件明细'!$A$2:$A$501,0),MATCH(E231,'激励事件明细'!$B$2:$B$501,0))),""))</f>
        <v/>
      </c>
      <c r="C231" s="6">
        <f>IF(A231="","",IFERROR(INDEX('激励事件明细'!$H$2:$H$501,IF(D231&lt;&gt;"",MATCH(D231,'激励事件明细'!$A$2:$A$501,0),MATCH(E231,'激励事件明细'!$B$2:$B$501,0))),""))</f>
        <v/>
      </c>
      <c r="D231" s="11" t="n"/>
      <c r="E231" s="11" t="n"/>
      <c r="F231" s="14">
        <f>IF(A231="","",IFERROR(INDEX('激励事件明细'!$Z$2:$Z$501,IF(D231&lt;&gt;"",MATCH(D231,'激励事件明细'!$A$2:$A$501,0),MATCH(E231,'激励事件明细'!$B$2:$B$501,0))),""))</f>
        <v/>
      </c>
      <c r="G231" s="16">
        <f>IF(A231="","",IFERROR(INDEX('激励事件明细'!$AA$2:$AA$501,IF(D231&lt;&gt;"",MATCH(D231,'激励事件明细'!$A$2:$A$501,0),MATCH(E231,'激励事件明细'!$B$2:$B$501,0))),""))</f>
        <v/>
      </c>
      <c r="H231" s="16">
        <f>IF(A231="","",IFERROR(INDEX('激励事件明细'!$AB$2:$AB$501,IF(D231&lt;&gt;"",MATCH(D231,'激励事件明细'!$A$2:$A$501,0),MATCH(E231,'激励事件明细'!$B$2:$B$501,0))),""))</f>
        <v/>
      </c>
      <c r="I231" s="12" t="n"/>
      <c r="J231" s="13" t="n"/>
      <c r="K231" s="13" t="n"/>
      <c r="L231" s="11" t="n"/>
      <c r="M231" s="14">
        <f>IF(A231="","",IF(D231&lt;&gt;"",SUMIFS($K$2:$K$501,$D$2:$D$501,D231),SUMIFS($K$2:$K$501,$E$2:$E$501,E231)))</f>
        <v/>
      </c>
      <c r="N231" s="14">
        <f>IF(F231="","",MAX(0,F231-M231))</f>
        <v/>
      </c>
      <c r="O231" s="6">
        <f>IF(A231="","",IF(AND(I231&lt;&gt;"",I231&gt;H231),"是",IF(AND(TODAY()&gt;H231,N231&gt;0),"是","否")))</f>
        <v/>
      </c>
      <c r="P231" s="16">
        <f>IF(A231="","",IFERROR(INDEX('激励事件明细'!$P$2:$P$501,IF(D231&lt;&gt;"",MATCH(D231,'激励事件明细'!$A$2:$A$501,0),MATCH(E231,'激励事件明细'!$B$2:$B$501,0))),""))</f>
        <v/>
      </c>
      <c r="Q231" s="6">
        <f>IF(AND(D231="",E231=""),"异常：必须关联事件编号或税额批次",IF(AND(D231&lt;&gt;"",COUNTIF('激励事件明细'!$A$2:$A$501,D231)=0),"异常：事件编号不存在",IF(AND(E231&lt;&gt;"",COUNTIF('激励事件明细'!$B$2:$B$501,E231)=0),"异常：税额批次不存在",IF(M231&gt;F231,"异常：本批次超额缴税",IF(AND(I231&lt;&gt;"",I231&gt;H231),"异常：超过事件截止日",IF(AND(P231&lt;&gt;"",TODAY()&gt;=P231,N231&gt;0),"异常：离职前未缴清","正常"))))))</f>
        <v/>
      </c>
      <c r="R231" s="11" t="n"/>
    </row>
    <row r="232">
      <c r="A232" s="6">
        <f>IF(AND(D232="",E232=""),"",IFERROR(INDEX('激励事件明细'!$C$2:$C$501,IF(D232&lt;&gt;"",MATCH(D232,'激励事件明细'!$A$2:$A$501,0),MATCH(E232,'激励事件明细'!$B$2:$B$501,0))),""))</f>
        <v/>
      </c>
      <c r="B232" s="6">
        <f>IF(A232="","",IFERROR(INDEX('激励事件明细'!$D$2:$D$501,IF(D232&lt;&gt;"",MATCH(D232,'激励事件明细'!$A$2:$A$501,0),MATCH(E232,'激励事件明细'!$B$2:$B$501,0))),""))</f>
        <v/>
      </c>
      <c r="C232" s="6">
        <f>IF(A232="","",IFERROR(INDEX('激励事件明细'!$H$2:$H$501,IF(D232&lt;&gt;"",MATCH(D232,'激励事件明细'!$A$2:$A$501,0),MATCH(E232,'激励事件明细'!$B$2:$B$501,0))),""))</f>
        <v/>
      </c>
      <c r="D232" s="11" t="n"/>
      <c r="E232" s="11" t="n"/>
      <c r="F232" s="14">
        <f>IF(A232="","",IFERROR(INDEX('激励事件明细'!$Z$2:$Z$501,IF(D232&lt;&gt;"",MATCH(D232,'激励事件明细'!$A$2:$A$501,0),MATCH(E232,'激励事件明细'!$B$2:$B$501,0))),""))</f>
        <v/>
      </c>
      <c r="G232" s="16">
        <f>IF(A232="","",IFERROR(INDEX('激励事件明细'!$AA$2:$AA$501,IF(D232&lt;&gt;"",MATCH(D232,'激励事件明细'!$A$2:$A$501,0),MATCH(E232,'激励事件明细'!$B$2:$B$501,0))),""))</f>
        <v/>
      </c>
      <c r="H232" s="16">
        <f>IF(A232="","",IFERROR(INDEX('激励事件明细'!$AB$2:$AB$501,IF(D232&lt;&gt;"",MATCH(D232,'激励事件明细'!$A$2:$A$501,0),MATCH(E232,'激励事件明细'!$B$2:$B$501,0))),""))</f>
        <v/>
      </c>
      <c r="I232" s="12" t="n"/>
      <c r="J232" s="13" t="n"/>
      <c r="K232" s="13" t="n"/>
      <c r="L232" s="11" t="n"/>
      <c r="M232" s="14">
        <f>IF(A232="","",IF(D232&lt;&gt;"",SUMIFS($K$2:$K$501,$D$2:$D$501,D232),SUMIFS($K$2:$K$501,$E$2:$E$501,E232)))</f>
        <v/>
      </c>
      <c r="N232" s="14">
        <f>IF(F232="","",MAX(0,F232-M232))</f>
        <v/>
      </c>
      <c r="O232" s="6">
        <f>IF(A232="","",IF(AND(I232&lt;&gt;"",I232&gt;H232),"是",IF(AND(TODAY()&gt;H232,N232&gt;0),"是","否")))</f>
        <v/>
      </c>
      <c r="P232" s="16">
        <f>IF(A232="","",IFERROR(INDEX('激励事件明细'!$P$2:$P$501,IF(D232&lt;&gt;"",MATCH(D232,'激励事件明细'!$A$2:$A$501,0),MATCH(E232,'激励事件明细'!$B$2:$B$501,0))),""))</f>
        <v/>
      </c>
      <c r="Q232" s="6">
        <f>IF(AND(D232="",E232=""),"异常：必须关联事件编号或税额批次",IF(AND(D232&lt;&gt;"",COUNTIF('激励事件明细'!$A$2:$A$501,D232)=0),"异常：事件编号不存在",IF(AND(E232&lt;&gt;"",COUNTIF('激励事件明细'!$B$2:$B$501,E232)=0),"异常：税额批次不存在",IF(M232&gt;F232,"异常：本批次超额缴税",IF(AND(I232&lt;&gt;"",I232&gt;H232),"异常：超过事件截止日",IF(AND(P232&lt;&gt;"",TODAY()&gt;=P232,N232&gt;0),"异常：离职前未缴清","正常"))))))</f>
        <v/>
      </c>
      <c r="R232" s="11" t="n"/>
    </row>
    <row r="233">
      <c r="A233" s="6">
        <f>IF(AND(D233="",E233=""),"",IFERROR(INDEX('激励事件明细'!$C$2:$C$501,IF(D233&lt;&gt;"",MATCH(D233,'激励事件明细'!$A$2:$A$501,0),MATCH(E233,'激励事件明细'!$B$2:$B$501,0))),""))</f>
        <v/>
      </c>
      <c r="B233" s="6">
        <f>IF(A233="","",IFERROR(INDEX('激励事件明细'!$D$2:$D$501,IF(D233&lt;&gt;"",MATCH(D233,'激励事件明细'!$A$2:$A$501,0),MATCH(E233,'激励事件明细'!$B$2:$B$501,0))),""))</f>
        <v/>
      </c>
      <c r="C233" s="6">
        <f>IF(A233="","",IFERROR(INDEX('激励事件明细'!$H$2:$H$501,IF(D233&lt;&gt;"",MATCH(D233,'激励事件明细'!$A$2:$A$501,0),MATCH(E233,'激励事件明细'!$B$2:$B$501,0))),""))</f>
        <v/>
      </c>
      <c r="D233" s="11" t="n"/>
      <c r="E233" s="11" t="n"/>
      <c r="F233" s="14">
        <f>IF(A233="","",IFERROR(INDEX('激励事件明细'!$Z$2:$Z$501,IF(D233&lt;&gt;"",MATCH(D233,'激励事件明细'!$A$2:$A$501,0),MATCH(E233,'激励事件明细'!$B$2:$B$501,0))),""))</f>
        <v/>
      </c>
      <c r="G233" s="16">
        <f>IF(A233="","",IFERROR(INDEX('激励事件明细'!$AA$2:$AA$501,IF(D233&lt;&gt;"",MATCH(D233,'激励事件明细'!$A$2:$A$501,0),MATCH(E233,'激励事件明细'!$B$2:$B$501,0))),""))</f>
        <v/>
      </c>
      <c r="H233" s="16">
        <f>IF(A233="","",IFERROR(INDEX('激励事件明细'!$AB$2:$AB$501,IF(D233&lt;&gt;"",MATCH(D233,'激励事件明细'!$A$2:$A$501,0),MATCH(E233,'激励事件明细'!$B$2:$B$501,0))),""))</f>
        <v/>
      </c>
      <c r="I233" s="12" t="n"/>
      <c r="J233" s="13" t="n"/>
      <c r="K233" s="13" t="n"/>
      <c r="L233" s="11" t="n"/>
      <c r="M233" s="14">
        <f>IF(A233="","",IF(D233&lt;&gt;"",SUMIFS($K$2:$K$501,$D$2:$D$501,D233),SUMIFS($K$2:$K$501,$E$2:$E$501,E233)))</f>
        <v/>
      </c>
      <c r="N233" s="14">
        <f>IF(F233="","",MAX(0,F233-M233))</f>
        <v/>
      </c>
      <c r="O233" s="6">
        <f>IF(A233="","",IF(AND(I233&lt;&gt;"",I233&gt;H233),"是",IF(AND(TODAY()&gt;H233,N233&gt;0),"是","否")))</f>
        <v/>
      </c>
      <c r="P233" s="16">
        <f>IF(A233="","",IFERROR(INDEX('激励事件明细'!$P$2:$P$501,IF(D233&lt;&gt;"",MATCH(D233,'激励事件明细'!$A$2:$A$501,0),MATCH(E233,'激励事件明细'!$B$2:$B$501,0))),""))</f>
        <v/>
      </c>
      <c r="Q233" s="6">
        <f>IF(AND(D233="",E233=""),"异常：必须关联事件编号或税额批次",IF(AND(D233&lt;&gt;"",COUNTIF('激励事件明细'!$A$2:$A$501,D233)=0),"异常：事件编号不存在",IF(AND(E233&lt;&gt;"",COUNTIF('激励事件明细'!$B$2:$B$501,E233)=0),"异常：税额批次不存在",IF(M233&gt;F233,"异常：本批次超额缴税",IF(AND(I233&lt;&gt;"",I233&gt;H233),"异常：超过事件截止日",IF(AND(P233&lt;&gt;"",TODAY()&gt;=P233,N233&gt;0),"异常：离职前未缴清","正常"))))))</f>
        <v/>
      </c>
      <c r="R233" s="11" t="n"/>
    </row>
    <row r="234">
      <c r="A234" s="6">
        <f>IF(AND(D234="",E234=""),"",IFERROR(INDEX('激励事件明细'!$C$2:$C$501,IF(D234&lt;&gt;"",MATCH(D234,'激励事件明细'!$A$2:$A$501,0),MATCH(E234,'激励事件明细'!$B$2:$B$501,0))),""))</f>
        <v/>
      </c>
      <c r="B234" s="6">
        <f>IF(A234="","",IFERROR(INDEX('激励事件明细'!$D$2:$D$501,IF(D234&lt;&gt;"",MATCH(D234,'激励事件明细'!$A$2:$A$501,0),MATCH(E234,'激励事件明细'!$B$2:$B$501,0))),""))</f>
        <v/>
      </c>
      <c r="C234" s="6">
        <f>IF(A234="","",IFERROR(INDEX('激励事件明细'!$H$2:$H$501,IF(D234&lt;&gt;"",MATCH(D234,'激励事件明细'!$A$2:$A$501,0),MATCH(E234,'激励事件明细'!$B$2:$B$501,0))),""))</f>
        <v/>
      </c>
      <c r="D234" s="11" t="n"/>
      <c r="E234" s="11" t="n"/>
      <c r="F234" s="14">
        <f>IF(A234="","",IFERROR(INDEX('激励事件明细'!$Z$2:$Z$501,IF(D234&lt;&gt;"",MATCH(D234,'激励事件明细'!$A$2:$A$501,0),MATCH(E234,'激励事件明细'!$B$2:$B$501,0))),""))</f>
        <v/>
      </c>
      <c r="G234" s="16">
        <f>IF(A234="","",IFERROR(INDEX('激励事件明细'!$AA$2:$AA$501,IF(D234&lt;&gt;"",MATCH(D234,'激励事件明细'!$A$2:$A$501,0),MATCH(E234,'激励事件明细'!$B$2:$B$501,0))),""))</f>
        <v/>
      </c>
      <c r="H234" s="16">
        <f>IF(A234="","",IFERROR(INDEX('激励事件明细'!$AB$2:$AB$501,IF(D234&lt;&gt;"",MATCH(D234,'激励事件明细'!$A$2:$A$501,0),MATCH(E234,'激励事件明细'!$B$2:$B$501,0))),""))</f>
        <v/>
      </c>
      <c r="I234" s="12" t="n"/>
      <c r="J234" s="13" t="n"/>
      <c r="K234" s="13" t="n"/>
      <c r="L234" s="11" t="n"/>
      <c r="M234" s="14">
        <f>IF(A234="","",IF(D234&lt;&gt;"",SUMIFS($K$2:$K$501,$D$2:$D$501,D234),SUMIFS($K$2:$K$501,$E$2:$E$501,E234)))</f>
        <v/>
      </c>
      <c r="N234" s="14">
        <f>IF(F234="","",MAX(0,F234-M234))</f>
        <v/>
      </c>
      <c r="O234" s="6">
        <f>IF(A234="","",IF(AND(I234&lt;&gt;"",I234&gt;H234),"是",IF(AND(TODAY()&gt;H234,N234&gt;0),"是","否")))</f>
        <v/>
      </c>
      <c r="P234" s="16">
        <f>IF(A234="","",IFERROR(INDEX('激励事件明细'!$P$2:$P$501,IF(D234&lt;&gt;"",MATCH(D234,'激励事件明细'!$A$2:$A$501,0),MATCH(E234,'激励事件明细'!$B$2:$B$501,0))),""))</f>
        <v/>
      </c>
      <c r="Q234" s="6">
        <f>IF(AND(D234="",E234=""),"异常：必须关联事件编号或税额批次",IF(AND(D234&lt;&gt;"",COUNTIF('激励事件明细'!$A$2:$A$501,D234)=0),"异常：事件编号不存在",IF(AND(E234&lt;&gt;"",COUNTIF('激励事件明细'!$B$2:$B$501,E234)=0),"异常：税额批次不存在",IF(M234&gt;F234,"异常：本批次超额缴税",IF(AND(I234&lt;&gt;"",I234&gt;H234),"异常：超过事件截止日",IF(AND(P234&lt;&gt;"",TODAY()&gt;=P234,N234&gt;0),"异常：离职前未缴清","正常"))))))</f>
        <v/>
      </c>
      <c r="R234" s="11" t="n"/>
    </row>
    <row r="235">
      <c r="A235" s="6">
        <f>IF(AND(D235="",E235=""),"",IFERROR(INDEX('激励事件明细'!$C$2:$C$501,IF(D235&lt;&gt;"",MATCH(D235,'激励事件明细'!$A$2:$A$501,0),MATCH(E235,'激励事件明细'!$B$2:$B$501,0))),""))</f>
        <v/>
      </c>
      <c r="B235" s="6">
        <f>IF(A235="","",IFERROR(INDEX('激励事件明细'!$D$2:$D$501,IF(D235&lt;&gt;"",MATCH(D235,'激励事件明细'!$A$2:$A$501,0),MATCH(E235,'激励事件明细'!$B$2:$B$501,0))),""))</f>
        <v/>
      </c>
      <c r="C235" s="6">
        <f>IF(A235="","",IFERROR(INDEX('激励事件明细'!$H$2:$H$501,IF(D235&lt;&gt;"",MATCH(D235,'激励事件明细'!$A$2:$A$501,0),MATCH(E235,'激励事件明细'!$B$2:$B$501,0))),""))</f>
        <v/>
      </c>
      <c r="D235" s="11" t="n"/>
      <c r="E235" s="11" t="n"/>
      <c r="F235" s="14">
        <f>IF(A235="","",IFERROR(INDEX('激励事件明细'!$Z$2:$Z$501,IF(D235&lt;&gt;"",MATCH(D235,'激励事件明细'!$A$2:$A$501,0),MATCH(E235,'激励事件明细'!$B$2:$B$501,0))),""))</f>
        <v/>
      </c>
      <c r="G235" s="16">
        <f>IF(A235="","",IFERROR(INDEX('激励事件明细'!$AA$2:$AA$501,IF(D235&lt;&gt;"",MATCH(D235,'激励事件明细'!$A$2:$A$501,0),MATCH(E235,'激励事件明细'!$B$2:$B$501,0))),""))</f>
        <v/>
      </c>
      <c r="H235" s="16">
        <f>IF(A235="","",IFERROR(INDEX('激励事件明细'!$AB$2:$AB$501,IF(D235&lt;&gt;"",MATCH(D235,'激励事件明细'!$A$2:$A$501,0),MATCH(E235,'激励事件明细'!$B$2:$B$501,0))),""))</f>
        <v/>
      </c>
      <c r="I235" s="12" t="n"/>
      <c r="J235" s="13" t="n"/>
      <c r="K235" s="13" t="n"/>
      <c r="L235" s="11" t="n"/>
      <c r="M235" s="14">
        <f>IF(A235="","",IF(D235&lt;&gt;"",SUMIFS($K$2:$K$501,$D$2:$D$501,D235),SUMIFS($K$2:$K$501,$E$2:$E$501,E235)))</f>
        <v/>
      </c>
      <c r="N235" s="14">
        <f>IF(F235="","",MAX(0,F235-M235))</f>
        <v/>
      </c>
      <c r="O235" s="6">
        <f>IF(A235="","",IF(AND(I235&lt;&gt;"",I235&gt;H235),"是",IF(AND(TODAY()&gt;H235,N235&gt;0),"是","否")))</f>
        <v/>
      </c>
      <c r="P235" s="16">
        <f>IF(A235="","",IFERROR(INDEX('激励事件明细'!$P$2:$P$501,IF(D235&lt;&gt;"",MATCH(D235,'激励事件明细'!$A$2:$A$501,0),MATCH(E235,'激励事件明细'!$B$2:$B$501,0))),""))</f>
        <v/>
      </c>
      <c r="Q235" s="6">
        <f>IF(AND(D235="",E235=""),"异常：必须关联事件编号或税额批次",IF(AND(D235&lt;&gt;"",COUNTIF('激励事件明细'!$A$2:$A$501,D235)=0),"异常：事件编号不存在",IF(AND(E235&lt;&gt;"",COUNTIF('激励事件明细'!$B$2:$B$501,E235)=0),"异常：税额批次不存在",IF(M235&gt;F235,"异常：本批次超额缴税",IF(AND(I235&lt;&gt;"",I235&gt;H235),"异常：超过事件截止日",IF(AND(P235&lt;&gt;"",TODAY()&gt;=P235,N235&gt;0),"异常：离职前未缴清","正常"))))))</f>
        <v/>
      </c>
      <c r="R235" s="11" t="n"/>
    </row>
    <row r="236">
      <c r="A236" s="6">
        <f>IF(AND(D236="",E236=""),"",IFERROR(INDEX('激励事件明细'!$C$2:$C$501,IF(D236&lt;&gt;"",MATCH(D236,'激励事件明细'!$A$2:$A$501,0),MATCH(E236,'激励事件明细'!$B$2:$B$501,0))),""))</f>
        <v/>
      </c>
      <c r="B236" s="6">
        <f>IF(A236="","",IFERROR(INDEX('激励事件明细'!$D$2:$D$501,IF(D236&lt;&gt;"",MATCH(D236,'激励事件明细'!$A$2:$A$501,0),MATCH(E236,'激励事件明细'!$B$2:$B$501,0))),""))</f>
        <v/>
      </c>
      <c r="C236" s="6">
        <f>IF(A236="","",IFERROR(INDEX('激励事件明细'!$H$2:$H$501,IF(D236&lt;&gt;"",MATCH(D236,'激励事件明细'!$A$2:$A$501,0),MATCH(E236,'激励事件明细'!$B$2:$B$501,0))),""))</f>
        <v/>
      </c>
      <c r="D236" s="11" t="n"/>
      <c r="E236" s="11" t="n"/>
      <c r="F236" s="14">
        <f>IF(A236="","",IFERROR(INDEX('激励事件明细'!$Z$2:$Z$501,IF(D236&lt;&gt;"",MATCH(D236,'激励事件明细'!$A$2:$A$501,0),MATCH(E236,'激励事件明细'!$B$2:$B$501,0))),""))</f>
        <v/>
      </c>
      <c r="G236" s="16">
        <f>IF(A236="","",IFERROR(INDEX('激励事件明细'!$AA$2:$AA$501,IF(D236&lt;&gt;"",MATCH(D236,'激励事件明细'!$A$2:$A$501,0),MATCH(E236,'激励事件明细'!$B$2:$B$501,0))),""))</f>
        <v/>
      </c>
      <c r="H236" s="16">
        <f>IF(A236="","",IFERROR(INDEX('激励事件明细'!$AB$2:$AB$501,IF(D236&lt;&gt;"",MATCH(D236,'激励事件明细'!$A$2:$A$501,0),MATCH(E236,'激励事件明细'!$B$2:$B$501,0))),""))</f>
        <v/>
      </c>
      <c r="I236" s="12" t="n"/>
      <c r="J236" s="13" t="n"/>
      <c r="K236" s="13" t="n"/>
      <c r="L236" s="11" t="n"/>
      <c r="M236" s="14">
        <f>IF(A236="","",IF(D236&lt;&gt;"",SUMIFS($K$2:$K$501,$D$2:$D$501,D236),SUMIFS($K$2:$K$501,$E$2:$E$501,E236)))</f>
        <v/>
      </c>
      <c r="N236" s="14">
        <f>IF(F236="","",MAX(0,F236-M236))</f>
        <v/>
      </c>
      <c r="O236" s="6">
        <f>IF(A236="","",IF(AND(I236&lt;&gt;"",I236&gt;H236),"是",IF(AND(TODAY()&gt;H236,N236&gt;0),"是","否")))</f>
        <v/>
      </c>
      <c r="P236" s="16">
        <f>IF(A236="","",IFERROR(INDEX('激励事件明细'!$P$2:$P$501,IF(D236&lt;&gt;"",MATCH(D236,'激励事件明细'!$A$2:$A$501,0),MATCH(E236,'激励事件明细'!$B$2:$B$501,0))),""))</f>
        <v/>
      </c>
      <c r="Q236" s="6">
        <f>IF(AND(D236="",E236=""),"异常：必须关联事件编号或税额批次",IF(AND(D236&lt;&gt;"",COUNTIF('激励事件明细'!$A$2:$A$501,D236)=0),"异常：事件编号不存在",IF(AND(E236&lt;&gt;"",COUNTIF('激励事件明细'!$B$2:$B$501,E236)=0),"异常：税额批次不存在",IF(M236&gt;F236,"异常：本批次超额缴税",IF(AND(I236&lt;&gt;"",I236&gt;H236),"异常：超过事件截止日",IF(AND(P236&lt;&gt;"",TODAY()&gt;=P236,N236&gt;0),"异常：离职前未缴清","正常"))))))</f>
        <v/>
      </c>
      <c r="R236" s="11" t="n"/>
    </row>
    <row r="237">
      <c r="A237" s="6">
        <f>IF(AND(D237="",E237=""),"",IFERROR(INDEX('激励事件明细'!$C$2:$C$501,IF(D237&lt;&gt;"",MATCH(D237,'激励事件明细'!$A$2:$A$501,0),MATCH(E237,'激励事件明细'!$B$2:$B$501,0))),""))</f>
        <v/>
      </c>
      <c r="B237" s="6">
        <f>IF(A237="","",IFERROR(INDEX('激励事件明细'!$D$2:$D$501,IF(D237&lt;&gt;"",MATCH(D237,'激励事件明细'!$A$2:$A$501,0),MATCH(E237,'激励事件明细'!$B$2:$B$501,0))),""))</f>
        <v/>
      </c>
      <c r="C237" s="6">
        <f>IF(A237="","",IFERROR(INDEX('激励事件明细'!$H$2:$H$501,IF(D237&lt;&gt;"",MATCH(D237,'激励事件明细'!$A$2:$A$501,0),MATCH(E237,'激励事件明细'!$B$2:$B$501,0))),""))</f>
        <v/>
      </c>
      <c r="D237" s="11" t="n"/>
      <c r="E237" s="11" t="n"/>
      <c r="F237" s="14">
        <f>IF(A237="","",IFERROR(INDEX('激励事件明细'!$Z$2:$Z$501,IF(D237&lt;&gt;"",MATCH(D237,'激励事件明细'!$A$2:$A$501,0),MATCH(E237,'激励事件明细'!$B$2:$B$501,0))),""))</f>
        <v/>
      </c>
      <c r="G237" s="16">
        <f>IF(A237="","",IFERROR(INDEX('激励事件明细'!$AA$2:$AA$501,IF(D237&lt;&gt;"",MATCH(D237,'激励事件明细'!$A$2:$A$501,0),MATCH(E237,'激励事件明细'!$B$2:$B$501,0))),""))</f>
        <v/>
      </c>
      <c r="H237" s="16">
        <f>IF(A237="","",IFERROR(INDEX('激励事件明细'!$AB$2:$AB$501,IF(D237&lt;&gt;"",MATCH(D237,'激励事件明细'!$A$2:$A$501,0),MATCH(E237,'激励事件明细'!$B$2:$B$501,0))),""))</f>
        <v/>
      </c>
      <c r="I237" s="12" t="n"/>
      <c r="J237" s="13" t="n"/>
      <c r="K237" s="13" t="n"/>
      <c r="L237" s="11" t="n"/>
      <c r="M237" s="14">
        <f>IF(A237="","",IF(D237&lt;&gt;"",SUMIFS($K$2:$K$501,$D$2:$D$501,D237),SUMIFS($K$2:$K$501,$E$2:$E$501,E237)))</f>
        <v/>
      </c>
      <c r="N237" s="14">
        <f>IF(F237="","",MAX(0,F237-M237))</f>
        <v/>
      </c>
      <c r="O237" s="6">
        <f>IF(A237="","",IF(AND(I237&lt;&gt;"",I237&gt;H237),"是",IF(AND(TODAY()&gt;H237,N237&gt;0),"是","否")))</f>
        <v/>
      </c>
      <c r="P237" s="16">
        <f>IF(A237="","",IFERROR(INDEX('激励事件明细'!$P$2:$P$501,IF(D237&lt;&gt;"",MATCH(D237,'激励事件明细'!$A$2:$A$501,0),MATCH(E237,'激励事件明细'!$B$2:$B$501,0))),""))</f>
        <v/>
      </c>
      <c r="Q237" s="6">
        <f>IF(AND(D237="",E237=""),"异常：必须关联事件编号或税额批次",IF(AND(D237&lt;&gt;"",COUNTIF('激励事件明细'!$A$2:$A$501,D237)=0),"异常：事件编号不存在",IF(AND(E237&lt;&gt;"",COUNTIF('激励事件明细'!$B$2:$B$501,E237)=0),"异常：税额批次不存在",IF(M237&gt;F237,"异常：本批次超额缴税",IF(AND(I237&lt;&gt;"",I237&gt;H237),"异常：超过事件截止日",IF(AND(P237&lt;&gt;"",TODAY()&gt;=P237,N237&gt;0),"异常：离职前未缴清","正常"))))))</f>
        <v/>
      </c>
      <c r="R237" s="11" t="n"/>
    </row>
    <row r="238">
      <c r="A238" s="6">
        <f>IF(AND(D238="",E238=""),"",IFERROR(INDEX('激励事件明细'!$C$2:$C$501,IF(D238&lt;&gt;"",MATCH(D238,'激励事件明细'!$A$2:$A$501,0),MATCH(E238,'激励事件明细'!$B$2:$B$501,0))),""))</f>
        <v/>
      </c>
      <c r="B238" s="6">
        <f>IF(A238="","",IFERROR(INDEX('激励事件明细'!$D$2:$D$501,IF(D238&lt;&gt;"",MATCH(D238,'激励事件明细'!$A$2:$A$501,0),MATCH(E238,'激励事件明细'!$B$2:$B$501,0))),""))</f>
        <v/>
      </c>
      <c r="C238" s="6">
        <f>IF(A238="","",IFERROR(INDEX('激励事件明细'!$H$2:$H$501,IF(D238&lt;&gt;"",MATCH(D238,'激励事件明细'!$A$2:$A$501,0),MATCH(E238,'激励事件明细'!$B$2:$B$501,0))),""))</f>
        <v/>
      </c>
      <c r="D238" s="11" t="n"/>
      <c r="E238" s="11" t="n"/>
      <c r="F238" s="14">
        <f>IF(A238="","",IFERROR(INDEX('激励事件明细'!$Z$2:$Z$501,IF(D238&lt;&gt;"",MATCH(D238,'激励事件明细'!$A$2:$A$501,0),MATCH(E238,'激励事件明细'!$B$2:$B$501,0))),""))</f>
        <v/>
      </c>
      <c r="G238" s="16">
        <f>IF(A238="","",IFERROR(INDEX('激励事件明细'!$AA$2:$AA$501,IF(D238&lt;&gt;"",MATCH(D238,'激励事件明细'!$A$2:$A$501,0),MATCH(E238,'激励事件明细'!$B$2:$B$501,0))),""))</f>
        <v/>
      </c>
      <c r="H238" s="16">
        <f>IF(A238="","",IFERROR(INDEX('激励事件明细'!$AB$2:$AB$501,IF(D238&lt;&gt;"",MATCH(D238,'激励事件明细'!$A$2:$A$501,0),MATCH(E238,'激励事件明细'!$B$2:$B$501,0))),""))</f>
        <v/>
      </c>
      <c r="I238" s="12" t="n"/>
      <c r="J238" s="13" t="n"/>
      <c r="K238" s="13" t="n"/>
      <c r="L238" s="11" t="n"/>
      <c r="M238" s="14">
        <f>IF(A238="","",IF(D238&lt;&gt;"",SUMIFS($K$2:$K$501,$D$2:$D$501,D238),SUMIFS($K$2:$K$501,$E$2:$E$501,E238)))</f>
        <v/>
      </c>
      <c r="N238" s="14">
        <f>IF(F238="","",MAX(0,F238-M238))</f>
        <v/>
      </c>
      <c r="O238" s="6">
        <f>IF(A238="","",IF(AND(I238&lt;&gt;"",I238&gt;H238),"是",IF(AND(TODAY()&gt;H238,N238&gt;0),"是","否")))</f>
        <v/>
      </c>
      <c r="P238" s="16">
        <f>IF(A238="","",IFERROR(INDEX('激励事件明细'!$P$2:$P$501,IF(D238&lt;&gt;"",MATCH(D238,'激励事件明细'!$A$2:$A$501,0),MATCH(E238,'激励事件明细'!$B$2:$B$501,0))),""))</f>
        <v/>
      </c>
      <c r="Q238" s="6">
        <f>IF(AND(D238="",E238=""),"异常：必须关联事件编号或税额批次",IF(AND(D238&lt;&gt;"",COUNTIF('激励事件明细'!$A$2:$A$501,D238)=0),"异常：事件编号不存在",IF(AND(E238&lt;&gt;"",COUNTIF('激励事件明细'!$B$2:$B$501,E238)=0),"异常：税额批次不存在",IF(M238&gt;F238,"异常：本批次超额缴税",IF(AND(I238&lt;&gt;"",I238&gt;H238),"异常：超过事件截止日",IF(AND(P238&lt;&gt;"",TODAY()&gt;=P238,N238&gt;0),"异常：离职前未缴清","正常"))))))</f>
        <v/>
      </c>
      <c r="R238" s="11" t="n"/>
    </row>
    <row r="239">
      <c r="A239" s="6">
        <f>IF(AND(D239="",E239=""),"",IFERROR(INDEX('激励事件明细'!$C$2:$C$501,IF(D239&lt;&gt;"",MATCH(D239,'激励事件明细'!$A$2:$A$501,0),MATCH(E239,'激励事件明细'!$B$2:$B$501,0))),""))</f>
        <v/>
      </c>
      <c r="B239" s="6">
        <f>IF(A239="","",IFERROR(INDEX('激励事件明细'!$D$2:$D$501,IF(D239&lt;&gt;"",MATCH(D239,'激励事件明细'!$A$2:$A$501,0),MATCH(E239,'激励事件明细'!$B$2:$B$501,0))),""))</f>
        <v/>
      </c>
      <c r="C239" s="6">
        <f>IF(A239="","",IFERROR(INDEX('激励事件明细'!$H$2:$H$501,IF(D239&lt;&gt;"",MATCH(D239,'激励事件明细'!$A$2:$A$501,0),MATCH(E239,'激励事件明细'!$B$2:$B$501,0))),""))</f>
        <v/>
      </c>
      <c r="D239" s="11" t="n"/>
      <c r="E239" s="11" t="n"/>
      <c r="F239" s="14">
        <f>IF(A239="","",IFERROR(INDEX('激励事件明细'!$Z$2:$Z$501,IF(D239&lt;&gt;"",MATCH(D239,'激励事件明细'!$A$2:$A$501,0),MATCH(E239,'激励事件明细'!$B$2:$B$501,0))),""))</f>
        <v/>
      </c>
      <c r="G239" s="16">
        <f>IF(A239="","",IFERROR(INDEX('激励事件明细'!$AA$2:$AA$501,IF(D239&lt;&gt;"",MATCH(D239,'激励事件明细'!$A$2:$A$501,0),MATCH(E239,'激励事件明细'!$B$2:$B$501,0))),""))</f>
        <v/>
      </c>
      <c r="H239" s="16">
        <f>IF(A239="","",IFERROR(INDEX('激励事件明细'!$AB$2:$AB$501,IF(D239&lt;&gt;"",MATCH(D239,'激励事件明细'!$A$2:$A$501,0),MATCH(E239,'激励事件明细'!$B$2:$B$501,0))),""))</f>
        <v/>
      </c>
      <c r="I239" s="12" t="n"/>
      <c r="J239" s="13" t="n"/>
      <c r="K239" s="13" t="n"/>
      <c r="L239" s="11" t="n"/>
      <c r="M239" s="14">
        <f>IF(A239="","",IF(D239&lt;&gt;"",SUMIFS($K$2:$K$501,$D$2:$D$501,D239),SUMIFS($K$2:$K$501,$E$2:$E$501,E239)))</f>
        <v/>
      </c>
      <c r="N239" s="14">
        <f>IF(F239="","",MAX(0,F239-M239))</f>
        <v/>
      </c>
      <c r="O239" s="6">
        <f>IF(A239="","",IF(AND(I239&lt;&gt;"",I239&gt;H239),"是",IF(AND(TODAY()&gt;H239,N239&gt;0),"是","否")))</f>
        <v/>
      </c>
      <c r="P239" s="16">
        <f>IF(A239="","",IFERROR(INDEX('激励事件明细'!$P$2:$P$501,IF(D239&lt;&gt;"",MATCH(D239,'激励事件明细'!$A$2:$A$501,0),MATCH(E239,'激励事件明细'!$B$2:$B$501,0))),""))</f>
        <v/>
      </c>
      <c r="Q239" s="6">
        <f>IF(AND(D239="",E239=""),"异常：必须关联事件编号或税额批次",IF(AND(D239&lt;&gt;"",COUNTIF('激励事件明细'!$A$2:$A$501,D239)=0),"异常：事件编号不存在",IF(AND(E239&lt;&gt;"",COUNTIF('激励事件明细'!$B$2:$B$501,E239)=0),"异常：税额批次不存在",IF(M239&gt;F239,"异常：本批次超额缴税",IF(AND(I239&lt;&gt;"",I239&gt;H239),"异常：超过事件截止日",IF(AND(P239&lt;&gt;"",TODAY()&gt;=P239,N239&gt;0),"异常：离职前未缴清","正常"))))))</f>
        <v/>
      </c>
      <c r="R239" s="11" t="n"/>
    </row>
    <row r="240">
      <c r="A240" s="6">
        <f>IF(AND(D240="",E240=""),"",IFERROR(INDEX('激励事件明细'!$C$2:$C$501,IF(D240&lt;&gt;"",MATCH(D240,'激励事件明细'!$A$2:$A$501,0),MATCH(E240,'激励事件明细'!$B$2:$B$501,0))),""))</f>
        <v/>
      </c>
      <c r="B240" s="6">
        <f>IF(A240="","",IFERROR(INDEX('激励事件明细'!$D$2:$D$501,IF(D240&lt;&gt;"",MATCH(D240,'激励事件明细'!$A$2:$A$501,0),MATCH(E240,'激励事件明细'!$B$2:$B$501,0))),""))</f>
        <v/>
      </c>
      <c r="C240" s="6">
        <f>IF(A240="","",IFERROR(INDEX('激励事件明细'!$H$2:$H$501,IF(D240&lt;&gt;"",MATCH(D240,'激励事件明细'!$A$2:$A$501,0),MATCH(E240,'激励事件明细'!$B$2:$B$501,0))),""))</f>
        <v/>
      </c>
      <c r="D240" s="11" t="n"/>
      <c r="E240" s="11" t="n"/>
      <c r="F240" s="14">
        <f>IF(A240="","",IFERROR(INDEX('激励事件明细'!$Z$2:$Z$501,IF(D240&lt;&gt;"",MATCH(D240,'激励事件明细'!$A$2:$A$501,0),MATCH(E240,'激励事件明细'!$B$2:$B$501,0))),""))</f>
        <v/>
      </c>
      <c r="G240" s="16">
        <f>IF(A240="","",IFERROR(INDEX('激励事件明细'!$AA$2:$AA$501,IF(D240&lt;&gt;"",MATCH(D240,'激励事件明细'!$A$2:$A$501,0),MATCH(E240,'激励事件明细'!$B$2:$B$501,0))),""))</f>
        <v/>
      </c>
      <c r="H240" s="16">
        <f>IF(A240="","",IFERROR(INDEX('激励事件明细'!$AB$2:$AB$501,IF(D240&lt;&gt;"",MATCH(D240,'激励事件明细'!$A$2:$A$501,0),MATCH(E240,'激励事件明细'!$B$2:$B$501,0))),""))</f>
        <v/>
      </c>
      <c r="I240" s="12" t="n"/>
      <c r="J240" s="13" t="n"/>
      <c r="K240" s="13" t="n"/>
      <c r="L240" s="11" t="n"/>
      <c r="M240" s="14">
        <f>IF(A240="","",IF(D240&lt;&gt;"",SUMIFS($K$2:$K$501,$D$2:$D$501,D240),SUMIFS($K$2:$K$501,$E$2:$E$501,E240)))</f>
        <v/>
      </c>
      <c r="N240" s="14">
        <f>IF(F240="","",MAX(0,F240-M240))</f>
        <v/>
      </c>
      <c r="O240" s="6">
        <f>IF(A240="","",IF(AND(I240&lt;&gt;"",I240&gt;H240),"是",IF(AND(TODAY()&gt;H240,N240&gt;0),"是","否")))</f>
        <v/>
      </c>
      <c r="P240" s="16">
        <f>IF(A240="","",IFERROR(INDEX('激励事件明细'!$P$2:$P$501,IF(D240&lt;&gt;"",MATCH(D240,'激励事件明细'!$A$2:$A$501,0),MATCH(E240,'激励事件明细'!$B$2:$B$501,0))),""))</f>
        <v/>
      </c>
      <c r="Q240" s="6">
        <f>IF(AND(D240="",E240=""),"异常：必须关联事件编号或税额批次",IF(AND(D240&lt;&gt;"",COUNTIF('激励事件明细'!$A$2:$A$501,D240)=0),"异常：事件编号不存在",IF(AND(E240&lt;&gt;"",COUNTIF('激励事件明细'!$B$2:$B$501,E240)=0),"异常：税额批次不存在",IF(M240&gt;F240,"异常：本批次超额缴税",IF(AND(I240&lt;&gt;"",I240&gt;H240),"异常：超过事件截止日",IF(AND(P240&lt;&gt;"",TODAY()&gt;=P240,N240&gt;0),"异常：离职前未缴清","正常"))))))</f>
        <v/>
      </c>
      <c r="R240" s="11" t="n"/>
    </row>
    <row r="241">
      <c r="A241" s="6">
        <f>IF(AND(D241="",E241=""),"",IFERROR(INDEX('激励事件明细'!$C$2:$C$501,IF(D241&lt;&gt;"",MATCH(D241,'激励事件明细'!$A$2:$A$501,0),MATCH(E241,'激励事件明细'!$B$2:$B$501,0))),""))</f>
        <v/>
      </c>
      <c r="B241" s="6">
        <f>IF(A241="","",IFERROR(INDEX('激励事件明细'!$D$2:$D$501,IF(D241&lt;&gt;"",MATCH(D241,'激励事件明细'!$A$2:$A$501,0),MATCH(E241,'激励事件明细'!$B$2:$B$501,0))),""))</f>
        <v/>
      </c>
      <c r="C241" s="6">
        <f>IF(A241="","",IFERROR(INDEX('激励事件明细'!$H$2:$H$501,IF(D241&lt;&gt;"",MATCH(D241,'激励事件明细'!$A$2:$A$501,0),MATCH(E241,'激励事件明细'!$B$2:$B$501,0))),""))</f>
        <v/>
      </c>
      <c r="D241" s="11" t="n"/>
      <c r="E241" s="11" t="n"/>
      <c r="F241" s="14">
        <f>IF(A241="","",IFERROR(INDEX('激励事件明细'!$Z$2:$Z$501,IF(D241&lt;&gt;"",MATCH(D241,'激励事件明细'!$A$2:$A$501,0),MATCH(E241,'激励事件明细'!$B$2:$B$501,0))),""))</f>
        <v/>
      </c>
      <c r="G241" s="16">
        <f>IF(A241="","",IFERROR(INDEX('激励事件明细'!$AA$2:$AA$501,IF(D241&lt;&gt;"",MATCH(D241,'激励事件明细'!$A$2:$A$501,0),MATCH(E241,'激励事件明细'!$B$2:$B$501,0))),""))</f>
        <v/>
      </c>
      <c r="H241" s="16">
        <f>IF(A241="","",IFERROR(INDEX('激励事件明细'!$AB$2:$AB$501,IF(D241&lt;&gt;"",MATCH(D241,'激励事件明细'!$A$2:$A$501,0),MATCH(E241,'激励事件明细'!$B$2:$B$501,0))),""))</f>
        <v/>
      </c>
      <c r="I241" s="12" t="n"/>
      <c r="J241" s="13" t="n"/>
      <c r="K241" s="13" t="n"/>
      <c r="L241" s="11" t="n"/>
      <c r="M241" s="14">
        <f>IF(A241="","",IF(D241&lt;&gt;"",SUMIFS($K$2:$K$501,$D$2:$D$501,D241),SUMIFS($K$2:$K$501,$E$2:$E$501,E241)))</f>
        <v/>
      </c>
      <c r="N241" s="14">
        <f>IF(F241="","",MAX(0,F241-M241))</f>
        <v/>
      </c>
      <c r="O241" s="6">
        <f>IF(A241="","",IF(AND(I241&lt;&gt;"",I241&gt;H241),"是",IF(AND(TODAY()&gt;H241,N241&gt;0),"是","否")))</f>
        <v/>
      </c>
      <c r="P241" s="16">
        <f>IF(A241="","",IFERROR(INDEX('激励事件明细'!$P$2:$P$501,IF(D241&lt;&gt;"",MATCH(D241,'激励事件明细'!$A$2:$A$501,0),MATCH(E241,'激励事件明细'!$B$2:$B$501,0))),""))</f>
        <v/>
      </c>
      <c r="Q241" s="6">
        <f>IF(AND(D241="",E241=""),"异常：必须关联事件编号或税额批次",IF(AND(D241&lt;&gt;"",COUNTIF('激励事件明细'!$A$2:$A$501,D241)=0),"异常：事件编号不存在",IF(AND(E241&lt;&gt;"",COUNTIF('激励事件明细'!$B$2:$B$501,E241)=0),"异常：税额批次不存在",IF(M241&gt;F241,"异常：本批次超额缴税",IF(AND(I241&lt;&gt;"",I241&gt;H241),"异常：超过事件截止日",IF(AND(P241&lt;&gt;"",TODAY()&gt;=P241,N241&gt;0),"异常：离职前未缴清","正常"))))))</f>
        <v/>
      </c>
      <c r="R241" s="11" t="n"/>
    </row>
    <row r="242">
      <c r="A242" s="6">
        <f>IF(AND(D242="",E242=""),"",IFERROR(INDEX('激励事件明细'!$C$2:$C$501,IF(D242&lt;&gt;"",MATCH(D242,'激励事件明细'!$A$2:$A$501,0),MATCH(E242,'激励事件明细'!$B$2:$B$501,0))),""))</f>
        <v/>
      </c>
      <c r="B242" s="6">
        <f>IF(A242="","",IFERROR(INDEX('激励事件明细'!$D$2:$D$501,IF(D242&lt;&gt;"",MATCH(D242,'激励事件明细'!$A$2:$A$501,0),MATCH(E242,'激励事件明细'!$B$2:$B$501,0))),""))</f>
        <v/>
      </c>
      <c r="C242" s="6">
        <f>IF(A242="","",IFERROR(INDEX('激励事件明细'!$H$2:$H$501,IF(D242&lt;&gt;"",MATCH(D242,'激励事件明细'!$A$2:$A$501,0),MATCH(E242,'激励事件明细'!$B$2:$B$501,0))),""))</f>
        <v/>
      </c>
      <c r="D242" s="11" t="n"/>
      <c r="E242" s="11" t="n"/>
      <c r="F242" s="14">
        <f>IF(A242="","",IFERROR(INDEX('激励事件明细'!$Z$2:$Z$501,IF(D242&lt;&gt;"",MATCH(D242,'激励事件明细'!$A$2:$A$501,0),MATCH(E242,'激励事件明细'!$B$2:$B$501,0))),""))</f>
        <v/>
      </c>
      <c r="G242" s="16">
        <f>IF(A242="","",IFERROR(INDEX('激励事件明细'!$AA$2:$AA$501,IF(D242&lt;&gt;"",MATCH(D242,'激励事件明细'!$A$2:$A$501,0),MATCH(E242,'激励事件明细'!$B$2:$B$501,0))),""))</f>
        <v/>
      </c>
      <c r="H242" s="16">
        <f>IF(A242="","",IFERROR(INDEX('激励事件明细'!$AB$2:$AB$501,IF(D242&lt;&gt;"",MATCH(D242,'激励事件明细'!$A$2:$A$501,0),MATCH(E242,'激励事件明细'!$B$2:$B$501,0))),""))</f>
        <v/>
      </c>
      <c r="I242" s="12" t="n"/>
      <c r="J242" s="13" t="n"/>
      <c r="K242" s="13" t="n"/>
      <c r="L242" s="11" t="n"/>
      <c r="M242" s="14">
        <f>IF(A242="","",IF(D242&lt;&gt;"",SUMIFS($K$2:$K$501,$D$2:$D$501,D242),SUMIFS($K$2:$K$501,$E$2:$E$501,E242)))</f>
        <v/>
      </c>
      <c r="N242" s="14">
        <f>IF(F242="","",MAX(0,F242-M242))</f>
        <v/>
      </c>
      <c r="O242" s="6">
        <f>IF(A242="","",IF(AND(I242&lt;&gt;"",I242&gt;H242),"是",IF(AND(TODAY()&gt;H242,N242&gt;0),"是","否")))</f>
        <v/>
      </c>
      <c r="P242" s="16">
        <f>IF(A242="","",IFERROR(INDEX('激励事件明细'!$P$2:$P$501,IF(D242&lt;&gt;"",MATCH(D242,'激励事件明细'!$A$2:$A$501,0),MATCH(E242,'激励事件明细'!$B$2:$B$501,0))),""))</f>
        <v/>
      </c>
      <c r="Q242" s="6">
        <f>IF(AND(D242="",E242=""),"异常：必须关联事件编号或税额批次",IF(AND(D242&lt;&gt;"",COUNTIF('激励事件明细'!$A$2:$A$501,D242)=0),"异常：事件编号不存在",IF(AND(E242&lt;&gt;"",COUNTIF('激励事件明细'!$B$2:$B$501,E242)=0),"异常：税额批次不存在",IF(M242&gt;F242,"异常：本批次超额缴税",IF(AND(I242&lt;&gt;"",I242&gt;H242),"异常：超过事件截止日",IF(AND(P242&lt;&gt;"",TODAY()&gt;=P242,N242&gt;0),"异常：离职前未缴清","正常"))))))</f>
        <v/>
      </c>
      <c r="R242" s="11" t="n"/>
    </row>
    <row r="243">
      <c r="A243" s="6">
        <f>IF(AND(D243="",E243=""),"",IFERROR(INDEX('激励事件明细'!$C$2:$C$501,IF(D243&lt;&gt;"",MATCH(D243,'激励事件明细'!$A$2:$A$501,0),MATCH(E243,'激励事件明细'!$B$2:$B$501,0))),""))</f>
        <v/>
      </c>
      <c r="B243" s="6">
        <f>IF(A243="","",IFERROR(INDEX('激励事件明细'!$D$2:$D$501,IF(D243&lt;&gt;"",MATCH(D243,'激励事件明细'!$A$2:$A$501,0),MATCH(E243,'激励事件明细'!$B$2:$B$501,0))),""))</f>
        <v/>
      </c>
      <c r="C243" s="6">
        <f>IF(A243="","",IFERROR(INDEX('激励事件明细'!$H$2:$H$501,IF(D243&lt;&gt;"",MATCH(D243,'激励事件明细'!$A$2:$A$501,0),MATCH(E243,'激励事件明细'!$B$2:$B$501,0))),""))</f>
        <v/>
      </c>
      <c r="D243" s="11" t="n"/>
      <c r="E243" s="11" t="n"/>
      <c r="F243" s="14">
        <f>IF(A243="","",IFERROR(INDEX('激励事件明细'!$Z$2:$Z$501,IF(D243&lt;&gt;"",MATCH(D243,'激励事件明细'!$A$2:$A$501,0),MATCH(E243,'激励事件明细'!$B$2:$B$501,0))),""))</f>
        <v/>
      </c>
      <c r="G243" s="16">
        <f>IF(A243="","",IFERROR(INDEX('激励事件明细'!$AA$2:$AA$501,IF(D243&lt;&gt;"",MATCH(D243,'激励事件明细'!$A$2:$A$501,0),MATCH(E243,'激励事件明细'!$B$2:$B$501,0))),""))</f>
        <v/>
      </c>
      <c r="H243" s="16">
        <f>IF(A243="","",IFERROR(INDEX('激励事件明细'!$AB$2:$AB$501,IF(D243&lt;&gt;"",MATCH(D243,'激励事件明细'!$A$2:$A$501,0),MATCH(E243,'激励事件明细'!$B$2:$B$501,0))),""))</f>
        <v/>
      </c>
      <c r="I243" s="12" t="n"/>
      <c r="J243" s="13" t="n"/>
      <c r="K243" s="13" t="n"/>
      <c r="L243" s="11" t="n"/>
      <c r="M243" s="14">
        <f>IF(A243="","",IF(D243&lt;&gt;"",SUMIFS($K$2:$K$501,$D$2:$D$501,D243),SUMIFS($K$2:$K$501,$E$2:$E$501,E243)))</f>
        <v/>
      </c>
      <c r="N243" s="14">
        <f>IF(F243="","",MAX(0,F243-M243))</f>
        <v/>
      </c>
      <c r="O243" s="6">
        <f>IF(A243="","",IF(AND(I243&lt;&gt;"",I243&gt;H243),"是",IF(AND(TODAY()&gt;H243,N243&gt;0),"是","否")))</f>
        <v/>
      </c>
      <c r="P243" s="16">
        <f>IF(A243="","",IFERROR(INDEX('激励事件明细'!$P$2:$P$501,IF(D243&lt;&gt;"",MATCH(D243,'激励事件明细'!$A$2:$A$501,0),MATCH(E243,'激励事件明细'!$B$2:$B$501,0))),""))</f>
        <v/>
      </c>
      <c r="Q243" s="6">
        <f>IF(AND(D243="",E243=""),"异常：必须关联事件编号或税额批次",IF(AND(D243&lt;&gt;"",COUNTIF('激励事件明细'!$A$2:$A$501,D243)=0),"异常：事件编号不存在",IF(AND(E243&lt;&gt;"",COUNTIF('激励事件明细'!$B$2:$B$501,E243)=0),"异常：税额批次不存在",IF(M243&gt;F243,"异常：本批次超额缴税",IF(AND(I243&lt;&gt;"",I243&gt;H243),"异常：超过事件截止日",IF(AND(P243&lt;&gt;"",TODAY()&gt;=P243,N243&gt;0),"异常：离职前未缴清","正常"))))))</f>
        <v/>
      </c>
      <c r="R243" s="11" t="n"/>
    </row>
    <row r="244">
      <c r="A244" s="6">
        <f>IF(AND(D244="",E244=""),"",IFERROR(INDEX('激励事件明细'!$C$2:$C$501,IF(D244&lt;&gt;"",MATCH(D244,'激励事件明细'!$A$2:$A$501,0),MATCH(E244,'激励事件明细'!$B$2:$B$501,0))),""))</f>
        <v/>
      </c>
      <c r="B244" s="6">
        <f>IF(A244="","",IFERROR(INDEX('激励事件明细'!$D$2:$D$501,IF(D244&lt;&gt;"",MATCH(D244,'激励事件明细'!$A$2:$A$501,0),MATCH(E244,'激励事件明细'!$B$2:$B$501,0))),""))</f>
        <v/>
      </c>
      <c r="C244" s="6">
        <f>IF(A244="","",IFERROR(INDEX('激励事件明细'!$H$2:$H$501,IF(D244&lt;&gt;"",MATCH(D244,'激励事件明细'!$A$2:$A$501,0),MATCH(E244,'激励事件明细'!$B$2:$B$501,0))),""))</f>
        <v/>
      </c>
      <c r="D244" s="11" t="n"/>
      <c r="E244" s="11" t="n"/>
      <c r="F244" s="14">
        <f>IF(A244="","",IFERROR(INDEX('激励事件明细'!$Z$2:$Z$501,IF(D244&lt;&gt;"",MATCH(D244,'激励事件明细'!$A$2:$A$501,0),MATCH(E244,'激励事件明细'!$B$2:$B$501,0))),""))</f>
        <v/>
      </c>
      <c r="G244" s="16">
        <f>IF(A244="","",IFERROR(INDEX('激励事件明细'!$AA$2:$AA$501,IF(D244&lt;&gt;"",MATCH(D244,'激励事件明细'!$A$2:$A$501,0),MATCH(E244,'激励事件明细'!$B$2:$B$501,0))),""))</f>
        <v/>
      </c>
      <c r="H244" s="16">
        <f>IF(A244="","",IFERROR(INDEX('激励事件明细'!$AB$2:$AB$501,IF(D244&lt;&gt;"",MATCH(D244,'激励事件明细'!$A$2:$A$501,0),MATCH(E244,'激励事件明细'!$B$2:$B$501,0))),""))</f>
        <v/>
      </c>
      <c r="I244" s="12" t="n"/>
      <c r="J244" s="13" t="n"/>
      <c r="K244" s="13" t="n"/>
      <c r="L244" s="11" t="n"/>
      <c r="M244" s="14">
        <f>IF(A244="","",IF(D244&lt;&gt;"",SUMIFS($K$2:$K$501,$D$2:$D$501,D244),SUMIFS($K$2:$K$501,$E$2:$E$501,E244)))</f>
        <v/>
      </c>
      <c r="N244" s="14">
        <f>IF(F244="","",MAX(0,F244-M244))</f>
        <v/>
      </c>
      <c r="O244" s="6">
        <f>IF(A244="","",IF(AND(I244&lt;&gt;"",I244&gt;H244),"是",IF(AND(TODAY()&gt;H244,N244&gt;0),"是","否")))</f>
        <v/>
      </c>
      <c r="P244" s="16">
        <f>IF(A244="","",IFERROR(INDEX('激励事件明细'!$P$2:$P$501,IF(D244&lt;&gt;"",MATCH(D244,'激励事件明细'!$A$2:$A$501,0),MATCH(E244,'激励事件明细'!$B$2:$B$501,0))),""))</f>
        <v/>
      </c>
      <c r="Q244" s="6">
        <f>IF(AND(D244="",E244=""),"异常：必须关联事件编号或税额批次",IF(AND(D244&lt;&gt;"",COUNTIF('激励事件明细'!$A$2:$A$501,D244)=0),"异常：事件编号不存在",IF(AND(E244&lt;&gt;"",COUNTIF('激励事件明细'!$B$2:$B$501,E244)=0),"异常：税额批次不存在",IF(M244&gt;F244,"异常：本批次超额缴税",IF(AND(I244&lt;&gt;"",I244&gt;H244),"异常：超过事件截止日",IF(AND(P244&lt;&gt;"",TODAY()&gt;=P244,N244&gt;0),"异常：离职前未缴清","正常"))))))</f>
        <v/>
      </c>
      <c r="R244" s="11" t="n"/>
    </row>
    <row r="245">
      <c r="A245" s="6">
        <f>IF(AND(D245="",E245=""),"",IFERROR(INDEX('激励事件明细'!$C$2:$C$501,IF(D245&lt;&gt;"",MATCH(D245,'激励事件明细'!$A$2:$A$501,0),MATCH(E245,'激励事件明细'!$B$2:$B$501,0))),""))</f>
        <v/>
      </c>
      <c r="B245" s="6">
        <f>IF(A245="","",IFERROR(INDEX('激励事件明细'!$D$2:$D$501,IF(D245&lt;&gt;"",MATCH(D245,'激励事件明细'!$A$2:$A$501,0),MATCH(E245,'激励事件明细'!$B$2:$B$501,0))),""))</f>
        <v/>
      </c>
      <c r="C245" s="6">
        <f>IF(A245="","",IFERROR(INDEX('激励事件明细'!$H$2:$H$501,IF(D245&lt;&gt;"",MATCH(D245,'激励事件明细'!$A$2:$A$501,0),MATCH(E245,'激励事件明细'!$B$2:$B$501,0))),""))</f>
        <v/>
      </c>
      <c r="D245" s="11" t="n"/>
      <c r="E245" s="11" t="n"/>
      <c r="F245" s="14">
        <f>IF(A245="","",IFERROR(INDEX('激励事件明细'!$Z$2:$Z$501,IF(D245&lt;&gt;"",MATCH(D245,'激励事件明细'!$A$2:$A$501,0),MATCH(E245,'激励事件明细'!$B$2:$B$501,0))),""))</f>
        <v/>
      </c>
      <c r="G245" s="16">
        <f>IF(A245="","",IFERROR(INDEX('激励事件明细'!$AA$2:$AA$501,IF(D245&lt;&gt;"",MATCH(D245,'激励事件明细'!$A$2:$A$501,0),MATCH(E245,'激励事件明细'!$B$2:$B$501,0))),""))</f>
        <v/>
      </c>
      <c r="H245" s="16">
        <f>IF(A245="","",IFERROR(INDEX('激励事件明细'!$AB$2:$AB$501,IF(D245&lt;&gt;"",MATCH(D245,'激励事件明细'!$A$2:$A$501,0),MATCH(E245,'激励事件明细'!$B$2:$B$501,0))),""))</f>
        <v/>
      </c>
      <c r="I245" s="12" t="n"/>
      <c r="J245" s="13" t="n"/>
      <c r="K245" s="13" t="n"/>
      <c r="L245" s="11" t="n"/>
      <c r="M245" s="14">
        <f>IF(A245="","",IF(D245&lt;&gt;"",SUMIFS($K$2:$K$501,$D$2:$D$501,D245),SUMIFS($K$2:$K$501,$E$2:$E$501,E245)))</f>
        <v/>
      </c>
      <c r="N245" s="14">
        <f>IF(F245="","",MAX(0,F245-M245))</f>
        <v/>
      </c>
      <c r="O245" s="6">
        <f>IF(A245="","",IF(AND(I245&lt;&gt;"",I245&gt;H245),"是",IF(AND(TODAY()&gt;H245,N245&gt;0),"是","否")))</f>
        <v/>
      </c>
      <c r="P245" s="16">
        <f>IF(A245="","",IFERROR(INDEX('激励事件明细'!$P$2:$P$501,IF(D245&lt;&gt;"",MATCH(D245,'激励事件明细'!$A$2:$A$501,0),MATCH(E245,'激励事件明细'!$B$2:$B$501,0))),""))</f>
        <v/>
      </c>
      <c r="Q245" s="6">
        <f>IF(AND(D245="",E245=""),"异常：必须关联事件编号或税额批次",IF(AND(D245&lt;&gt;"",COUNTIF('激励事件明细'!$A$2:$A$501,D245)=0),"异常：事件编号不存在",IF(AND(E245&lt;&gt;"",COUNTIF('激励事件明细'!$B$2:$B$501,E245)=0),"异常：税额批次不存在",IF(M245&gt;F245,"异常：本批次超额缴税",IF(AND(I245&lt;&gt;"",I245&gt;H245),"异常：超过事件截止日",IF(AND(P245&lt;&gt;"",TODAY()&gt;=P245,N245&gt;0),"异常：离职前未缴清","正常"))))))</f>
        <v/>
      </c>
      <c r="R245" s="11" t="n"/>
    </row>
    <row r="246">
      <c r="A246" s="6">
        <f>IF(AND(D246="",E246=""),"",IFERROR(INDEX('激励事件明细'!$C$2:$C$501,IF(D246&lt;&gt;"",MATCH(D246,'激励事件明细'!$A$2:$A$501,0),MATCH(E246,'激励事件明细'!$B$2:$B$501,0))),""))</f>
        <v/>
      </c>
      <c r="B246" s="6">
        <f>IF(A246="","",IFERROR(INDEX('激励事件明细'!$D$2:$D$501,IF(D246&lt;&gt;"",MATCH(D246,'激励事件明细'!$A$2:$A$501,0),MATCH(E246,'激励事件明细'!$B$2:$B$501,0))),""))</f>
        <v/>
      </c>
      <c r="C246" s="6">
        <f>IF(A246="","",IFERROR(INDEX('激励事件明细'!$H$2:$H$501,IF(D246&lt;&gt;"",MATCH(D246,'激励事件明细'!$A$2:$A$501,0),MATCH(E246,'激励事件明细'!$B$2:$B$501,0))),""))</f>
        <v/>
      </c>
      <c r="D246" s="11" t="n"/>
      <c r="E246" s="11" t="n"/>
      <c r="F246" s="14">
        <f>IF(A246="","",IFERROR(INDEX('激励事件明细'!$Z$2:$Z$501,IF(D246&lt;&gt;"",MATCH(D246,'激励事件明细'!$A$2:$A$501,0),MATCH(E246,'激励事件明细'!$B$2:$B$501,0))),""))</f>
        <v/>
      </c>
      <c r="G246" s="16">
        <f>IF(A246="","",IFERROR(INDEX('激励事件明细'!$AA$2:$AA$501,IF(D246&lt;&gt;"",MATCH(D246,'激励事件明细'!$A$2:$A$501,0),MATCH(E246,'激励事件明细'!$B$2:$B$501,0))),""))</f>
        <v/>
      </c>
      <c r="H246" s="16">
        <f>IF(A246="","",IFERROR(INDEX('激励事件明细'!$AB$2:$AB$501,IF(D246&lt;&gt;"",MATCH(D246,'激励事件明细'!$A$2:$A$501,0),MATCH(E246,'激励事件明细'!$B$2:$B$501,0))),""))</f>
        <v/>
      </c>
      <c r="I246" s="12" t="n"/>
      <c r="J246" s="13" t="n"/>
      <c r="K246" s="13" t="n"/>
      <c r="L246" s="11" t="n"/>
      <c r="M246" s="14">
        <f>IF(A246="","",IF(D246&lt;&gt;"",SUMIFS($K$2:$K$501,$D$2:$D$501,D246),SUMIFS($K$2:$K$501,$E$2:$E$501,E246)))</f>
        <v/>
      </c>
      <c r="N246" s="14">
        <f>IF(F246="","",MAX(0,F246-M246))</f>
        <v/>
      </c>
      <c r="O246" s="6">
        <f>IF(A246="","",IF(AND(I246&lt;&gt;"",I246&gt;H246),"是",IF(AND(TODAY()&gt;H246,N246&gt;0),"是","否")))</f>
        <v/>
      </c>
      <c r="P246" s="16">
        <f>IF(A246="","",IFERROR(INDEX('激励事件明细'!$P$2:$P$501,IF(D246&lt;&gt;"",MATCH(D246,'激励事件明细'!$A$2:$A$501,0),MATCH(E246,'激励事件明细'!$B$2:$B$501,0))),""))</f>
        <v/>
      </c>
      <c r="Q246" s="6">
        <f>IF(AND(D246="",E246=""),"异常：必须关联事件编号或税额批次",IF(AND(D246&lt;&gt;"",COUNTIF('激励事件明细'!$A$2:$A$501,D246)=0),"异常：事件编号不存在",IF(AND(E246&lt;&gt;"",COUNTIF('激励事件明细'!$B$2:$B$501,E246)=0),"异常：税额批次不存在",IF(M246&gt;F246,"异常：本批次超额缴税",IF(AND(I246&lt;&gt;"",I246&gt;H246),"异常：超过事件截止日",IF(AND(P246&lt;&gt;"",TODAY()&gt;=P246,N246&gt;0),"异常：离职前未缴清","正常"))))))</f>
        <v/>
      </c>
      <c r="R246" s="11" t="n"/>
    </row>
    <row r="247">
      <c r="A247" s="6">
        <f>IF(AND(D247="",E247=""),"",IFERROR(INDEX('激励事件明细'!$C$2:$C$501,IF(D247&lt;&gt;"",MATCH(D247,'激励事件明细'!$A$2:$A$501,0),MATCH(E247,'激励事件明细'!$B$2:$B$501,0))),""))</f>
        <v/>
      </c>
      <c r="B247" s="6">
        <f>IF(A247="","",IFERROR(INDEX('激励事件明细'!$D$2:$D$501,IF(D247&lt;&gt;"",MATCH(D247,'激励事件明细'!$A$2:$A$501,0),MATCH(E247,'激励事件明细'!$B$2:$B$501,0))),""))</f>
        <v/>
      </c>
      <c r="C247" s="6">
        <f>IF(A247="","",IFERROR(INDEX('激励事件明细'!$H$2:$H$501,IF(D247&lt;&gt;"",MATCH(D247,'激励事件明细'!$A$2:$A$501,0),MATCH(E247,'激励事件明细'!$B$2:$B$501,0))),""))</f>
        <v/>
      </c>
      <c r="D247" s="11" t="n"/>
      <c r="E247" s="11" t="n"/>
      <c r="F247" s="14">
        <f>IF(A247="","",IFERROR(INDEX('激励事件明细'!$Z$2:$Z$501,IF(D247&lt;&gt;"",MATCH(D247,'激励事件明细'!$A$2:$A$501,0),MATCH(E247,'激励事件明细'!$B$2:$B$501,0))),""))</f>
        <v/>
      </c>
      <c r="G247" s="16">
        <f>IF(A247="","",IFERROR(INDEX('激励事件明细'!$AA$2:$AA$501,IF(D247&lt;&gt;"",MATCH(D247,'激励事件明细'!$A$2:$A$501,0),MATCH(E247,'激励事件明细'!$B$2:$B$501,0))),""))</f>
        <v/>
      </c>
      <c r="H247" s="16">
        <f>IF(A247="","",IFERROR(INDEX('激励事件明细'!$AB$2:$AB$501,IF(D247&lt;&gt;"",MATCH(D247,'激励事件明细'!$A$2:$A$501,0),MATCH(E247,'激励事件明细'!$B$2:$B$501,0))),""))</f>
        <v/>
      </c>
      <c r="I247" s="12" t="n"/>
      <c r="J247" s="13" t="n"/>
      <c r="K247" s="13" t="n"/>
      <c r="L247" s="11" t="n"/>
      <c r="M247" s="14">
        <f>IF(A247="","",IF(D247&lt;&gt;"",SUMIFS($K$2:$K$501,$D$2:$D$501,D247),SUMIFS($K$2:$K$501,$E$2:$E$501,E247)))</f>
        <v/>
      </c>
      <c r="N247" s="14">
        <f>IF(F247="","",MAX(0,F247-M247))</f>
        <v/>
      </c>
      <c r="O247" s="6">
        <f>IF(A247="","",IF(AND(I247&lt;&gt;"",I247&gt;H247),"是",IF(AND(TODAY()&gt;H247,N247&gt;0),"是","否")))</f>
        <v/>
      </c>
      <c r="P247" s="16">
        <f>IF(A247="","",IFERROR(INDEX('激励事件明细'!$P$2:$P$501,IF(D247&lt;&gt;"",MATCH(D247,'激励事件明细'!$A$2:$A$501,0),MATCH(E247,'激励事件明细'!$B$2:$B$501,0))),""))</f>
        <v/>
      </c>
      <c r="Q247" s="6">
        <f>IF(AND(D247="",E247=""),"异常：必须关联事件编号或税额批次",IF(AND(D247&lt;&gt;"",COUNTIF('激励事件明细'!$A$2:$A$501,D247)=0),"异常：事件编号不存在",IF(AND(E247&lt;&gt;"",COUNTIF('激励事件明细'!$B$2:$B$501,E247)=0),"异常：税额批次不存在",IF(M247&gt;F247,"异常：本批次超额缴税",IF(AND(I247&lt;&gt;"",I247&gt;H247),"异常：超过事件截止日",IF(AND(P247&lt;&gt;"",TODAY()&gt;=P247,N247&gt;0),"异常：离职前未缴清","正常"))))))</f>
        <v/>
      </c>
      <c r="R247" s="11" t="n"/>
    </row>
    <row r="248">
      <c r="A248" s="6">
        <f>IF(AND(D248="",E248=""),"",IFERROR(INDEX('激励事件明细'!$C$2:$C$501,IF(D248&lt;&gt;"",MATCH(D248,'激励事件明细'!$A$2:$A$501,0),MATCH(E248,'激励事件明细'!$B$2:$B$501,0))),""))</f>
        <v/>
      </c>
      <c r="B248" s="6">
        <f>IF(A248="","",IFERROR(INDEX('激励事件明细'!$D$2:$D$501,IF(D248&lt;&gt;"",MATCH(D248,'激励事件明细'!$A$2:$A$501,0),MATCH(E248,'激励事件明细'!$B$2:$B$501,0))),""))</f>
        <v/>
      </c>
      <c r="C248" s="6">
        <f>IF(A248="","",IFERROR(INDEX('激励事件明细'!$H$2:$H$501,IF(D248&lt;&gt;"",MATCH(D248,'激励事件明细'!$A$2:$A$501,0),MATCH(E248,'激励事件明细'!$B$2:$B$501,0))),""))</f>
        <v/>
      </c>
      <c r="D248" s="11" t="n"/>
      <c r="E248" s="11" t="n"/>
      <c r="F248" s="14">
        <f>IF(A248="","",IFERROR(INDEX('激励事件明细'!$Z$2:$Z$501,IF(D248&lt;&gt;"",MATCH(D248,'激励事件明细'!$A$2:$A$501,0),MATCH(E248,'激励事件明细'!$B$2:$B$501,0))),""))</f>
        <v/>
      </c>
      <c r="G248" s="16">
        <f>IF(A248="","",IFERROR(INDEX('激励事件明细'!$AA$2:$AA$501,IF(D248&lt;&gt;"",MATCH(D248,'激励事件明细'!$A$2:$A$501,0),MATCH(E248,'激励事件明细'!$B$2:$B$501,0))),""))</f>
        <v/>
      </c>
      <c r="H248" s="16">
        <f>IF(A248="","",IFERROR(INDEX('激励事件明细'!$AB$2:$AB$501,IF(D248&lt;&gt;"",MATCH(D248,'激励事件明细'!$A$2:$A$501,0),MATCH(E248,'激励事件明细'!$B$2:$B$501,0))),""))</f>
        <v/>
      </c>
      <c r="I248" s="12" t="n"/>
      <c r="J248" s="13" t="n"/>
      <c r="K248" s="13" t="n"/>
      <c r="L248" s="11" t="n"/>
      <c r="M248" s="14">
        <f>IF(A248="","",IF(D248&lt;&gt;"",SUMIFS($K$2:$K$501,$D$2:$D$501,D248),SUMIFS($K$2:$K$501,$E$2:$E$501,E248)))</f>
        <v/>
      </c>
      <c r="N248" s="14">
        <f>IF(F248="","",MAX(0,F248-M248))</f>
        <v/>
      </c>
      <c r="O248" s="6">
        <f>IF(A248="","",IF(AND(I248&lt;&gt;"",I248&gt;H248),"是",IF(AND(TODAY()&gt;H248,N248&gt;0),"是","否")))</f>
        <v/>
      </c>
      <c r="P248" s="16">
        <f>IF(A248="","",IFERROR(INDEX('激励事件明细'!$P$2:$P$501,IF(D248&lt;&gt;"",MATCH(D248,'激励事件明细'!$A$2:$A$501,0),MATCH(E248,'激励事件明细'!$B$2:$B$501,0))),""))</f>
        <v/>
      </c>
      <c r="Q248" s="6">
        <f>IF(AND(D248="",E248=""),"异常：必须关联事件编号或税额批次",IF(AND(D248&lt;&gt;"",COUNTIF('激励事件明细'!$A$2:$A$501,D248)=0),"异常：事件编号不存在",IF(AND(E248&lt;&gt;"",COUNTIF('激励事件明细'!$B$2:$B$501,E248)=0),"异常：税额批次不存在",IF(M248&gt;F248,"异常：本批次超额缴税",IF(AND(I248&lt;&gt;"",I248&gt;H248),"异常：超过事件截止日",IF(AND(P248&lt;&gt;"",TODAY()&gt;=P248,N248&gt;0),"异常：离职前未缴清","正常"))))))</f>
        <v/>
      </c>
      <c r="R248" s="11" t="n"/>
    </row>
    <row r="249">
      <c r="A249" s="6">
        <f>IF(AND(D249="",E249=""),"",IFERROR(INDEX('激励事件明细'!$C$2:$C$501,IF(D249&lt;&gt;"",MATCH(D249,'激励事件明细'!$A$2:$A$501,0),MATCH(E249,'激励事件明细'!$B$2:$B$501,0))),""))</f>
        <v/>
      </c>
      <c r="B249" s="6">
        <f>IF(A249="","",IFERROR(INDEX('激励事件明细'!$D$2:$D$501,IF(D249&lt;&gt;"",MATCH(D249,'激励事件明细'!$A$2:$A$501,0),MATCH(E249,'激励事件明细'!$B$2:$B$501,0))),""))</f>
        <v/>
      </c>
      <c r="C249" s="6">
        <f>IF(A249="","",IFERROR(INDEX('激励事件明细'!$H$2:$H$501,IF(D249&lt;&gt;"",MATCH(D249,'激励事件明细'!$A$2:$A$501,0),MATCH(E249,'激励事件明细'!$B$2:$B$501,0))),""))</f>
        <v/>
      </c>
      <c r="D249" s="11" t="n"/>
      <c r="E249" s="11" t="n"/>
      <c r="F249" s="14">
        <f>IF(A249="","",IFERROR(INDEX('激励事件明细'!$Z$2:$Z$501,IF(D249&lt;&gt;"",MATCH(D249,'激励事件明细'!$A$2:$A$501,0),MATCH(E249,'激励事件明细'!$B$2:$B$501,0))),""))</f>
        <v/>
      </c>
      <c r="G249" s="16">
        <f>IF(A249="","",IFERROR(INDEX('激励事件明细'!$AA$2:$AA$501,IF(D249&lt;&gt;"",MATCH(D249,'激励事件明细'!$A$2:$A$501,0),MATCH(E249,'激励事件明细'!$B$2:$B$501,0))),""))</f>
        <v/>
      </c>
      <c r="H249" s="16">
        <f>IF(A249="","",IFERROR(INDEX('激励事件明细'!$AB$2:$AB$501,IF(D249&lt;&gt;"",MATCH(D249,'激励事件明细'!$A$2:$A$501,0),MATCH(E249,'激励事件明细'!$B$2:$B$501,0))),""))</f>
        <v/>
      </c>
      <c r="I249" s="12" t="n"/>
      <c r="J249" s="13" t="n"/>
      <c r="K249" s="13" t="n"/>
      <c r="L249" s="11" t="n"/>
      <c r="M249" s="14">
        <f>IF(A249="","",IF(D249&lt;&gt;"",SUMIFS($K$2:$K$501,$D$2:$D$501,D249),SUMIFS($K$2:$K$501,$E$2:$E$501,E249)))</f>
        <v/>
      </c>
      <c r="N249" s="14">
        <f>IF(F249="","",MAX(0,F249-M249))</f>
        <v/>
      </c>
      <c r="O249" s="6">
        <f>IF(A249="","",IF(AND(I249&lt;&gt;"",I249&gt;H249),"是",IF(AND(TODAY()&gt;H249,N249&gt;0),"是","否")))</f>
        <v/>
      </c>
      <c r="P249" s="16">
        <f>IF(A249="","",IFERROR(INDEX('激励事件明细'!$P$2:$P$501,IF(D249&lt;&gt;"",MATCH(D249,'激励事件明细'!$A$2:$A$501,0),MATCH(E249,'激励事件明细'!$B$2:$B$501,0))),""))</f>
        <v/>
      </c>
      <c r="Q249" s="6">
        <f>IF(AND(D249="",E249=""),"异常：必须关联事件编号或税额批次",IF(AND(D249&lt;&gt;"",COUNTIF('激励事件明细'!$A$2:$A$501,D249)=0),"异常：事件编号不存在",IF(AND(E249&lt;&gt;"",COUNTIF('激励事件明细'!$B$2:$B$501,E249)=0),"异常：税额批次不存在",IF(M249&gt;F249,"异常：本批次超额缴税",IF(AND(I249&lt;&gt;"",I249&gt;H249),"异常：超过事件截止日",IF(AND(P249&lt;&gt;"",TODAY()&gt;=P249,N249&gt;0),"异常：离职前未缴清","正常"))))))</f>
        <v/>
      </c>
      <c r="R249" s="11" t="n"/>
    </row>
    <row r="250">
      <c r="A250" s="6">
        <f>IF(AND(D250="",E250=""),"",IFERROR(INDEX('激励事件明细'!$C$2:$C$501,IF(D250&lt;&gt;"",MATCH(D250,'激励事件明细'!$A$2:$A$501,0),MATCH(E250,'激励事件明细'!$B$2:$B$501,0))),""))</f>
        <v/>
      </c>
      <c r="B250" s="6">
        <f>IF(A250="","",IFERROR(INDEX('激励事件明细'!$D$2:$D$501,IF(D250&lt;&gt;"",MATCH(D250,'激励事件明细'!$A$2:$A$501,0),MATCH(E250,'激励事件明细'!$B$2:$B$501,0))),""))</f>
        <v/>
      </c>
      <c r="C250" s="6">
        <f>IF(A250="","",IFERROR(INDEX('激励事件明细'!$H$2:$H$501,IF(D250&lt;&gt;"",MATCH(D250,'激励事件明细'!$A$2:$A$501,0),MATCH(E250,'激励事件明细'!$B$2:$B$501,0))),""))</f>
        <v/>
      </c>
      <c r="D250" s="11" t="n"/>
      <c r="E250" s="11" t="n"/>
      <c r="F250" s="14">
        <f>IF(A250="","",IFERROR(INDEX('激励事件明细'!$Z$2:$Z$501,IF(D250&lt;&gt;"",MATCH(D250,'激励事件明细'!$A$2:$A$501,0),MATCH(E250,'激励事件明细'!$B$2:$B$501,0))),""))</f>
        <v/>
      </c>
      <c r="G250" s="16">
        <f>IF(A250="","",IFERROR(INDEX('激励事件明细'!$AA$2:$AA$501,IF(D250&lt;&gt;"",MATCH(D250,'激励事件明细'!$A$2:$A$501,0),MATCH(E250,'激励事件明细'!$B$2:$B$501,0))),""))</f>
        <v/>
      </c>
      <c r="H250" s="16">
        <f>IF(A250="","",IFERROR(INDEX('激励事件明细'!$AB$2:$AB$501,IF(D250&lt;&gt;"",MATCH(D250,'激励事件明细'!$A$2:$A$501,0),MATCH(E250,'激励事件明细'!$B$2:$B$501,0))),""))</f>
        <v/>
      </c>
      <c r="I250" s="12" t="n"/>
      <c r="J250" s="13" t="n"/>
      <c r="K250" s="13" t="n"/>
      <c r="L250" s="11" t="n"/>
      <c r="M250" s="14">
        <f>IF(A250="","",IF(D250&lt;&gt;"",SUMIFS($K$2:$K$501,$D$2:$D$501,D250),SUMIFS($K$2:$K$501,$E$2:$E$501,E250)))</f>
        <v/>
      </c>
      <c r="N250" s="14">
        <f>IF(F250="","",MAX(0,F250-M250))</f>
        <v/>
      </c>
      <c r="O250" s="6">
        <f>IF(A250="","",IF(AND(I250&lt;&gt;"",I250&gt;H250),"是",IF(AND(TODAY()&gt;H250,N250&gt;0),"是","否")))</f>
        <v/>
      </c>
      <c r="P250" s="16">
        <f>IF(A250="","",IFERROR(INDEX('激励事件明细'!$P$2:$P$501,IF(D250&lt;&gt;"",MATCH(D250,'激励事件明细'!$A$2:$A$501,0),MATCH(E250,'激励事件明细'!$B$2:$B$501,0))),""))</f>
        <v/>
      </c>
      <c r="Q250" s="6">
        <f>IF(AND(D250="",E250=""),"异常：必须关联事件编号或税额批次",IF(AND(D250&lt;&gt;"",COUNTIF('激励事件明细'!$A$2:$A$501,D250)=0),"异常：事件编号不存在",IF(AND(E250&lt;&gt;"",COUNTIF('激励事件明细'!$B$2:$B$501,E250)=0),"异常：税额批次不存在",IF(M250&gt;F250,"异常：本批次超额缴税",IF(AND(I250&lt;&gt;"",I250&gt;H250),"异常：超过事件截止日",IF(AND(P250&lt;&gt;"",TODAY()&gt;=P250,N250&gt;0),"异常：离职前未缴清","正常"))))))</f>
        <v/>
      </c>
      <c r="R250" s="11" t="n"/>
    </row>
    <row r="251">
      <c r="A251" s="6">
        <f>IF(AND(D251="",E251=""),"",IFERROR(INDEX('激励事件明细'!$C$2:$C$501,IF(D251&lt;&gt;"",MATCH(D251,'激励事件明细'!$A$2:$A$501,0),MATCH(E251,'激励事件明细'!$B$2:$B$501,0))),""))</f>
        <v/>
      </c>
      <c r="B251" s="6">
        <f>IF(A251="","",IFERROR(INDEX('激励事件明细'!$D$2:$D$501,IF(D251&lt;&gt;"",MATCH(D251,'激励事件明细'!$A$2:$A$501,0),MATCH(E251,'激励事件明细'!$B$2:$B$501,0))),""))</f>
        <v/>
      </c>
      <c r="C251" s="6">
        <f>IF(A251="","",IFERROR(INDEX('激励事件明细'!$H$2:$H$501,IF(D251&lt;&gt;"",MATCH(D251,'激励事件明细'!$A$2:$A$501,0),MATCH(E251,'激励事件明细'!$B$2:$B$501,0))),""))</f>
        <v/>
      </c>
      <c r="D251" s="11" t="n"/>
      <c r="E251" s="11" t="n"/>
      <c r="F251" s="14">
        <f>IF(A251="","",IFERROR(INDEX('激励事件明细'!$Z$2:$Z$501,IF(D251&lt;&gt;"",MATCH(D251,'激励事件明细'!$A$2:$A$501,0),MATCH(E251,'激励事件明细'!$B$2:$B$501,0))),""))</f>
        <v/>
      </c>
      <c r="G251" s="16">
        <f>IF(A251="","",IFERROR(INDEX('激励事件明细'!$AA$2:$AA$501,IF(D251&lt;&gt;"",MATCH(D251,'激励事件明细'!$A$2:$A$501,0),MATCH(E251,'激励事件明细'!$B$2:$B$501,0))),""))</f>
        <v/>
      </c>
      <c r="H251" s="16">
        <f>IF(A251="","",IFERROR(INDEX('激励事件明细'!$AB$2:$AB$501,IF(D251&lt;&gt;"",MATCH(D251,'激励事件明细'!$A$2:$A$501,0),MATCH(E251,'激励事件明细'!$B$2:$B$501,0))),""))</f>
        <v/>
      </c>
      <c r="I251" s="12" t="n"/>
      <c r="J251" s="13" t="n"/>
      <c r="K251" s="13" t="n"/>
      <c r="L251" s="11" t="n"/>
      <c r="M251" s="14">
        <f>IF(A251="","",IF(D251&lt;&gt;"",SUMIFS($K$2:$K$501,$D$2:$D$501,D251),SUMIFS($K$2:$K$501,$E$2:$E$501,E251)))</f>
        <v/>
      </c>
      <c r="N251" s="14">
        <f>IF(F251="","",MAX(0,F251-M251))</f>
        <v/>
      </c>
      <c r="O251" s="6">
        <f>IF(A251="","",IF(AND(I251&lt;&gt;"",I251&gt;H251),"是",IF(AND(TODAY()&gt;H251,N251&gt;0),"是","否")))</f>
        <v/>
      </c>
      <c r="P251" s="16">
        <f>IF(A251="","",IFERROR(INDEX('激励事件明细'!$P$2:$P$501,IF(D251&lt;&gt;"",MATCH(D251,'激励事件明细'!$A$2:$A$501,0),MATCH(E251,'激励事件明细'!$B$2:$B$501,0))),""))</f>
        <v/>
      </c>
      <c r="Q251" s="6">
        <f>IF(AND(D251="",E251=""),"异常：必须关联事件编号或税额批次",IF(AND(D251&lt;&gt;"",COUNTIF('激励事件明细'!$A$2:$A$501,D251)=0),"异常：事件编号不存在",IF(AND(E251&lt;&gt;"",COUNTIF('激励事件明细'!$B$2:$B$501,E251)=0),"异常：税额批次不存在",IF(M251&gt;F251,"异常：本批次超额缴税",IF(AND(I251&lt;&gt;"",I251&gt;H251),"异常：超过事件截止日",IF(AND(P251&lt;&gt;"",TODAY()&gt;=P251,N251&gt;0),"异常：离职前未缴清","正常"))))))</f>
        <v/>
      </c>
      <c r="R251" s="11" t="n"/>
    </row>
    <row r="252">
      <c r="A252" s="6">
        <f>IF(AND(D252="",E252=""),"",IFERROR(INDEX('激励事件明细'!$C$2:$C$501,IF(D252&lt;&gt;"",MATCH(D252,'激励事件明细'!$A$2:$A$501,0),MATCH(E252,'激励事件明细'!$B$2:$B$501,0))),""))</f>
        <v/>
      </c>
      <c r="B252" s="6">
        <f>IF(A252="","",IFERROR(INDEX('激励事件明细'!$D$2:$D$501,IF(D252&lt;&gt;"",MATCH(D252,'激励事件明细'!$A$2:$A$501,0),MATCH(E252,'激励事件明细'!$B$2:$B$501,0))),""))</f>
        <v/>
      </c>
      <c r="C252" s="6">
        <f>IF(A252="","",IFERROR(INDEX('激励事件明细'!$H$2:$H$501,IF(D252&lt;&gt;"",MATCH(D252,'激励事件明细'!$A$2:$A$501,0),MATCH(E252,'激励事件明细'!$B$2:$B$501,0))),""))</f>
        <v/>
      </c>
      <c r="D252" s="11" t="n"/>
      <c r="E252" s="11" t="n"/>
      <c r="F252" s="14">
        <f>IF(A252="","",IFERROR(INDEX('激励事件明细'!$Z$2:$Z$501,IF(D252&lt;&gt;"",MATCH(D252,'激励事件明细'!$A$2:$A$501,0),MATCH(E252,'激励事件明细'!$B$2:$B$501,0))),""))</f>
        <v/>
      </c>
      <c r="G252" s="16">
        <f>IF(A252="","",IFERROR(INDEX('激励事件明细'!$AA$2:$AA$501,IF(D252&lt;&gt;"",MATCH(D252,'激励事件明细'!$A$2:$A$501,0),MATCH(E252,'激励事件明细'!$B$2:$B$501,0))),""))</f>
        <v/>
      </c>
      <c r="H252" s="16">
        <f>IF(A252="","",IFERROR(INDEX('激励事件明细'!$AB$2:$AB$501,IF(D252&lt;&gt;"",MATCH(D252,'激励事件明细'!$A$2:$A$501,0),MATCH(E252,'激励事件明细'!$B$2:$B$501,0))),""))</f>
        <v/>
      </c>
      <c r="I252" s="12" t="n"/>
      <c r="J252" s="13" t="n"/>
      <c r="K252" s="13" t="n"/>
      <c r="L252" s="11" t="n"/>
      <c r="M252" s="14">
        <f>IF(A252="","",IF(D252&lt;&gt;"",SUMIFS($K$2:$K$501,$D$2:$D$501,D252),SUMIFS($K$2:$K$501,$E$2:$E$501,E252)))</f>
        <v/>
      </c>
      <c r="N252" s="14">
        <f>IF(F252="","",MAX(0,F252-M252))</f>
        <v/>
      </c>
      <c r="O252" s="6">
        <f>IF(A252="","",IF(AND(I252&lt;&gt;"",I252&gt;H252),"是",IF(AND(TODAY()&gt;H252,N252&gt;0),"是","否")))</f>
        <v/>
      </c>
      <c r="P252" s="16">
        <f>IF(A252="","",IFERROR(INDEX('激励事件明细'!$P$2:$P$501,IF(D252&lt;&gt;"",MATCH(D252,'激励事件明细'!$A$2:$A$501,0),MATCH(E252,'激励事件明细'!$B$2:$B$501,0))),""))</f>
        <v/>
      </c>
      <c r="Q252" s="6">
        <f>IF(AND(D252="",E252=""),"异常：必须关联事件编号或税额批次",IF(AND(D252&lt;&gt;"",COUNTIF('激励事件明细'!$A$2:$A$501,D252)=0),"异常：事件编号不存在",IF(AND(E252&lt;&gt;"",COUNTIF('激励事件明细'!$B$2:$B$501,E252)=0),"异常：税额批次不存在",IF(M252&gt;F252,"异常：本批次超额缴税",IF(AND(I252&lt;&gt;"",I252&gt;H252),"异常：超过事件截止日",IF(AND(P252&lt;&gt;"",TODAY()&gt;=P252,N252&gt;0),"异常：离职前未缴清","正常"))))))</f>
        <v/>
      </c>
      <c r="R252" s="11" t="n"/>
    </row>
    <row r="253">
      <c r="A253" s="6">
        <f>IF(AND(D253="",E253=""),"",IFERROR(INDEX('激励事件明细'!$C$2:$C$501,IF(D253&lt;&gt;"",MATCH(D253,'激励事件明细'!$A$2:$A$501,0),MATCH(E253,'激励事件明细'!$B$2:$B$501,0))),""))</f>
        <v/>
      </c>
      <c r="B253" s="6">
        <f>IF(A253="","",IFERROR(INDEX('激励事件明细'!$D$2:$D$501,IF(D253&lt;&gt;"",MATCH(D253,'激励事件明细'!$A$2:$A$501,0),MATCH(E253,'激励事件明细'!$B$2:$B$501,0))),""))</f>
        <v/>
      </c>
      <c r="C253" s="6">
        <f>IF(A253="","",IFERROR(INDEX('激励事件明细'!$H$2:$H$501,IF(D253&lt;&gt;"",MATCH(D253,'激励事件明细'!$A$2:$A$501,0),MATCH(E253,'激励事件明细'!$B$2:$B$501,0))),""))</f>
        <v/>
      </c>
      <c r="D253" s="11" t="n"/>
      <c r="E253" s="11" t="n"/>
      <c r="F253" s="14">
        <f>IF(A253="","",IFERROR(INDEX('激励事件明细'!$Z$2:$Z$501,IF(D253&lt;&gt;"",MATCH(D253,'激励事件明细'!$A$2:$A$501,0),MATCH(E253,'激励事件明细'!$B$2:$B$501,0))),""))</f>
        <v/>
      </c>
      <c r="G253" s="16">
        <f>IF(A253="","",IFERROR(INDEX('激励事件明细'!$AA$2:$AA$501,IF(D253&lt;&gt;"",MATCH(D253,'激励事件明细'!$A$2:$A$501,0),MATCH(E253,'激励事件明细'!$B$2:$B$501,0))),""))</f>
        <v/>
      </c>
      <c r="H253" s="16">
        <f>IF(A253="","",IFERROR(INDEX('激励事件明细'!$AB$2:$AB$501,IF(D253&lt;&gt;"",MATCH(D253,'激励事件明细'!$A$2:$A$501,0),MATCH(E253,'激励事件明细'!$B$2:$B$501,0))),""))</f>
        <v/>
      </c>
      <c r="I253" s="12" t="n"/>
      <c r="J253" s="13" t="n"/>
      <c r="K253" s="13" t="n"/>
      <c r="L253" s="11" t="n"/>
      <c r="M253" s="14">
        <f>IF(A253="","",IF(D253&lt;&gt;"",SUMIFS($K$2:$K$501,$D$2:$D$501,D253),SUMIFS($K$2:$K$501,$E$2:$E$501,E253)))</f>
        <v/>
      </c>
      <c r="N253" s="14">
        <f>IF(F253="","",MAX(0,F253-M253))</f>
        <v/>
      </c>
      <c r="O253" s="6">
        <f>IF(A253="","",IF(AND(I253&lt;&gt;"",I253&gt;H253),"是",IF(AND(TODAY()&gt;H253,N253&gt;0),"是","否")))</f>
        <v/>
      </c>
      <c r="P253" s="16">
        <f>IF(A253="","",IFERROR(INDEX('激励事件明细'!$P$2:$P$501,IF(D253&lt;&gt;"",MATCH(D253,'激励事件明细'!$A$2:$A$501,0),MATCH(E253,'激励事件明细'!$B$2:$B$501,0))),""))</f>
        <v/>
      </c>
      <c r="Q253" s="6">
        <f>IF(AND(D253="",E253=""),"异常：必须关联事件编号或税额批次",IF(AND(D253&lt;&gt;"",COUNTIF('激励事件明细'!$A$2:$A$501,D253)=0),"异常：事件编号不存在",IF(AND(E253&lt;&gt;"",COUNTIF('激励事件明细'!$B$2:$B$501,E253)=0),"异常：税额批次不存在",IF(M253&gt;F253,"异常：本批次超额缴税",IF(AND(I253&lt;&gt;"",I253&gt;H253),"异常：超过事件截止日",IF(AND(P253&lt;&gt;"",TODAY()&gt;=P253,N253&gt;0),"异常：离职前未缴清","正常"))))))</f>
        <v/>
      </c>
      <c r="R253" s="11" t="n"/>
    </row>
    <row r="254">
      <c r="A254" s="6">
        <f>IF(AND(D254="",E254=""),"",IFERROR(INDEX('激励事件明细'!$C$2:$C$501,IF(D254&lt;&gt;"",MATCH(D254,'激励事件明细'!$A$2:$A$501,0),MATCH(E254,'激励事件明细'!$B$2:$B$501,0))),""))</f>
        <v/>
      </c>
      <c r="B254" s="6">
        <f>IF(A254="","",IFERROR(INDEX('激励事件明细'!$D$2:$D$501,IF(D254&lt;&gt;"",MATCH(D254,'激励事件明细'!$A$2:$A$501,0),MATCH(E254,'激励事件明细'!$B$2:$B$501,0))),""))</f>
        <v/>
      </c>
      <c r="C254" s="6">
        <f>IF(A254="","",IFERROR(INDEX('激励事件明细'!$H$2:$H$501,IF(D254&lt;&gt;"",MATCH(D254,'激励事件明细'!$A$2:$A$501,0),MATCH(E254,'激励事件明细'!$B$2:$B$501,0))),""))</f>
        <v/>
      </c>
      <c r="D254" s="11" t="n"/>
      <c r="E254" s="11" t="n"/>
      <c r="F254" s="14">
        <f>IF(A254="","",IFERROR(INDEX('激励事件明细'!$Z$2:$Z$501,IF(D254&lt;&gt;"",MATCH(D254,'激励事件明细'!$A$2:$A$501,0),MATCH(E254,'激励事件明细'!$B$2:$B$501,0))),""))</f>
        <v/>
      </c>
      <c r="G254" s="16">
        <f>IF(A254="","",IFERROR(INDEX('激励事件明细'!$AA$2:$AA$501,IF(D254&lt;&gt;"",MATCH(D254,'激励事件明细'!$A$2:$A$501,0),MATCH(E254,'激励事件明细'!$B$2:$B$501,0))),""))</f>
        <v/>
      </c>
      <c r="H254" s="16">
        <f>IF(A254="","",IFERROR(INDEX('激励事件明细'!$AB$2:$AB$501,IF(D254&lt;&gt;"",MATCH(D254,'激励事件明细'!$A$2:$A$501,0),MATCH(E254,'激励事件明细'!$B$2:$B$501,0))),""))</f>
        <v/>
      </c>
      <c r="I254" s="12" t="n"/>
      <c r="J254" s="13" t="n"/>
      <c r="K254" s="13" t="n"/>
      <c r="L254" s="11" t="n"/>
      <c r="M254" s="14">
        <f>IF(A254="","",IF(D254&lt;&gt;"",SUMIFS($K$2:$K$501,$D$2:$D$501,D254),SUMIFS($K$2:$K$501,$E$2:$E$501,E254)))</f>
        <v/>
      </c>
      <c r="N254" s="14">
        <f>IF(F254="","",MAX(0,F254-M254))</f>
        <v/>
      </c>
      <c r="O254" s="6">
        <f>IF(A254="","",IF(AND(I254&lt;&gt;"",I254&gt;H254),"是",IF(AND(TODAY()&gt;H254,N254&gt;0),"是","否")))</f>
        <v/>
      </c>
      <c r="P254" s="16">
        <f>IF(A254="","",IFERROR(INDEX('激励事件明细'!$P$2:$P$501,IF(D254&lt;&gt;"",MATCH(D254,'激励事件明细'!$A$2:$A$501,0),MATCH(E254,'激励事件明细'!$B$2:$B$501,0))),""))</f>
        <v/>
      </c>
      <c r="Q254" s="6">
        <f>IF(AND(D254="",E254=""),"异常：必须关联事件编号或税额批次",IF(AND(D254&lt;&gt;"",COUNTIF('激励事件明细'!$A$2:$A$501,D254)=0),"异常：事件编号不存在",IF(AND(E254&lt;&gt;"",COUNTIF('激励事件明细'!$B$2:$B$501,E254)=0),"异常：税额批次不存在",IF(M254&gt;F254,"异常：本批次超额缴税",IF(AND(I254&lt;&gt;"",I254&gt;H254),"异常：超过事件截止日",IF(AND(P254&lt;&gt;"",TODAY()&gt;=P254,N254&gt;0),"异常：离职前未缴清","正常"))))))</f>
        <v/>
      </c>
      <c r="R254" s="11" t="n"/>
    </row>
    <row r="255">
      <c r="A255" s="6">
        <f>IF(AND(D255="",E255=""),"",IFERROR(INDEX('激励事件明细'!$C$2:$C$501,IF(D255&lt;&gt;"",MATCH(D255,'激励事件明细'!$A$2:$A$501,0),MATCH(E255,'激励事件明细'!$B$2:$B$501,0))),""))</f>
        <v/>
      </c>
      <c r="B255" s="6">
        <f>IF(A255="","",IFERROR(INDEX('激励事件明细'!$D$2:$D$501,IF(D255&lt;&gt;"",MATCH(D255,'激励事件明细'!$A$2:$A$501,0),MATCH(E255,'激励事件明细'!$B$2:$B$501,0))),""))</f>
        <v/>
      </c>
      <c r="C255" s="6">
        <f>IF(A255="","",IFERROR(INDEX('激励事件明细'!$H$2:$H$501,IF(D255&lt;&gt;"",MATCH(D255,'激励事件明细'!$A$2:$A$501,0),MATCH(E255,'激励事件明细'!$B$2:$B$501,0))),""))</f>
        <v/>
      </c>
      <c r="D255" s="11" t="n"/>
      <c r="E255" s="11" t="n"/>
      <c r="F255" s="14">
        <f>IF(A255="","",IFERROR(INDEX('激励事件明细'!$Z$2:$Z$501,IF(D255&lt;&gt;"",MATCH(D255,'激励事件明细'!$A$2:$A$501,0),MATCH(E255,'激励事件明细'!$B$2:$B$501,0))),""))</f>
        <v/>
      </c>
      <c r="G255" s="16">
        <f>IF(A255="","",IFERROR(INDEX('激励事件明细'!$AA$2:$AA$501,IF(D255&lt;&gt;"",MATCH(D255,'激励事件明细'!$A$2:$A$501,0),MATCH(E255,'激励事件明细'!$B$2:$B$501,0))),""))</f>
        <v/>
      </c>
      <c r="H255" s="16">
        <f>IF(A255="","",IFERROR(INDEX('激励事件明细'!$AB$2:$AB$501,IF(D255&lt;&gt;"",MATCH(D255,'激励事件明细'!$A$2:$A$501,0),MATCH(E255,'激励事件明细'!$B$2:$B$501,0))),""))</f>
        <v/>
      </c>
      <c r="I255" s="12" t="n"/>
      <c r="J255" s="13" t="n"/>
      <c r="K255" s="13" t="n"/>
      <c r="L255" s="11" t="n"/>
      <c r="M255" s="14">
        <f>IF(A255="","",IF(D255&lt;&gt;"",SUMIFS($K$2:$K$501,$D$2:$D$501,D255),SUMIFS($K$2:$K$501,$E$2:$E$501,E255)))</f>
        <v/>
      </c>
      <c r="N255" s="14">
        <f>IF(F255="","",MAX(0,F255-M255))</f>
        <v/>
      </c>
      <c r="O255" s="6">
        <f>IF(A255="","",IF(AND(I255&lt;&gt;"",I255&gt;H255),"是",IF(AND(TODAY()&gt;H255,N255&gt;0),"是","否")))</f>
        <v/>
      </c>
      <c r="P255" s="16">
        <f>IF(A255="","",IFERROR(INDEX('激励事件明细'!$P$2:$P$501,IF(D255&lt;&gt;"",MATCH(D255,'激励事件明细'!$A$2:$A$501,0),MATCH(E255,'激励事件明细'!$B$2:$B$501,0))),""))</f>
        <v/>
      </c>
      <c r="Q255" s="6">
        <f>IF(AND(D255="",E255=""),"异常：必须关联事件编号或税额批次",IF(AND(D255&lt;&gt;"",COUNTIF('激励事件明细'!$A$2:$A$501,D255)=0),"异常：事件编号不存在",IF(AND(E255&lt;&gt;"",COUNTIF('激励事件明细'!$B$2:$B$501,E255)=0),"异常：税额批次不存在",IF(M255&gt;F255,"异常：本批次超额缴税",IF(AND(I255&lt;&gt;"",I255&gt;H255),"异常：超过事件截止日",IF(AND(P255&lt;&gt;"",TODAY()&gt;=P255,N255&gt;0),"异常：离职前未缴清","正常"))))))</f>
        <v/>
      </c>
      <c r="R255" s="11" t="n"/>
    </row>
    <row r="256">
      <c r="A256" s="6">
        <f>IF(AND(D256="",E256=""),"",IFERROR(INDEX('激励事件明细'!$C$2:$C$501,IF(D256&lt;&gt;"",MATCH(D256,'激励事件明细'!$A$2:$A$501,0),MATCH(E256,'激励事件明细'!$B$2:$B$501,0))),""))</f>
        <v/>
      </c>
      <c r="B256" s="6">
        <f>IF(A256="","",IFERROR(INDEX('激励事件明细'!$D$2:$D$501,IF(D256&lt;&gt;"",MATCH(D256,'激励事件明细'!$A$2:$A$501,0),MATCH(E256,'激励事件明细'!$B$2:$B$501,0))),""))</f>
        <v/>
      </c>
      <c r="C256" s="6">
        <f>IF(A256="","",IFERROR(INDEX('激励事件明细'!$H$2:$H$501,IF(D256&lt;&gt;"",MATCH(D256,'激励事件明细'!$A$2:$A$501,0),MATCH(E256,'激励事件明细'!$B$2:$B$501,0))),""))</f>
        <v/>
      </c>
      <c r="D256" s="11" t="n"/>
      <c r="E256" s="11" t="n"/>
      <c r="F256" s="14">
        <f>IF(A256="","",IFERROR(INDEX('激励事件明细'!$Z$2:$Z$501,IF(D256&lt;&gt;"",MATCH(D256,'激励事件明细'!$A$2:$A$501,0),MATCH(E256,'激励事件明细'!$B$2:$B$501,0))),""))</f>
        <v/>
      </c>
      <c r="G256" s="16">
        <f>IF(A256="","",IFERROR(INDEX('激励事件明细'!$AA$2:$AA$501,IF(D256&lt;&gt;"",MATCH(D256,'激励事件明细'!$A$2:$A$501,0),MATCH(E256,'激励事件明细'!$B$2:$B$501,0))),""))</f>
        <v/>
      </c>
      <c r="H256" s="16">
        <f>IF(A256="","",IFERROR(INDEX('激励事件明细'!$AB$2:$AB$501,IF(D256&lt;&gt;"",MATCH(D256,'激励事件明细'!$A$2:$A$501,0),MATCH(E256,'激励事件明细'!$B$2:$B$501,0))),""))</f>
        <v/>
      </c>
      <c r="I256" s="12" t="n"/>
      <c r="J256" s="13" t="n"/>
      <c r="K256" s="13" t="n"/>
      <c r="L256" s="11" t="n"/>
      <c r="M256" s="14">
        <f>IF(A256="","",IF(D256&lt;&gt;"",SUMIFS($K$2:$K$501,$D$2:$D$501,D256),SUMIFS($K$2:$K$501,$E$2:$E$501,E256)))</f>
        <v/>
      </c>
      <c r="N256" s="14">
        <f>IF(F256="","",MAX(0,F256-M256))</f>
        <v/>
      </c>
      <c r="O256" s="6">
        <f>IF(A256="","",IF(AND(I256&lt;&gt;"",I256&gt;H256),"是",IF(AND(TODAY()&gt;H256,N256&gt;0),"是","否")))</f>
        <v/>
      </c>
      <c r="P256" s="16">
        <f>IF(A256="","",IFERROR(INDEX('激励事件明细'!$P$2:$P$501,IF(D256&lt;&gt;"",MATCH(D256,'激励事件明细'!$A$2:$A$501,0),MATCH(E256,'激励事件明细'!$B$2:$B$501,0))),""))</f>
        <v/>
      </c>
      <c r="Q256" s="6">
        <f>IF(AND(D256="",E256=""),"异常：必须关联事件编号或税额批次",IF(AND(D256&lt;&gt;"",COUNTIF('激励事件明细'!$A$2:$A$501,D256)=0),"异常：事件编号不存在",IF(AND(E256&lt;&gt;"",COUNTIF('激励事件明细'!$B$2:$B$501,E256)=0),"异常：税额批次不存在",IF(M256&gt;F256,"异常：本批次超额缴税",IF(AND(I256&lt;&gt;"",I256&gt;H256),"异常：超过事件截止日",IF(AND(P256&lt;&gt;"",TODAY()&gt;=P256,N256&gt;0),"异常：离职前未缴清","正常"))))))</f>
        <v/>
      </c>
      <c r="R256" s="11" t="n"/>
    </row>
    <row r="257">
      <c r="A257" s="6">
        <f>IF(AND(D257="",E257=""),"",IFERROR(INDEX('激励事件明细'!$C$2:$C$501,IF(D257&lt;&gt;"",MATCH(D257,'激励事件明细'!$A$2:$A$501,0),MATCH(E257,'激励事件明细'!$B$2:$B$501,0))),""))</f>
        <v/>
      </c>
      <c r="B257" s="6">
        <f>IF(A257="","",IFERROR(INDEX('激励事件明细'!$D$2:$D$501,IF(D257&lt;&gt;"",MATCH(D257,'激励事件明细'!$A$2:$A$501,0),MATCH(E257,'激励事件明细'!$B$2:$B$501,0))),""))</f>
        <v/>
      </c>
      <c r="C257" s="6">
        <f>IF(A257="","",IFERROR(INDEX('激励事件明细'!$H$2:$H$501,IF(D257&lt;&gt;"",MATCH(D257,'激励事件明细'!$A$2:$A$501,0),MATCH(E257,'激励事件明细'!$B$2:$B$501,0))),""))</f>
        <v/>
      </c>
      <c r="D257" s="11" t="n"/>
      <c r="E257" s="11" t="n"/>
      <c r="F257" s="14">
        <f>IF(A257="","",IFERROR(INDEX('激励事件明细'!$Z$2:$Z$501,IF(D257&lt;&gt;"",MATCH(D257,'激励事件明细'!$A$2:$A$501,0),MATCH(E257,'激励事件明细'!$B$2:$B$501,0))),""))</f>
        <v/>
      </c>
      <c r="G257" s="16">
        <f>IF(A257="","",IFERROR(INDEX('激励事件明细'!$AA$2:$AA$501,IF(D257&lt;&gt;"",MATCH(D257,'激励事件明细'!$A$2:$A$501,0),MATCH(E257,'激励事件明细'!$B$2:$B$501,0))),""))</f>
        <v/>
      </c>
      <c r="H257" s="16">
        <f>IF(A257="","",IFERROR(INDEX('激励事件明细'!$AB$2:$AB$501,IF(D257&lt;&gt;"",MATCH(D257,'激励事件明细'!$A$2:$A$501,0),MATCH(E257,'激励事件明细'!$B$2:$B$501,0))),""))</f>
        <v/>
      </c>
      <c r="I257" s="12" t="n"/>
      <c r="J257" s="13" t="n"/>
      <c r="K257" s="13" t="n"/>
      <c r="L257" s="11" t="n"/>
      <c r="M257" s="14">
        <f>IF(A257="","",IF(D257&lt;&gt;"",SUMIFS($K$2:$K$501,$D$2:$D$501,D257),SUMIFS($K$2:$K$501,$E$2:$E$501,E257)))</f>
        <v/>
      </c>
      <c r="N257" s="14">
        <f>IF(F257="","",MAX(0,F257-M257))</f>
        <v/>
      </c>
      <c r="O257" s="6">
        <f>IF(A257="","",IF(AND(I257&lt;&gt;"",I257&gt;H257),"是",IF(AND(TODAY()&gt;H257,N257&gt;0),"是","否")))</f>
        <v/>
      </c>
      <c r="P257" s="16">
        <f>IF(A257="","",IFERROR(INDEX('激励事件明细'!$P$2:$P$501,IF(D257&lt;&gt;"",MATCH(D257,'激励事件明细'!$A$2:$A$501,0),MATCH(E257,'激励事件明细'!$B$2:$B$501,0))),""))</f>
        <v/>
      </c>
      <c r="Q257" s="6">
        <f>IF(AND(D257="",E257=""),"异常：必须关联事件编号或税额批次",IF(AND(D257&lt;&gt;"",COUNTIF('激励事件明细'!$A$2:$A$501,D257)=0),"异常：事件编号不存在",IF(AND(E257&lt;&gt;"",COUNTIF('激励事件明细'!$B$2:$B$501,E257)=0),"异常：税额批次不存在",IF(M257&gt;F257,"异常：本批次超额缴税",IF(AND(I257&lt;&gt;"",I257&gt;H257),"异常：超过事件截止日",IF(AND(P257&lt;&gt;"",TODAY()&gt;=P257,N257&gt;0),"异常：离职前未缴清","正常"))))))</f>
        <v/>
      </c>
      <c r="R257" s="11" t="n"/>
    </row>
    <row r="258">
      <c r="A258" s="6">
        <f>IF(AND(D258="",E258=""),"",IFERROR(INDEX('激励事件明细'!$C$2:$C$501,IF(D258&lt;&gt;"",MATCH(D258,'激励事件明细'!$A$2:$A$501,0),MATCH(E258,'激励事件明细'!$B$2:$B$501,0))),""))</f>
        <v/>
      </c>
      <c r="B258" s="6">
        <f>IF(A258="","",IFERROR(INDEX('激励事件明细'!$D$2:$D$501,IF(D258&lt;&gt;"",MATCH(D258,'激励事件明细'!$A$2:$A$501,0),MATCH(E258,'激励事件明细'!$B$2:$B$501,0))),""))</f>
        <v/>
      </c>
      <c r="C258" s="6">
        <f>IF(A258="","",IFERROR(INDEX('激励事件明细'!$H$2:$H$501,IF(D258&lt;&gt;"",MATCH(D258,'激励事件明细'!$A$2:$A$501,0),MATCH(E258,'激励事件明细'!$B$2:$B$501,0))),""))</f>
        <v/>
      </c>
      <c r="D258" s="11" t="n"/>
      <c r="E258" s="11" t="n"/>
      <c r="F258" s="14">
        <f>IF(A258="","",IFERROR(INDEX('激励事件明细'!$Z$2:$Z$501,IF(D258&lt;&gt;"",MATCH(D258,'激励事件明细'!$A$2:$A$501,0),MATCH(E258,'激励事件明细'!$B$2:$B$501,0))),""))</f>
        <v/>
      </c>
      <c r="G258" s="16">
        <f>IF(A258="","",IFERROR(INDEX('激励事件明细'!$AA$2:$AA$501,IF(D258&lt;&gt;"",MATCH(D258,'激励事件明细'!$A$2:$A$501,0),MATCH(E258,'激励事件明细'!$B$2:$B$501,0))),""))</f>
        <v/>
      </c>
      <c r="H258" s="16">
        <f>IF(A258="","",IFERROR(INDEX('激励事件明细'!$AB$2:$AB$501,IF(D258&lt;&gt;"",MATCH(D258,'激励事件明细'!$A$2:$A$501,0),MATCH(E258,'激励事件明细'!$B$2:$B$501,0))),""))</f>
        <v/>
      </c>
      <c r="I258" s="12" t="n"/>
      <c r="J258" s="13" t="n"/>
      <c r="K258" s="13" t="n"/>
      <c r="L258" s="11" t="n"/>
      <c r="M258" s="14">
        <f>IF(A258="","",IF(D258&lt;&gt;"",SUMIFS($K$2:$K$501,$D$2:$D$501,D258),SUMIFS($K$2:$K$501,$E$2:$E$501,E258)))</f>
        <v/>
      </c>
      <c r="N258" s="14">
        <f>IF(F258="","",MAX(0,F258-M258))</f>
        <v/>
      </c>
      <c r="O258" s="6">
        <f>IF(A258="","",IF(AND(I258&lt;&gt;"",I258&gt;H258),"是",IF(AND(TODAY()&gt;H258,N258&gt;0),"是","否")))</f>
        <v/>
      </c>
      <c r="P258" s="16">
        <f>IF(A258="","",IFERROR(INDEX('激励事件明细'!$P$2:$P$501,IF(D258&lt;&gt;"",MATCH(D258,'激励事件明细'!$A$2:$A$501,0),MATCH(E258,'激励事件明细'!$B$2:$B$501,0))),""))</f>
        <v/>
      </c>
      <c r="Q258" s="6">
        <f>IF(AND(D258="",E258=""),"异常：必须关联事件编号或税额批次",IF(AND(D258&lt;&gt;"",COUNTIF('激励事件明细'!$A$2:$A$501,D258)=0),"异常：事件编号不存在",IF(AND(E258&lt;&gt;"",COUNTIF('激励事件明细'!$B$2:$B$501,E258)=0),"异常：税额批次不存在",IF(M258&gt;F258,"异常：本批次超额缴税",IF(AND(I258&lt;&gt;"",I258&gt;H258),"异常：超过事件截止日",IF(AND(P258&lt;&gt;"",TODAY()&gt;=P258,N258&gt;0),"异常：离职前未缴清","正常"))))))</f>
        <v/>
      </c>
      <c r="R258" s="11" t="n"/>
    </row>
    <row r="259">
      <c r="A259" s="6">
        <f>IF(AND(D259="",E259=""),"",IFERROR(INDEX('激励事件明细'!$C$2:$C$501,IF(D259&lt;&gt;"",MATCH(D259,'激励事件明细'!$A$2:$A$501,0),MATCH(E259,'激励事件明细'!$B$2:$B$501,0))),""))</f>
        <v/>
      </c>
      <c r="B259" s="6">
        <f>IF(A259="","",IFERROR(INDEX('激励事件明细'!$D$2:$D$501,IF(D259&lt;&gt;"",MATCH(D259,'激励事件明细'!$A$2:$A$501,0),MATCH(E259,'激励事件明细'!$B$2:$B$501,0))),""))</f>
        <v/>
      </c>
      <c r="C259" s="6">
        <f>IF(A259="","",IFERROR(INDEX('激励事件明细'!$H$2:$H$501,IF(D259&lt;&gt;"",MATCH(D259,'激励事件明细'!$A$2:$A$501,0),MATCH(E259,'激励事件明细'!$B$2:$B$501,0))),""))</f>
        <v/>
      </c>
      <c r="D259" s="11" t="n"/>
      <c r="E259" s="11" t="n"/>
      <c r="F259" s="14">
        <f>IF(A259="","",IFERROR(INDEX('激励事件明细'!$Z$2:$Z$501,IF(D259&lt;&gt;"",MATCH(D259,'激励事件明细'!$A$2:$A$501,0),MATCH(E259,'激励事件明细'!$B$2:$B$501,0))),""))</f>
        <v/>
      </c>
      <c r="G259" s="16">
        <f>IF(A259="","",IFERROR(INDEX('激励事件明细'!$AA$2:$AA$501,IF(D259&lt;&gt;"",MATCH(D259,'激励事件明细'!$A$2:$A$501,0),MATCH(E259,'激励事件明细'!$B$2:$B$501,0))),""))</f>
        <v/>
      </c>
      <c r="H259" s="16">
        <f>IF(A259="","",IFERROR(INDEX('激励事件明细'!$AB$2:$AB$501,IF(D259&lt;&gt;"",MATCH(D259,'激励事件明细'!$A$2:$A$501,0),MATCH(E259,'激励事件明细'!$B$2:$B$501,0))),""))</f>
        <v/>
      </c>
      <c r="I259" s="12" t="n"/>
      <c r="J259" s="13" t="n"/>
      <c r="K259" s="13" t="n"/>
      <c r="L259" s="11" t="n"/>
      <c r="M259" s="14">
        <f>IF(A259="","",IF(D259&lt;&gt;"",SUMIFS($K$2:$K$501,$D$2:$D$501,D259),SUMIFS($K$2:$K$501,$E$2:$E$501,E259)))</f>
        <v/>
      </c>
      <c r="N259" s="14">
        <f>IF(F259="","",MAX(0,F259-M259))</f>
        <v/>
      </c>
      <c r="O259" s="6">
        <f>IF(A259="","",IF(AND(I259&lt;&gt;"",I259&gt;H259),"是",IF(AND(TODAY()&gt;H259,N259&gt;0),"是","否")))</f>
        <v/>
      </c>
      <c r="P259" s="16">
        <f>IF(A259="","",IFERROR(INDEX('激励事件明细'!$P$2:$P$501,IF(D259&lt;&gt;"",MATCH(D259,'激励事件明细'!$A$2:$A$501,0),MATCH(E259,'激励事件明细'!$B$2:$B$501,0))),""))</f>
        <v/>
      </c>
      <c r="Q259" s="6">
        <f>IF(AND(D259="",E259=""),"异常：必须关联事件编号或税额批次",IF(AND(D259&lt;&gt;"",COUNTIF('激励事件明细'!$A$2:$A$501,D259)=0),"异常：事件编号不存在",IF(AND(E259&lt;&gt;"",COUNTIF('激励事件明细'!$B$2:$B$501,E259)=0),"异常：税额批次不存在",IF(M259&gt;F259,"异常：本批次超额缴税",IF(AND(I259&lt;&gt;"",I259&gt;H259),"异常：超过事件截止日",IF(AND(P259&lt;&gt;"",TODAY()&gt;=P259,N259&gt;0),"异常：离职前未缴清","正常"))))))</f>
        <v/>
      </c>
      <c r="R259" s="11" t="n"/>
    </row>
    <row r="260">
      <c r="A260" s="6">
        <f>IF(AND(D260="",E260=""),"",IFERROR(INDEX('激励事件明细'!$C$2:$C$501,IF(D260&lt;&gt;"",MATCH(D260,'激励事件明细'!$A$2:$A$501,0),MATCH(E260,'激励事件明细'!$B$2:$B$501,0))),""))</f>
        <v/>
      </c>
      <c r="B260" s="6">
        <f>IF(A260="","",IFERROR(INDEX('激励事件明细'!$D$2:$D$501,IF(D260&lt;&gt;"",MATCH(D260,'激励事件明细'!$A$2:$A$501,0),MATCH(E260,'激励事件明细'!$B$2:$B$501,0))),""))</f>
        <v/>
      </c>
      <c r="C260" s="6">
        <f>IF(A260="","",IFERROR(INDEX('激励事件明细'!$H$2:$H$501,IF(D260&lt;&gt;"",MATCH(D260,'激励事件明细'!$A$2:$A$501,0),MATCH(E260,'激励事件明细'!$B$2:$B$501,0))),""))</f>
        <v/>
      </c>
      <c r="D260" s="11" t="n"/>
      <c r="E260" s="11" t="n"/>
      <c r="F260" s="14">
        <f>IF(A260="","",IFERROR(INDEX('激励事件明细'!$Z$2:$Z$501,IF(D260&lt;&gt;"",MATCH(D260,'激励事件明细'!$A$2:$A$501,0),MATCH(E260,'激励事件明细'!$B$2:$B$501,0))),""))</f>
        <v/>
      </c>
      <c r="G260" s="16">
        <f>IF(A260="","",IFERROR(INDEX('激励事件明细'!$AA$2:$AA$501,IF(D260&lt;&gt;"",MATCH(D260,'激励事件明细'!$A$2:$A$501,0),MATCH(E260,'激励事件明细'!$B$2:$B$501,0))),""))</f>
        <v/>
      </c>
      <c r="H260" s="16">
        <f>IF(A260="","",IFERROR(INDEX('激励事件明细'!$AB$2:$AB$501,IF(D260&lt;&gt;"",MATCH(D260,'激励事件明细'!$A$2:$A$501,0),MATCH(E260,'激励事件明细'!$B$2:$B$501,0))),""))</f>
        <v/>
      </c>
      <c r="I260" s="12" t="n"/>
      <c r="J260" s="13" t="n"/>
      <c r="K260" s="13" t="n"/>
      <c r="L260" s="11" t="n"/>
      <c r="M260" s="14">
        <f>IF(A260="","",IF(D260&lt;&gt;"",SUMIFS($K$2:$K$501,$D$2:$D$501,D260),SUMIFS($K$2:$K$501,$E$2:$E$501,E260)))</f>
        <v/>
      </c>
      <c r="N260" s="14">
        <f>IF(F260="","",MAX(0,F260-M260))</f>
        <v/>
      </c>
      <c r="O260" s="6">
        <f>IF(A260="","",IF(AND(I260&lt;&gt;"",I260&gt;H260),"是",IF(AND(TODAY()&gt;H260,N260&gt;0),"是","否")))</f>
        <v/>
      </c>
      <c r="P260" s="16">
        <f>IF(A260="","",IFERROR(INDEX('激励事件明细'!$P$2:$P$501,IF(D260&lt;&gt;"",MATCH(D260,'激励事件明细'!$A$2:$A$501,0),MATCH(E260,'激励事件明细'!$B$2:$B$501,0))),""))</f>
        <v/>
      </c>
      <c r="Q260" s="6">
        <f>IF(AND(D260="",E260=""),"异常：必须关联事件编号或税额批次",IF(AND(D260&lt;&gt;"",COUNTIF('激励事件明细'!$A$2:$A$501,D260)=0),"异常：事件编号不存在",IF(AND(E260&lt;&gt;"",COUNTIF('激励事件明细'!$B$2:$B$501,E260)=0),"异常：税额批次不存在",IF(M260&gt;F260,"异常：本批次超额缴税",IF(AND(I260&lt;&gt;"",I260&gt;H260),"异常：超过事件截止日",IF(AND(P260&lt;&gt;"",TODAY()&gt;=P260,N260&gt;0),"异常：离职前未缴清","正常"))))))</f>
        <v/>
      </c>
      <c r="R260" s="11" t="n"/>
    </row>
    <row r="261">
      <c r="A261" s="6">
        <f>IF(AND(D261="",E261=""),"",IFERROR(INDEX('激励事件明细'!$C$2:$C$501,IF(D261&lt;&gt;"",MATCH(D261,'激励事件明细'!$A$2:$A$501,0),MATCH(E261,'激励事件明细'!$B$2:$B$501,0))),""))</f>
        <v/>
      </c>
      <c r="B261" s="6">
        <f>IF(A261="","",IFERROR(INDEX('激励事件明细'!$D$2:$D$501,IF(D261&lt;&gt;"",MATCH(D261,'激励事件明细'!$A$2:$A$501,0),MATCH(E261,'激励事件明细'!$B$2:$B$501,0))),""))</f>
        <v/>
      </c>
      <c r="C261" s="6">
        <f>IF(A261="","",IFERROR(INDEX('激励事件明细'!$H$2:$H$501,IF(D261&lt;&gt;"",MATCH(D261,'激励事件明细'!$A$2:$A$501,0),MATCH(E261,'激励事件明细'!$B$2:$B$501,0))),""))</f>
        <v/>
      </c>
      <c r="D261" s="11" t="n"/>
      <c r="E261" s="11" t="n"/>
      <c r="F261" s="14">
        <f>IF(A261="","",IFERROR(INDEX('激励事件明细'!$Z$2:$Z$501,IF(D261&lt;&gt;"",MATCH(D261,'激励事件明细'!$A$2:$A$501,0),MATCH(E261,'激励事件明细'!$B$2:$B$501,0))),""))</f>
        <v/>
      </c>
      <c r="G261" s="16">
        <f>IF(A261="","",IFERROR(INDEX('激励事件明细'!$AA$2:$AA$501,IF(D261&lt;&gt;"",MATCH(D261,'激励事件明细'!$A$2:$A$501,0),MATCH(E261,'激励事件明细'!$B$2:$B$501,0))),""))</f>
        <v/>
      </c>
      <c r="H261" s="16">
        <f>IF(A261="","",IFERROR(INDEX('激励事件明细'!$AB$2:$AB$501,IF(D261&lt;&gt;"",MATCH(D261,'激励事件明细'!$A$2:$A$501,0),MATCH(E261,'激励事件明细'!$B$2:$B$501,0))),""))</f>
        <v/>
      </c>
      <c r="I261" s="12" t="n"/>
      <c r="J261" s="13" t="n"/>
      <c r="K261" s="13" t="n"/>
      <c r="L261" s="11" t="n"/>
      <c r="M261" s="14">
        <f>IF(A261="","",IF(D261&lt;&gt;"",SUMIFS($K$2:$K$501,$D$2:$D$501,D261),SUMIFS($K$2:$K$501,$E$2:$E$501,E261)))</f>
        <v/>
      </c>
      <c r="N261" s="14">
        <f>IF(F261="","",MAX(0,F261-M261))</f>
        <v/>
      </c>
      <c r="O261" s="6">
        <f>IF(A261="","",IF(AND(I261&lt;&gt;"",I261&gt;H261),"是",IF(AND(TODAY()&gt;H261,N261&gt;0),"是","否")))</f>
        <v/>
      </c>
      <c r="P261" s="16">
        <f>IF(A261="","",IFERROR(INDEX('激励事件明细'!$P$2:$P$501,IF(D261&lt;&gt;"",MATCH(D261,'激励事件明细'!$A$2:$A$501,0),MATCH(E261,'激励事件明细'!$B$2:$B$501,0))),""))</f>
        <v/>
      </c>
      <c r="Q261" s="6">
        <f>IF(AND(D261="",E261=""),"异常：必须关联事件编号或税额批次",IF(AND(D261&lt;&gt;"",COUNTIF('激励事件明细'!$A$2:$A$501,D261)=0),"异常：事件编号不存在",IF(AND(E261&lt;&gt;"",COUNTIF('激励事件明细'!$B$2:$B$501,E261)=0),"异常：税额批次不存在",IF(M261&gt;F261,"异常：本批次超额缴税",IF(AND(I261&lt;&gt;"",I261&gt;H261),"异常：超过事件截止日",IF(AND(P261&lt;&gt;"",TODAY()&gt;=P261,N261&gt;0),"异常：离职前未缴清","正常"))))))</f>
        <v/>
      </c>
      <c r="R261" s="11" t="n"/>
    </row>
    <row r="262">
      <c r="A262" s="6">
        <f>IF(AND(D262="",E262=""),"",IFERROR(INDEX('激励事件明细'!$C$2:$C$501,IF(D262&lt;&gt;"",MATCH(D262,'激励事件明细'!$A$2:$A$501,0),MATCH(E262,'激励事件明细'!$B$2:$B$501,0))),""))</f>
        <v/>
      </c>
      <c r="B262" s="6">
        <f>IF(A262="","",IFERROR(INDEX('激励事件明细'!$D$2:$D$501,IF(D262&lt;&gt;"",MATCH(D262,'激励事件明细'!$A$2:$A$501,0),MATCH(E262,'激励事件明细'!$B$2:$B$501,0))),""))</f>
        <v/>
      </c>
      <c r="C262" s="6">
        <f>IF(A262="","",IFERROR(INDEX('激励事件明细'!$H$2:$H$501,IF(D262&lt;&gt;"",MATCH(D262,'激励事件明细'!$A$2:$A$501,0),MATCH(E262,'激励事件明细'!$B$2:$B$501,0))),""))</f>
        <v/>
      </c>
      <c r="D262" s="11" t="n"/>
      <c r="E262" s="11" t="n"/>
      <c r="F262" s="14">
        <f>IF(A262="","",IFERROR(INDEX('激励事件明细'!$Z$2:$Z$501,IF(D262&lt;&gt;"",MATCH(D262,'激励事件明细'!$A$2:$A$501,0),MATCH(E262,'激励事件明细'!$B$2:$B$501,0))),""))</f>
        <v/>
      </c>
      <c r="G262" s="16">
        <f>IF(A262="","",IFERROR(INDEX('激励事件明细'!$AA$2:$AA$501,IF(D262&lt;&gt;"",MATCH(D262,'激励事件明细'!$A$2:$A$501,0),MATCH(E262,'激励事件明细'!$B$2:$B$501,0))),""))</f>
        <v/>
      </c>
      <c r="H262" s="16">
        <f>IF(A262="","",IFERROR(INDEX('激励事件明细'!$AB$2:$AB$501,IF(D262&lt;&gt;"",MATCH(D262,'激励事件明细'!$A$2:$A$501,0),MATCH(E262,'激励事件明细'!$B$2:$B$501,0))),""))</f>
        <v/>
      </c>
      <c r="I262" s="12" t="n"/>
      <c r="J262" s="13" t="n"/>
      <c r="K262" s="13" t="n"/>
      <c r="L262" s="11" t="n"/>
      <c r="M262" s="14">
        <f>IF(A262="","",IF(D262&lt;&gt;"",SUMIFS($K$2:$K$501,$D$2:$D$501,D262),SUMIFS($K$2:$K$501,$E$2:$E$501,E262)))</f>
        <v/>
      </c>
      <c r="N262" s="14">
        <f>IF(F262="","",MAX(0,F262-M262))</f>
        <v/>
      </c>
      <c r="O262" s="6">
        <f>IF(A262="","",IF(AND(I262&lt;&gt;"",I262&gt;H262),"是",IF(AND(TODAY()&gt;H262,N262&gt;0),"是","否")))</f>
        <v/>
      </c>
      <c r="P262" s="16">
        <f>IF(A262="","",IFERROR(INDEX('激励事件明细'!$P$2:$P$501,IF(D262&lt;&gt;"",MATCH(D262,'激励事件明细'!$A$2:$A$501,0),MATCH(E262,'激励事件明细'!$B$2:$B$501,0))),""))</f>
        <v/>
      </c>
      <c r="Q262" s="6">
        <f>IF(AND(D262="",E262=""),"异常：必须关联事件编号或税额批次",IF(AND(D262&lt;&gt;"",COUNTIF('激励事件明细'!$A$2:$A$501,D262)=0),"异常：事件编号不存在",IF(AND(E262&lt;&gt;"",COUNTIF('激励事件明细'!$B$2:$B$501,E262)=0),"异常：税额批次不存在",IF(M262&gt;F262,"异常：本批次超额缴税",IF(AND(I262&lt;&gt;"",I262&gt;H262),"异常：超过事件截止日",IF(AND(P262&lt;&gt;"",TODAY()&gt;=P262,N262&gt;0),"异常：离职前未缴清","正常"))))))</f>
        <v/>
      </c>
      <c r="R262" s="11" t="n"/>
    </row>
    <row r="263">
      <c r="A263" s="6">
        <f>IF(AND(D263="",E263=""),"",IFERROR(INDEX('激励事件明细'!$C$2:$C$501,IF(D263&lt;&gt;"",MATCH(D263,'激励事件明细'!$A$2:$A$501,0),MATCH(E263,'激励事件明细'!$B$2:$B$501,0))),""))</f>
        <v/>
      </c>
      <c r="B263" s="6">
        <f>IF(A263="","",IFERROR(INDEX('激励事件明细'!$D$2:$D$501,IF(D263&lt;&gt;"",MATCH(D263,'激励事件明细'!$A$2:$A$501,0),MATCH(E263,'激励事件明细'!$B$2:$B$501,0))),""))</f>
        <v/>
      </c>
      <c r="C263" s="6">
        <f>IF(A263="","",IFERROR(INDEX('激励事件明细'!$H$2:$H$501,IF(D263&lt;&gt;"",MATCH(D263,'激励事件明细'!$A$2:$A$501,0),MATCH(E263,'激励事件明细'!$B$2:$B$501,0))),""))</f>
        <v/>
      </c>
      <c r="D263" s="11" t="n"/>
      <c r="E263" s="11" t="n"/>
      <c r="F263" s="14">
        <f>IF(A263="","",IFERROR(INDEX('激励事件明细'!$Z$2:$Z$501,IF(D263&lt;&gt;"",MATCH(D263,'激励事件明细'!$A$2:$A$501,0),MATCH(E263,'激励事件明细'!$B$2:$B$501,0))),""))</f>
        <v/>
      </c>
      <c r="G263" s="16">
        <f>IF(A263="","",IFERROR(INDEX('激励事件明细'!$AA$2:$AA$501,IF(D263&lt;&gt;"",MATCH(D263,'激励事件明细'!$A$2:$A$501,0),MATCH(E263,'激励事件明细'!$B$2:$B$501,0))),""))</f>
        <v/>
      </c>
      <c r="H263" s="16">
        <f>IF(A263="","",IFERROR(INDEX('激励事件明细'!$AB$2:$AB$501,IF(D263&lt;&gt;"",MATCH(D263,'激励事件明细'!$A$2:$A$501,0),MATCH(E263,'激励事件明细'!$B$2:$B$501,0))),""))</f>
        <v/>
      </c>
      <c r="I263" s="12" t="n"/>
      <c r="J263" s="13" t="n"/>
      <c r="K263" s="13" t="n"/>
      <c r="L263" s="11" t="n"/>
      <c r="M263" s="14">
        <f>IF(A263="","",IF(D263&lt;&gt;"",SUMIFS($K$2:$K$501,$D$2:$D$501,D263),SUMIFS($K$2:$K$501,$E$2:$E$501,E263)))</f>
        <v/>
      </c>
      <c r="N263" s="14">
        <f>IF(F263="","",MAX(0,F263-M263))</f>
        <v/>
      </c>
      <c r="O263" s="6">
        <f>IF(A263="","",IF(AND(I263&lt;&gt;"",I263&gt;H263),"是",IF(AND(TODAY()&gt;H263,N263&gt;0),"是","否")))</f>
        <v/>
      </c>
      <c r="P263" s="16">
        <f>IF(A263="","",IFERROR(INDEX('激励事件明细'!$P$2:$P$501,IF(D263&lt;&gt;"",MATCH(D263,'激励事件明细'!$A$2:$A$501,0),MATCH(E263,'激励事件明细'!$B$2:$B$501,0))),""))</f>
        <v/>
      </c>
      <c r="Q263" s="6">
        <f>IF(AND(D263="",E263=""),"异常：必须关联事件编号或税额批次",IF(AND(D263&lt;&gt;"",COUNTIF('激励事件明细'!$A$2:$A$501,D263)=0),"异常：事件编号不存在",IF(AND(E263&lt;&gt;"",COUNTIF('激励事件明细'!$B$2:$B$501,E263)=0),"异常：税额批次不存在",IF(M263&gt;F263,"异常：本批次超额缴税",IF(AND(I263&lt;&gt;"",I263&gt;H263),"异常：超过事件截止日",IF(AND(P263&lt;&gt;"",TODAY()&gt;=P263,N263&gt;0),"异常：离职前未缴清","正常"))))))</f>
        <v/>
      </c>
      <c r="R263" s="11" t="n"/>
    </row>
    <row r="264">
      <c r="A264" s="6">
        <f>IF(AND(D264="",E264=""),"",IFERROR(INDEX('激励事件明细'!$C$2:$C$501,IF(D264&lt;&gt;"",MATCH(D264,'激励事件明细'!$A$2:$A$501,0),MATCH(E264,'激励事件明细'!$B$2:$B$501,0))),""))</f>
        <v/>
      </c>
      <c r="B264" s="6">
        <f>IF(A264="","",IFERROR(INDEX('激励事件明细'!$D$2:$D$501,IF(D264&lt;&gt;"",MATCH(D264,'激励事件明细'!$A$2:$A$501,0),MATCH(E264,'激励事件明细'!$B$2:$B$501,0))),""))</f>
        <v/>
      </c>
      <c r="C264" s="6">
        <f>IF(A264="","",IFERROR(INDEX('激励事件明细'!$H$2:$H$501,IF(D264&lt;&gt;"",MATCH(D264,'激励事件明细'!$A$2:$A$501,0),MATCH(E264,'激励事件明细'!$B$2:$B$501,0))),""))</f>
        <v/>
      </c>
      <c r="D264" s="11" t="n"/>
      <c r="E264" s="11" t="n"/>
      <c r="F264" s="14">
        <f>IF(A264="","",IFERROR(INDEX('激励事件明细'!$Z$2:$Z$501,IF(D264&lt;&gt;"",MATCH(D264,'激励事件明细'!$A$2:$A$501,0),MATCH(E264,'激励事件明细'!$B$2:$B$501,0))),""))</f>
        <v/>
      </c>
      <c r="G264" s="16">
        <f>IF(A264="","",IFERROR(INDEX('激励事件明细'!$AA$2:$AA$501,IF(D264&lt;&gt;"",MATCH(D264,'激励事件明细'!$A$2:$A$501,0),MATCH(E264,'激励事件明细'!$B$2:$B$501,0))),""))</f>
        <v/>
      </c>
      <c r="H264" s="16">
        <f>IF(A264="","",IFERROR(INDEX('激励事件明细'!$AB$2:$AB$501,IF(D264&lt;&gt;"",MATCH(D264,'激励事件明细'!$A$2:$A$501,0),MATCH(E264,'激励事件明细'!$B$2:$B$501,0))),""))</f>
        <v/>
      </c>
      <c r="I264" s="12" t="n"/>
      <c r="J264" s="13" t="n"/>
      <c r="K264" s="13" t="n"/>
      <c r="L264" s="11" t="n"/>
      <c r="M264" s="14">
        <f>IF(A264="","",IF(D264&lt;&gt;"",SUMIFS($K$2:$K$501,$D$2:$D$501,D264),SUMIFS($K$2:$K$501,$E$2:$E$501,E264)))</f>
        <v/>
      </c>
      <c r="N264" s="14">
        <f>IF(F264="","",MAX(0,F264-M264))</f>
        <v/>
      </c>
      <c r="O264" s="6">
        <f>IF(A264="","",IF(AND(I264&lt;&gt;"",I264&gt;H264),"是",IF(AND(TODAY()&gt;H264,N264&gt;0),"是","否")))</f>
        <v/>
      </c>
      <c r="P264" s="16">
        <f>IF(A264="","",IFERROR(INDEX('激励事件明细'!$P$2:$P$501,IF(D264&lt;&gt;"",MATCH(D264,'激励事件明细'!$A$2:$A$501,0),MATCH(E264,'激励事件明细'!$B$2:$B$501,0))),""))</f>
        <v/>
      </c>
      <c r="Q264" s="6">
        <f>IF(AND(D264="",E264=""),"异常：必须关联事件编号或税额批次",IF(AND(D264&lt;&gt;"",COUNTIF('激励事件明细'!$A$2:$A$501,D264)=0),"异常：事件编号不存在",IF(AND(E264&lt;&gt;"",COUNTIF('激励事件明细'!$B$2:$B$501,E264)=0),"异常：税额批次不存在",IF(M264&gt;F264,"异常：本批次超额缴税",IF(AND(I264&lt;&gt;"",I264&gt;H264),"异常：超过事件截止日",IF(AND(P264&lt;&gt;"",TODAY()&gt;=P264,N264&gt;0),"异常：离职前未缴清","正常"))))))</f>
        <v/>
      </c>
      <c r="R264" s="11" t="n"/>
    </row>
    <row r="265">
      <c r="A265" s="6">
        <f>IF(AND(D265="",E265=""),"",IFERROR(INDEX('激励事件明细'!$C$2:$C$501,IF(D265&lt;&gt;"",MATCH(D265,'激励事件明细'!$A$2:$A$501,0),MATCH(E265,'激励事件明细'!$B$2:$B$501,0))),""))</f>
        <v/>
      </c>
      <c r="B265" s="6">
        <f>IF(A265="","",IFERROR(INDEX('激励事件明细'!$D$2:$D$501,IF(D265&lt;&gt;"",MATCH(D265,'激励事件明细'!$A$2:$A$501,0),MATCH(E265,'激励事件明细'!$B$2:$B$501,0))),""))</f>
        <v/>
      </c>
      <c r="C265" s="6">
        <f>IF(A265="","",IFERROR(INDEX('激励事件明细'!$H$2:$H$501,IF(D265&lt;&gt;"",MATCH(D265,'激励事件明细'!$A$2:$A$501,0),MATCH(E265,'激励事件明细'!$B$2:$B$501,0))),""))</f>
        <v/>
      </c>
      <c r="D265" s="11" t="n"/>
      <c r="E265" s="11" t="n"/>
      <c r="F265" s="14">
        <f>IF(A265="","",IFERROR(INDEX('激励事件明细'!$Z$2:$Z$501,IF(D265&lt;&gt;"",MATCH(D265,'激励事件明细'!$A$2:$A$501,0),MATCH(E265,'激励事件明细'!$B$2:$B$501,0))),""))</f>
        <v/>
      </c>
      <c r="G265" s="16">
        <f>IF(A265="","",IFERROR(INDEX('激励事件明细'!$AA$2:$AA$501,IF(D265&lt;&gt;"",MATCH(D265,'激励事件明细'!$A$2:$A$501,0),MATCH(E265,'激励事件明细'!$B$2:$B$501,0))),""))</f>
        <v/>
      </c>
      <c r="H265" s="16">
        <f>IF(A265="","",IFERROR(INDEX('激励事件明细'!$AB$2:$AB$501,IF(D265&lt;&gt;"",MATCH(D265,'激励事件明细'!$A$2:$A$501,0),MATCH(E265,'激励事件明细'!$B$2:$B$501,0))),""))</f>
        <v/>
      </c>
      <c r="I265" s="12" t="n"/>
      <c r="J265" s="13" t="n"/>
      <c r="K265" s="13" t="n"/>
      <c r="L265" s="11" t="n"/>
      <c r="M265" s="14">
        <f>IF(A265="","",IF(D265&lt;&gt;"",SUMIFS($K$2:$K$501,$D$2:$D$501,D265),SUMIFS($K$2:$K$501,$E$2:$E$501,E265)))</f>
        <v/>
      </c>
      <c r="N265" s="14">
        <f>IF(F265="","",MAX(0,F265-M265))</f>
        <v/>
      </c>
      <c r="O265" s="6">
        <f>IF(A265="","",IF(AND(I265&lt;&gt;"",I265&gt;H265),"是",IF(AND(TODAY()&gt;H265,N265&gt;0),"是","否")))</f>
        <v/>
      </c>
      <c r="P265" s="16">
        <f>IF(A265="","",IFERROR(INDEX('激励事件明细'!$P$2:$P$501,IF(D265&lt;&gt;"",MATCH(D265,'激励事件明细'!$A$2:$A$501,0),MATCH(E265,'激励事件明细'!$B$2:$B$501,0))),""))</f>
        <v/>
      </c>
      <c r="Q265" s="6">
        <f>IF(AND(D265="",E265=""),"异常：必须关联事件编号或税额批次",IF(AND(D265&lt;&gt;"",COUNTIF('激励事件明细'!$A$2:$A$501,D265)=0),"异常：事件编号不存在",IF(AND(E265&lt;&gt;"",COUNTIF('激励事件明细'!$B$2:$B$501,E265)=0),"异常：税额批次不存在",IF(M265&gt;F265,"异常：本批次超额缴税",IF(AND(I265&lt;&gt;"",I265&gt;H265),"异常：超过事件截止日",IF(AND(P265&lt;&gt;"",TODAY()&gt;=P265,N265&gt;0),"异常：离职前未缴清","正常"))))))</f>
        <v/>
      </c>
      <c r="R265" s="11" t="n"/>
    </row>
    <row r="266">
      <c r="A266" s="6">
        <f>IF(AND(D266="",E266=""),"",IFERROR(INDEX('激励事件明细'!$C$2:$C$501,IF(D266&lt;&gt;"",MATCH(D266,'激励事件明细'!$A$2:$A$501,0),MATCH(E266,'激励事件明细'!$B$2:$B$501,0))),""))</f>
        <v/>
      </c>
      <c r="B266" s="6">
        <f>IF(A266="","",IFERROR(INDEX('激励事件明细'!$D$2:$D$501,IF(D266&lt;&gt;"",MATCH(D266,'激励事件明细'!$A$2:$A$501,0),MATCH(E266,'激励事件明细'!$B$2:$B$501,0))),""))</f>
        <v/>
      </c>
      <c r="C266" s="6">
        <f>IF(A266="","",IFERROR(INDEX('激励事件明细'!$H$2:$H$501,IF(D266&lt;&gt;"",MATCH(D266,'激励事件明细'!$A$2:$A$501,0),MATCH(E266,'激励事件明细'!$B$2:$B$501,0))),""))</f>
        <v/>
      </c>
      <c r="D266" s="11" t="n"/>
      <c r="E266" s="11" t="n"/>
      <c r="F266" s="14">
        <f>IF(A266="","",IFERROR(INDEX('激励事件明细'!$Z$2:$Z$501,IF(D266&lt;&gt;"",MATCH(D266,'激励事件明细'!$A$2:$A$501,0),MATCH(E266,'激励事件明细'!$B$2:$B$501,0))),""))</f>
        <v/>
      </c>
      <c r="G266" s="16">
        <f>IF(A266="","",IFERROR(INDEX('激励事件明细'!$AA$2:$AA$501,IF(D266&lt;&gt;"",MATCH(D266,'激励事件明细'!$A$2:$A$501,0),MATCH(E266,'激励事件明细'!$B$2:$B$501,0))),""))</f>
        <v/>
      </c>
      <c r="H266" s="16">
        <f>IF(A266="","",IFERROR(INDEX('激励事件明细'!$AB$2:$AB$501,IF(D266&lt;&gt;"",MATCH(D266,'激励事件明细'!$A$2:$A$501,0),MATCH(E266,'激励事件明细'!$B$2:$B$501,0))),""))</f>
        <v/>
      </c>
      <c r="I266" s="12" t="n"/>
      <c r="J266" s="13" t="n"/>
      <c r="K266" s="13" t="n"/>
      <c r="L266" s="11" t="n"/>
      <c r="M266" s="14">
        <f>IF(A266="","",IF(D266&lt;&gt;"",SUMIFS($K$2:$K$501,$D$2:$D$501,D266),SUMIFS($K$2:$K$501,$E$2:$E$501,E266)))</f>
        <v/>
      </c>
      <c r="N266" s="14">
        <f>IF(F266="","",MAX(0,F266-M266))</f>
        <v/>
      </c>
      <c r="O266" s="6">
        <f>IF(A266="","",IF(AND(I266&lt;&gt;"",I266&gt;H266),"是",IF(AND(TODAY()&gt;H266,N266&gt;0),"是","否")))</f>
        <v/>
      </c>
      <c r="P266" s="16">
        <f>IF(A266="","",IFERROR(INDEX('激励事件明细'!$P$2:$P$501,IF(D266&lt;&gt;"",MATCH(D266,'激励事件明细'!$A$2:$A$501,0),MATCH(E266,'激励事件明细'!$B$2:$B$501,0))),""))</f>
        <v/>
      </c>
      <c r="Q266" s="6">
        <f>IF(AND(D266="",E266=""),"异常：必须关联事件编号或税额批次",IF(AND(D266&lt;&gt;"",COUNTIF('激励事件明细'!$A$2:$A$501,D266)=0),"异常：事件编号不存在",IF(AND(E266&lt;&gt;"",COUNTIF('激励事件明细'!$B$2:$B$501,E266)=0),"异常：税额批次不存在",IF(M266&gt;F266,"异常：本批次超额缴税",IF(AND(I266&lt;&gt;"",I266&gt;H266),"异常：超过事件截止日",IF(AND(P266&lt;&gt;"",TODAY()&gt;=P266,N266&gt;0),"异常：离职前未缴清","正常"))))))</f>
        <v/>
      </c>
      <c r="R266" s="11" t="n"/>
    </row>
    <row r="267">
      <c r="A267" s="6">
        <f>IF(AND(D267="",E267=""),"",IFERROR(INDEX('激励事件明细'!$C$2:$C$501,IF(D267&lt;&gt;"",MATCH(D267,'激励事件明细'!$A$2:$A$501,0),MATCH(E267,'激励事件明细'!$B$2:$B$501,0))),""))</f>
        <v/>
      </c>
      <c r="B267" s="6">
        <f>IF(A267="","",IFERROR(INDEX('激励事件明细'!$D$2:$D$501,IF(D267&lt;&gt;"",MATCH(D267,'激励事件明细'!$A$2:$A$501,0),MATCH(E267,'激励事件明细'!$B$2:$B$501,0))),""))</f>
        <v/>
      </c>
      <c r="C267" s="6">
        <f>IF(A267="","",IFERROR(INDEX('激励事件明细'!$H$2:$H$501,IF(D267&lt;&gt;"",MATCH(D267,'激励事件明细'!$A$2:$A$501,0),MATCH(E267,'激励事件明细'!$B$2:$B$501,0))),""))</f>
        <v/>
      </c>
      <c r="D267" s="11" t="n"/>
      <c r="E267" s="11" t="n"/>
      <c r="F267" s="14">
        <f>IF(A267="","",IFERROR(INDEX('激励事件明细'!$Z$2:$Z$501,IF(D267&lt;&gt;"",MATCH(D267,'激励事件明细'!$A$2:$A$501,0),MATCH(E267,'激励事件明细'!$B$2:$B$501,0))),""))</f>
        <v/>
      </c>
      <c r="G267" s="16">
        <f>IF(A267="","",IFERROR(INDEX('激励事件明细'!$AA$2:$AA$501,IF(D267&lt;&gt;"",MATCH(D267,'激励事件明细'!$A$2:$A$501,0),MATCH(E267,'激励事件明细'!$B$2:$B$501,0))),""))</f>
        <v/>
      </c>
      <c r="H267" s="16">
        <f>IF(A267="","",IFERROR(INDEX('激励事件明细'!$AB$2:$AB$501,IF(D267&lt;&gt;"",MATCH(D267,'激励事件明细'!$A$2:$A$501,0),MATCH(E267,'激励事件明细'!$B$2:$B$501,0))),""))</f>
        <v/>
      </c>
      <c r="I267" s="12" t="n"/>
      <c r="J267" s="13" t="n"/>
      <c r="K267" s="13" t="n"/>
      <c r="L267" s="11" t="n"/>
      <c r="M267" s="14">
        <f>IF(A267="","",IF(D267&lt;&gt;"",SUMIFS($K$2:$K$501,$D$2:$D$501,D267),SUMIFS($K$2:$K$501,$E$2:$E$501,E267)))</f>
        <v/>
      </c>
      <c r="N267" s="14">
        <f>IF(F267="","",MAX(0,F267-M267))</f>
        <v/>
      </c>
      <c r="O267" s="6">
        <f>IF(A267="","",IF(AND(I267&lt;&gt;"",I267&gt;H267),"是",IF(AND(TODAY()&gt;H267,N267&gt;0),"是","否")))</f>
        <v/>
      </c>
      <c r="P267" s="16">
        <f>IF(A267="","",IFERROR(INDEX('激励事件明细'!$P$2:$P$501,IF(D267&lt;&gt;"",MATCH(D267,'激励事件明细'!$A$2:$A$501,0),MATCH(E267,'激励事件明细'!$B$2:$B$501,0))),""))</f>
        <v/>
      </c>
      <c r="Q267" s="6">
        <f>IF(AND(D267="",E267=""),"异常：必须关联事件编号或税额批次",IF(AND(D267&lt;&gt;"",COUNTIF('激励事件明细'!$A$2:$A$501,D267)=0),"异常：事件编号不存在",IF(AND(E267&lt;&gt;"",COUNTIF('激励事件明细'!$B$2:$B$501,E267)=0),"异常：税额批次不存在",IF(M267&gt;F267,"异常：本批次超额缴税",IF(AND(I267&lt;&gt;"",I267&gt;H267),"异常：超过事件截止日",IF(AND(P267&lt;&gt;"",TODAY()&gt;=P267,N267&gt;0),"异常：离职前未缴清","正常"))))))</f>
        <v/>
      </c>
      <c r="R267" s="11" t="n"/>
    </row>
    <row r="268">
      <c r="A268" s="6">
        <f>IF(AND(D268="",E268=""),"",IFERROR(INDEX('激励事件明细'!$C$2:$C$501,IF(D268&lt;&gt;"",MATCH(D268,'激励事件明细'!$A$2:$A$501,0),MATCH(E268,'激励事件明细'!$B$2:$B$501,0))),""))</f>
        <v/>
      </c>
      <c r="B268" s="6">
        <f>IF(A268="","",IFERROR(INDEX('激励事件明细'!$D$2:$D$501,IF(D268&lt;&gt;"",MATCH(D268,'激励事件明细'!$A$2:$A$501,0),MATCH(E268,'激励事件明细'!$B$2:$B$501,0))),""))</f>
        <v/>
      </c>
      <c r="C268" s="6">
        <f>IF(A268="","",IFERROR(INDEX('激励事件明细'!$H$2:$H$501,IF(D268&lt;&gt;"",MATCH(D268,'激励事件明细'!$A$2:$A$501,0),MATCH(E268,'激励事件明细'!$B$2:$B$501,0))),""))</f>
        <v/>
      </c>
      <c r="D268" s="11" t="n"/>
      <c r="E268" s="11" t="n"/>
      <c r="F268" s="14">
        <f>IF(A268="","",IFERROR(INDEX('激励事件明细'!$Z$2:$Z$501,IF(D268&lt;&gt;"",MATCH(D268,'激励事件明细'!$A$2:$A$501,0),MATCH(E268,'激励事件明细'!$B$2:$B$501,0))),""))</f>
        <v/>
      </c>
      <c r="G268" s="16">
        <f>IF(A268="","",IFERROR(INDEX('激励事件明细'!$AA$2:$AA$501,IF(D268&lt;&gt;"",MATCH(D268,'激励事件明细'!$A$2:$A$501,0),MATCH(E268,'激励事件明细'!$B$2:$B$501,0))),""))</f>
        <v/>
      </c>
      <c r="H268" s="16">
        <f>IF(A268="","",IFERROR(INDEX('激励事件明细'!$AB$2:$AB$501,IF(D268&lt;&gt;"",MATCH(D268,'激励事件明细'!$A$2:$A$501,0),MATCH(E268,'激励事件明细'!$B$2:$B$501,0))),""))</f>
        <v/>
      </c>
      <c r="I268" s="12" t="n"/>
      <c r="J268" s="13" t="n"/>
      <c r="K268" s="13" t="n"/>
      <c r="L268" s="11" t="n"/>
      <c r="M268" s="14">
        <f>IF(A268="","",IF(D268&lt;&gt;"",SUMIFS($K$2:$K$501,$D$2:$D$501,D268),SUMIFS($K$2:$K$501,$E$2:$E$501,E268)))</f>
        <v/>
      </c>
      <c r="N268" s="14">
        <f>IF(F268="","",MAX(0,F268-M268))</f>
        <v/>
      </c>
      <c r="O268" s="6">
        <f>IF(A268="","",IF(AND(I268&lt;&gt;"",I268&gt;H268),"是",IF(AND(TODAY()&gt;H268,N268&gt;0),"是","否")))</f>
        <v/>
      </c>
      <c r="P268" s="16">
        <f>IF(A268="","",IFERROR(INDEX('激励事件明细'!$P$2:$P$501,IF(D268&lt;&gt;"",MATCH(D268,'激励事件明细'!$A$2:$A$501,0),MATCH(E268,'激励事件明细'!$B$2:$B$501,0))),""))</f>
        <v/>
      </c>
      <c r="Q268" s="6">
        <f>IF(AND(D268="",E268=""),"异常：必须关联事件编号或税额批次",IF(AND(D268&lt;&gt;"",COUNTIF('激励事件明细'!$A$2:$A$501,D268)=0),"异常：事件编号不存在",IF(AND(E268&lt;&gt;"",COUNTIF('激励事件明细'!$B$2:$B$501,E268)=0),"异常：税额批次不存在",IF(M268&gt;F268,"异常：本批次超额缴税",IF(AND(I268&lt;&gt;"",I268&gt;H268),"异常：超过事件截止日",IF(AND(P268&lt;&gt;"",TODAY()&gt;=P268,N268&gt;0),"异常：离职前未缴清","正常"))))))</f>
        <v/>
      </c>
      <c r="R268" s="11" t="n"/>
    </row>
    <row r="269">
      <c r="A269" s="6">
        <f>IF(AND(D269="",E269=""),"",IFERROR(INDEX('激励事件明细'!$C$2:$C$501,IF(D269&lt;&gt;"",MATCH(D269,'激励事件明细'!$A$2:$A$501,0),MATCH(E269,'激励事件明细'!$B$2:$B$501,0))),""))</f>
        <v/>
      </c>
      <c r="B269" s="6">
        <f>IF(A269="","",IFERROR(INDEX('激励事件明细'!$D$2:$D$501,IF(D269&lt;&gt;"",MATCH(D269,'激励事件明细'!$A$2:$A$501,0),MATCH(E269,'激励事件明细'!$B$2:$B$501,0))),""))</f>
        <v/>
      </c>
      <c r="C269" s="6">
        <f>IF(A269="","",IFERROR(INDEX('激励事件明细'!$H$2:$H$501,IF(D269&lt;&gt;"",MATCH(D269,'激励事件明细'!$A$2:$A$501,0),MATCH(E269,'激励事件明细'!$B$2:$B$501,0))),""))</f>
        <v/>
      </c>
      <c r="D269" s="11" t="n"/>
      <c r="E269" s="11" t="n"/>
      <c r="F269" s="14">
        <f>IF(A269="","",IFERROR(INDEX('激励事件明细'!$Z$2:$Z$501,IF(D269&lt;&gt;"",MATCH(D269,'激励事件明细'!$A$2:$A$501,0),MATCH(E269,'激励事件明细'!$B$2:$B$501,0))),""))</f>
        <v/>
      </c>
      <c r="G269" s="16">
        <f>IF(A269="","",IFERROR(INDEX('激励事件明细'!$AA$2:$AA$501,IF(D269&lt;&gt;"",MATCH(D269,'激励事件明细'!$A$2:$A$501,0),MATCH(E269,'激励事件明细'!$B$2:$B$501,0))),""))</f>
        <v/>
      </c>
      <c r="H269" s="16">
        <f>IF(A269="","",IFERROR(INDEX('激励事件明细'!$AB$2:$AB$501,IF(D269&lt;&gt;"",MATCH(D269,'激励事件明细'!$A$2:$A$501,0),MATCH(E269,'激励事件明细'!$B$2:$B$501,0))),""))</f>
        <v/>
      </c>
      <c r="I269" s="12" t="n"/>
      <c r="J269" s="13" t="n"/>
      <c r="K269" s="13" t="n"/>
      <c r="L269" s="11" t="n"/>
      <c r="M269" s="14">
        <f>IF(A269="","",IF(D269&lt;&gt;"",SUMIFS($K$2:$K$501,$D$2:$D$501,D269),SUMIFS($K$2:$K$501,$E$2:$E$501,E269)))</f>
        <v/>
      </c>
      <c r="N269" s="14">
        <f>IF(F269="","",MAX(0,F269-M269))</f>
        <v/>
      </c>
      <c r="O269" s="6">
        <f>IF(A269="","",IF(AND(I269&lt;&gt;"",I269&gt;H269),"是",IF(AND(TODAY()&gt;H269,N269&gt;0),"是","否")))</f>
        <v/>
      </c>
      <c r="P269" s="16">
        <f>IF(A269="","",IFERROR(INDEX('激励事件明细'!$P$2:$P$501,IF(D269&lt;&gt;"",MATCH(D269,'激励事件明细'!$A$2:$A$501,0),MATCH(E269,'激励事件明细'!$B$2:$B$501,0))),""))</f>
        <v/>
      </c>
      <c r="Q269" s="6">
        <f>IF(AND(D269="",E269=""),"异常：必须关联事件编号或税额批次",IF(AND(D269&lt;&gt;"",COUNTIF('激励事件明细'!$A$2:$A$501,D269)=0),"异常：事件编号不存在",IF(AND(E269&lt;&gt;"",COUNTIF('激励事件明细'!$B$2:$B$501,E269)=0),"异常：税额批次不存在",IF(M269&gt;F269,"异常：本批次超额缴税",IF(AND(I269&lt;&gt;"",I269&gt;H269),"异常：超过事件截止日",IF(AND(P269&lt;&gt;"",TODAY()&gt;=P269,N269&gt;0),"异常：离职前未缴清","正常"))))))</f>
        <v/>
      </c>
      <c r="R269" s="11" t="n"/>
    </row>
    <row r="270">
      <c r="A270" s="6">
        <f>IF(AND(D270="",E270=""),"",IFERROR(INDEX('激励事件明细'!$C$2:$C$501,IF(D270&lt;&gt;"",MATCH(D270,'激励事件明细'!$A$2:$A$501,0),MATCH(E270,'激励事件明细'!$B$2:$B$501,0))),""))</f>
        <v/>
      </c>
      <c r="B270" s="6">
        <f>IF(A270="","",IFERROR(INDEX('激励事件明细'!$D$2:$D$501,IF(D270&lt;&gt;"",MATCH(D270,'激励事件明细'!$A$2:$A$501,0),MATCH(E270,'激励事件明细'!$B$2:$B$501,0))),""))</f>
        <v/>
      </c>
      <c r="C270" s="6">
        <f>IF(A270="","",IFERROR(INDEX('激励事件明细'!$H$2:$H$501,IF(D270&lt;&gt;"",MATCH(D270,'激励事件明细'!$A$2:$A$501,0),MATCH(E270,'激励事件明细'!$B$2:$B$501,0))),""))</f>
        <v/>
      </c>
      <c r="D270" s="11" t="n"/>
      <c r="E270" s="11" t="n"/>
      <c r="F270" s="14">
        <f>IF(A270="","",IFERROR(INDEX('激励事件明细'!$Z$2:$Z$501,IF(D270&lt;&gt;"",MATCH(D270,'激励事件明细'!$A$2:$A$501,0),MATCH(E270,'激励事件明细'!$B$2:$B$501,0))),""))</f>
        <v/>
      </c>
      <c r="G270" s="16">
        <f>IF(A270="","",IFERROR(INDEX('激励事件明细'!$AA$2:$AA$501,IF(D270&lt;&gt;"",MATCH(D270,'激励事件明细'!$A$2:$A$501,0),MATCH(E270,'激励事件明细'!$B$2:$B$501,0))),""))</f>
        <v/>
      </c>
      <c r="H270" s="16">
        <f>IF(A270="","",IFERROR(INDEX('激励事件明细'!$AB$2:$AB$501,IF(D270&lt;&gt;"",MATCH(D270,'激励事件明细'!$A$2:$A$501,0),MATCH(E270,'激励事件明细'!$B$2:$B$501,0))),""))</f>
        <v/>
      </c>
      <c r="I270" s="12" t="n"/>
      <c r="J270" s="13" t="n"/>
      <c r="K270" s="13" t="n"/>
      <c r="L270" s="11" t="n"/>
      <c r="M270" s="14">
        <f>IF(A270="","",IF(D270&lt;&gt;"",SUMIFS($K$2:$K$501,$D$2:$D$501,D270),SUMIFS($K$2:$K$501,$E$2:$E$501,E270)))</f>
        <v/>
      </c>
      <c r="N270" s="14">
        <f>IF(F270="","",MAX(0,F270-M270))</f>
        <v/>
      </c>
      <c r="O270" s="6">
        <f>IF(A270="","",IF(AND(I270&lt;&gt;"",I270&gt;H270),"是",IF(AND(TODAY()&gt;H270,N270&gt;0),"是","否")))</f>
        <v/>
      </c>
      <c r="P270" s="16">
        <f>IF(A270="","",IFERROR(INDEX('激励事件明细'!$P$2:$P$501,IF(D270&lt;&gt;"",MATCH(D270,'激励事件明细'!$A$2:$A$501,0),MATCH(E270,'激励事件明细'!$B$2:$B$501,0))),""))</f>
        <v/>
      </c>
      <c r="Q270" s="6">
        <f>IF(AND(D270="",E270=""),"异常：必须关联事件编号或税额批次",IF(AND(D270&lt;&gt;"",COUNTIF('激励事件明细'!$A$2:$A$501,D270)=0),"异常：事件编号不存在",IF(AND(E270&lt;&gt;"",COUNTIF('激励事件明细'!$B$2:$B$501,E270)=0),"异常：税额批次不存在",IF(M270&gt;F270,"异常：本批次超额缴税",IF(AND(I270&lt;&gt;"",I270&gt;H270),"异常：超过事件截止日",IF(AND(P270&lt;&gt;"",TODAY()&gt;=P270,N270&gt;0),"异常：离职前未缴清","正常"))))))</f>
        <v/>
      </c>
      <c r="R270" s="11" t="n"/>
    </row>
    <row r="271">
      <c r="A271" s="6">
        <f>IF(AND(D271="",E271=""),"",IFERROR(INDEX('激励事件明细'!$C$2:$C$501,IF(D271&lt;&gt;"",MATCH(D271,'激励事件明细'!$A$2:$A$501,0),MATCH(E271,'激励事件明细'!$B$2:$B$501,0))),""))</f>
        <v/>
      </c>
      <c r="B271" s="6">
        <f>IF(A271="","",IFERROR(INDEX('激励事件明细'!$D$2:$D$501,IF(D271&lt;&gt;"",MATCH(D271,'激励事件明细'!$A$2:$A$501,0),MATCH(E271,'激励事件明细'!$B$2:$B$501,0))),""))</f>
        <v/>
      </c>
      <c r="C271" s="6">
        <f>IF(A271="","",IFERROR(INDEX('激励事件明细'!$H$2:$H$501,IF(D271&lt;&gt;"",MATCH(D271,'激励事件明细'!$A$2:$A$501,0),MATCH(E271,'激励事件明细'!$B$2:$B$501,0))),""))</f>
        <v/>
      </c>
      <c r="D271" s="11" t="n"/>
      <c r="E271" s="11" t="n"/>
      <c r="F271" s="14">
        <f>IF(A271="","",IFERROR(INDEX('激励事件明细'!$Z$2:$Z$501,IF(D271&lt;&gt;"",MATCH(D271,'激励事件明细'!$A$2:$A$501,0),MATCH(E271,'激励事件明细'!$B$2:$B$501,0))),""))</f>
        <v/>
      </c>
      <c r="G271" s="16">
        <f>IF(A271="","",IFERROR(INDEX('激励事件明细'!$AA$2:$AA$501,IF(D271&lt;&gt;"",MATCH(D271,'激励事件明细'!$A$2:$A$501,0),MATCH(E271,'激励事件明细'!$B$2:$B$501,0))),""))</f>
        <v/>
      </c>
      <c r="H271" s="16">
        <f>IF(A271="","",IFERROR(INDEX('激励事件明细'!$AB$2:$AB$501,IF(D271&lt;&gt;"",MATCH(D271,'激励事件明细'!$A$2:$A$501,0),MATCH(E271,'激励事件明细'!$B$2:$B$501,0))),""))</f>
        <v/>
      </c>
      <c r="I271" s="12" t="n"/>
      <c r="J271" s="13" t="n"/>
      <c r="K271" s="13" t="n"/>
      <c r="L271" s="11" t="n"/>
      <c r="M271" s="14">
        <f>IF(A271="","",IF(D271&lt;&gt;"",SUMIFS($K$2:$K$501,$D$2:$D$501,D271),SUMIFS($K$2:$K$501,$E$2:$E$501,E271)))</f>
        <v/>
      </c>
      <c r="N271" s="14">
        <f>IF(F271="","",MAX(0,F271-M271))</f>
        <v/>
      </c>
      <c r="O271" s="6">
        <f>IF(A271="","",IF(AND(I271&lt;&gt;"",I271&gt;H271),"是",IF(AND(TODAY()&gt;H271,N271&gt;0),"是","否")))</f>
        <v/>
      </c>
      <c r="P271" s="16">
        <f>IF(A271="","",IFERROR(INDEX('激励事件明细'!$P$2:$P$501,IF(D271&lt;&gt;"",MATCH(D271,'激励事件明细'!$A$2:$A$501,0),MATCH(E271,'激励事件明细'!$B$2:$B$501,0))),""))</f>
        <v/>
      </c>
      <c r="Q271" s="6">
        <f>IF(AND(D271="",E271=""),"异常：必须关联事件编号或税额批次",IF(AND(D271&lt;&gt;"",COUNTIF('激励事件明细'!$A$2:$A$501,D271)=0),"异常：事件编号不存在",IF(AND(E271&lt;&gt;"",COUNTIF('激励事件明细'!$B$2:$B$501,E271)=0),"异常：税额批次不存在",IF(M271&gt;F271,"异常：本批次超额缴税",IF(AND(I271&lt;&gt;"",I271&gt;H271),"异常：超过事件截止日",IF(AND(P271&lt;&gt;"",TODAY()&gt;=P271,N271&gt;0),"异常：离职前未缴清","正常"))))))</f>
        <v/>
      </c>
      <c r="R271" s="11" t="n"/>
    </row>
    <row r="272">
      <c r="A272" s="6">
        <f>IF(AND(D272="",E272=""),"",IFERROR(INDEX('激励事件明细'!$C$2:$C$501,IF(D272&lt;&gt;"",MATCH(D272,'激励事件明细'!$A$2:$A$501,0),MATCH(E272,'激励事件明细'!$B$2:$B$501,0))),""))</f>
        <v/>
      </c>
      <c r="B272" s="6">
        <f>IF(A272="","",IFERROR(INDEX('激励事件明细'!$D$2:$D$501,IF(D272&lt;&gt;"",MATCH(D272,'激励事件明细'!$A$2:$A$501,0),MATCH(E272,'激励事件明细'!$B$2:$B$501,0))),""))</f>
        <v/>
      </c>
      <c r="C272" s="6">
        <f>IF(A272="","",IFERROR(INDEX('激励事件明细'!$H$2:$H$501,IF(D272&lt;&gt;"",MATCH(D272,'激励事件明细'!$A$2:$A$501,0),MATCH(E272,'激励事件明细'!$B$2:$B$501,0))),""))</f>
        <v/>
      </c>
      <c r="D272" s="11" t="n"/>
      <c r="E272" s="11" t="n"/>
      <c r="F272" s="14">
        <f>IF(A272="","",IFERROR(INDEX('激励事件明细'!$Z$2:$Z$501,IF(D272&lt;&gt;"",MATCH(D272,'激励事件明细'!$A$2:$A$501,0),MATCH(E272,'激励事件明细'!$B$2:$B$501,0))),""))</f>
        <v/>
      </c>
      <c r="G272" s="16">
        <f>IF(A272="","",IFERROR(INDEX('激励事件明细'!$AA$2:$AA$501,IF(D272&lt;&gt;"",MATCH(D272,'激励事件明细'!$A$2:$A$501,0),MATCH(E272,'激励事件明细'!$B$2:$B$501,0))),""))</f>
        <v/>
      </c>
      <c r="H272" s="16">
        <f>IF(A272="","",IFERROR(INDEX('激励事件明细'!$AB$2:$AB$501,IF(D272&lt;&gt;"",MATCH(D272,'激励事件明细'!$A$2:$A$501,0),MATCH(E272,'激励事件明细'!$B$2:$B$501,0))),""))</f>
        <v/>
      </c>
      <c r="I272" s="12" t="n"/>
      <c r="J272" s="13" t="n"/>
      <c r="K272" s="13" t="n"/>
      <c r="L272" s="11" t="n"/>
      <c r="M272" s="14">
        <f>IF(A272="","",IF(D272&lt;&gt;"",SUMIFS($K$2:$K$501,$D$2:$D$501,D272),SUMIFS($K$2:$K$501,$E$2:$E$501,E272)))</f>
        <v/>
      </c>
      <c r="N272" s="14">
        <f>IF(F272="","",MAX(0,F272-M272))</f>
        <v/>
      </c>
      <c r="O272" s="6">
        <f>IF(A272="","",IF(AND(I272&lt;&gt;"",I272&gt;H272),"是",IF(AND(TODAY()&gt;H272,N272&gt;0),"是","否")))</f>
        <v/>
      </c>
      <c r="P272" s="16">
        <f>IF(A272="","",IFERROR(INDEX('激励事件明细'!$P$2:$P$501,IF(D272&lt;&gt;"",MATCH(D272,'激励事件明细'!$A$2:$A$501,0),MATCH(E272,'激励事件明细'!$B$2:$B$501,0))),""))</f>
        <v/>
      </c>
      <c r="Q272" s="6">
        <f>IF(AND(D272="",E272=""),"异常：必须关联事件编号或税额批次",IF(AND(D272&lt;&gt;"",COUNTIF('激励事件明细'!$A$2:$A$501,D272)=0),"异常：事件编号不存在",IF(AND(E272&lt;&gt;"",COUNTIF('激励事件明细'!$B$2:$B$501,E272)=0),"异常：税额批次不存在",IF(M272&gt;F272,"异常：本批次超额缴税",IF(AND(I272&lt;&gt;"",I272&gt;H272),"异常：超过事件截止日",IF(AND(P272&lt;&gt;"",TODAY()&gt;=P272,N272&gt;0),"异常：离职前未缴清","正常"))))))</f>
        <v/>
      </c>
      <c r="R272" s="11" t="n"/>
    </row>
    <row r="273">
      <c r="A273" s="6">
        <f>IF(AND(D273="",E273=""),"",IFERROR(INDEX('激励事件明细'!$C$2:$C$501,IF(D273&lt;&gt;"",MATCH(D273,'激励事件明细'!$A$2:$A$501,0),MATCH(E273,'激励事件明细'!$B$2:$B$501,0))),""))</f>
        <v/>
      </c>
      <c r="B273" s="6">
        <f>IF(A273="","",IFERROR(INDEX('激励事件明细'!$D$2:$D$501,IF(D273&lt;&gt;"",MATCH(D273,'激励事件明细'!$A$2:$A$501,0),MATCH(E273,'激励事件明细'!$B$2:$B$501,0))),""))</f>
        <v/>
      </c>
      <c r="C273" s="6">
        <f>IF(A273="","",IFERROR(INDEX('激励事件明细'!$H$2:$H$501,IF(D273&lt;&gt;"",MATCH(D273,'激励事件明细'!$A$2:$A$501,0),MATCH(E273,'激励事件明细'!$B$2:$B$501,0))),""))</f>
        <v/>
      </c>
      <c r="D273" s="11" t="n"/>
      <c r="E273" s="11" t="n"/>
      <c r="F273" s="14">
        <f>IF(A273="","",IFERROR(INDEX('激励事件明细'!$Z$2:$Z$501,IF(D273&lt;&gt;"",MATCH(D273,'激励事件明细'!$A$2:$A$501,0),MATCH(E273,'激励事件明细'!$B$2:$B$501,0))),""))</f>
        <v/>
      </c>
      <c r="G273" s="16">
        <f>IF(A273="","",IFERROR(INDEX('激励事件明细'!$AA$2:$AA$501,IF(D273&lt;&gt;"",MATCH(D273,'激励事件明细'!$A$2:$A$501,0),MATCH(E273,'激励事件明细'!$B$2:$B$501,0))),""))</f>
        <v/>
      </c>
      <c r="H273" s="16">
        <f>IF(A273="","",IFERROR(INDEX('激励事件明细'!$AB$2:$AB$501,IF(D273&lt;&gt;"",MATCH(D273,'激励事件明细'!$A$2:$A$501,0),MATCH(E273,'激励事件明细'!$B$2:$B$501,0))),""))</f>
        <v/>
      </c>
      <c r="I273" s="12" t="n"/>
      <c r="J273" s="13" t="n"/>
      <c r="K273" s="13" t="n"/>
      <c r="L273" s="11" t="n"/>
      <c r="M273" s="14">
        <f>IF(A273="","",IF(D273&lt;&gt;"",SUMIFS($K$2:$K$501,$D$2:$D$501,D273),SUMIFS($K$2:$K$501,$E$2:$E$501,E273)))</f>
        <v/>
      </c>
      <c r="N273" s="14">
        <f>IF(F273="","",MAX(0,F273-M273))</f>
        <v/>
      </c>
      <c r="O273" s="6">
        <f>IF(A273="","",IF(AND(I273&lt;&gt;"",I273&gt;H273),"是",IF(AND(TODAY()&gt;H273,N273&gt;0),"是","否")))</f>
        <v/>
      </c>
      <c r="P273" s="16">
        <f>IF(A273="","",IFERROR(INDEX('激励事件明细'!$P$2:$P$501,IF(D273&lt;&gt;"",MATCH(D273,'激励事件明细'!$A$2:$A$501,0),MATCH(E273,'激励事件明细'!$B$2:$B$501,0))),""))</f>
        <v/>
      </c>
      <c r="Q273" s="6">
        <f>IF(AND(D273="",E273=""),"异常：必须关联事件编号或税额批次",IF(AND(D273&lt;&gt;"",COUNTIF('激励事件明细'!$A$2:$A$501,D273)=0),"异常：事件编号不存在",IF(AND(E273&lt;&gt;"",COUNTIF('激励事件明细'!$B$2:$B$501,E273)=0),"异常：税额批次不存在",IF(M273&gt;F273,"异常：本批次超额缴税",IF(AND(I273&lt;&gt;"",I273&gt;H273),"异常：超过事件截止日",IF(AND(P273&lt;&gt;"",TODAY()&gt;=P273,N273&gt;0),"异常：离职前未缴清","正常"))))))</f>
        <v/>
      </c>
      <c r="R273" s="11" t="n"/>
    </row>
    <row r="274">
      <c r="A274" s="6">
        <f>IF(AND(D274="",E274=""),"",IFERROR(INDEX('激励事件明细'!$C$2:$C$501,IF(D274&lt;&gt;"",MATCH(D274,'激励事件明细'!$A$2:$A$501,0),MATCH(E274,'激励事件明细'!$B$2:$B$501,0))),""))</f>
        <v/>
      </c>
      <c r="B274" s="6">
        <f>IF(A274="","",IFERROR(INDEX('激励事件明细'!$D$2:$D$501,IF(D274&lt;&gt;"",MATCH(D274,'激励事件明细'!$A$2:$A$501,0),MATCH(E274,'激励事件明细'!$B$2:$B$501,0))),""))</f>
        <v/>
      </c>
      <c r="C274" s="6">
        <f>IF(A274="","",IFERROR(INDEX('激励事件明细'!$H$2:$H$501,IF(D274&lt;&gt;"",MATCH(D274,'激励事件明细'!$A$2:$A$501,0),MATCH(E274,'激励事件明细'!$B$2:$B$501,0))),""))</f>
        <v/>
      </c>
      <c r="D274" s="11" t="n"/>
      <c r="E274" s="11" t="n"/>
      <c r="F274" s="14">
        <f>IF(A274="","",IFERROR(INDEX('激励事件明细'!$Z$2:$Z$501,IF(D274&lt;&gt;"",MATCH(D274,'激励事件明细'!$A$2:$A$501,0),MATCH(E274,'激励事件明细'!$B$2:$B$501,0))),""))</f>
        <v/>
      </c>
      <c r="G274" s="16">
        <f>IF(A274="","",IFERROR(INDEX('激励事件明细'!$AA$2:$AA$501,IF(D274&lt;&gt;"",MATCH(D274,'激励事件明细'!$A$2:$A$501,0),MATCH(E274,'激励事件明细'!$B$2:$B$501,0))),""))</f>
        <v/>
      </c>
      <c r="H274" s="16">
        <f>IF(A274="","",IFERROR(INDEX('激励事件明细'!$AB$2:$AB$501,IF(D274&lt;&gt;"",MATCH(D274,'激励事件明细'!$A$2:$A$501,0),MATCH(E274,'激励事件明细'!$B$2:$B$501,0))),""))</f>
        <v/>
      </c>
      <c r="I274" s="12" t="n"/>
      <c r="J274" s="13" t="n"/>
      <c r="K274" s="13" t="n"/>
      <c r="L274" s="11" t="n"/>
      <c r="M274" s="14">
        <f>IF(A274="","",IF(D274&lt;&gt;"",SUMIFS($K$2:$K$501,$D$2:$D$501,D274),SUMIFS($K$2:$K$501,$E$2:$E$501,E274)))</f>
        <v/>
      </c>
      <c r="N274" s="14">
        <f>IF(F274="","",MAX(0,F274-M274))</f>
        <v/>
      </c>
      <c r="O274" s="6">
        <f>IF(A274="","",IF(AND(I274&lt;&gt;"",I274&gt;H274),"是",IF(AND(TODAY()&gt;H274,N274&gt;0),"是","否")))</f>
        <v/>
      </c>
      <c r="P274" s="16">
        <f>IF(A274="","",IFERROR(INDEX('激励事件明细'!$P$2:$P$501,IF(D274&lt;&gt;"",MATCH(D274,'激励事件明细'!$A$2:$A$501,0),MATCH(E274,'激励事件明细'!$B$2:$B$501,0))),""))</f>
        <v/>
      </c>
      <c r="Q274" s="6">
        <f>IF(AND(D274="",E274=""),"异常：必须关联事件编号或税额批次",IF(AND(D274&lt;&gt;"",COUNTIF('激励事件明细'!$A$2:$A$501,D274)=0),"异常：事件编号不存在",IF(AND(E274&lt;&gt;"",COUNTIF('激励事件明细'!$B$2:$B$501,E274)=0),"异常：税额批次不存在",IF(M274&gt;F274,"异常：本批次超额缴税",IF(AND(I274&lt;&gt;"",I274&gt;H274),"异常：超过事件截止日",IF(AND(P274&lt;&gt;"",TODAY()&gt;=P274,N274&gt;0),"异常：离职前未缴清","正常"))))))</f>
        <v/>
      </c>
      <c r="R274" s="11" t="n"/>
    </row>
    <row r="275">
      <c r="A275" s="6">
        <f>IF(AND(D275="",E275=""),"",IFERROR(INDEX('激励事件明细'!$C$2:$C$501,IF(D275&lt;&gt;"",MATCH(D275,'激励事件明细'!$A$2:$A$501,0),MATCH(E275,'激励事件明细'!$B$2:$B$501,0))),""))</f>
        <v/>
      </c>
      <c r="B275" s="6">
        <f>IF(A275="","",IFERROR(INDEX('激励事件明细'!$D$2:$D$501,IF(D275&lt;&gt;"",MATCH(D275,'激励事件明细'!$A$2:$A$501,0),MATCH(E275,'激励事件明细'!$B$2:$B$501,0))),""))</f>
        <v/>
      </c>
      <c r="C275" s="6">
        <f>IF(A275="","",IFERROR(INDEX('激励事件明细'!$H$2:$H$501,IF(D275&lt;&gt;"",MATCH(D275,'激励事件明细'!$A$2:$A$501,0),MATCH(E275,'激励事件明细'!$B$2:$B$501,0))),""))</f>
        <v/>
      </c>
      <c r="D275" s="11" t="n"/>
      <c r="E275" s="11" t="n"/>
      <c r="F275" s="14">
        <f>IF(A275="","",IFERROR(INDEX('激励事件明细'!$Z$2:$Z$501,IF(D275&lt;&gt;"",MATCH(D275,'激励事件明细'!$A$2:$A$501,0),MATCH(E275,'激励事件明细'!$B$2:$B$501,0))),""))</f>
        <v/>
      </c>
      <c r="G275" s="16">
        <f>IF(A275="","",IFERROR(INDEX('激励事件明细'!$AA$2:$AA$501,IF(D275&lt;&gt;"",MATCH(D275,'激励事件明细'!$A$2:$A$501,0),MATCH(E275,'激励事件明细'!$B$2:$B$501,0))),""))</f>
        <v/>
      </c>
      <c r="H275" s="16">
        <f>IF(A275="","",IFERROR(INDEX('激励事件明细'!$AB$2:$AB$501,IF(D275&lt;&gt;"",MATCH(D275,'激励事件明细'!$A$2:$A$501,0),MATCH(E275,'激励事件明细'!$B$2:$B$501,0))),""))</f>
        <v/>
      </c>
      <c r="I275" s="12" t="n"/>
      <c r="J275" s="13" t="n"/>
      <c r="K275" s="13" t="n"/>
      <c r="L275" s="11" t="n"/>
      <c r="M275" s="14">
        <f>IF(A275="","",IF(D275&lt;&gt;"",SUMIFS($K$2:$K$501,$D$2:$D$501,D275),SUMIFS($K$2:$K$501,$E$2:$E$501,E275)))</f>
        <v/>
      </c>
      <c r="N275" s="14">
        <f>IF(F275="","",MAX(0,F275-M275))</f>
        <v/>
      </c>
      <c r="O275" s="6">
        <f>IF(A275="","",IF(AND(I275&lt;&gt;"",I275&gt;H275),"是",IF(AND(TODAY()&gt;H275,N275&gt;0),"是","否")))</f>
        <v/>
      </c>
      <c r="P275" s="16">
        <f>IF(A275="","",IFERROR(INDEX('激励事件明细'!$P$2:$P$501,IF(D275&lt;&gt;"",MATCH(D275,'激励事件明细'!$A$2:$A$501,0),MATCH(E275,'激励事件明细'!$B$2:$B$501,0))),""))</f>
        <v/>
      </c>
      <c r="Q275" s="6">
        <f>IF(AND(D275="",E275=""),"异常：必须关联事件编号或税额批次",IF(AND(D275&lt;&gt;"",COUNTIF('激励事件明细'!$A$2:$A$501,D275)=0),"异常：事件编号不存在",IF(AND(E275&lt;&gt;"",COUNTIF('激励事件明细'!$B$2:$B$501,E275)=0),"异常：税额批次不存在",IF(M275&gt;F275,"异常：本批次超额缴税",IF(AND(I275&lt;&gt;"",I275&gt;H275),"异常：超过事件截止日",IF(AND(P275&lt;&gt;"",TODAY()&gt;=P275,N275&gt;0),"异常：离职前未缴清","正常"))))))</f>
        <v/>
      </c>
      <c r="R275" s="11" t="n"/>
    </row>
    <row r="276">
      <c r="A276" s="6">
        <f>IF(AND(D276="",E276=""),"",IFERROR(INDEX('激励事件明细'!$C$2:$C$501,IF(D276&lt;&gt;"",MATCH(D276,'激励事件明细'!$A$2:$A$501,0),MATCH(E276,'激励事件明细'!$B$2:$B$501,0))),""))</f>
        <v/>
      </c>
      <c r="B276" s="6">
        <f>IF(A276="","",IFERROR(INDEX('激励事件明细'!$D$2:$D$501,IF(D276&lt;&gt;"",MATCH(D276,'激励事件明细'!$A$2:$A$501,0),MATCH(E276,'激励事件明细'!$B$2:$B$501,0))),""))</f>
        <v/>
      </c>
      <c r="C276" s="6">
        <f>IF(A276="","",IFERROR(INDEX('激励事件明细'!$H$2:$H$501,IF(D276&lt;&gt;"",MATCH(D276,'激励事件明细'!$A$2:$A$501,0),MATCH(E276,'激励事件明细'!$B$2:$B$501,0))),""))</f>
        <v/>
      </c>
      <c r="D276" s="11" t="n"/>
      <c r="E276" s="11" t="n"/>
      <c r="F276" s="14">
        <f>IF(A276="","",IFERROR(INDEX('激励事件明细'!$Z$2:$Z$501,IF(D276&lt;&gt;"",MATCH(D276,'激励事件明细'!$A$2:$A$501,0),MATCH(E276,'激励事件明细'!$B$2:$B$501,0))),""))</f>
        <v/>
      </c>
      <c r="G276" s="16">
        <f>IF(A276="","",IFERROR(INDEX('激励事件明细'!$AA$2:$AA$501,IF(D276&lt;&gt;"",MATCH(D276,'激励事件明细'!$A$2:$A$501,0),MATCH(E276,'激励事件明细'!$B$2:$B$501,0))),""))</f>
        <v/>
      </c>
      <c r="H276" s="16">
        <f>IF(A276="","",IFERROR(INDEX('激励事件明细'!$AB$2:$AB$501,IF(D276&lt;&gt;"",MATCH(D276,'激励事件明细'!$A$2:$A$501,0),MATCH(E276,'激励事件明细'!$B$2:$B$501,0))),""))</f>
        <v/>
      </c>
      <c r="I276" s="12" t="n"/>
      <c r="J276" s="13" t="n"/>
      <c r="K276" s="13" t="n"/>
      <c r="L276" s="11" t="n"/>
      <c r="M276" s="14">
        <f>IF(A276="","",IF(D276&lt;&gt;"",SUMIFS($K$2:$K$501,$D$2:$D$501,D276),SUMIFS($K$2:$K$501,$E$2:$E$501,E276)))</f>
        <v/>
      </c>
      <c r="N276" s="14">
        <f>IF(F276="","",MAX(0,F276-M276))</f>
        <v/>
      </c>
      <c r="O276" s="6">
        <f>IF(A276="","",IF(AND(I276&lt;&gt;"",I276&gt;H276),"是",IF(AND(TODAY()&gt;H276,N276&gt;0),"是","否")))</f>
        <v/>
      </c>
      <c r="P276" s="16">
        <f>IF(A276="","",IFERROR(INDEX('激励事件明细'!$P$2:$P$501,IF(D276&lt;&gt;"",MATCH(D276,'激励事件明细'!$A$2:$A$501,0),MATCH(E276,'激励事件明细'!$B$2:$B$501,0))),""))</f>
        <v/>
      </c>
      <c r="Q276" s="6">
        <f>IF(AND(D276="",E276=""),"异常：必须关联事件编号或税额批次",IF(AND(D276&lt;&gt;"",COUNTIF('激励事件明细'!$A$2:$A$501,D276)=0),"异常：事件编号不存在",IF(AND(E276&lt;&gt;"",COUNTIF('激励事件明细'!$B$2:$B$501,E276)=0),"异常：税额批次不存在",IF(M276&gt;F276,"异常：本批次超额缴税",IF(AND(I276&lt;&gt;"",I276&gt;H276),"异常：超过事件截止日",IF(AND(P276&lt;&gt;"",TODAY()&gt;=P276,N276&gt;0),"异常：离职前未缴清","正常"))))))</f>
        <v/>
      </c>
      <c r="R276" s="11" t="n"/>
    </row>
    <row r="277">
      <c r="A277" s="6">
        <f>IF(AND(D277="",E277=""),"",IFERROR(INDEX('激励事件明细'!$C$2:$C$501,IF(D277&lt;&gt;"",MATCH(D277,'激励事件明细'!$A$2:$A$501,0),MATCH(E277,'激励事件明细'!$B$2:$B$501,0))),""))</f>
        <v/>
      </c>
      <c r="B277" s="6">
        <f>IF(A277="","",IFERROR(INDEX('激励事件明细'!$D$2:$D$501,IF(D277&lt;&gt;"",MATCH(D277,'激励事件明细'!$A$2:$A$501,0),MATCH(E277,'激励事件明细'!$B$2:$B$501,0))),""))</f>
        <v/>
      </c>
      <c r="C277" s="6">
        <f>IF(A277="","",IFERROR(INDEX('激励事件明细'!$H$2:$H$501,IF(D277&lt;&gt;"",MATCH(D277,'激励事件明细'!$A$2:$A$501,0),MATCH(E277,'激励事件明细'!$B$2:$B$501,0))),""))</f>
        <v/>
      </c>
      <c r="D277" s="11" t="n"/>
      <c r="E277" s="11" t="n"/>
      <c r="F277" s="14">
        <f>IF(A277="","",IFERROR(INDEX('激励事件明细'!$Z$2:$Z$501,IF(D277&lt;&gt;"",MATCH(D277,'激励事件明细'!$A$2:$A$501,0),MATCH(E277,'激励事件明细'!$B$2:$B$501,0))),""))</f>
        <v/>
      </c>
      <c r="G277" s="16">
        <f>IF(A277="","",IFERROR(INDEX('激励事件明细'!$AA$2:$AA$501,IF(D277&lt;&gt;"",MATCH(D277,'激励事件明细'!$A$2:$A$501,0),MATCH(E277,'激励事件明细'!$B$2:$B$501,0))),""))</f>
        <v/>
      </c>
      <c r="H277" s="16">
        <f>IF(A277="","",IFERROR(INDEX('激励事件明细'!$AB$2:$AB$501,IF(D277&lt;&gt;"",MATCH(D277,'激励事件明细'!$A$2:$A$501,0),MATCH(E277,'激励事件明细'!$B$2:$B$501,0))),""))</f>
        <v/>
      </c>
      <c r="I277" s="12" t="n"/>
      <c r="J277" s="13" t="n"/>
      <c r="K277" s="13" t="n"/>
      <c r="L277" s="11" t="n"/>
      <c r="M277" s="14">
        <f>IF(A277="","",IF(D277&lt;&gt;"",SUMIFS($K$2:$K$501,$D$2:$D$501,D277),SUMIFS($K$2:$K$501,$E$2:$E$501,E277)))</f>
        <v/>
      </c>
      <c r="N277" s="14">
        <f>IF(F277="","",MAX(0,F277-M277))</f>
        <v/>
      </c>
      <c r="O277" s="6">
        <f>IF(A277="","",IF(AND(I277&lt;&gt;"",I277&gt;H277),"是",IF(AND(TODAY()&gt;H277,N277&gt;0),"是","否")))</f>
        <v/>
      </c>
      <c r="P277" s="16">
        <f>IF(A277="","",IFERROR(INDEX('激励事件明细'!$P$2:$P$501,IF(D277&lt;&gt;"",MATCH(D277,'激励事件明细'!$A$2:$A$501,0),MATCH(E277,'激励事件明细'!$B$2:$B$501,0))),""))</f>
        <v/>
      </c>
      <c r="Q277" s="6">
        <f>IF(AND(D277="",E277=""),"异常：必须关联事件编号或税额批次",IF(AND(D277&lt;&gt;"",COUNTIF('激励事件明细'!$A$2:$A$501,D277)=0),"异常：事件编号不存在",IF(AND(E277&lt;&gt;"",COUNTIF('激励事件明细'!$B$2:$B$501,E277)=0),"异常：税额批次不存在",IF(M277&gt;F277,"异常：本批次超额缴税",IF(AND(I277&lt;&gt;"",I277&gt;H277),"异常：超过事件截止日",IF(AND(P277&lt;&gt;"",TODAY()&gt;=P277,N277&gt;0),"异常：离职前未缴清","正常"))))))</f>
        <v/>
      </c>
      <c r="R277" s="11" t="n"/>
    </row>
    <row r="278">
      <c r="A278" s="6">
        <f>IF(AND(D278="",E278=""),"",IFERROR(INDEX('激励事件明细'!$C$2:$C$501,IF(D278&lt;&gt;"",MATCH(D278,'激励事件明细'!$A$2:$A$501,0),MATCH(E278,'激励事件明细'!$B$2:$B$501,0))),""))</f>
        <v/>
      </c>
      <c r="B278" s="6">
        <f>IF(A278="","",IFERROR(INDEX('激励事件明细'!$D$2:$D$501,IF(D278&lt;&gt;"",MATCH(D278,'激励事件明细'!$A$2:$A$501,0),MATCH(E278,'激励事件明细'!$B$2:$B$501,0))),""))</f>
        <v/>
      </c>
      <c r="C278" s="6">
        <f>IF(A278="","",IFERROR(INDEX('激励事件明细'!$H$2:$H$501,IF(D278&lt;&gt;"",MATCH(D278,'激励事件明细'!$A$2:$A$501,0),MATCH(E278,'激励事件明细'!$B$2:$B$501,0))),""))</f>
        <v/>
      </c>
      <c r="D278" s="11" t="n"/>
      <c r="E278" s="11" t="n"/>
      <c r="F278" s="14">
        <f>IF(A278="","",IFERROR(INDEX('激励事件明细'!$Z$2:$Z$501,IF(D278&lt;&gt;"",MATCH(D278,'激励事件明细'!$A$2:$A$501,0),MATCH(E278,'激励事件明细'!$B$2:$B$501,0))),""))</f>
        <v/>
      </c>
      <c r="G278" s="16">
        <f>IF(A278="","",IFERROR(INDEX('激励事件明细'!$AA$2:$AA$501,IF(D278&lt;&gt;"",MATCH(D278,'激励事件明细'!$A$2:$A$501,0),MATCH(E278,'激励事件明细'!$B$2:$B$501,0))),""))</f>
        <v/>
      </c>
      <c r="H278" s="16">
        <f>IF(A278="","",IFERROR(INDEX('激励事件明细'!$AB$2:$AB$501,IF(D278&lt;&gt;"",MATCH(D278,'激励事件明细'!$A$2:$A$501,0),MATCH(E278,'激励事件明细'!$B$2:$B$501,0))),""))</f>
        <v/>
      </c>
      <c r="I278" s="12" t="n"/>
      <c r="J278" s="13" t="n"/>
      <c r="K278" s="13" t="n"/>
      <c r="L278" s="11" t="n"/>
      <c r="M278" s="14">
        <f>IF(A278="","",IF(D278&lt;&gt;"",SUMIFS($K$2:$K$501,$D$2:$D$501,D278),SUMIFS($K$2:$K$501,$E$2:$E$501,E278)))</f>
        <v/>
      </c>
      <c r="N278" s="14">
        <f>IF(F278="","",MAX(0,F278-M278))</f>
        <v/>
      </c>
      <c r="O278" s="6">
        <f>IF(A278="","",IF(AND(I278&lt;&gt;"",I278&gt;H278),"是",IF(AND(TODAY()&gt;H278,N278&gt;0),"是","否")))</f>
        <v/>
      </c>
      <c r="P278" s="16">
        <f>IF(A278="","",IFERROR(INDEX('激励事件明细'!$P$2:$P$501,IF(D278&lt;&gt;"",MATCH(D278,'激励事件明细'!$A$2:$A$501,0),MATCH(E278,'激励事件明细'!$B$2:$B$501,0))),""))</f>
        <v/>
      </c>
      <c r="Q278" s="6">
        <f>IF(AND(D278="",E278=""),"异常：必须关联事件编号或税额批次",IF(AND(D278&lt;&gt;"",COUNTIF('激励事件明细'!$A$2:$A$501,D278)=0),"异常：事件编号不存在",IF(AND(E278&lt;&gt;"",COUNTIF('激励事件明细'!$B$2:$B$501,E278)=0),"异常：税额批次不存在",IF(M278&gt;F278,"异常：本批次超额缴税",IF(AND(I278&lt;&gt;"",I278&gt;H278),"异常：超过事件截止日",IF(AND(P278&lt;&gt;"",TODAY()&gt;=P278,N278&gt;0),"异常：离职前未缴清","正常"))))))</f>
        <v/>
      </c>
      <c r="R278" s="11" t="n"/>
    </row>
    <row r="279">
      <c r="A279" s="6">
        <f>IF(AND(D279="",E279=""),"",IFERROR(INDEX('激励事件明细'!$C$2:$C$501,IF(D279&lt;&gt;"",MATCH(D279,'激励事件明细'!$A$2:$A$501,0),MATCH(E279,'激励事件明细'!$B$2:$B$501,0))),""))</f>
        <v/>
      </c>
      <c r="B279" s="6">
        <f>IF(A279="","",IFERROR(INDEX('激励事件明细'!$D$2:$D$501,IF(D279&lt;&gt;"",MATCH(D279,'激励事件明细'!$A$2:$A$501,0),MATCH(E279,'激励事件明细'!$B$2:$B$501,0))),""))</f>
        <v/>
      </c>
      <c r="C279" s="6">
        <f>IF(A279="","",IFERROR(INDEX('激励事件明细'!$H$2:$H$501,IF(D279&lt;&gt;"",MATCH(D279,'激励事件明细'!$A$2:$A$501,0),MATCH(E279,'激励事件明细'!$B$2:$B$501,0))),""))</f>
        <v/>
      </c>
      <c r="D279" s="11" t="n"/>
      <c r="E279" s="11" t="n"/>
      <c r="F279" s="14">
        <f>IF(A279="","",IFERROR(INDEX('激励事件明细'!$Z$2:$Z$501,IF(D279&lt;&gt;"",MATCH(D279,'激励事件明细'!$A$2:$A$501,0),MATCH(E279,'激励事件明细'!$B$2:$B$501,0))),""))</f>
        <v/>
      </c>
      <c r="G279" s="16">
        <f>IF(A279="","",IFERROR(INDEX('激励事件明细'!$AA$2:$AA$501,IF(D279&lt;&gt;"",MATCH(D279,'激励事件明细'!$A$2:$A$501,0),MATCH(E279,'激励事件明细'!$B$2:$B$501,0))),""))</f>
        <v/>
      </c>
      <c r="H279" s="16">
        <f>IF(A279="","",IFERROR(INDEX('激励事件明细'!$AB$2:$AB$501,IF(D279&lt;&gt;"",MATCH(D279,'激励事件明细'!$A$2:$A$501,0),MATCH(E279,'激励事件明细'!$B$2:$B$501,0))),""))</f>
        <v/>
      </c>
      <c r="I279" s="12" t="n"/>
      <c r="J279" s="13" t="n"/>
      <c r="K279" s="13" t="n"/>
      <c r="L279" s="11" t="n"/>
      <c r="M279" s="14">
        <f>IF(A279="","",IF(D279&lt;&gt;"",SUMIFS($K$2:$K$501,$D$2:$D$501,D279),SUMIFS($K$2:$K$501,$E$2:$E$501,E279)))</f>
        <v/>
      </c>
      <c r="N279" s="14">
        <f>IF(F279="","",MAX(0,F279-M279))</f>
        <v/>
      </c>
      <c r="O279" s="6">
        <f>IF(A279="","",IF(AND(I279&lt;&gt;"",I279&gt;H279),"是",IF(AND(TODAY()&gt;H279,N279&gt;0),"是","否")))</f>
        <v/>
      </c>
      <c r="P279" s="16">
        <f>IF(A279="","",IFERROR(INDEX('激励事件明细'!$P$2:$P$501,IF(D279&lt;&gt;"",MATCH(D279,'激励事件明细'!$A$2:$A$501,0),MATCH(E279,'激励事件明细'!$B$2:$B$501,0))),""))</f>
        <v/>
      </c>
      <c r="Q279" s="6">
        <f>IF(AND(D279="",E279=""),"异常：必须关联事件编号或税额批次",IF(AND(D279&lt;&gt;"",COUNTIF('激励事件明细'!$A$2:$A$501,D279)=0),"异常：事件编号不存在",IF(AND(E279&lt;&gt;"",COUNTIF('激励事件明细'!$B$2:$B$501,E279)=0),"异常：税额批次不存在",IF(M279&gt;F279,"异常：本批次超额缴税",IF(AND(I279&lt;&gt;"",I279&gt;H279),"异常：超过事件截止日",IF(AND(P279&lt;&gt;"",TODAY()&gt;=P279,N279&gt;0),"异常：离职前未缴清","正常"))))))</f>
        <v/>
      </c>
      <c r="R279" s="11" t="n"/>
    </row>
    <row r="280">
      <c r="A280" s="6">
        <f>IF(AND(D280="",E280=""),"",IFERROR(INDEX('激励事件明细'!$C$2:$C$501,IF(D280&lt;&gt;"",MATCH(D280,'激励事件明细'!$A$2:$A$501,0),MATCH(E280,'激励事件明细'!$B$2:$B$501,0))),""))</f>
        <v/>
      </c>
      <c r="B280" s="6">
        <f>IF(A280="","",IFERROR(INDEX('激励事件明细'!$D$2:$D$501,IF(D280&lt;&gt;"",MATCH(D280,'激励事件明细'!$A$2:$A$501,0),MATCH(E280,'激励事件明细'!$B$2:$B$501,0))),""))</f>
        <v/>
      </c>
      <c r="C280" s="6">
        <f>IF(A280="","",IFERROR(INDEX('激励事件明细'!$H$2:$H$501,IF(D280&lt;&gt;"",MATCH(D280,'激励事件明细'!$A$2:$A$501,0),MATCH(E280,'激励事件明细'!$B$2:$B$501,0))),""))</f>
        <v/>
      </c>
      <c r="D280" s="11" t="n"/>
      <c r="E280" s="11" t="n"/>
      <c r="F280" s="14">
        <f>IF(A280="","",IFERROR(INDEX('激励事件明细'!$Z$2:$Z$501,IF(D280&lt;&gt;"",MATCH(D280,'激励事件明细'!$A$2:$A$501,0),MATCH(E280,'激励事件明细'!$B$2:$B$501,0))),""))</f>
        <v/>
      </c>
      <c r="G280" s="16">
        <f>IF(A280="","",IFERROR(INDEX('激励事件明细'!$AA$2:$AA$501,IF(D280&lt;&gt;"",MATCH(D280,'激励事件明细'!$A$2:$A$501,0),MATCH(E280,'激励事件明细'!$B$2:$B$501,0))),""))</f>
        <v/>
      </c>
      <c r="H280" s="16">
        <f>IF(A280="","",IFERROR(INDEX('激励事件明细'!$AB$2:$AB$501,IF(D280&lt;&gt;"",MATCH(D280,'激励事件明细'!$A$2:$A$501,0),MATCH(E280,'激励事件明细'!$B$2:$B$501,0))),""))</f>
        <v/>
      </c>
      <c r="I280" s="12" t="n"/>
      <c r="J280" s="13" t="n"/>
      <c r="K280" s="13" t="n"/>
      <c r="L280" s="11" t="n"/>
      <c r="M280" s="14">
        <f>IF(A280="","",IF(D280&lt;&gt;"",SUMIFS($K$2:$K$501,$D$2:$D$501,D280),SUMIFS($K$2:$K$501,$E$2:$E$501,E280)))</f>
        <v/>
      </c>
      <c r="N280" s="14">
        <f>IF(F280="","",MAX(0,F280-M280))</f>
        <v/>
      </c>
      <c r="O280" s="6">
        <f>IF(A280="","",IF(AND(I280&lt;&gt;"",I280&gt;H280),"是",IF(AND(TODAY()&gt;H280,N280&gt;0),"是","否")))</f>
        <v/>
      </c>
      <c r="P280" s="16">
        <f>IF(A280="","",IFERROR(INDEX('激励事件明细'!$P$2:$P$501,IF(D280&lt;&gt;"",MATCH(D280,'激励事件明细'!$A$2:$A$501,0),MATCH(E280,'激励事件明细'!$B$2:$B$501,0))),""))</f>
        <v/>
      </c>
      <c r="Q280" s="6">
        <f>IF(AND(D280="",E280=""),"异常：必须关联事件编号或税额批次",IF(AND(D280&lt;&gt;"",COUNTIF('激励事件明细'!$A$2:$A$501,D280)=0),"异常：事件编号不存在",IF(AND(E280&lt;&gt;"",COUNTIF('激励事件明细'!$B$2:$B$501,E280)=0),"异常：税额批次不存在",IF(M280&gt;F280,"异常：本批次超额缴税",IF(AND(I280&lt;&gt;"",I280&gt;H280),"异常：超过事件截止日",IF(AND(P280&lt;&gt;"",TODAY()&gt;=P280,N280&gt;0),"异常：离职前未缴清","正常"))))))</f>
        <v/>
      </c>
      <c r="R280" s="11" t="n"/>
    </row>
    <row r="281">
      <c r="A281" s="6">
        <f>IF(AND(D281="",E281=""),"",IFERROR(INDEX('激励事件明细'!$C$2:$C$501,IF(D281&lt;&gt;"",MATCH(D281,'激励事件明细'!$A$2:$A$501,0),MATCH(E281,'激励事件明细'!$B$2:$B$501,0))),""))</f>
        <v/>
      </c>
      <c r="B281" s="6">
        <f>IF(A281="","",IFERROR(INDEX('激励事件明细'!$D$2:$D$501,IF(D281&lt;&gt;"",MATCH(D281,'激励事件明细'!$A$2:$A$501,0),MATCH(E281,'激励事件明细'!$B$2:$B$501,0))),""))</f>
        <v/>
      </c>
      <c r="C281" s="6">
        <f>IF(A281="","",IFERROR(INDEX('激励事件明细'!$H$2:$H$501,IF(D281&lt;&gt;"",MATCH(D281,'激励事件明细'!$A$2:$A$501,0),MATCH(E281,'激励事件明细'!$B$2:$B$501,0))),""))</f>
        <v/>
      </c>
      <c r="D281" s="11" t="n"/>
      <c r="E281" s="11" t="n"/>
      <c r="F281" s="14">
        <f>IF(A281="","",IFERROR(INDEX('激励事件明细'!$Z$2:$Z$501,IF(D281&lt;&gt;"",MATCH(D281,'激励事件明细'!$A$2:$A$501,0),MATCH(E281,'激励事件明细'!$B$2:$B$501,0))),""))</f>
        <v/>
      </c>
      <c r="G281" s="16">
        <f>IF(A281="","",IFERROR(INDEX('激励事件明细'!$AA$2:$AA$501,IF(D281&lt;&gt;"",MATCH(D281,'激励事件明细'!$A$2:$A$501,0),MATCH(E281,'激励事件明细'!$B$2:$B$501,0))),""))</f>
        <v/>
      </c>
      <c r="H281" s="16">
        <f>IF(A281="","",IFERROR(INDEX('激励事件明细'!$AB$2:$AB$501,IF(D281&lt;&gt;"",MATCH(D281,'激励事件明细'!$A$2:$A$501,0),MATCH(E281,'激励事件明细'!$B$2:$B$501,0))),""))</f>
        <v/>
      </c>
      <c r="I281" s="12" t="n"/>
      <c r="J281" s="13" t="n"/>
      <c r="K281" s="13" t="n"/>
      <c r="L281" s="11" t="n"/>
      <c r="M281" s="14">
        <f>IF(A281="","",IF(D281&lt;&gt;"",SUMIFS($K$2:$K$501,$D$2:$D$501,D281),SUMIFS($K$2:$K$501,$E$2:$E$501,E281)))</f>
        <v/>
      </c>
      <c r="N281" s="14">
        <f>IF(F281="","",MAX(0,F281-M281))</f>
        <v/>
      </c>
      <c r="O281" s="6">
        <f>IF(A281="","",IF(AND(I281&lt;&gt;"",I281&gt;H281),"是",IF(AND(TODAY()&gt;H281,N281&gt;0),"是","否")))</f>
        <v/>
      </c>
      <c r="P281" s="16">
        <f>IF(A281="","",IFERROR(INDEX('激励事件明细'!$P$2:$P$501,IF(D281&lt;&gt;"",MATCH(D281,'激励事件明细'!$A$2:$A$501,0),MATCH(E281,'激励事件明细'!$B$2:$B$501,0))),""))</f>
        <v/>
      </c>
      <c r="Q281" s="6">
        <f>IF(AND(D281="",E281=""),"异常：必须关联事件编号或税额批次",IF(AND(D281&lt;&gt;"",COUNTIF('激励事件明细'!$A$2:$A$501,D281)=0),"异常：事件编号不存在",IF(AND(E281&lt;&gt;"",COUNTIF('激励事件明细'!$B$2:$B$501,E281)=0),"异常：税额批次不存在",IF(M281&gt;F281,"异常：本批次超额缴税",IF(AND(I281&lt;&gt;"",I281&gt;H281),"异常：超过事件截止日",IF(AND(P281&lt;&gt;"",TODAY()&gt;=P281,N281&gt;0),"异常：离职前未缴清","正常"))))))</f>
        <v/>
      </c>
      <c r="R281" s="11" t="n"/>
    </row>
    <row r="282">
      <c r="A282" s="6">
        <f>IF(AND(D282="",E282=""),"",IFERROR(INDEX('激励事件明细'!$C$2:$C$501,IF(D282&lt;&gt;"",MATCH(D282,'激励事件明细'!$A$2:$A$501,0),MATCH(E282,'激励事件明细'!$B$2:$B$501,0))),""))</f>
        <v/>
      </c>
      <c r="B282" s="6">
        <f>IF(A282="","",IFERROR(INDEX('激励事件明细'!$D$2:$D$501,IF(D282&lt;&gt;"",MATCH(D282,'激励事件明细'!$A$2:$A$501,0),MATCH(E282,'激励事件明细'!$B$2:$B$501,0))),""))</f>
        <v/>
      </c>
      <c r="C282" s="6">
        <f>IF(A282="","",IFERROR(INDEX('激励事件明细'!$H$2:$H$501,IF(D282&lt;&gt;"",MATCH(D282,'激励事件明细'!$A$2:$A$501,0),MATCH(E282,'激励事件明细'!$B$2:$B$501,0))),""))</f>
        <v/>
      </c>
      <c r="D282" s="11" t="n"/>
      <c r="E282" s="11" t="n"/>
      <c r="F282" s="14">
        <f>IF(A282="","",IFERROR(INDEX('激励事件明细'!$Z$2:$Z$501,IF(D282&lt;&gt;"",MATCH(D282,'激励事件明细'!$A$2:$A$501,0),MATCH(E282,'激励事件明细'!$B$2:$B$501,0))),""))</f>
        <v/>
      </c>
      <c r="G282" s="16">
        <f>IF(A282="","",IFERROR(INDEX('激励事件明细'!$AA$2:$AA$501,IF(D282&lt;&gt;"",MATCH(D282,'激励事件明细'!$A$2:$A$501,0),MATCH(E282,'激励事件明细'!$B$2:$B$501,0))),""))</f>
        <v/>
      </c>
      <c r="H282" s="16">
        <f>IF(A282="","",IFERROR(INDEX('激励事件明细'!$AB$2:$AB$501,IF(D282&lt;&gt;"",MATCH(D282,'激励事件明细'!$A$2:$A$501,0),MATCH(E282,'激励事件明细'!$B$2:$B$501,0))),""))</f>
        <v/>
      </c>
      <c r="I282" s="12" t="n"/>
      <c r="J282" s="13" t="n"/>
      <c r="K282" s="13" t="n"/>
      <c r="L282" s="11" t="n"/>
      <c r="M282" s="14">
        <f>IF(A282="","",IF(D282&lt;&gt;"",SUMIFS($K$2:$K$501,$D$2:$D$501,D282),SUMIFS($K$2:$K$501,$E$2:$E$501,E282)))</f>
        <v/>
      </c>
      <c r="N282" s="14">
        <f>IF(F282="","",MAX(0,F282-M282))</f>
        <v/>
      </c>
      <c r="O282" s="6">
        <f>IF(A282="","",IF(AND(I282&lt;&gt;"",I282&gt;H282),"是",IF(AND(TODAY()&gt;H282,N282&gt;0),"是","否")))</f>
        <v/>
      </c>
      <c r="P282" s="16">
        <f>IF(A282="","",IFERROR(INDEX('激励事件明细'!$P$2:$P$501,IF(D282&lt;&gt;"",MATCH(D282,'激励事件明细'!$A$2:$A$501,0),MATCH(E282,'激励事件明细'!$B$2:$B$501,0))),""))</f>
        <v/>
      </c>
      <c r="Q282" s="6">
        <f>IF(AND(D282="",E282=""),"异常：必须关联事件编号或税额批次",IF(AND(D282&lt;&gt;"",COUNTIF('激励事件明细'!$A$2:$A$501,D282)=0),"异常：事件编号不存在",IF(AND(E282&lt;&gt;"",COUNTIF('激励事件明细'!$B$2:$B$501,E282)=0),"异常：税额批次不存在",IF(M282&gt;F282,"异常：本批次超额缴税",IF(AND(I282&lt;&gt;"",I282&gt;H282),"异常：超过事件截止日",IF(AND(P282&lt;&gt;"",TODAY()&gt;=P282,N282&gt;0),"异常：离职前未缴清","正常"))))))</f>
        <v/>
      </c>
      <c r="R282" s="11" t="n"/>
    </row>
    <row r="283">
      <c r="A283" s="6">
        <f>IF(AND(D283="",E283=""),"",IFERROR(INDEX('激励事件明细'!$C$2:$C$501,IF(D283&lt;&gt;"",MATCH(D283,'激励事件明细'!$A$2:$A$501,0),MATCH(E283,'激励事件明细'!$B$2:$B$501,0))),""))</f>
        <v/>
      </c>
      <c r="B283" s="6">
        <f>IF(A283="","",IFERROR(INDEX('激励事件明细'!$D$2:$D$501,IF(D283&lt;&gt;"",MATCH(D283,'激励事件明细'!$A$2:$A$501,0),MATCH(E283,'激励事件明细'!$B$2:$B$501,0))),""))</f>
        <v/>
      </c>
      <c r="C283" s="6">
        <f>IF(A283="","",IFERROR(INDEX('激励事件明细'!$H$2:$H$501,IF(D283&lt;&gt;"",MATCH(D283,'激励事件明细'!$A$2:$A$501,0),MATCH(E283,'激励事件明细'!$B$2:$B$501,0))),""))</f>
        <v/>
      </c>
      <c r="D283" s="11" t="n"/>
      <c r="E283" s="11" t="n"/>
      <c r="F283" s="14">
        <f>IF(A283="","",IFERROR(INDEX('激励事件明细'!$Z$2:$Z$501,IF(D283&lt;&gt;"",MATCH(D283,'激励事件明细'!$A$2:$A$501,0),MATCH(E283,'激励事件明细'!$B$2:$B$501,0))),""))</f>
        <v/>
      </c>
      <c r="G283" s="16">
        <f>IF(A283="","",IFERROR(INDEX('激励事件明细'!$AA$2:$AA$501,IF(D283&lt;&gt;"",MATCH(D283,'激励事件明细'!$A$2:$A$501,0),MATCH(E283,'激励事件明细'!$B$2:$B$501,0))),""))</f>
        <v/>
      </c>
      <c r="H283" s="16">
        <f>IF(A283="","",IFERROR(INDEX('激励事件明细'!$AB$2:$AB$501,IF(D283&lt;&gt;"",MATCH(D283,'激励事件明细'!$A$2:$A$501,0),MATCH(E283,'激励事件明细'!$B$2:$B$501,0))),""))</f>
        <v/>
      </c>
      <c r="I283" s="12" t="n"/>
      <c r="J283" s="13" t="n"/>
      <c r="K283" s="13" t="n"/>
      <c r="L283" s="11" t="n"/>
      <c r="M283" s="14">
        <f>IF(A283="","",IF(D283&lt;&gt;"",SUMIFS($K$2:$K$501,$D$2:$D$501,D283),SUMIFS($K$2:$K$501,$E$2:$E$501,E283)))</f>
        <v/>
      </c>
      <c r="N283" s="14">
        <f>IF(F283="","",MAX(0,F283-M283))</f>
        <v/>
      </c>
      <c r="O283" s="6">
        <f>IF(A283="","",IF(AND(I283&lt;&gt;"",I283&gt;H283),"是",IF(AND(TODAY()&gt;H283,N283&gt;0),"是","否")))</f>
        <v/>
      </c>
      <c r="P283" s="16">
        <f>IF(A283="","",IFERROR(INDEX('激励事件明细'!$P$2:$P$501,IF(D283&lt;&gt;"",MATCH(D283,'激励事件明细'!$A$2:$A$501,0),MATCH(E283,'激励事件明细'!$B$2:$B$501,0))),""))</f>
        <v/>
      </c>
      <c r="Q283" s="6">
        <f>IF(AND(D283="",E283=""),"异常：必须关联事件编号或税额批次",IF(AND(D283&lt;&gt;"",COUNTIF('激励事件明细'!$A$2:$A$501,D283)=0),"异常：事件编号不存在",IF(AND(E283&lt;&gt;"",COUNTIF('激励事件明细'!$B$2:$B$501,E283)=0),"异常：税额批次不存在",IF(M283&gt;F283,"异常：本批次超额缴税",IF(AND(I283&lt;&gt;"",I283&gt;H283),"异常：超过事件截止日",IF(AND(P283&lt;&gt;"",TODAY()&gt;=P283,N283&gt;0),"异常：离职前未缴清","正常"))))))</f>
        <v/>
      </c>
      <c r="R283" s="11" t="n"/>
    </row>
    <row r="284">
      <c r="A284" s="6">
        <f>IF(AND(D284="",E284=""),"",IFERROR(INDEX('激励事件明细'!$C$2:$C$501,IF(D284&lt;&gt;"",MATCH(D284,'激励事件明细'!$A$2:$A$501,0),MATCH(E284,'激励事件明细'!$B$2:$B$501,0))),""))</f>
        <v/>
      </c>
      <c r="B284" s="6">
        <f>IF(A284="","",IFERROR(INDEX('激励事件明细'!$D$2:$D$501,IF(D284&lt;&gt;"",MATCH(D284,'激励事件明细'!$A$2:$A$501,0),MATCH(E284,'激励事件明细'!$B$2:$B$501,0))),""))</f>
        <v/>
      </c>
      <c r="C284" s="6">
        <f>IF(A284="","",IFERROR(INDEX('激励事件明细'!$H$2:$H$501,IF(D284&lt;&gt;"",MATCH(D284,'激励事件明细'!$A$2:$A$501,0),MATCH(E284,'激励事件明细'!$B$2:$B$501,0))),""))</f>
        <v/>
      </c>
      <c r="D284" s="11" t="n"/>
      <c r="E284" s="11" t="n"/>
      <c r="F284" s="14">
        <f>IF(A284="","",IFERROR(INDEX('激励事件明细'!$Z$2:$Z$501,IF(D284&lt;&gt;"",MATCH(D284,'激励事件明细'!$A$2:$A$501,0),MATCH(E284,'激励事件明细'!$B$2:$B$501,0))),""))</f>
        <v/>
      </c>
      <c r="G284" s="16">
        <f>IF(A284="","",IFERROR(INDEX('激励事件明细'!$AA$2:$AA$501,IF(D284&lt;&gt;"",MATCH(D284,'激励事件明细'!$A$2:$A$501,0),MATCH(E284,'激励事件明细'!$B$2:$B$501,0))),""))</f>
        <v/>
      </c>
      <c r="H284" s="16">
        <f>IF(A284="","",IFERROR(INDEX('激励事件明细'!$AB$2:$AB$501,IF(D284&lt;&gt;"",MATCH(D284,'激励事件明细'!$A$2:$A$501,0),MATCH(E284,'激励事件明细'!$B$2:$B$501,0))),""))</f>
        <v/>
      </c>
      <c r="I284" s="12" t="n"/>
      <c r="J284" s="13" t="n"/>
      <c r="K284" s="13" t="n"/>
      <c r="L284" s="11" t="n"/>
      <c r="M284" s="14">
        <f>IF(A284="","",IF(D284&lt;&gt;"",SUMIFS($K$2:$K$501,$D$2:$D$501,D284),SUMIFS($K$2:$K$501,$E$2:$E$501,E284)))</f>
        <v/>
      </c>
      <c r="N284" s="14">
        <f>IF(F284="","",MAX(0,F284-M284))</f>
        <v/>
      </c>
      <c r="O284" s="6">
        <f>IF(A284="","",IF(AND(I284&lt;&gt;"",I284&gt;H284),"是",IF(AND(TODAY()&gt;H284,N284&gt;0),"是","否")))</f>
        <v/>
      </c>
      <c r="P284" s="16">
        <f>IF(A284="","",IFERROR(INDEX('激励事件明细'!$P$2:$P$501,IF(D284&lt;&gt;"",MATCH(D284,'激励事件明细'!$A$2:$A$501,0),MATCH(E284,'激励事件明细'!$B$2:$B$501,0))),""))</f>
        <v/>
      </c>
      <c r="Q284" s="6">
        <f>IF(AND(D284="",E284=""),"异常：必须关联事件编号或税额批次",IF(AND(D284&lt;&gt;"",COUNTIF('激励事件明细'!$A$2:$A$501,D284)=0),"异常：事件编号不存在",IF(AND(E284&lt;&gt;"",COUNTIF('激励事件明细'!$B$2:$B$501,E284)=0),"异常：税额批次不存在",IF(M284&gt;F284,"异常：本批次超额缴税",IF(AND(I284&lt;&gt;"",I284&gt;H284),"异常：超过事件截止日",IF(AND(P284&lt;&gt;"",TODAY()&gt;=P284,N284&gt;0),"异常：离职前未缴清","正常"))))))</f>
        <v/>
      </c>
      <c r="R284" s="11" t="n"/>
    </row>
    <row r="285">
      <c r="A285" s="6">
        <f>IF(AND(D285="",E285=""),"",IFERROR(INDEX('激励事件明细'!$C$2:$C$501,IF(D285&lt;&gt;"",MATCH(D285,'激励事件明细'!$A$2:$A$501,0),MATCH(E285,'激励事件明细'!$B$2:$B$501,0))),""))</f>
        <v/>
      </c>
      <c r="B285" s="6">
        <f>IF(A285="","",IFERROR(INDEX('激励事件明细'!$D$2:$D$501,IF(D285&lt;&gt;"",MATCH(D285,'激励事件明细'!$A$2:$A$501,0),MATCH(E285,'激励事件明细'!$B$2:$B$501,0))),""))</f>
        <v/>
      </c>
      <c r="C285" s="6">
        <f>IF(A285="","",IFERROR(INDEX('激励事件明细'!$H$2:$H$501,IF(D285&lt;&gt;"",MATCH(D285,'激励事件明细'!$A$2:$A$501,0),MATCH(E285,'激励事件明细'!$B$2:$B$501,0))),""))</f>
        <v/>
      </c>
      <c r="D285" s="11" t="n"/>
      <c r="E285" s="11" t="n"/>
      <c r="F285" s="14">
        <f>IF(A285="","",IFERROR(INDEX('激励事件明细'!$Z$2:$Z$501,IF(D285&lt;&gt;"",MATCH(D285,'激励事件明细'!$A$2:$A$501,0),MATCH(E285,'激励事件明细'!$B$2:$B$501,0))),""))</f>
        <v/>
      </c>
      <c r="G285" s="16">
        <f>IF(A285="","",IFERROR(INDEX('激励事件明细'!$AA$2:$AA$501,IF(D285&lt;&gt;"",MATCH(D285,'激励事件明细'!$A$2:$A$501,0),MATCH(E285,'激励事件明细'!$B$2:$B$501,0))),""))</f>
        <v/>
      </c>
      <c r="H285" s="16">
        <f>IF(A285="","",IFERROR(INDEX('激励事件明细'!$AB$2:$AB$501,IF(D285&lt;&gt;"",MATCH(D285,'激励事件明细'!$A$2:$A$501,0),MATCH(E285,'激励事件明细'!$B$2:$B$501,0))),""))</f>
        <v/>
      </c>
      <c r="I285" s="12" t="n"/>
      <c r="J285" s="13" t="n"/>
      <c r="K285" s="13" t="n"/>
      <c r="L285" s="11" t="n"/>
      <c r="M285" s="14">
        <f>IF(A285="","",IF(D285&lt;&gt;"",SUMIFS($K$2:$K$501,$D$2:$D$501,D285),SUMIFS($K$2:$K$501,$E$2:$E$501,E285)))</f>
        <v/>
      </c>
      <c r="N285" s="14">
        <f>IF(F285="","",MAX(0,F285-M285))</f>
        <v/>
      </c>
      <c r="O285" s="6">
        <f>IF(A285="","",IF(AND(I285&lt;&gt;"",I285&gt;H285),"是",IF(AND(TODAY()&gt;H285,N285&gt;0),"是","否")))</f>
        <v/>
      </c>
      <c r="P285" s="16">
        <f>IF(A285="","",IFERROR(INDEX('激励事件明细'!$P$2:$P$501,IF(D285&lt;&gt;"",MATCH(D285,'激励事件明细'!$A$2:$A$501,0),MATCH(E285,'激励事件明细'!$B$2:$B$501,0))),""))</f>
        <v/>
      </c>
      <c r="Q285" s="6">
        <f>IF(AND(D285="",E285=""),"异常：必须关联事件编号或税额批次",IF(AND(D285&lt;&gt;"",COUNTIF('激励事件明细'!$A$2:$A$501,D285)=0),"异常：事件编号不存在",IF(AND(E285&lt;&gt;"",COUNTIF('激励事件明细'!$B$2:$B$501,E285)=0),"异常：税额批次不存在",IF(M285&gt;F285,"异常：本批次超额缴税",IF(AND(I285&lt;&gt;"",I285&gt;H285),"异常：超过事件截止日",IF(AND(P285&lt;&gt;"",TODAY()&gt;=P285,N285&gt;0),"异常：离职前未缴清","正常"))))))</f>
        <v/>
      </c>
      <c r="R285" s="11" t="n"/>
    </row>
    <row r="286">
      <c r="A286" s="6">
        <f>IF(AND(D286="",E286=""),"",IFERROR(INDEX('激励事件明细'!$C$2:$C$501,IF(D286&lt;&gt;"",MATCH(D286,'激励事件明细'!$A$2:$A$501,0),MATCH(E286,'激励事件明细'!$B$2:$B$501,0))),""))</f>
        <v/>
      </c>
      <c r="B286" s="6">
        <f>IF(A286="","",IFERROR(INDEX('激励事件明细'!$D$2:$D$501,IF(D286&lt;&gt;"",MATCH(D286,'激励事件明细'!$A$2:$A$501,0),MATCH(E286,'激励事件明细'!$B$2:$B$501,0))),""))</f>
        <v/>
      </c>
      <c r="C286" s="6">
        <f>IF(A286="","",IFERROR(INDEX('激励事件明细'!$H$2:$H$501,IF(D286&lt;&gt;"",MATCH(D286,'激励事件明细'!$A$2:$A$501,0),MATCH(E286,'激励事件明细'!$B$2:$B$501,0))),""))</f>
        <v/>
      </c>
      <c r="D286" s="11" t="n"/>
      <c r="E286" s="11" t="n"/>
      <c r="F286" s="14">
        <f>IF(A286="","",IFERROR(INDEX('激励事件明细'!$Z$2:$Z$501,IF(D286&lt;&gt;"",MATCH(D286,'激励事件明细'!$A$2:$A$501,0),MATCH(E286,'激励事件明细'!$B$2:$B$501,0))),""))</f>
        <v/>
      </c>
      <c r="G286" s="16">
        <f>IF(A286="","",IFERROR(INDEX('激励事件明细'!$AA$2:$AA$501,IF(D286&lt;&gt;"",MATCH(D286,'激励事件明细'!$A$2:$A$501,0),MATCH(E286,'激励事件明细'!$B$2:$B$501,0))),""))</f>
        <v/>
      </c>
      <c r="H286" s="16">
        <f>IF(A286="","",IFERROR(INDEX('激励事件明细'!$AB$2:$AB$501,IF(D286&lt;&gt;"",MATCH(D286,'激励事件明细'!$A$2:$A$501,0),MATCH(E286,'激励事件明细'!$B$2:$B$501,0))),""))</f>
        <v/>
      </c>
      <c r="I286" s="12" t="n"/>
      <c r="J286" s="13" t="n"/>
      <c r="K286" s="13" t="n"/>
      <c r="L286" s="11" t="n"/>
      <c r="M286" s="14">
        <f>IF(A286="","",IF(D286&lt;&gt;"",SUMIFS($K$2:$K$501,$D$2:$D$501,D286),SUMIFS($K$2:$K$501,$E$2:$E$501,E286)))</f>
        <v/>
      </c>
      <c r="N286" s="14">
        <f>IF(F286="","",MAX(0,F286-M286))</f>
        <v/>
      </c>
      <c r="O286" s="6">
        <f>IF(A286="","",IF(AND(I286&lt;&gt;"",I286&gt;H286),"是",IF(AND(TODAY()&gt;H286,N286&gt;0),"是","否")))</f>
        <v/>
      </c>
      <c r="P286" s="16">
        <f>IF(A286="","",IFERROR(INDEX('激励事件明细'!$P$2:$P$501,IF(D286&lt;&gt;"",MATCH(D286,'激励事件明细'!$A$2:$A$501,0),MATCH(E286,'激励事件明细'!$B$2:$B$501,0))),""))</f>
        <v/>
      </c>
      <c r="Q286" s="6">
        <f>IF(AND(D286="",E286=""),"异常：必须关联事件编号或税额批次",IF(AND(D286&lt;&gt;"",COUNTIF('激励事件明细'!$A$2:$A$501,D286)=0),"异常：事件编号不存在",IF(AND(E286&lt;&gt;"",COUNTIF('激励事件明细'!$B$2:$B$501,E286)=0),"异常：税额批次不存在",IF(M286&gt;F286,"异常：本批次超额缴税",IF(AND(I286&lt;&gt;"",I286&gt;H286),"异常：超过事件截止日",IF(AND(P286&lt;&gt;"",TODAY()&gt;=P286,N286&gt;0),"异常：离职前未缴清","正常"))))))</f>
        <v/>
      </c>
      <c r="R286" s="11" t="n"/>
    </row>
    <row r="287">
      <c r="A287" s="6">
        <f>IF(AND(D287="",E287=""),"",IFERROR(INDEX('激励事件明细'!$C$2:$C$501,IF(D287&lt;&gt;"",MATCH(D287,'激励事件明细'!$A$2:$A$501,0),MATCH(E287,'激励事件明细'!$B$2:$B$501,0))),""))</f>
        <v/>
      </c>
      <c r="B287" s="6">
        <f>IF(A287="","",IFERROR(INDEX('激励事件明细'!$D$2:$D$501,IF(D287&lt;&gt;"",MATCH(D287,'激励事件明细'!$A$2:$A$501,0),MATCH(E287,'激励事件明细'!$B$2:$B$501,0))),""))</f>
        <v/>
      </c>
      <c r="C287" s="6">
        <f>IF(A287="","",IFERROR(INDEX('激励事件明细'!$H$2:$H$501,IF(D287&lt;&gt;"",MATCH(D287,'激励事件明细'!$A$2:$A$501,0),MATCH(E287,'激励事件明细'!$B$2:$B$501,0))),""))</f>
        <v/>
      </c>
      <c r="D287" s="11" t="n"/>
      <c r="E287" s="11" t="n"/>
      <c r="F287" s="14">
        <f>IF(A287="","",IFERROR(INDEX('激励事件明细'!$Z$2:$Z$501,IF(D287&lt;&gt;"",MATCH(D287,'激励事件明细'!$A$2:$A$501,0),MATCH(E287,'激励事件明细'!$B$2:$B$501,0))),""))</f>
        <v/>
      </c>
      <c r="G287" s="16">
        <f>IF(A287="","",IFERROR(INDEX('激励事件明细'!$AA$2:$AA$501,IF(D287&lt;&gt;"",MATCH(D287,'激励事件明细'!$A$2:$A$501,0),MATCH(E287,'激励事件明细'!$B$2:$B$501,0))),""))</f>
        <v/>
      </c>
      <c r="H287" s="16">
        <f>IF(A287="","",IFERROR(INDEX('激励事件明细'!$AB$2:$AB$501,IF(D287&lt;&gt;"",MATCH(D287,'激励事件明细'!$A$2:$A$501,0),MATCH(E287,'激励事件明细'!$B$2:$B$501,0))),""))</f>
        <v/>
      </c>
      <c r="I287" s="12" t="n"/>
      <c r="J287" s="13" t="n"/>
      <c r="K287" s="13" t="n"/>
      <c r="L287" s="11" t="n"/>
      <c r="M287" s="14">
        <f>IF(A287="","",IF(D287&lt;&gt;"",SUMIFS($K$2:$K$501,$D$2:$D$501,D287),SUMIFS($K$2:$K$501,$E$2:$E$501,E287)))</f>
        <v/>
      </c>
      <c r="N287" s="14">
        <f>IF(F287="","",MAX(0,F287-M287))</f>
        <v/>
      </c>
      <c r="O287" s="6">
        <f>IF(A287="","",IF(AND(I287&lt;&gt;"",I287&gt;H287),"是",IF(AND(TODAY()&gt;H287,N287&gt;0),"是","否")))</f>
        <v/>
      </c>
      <c r="P287" s="16">
        <f>IF(A287="","",IFERROR(INDEX('激励事件明细'!$P$2:$P$501,IF(D287&lt;&gt;"",MATCH(D287,'激励事件明细'!$A$2:$A$501,0),MATCH(E287,'激励事件明细'!$B$2:$B$501,0))),""))</f>
        <v/>
      </c>
      <c r="Q287" s="6">
        <f>IF(AND(D287="",E287=""),"异常：必须关联事件编号或税额批次",IF(AND(D287&lt;&gt;"",COUNTIF('激励事件明细'!$A$2:$A$501,D287)=0),"异常：事件编号不存在",IF(AND(E287&lt;&gt;"",COUNTIF('激励事件明细'!$B$2:$B$501,E287)=0),"异常：税额批次不存在",IF(M287&gt;F287,"异常：本批次超额缴税",IF(AND(I287&lt;&gt;"",I287&gt;H287),"异常：超过事件截止日",IF(AND(P287&lt;&gt;"",TODAY()&gt;=P287,N287&gt;0),"异常：离职前未缴清","正常"))))))</f>
        <v/>
      </c>
      <c r="R287" s="11" t="n"/>
    </row>
    <row r="288">
      <c r="A288" s="6">
        <f>IF(AND(D288="",E288=""),"",IFERROR(INDEX('激励事件明细'!$C$2:$C$501,IF(D288&lt;&gt;"",MATCH(D288,'激励事件明细'!$A$2:$A$501,0),MATCH(E288,'激励事件明细'!$B$2:$B$501,0))),""))</f>
        <v/>
      </c>
      <c r="B288" s="6">
        <f>IF(A288="","",IFERROR(INDEX('激励事件明细'!$D$2:$D$501,IF(D288&lt;&gt;"",MATCH(D288,'激励事件明细'!$A$2:$A$501,0),MATCH(E288,'激励事件明细'!$B$2:$B$501,0))),""))</f>
        <v/>
      </c>
      <c r="C288" s="6">
        <f>IF(A288="","",IFERROR(INDEX('激励事件明细'!$H$2:$H$501,IF(D288&lt;&gt;"",MATCH(D288,'激励事件明细'!$A$2:$A$501,0),MATCH(E288,'激励事件明细'!$B$2:$B$501,0))),""))</f>
        <v/>
      </c>
      <c r="D288" s="11" t="n"/>
      <c r="E288" s="11" t="n"/>
      <c r="F288" s="14">
        <f>IF(A288="","",IFERROR(INDEX('激励事件明细'!$Z$2:$Z$501,IF(D288&lt;&gt;"",MATCH(D288,'激励事件明细'!$A$2:$A$501,0),MATCH(E288,'激励事件明细'!$B$2:$B$501,0))),""))</f>
        <v/>
      </c>
      <c r="G288" s="16">
        <f>IF(A288="","",IFERROR(INDEX('激励事件明细'!$AA$2:$AA$501,IF(D288&lt;&gt;"",MATCH(D288,'激励事件明细'!$A$2:$A$501,0),MATCH(E288,'激励事件明细'!$B$2:$B$501,0))),""))</f>
        <v/>
      </c>
      <c r="H288" s="16">
        <f>IF(A288="","",IFERROR(INDEX('激励事件明细'!$AB$2:$AB$501,IF(D288&lt;&gt;"",MATCH(D288,'激励事件明细'!$A$2:$A$501,0),MATCH(E288,'激励事件明细'!$B$2:$B$501,0))),""))</f>
        <v/>
      </c>
      <c r="I288" s="12" t="n"/>
      <c r="J288" s="13" t="n"/>
      <c r="K288" s="13" t="n"/>
      <c r="L288" s="11" t="n"/>
      <c r="M288" s="14">
        <f>IF(A288="","",IF(D288&lt;&gt;"",SUMIFS($K$2:$K$501,$D$2:$D$501,D288),SUMIFS($K$2:$K$501,$E$2:$E$501,E288)))</f>
        <v/>
      </c>
      <c r="N288" s="14">
        <f>IF(F288="","",MAX(0,F288-M288))</f>
        <v/>
      </c>
      <c r="O288" s="6">
        <f>IF(A288="","",IF(AND(I288&lt;&gt;"",I288&gt;H288),"是",IF(AND(TODAY()&gt;H288,N288&gt;0),"是","否")))</f>
        <v/>
      </c>
      <c r="P288" s="16">
        <f>IF(A288="","",IFERROR(INDEX('激励事件明细'!$P$2:$P$501,IF(D288&lt;&gt;"",MATCH(D288,'激励事件明细'!$A$2:$A$501,0),MATCH(E288,'激励事件明细'!$B$2:$B$501,0))),""))</f>
        <v/>
      </c>
      <c r="Q288" s="6">
        <f>IF(AND(D288="",E288=""),"异常：必须关联事件编号或税额批次",IF(AND(D288&lt;&gt;"",COUNTIF('激励事件明细'!$A$2:$A$501,D288)=0),"异常：事件编号不存在",IF(AND(E288&lt;&gt;"",COUNTIF('激励事件明细'!$B$2:$B$501,E288)=0),"异常：税额批次不存在",IF(M288&gt;F288,"异常：本批次超额缴税",IF(AND(I288&lt;&gt;"",I288&gt;H288),"异常：超过事件截止日",IF(AND(P288&lt;&gt;"",TODAY()&gt;=P288,N288&gt;0),"异常：离职前未缴清","正常"))))))</f>
        <v/>
      </c>
      <c r="R288" s="11" t="n"/>
    </row>
    <row r="289">
      <c r="A289" s="6">
        <f>IF(AND(D289="",E289=""),"",IFERROR(INDEX('激励事件明细'!$C$2:$C$501,IF(D289&lt;&gt;"",MATCH(D289,'激励事件明细'!$A$2:$A$501,0),MATCH(E289,'激励事件明细'!$B$2:$B$501,0))),""))</f>
        <v/>
      </c>
      <c r="B289" s="6">
        <f>IF(A289="","",IFERROR(INDEX('激励事件明细'!$D$2:$D$501,IF(D289&lt;&gt;"",MATCH(D289,'激励事件明细'!$A$2:$A$501,0),MATCH(E289,'激励事件明细'!$B$2:$B$501,0))),""))</f>
        <v/>
      </c>
      <c r="C289" s="6">
        <f>IF(A289="","",IFERROR(INDEX('激励事件明细'!$H$2:$H$501,IF(D289&lt;&gt;"",MATCH(D289,'激励事件明细'!$A$2:$A$501,0),MATCH(E289,'激励事件明细'!$B$2:$B$501,0))),""))</f>
        <v/>
      </c>
      <c r="D289" s="11" t="n"/>
      <c r="E289" s="11" t="n"/>
      <c r="F289" s="14">
        <f>IF(A289="","",IFERROR(INDEX('激励事件明细'!$Z$2:$Z$501,IF(D289&lt;&gt;"",MATCH(D289,'激励事件明细'!$A$2:$A$501,0),MATCH(E289,'激励事件明细'!$B$2:$B$501,0))),""))</f>
        <v/>
      </c>
      <c r="G289" s="16">
        <f>IF(A289="","",IFERROR(INDEX('激励事件明细'!$AA$2:$AA$501,IF(D289&lt;&gt;"",MATCH(D289,'激励事件明细'!$A$2:$A$501,0),MATCH(E289,'激励事件明细'!$B$2:$B$501,0))),""))</f>
        <v/>
      </c>
      <c r="H289" s="16">
        <f>IF(A289="","",IFERROR(INDEX('激励事件明细'!$AB$2:$AB$501,IF(D289&lt;&gt;"",MATCH(D289,'激励事件明细'!$A$2:$A$501,0),MATCH(E289,'激励事件明细'!$B$2:$B$501,0))),""))</f>
        <v/>
      </c>
      <c r="I289" s="12" t="n"/>
      <c r="J289" s="13" t="n"/>
      <c r="K289" s="13" t="n"/>
      <c r="L289" s="11" t="n"/>
      <c r="M289" s="14">
        <f>IF(A289="","",IF(D289&lt;&gt;"",SUMIFS($K$2:$K$501,$D$2:$D$501,D289),SUMIFS($K$2:$K$501,$E$2:$E$501,E289)))</f>
        <v/>
      </c>
      <c r="N289" s="14">
        <f>IF(F289="","",MAX(0,F289-M289))</f>
        <v/>
      </c>
      <c r="O289" s="6">
        <f>IF(A289="","",IF(AND(I289&lt;&gt;"",I289&gt;H289),"是",IF(AND(TODAY()&gt;H289,N289&gt;0),"是","否")))</f>
        <v/>
      </c>
      <c r="P289" s="16">
        <f>IF(A289="","",IFERROR(INDEX('激励事件明细'!$P$2:$P$501,IF(D289&lt;&gt;"",MATCH(D289,'激励事件明细'!$A$2:$A$501,0),MATCH(E289,'激励事件明细'!$B$2:$B$501,0))),""))</f>
        <v/>
      </c>
      <c r="Q289" s="6">
        <f>IF(AND(D289="",E289=""),"异常：必须关联事件编号或税额批次",IF(AND(D289&lt;&gt;"",COUNTIF('激励事件明细'!$A$2:$A$501,D289)=0),"异常：事件编号不存在",IF(AND(E289&lt;&gt;"",COUNTIF('激励事件明细'!$B$2:$B$501,E289)=0),"异常：税额批次不存在",IF(M289&gt;F289,"异常：本批次超额缴税",IF(AND(I289&lt;&gt;"",I289&gt;H289),"异常：超过事件截止日",IF(AND(P289&lt;&gt;"",TODAY()&gt;=P289,N289&gt;0),"异常：离职前未缴清","正常"))))))</f>
        <v/>
      </c>
      <c r="R289" s="11" t="n"/>
    </row>
    <row r="290">
      <c r="A290" s="6">
        <f>IF(AND(D290="",E290=""),"",IFERROR(INDEX('激励事件明细'!$C$2:$C$501,IF(D290&lt;&gt;"",MATCH(D290,'激励事件明细'!$A$2:$A$501,0),MATCH(E290,'激励事件明细'!$B$2:$B$501,0))),""))</f>
        <v/>
      </c>
      <c r="B290" s="6">
        <f>IF(A290="","",IFERROR(INDEX('激励事件明细'!$D$2:$D$501,IF(D290&lt;&gt;"",MATCH(D290,'激励事件明细'!$A$2:$A$501,0),MATCH(E290,'激励事件明细'!$B$2:$B$501,0))),""))</f>
        <v/>
      </c>
      <c r="C290" s="6">
        <f>IF(A290="","",IFERROR(INDEX('激励事件明细'!$H$2:$H$501,IF(D290&lt;&gt;"",MATCH(D290,'激励事件明细'!$A$2:$A$501,0),MATCH(E290,'激励事件明细'!$B$2:$B$501,0))),""))</f>
        <v/>
      </c>
      <c r="D290" s="11" t="n"/>
      <c r="E290" s="11" t="n"/>
      <c r="F290" s="14">
        <f>IF(A290="","",IFERROR(INDEX('激励事件明细'!$Z$2:$Z$501,IF(D290&lt;&gt;"",MATCH(D290,'激励事件明细'!$A$2:$A$501,0),MATCH(E290,'激励事件明细'!$B$2:$B$501,0))),""))</f>
        <v/>
      </c>
      <c r="G290" s="16">
        <f>IF(A290="","",IFERROR(INDEX('激励事件明细'!$AA$2:$AA$501,IF(D290&lt;&gt;"",MATCH(D290,'激励事件明细'!$A$2:$A$501,0),MATCH(E290,'激励事件明细'!$B$2:$B$501,0))),""))</f>
        <v/>
      </c>
      <c r="H290" s="16">
        <f>IF(A290="","",IFERROR(INDEX('激励事件明细'!$AB$2:$AB$501,IF(D290&lt;&gt;"",MATCH(D290,'激励事件明细'!$A$2:$A$501,0),MATCH(E290,'激励事件明细'!$B$2:$B$501,0))),""))</f>
        <v/>
      </c>
      <c r="I290" s="12" t="n"/>
      <c r="J290" s="13" t="n"/>
      <c r="K290" s="13" t="n"/>
      <c r="L290" s="11" t="n"/>
      <c r="M290" s="14">
        <f>IF(A290="","",IF(D290&lt;&gt;"",SUMIFS($K$2:$K$501,$D$2:$D$501,D290),SUMIFS($K$2:$K$501,$E$2:$E$501,E290)))</f>
        <v/>
      </c>
      <c r="N290" s="14">
        <f>IF(F290="","",MAX(0,F290-M290))</f>
        <v/>
      </c>
      <c r="O290" s="6">
        <f>IF(A290="","",IF(AND(I290&lt;&gt;"",I290&gt;H290),"是",IF(AND(TODAY()&gt;H290,N290&gt;0),"是","否")))</f>
        <v/>
      </c>
      <c r="P290" s="16">
        <f>IF(A290="","",IFERROR(INDEX('激励事件明细'!$P$2:$P$501,IF(D290&lt;&gt;"",MATCH(D290,'激励事件明细'!$A$2:$A$501,0),MATCH(E290,'激励事件明细'!$B$2:$B$501,0))),""))</f>
        <v/>
      </c>
      <c r="Q290" s="6">
        <f>IF(AND(D290="",E290=""),"异常：必须关联事件编号或税额批次",IF(AND(D290&lt;&gt;"",COUNTIF('激励事件明细'!$A$2:$A$501,D290)=0),"异常：事件编号不存在",IF(AND(E290&lt;&gt;"",COUNTIF('激励事件明细'!$B$2:$B$501,E290)=0),"异常：税额批次不存在",IF(M290&gt;F290,"异常：本批次超额缴税",IF(AND(I290&lt;&gt;"",I290&gt;H290),"异常：超过事件截止日",IF(AND(P290&lt;&gt;"",TODAY()&gt;=P290,N290&gt;0),"异常：离职前未缴清","正常"))))))</f>
        <v/>
      </c>
      <c r="R290" s="11" t="n"/>
    </row>
    <row r="291">
      <c r="A291" s="6">
        <f>IF(AND(D291="",E291=""),"",IFERROR(INDEX('激励事件明细'!$C$2:$C$501,IF(D291&lt;&gt;"",MATCH(D291,'激励事件明细'!$A$2:$A$501,0),MATCH(E291,'激励事件明细'!$B$2:$B$501,0))),""))</f>
        <v/>
      </c>
      <c r="B291" s="6">
        <f>IF(A291="","",IFERROR(INDEX('激励事件明细'!$D$2:$D$501,IF(D291&lt;&gt;"",MATCH(D291,'激励事件明细'!$A$2:$A$501,0),MATCH(E291,'激励事件明细'!$B$2:$B$501,0))),""))</f>
        <v/>
      </c>
      <c r="C291" s="6">
        <f>IF(A291="","",IFERROR(INDEX('激励事件明细'!$H$2:$H$501,IF(D291&lt;&gt;"",MATCH(D291,'激励事件明细'!$A$2:$A$501,0),MATCH(E291,'激励事件明细'!$B$2:$B$501,0))),""))</f>
        <v/>
      </c>
      <c r="D291" s="11" t="n"/>
      <c r="E291" s="11" t="n"/>
      <c r="F291" s="14">
        <f>IF(A291="","",IFERROR(INDEX('激励事件明细'!$Z$2:$Z$501,IF(D291&lt;&gt;"",MATCH(D291,'激励事件明细'!$A$2:$A$501,0),MATCH(E291,'激励事件明细'!$B$2:$B$501,0))),""))</f>
        <v/>
      </c>
      <c r="G291" s="16">
        <f>IF(A291="","",IFERROR(INDEX('激励事件明细'!$AA$2:$AA$501,IF(D291&lt;&gt;"",MATCH(D291,'激励事件明细'!$A$2:$A$501,0),MATCH(E291,'激励事件明细'!$B$2:$B$501,0))),""))</f>
        <v/>
      </c>
      <c r="H291" s="16">
        <f>IF(A291="","",IFERROR(INDEX('激励事件明细'!$AB$2:$AB$501,IF(D291&lt;&gt;"",MATCH(D291,'激励事件明细'!$A$2:$A$501,0),MATCH(E291,'激励事件明细'!$B$2:$B$501,0))),""))</f>
        <v/>
      </c>
      <c r="I291" s="12" t="n"/>
      <c r="J291" s="13" t="n"/>
      <c r="K291" s="13" t="n"/>
      <c r="L291" s="11" t="n"/>
      <c r="M291" s="14">
        <f>IF(A291="","",IF(D291&lt;&gt;"",SUMIFS($K$2:$K$501,$D$2:$D$501,D291),SUMIFS($K$2:$K$501,$E$2:$E$501,E291)))</f>
        <v/>
      </c>
      <c r="N291" s="14">
        <f>IF(F291="","",MAX(0,F291-M291))</f>
        <v/>
      </c>
      <c r="O291" s="6">
        <f>IF(A291="","",IF(AND(I291&lt;&gt;"",I291&gt;H291),"是",IF(AND(TODAY()&gt;H291,N291&gt;0),"是","否")))</f>
        <v/>
      </c>
      <c r="P291" s="16">
        <f>IF(A291="","",IFERROR(INDEX('激励事件明细'!$P$2:$P$501,IF(D291&lt;&gt;"",MATCH(D291,'激励事件明细'!$A$2:$A$501,0),MATCH(E291,'激励事件明细'!$B$2:$B$501,0))),""))</f>
        <v/>
      </c>
      <c r="Q291" s="6">
        <f>IF(AND(D291="",E291=""),"异常：必须关联事件编号或税额批次",IF(AND(D291&lt;&gt;"",COUNTIF('激励事件明细'!$A$2:$A$501,D291)=0),"异常：事件编号不存在",IF(AND(E291&lt;&gt;"",COUNTIF('激励事件明细'!$B$2:$B$501,E291)=0),"异常：税额批次不存在",IF(M291&gt;F291,"异常：本批次超额缴税",IF(AND(I291&lt;&gt;"",I291&gt;H291),"异常：超过事件截止日",IF(AND(P291&lt;&gt;"",TODAY()&gt;=P291,N291&gt;0),"异常：离职前未缴清","正常"))))))</f>
        <v/>
      </c>
      <c r="R291" s="11" t="n"/>
    </row>
    <row r="292">
      <c r="A292" s="6">
        <f>IF(AND(D292="",E292=""),"",IFERROR(INDEX('激励事件明细'!$C$2:$C$501,IF(D292&lt;&gt;"",MATCH(D292,'激励事件明细'!$A$2:$A$501,0),MATCH(E292,'激励事件明细'!$B$2:$B$501,0))),""))</f>
        <v/>
      </c>
      <c r="B292" s="6">
        <f>IF(A292="","",IFERROR(INDEX('激励事件明细'!$D$2:$D$501,IF(D292&lt;&gt;"",MATCH(D292,'激励事件明细'!$A$2:$A$501,0),MATCH(E292,'激励事件明细'!$B$2:$B$501,0))),""))</f>
        <v/>
      </c>
      <c r="C292" s="6">
        <f>IF(A292="","",IFERROR(INDEX('激励事件明细'!$H$2:$H$501,IF(D292&lt;&gt;"",MATCH(D292,'激励事件明细'!$A$2:$A$501,0),MATCH(E292,'激励事件明细'!$B$2:$B$501,0))),""))</f>
        <v/>
      </c>
      <c r="D292" s="11" t="n"/>
      <c r="E292" s="11" t="n"/>
      <c r="F292" s="14">
        <f>IF(A292="","",IFERROR(INDEX('激励事件明细'!$Z$2:$Z$501,IF(D292&lt;&gt;"",MATCH(D292,'激励事件明细'!$A$2:$A$501,0),MATCH(E292,'激励事件明细'!$B$2:$B$501,0))),""))</f>
        <v/>
      </c>
      <c r="G292" s="16">
        <f>IF(A292="","",IFERROR(INDEX('激励事件明细'!$AA$2:$AA$501,IF(D292&lt;&gt;"",MATCH(D292,'激励事件明细'!$A$2:$A$501,0),MATCH(E292,'激励事件明细'!$B$2:$B$501,0))),""))</f>
        <v/>
      </c>
      <c r="H292" s="16">
        <f>IF(A292="","",IFERROR(INDEX('激励事件明细'!$AB$2:$AB$501,IF(D292&lt;&gt;"",MATCH(D292,'激励事件明细'!$A$2:$A$501,0),MATCH(E292,'激励事件明细'!$B$2:$B$501,0))),""))</f>
        <v/>
      </c>
      <c r="I292" s="12" t="n"/>
      <c r="J292" s="13" t="n"/>
      <c r="K292" s="13" t="n"/>
      <c r="L292" s="11" t="n"/>
      <c r="M292" s="14">
        <f>IF(A292="","",IF(D292&lt;&gt;"",SUMIFS($K$2:$K$501,$D$2:$D$501,D292),SUMIFS($K$2:$K$501,$E$2:$E$501,E292)))</f>
        <v/>
      </c>
      <c r="N292" s="14">
        <f>IF(F292="","",MAX(0,F292-M292))</f>
        <v/>
      </c>
      <c r="O292" s="6">
        <f>IF(A292="","",IF(AND(I292&lt;&gt;"",I292&gt;H292),"是",IF(AND(TODAY()&gt;H292,N292&gt;0),"是","否")))</f>
        <v/>
      </c>
      <c r="P292" s="16">
        <f>IF(A292="","",IFERROR(INDEX('激励事件明细'!$P$2:$P$501,IF(D292&lt;&gt;"",MATCH(D292,'激励事件明细'!$A$2:$A$501,0),MATCH(E292,'激励事件明细'!$B$2:$B$501,0))),""))</f>
        <v/>
      </c>
      <c r="Q292" s="6">
        <f>IF(AND(D292="",E292=""),"异常：必须关联事件编号或税额批次",IF(AND(D292&lt;&gt;"",COUNTIF('激励事件明细'!$A$2:$A$501,D292)=0),"异常：事件编号不存在",IF(AND(E292&lt;&gt;"",COUNTIF('激励事件明细'!$B$2:$B$501,E292)=0),"异常：税额批次不存在",IF(M292&gt;F292,"异常：本批次超额缴税",IF(AND(I292&lt;&gt;"",I292&gt;H292),"异常：超过事件截止日",IF(AND(P292&lt;&gt;"",TODAY()&gt;=P292,N292&gt;0),"异常：离职前未缴清","正常"))))))</f>
        <v/>
      </c>
      <c r="R292" s="11" t="n"/>
    </row>
    <row r="293">
      <c r="A293" s="6">
        <f>IF(AND(D293="",E293=""),"",IFERROR(INDEX('激励事件明细'!$C$2:$C$501,IF(D293&lt;&gt;"",MATCH(D293,'激励事件明细'!$A$2:$A$501,0),MATCH(E293,'激励事件明细'!$B$2:$B$501,0))),""))</f>
        <v/>
      </c>
      <c r="B293" s="6">
        <f>IF(A293="","",IFERROR(INDEX('激励事件明细'!$D$2:$D$501,IF(D293&lt;&gt;"",MATCH(D293,'激励事件明细'!$A$2:$A$501,0),MATCH(E293,'激励事件明细'!$B$2:$B$501,0))),""))</f>
        <v/>
      </c>
      <c r="C293" s="6">
        <f>IF(A293="","",IFERROR(INDEX('激励事件明细'!$H$2:$H$501,IF(D293&lt;&gt;"",MATCH(D293,'激励事件明细'!$A$2:$A$501,0),MATCH(E293,'激励事件明细'!$B$2:$B$501,0))),""))</f>
        <v/>
      </c>
      <c r="D293" s="11" t="n"/>
      <c r="E293" s="11" t="n"/>
      <c r="F293" s="14">
        <f>IF(A293="","",IFERROR(INDEX('激励事件明细'!$Z$2:$Z$501,IF(D293&lt;&gt;"",MATCH(D293,'激励事件明细'!$A$2:$A$501,0),MATCH(E293,'激励事件明细'!$B$2:$B$501,0))),""))</f>
        <v/>
      </c>
      <c r="G293" s="16">
        <f>IF(A293="","",IFERROR(INDEX('激励事件明细'!$AA$2:$AA$501,IF(D293&lt;&gt;"",MATCH(D293,'激励事件明细'!$A$2:$A$501,0),MATCH(E293,'激励事件明细'!$B$2:$B$501,0))),""))</f>
        <v/>
      </c>
      <c r="H293" s="16">
        <f>IF(A293="","",IFERROR(INDEX('激励事件明细'!$AB$2:$AB$501,IF(D293&lt;&gt;"",MATCH(D293,'激励事件明细'!$A$2:$A$501,0),MATCH(E293,'激励事件明细'!$B$2:$B$501,0))),""))</f>
        <v/>
      </c>
      <c r="I293" s="12" t="n"/>
      <c r="J293" s="13" t="n"/>
      <c r="K293" s="13" t="n"/>
      <c r="L293" s="11" t="n"/>
      <c r="M293" s="14">
        <f>IF(A293="","",IF(D293&lt;&gt;"",SUMIFS($K$2:$K$501,$D$2:$D$501,D293),SUMIFS($K$2:$K$501,$E$2:$E$501,E293)))</f>
        <v/>
      </c>
      <c r="N293" s="14">
        <f>IF(F293="","",MAX(0,F293-M293))</f>
        <v/>
      </c>
      <c r="O293" s="6">
        <f>IF(A293="","",IF(AND(I293&lt;&gt;"",I293&gt;H293),"是",IF(AND(TODAY()&gt;H293,N293&gt;0),"是","否")))</f>
        <v/>
      </c>
      <c r="P293" s="16">
        <f>IF(A293="","",IFERROR(INDEX('激励事件明细'!$P$2:$P$501,IF(D293&lt;&gt;"",MATCH(D293,'激励事件明细'!$A$2:$A$501,0),MATCH(E293,'激励事件明细'!$B$2:$B$501,0))),""))</f>
        <v/>
      </c>
      <c r="Q293" s="6">
        <f>IF(AND(D293="",E293=""),"异常：必须关联事件编号或税额批次",IF(AND(D293&lt;&gt;"",COUNTIF('激励事件明细'!$A$2:$A$501,D293)=0),"异常：事件编号不存在",IF(AND(E293&lt;&gt;"",COUNTIF('激励事件明细'!$B$2:$B$501,E293)=0),"异常：税额批次不存在",IF(M293&gt;F293,"异常：本批次超额缴税",IF(AND(I293&lt;&gt;"",I293&gt;H293),"异常：超过事件截止日",IF(AND(P293&lt;&gt;"",TODAY()&gt;=P293,N293&gt;0),"异常：离职前未缴清","正常"))))))</f>
        <v/>
      </c>
      <c r="R293" s="11" t="n"/>
    </row>
    <row r="294">
      <c r="A294" s="6">
        <f>IF(AND(D294="",E294=""),"",IFERROR(INDEX('激励事件明细'!$C$2:$C$501,IF(D294&lt;&gt;"",MATCH(D294,'激励事件明细'!$A$2:$A$501,0),MATCH(E294,'激励事件明细'!$B$2:$B$501,0))),""))</f>
        <v/>
      </c>
      <c r="B294" s="6">
        <f>IF(A294="","",IFERROR(INDEX('激励事件明细'!$D$2:$D$501,IF(D294&lt;&gt;"",MATCH(D294,'激励事件明细'!$A$2:$A$501,0),MATCH(E294,'激励事件明细'!$B$2:$B$501,0))),""))</f>
        <v/>
      </c>
      <c r="C294" s="6">
        <f>IF(A294="","",IFERROR(INDEX('激励事件明细'!$H$2:$H$501,IF(D294&lt;&gt;"",MATCH(D294,'激励事件明细'!$A$2:$A$501,0),MATCH(E294,'激励事件明细'!$B$2:$B$501,0))),""))</f>
        <v/>
      </c>
      <c r="D294" s="11" t="n"/>
      <c r="E294" s="11" t="n"/>
      <c r="F294" s="14">
        <f>IF(A294="","",IFERROR(INDEX('激励事件明细'!$Z$2:$Z$501,IF(D294&lt;&gt;"",MATCH(D294,'激励事件明细'!$A$2:$A$501,0),MATCH(E294,'激励事件明细'!$B$2:$B$501,0))),""))</f>
        <v/>
      </c>
      <c r="G294" s="16">
        <f>IF(A294="","",IFERROR(INDEX('激励事件明细'!$AA$2:$AA$501,IF(D294&lt;&gt;"",MATCH(D294,'激励事件明细'!$A$2:$A$501,0),MATCH(E294,'激励事件明细'!$B$2:$B$501,0))),""))</f>
        <v/>
      </c>
      <c r="H294" s="16">
        <f>IF(A294="","",IFERROR(INDEX('激励事件明细'!$AB$2:$AB$501,IF(D294&lt;&gt;"",MATCH(D294,'激励事件明细'!$A$2:$A$501,0),MATCH(E294,'激励事件明细'!$B$2:$B$501,0))),""))</f>
        <v/>
      </c>
      <c r="I294" s="12" t="n"/>
      <c r="J294" s="13" t="n"/>
      <c r="K294" s="13" t="n"/>
      <c r="L294" s="11" t="n"/>
      <c r="M294" s="14">
        <f>IF(A294="","",IF(D294&lt;&gt;"",SUMIFS($K$2:$K$501,$D$2:$D$501,D294),SUMIFS($K$2:$K$501,$E$2:$E$501,E294)))</f>
        <v/>
      </c>
      <c r="N294" s="14">
        <f>IF(F294="","",MAX(0,F294-M294))</f>
        <v/>
      </c>
      <c r="O294" s="6">
        <f>IF(A294="","",IF(AND(I294&lt;&gt;"",I294&gt;H294),"是",IF(AND(TODAY()&gt;H294,N294&gt;0),"是","否")))</f>
        <v/>
      </c>
      <c r="P294" s="16">
        <f>IF(A294="","",IFERROR(INDEX('激励事件明细'!$P$2:$P$501,IF(D294&lt;&gt;"",MATCH(D294,'激励事件明细'!$A$2:$A$501,0),MATCH(E294,'激励事件明细'!$B$2:$B$501,0))),""))</f>
        <v/>
      </c>
      <c r="Q294" s="6">
        <f>IF(AND(D294="",E294=""),"异常：必须关联事件编号或税额批次",IF(AND(D294&lt;&gt;"",COUNTIF('激励事件明细'!$A$2:$A$501,D294)=0),"异常：事件编号不存在",IF(AND(E294&lt;&gt;"",COUNTIF('激励事件明细'!$B$2:$B$501,E294)=0),"异常：税额批次不存在",IF(M294&gt;F294,"异常：本批次超额缴税",IF(AND(I294&lt;&gt;"",I294&gt;H294),"异常：超过事件截止日",IF(AND(P294&lt;&gt;"",TODAY()&gt;=P294,N294&gt;0),"异常：离职前未缴清","正常"))))))</f>
        <v/>
      </c>
      <c r="R294" s="11" t="n"/>
    </row>
    <row r="295">
      <c r="A295" s="6">
        <f>IF(AND(D295="",E295=""),"",IFERROR(INDEX('激励事件明细'!$C$2:$C$501,IF(D295&lt;&gt;"",MATCH(D295,'激励事件明细'!$A$2:$A$501,0),MATCH(E295,'激励事件明细'!$B$2:$B$501,0))),""))</f>
        <v/>
      </c>
      <c r="B295" s="6">
        <f>IF(A295="","",IFERROR(INDEX('激励事件明细'!$D$2:$D$501,IF(D295&lt;&gt;"",MATCH(D295,'激励事件明细'!$A$2:$A$501,0),MATCH(E295,'激励事件明细'!$B$2:$B$501,0))),""))</f>
        <v/>
      </c>
      <c r="C295" s="6">
        <f>IF(A295="","",IFERROR(INDEX('激励事件明细'!$H$2:$H$501,IF(D295&lt;&gt;"",MATCH(D295,'激励事件明细'!$A$2:$A$501,0),MATCH(E295,'激励事件明细'!$B$2:$B$501,0))),""))</f>
        <v/>
      </c>
      <c r="D295" s="11" t="n"/>
      <c r="E295" s="11" t="n"/>
      <c r="F295" s="14">
        <f>IF(A295="","",IFERROR(INDEX('激励事件明细'!$Z$2:$Z$501,IF(D295&lt;&gt;"",MATCH(D295,'激励事件明细'!$A$2:$A$501,0),MATCH(E295,'激励事件明细'!$B$2:$B$501,0))),""))</f>
        <v/>
      </c>
      <c r="G295" s="16">
        <f>IF(A295="","",IFERROR(INDEX('激励事件明细'!$AA$2:$AA$501,IF(D295&lt;&gt;"",MATCH(D295,'激励事件明细'!$A$2:$A$501,0),MATCH(E295,'激励事件明细'!$B$2:$B$501,0))),""))</f>
        <v/>
      </c>
      <c r="H295" s="16">
        <f>IF(A295="","",IFERROR(INDEX('激励事件明细'!$AB$2:$AB$501,IF(D295&lt;&gt;"",MATCH(D295,'激励事件明细'!$A$2:$A$501,0),MATCH(E295,'激励事件明细'!$B$2:$B$501,0))),""))</f>
        <v/>
      </c>
      <c r="I295" s="12" t="n"/>
      <c r="J295" s="13" t="n"/>
      <c r="K295" s="13" t="n"/>
      <c r="L295" s="11" t="n"/>
      <c r="M295" s="14">
        <f>IF(A295="","",IF(D295&lt;&gt;"",SUMIFS($K$2:$K$501,$D$2:$D$501,D295),SUMIFS($K$2:$K$501,$E$2:$E$501,E295)))</f>
        <v/>
      </c>
      <c r="N295" s="14">
        <f>IF(F295="","",MAX(0,F295-M295))</f>
        <v/>
      </c>
      <c r="O295" s="6">
        <f>IF(A295="","",IF(AND(I295&lt;&gt;"",I295&gt;H295),"是",IF(AND(TODAY()&gt;H295,N295&gt;0),"是","否")))</f>
        <v/>
      </c>
      <c r="P295" s="16">
        <f>IF(A295="","",IFERROR(INDEX('激励事件明细'!$P$2:$P$501,IF(D295&lt;&gt;"",MATCH(D295,'激励事件明细'!$A$2:$A$501,0),MATCH(E295,'激励事件明细'!$B$2:$B$501,0))),""))</f>
        <v/>
      </c>
      <c r="Q295" s="6">
        <f>IF(AND(D295="",E295=""),"异常：必须关联事件编号或税额批次",IF(AND(D295&lt;&gt;"",COUNTIF('激励事件明细'!$A$2:$A$501,D295)=0),"异常：事件编号不存在",IF(AND(E295&lt;&gt;"",COUNTIF('激励事件明细'!$B$2:$B$501,E295)=0),"异常：税额批次不存在",IF(M295&gt;F295,"异常：本批次超额缴税",IF(AND(I295&lt;&gt;"",I295&gt;H295),"异常：超过事件截止日",IF(AND(P295&lt;&gt;"",TODAY()&gt;=P295,N295&gt;0),"异常：离职前未缴清","正常"))))))</f>
        <v/>
      </c>
      <c r="R295" s="11" t="n"/>
    </row>
    <row r="296">
      <c r="A296" s="6">
        <f>IF(AND(D296="",E296=""),"",IFERROR(INDEX('激励事件明细'!$C$2:$C$501,IF(D296&lt;&gt;"",MATCH(D296,'激励事件明细'!$A$2:$A$501,0),MATCH(E296,'激励事件明细'!$B$2:$B$501,0))),""))</f>
        <v/>
      </c>
      <c r="B296" s="6">
        <f>IF(A296="","",IFERROR(INDEX('激励事件明细'!$D$2:$D$501,IF(D296&lt;&gt;"",MATCH(D296,'激励事件明细'!$A$2:$A$501,0),MATCH(E296,'激励事件明细'!$B$2:$B$501,0))),""))</f>
        <v/>
      </c>
      <c r="C296" s="6">
        <f>IF(A296="","",IFERROR(INDEX('激励事件明细'!$H$2:$H$501,IF(D296&lt;&gt;"",MATCH(D296,'激励事件明细'!$A$2:$A$501,0),MATCH(E296,'激励事件明细'!$B$2:$B$501,0))),""))</f>
        <v/>
      </c>
      <c r="D296" s="11" t="n"/>
      <c r="E296" s="11" t="n"/>
      <c r="F296" s="14">
        <f>IF(A296="","",IFERROR(INDEX('激励事件明细'!$Z$2:$Z$501,IF(D296&lt;&gt;"",MATCH(D296,'激励事件明细'!$A$2:$A$501,0),MATCH(E296,'激励事件明细'!$B$2:$B$501,0))),""))</f>
        <v/>
      </c>
      <c r="G296" s="16">
        <f>IF(A296="","",IFERROR(INDEX('激励事件明细'!$AA$2:$AA$501,IF(D296&lt;&gt;"",MATCH(D296,'激励事件明细'!$A$2:$A$501,0),MATCH(E296,'激励事件明细'!$B$2:$B$501,0))),""))</f>
        <v/>
      </c>
      <c r="H296" s="16">
        <f>IF(A296="","",IFERROR(INDEX('激励事件明细'!$AB$2:$AB$501,IF(D296&lt;&gt;"",MATCH(D296,'激励事件明细'!$A$2:$A$501,0),MATCH(E296,'激励事件明细'!$B$2:$B$501,0))),""))</f>
        <v/>
      </c>
      <c r="I296" s="12" t="n"/>
      <c r="J296" s="13" t="n"/>
      <c r="K296" s="13" t="n"/>
      <c r="L296" s="11" t="n"/>
      <c r="M296" s="14">
        <f>IF(A296="","",IF(D296&lt;&gt;"",SUMIFS($K$2:$K$501,$D$2:$D$501,D296),SUMIFS($K$2:$K$501,$E$2:$E$501,E296)))</f>
        <v/>
      </c>
      <c r="N296" s="14">
        <f>IF(F296="","",MAX(0,F296-M296))</f>
        <v/>
      </c>
      <c r="O296" s="6">
        <f>IF(A296="","",IF(AND(I296&lt;&gt;"",I296&gt;H296),"是",IF(AND(TODAY()&gt;H296,N296&gt;0),"是","否")))</f>
        <v/>
      </c>
      <c r="P296" s="16">
        <f>IF(A296="","",IFERROR(INDEX('激励事件明细'!$P$2:$P$501,IF(D296&lt;&gt;"",MATCH(D296,'激励事件明细'!$A$2:$A$501,0),MATCH(E296,'激励事件明细'!$B$2:$B$501,0))),""))</f>
        <v/>
      </c>
      <c r="Q296" s="6">
        <f>IF(AND(D296="",E296=""),"异常：必须关联事件编号或税额批次",IF(AND(D296&lt;&gt;"",COUNTIF('激励事件明细'!$A$2:$A$501,D296)=0),"异常：事件编号不存在",IF(AND(E296&lt;&gt;"",COUNTIF('激励事件明细'!$B$2:$B$501,E296)=0),"异常：税额批次不存在",IF(M296&gt;F296,"异常：本批次超额缴税",IF(AND(I296&lt;&gt;"",I296&gt;H296),"异常：超过事件截止日",IF(AND(P296&lt;&gt;"",TODAY()&gt;=P296,N296&gt;0),"异常：离职前未缴清","正常"))))))</f>
        <v/>
      </c>
      <c r="R296" s="11" t="n"/>
    </row>
    <row r="297">
      <c r="A297" s="6">
        <f>IF(AND(D297="",E297=""),"",IFERROR(INDEX('激励事件明细'!$C$2:$C$501,IF(D297&lt;&gt;"",MATCH(D297,'激励事件明细'!$A$2:$A$501,0),MATCH(E297,'激励事件明细'!$B$2:$B$501,0))),""))</f>
        <v/>
      </c>
      <c r="B297" s="6">
        <f>IF(A297="","",IFERROR(INDEX('激励事件明细'!$D$2:$D$501,IF(D297&lt;&gt;"",MATCH(D297,'激励事件明细'!$A$2:$A$501,0),MATCH(E297,'激励事件明细'!$B$2:$B$501,0))),""))</f>
        <v/>
      </c>
      <c r="C297" s="6">
        <f>IF(A297="","",IFERROR(INDEX('激励事件明细'!$H$2:$H$501,IF(D297&lt;&gt;"",MATCH(D297,'激励事件明细'!$A$2:$A$501,0),MATCH(E297,'激励事件明细'!$B$2:$B$501,0))),""))</f>
        <v/>
      </c>
      <c r="D297" s="11" t="n"/>
      <c r="E297" s="11" t="n"/>
      <c r="F297" s="14">
        <f>IF(A297="","",IFERROR(INDEX('激励事件明细'!$Z$2:$Z$501,IF(D297&lt;&gt;"",MATCH(D297,'激励事件明细'!$A$2:$A$501,0),MATCH(E297,'激励事件明细'!$B$2:$B$501,0))),""))</f>
        <v/>
      </c>
      <c r="G297" s="16">
        <f>IF(A297="","",IFERROR(INDEX('激励事件明细'!$AA$2:$AA$501,IF(D297&lt;&gt;"",MATCH(D297,'激励事件明细'!$A$2:$A$501,0),MATCH(E297,'激励事件明细'!$B$2:$B$501,0))),""))</f>
        <v/>
      </c>
      <c r="H297" s="16">
        <f>IF(A297="","",IFERROR(INDEX('激励事件明细'!$AB$2:$AB$501,IF(D297&lt;&gt;"",MATCH(D297,'激励事件明细'!$A$2:$A$501,0),MATCH(E297,'激励事件明细'!$B$2:$B$501,0))),""))</f>
        <v/>
      </c>
      <c r="I297" s="12" t="n"/>
      <c r="J297" s="13" t="n"/>
      <c r="K297" s="13" t="n"/>
      <c r="L297" s="11" t="n"/>
      <c r="M297" s="14">
        <f>IF(A297="","",IF(D297&lt;&gt;"",SUMIFS($K$2:$K$501,$D$2:$D$501,D297),SUMIFS($K$2:$K$501,$E$2:$E$501,E297)))</f>
        <v/>
      </c>
      <c r="N297" s="14">
        <f>IF(F297="","",MAX(0,F297-M297))</f>
        <v/>
      </c>
      <c r="O297" s="6">
        <f>IF(A297="","",IF(AND(I297&lt;&gt;"",I297&gt;H297),"是",IF(AND(TODAY()&gt;H297,N297&gt;0),"是","否")))</f>
        <v/>
      </c>
      <c r="P297" s="16">
        <f>IF(A297="","",IFERROR(INDEX('激励事件明细'!$P$2:$P$501,IF(D297&lt;&gt;"",MATCH(D297,'激励事件明细'!$A$2:$A$501,0),MATCH(E297,'激励事件明细'!$B$2:$B$501,0))),""))</f>
        <v/>
      </c>
      <c r="Q297" s="6">
        <f>IF(AND(D297="",E297=""),"异常：必须关联事件编号或税额批次",IF(AND(D297&lt;&gt;"",COUNTIF('激励事件明细'!$A$2:$A$501,D297)=0),"异常：事件编号不存在",IF(AND(E297&lt;&gt;"",COUNTIF('激励事件明细'!$B$2:$B$501,E297)=0),"异常：税额批次不存在",IF(M297&gt;F297,"异常：本批次超额缴税",IF(AND(I297&lt;&gt;"",I297&gt;H297),"异常：超过事件截止日",IF(AND(P297&lt;&gt;"",TODAY()&gt;=P297,N297&gt;0),"异常：离职前未缴清","正常"))))))</f>
        <v/>
      </c>
      <c r="R297" s="11" t="n"/>
    </row>
    <row r="298">
      <c r="A298" s="6">
        <f>IF(AND(D298="",E298=""),"",IFERROR(INDEX('激励事件明细'!$C$2:$C$501,IF(D298&lt;&gt;"",MATCH(D298,'激励事件明细'!$A$2:$A$501,0),MATCH(E298,'激励事件明细'!$B$2:$B$501,0))),""))</f>
        <v/>
      </c>
      <c r="B298" s="6">
        <f>IF(A298="","",IFERROR(INDEX('激励事件明细'!$D$2:$D$501,IF(D298&lt;&gt;"",MATCH(D298,'激励事件明细'!$A$2:$A$501,0),MATCH(E298,'激励事件明细'!$B$2:$B$501,0))),""))</f>
        <v/>
      </c>
      <c r="C298" s="6">
        <f>IF(A298="","",IFERROR(INDEX('激励事件明细'!$H$2:$H$501,IF(D298&lt;&gt;"",MATCH(D298,'激励事件明细'!$A$2:$A$501,0),MATCH(E298,'激励事件明细'!$B$2:$B$501,0))),""))</f>
        <v/>
      </c>
      <c r="D298" s="11" t="n"/>
      <c r="E298" s="11" t="n"/>
      <c r="F298" s="14">
        <f>IF(A298="","",IFERROR(INDEX('激励事件明细'!$Z$2:$Z$501,IF(D298&lt;&gt;"",MATCH(D298,'激励事件明细'!$A$2:$A$501,0),MATCH(E298,'激励事件明细'!$B$2:$B$501,0))),""))</f>
        <v/>
      </c>
      <c r="G298" s="16">
        <f>IF(A298="","",IFERROR(INDEX('激励事件明细'!$AA$2:$AA$501,IF(D298&lt;&gt;"",MATCH(D298,'激励事件明细'!$A$2:$A$501,0),MATCH(E298,'激励事件明细'!$B$2:$B$501,0))),""))</f>
        <v/>
      </c>
      <c r="H298" s="16">
        <f>IF(A298="","",IFERROR(INDEX('激励事件明细'!$AB$2:$AB$501,IF(D298&lt;&gt;"",MATCH(D298,'激励事件明细'!$A$2:$A$501,0),MATCH(E298,'激励事件明细'!$B$2:$B$501,0))),""))</f>
        <v/>
      </c>
      <c r="I298" s="12" t="n"/>
      <c r="J298" s="13" t="n"/>
      <c r="K298" s="13" t="n"/>
      <c r="L298" s="11" t="n"/>
      <c r="M298" s="14">
        <f>IF(A298="","",IF(D298&lt;&gt;"",SUMIFS($K$2:$K$501,$D$2:$D$501,D298),SUMIFS($K$2:$K$501,$E$2:$E$501,E298)))</f>
        <v/>
      </c>
      <c r="N298" s="14">
        <f>IF(F298="","",MAX(0,F298-M298))</f>
        <v/>
      </c>
      <c r="O298" s="6">
        <f>IF(A298="","",IF(AND(I298&lt;&gt;"",I298&gt;H298),"是",IF(AND(TODAY()&gt;H298,N298&gt;0),"是","否")))</f>
        <v/>
      </c>
      <c r="P298" s="16">
        <f>IF(A298="","",IFERROR(INDEX('激励事件明细'!$P$2:$P$501,IF(D298&lt;&gt;"",MATCH(D298,'激励事件明细'!$A$2:$A$501,0),MATCH(E298,'激励事件明细'!$B$2:$B$501,0))),""))</f>
        <v/>
      </c>
      <c r="Q298" s="6">
        <f>IF(AND(D298="",E298=""),"异常：必须关联事件编号或税额批次",IF(AND(D298&lt;&gt;"",COUNTIF('激励事件明细'!$A$2:$A$501,D298)=0),"异常：事件编号不存在",IF(AND(E298&lt;&gt;"",COUNTIF('激励事件明细'!$B$2:$B$501,E298)=0),"异常：税额批次不存在",IF(M298&gt;F298,"异常：本批次超额缴税",IF(AND(I298&lt;&gt;"",I298&gt;H298),"异常：超过事件截止日",IF(AND(P298&lt;&gt;"",TODAY()&gt;=P298,N298&gt;0),"异常：离职前未缴清","正常"))))))</f>
        <v/>
      </c>
      <c r="R298" s="11" t="n"/>
    </row>
    <row r="299">
      <c r="A299" s="6">
        <f>IF(AND(D299="",E299=""),"",IFERROR(INDEX('激励事件明细'!$C$2:$C$501,IF(D299&lt;&gt;"",MATCH(D299,'激励事件明细'!$A$2:$A$501,0),MATCH(E299,'激励事件明细'!$B$2:$B$501,0))),""))</f>
        <v/>
      </c>
      <c r="B299" s="6">
        <f>IF(A299="","",IFERROR(INDEX('激励事件明细'!$D$2:$D$501,IF(D299&lt;&gt;"",MATCH(D299,'激励事件明细'!$A$2:$A$501,0),MATCH(E299,'激励事件明细'!$B$2:$B$501,0))),""))</f>
        <v/>
      </c>
      <c r="C299" s="6">
        <f>IF(A299="","",IFERROR(INDEX('激励事件明细'!$H$2:$H$501,IF(D299&lt;&gt;"",MATCH(D299,'激励事件明细'!$A$2:$A$501,0),MATCH(E299,'激励事件明细'!$B$2:$B$501,0))),""))</f>
        <v/>
      </c>
      <c r="D299" s="11" t="n"/>
      <c r="E299" s="11" t="n"/>
      <c r="F299" s="14">
        <f>IF(A299="","",IFERROR(INDEX('激励事件明细'!$Z$2:$Z$501,IF(D299&lt;&gt;"",MATCH(D299,'激励事件明细'!$A$2:$A$501,0),MATCH(E299,'激励事件明细'!$B$2:$B$501,0))),""))</f>
        <v/>
      </c>
      <c r="G299" s="16">
        <f>IF(A299="","",IFERROR(INDEX('激励事件明细'!$AA$2:$AA$501,IF(D299&lt;&gt;"",MATCH(D299,'激励事件明细'!$A$2:$A$501,0),MATCH(E299,'激励事件明细'!$B$2:$B$501,0))),""))</f>
        <v/>
      </c>
      <c r="H299" s="16">
        <f>IF(A299="","",IFERROR(INDEX('激励事件明细'!$AB$2:$AB$501,IF(D299&lt;&gt;"",MATCH(D299,'激励事件明细'!$A$2:$A$501,0),MATCH(E299,'激励事件明细'!$B$2:$B$501,0))),""))</f>
        <v/>
      </c>
      <c r="I299" s="12" t="n"/>
      <c r="J299" s="13" t="n"/>
      <c r="K299" s="13" t="n"/>
      <c r="L299" s="11" t="n"/>
      <c r="M299" s="14">
        <f>IF(A299="","",IF(D299&lt;&gt;"",SUMIFS($K$2:$K$501,$D$2:$D$501,D299),SUMIFS($K$2:$K$501,$E$2:$E$501,E299)))</f>
        <v/>
      </c>
      <c r="N299" s="14">
        <f>IF(F299="","",MAX(0,F299-M299))</f>
        <v/>
      </c>
      <c r="O299" s="6">
        <f>IF(A299="","",IF(AND(I299&lt;&gt;"",I299&gt;H299),"是",IF(AND(TODAY()&gt;H299,N299&gt;0),"是","否")))</f>
        <v/>
      </c>
      <c r="P299" s="16">
        <f>IF(A299="","",IFERROR(INDEX('激励事件明细'!$P$2:$P$501,IF(D299&lt;&gt;"",MATCH(D299,'激励事件明细'!$A$2:$A$501,0),MATCH(E299,'激励事件明细'!$B$2:$B$501,0))),""))</f>
        <v/>
      </c>
      <c r="Q299" s="6">
        <f>IF(AND(D299="",E299=""),"异常：必须关联事件编号或税额批次",IF(AND(D299&lt;&gt;"",COUNTIF('激励事件明细'!$A$2:$A$501,D299)=0),"异常：事件编号不存在",IF(AND(E299&lt;&gt;"",COUNTIF('激励事件明细'!$B$2:$B$501,E299)=0),"异常：税额批次不存在",IF(M299&gt;F299,"异常：本批次超额缴税",IF(AND(I299&lt;&gt;"",I299&gt;H299),"异常：超过事件截止日",IF(AND(P299&lt;&gt;"",TODAY()&gt;=P299,N299&gt;0),"异常：离职前未缴清","正常"))))))</f>
        <v/>
      </c>
      <c r="R299" s="11" t="n"/>
    </row>
    <row r="300">
      <c r="A300" s="6">
        <f>IF(AND(D300="",E300=""),"",IFERROR(INDEX('激励事件明细'!$C$2:$C$501,IF(D300&lt;&gt;"",MATCH(D300,'激励事件明细'!$A$2:$A$501,0),MATCH(E300,'激励事件明细'!$B$2:$B$501,0))),""))</f>
        <v/>
      </c>
      <c r="B300" s="6">
        <f>IF(A300="","",IFERROR(INDEX('激励事件明细'!$D$2:$D$501,IF(D300&lt;&gt;"",MATCH(D300,'激励事件明细'!$A$2:$A$501,0),MATCH(E300,'激励事件明细'!$B$2:$B$501,0))),""))</f>
        <v/>
      </c>
      <c r="C300" s="6">
        <f>IF(A300="","",IFERROR(INDEX('激励事件明细'!$H$2:$H$501,IF(D300&lt;&gt;"",MATCH(D300,'激励事件明细'!$A$2:$A$501,0),MATCH(E300,'激励事件明细'!$B$2:$B$501,0))),""))</f>
        <v/>
      </c>
      <c r="D300" s="11" t="n"/>
      <c r="E300" s="11" t="n"/>
      <c r="F300" s="14">
        <f>IF(A300="","",IFERROR(INDEX('激励事件明细'!$Z$2:$Z$501,IF(D300&lt;&gt;"",MATCH(D300,'激励事件明细'!$A$2:$A$501,0),MATCH(E300,'激励事件明细'!$B$2:$B$501,0))),""))</f>
        <v/>
      </c>
      <c r="G300" s="16">
        <f>IF(A300="","",IFERROR(INDEX('激励事件明细'!$AA$2:$AA$501,IF(D300&lt;&gt;"",MATCH(D300,'激励事件明细'!$A$2:$A$501,0),MATCH(E300,'激励事件明细'!$B$2:$B$501,0))),""))</f>
        <v/>
      </c>
      <c r="H300" s="16">
        <f>IF(A300="","",IFERROR(INDEX('激励事件明细'!$AB$2:$AB$501,IF(D300&lt;&gt;"",MATCH(D300,'激励事件明细'!$A$2:$A$501,0),MATCH(E300,'激励事件明细'!$B$2:$B$501,0))),""))</f>
        <v/>
      </c>
      <c r="I300" s="12" t="n"/>
      <c r="J300" s="13" t="n"/>
      <c r="K300" s="13" t="n"/>
      <c r="L300" s="11" t="n"/>
      <c r="M300" s="14">
        <f>IF(A300="","",IF(D300&lt;&gt;"",SUMIFS($K$2:$K$501,$D$2:$D$501,D300),SUMIFS($K$2:$K$501,$E$2:$E$501,E300)))</f>
        <v/>
      </c>
      <c r="N300" s="14">
        <f>IF(F300="","",MAX(0,F300-M300))</f>
        <v/>
      </c>
      <c r="O300" s="6">
        <f>IF(A300="","",IF(AND(I300&lt;&gt;"",I300&gt;H300),"是",IF(AND(TODAY()&gt;H300,N300&gt;0),"是","否")))</f>
        <v/>
      </c>
      <c r="P300" s="16">
        <f>IF(A300="","",IFERROR(INDEX('激励事件明细'!$P$2:$P$501,IF(D300&lt;&gt;"",MATCH(D300,'激励事件明细'!$A$2:$A$501,0),MATCH(E300,'激励事件明细'!$B$2:$B$501,0))),""))</f>
        <v/>
      </c>
      <c r="Q300" s="6">
        <f>IF(AND(D300="",E300=""),"异常：必须关联事件编号或税额批次",IF(AND(D300&lt;&gt;"",COUNTIF('激励事件明细'!$A$2:$A$501,D300)=0),"异常：事件编号不存在",IF(AND(E300&lt;&gt;"",COUNTIF('激励事件明细'!$B$2:$B$501,E300)=0),"异常：税额批次不存在",IF(M300&gt;F300,"异常：本批次超额缴税",IF(AND(I300&lt;&gt;"",I300&gt;H300),"异常：超过事件截止日",IF(AND(P300&lt;&gt;"",TODAY()&gt;=P300,N300&gt;0),"异常：离职前未缴清","正常"))))))</f>
        <v/>
      </c>
      <c r="R300" s="11" t="n"/>
    </row>
    <row r="301">
      <c r="A301" s="6">
        <f>IF(AND(D301="",E301=""),"",IFERROR(INDEX('激励事件明细'!$C$2:$C$501,IF(D301&lt;&gt;"",MATCH(D301,'激励事件明细'!$A$2:$A$501,0),MATCH(E301,'激励事件明细'!$B$2:$B$501,0))),""))</f>
        <v/>
      </c>
      <c r="B301" s="6">
        <f>IF(A301="","",IFERROR(INDEX('激励事件明细'!$D$2:$D$501,IF(D301&lt;&gt;"",MATCH(D301,'激励事件明细'!$A$2:$A$501,0),MATCH(E301,'激励事件明细'!$B$2:$B$501,0))),""))</f>
        <v/>
      </c>
      <c r="C301" s="6">
        <f>IF(A301="","",IFERROR(INDEX('激励事件明细'!$H$2:$H$501,IF(D301&lt;&gt;"",MATCH(D301,'激励事件明细'!$A$2:$A$501,0),MATCH(E301,'激励事件明细'!$B$2:$B$501,0))),""))</f>
        <v/>
      </c>
      <c r="D301" s="11" t="n"/>
      <c r="E301" s="11" t="n"/>
      <c r="F301" s="14">
        <f>IF(A301="","",IFERROR(INDEX('激励事件明细'!$Z$2:$Z$501,IF(D301&lt;&gt;"",MATCH(D301,'激励事件明细'!$A$2:$A$501,0),MATCH(E301,'激励事件明细'!$B$2:$B$501,0))),""))</f>
        <v/>
      </c>
      <c r="G301" s="16">
        <f>IF(A301="","",IFERROR(INDEX('激励事件明细'!$AA$2:$AA$501,IF(D301&lt;&gt;"",MATCH(D301,'激励事件明细'!$A$2:$A$501,0),MATCH(E301,'激励事件明细'!$B$2:$B$501,0))),""))</f>
        <v/>
      </c>
      <c r="H301" s="16">
        <f>IF(A301="","",IFERROR(INDEX('激励事件明细'!$AB$2:$AB$501,IF(D301&lt;&gt;"",MATCH(D301,'激励事件明细'!$A$2:$A$501,0),MATCH(E301,'激励事件明细'!$B$2:$B$501,0))),""))</f>
        <v/>
      </c>
      <c r="I301" s="12" t="n"/>
      <c r="J301" s="13" t="n"/>
      <c r="K301" s="13" t="n"/>
      <c r="L301" s="11" t="n"/>
      <c r="M301" s="14">
        <f>IF(A301="","",IF(D301&lt;&gt;"",SUMIFS($K$2:$K$501,$D$2:$D$501,D301),SUMIFS($K$2:$K$501,$E$2:$E$501,E301)))</f>
        <v/>
      </c>
      <c r="N301" s="14">
        <f>IF(F301="","",MAX(0,F301-M301))</f>
        <v/>
      </c>
      <c r="O301" s="6">
        <f>IF(A301="","",IF(AND(I301&lt;&gt;"",I301&gt;H301),"是",IF(AND(TODAY()&gt;H301,N301&gt;0),"是","否")))</f>
        <v/>
      </c>
      <c r="P301" s="16">
        <f>IF(A301="","",IFERROR(INDEX('激励事件明细'!$P$2:$P$501,IF(D301&lt;&gt;"",MATCH(D301,'激励事件明细'!$A$2:$A$501,0),MATCH(E301,'激励事件明细'!$B$2:$B$501,0))),""))</f>
        <v/>
      </c>
      <c r="Q301" s="6">
        <f>IF(AND(D301="",E301=""),"异常：必须关联事件编号或税额批次",IF(AND(D301&lt;&gt;"",COUNTIF('激励事件明细'!$A$2:$A$501,D301)=0),"异常：事件编号不存在",IF(AND(E301&lt;&gt;"",COUNTIF('激励事件明细'!$B$2:$B$501,E301)=0),"异常：税额批次不存在",IF(M301&gt;F301,"异常：本批次超额缴税",IF(AND(I301&lt;&gt;"",I301&gt;H301),"异常：超过事件截止日",IF(AND(P301&lt;&gt;"",TODAY()&gt;=P301,N301&gt;0),"异常：离职前未缴清","正常"))))))</f>
        <v/>
      </c>
      <c r="R301" s="11" t="n"/>
    </row>
    <row r="302">
      <c r="A302" s="6">
        <f>IF(AND(D302="",E302=""),"",IFERROR(INDEX('激励事件明细'!$C$2:$C$501,IF(D302&lt;&gt;"",MATCH(D302,'激励事件明细'!$A$2:$A$501,0),MATCH(E302,'激励事件明细'!$B$2:$B$501,0))),""))</f>
        <v/>
      </c>
      <c r="B302" s="6">
        <f>IF(A302="","",IFERROR(INDEX('激励事件明细'!$D$2:$D$501,IF(D302&lt;&gt;"",MATCH(D302,'激励事件明细'!$A$2:$A$501,0),MATCH(E302,'激励事件明细'!$B$2:$B$501,0))),""))</f>
        <v/>
      </c>
      <c r="C302" s="6">
        <f>IF(A302="","",IFERROR(INDEX('激励事件明细'!$H$2:$H$501,IF(D302&lt;&gt;"",MATCH(D302,'激励事件明细'!$A$2:$A$501,0),MATCH(E302,'激励事件明细'!$B$2:$B$501,0))),""))</f>
        <v/>
      </c>
      <c r="D302" s="11" t="n"/>
      <c r="E302" s="11" t="n"/>
      <c r="F302" s="14">
        <f>IF(A302="","",IFERROR(INDEX('激励事件明细'!$Z$2:$Z$501,IF(D302&lt;&gt;"",MATCH(D302,'激励事件明细'!$A$2:$A$501,0),MATCH(E302,'激励事件明细'!$B$2:$B$501,0))),""))</f>
        <v/>
      </c>
      <c r="G302" s="16">
        <f>IF(A302="","",IFERROR(INDEX('激励事件明细'!$AA$2:$AA$501,IF(D302&lt;&gt;"",MATCH(D302,'激励事件明细'!$A$2:$A$501,0),MATCH(E302,'激励事件明细'!$B$2:$B$501,0))),""))</f>
        <v/>
      </c>
      <c r="H302" s="16">
        <f>IF(A302="","",IFERROR(INDEX('激励事件明细'!$AB$2:$AB$501,IF(D302&lt;&gt;"",MATCH(D302,'激励事件明细'!$A$2:$A$501,0),MATCH(E302,'激励事件明细'!$B$2:$B$501,0))),""))</f>
        <v/>
      </c>
      <c r="I302" s="12" t="n"/>
      <c r="J302" s="13" t="n"/>
      <c r="K302" s="13" t="n"/>
      <c r="L302" s="11" t="n"/>
      <c r="M302" s="14">
        <f>IF(A302="","",IF(D302&lt;&gt;"",SUMIFS($K$2:$K$501,$D$2:$D$501,D302),SUMIFS($K$2:$K$501,$E$2:$E$501,E302)))</f>
        <v/>
      </c>
      <c r="N302" s="14">
        <f>IF(F302="","",MAX(0,F302-M302))</f>
        <v/>
      </c>
      <c r="O302" s="6">
        <f>IF(A302="","",IF(AND(I302&lt;&gt;"",I302&gt;H302),"是",IF(AND(TODAY()&gt;H302,N302&gt;0),"是","否")))</f>
        <v/>
      </c>
      <c r="P302" s="16">
        <f>IF(A302="","",IFERROR(INDEX('激励事件明细'!$P$2:$P$501,IF(D302&lt;&gt;"",MATCH(D302,'激励事件明细'!$A$2:$A$501,0),MATCH(E302,'激励事件明细'!$B$2:$B$501,0))),""))</f>
        <v/>
      </c>
      <c r="Q302" s="6">
        <f>IF(AND(D302="",E302=""),"异常：必须关联事件编号或税额批次",IF(AND(D302&lt;&gt;"",COUNTIF('激励事件明细'!$A$2:$A$501,D302)=0),"异常：事件编号不存在",IF(AND(E302&lt;&gt;"",COUNTIF('激励事件明细'!$B$2:$B$501,E302)=0),"异常：税额批次不存在",IF(M302&gt;F302,"异常：本批次超额缴税",IF(AND(I302&lt;&gt;"",I302&gt;H302),"异常：超过事件截止日",IF(AND(P302&lt;&gt;"",TODAY()&gt;=P302,N302&gt;0),"异常：离职前未缴清","正常"))))))</f>
        <v/>
      </c>
      <c r="R302" s="11" t="n"/>
    </row>
    <row r="303">
      <c r="A303" s="6">
        <f>IF(AND(D303="",E303=""),"",IFERROR(INDEX('激励事件明细'!$C$2:$C$501,IF(D303&lt;&gt;"",MATCH(D303,'激励事件明细'!$A$2:$A$501,0),MATCH(E303,'激励事件明细'!$B$2:$B$501,0))),""))</f>
        <v/>
      </c>
      <c r="B303" s="6">
        <f>IF(A303="","",IFERROR(INDEX('激励事件明细'!$D$2:$D$501,IF(D303&lt;&gt;"",MATCH(D303,'激励事件明细'!$A$2:$A$501,0),MATCH(E303,'激励事件明细'!$B$2:$B$501,0))),""))</f>
        <v/>
      </c>
      <c r="C303" s="6">
        <f>IF(A303="","",IFERROR(INDEX('激励事件明细'!$H$2:$H$501,IF(D303&lt;&gt;"",MATCH(D303,'激励事件明细'!$A$2:$A$501,0),MATCH(E303,'激励事件明细'!$B$2:$B$501,0))),""))</f>
        <v/>
      </c>
      <c r="D303" s="11" t="n"/>
      <c r="E303" s="11" t="n"/>
      <c r="F303" s="14">
        <f>IF(A303="","",IFERROR(INDEX('激励事件明细'!$Z$2:$Z$501,IF(D303&lt;&gt;"",MATCH(D303,'激励事件明细'!$A$2:$A$501,0),MATCH(E303,'激励事件明细'!$B$2:$B$501,0))),""))</f>
        <v/>
      </c>
      <c r="G303" s="16">
        <f>IF(A303="","",IFERROR(INDEX('激励事件明细'!$AA$2:$AA$501,IF(D303&lt;&gt;"",MATCH(D303,'激励事件明细'!$A$2:$A$501,0),MATCH(E303,'激励事件明细'!$B$2:$B$501,0))),""))</f>
        <v/>
      </c>
      <c r="H303" s="16">
        <f>IF(A303="","",IFERROR(INDEX('激励事件明细'!$AB$2:$AB$501,IF(D303&lt;&gt;"",MATCH(D303,'激励事件明细'!$A$2:$A$501,0),MATCH(E303,'激励事件明细'!$B$2:$B$501,0))),""))</f>
        <v/>
      </c>
      <c r="I303" s="12" t="n"/>
      <c r="J303" s="13" t="n"/>
      <c r="K303" s="13" t="n"/>
      <c r="L303" s="11" t="n"/>
      <c r="M303" s="14">
        <f>IF(A303="","",IF(D303&lt;&gt;"",SUMIFS($K$2:$K$501,$D$2:$D$501,D303),SUMIFS($K$2:$K$501,$E$2:$E$501,E303)))</f>
        <v/>
      </c>
      <c r="N303" s="14">
        <f>IF(F303="","",MAX(0,F303-M303))</f>
        <v/>
      </c>
      <c r="O303" s="6">
        <f>IF(A303="","",IF(AND(I303&lt;&gt;"",I303&gt;H303),"是",IF(AND(TODAY()&gt;H303,N303&gt;0),"是","否")))</f>
        <v/>
      </c>
      <c r="P303" s="16">
        <f>IF(A303="","",IFERROR(INDEX('激励事件明细'!$P$2:$P$501,IF(D303&lt;&gt;"",MATCH(D303,'激励事件明细'!$A$2:$A$501,0),MATCH(E303,'激励事件明细'!$B$2:$B$501,0))),""))</f>
        <v/>
      </c>
      <c r="Q303" s="6">
        <f>IF(AND(D303="",E303=""),"异常：必须关联事件编号或税额批次",IF(AND(D303&lt;&gt;"",COUNTIF('激励事件明细'!$A$2:$A$501,D303)=0),"异常：事件编号不存在",IF(AND(E303&lt;&gt;"",COUNTIF('激励事件明细'!$B$2:$B$501,E303)=0),"异常：税额批次不存在",IF(M303&gt;F303,"异常：本批次超额缴税",IF(AND(I303&lt;&gt;"",I303&gt;H303),"异常：超过事件截止日",IF(AND(P303&lt;&gt;"",TODAY()&gt;=P303,N303&gt;0),"异常：离职前未缴清","正常"))))))</f>
        <v/>
      </c>
      <c r="R303" s="11" t="n"/>
    </row>
    <row r="304">
      <c r="A304" s="6">
        <f>IF(AND(D304="",E304=""),"",IFERROR(INDEX('激励事件明细'!$C$2:$C$501,IF(D304&lt;&gt;"",MATCH(D304,'激励事件明细'!$A$2:$A$501,0),MATCH(E304,'激励事件明细'!$B$2:$B$501,0))),""))</f>
        <v/>
      </c>
      <c r="B304" s="6">
        <f>IF(A304="","",IFERROR(INDEX('激励事件明细'!$D$2:$D$501,IF(D304&lt;&gt;"",MATCH(D304,'激励事件明细'!$A$2:$A$501,0),MATCH(E304,'激励事件明细'!$B$2:$B$501,0))),""))</f>
        <v/>
      </c>
      <c r="C304" s="6">
        <f>IF(A304="","",IFERROR(INDEX('激励事件明细'!$H$2:$H$501,IF(D304&lt;&gt;"",MATCH(D304,'激励事件明细'!$A$2:$A$501,0),MATCH(E304,'激励事件明细'!$B$2:$B$501,0))),""))</f>
        <v/>
      </c>
      <c r="D304" s="11" t="n"/>
      <c r="E304" s="11" t="n"/>
      <c r="F304" s="14">
        <f>IF(A304="","",IFERROR(INDEX('激励事件明细'!$Z$2:$Z$501,IF(D304&lt;&gt;"",MATCH(D304,'激励事件明细'!$A$2:$A$501,0),MATCH(E304,'激励事件明细'!$B$2:$B$501,0))),""))</f>
        <v/>
      </c>
      <c r="G304" s="16">
        <f>IF(A304="","",IFERROR(INDEX('激励事件明细'!$AA$2:$AA$501,IF(D304&lt;&gt;"",MATCH(D304,'激励事件明细'!$A$2:$A$501,0),MATCH(E304,'激励事件明细'!$B$2:$B$501,0))),""))</f>
        <v/>
      </c>
      <c r="H304" s="16">
        <f>IF(A304="","",IFERROR(INDEX('激励事件明细'!$AB$2:$AB$501,IF(D304&lt;&gt;"",MATCH(D304,'激励事件明细'!$A$2:$A$501,0),MATCH(E304,'激励事件明细'!$B$2:$B$501,0))),""))</f>
        <v/>
      </c>
      <c r="I304" s="12" t="n"/>
      <c r="J304" s="13" t="n"/>
      <c r="K304" s="13" t="n"/>
      <c r="L304" s="11" t="n"/>
      <c r="M304" s="14">
        <f>IF(A304="","",IF(D304&lt;&gt;"",SUMIFS($K$2:$K$501,$D$2:$D$501,D304),SUMIFS($K$2:$K$501,$E$2:$E$501,E304)))</f>
        <v/>
      </c>
      <c r="N304" s="14">
        <f>IF(F304="","",MAX(0,F304-M304))</f>
        <v/>
      </c>
      <c r="O304" s="6">
        <f>IF(A304="","",IF(AND(I304&lt;&gt;"",I304&gt;H304),"是",IF(AND(TODAY()&gt;H304,N304&gt;0),"是","否")))</f>
        <v/>
      </c>
      <c r="P304" s="16">
        <f>IF(A304="","",IFERROR(INDEX('激励事件明细'!$P$2:$P$501,IF(D304&lt;&gt;"",MATCH(D304,'激励事件明细'!$A$2:$A$501,0),MATCH(E304,'激励事件明细'!$B$2:$B$501,0))),""))</f>
        <v/>
      </c>
      <c r="Q304" s="6">
        <f>IF(AND(D304="",E304=""),"异常：必须关联事件编号或税额批次",IF(AND(D304&lt;&gt;"",COUNTIF('激励事件明细'!$A$2:$A$501,D304)=0),"异常：事件编号不存在",IF(AND(E304&lt;&gt;"",COUNTIF('激励事件明细'!$B$2:$B$501,E304)=0),"异常：税额批次不存在",IF(M304&gt;F304,"异常：本批次超额缴税",IF(AND(I304&lt;&gt;"",I304&gt;H304),"异常：超过事件截止日",IF(AND(P304&lt;&gt;"",TODAY()&gt;=P304,N304&gt;0),"异常：离职前未缴清","正常"))))))</f>
        <v/>
      </c>
      <c r="R304" s="11" t="n"/>
    </row>
    <row r="305">
      <c r="A305" s="6">
        <f>IF(AND(D305="",E305=""),"",IFERROR(INDEX('激励事件明细'!$C$2:$C$501,IF(D305&lt;&gt;"",MATCH(D305,'激励事件明细'!$A$2:$A$501,0),MATCH(E305,'激励事件明细'!$B$2:$B$501,0))),""))</f>
        <v/>
      </c>
      <c r="B305" s="6">
        <f>IF(A305="","",IFERROR(INDEX('激励事件明细'!$D$2:$D$501,IF(D305&lt;&gt;"",MATCH(D305,'激励事件明细'!$A$2:$A$501,0),MATCH(E305,'激励事件明细'!$B$2:$B$501,0))),""))</f>
        <v/>
      </c>
      <c r="C305" s="6">
        <f>IF(A305="","",IFERROR(INDEX('激励事件明细'!$H$2:$H$501,IF(D305&lt;&gt;"",MATCH(D305,'激励事件明细'!$A$2:$A$501,0),MATCH(E305,'激励事件明细'!$B$2:$B$501,0))),""))</f>
        <v/>
      </c>
      <c r="D305" s="11" t="n"/>
      <c r="E305" s="11" t="n"/>
      <c r="F305" s="14">
        <f>IF(A305="","",IFERROR(INDEX('激励事件明细'!$Z$2:$Z$501,IF(D305&lt;&gt;"",MATCH(D305,'激励事件明细'!$A$2:$A$501,0),MATCH(E305,'激励事件明细'!$B$2:$B$501,0))),""))</f>
        <v/>
      </c>
      <c r="G305" s="16">
        <f>IF(A305="","",IFERROR(INDEX('激励事件明细'!$AA$2:$AA$501,IF(D305&lt;&gt;"",MATCH(D305,'激励事件明细'!$A$2:$A$501,0),MATCH(E305,'激励事件明细'!$B$2:$B$501,0))),""))</f>
        <v/>
      </c>
      <c r="H305" s="16">
        <f>IF(A305="","",IFERROR(INDEX('激励事件明细'!$AB$2:$AB$501,IF(D305&lt;&gt;"",MATCH(D305,'激励事件明细'!$A$2:$A$501,0),MATCH(E305,'激励事件明细'!$B$2:$B$501,0))),""))</f>
        <v/>
      </c>
      <c r="I305" s="12" t="n"/>
      <c r="J305" s="13" t="n"/>
      <c r="K305" s="13" t="n"/>
      <c r="L305" s="11" t="n"/>
      <c r="M305" s="14">
        <f>IF(A305="","",IF(D305&lt;&gt;"",SUMIFS($K$2:$K$501,$D$2:$D$501,D305),SUMIFS($K$2:$K$501,$E$2:$E$501,E305)))</f>
        <v/>
      </c>
      <c r="N305" s="14">
        <f>IF(F305="","",MAX(0,F305-M305))</f>
        <v/>
      </c>
      <c r="O305" s="6">
        <f>IF(A305="","",IF(AND(I305&lt;&gt;"",I305&gt;H305),"是",IF(AND(TODAY()&gt;H305,N305&gt;0),"是","否")))</f>
        <v/>
      </c>
      <c r="P305" s="16">
        <f>IF(A305="","",IFERROR(INDEX('激励事件明细'!$P$2:$P$501,IF(D305&lt;&gt;"",MATCH(D305,'激励事件明细'!$A$2:$A$501,0),MATCH(E305,'激励事件明细'!$B$2:$B$501,0))),""))</f>
        <v/>
      </c>
      <c r="Q305" s="6">
        <f>IF(AND(D305="",E305=""),"异常：必须关联事件编号或税额批次",IF(AND(D305&lt;&gt;"",COUNTIF('激励事件明细'!$A$2:$A$501,D305)=0),"异常：事件编号不存在",IF(AND(E305&lt;&gt;"",COUNTIF('激励事件明细'!$B$2:$B$501,E305)=0),"异常：税额批次不存在",IF(M305&gt;F305,"异常：本批次超额缴税",IF(AND(I305&lt;&gt;"",I305&gt;H305),"异常：超过事件截止日",IF(AND(P305&lt;&gt;"",TODAY()&gt;=P305,N305&gt;0),"异常：离职前未缴清","正常"))))))</f>
        <v/>
      </c>
      <c r="R305" s="11" t="n"/>
    </row>
    <row r="306">
      <c r="A306" s="6">
        <f>IF(AND(D306="",E306=""),"",IFERROR(INDEX('激励事件明细'!$C$2:$C$501,IF(D306&lt;&gt;"",MATCH(D306,'激励事件明细'!$A$2:$A$501,0),MATCH(E306,'激励事件明细'!$B$2:$B$501,0))),""))</f>
        <v/>
      </c>
      <c r="B306" s="6">
        <f>IF(A306="","",IFERROR(INDEX('激励事件明细'!$D$2:$D$501,IF(D306&lt;&gt;"",MATCH(D306,'激励事件明细'!$A$2:$A$501,0),MATCH(E306,'激励事件明细'!$B$2:$B$501,0))),""))</f>
        <v/>
      </c>
      <c r="C306" s="6">
        <f>IF(A306="","",IFERROR(INDEX('激励事件明细'!$H$2:$H$501,IF(D306&lt;&gt;"",MATCH(D306,'激励事件明细'!$A$2:$A$501,0),MATCH(E306,'激励事件明细'!$B$2:$B$501,0))),""))</f>
        <v/>
      </c>
      <c r="D306" s="11" t="n"/>
      <c r="E306" s="11" t="n"/>
      <c r="F306" s="14">
        <f>IF(A306="","",IFERROR(INDEX('激励事件明细'!$Z$2:$Z$501,IF(D306&lt;&gt;"",MATCH(D306,'激励事件明细'!$A$2:$A$501,0),MATCH(E306,'激励事件明细'!$B$2:$B$501,0))),""))</f>
        <v/>
      </c>
      <c r="G306" s="16">
        <f>IF(A306="","",IFERROR(INDEX('激励事件明细'!$AA$2:$AA$501,IF(D306&lt;&gt;"",MATCH(D306,'激励事件明细'!$A$2:$A$501,0),MATCH(E306,'激励事件明细'!$B$2:$B$501,0))),""))</f>
        <v/>
      </c>
      <c r="H306" s="16">
        <f>IF(A306="","",IFERROR(INDEX('激励事件明细'!$AB$2:$AB$501,IF(D306&lt;&gt;"",MATCH(D306,'激励事件明细'!$A$2:$A$501,0),MATCH(E306,'激励事件明细'!$B$2:$B$501,0))),""))</f>
        <v/>
      </c>
      <c r="I306" s="12" t="n"/>
      <c r="J306" s="13" t="n"/>
      <c r="K306" s="13" t="n"/>
      <c r="L306" s="11" t="n"/>
      <c r="M306" s="14">
        <f>IF(A306="","",IF(D306&lt;&gt;"",SUMIFS($K$2:$K$501,$D$2:$D$501,D306),SUMIFS($K$2:$K$501,$E$2:$E$501,E306)))</f>
        <v/>
      </c>
      <c r="N306" s="14">
        <f>IF(F306="","",MAX(0,F306-M306))</f>
        <v/>
      </c>
      <c r="O306" s="6">
        <f>IF(A306="","",IF(AND(I306&lt;&gt;"",I306&gt;H306),"是",IF(AND(TODAY()&gt;H306,N306&gt;0),"是","否")))</f>
        <v/>
      </c>
      <c r="P306" s="16">
        <f>IF(A306="","",IFERROR(INDEX('激励事件明细'!$P$2:$P$501,IF(D306&lt;&gt;"",MATCH(D306,'激励事件明细'!$A$2:$A$501,0),MATCH(E306,'激励事件明细'!$B$2:$B$501,0))),""))</f>
        <v/>
      </c>
      <c r="Q306" s="6">
        <f>IF(AND(D306="",E306=""),"异常：必须关联事件编号或税额批次",IF(AND(D306&lt;&gt;"",COUNTIF('激励事件明细'!$A$2:$A$501,D306)=0),"异常：事件编号不存在",IF(AND(E306&lt;&gt;"",COUNTIF('激励事件明细'!$B$2:$B$501,E306)=0),"异常：税额批次不存在",IF(M306&gt;F306,"异常：本批次超额缴税",IF(AND(I306&lt;&gt;"",I306&gt;H306),"异常：超过事件截止日",IF(AND(P306&lt;&gt;"",TODAY()&gt;=P306,N306&gt;0),"异常：离职前未缴清","正常"))))))</f>
        <v/>
      </c>
      <c r="R306" s="11" t="n"/>
    </row>
    <row r="307">
      <c r="A307" s="6">
        <f>IF(AND(D307="",E307=""),"",IFERROR(INDEX('激励事件明细'!$C$2:$C$501,IF(D307&lt;&gt;"",MATCH(D307,'激励事件明细'!$A$2:$A$501,0),MATCH(E307,'激励事件明细'!$B$2:$B$501,0))),""))</f>
        <v/>
      </c>
      <c r="B307" s="6">
        <f>IF(A307="","",IFERROR(INDEX('激励事件明细'!$D$2:$D$501,IF(D307&lt;&gt;"",MATCH(D307,'激励事件明细'!$A$2:$A$501,0),MATCH(E307,'激励事件明细'!$B$2:$B$501,0))),""))</f>
        <v/>
      </c>
      <c r="C307" s="6">
        <f>IF(A307="","",IFERROR(INDEX('激励事件明细'!$H$2:$H$501,IF(D307&lt;&gt;"",MATCH(D307,'激励事件明细'!$A$2:$A$501,0),MATCH(E307,'激励事件明细'!$B$2:$B$501,0))),""))</f>
        <v/>
      </c>
      <c r="D307" s="11" t="n"/>
      <c r="E307" s="11" t="n"/>
      <c r="F307" s="14">
        <f>IF(A307="","",IFERROR(INDEX('激励事件明细'!$Z$2:$Z$501,IF(D307&lt;&gt;"",MATCH(D307,'激励事件明细'!$A$2:$A$501,0),MATCH(E307,'激励事件明细'!$B$2:$B$501,0))),""))</f>
        <v/>
      </c>
      <c r="G307" s="16">
        <f>IF(A307="","",IFERROR(INDEX('激励事件明细'!$AA$2:$AA$501,IF(D307&lt;&gt;"",MATCH(D307,'激励事件明细'!$A$2:$A$501,0),MATCH(E307,'激励事件明细'!$B$2:$B$501,0))),""))</f>
        <v/>
      </c>
      <c r="H307" s="16">
        <f>IF(A307="","",IFERROR(INDEX('激励事件明细'!$AB$2:$AB$501,IF(D307&lt;&gt;"",MATCH(D307,'激励事件明细'!$A$2:$A$501,0),MATCH(E307,'激励事件明细'!$B$2:$B$501,0))),""))</f>
        <v/>
      </c>
      <c r="I307" s="12" t="n"/>
      <c r="J307" s="13" t="n"/>
      <c r="K307" s="13" t="n"/>
      <c r="L307" s="11" t="n"/>
      <c r="M307" s="14">
        <f>IF(A307="","",IF(D307&lt;&gt;"",SUMIFS($K$2:$K$501,$D$2:$D$501,D307),SUMIFS($K$2:$K$501,$E$2:$E$501,E307)))</f>
        <v/>
      </c>
      <c r="N307" s="14">
        <f>IF(F307="","",MAX(0,F307-M307))</f>
        <v/>
      </c>
      <c r="O307" s="6">
        <f>IF(A307="","",IF(AND(I307&lt;&gt;"",I307&gt;H307),"是",IF(AND(TODAY()&gt;H307,N307&gt;0),"是","否")))</f>
        <v/>
      </c>
      <c r="P307" s="16">
        <f>IF(A307="","",IFERROR(INDEX('激励事件明细'!$P$2:$P$501,IF(D307&lt;&gt;"",MATCH(D307,'激励事件明细'!$A$2:$A$501,0),MATCH(E307,'激励事件明细'!$B$2:$B$501,0))),""))</f>
        <v/>
      </c>
      <c r="Q307" s="6">
        <f>IF(AND(D307="",E307=""),"异常：必须关联事件编号或税额批次",IF(AND(D307&lt;&gt;"",COUNTIF('激励事件明细'!$A$2:$A$501,D307)=0),"异常：事件编号不存在",IF(AND(E307&lt;&gt;"",COUNTIF('激励事件明细'!$B$2:$B$501,E307)=0),"异常：税额批次不存在",IF(M307&gt;F307,"异常：本批次超额缴税",IF(AND(I307&lt;&gt;"",I307&gt;H307),"异常：超过事件截止日",IF(AND(P307&lt;&gt;"",TODAY()&gt;=P307,N307&gt;0),"异常：离职前未缴清","正常"))))))</f>
        <v/>
      </c>
      <c r="R307" s="11" t="n"/>
    </row>
    <row r="308">
      <c r="A308" s="6">
        <f>IF(AND(D308="",E308=""),"",IFERROR(INDEX('激励事件明细'!$C$2:$C$501,IF(D308&lt;&gt;"",MATCH(D308,'激励事件明细'!$A$2:$A$501,0),MATCH(E308,'激励事件明细'!$B$2:$B$501,0))),""))</f>
        <v/>
      </c>
      <c r="B308" s="6">
        <f>IF(A308="","",IFERROR(INDEX('激励事件明细'!$D$2:$D$501,IF(D308&lt;&gt;"",MATCH(D308,'激励事件明细'!$A$2:$A$501,0),MATCH(E308,'激励事件明细'!$B$2:$B$501,0))),""))</f>
        <v/>
      </c>
      <c r="C308" s="6">
        <f>IF(A308="","",IFERROR(INDEX('激励事件明细'!$H$2:$H$501,IF(D308&lt;&gt;"",MATCH(D308,'激励事件明细'!$A$2:$A$501,0),MATCH(E308,'激励事件明细'!$B$2:$B$501,0))),""))</f>
        <v/>
      </c>
      <c r="D308" s="11" t="n"/>
      <c r="E308" s="11" t="n"/>
      <c r="F308" s="14">
        <f>IF(A308="","",IFERROR(INDEX('激励事件明细'!$Z$2:$Z$501,IF(D308&lt;&gt;"",MATCH(D308,'激励事件明细'!$A$2:$A$501,0),MATCH(E308,'激励事件明细'!$B$2:$B$501,0))),""))</f>
        <v/>
      </c>
      <c r="G308" s="16">
        <f>IF(A308="","",IFERROR(INDEX('激励事件明细'!$AA$2:$AA$501,IF(D308&lt;&gt;"",MATCH(D308,'激励事件明细'!$A$2:$A$501,0),MATCH(E308,'激励事件明细'!$B$2:$B$501,0))),""))</f>
        <v/>
      </c>
      <c r="H308" s="16">
        <f>IF(A308="","",IFERROR(INDEX('激励事件明细'!$AB$2:$AB$501,IF(D308&lt;&gt;"",MATCH(D308,'激励事件明细'!$A$2:$A$501,0),MATCH(E308,'激励事件明细'!$B$2:$B$501,0))),""))</f>
        <v/>
      </c>
      <c r="I308" s="12" t="n"/>
      <c r="J308" s="13" t="n"/>
      <c r="K308" s="13" t="n"/>
      <c r="L308" s="11" t="n"/>
      <c r="M308" s="14">
        <f>IF(A308="","",IF(D308&lt;&gt;"",SUMIFS($K$2:$K$501,$D$2:$D$501,D308),SUMIFS($K$2:$K$501,$E$2:$E$501,E308)))</f>
        <v/>
      </c>
      <c r="N308" s="14">
        <f>IF(F308="","",MAX(0,F308-M308))</f>
        <v/>
      </c>
      <c r="O308" s="6">
        <f>IF(A308="","",IF(AND(I308&lt;&gt;"",I308&gt;H308),"是",IF(AND(TODAY()&gt;H308,N308&gt;0),"是","否")))</f>
        <v/>
      </c>
      <c r="P308" s="16">
        <f>IF(A308="","",IFERROR(INDEX('激励事件明细'!$P$2:$P$501,IF(D308&lt;&gt;"",MATCH(D308,'激励事件明细'!$A$2:$A$501,0),MATCH(E308,'激励事件明细'!$B$2:$B$501,0))),""))</f>
        <v/>
      </c>
      <c r="Q308" s="6">
        <f>IF(AND(D308="",E308=""),"异常：必须关联事件编号或税额批次",IF(AND(D308&lt;&gt;"",COUNTIF('激励事件明细'!$A$2:$A$501,D308)=0),"异常：事件编号不存在",IF(AND(E308&lt;&gt;"",COUNTIF('激励事件明细'!$B$2:$B$501,E308)=0),"异常：税额批次不存在",IF(M308&gt;F308,"异常：本批次超额缴税",IF(AND(I308&lt;&gt;"",I308&gt;H308),"异常：超过事件截止日",IF(AND(P308&lt;&gt;"",TODAY()&gt;=P308,N308&gt;0),"异常：离职前未缴清","正常"))))))</f>
        <v/>
      </c>
      <c r="R308" s="11" t="n"/>
    </row>
    <row r="309">
      <c r="A309" s="6">
        <f>IF(AND(D309="",E309=""),"",IFERROR(INDEX('激励事件明细'!$C$2:$C$501,IF(D309&lt;&gt;"",MATCH(D309,'激励事件明细'!$A$2:$A$501,0),MATCH(E309,'激励事件明细'!$B$2:$B$501,0))),""))</f>
        <v/>
      </c>
      <c r="B309" s="6">
        <f>IF(A309="","",IFERROR(INDEX('激励事件明细'!$D$2:$D$501,IF(D309&lt;&gt;"",MATCH(D309,'激励事件明细'!$A$2:$A$501,0),MATCH(E309,'激励事件明细'!$B$2:$B$501,0))),""))</f>
        <v/>
      </c>
      <c r="C309" s="6">
        <f>IF(A309="","",IFERROR(INDEX('激励事件明细'!$H$2:$H$501,IF(D309&lt;&gt;"",MATCH(D309,'激励事件明细'!$A$2:$A$501,0),MATCH(E309,'激励事件明细'!$B$2:$B$501,0))),""))</f>
        <v/>
      </c>
      <c r="D309" s="11" t="n"/>
      <c r="E309" s="11" t="n"/>
      <c r="F309" s="14">
        <f>IF(A309="","",IFERROR(INDEX('激励事件明细'!$Z$2:$Z$501,IF(D309&lt;&gt;"",MATCH(D309,'激励事件明细'!$A$2:$A$501,0),MATCH(E309,'激励事件明细'!$B$2:$B$501,0))),""))</f>
        <v/>
      </c>
      <c r="G309" s="16">
        <f>IF(A309="","",IFERROR(INDEX('激励事件明细'!$AA$2:$AA$501,IF(D309&lt;&gt;"",MATCH(D309,'激励事件明细'!$A$2:$A$501,0),MATCH(E309,'激励事件明细'!$B$2:$B$501,0))),""))</f>
        <v/>
      </c>
      <c r="H309" s="16">
        <f>IF(A309="","",IFERROR(INDEX('激励事件明细'!$AB$2:$AB$501,IF(D309&lt;&gt;"",MATCH(D309,'激励事件明细'!$A$2:$A$501,0),MATCH(E309,'激励事件明细'!$B$2:$B$501,0))),""))</f>
        <v/>
      </c>
      <c r="I309" s="12" t="n"/>
      <c r="J309" s="13" t="n"/>
      <c r="K309" s="13" t="n"/>
      <c r="L309" s="11" t="n"/>
      <c r="M309" s="14">
        <f>IF(A309="","",IF(D309&lt;&gt;"",SUMIFS($K$2:$K$501,$D$2:$D$501,D309),SUMIFS($K$2:$K$501,$E$2:$E$501,E309)))</f>
        <v/>
      </c>
      <c r="N309" s="14">
        <f>IF(F309="","",MAX(0,F309-M309))</f>
        <v/>
      </c>
      <c r="O309" s="6">
        <f>IF(A309="","",IF(AND(I309&lt;&gt;"",I309&gt;H309),"是",IF(AND(TODAY()&gt;H309,N309&gt;0),"是","否")))</f>
        <v/>
      </c>
      <c r="P309" s="16">
        <f>IF(A309="","",IFERROR(INDEX('激励事件明细'!$P$2:$P$501,IF(D309&lt;&gt;"",MATCH(D309,'激励事件明细'!$A$2:$A$501,0),MATCH(E309,'激励事件明细'!$B$2:$B$501,0))),""))</f>
        <v/>
      </c>
      <c r="Q309" s="6">
        <f>IF(AND(D309="",E309=""),"异常：必须关联事件编号或税额批次",IF(AND(D309&lt;&gt;"",COUNTIF('激励事件明细'!$A$2:$A$501,D309)=0),"异常：事件编号不存在",IF(AND(E309&lt;&gt;"",COUNTIF('激励事件明细'!$B$2:$B$501,E309)=0),"异常：税额批次不存在",IF(M309&gt;F309,"异常：本批次超额缴税",IF(AND(I309&lt;&gt;"",I309&gt;H309),"异常：超过事件截止日",IF(AND(P309&lt;&gt;"",TODAY()&gt;=P309,N309&gt;0),"异常：离职前未缴清","正常"))))))</f>
        <v/>
      </c>
      <c r="R309" s="11" t="n"/>
    </row>
    <row r="310">
      <c r="A310" s="6">
        <f>IF(AND(D310="",E310=""),"",IFERROR(INDEX('激励事件明细'!$C$2:$C$501,IF(D310&lt;&gt;"",MATCH(D310,'激励事件明细'!$A$2:$A$501,0),MATCH(E310,'激励事件明细'!$B$2:$B$501,0))),""))</f>
        <v/>
      </c>
      <c r="B310" s="6">
        <f>IF(A310="","",IFERROR(INDEX('激励事件明细'!$D$2:$D$501,IF(D310&lt;&gt;"",MATCH(D310,'激励事件明细'!$A$2:$A$501,0),MATCH(E310,'激励事件明细'!$B$2:$B$501,0))),""))</f>
        <v/>
      </c>
      <c r="C310" s="6">
        <f>IF(A310="","",IFERROR(INDEX('激励事件明细'!$H$2:$H$501,IF(D310&lt;&gt;"",MATCH(D310,'激励事件明细'!$A$2:$A$501,0),MATCH(E310,'激励事件明细'!$B$2:$B$501,0))),""))</f>
        <v/>
      </c>
      <c r="D310" s="11" t="n"/>
      <c r="E310" s="11" t="n"/>
      <c r="F310" s="14">
        <f>IF(A310="","",IFERROR(INDEX('激励事件明细'!$Z$2:$Z$501,IF(D310&lt;&gt;"",MATCH(D310,'激励事件明细'!$A$2:$A$501,0),MATCH(E310,'激励事件明细'!$B$2:$B$501,0))),""))</f>
        <v/>
      </c>
      <c r="G310" s="16">
        <f>IF(A310="","",IFERROR(INDEX('激励事件明细'!$AA$2:$AA$501,IF(D310&lt;&gt;"",MATCH(D310,'激励事件明细'!$A$2:$A$501,0),MATCH(E310,'激励事件明细'!$B$2:$B$501,0))),""))</f>
        <v/>
      </c>
      <c r="H310" s="16">
        <f>IF(A310="","",IFERROR(INDEX('激励事件明细'!$AB$2:$AB$501,IF(D310&lt;&gt;"",MATCH(D310,'激励事件明细'!$A$2:$A$501,0),MATCH(E310,'激励事件明细'!$B$2:$B$501,0))),""))</f>
        <v/>
      </c>
      <c r="I310" s="12" t="n"/>
      <c r="J310" s="13" t="n"/>
      <c r="K310" s="13" t="n"/>
      <c r="L310" s="11" t="n"/>
      <c r="M310" s="14">
        <f>IF(A310="","",IF(D310&lt;&gt;"",SUMIFS($K$2:$K$501,$D$2:$D$501,D310),SUMIFS($K$2:$K$501,$E$2:$E$501,E310)))</f>
        <v/>
      </c>
      <c r="N310" s="14">
        <f>IF(F310="","",MAX(0,F310-M310))</f>
        <v/>
      </c>
      <c r="O310" s="6">
        <f>IF(A310="","",IF(AND(I310&lt;&gt;"",I310&gt;H310),"是",IF(AND(TODAY()&gt;H310,N310&gt;0),"是","否")))</f>
        <v/>
      </c>
      <c r="P310" s="16">
        <f>IF(A310="","",IFERROR(INDEX('激励事件明细'!$P$2:$P$501,IF(D310&lt;&gt;"",MATCH(D310,'激励事件明细'!$A$2:$A$501,0),MATCH(E310,'激励事件明细'!$B$2:$B$501,0))),""))</f>
        <v/>
      </c>
      <c r="Q310" s="6">
        <f>IF(AND(D310="",E310=""),"异常：必须关联事件编号或税额批次",IF(AND(D310&lt;&gt;"",COUNTIF('激励事件明细'!$A$2:$A$501,D310)=0),"异常：事件编号不存在",IF(AND(E310&lt;&gt;"",COUNTIF('激励事件明细'!$B$2:$B$501,E310)=0),"异常：税额批次不存在",IF(M310&gt;F310,"异常：本批次超额缴税",IF(AND(I310&lt;&gt;"",I310&gt;H310),"异常：超过事件截止日",IF(AND(P310&lt;&gt;"",TODAY()&gt;=P310,N310&gt;0),"异常：离职前未缴清","正常"))))))</f>
        <v/>
      </c>
      <c r="R310" s="11" t="n"/>
    </row>
    <row r="311">
      <c r="A311" s="6">
        <f>IF(AND(D311="",E311=""),"",IFERROR(INDEX('激励事件明细'!$C$2:$C$501,IF(D311&lt;&gt;"",MATCH(D311,'激励事件明细'!$A$2:$A$501,0),MATCH(E311,'激励事件明细'!$B$2:$B$501,0))),""))</f>
        <v/>
      </c>
      <c r="B311" s="6">
        <f>IF(A311="","",IFERROR(INDEX('激励事件明细'!$D$2:$D$501,IF(D311&lt;&gt;"",MATCH(D311,'激励事件明细'!$A$2:$A$501,0),MATCH(E311,'激励事件明细'!$B$2:$B$501,0))),""))</f>
        <v/>
      </c>
      <c r="C311" s="6">
        <f>IF(A311="","",IFERROR(INDEX('激励事件明细'!$H$2:$H$501,IF(D311&lt;&gt;"",MATCH(D311,'激励事件明细'!$A$2:$A$501,0),MATCH(E311,'激励事件明细'!$B$2:$B$501,0))),""))</f>
        <v/>
      </c>
      <c r="D311" s="11" t="n"/>
      <c r="E311" s="11" t="n"/>
      <c r="F311" s="14">
        <f>IF(A311="","",IFERROR(INDEX('激励事件明细'!$Z$2:$Z$501,IF(D311&lt;&gt;"",MATCH(D311,'激励事件明细'!$A$2:$A$501,0),MATCH(E311,'激励事件明细'!$B$2:$B$501,0))),""))</f>
        <v/>
      </c>
      <c r="G311" s="16">
        <f>IF(A311="","",IFERROR(INDEX('激励事件明细'!$AA$2:$AA$501,IF(D311&lt;&gt;"",MATCH(D311,'激励事件明细'!$A$2:$A$501,0),MATCH(E311,'激励事件明细'!$B$2:$B$501,0))),""))</f>
        <v/>
      </c>
      <c r="H311" s="16">
        <f>IF(A311="","",IFERROR(INDEX('激励事件明细'!$AB$2:$AB$501,IF(D311&lt;&gt;"",MATCH(D311,'激励事件明细'!$A$2:$A$501,0),MATCH(E311,'激励事件明细'!$B$2:$B$501,0))),""))</f>
        <v/>
      </c>
      <c r="I311" s="12" t="n"/>
      <c r="J311" s="13" t="n"/>
      <c r="K311" s="13" t="n"/>
      <c r="L311" s="11" t="n"/>
      <c r="M311" s="14">
        <f>IF(A311="","",IF(D311&lt;&gt;"",SUMIFS($K$2:$K$501,$D$2:$D$501,D311),SUMIFS($K$2:$K$501,$E$2:$E$501,E311)))</f>
        <v/>
      </c>
      <c r="N311" s="14">
        <f>IF(F311="","",MAX(0,F311-M311))</f>
        <v/>
      </c>
      <c r="O311" s="6">
        <f>IF(A311="","",IF(AND(I311&lt;&gt;"",I311&gt;H311),"是",IF(AND(TODAY()&gt;H311,N311&gt;0),"是","否")))</f>
        <v/>
      </c>
      <c r="P311" s="16">
        <f>IF(A311="","",IFERROR(INDEX('激励事件明细'!$P$2:$P$501,IF(D311&lt;&gt;"",MATCH(D311,'激励事件明细'!$A$2:$A$501,0),MATCH(E311,'激励事件明细'!$B$2:$B$501,0))),""))</f>
        <v/>
      </c>
      <c r="Q311" s="6">
        <f>IF(AND(D311="",E311=""),"异常：必须关联事件编号或税额批次",IF(AND(D311&lt;&gt;"",COUNTIF('激励事件明细'!$A$2:$A$501,D311)=0),"异常：事件编号不存在",IF(AND(E311&lt;&gt;"",COUNTIF('激励事件明细'!$B$2:$B$501,E311)=0),"异常：税额批次不存在",IF(M311&gt;F311,"异常：本批次超额缴税",IF(AND(I311&lt;&gt;"",I311&gt;H311),"异常：超过事件截止日",IF(AND(P311&lt;&gt;"",TODAY()&gt;=P311,N311&gt;0),"异常：离职前未缴清","正常"))))))</f>
        <v/>
      </c>
      <c r="R311" s="11" t="n"/>
    </row>
    <row r="312">
      <c r="A312" s="6">
        <f>IF(AND(D312="",E312=""),"",IFERROR(INDEX('激励事件明细'!$C$2:$C$501,IF(D312&lt;&gt;"",MATCH(D312,'激励事件明细'!$A$2:$A$501,0),MATCH(E312,'激励事件明细'!$B$2:$B$501,0))),""))</f>
        <v/>
      </c>
      <c r="B312" s="6">
        <f>IF(A312="","",IFERROR(INDEX('激励事件明细'!$D$2:$D$501,IF(D312&lt;&gt;"",MATCH(D312,'激励事件明细'!$A$2:$A$501,0),MATCH(E312,'激励事件明细'!$B$2:$B$501,0))),""))</f>
        <v/>
      </c>
      <c r="C312" s="6">
        <f>IF(A312="","",IFERROR(INDEX('激励事件明细'!$H$2:$H$501,IF(D312&lt;&gt;"",MATCH(D312,'激励事件明细'!$A$2:$A$501,0),MATCH(E312,'激励事件明细'!$B$2:$B$501,0))),""))</f>
        <v/>
      </c>
      <c r="D312" s="11" t="n"/>
      <c r="E312" s="11" t="n"/>
      <c r="F312" s="14">
        <f>IF(A312="","",IFERROR(INDEX('激励事件明细'!$Z$2:$Z$501,IF(D312&lt;&gt;"",MATCH(D312,'激励事件明细'!$A$2:$A$501,0),MATCH(E312,'激励事件明细'!$B$2:$B$501,0))),""))</f>
        <v/>
      </c>
      <c r="G312" s="16">
        <f>IF(A312="","",IFERROR(INDEX('激励事件明细'!$AA$2:$AA$501,IF(D312&lt;&gt;"",MATCH(D312,'激励事件明细'!$A$2:$A$501,0),MATCH(E312,'激励事件明细'!$B$2:$B$501,0))),""))</f>
        <v/>
      </c>
      <c r="H312" s="16">
        <f>IF(A312="","",IFERROR(INDEX('激励事件明细'!$AB$2:$AB$501,IF(D312&lt;&gt;"",MATCH(D312,'激励事件明细'!$A$2:$A$501,0),MATCH(E312,'激励事件明细'!$B$2:$B$501,0))),""))</f>
        <v/>
      </c>
      <c r="I312" s="12" t="n"/>
      <c r="J312" s="13" t="n"/>
      <c r="K312" s="13" t="n"/>
      <c r="L312" s="11" t="n"/>
      <c r="M312" s="14">
        <f>IF(A312="","",IF(D312&lt;&gt;"",SUMIFS($K$2:$K$501,$D$2:$D$501,D312),SUMIFS($K$2:$K$501,$E$2:$E$501,E312)))</f>
        <v/>
      </c>
      <c r="N312" s="14">
        <f>IF(F312="","",MAX(0,F312-M312))</f>
        <v/>
      </c>
      <c r="O312" s="6">
        <f>IF(A312="","",IF(AND(I312&lt;&gt;"",I312&gt;H312),"是",IF(AND(TODAY()&gt;H312,N312&gt;0),"是","否")))</f>
        <v/>
      </c>
      <c r="P312" s="16">
        <f>IF(A312="","",IFERROR(INDEX('激励事件明细'!$P$2:$P$501,IF(D312&lt;&gt;"",MATCH(D312,'激励事件明细'!$A$2:$A$501,0),MATCH(E312,'激励事件明细'!$B$2:$B$501,0))),""))</f>
        <v/>
      </c>
      <c r="Q312" s="6">
        <f>IF(AND(D312="",E312=""),"异常：必须关联事件编号或税额批次",IF(AND(D312&lt;&gt;"",COUNTIF('激励事件明细'!$A$2:$A$501,D312)=0),"异常：事件编号不存在",IF(AND(E312&lt;&gt;"",COUNTIF('激励事件明细'!$B$2:$B$501,E312)=0),"异常：税额批次不存在",IF(M312&gt;F312,"异常：本批次超额缴税",IF(AND(I312&lt;&gt;"",I312&gt;H312),"异常：超过事件截止日",IF(AND(P312&lt;&gt;"",TODAY()&gt;=P312,N312&gt;0),"异常：离职前未缴清","正常"))))))</f>
        <v/>
      </c>
      <c r="R312" s="11" t="n"/>
    </row>
    <row r="313">
      <c r="A313" s="6">
        <f>IF(AND(D313="",E313=""),"",IFERROR(INDEX('激励事件明细'!$C$2:$C$501,IF(D313&lt;&gt;"",MATCH(D313,'激励事件明细'!$A$2:$A$501,0),MATCH(E313,'激励事件明细'!$B$2:$B$501,0))),""))</f>
        <v/>
      </c>
      <c r="B313" s="6">
        <f>IF(A313="","",IFERROR(INDEX('激励事件明细'!$D$2:$D$501,IF(D313&lt;&gt;"",MATCH(D313,'激励事件明细'!$A$2:$A$501,0),MATCH(E313,'激励事件明细'!$B$2:$B$501,0))),""))</f>
        <v/>
      </c>
      <c r="C313" s="6">
        <f>IF(A313="","",IFERROR(INDEX('激励事件明细'!$H$2:$H$501,IF(D313&lt;&gt;"",MATCH(D313,'激励事件明细'!$A$2:$A$501,0),MATCH(E313,'激励事件明细'!$B$2:$B$501,0))),""))</f>
        <v/>
      </c>
      <c r="D313" s="11" t="n"/>
      <c r="E313" s="11" t="n"/>
      <c r="F313" s="14">
        <f>IF(A313="","",IFERROR(INDEX('激励事件明细'!$Z$2:$Z$501,IF(D313&lt;&gt;"",MATCH(D313,'激励事件明细'!$A$2:$A$501,0),MATCH(E313,'激励事件明细'!$B$2:$B$501,0))),""))</f>
        <v/>
      </c>
      <c r="G313" s="16">
        <f>IF(A313="","",IFERROR(INDEX('激励事件明细'!$AA$2:$AA$501,IF(D313&lt;&gt;"",MATCH(D313,'激励事件明细'!$A$2:$A$501,0),MATCH(E313,'激励事件明细'!$B$2:$B$501,0))),""))</f>
        <v/>
      </c>
      <c r="H313" s="16">
        <f>IF(A313="","",IFERROR(INDEX('激励事件明细'!$AB$2:$AB$501,IF(D313&lt;&gt;"",MATCH(D313,'激励事件明细'!$A$2:$A$501,0),MATCH(E313,'激励事件明细'!$B$2:$B$501,0))),""))</f>
        <v/>
      </c>
      <c r="I313" s="12" t="n"/>
      <c r="J313" s="13" t="n"/>
      <c r="K313" s="13" t="n"/>
      <c r="L313" s="11" t="n"/>
      <c r="M313" s="14">
        <f>IF(A313="","",IF(D313&lt;&gt;"",SUMIFS($K$2:$K$501,$D$2:$D$501,D313),SUMIFS($K$2:$K$501,$E$2:$E$501,E313)))</f>
        <v/>
      </c>
      <c r="N313" s="14">
        <f>IF(F313="","",MAX(0,F313-M313))</f>
        <v/>
      </c>
      <c r="O313" s="6">
        <f>IF(A313="","",IF(AND(I313&lt;&gt;"",I313&gt;H313),"是",IF(AND(TODAY()&gt;H313,N313&gt;0),"是","否")))</f>
        <v/>
      </c>
      <c r="P313" s="16">
        <f>IF(A313="","",IFERROR(INDEX('激励事件明细'!$P$2:$P$501,IF(D313&lt;&gt;"",MATCH(D313,'激励事件明细'!$A$2:$A$501,0),MATCH(E313,'激励事件明细'!$B$2:$B$501,0))),""))</f>
        <v/>
      </c>
      <c r="Q313" s="6">
        <f>IF(AND(D313="",E313=""),"异常：必须关联事件编号或税额批次",IF(AND(D313&lt;&gt;"",COUNTIF('激励事件明细'!$A$2:$A$501,D313)=0),"异常：事件编号不存在",IF(AND(E313&lt;&gt;"",COUNTIF('激励事件明细'!$B$2:$B$501,E313)=0),"异常：税额批次不存在",IF(M313&gt;F313,"异常：本批次超额缴税",IF(AND(I313&lt;&gt;"",I313&gt;H313),"异常：超过事件截止日",IF(AND(P313&lt;&gt;"",TODAY()&gt;=P313,N313&gt;0),"异常：离职前未缴清","正常"))))))</f>
        <v/>
      </c>
      <c r="R313" s="11" t="n"/>
    </row>
    <row r="314">
      <c r="A314" s="6">
        <f>IF(AND(D314="",E314=""),"",IFERROR(INDEX('激励事件明细'!$C$2:$C$501,IF(D314&lt;&gt;"",MATCH(D314,'激励事件明细'!$A$2:$A$501,0),MATCH(E314,'激励事件明细'!$B$2:$B$501,0))),""))</f>
        <v/>
      </c>
      <c r="B314" s="6">
        <f>IF(A314="","",IFERROR(INDEX('激励事件明细'!$D$2:$D$501,IF(D314&lt;&gt;"",MATCH(D314,'激励事件明细'!$A$2:$A$501,0),MATCH(E314,'激励事件明细'!$B$2:$B$501,0))),""))</f>
        <v/>
      </c>
      <c r="C314" s="6">
        <f>IF(A314="","",IFERROR(INDEX('激励事件明细'!$H$2:$H$501,IF(D314&lt;&gt;"",MATCH(D314,'激励事件明细'!$A$2:$A$501,0),MATCH(E314,'激励事件明细'!$B$2:$B$501,0))),""))</f>
        <v/>
      </c>
      <c r="D314" s="11" t="n"/>
      <c r="E314" s="11" t="n"/>
      <c r="F314" s="14">
        <f>IF(A314="","",IFERROR(INDEX('激励事件明细'!$Z$2:$Z$501,IF(D314&lt;&gt;"",MATCH(D314,'激励事件明细'!$A$2:$A$501,0),MATCH(E314,'激励事件明细'!$B$2:$B$501,0))),""))</f>
        <v/>
      </c>
      <c r="G314" s="16">
        <f>IF(A314="","",IFERROR(INDEX('激励事件明细'!$AA$2:$AA$501,IF(D314&lt;&gt;"",MATCH(D314,'激励事件明细'!$A$2:$A$501,0),MATCH(E314,'激励事件明细'!$B$2:$B$501,0))),""))</f>
        <v/>
      </c>
      <c r="H314" s="16">
        <f>IF(A314="","",IFERROR(INDEX('激励事件明细'!$AB$2:$AB$501,IF(D314&lt;&gt;"",MATCH(D314,'激励事件明细'!$A$2:$A$501,0),MATCH(E314,'激励事件明细'!$B$2:$B$501,0))),""))</f>
        <v/>
      </c>
      <c r="I314" s="12" t="n"/>
      <c r="J314" s="13" t="n"/>
      <c r="K314" s="13" t="n"/>
      <c r="L314" s="11" t="n"/>
      <c r="M314" s="14">
        <f>IF(A314="","",IF(D314&lt;&gt;"",SUMIFS($K$2:$K$501,$D$2:$D$501,D314),SUMIFS($K$2:$K$501,$E$2:$E$501,E314)))</f>
        <v/>
      </c>
      <c r="N314" s="14">
        <f>IF(F314="","",MAX(0,F314-M314))</f>
        <v/>
      </c>
      <c r="O314" s="6">
        <f>IF(A314="","",IF(AND(I314&lt;&gt;"",I314&gt;H314),"是",IF(AND(TODAY()&gt;H314,N314&gt;0),"是","否")))</f>
        <v/>
      </c>
      <c r="P314" s="16">
        <f>IF(A314="","",IFERROR(INDEX('激励事件明细'!$P$2:$P$501,IF(D314&lt;&gt;"",MATCH(D314,'激励事件明细'!$A$2:$A$501,0),MATCH(E314,'激励事件明细'!$B$2:$B$501,0))),""))</f>
        <v/>
      </c>
      <c r="Q314" s="6">
        <f>IF(AND(D314="",E314=""),"异常：必须关联事件编号或税额批次",IF(AND(D314&lt;&gt;"",COUNTIF('激励事件明细'!$A$2:$A$501,D314)=0),"异常：事件编号不存在",IF(AND(E314&lt;&gt;"",COUNTIF('激励事件明细'!$B$2:$B$501,E314)=0),"异常：税额批次不存在",IF(M314&gt;F314,"异常：本批次超额缴税",IF(AND(I314&lt;&gt;"",I314&gt;H314),"异常：超过事件截止日",IF(AND(P314&lt;&gt;"",TODAY()&gt;=P314,N314&gt;0),"异常：离职前未缴清","正常"))))))</f>
        <v/>
      </c>
      <c r="R314" s="11" t="n"/>
    </row>
    <row r="315">
      <c r="A315" s="6">
        <f>IF(AND(D315="",E315=""),"",IFERROR(INDEX('激励事件明细'!$C$2:$C$501,IF(D315&lt;&gt;"",MATCH(D315,'激励事件明细'!$A$2:$A$501,0),MATCH(E315,'激励事件明细'!$B$2:$B$501,0))),""))</f>
        <v/>
      </c>
      <c r="B315" s="6">
        <f>IF(A315="","",IFERROR(INDEX('激励事件明细'!$D$2:$D$501,IF(D315&lt;&gt;"",MATCH(D315,'激励事件明细'!$A$2:$A$501,0),MATCH(E315,'激励事件明细'!$B$2:$B$501,0))),""))</f>
        <v/>
      </c>
      <c r="C315" s="6">
        <f>IF(A315="","",IFERROR(INDEX('激励事件明细'!$H$2:$H$501,IF(D315&lt;&gt;"",MATCH(D315,'激励事件明细'!$A$2:$A$501,0),MATCH(E315,'激励事件明细'!$B$2:$B$501,0))),""))</f>
        <v/>
      </c>
      <c r="D315" s="11" t="n"/>
      <c r="E315" s="11" t="n"/>
      <c r="F315" s="14">
        <f>IF(A315="","",IFERROR(INDEX('激励事件明细'!$Z$2:$Z$501,IF(D315&lt;&gt;"",MATCH(D315,'激励事件明细'!$A$2:$A$501,0),MATCH(E315,'激励事件明细'!$B$2:$B$501,0))),""))</f>
        <v/>
      </c>
      <c r="G315" s="16">
        <f>IF(A315="","",IFERROR(INDEX('激励事件明细'!$AA$2:$AA$501,IF(D315&lt;&gt;"",MATCH(D315,'激励事件明细'!$A$2:$A$501,0),MATCH(E315,'激励事件明细'!$B$2:$B$501,0))),""))</f>
        <v/>
      </c>
      <c r="H315" s="16">
        <f>IF(A315="","",IFERROR(INDEX('激励事件明细'!$AB$2:$AB$501,IF(D315&lt;&gt;"",MATCH(D315,'激励事件明细'!$A$2:$A$501,0),MATCH(E315,'激励事件明细'!$B$2:$B$501,0))),""))</f>
        <v/>
      </c>
      <c r="I315" s="12" t="n"/>
      <c r="J315" s="13" t="n"/>
      <c r="K315" s="13" t="n"/>
      <c r="L315" s="11" t="n"/>
      <c r="M315" s="14">
        <f>IF(A315="","",IF(D315&lt;&gt;"",SUMIFS($K$2:$K$501,$D$2:$D$501,D315),SUMIFS($K$2:$K$501,$E$2:$E$501,E315)))</f>
        <v/>
      </c>
      <c r="N315" s="14">
        <f>IF(F315="","",MAX(0,F315-M315))</f>
        <v/>
      </c>
      <c r="O315" s="6">
        <f>IF(A315="","",IF(AND(I315&lt;&gt;"",I315&gt;H315),"是",IF(AND(TODAY()&gt;H315,N315&gt;0),"是","否")))</f>
        <v/>
      </c>
      <c r="P315" s="16">
        <f>IF(A315="","",IFERROR(INDEX('激励事件明细'!$P$2:$P$501,IF(D315&lt;&gt;"",MATCH(D315,'激励事件明细'!$A$2:$A$501,0),MATCH(E315,'激励事件明细'!$B$2:$B$501,0))),""))</f>
        <v/>
      </c>
      <c r="Q315" s="6">
        <f>IF(AND(D315="",E315=""),"异常：必须关联事件编号或税额批次",IF(AND(D315&lt;&gt;"",COUNTIF('激励事件明细'!$A$2:$A$501,D315)=0),"异常：事件编号不存在",IF(AND(E315&lt;&gt;"",COUNTIF('激励事件明细'!$B$2:$B$501,E315)=0),"异常：税额批次不存在",IF(M315&gt;F315,"异常：本批次超额缴税",IF(AND(I315&lt;&gt;"",I315&gt;H315),"异常：超过事件截止日",IF(AND(P315&lt;&gt;"",TODAY()&gt;=P315,N315&gt;0),"异常：离职前未缴清","正常"))))))</f>
        <v/>
      </c>
      <c r="R315" s="11" t="n"/>
    </row>
    <row r="316">
      <c r="A316" s="6">
        <f>IF(AND(D316="",E316=""),"",IFERROR(INDEX('激励事件明细'!$C$2:$C$501,IF(D316&lt;&gt;"",MATCH(D316,'激励事件明细'!$A$2:$A$501,0),MATCH(E316,'激励事件明细'!$B$2:$B$501,0))),""))</f>
        <v/>
      </c>
      <c r="B316" s="6">
        <f>IF(A316="","",IFERROR(INDEX('激励事件明细'!$D$2:$D$501,IF(D316&lt;&gt;"",MATCH(D316,'激励事件明细'!$A$2:$A$501,0),MATCH(E316,'激励事件明细'!$B$2:$B$501,0))),""))</f>
        <v/>
      </c>
      <c r="C316" s="6">
        <f>IF(A316="","",IFERROR(INDEX('激励事件明细'!$H$2:$H$501,IF(D316&lt;&gt;"",MATCH(D316,'激励事件明细'!$A$2:$A$501,0),MATCH(E316,'激励事件明细'!$B$2:$B$501,0))),""))</f>
        <v/>
      </c>
      <c r="D316" s="11" t="n"/>
      <c r="E316" s="11" t="n"/>
      <c r="F316" s="14">
        <f>IF(A316="","",IFERROR(INDEX('激励事件明细'!$Z$2:$Z$501,IF(D316&lt;&gt;"",MATCH(D316,'激励事件明细'!$A$2:$A$501,0),MATCH(E316,'激励事件明细'!$B$2:$B$501,0))),""))</f>
        <v/>
      </c>
      <c r="G316" s="16">
        <f>IF(A316="","",IFERROR(INDEX('激励事件明细'!$AA$2:$AA$501,IF(D316&lt;&gt;"",MATCH(D316,'激励事件明细'!$A$2:$A$501,0),MATCH(E316,'激励事件明细'!$B$2:$B$501,0))),""))</f>
        <v/>
      </c>
      <c r="H316" s="16">
        <f>IF(A316="","",IFERROR(INDEX('激励事件明细'!$AB$2:$AB$501,IF(D316&lt;&gt;"",MATCH(D316,'激励事件明细'!$A$2:$A$501,0),MATCH(E316,'激励事件明细'!$B$2:$B$501,0))),""))</f>
        <v/>
      </c>
      <c r="I316" s="12" t="n"/>
      <c r="J316" s="13" t="n"/>
      <c r="K316" s="13" t="n"/>
      <c r="L316" s="11" t="n"/>
      <c r="M316" s="14">
        <f>IF(A316="","",IF(D316&lt;&gt;"",SUMIFS($K$2:$K$501,$D$2:$D$501,D316),SUMIFS($K$2:$K$501,$E$2:$E$501,E316)))</f>
        <v/>
      </c>
      <c r="N316" s="14">
        <f>IF(F316="","",MAX(0,F316-M316))</f>
        <v/>
      </c>
      <c r="O316" s="6">
        <f>IF(A316="","",IF(AND(I316&lt;&gt;"",I316&gt;H316),"是",IF(AND(TODAY()&gt;H316,N316&gt;0),"是","否")))</f>
        <v/>
      </c>
      <c r="P316" s="16">
        <f>IF(A316="","",IFERROR(INDEX('激励事件明细'!$P$2:$P$501,IF(D316&lt;&gt;"",MATCH(D316,'激励事件明细'!$A$2:$A$501,0),MATCH(E316,'激励事件明细'!$B$2:$B$501,0))),""))</f>
        <v/>
      </c>
      <c r="Q316" s="6">
        <f>IF(AND(D316="",E316=""),"异常：必须关联事件编号或税额批次",IF(AND(D316&lt;&gt;"",COUNTIF('激励事件明细'!$A$2:$A$501,D316)=0),"异常：事件编号不存在",IF(AND(E316&lt;&gt;"",COUNTIF('激励事件明细'!$B$2:$B$501,E316)=0),"异常：税额批次不存在",IF(M316&gt;F316,"异常：本批次超额缴税",IF(AND(I316&lt;&gt;"",I316&gt;H316),"异常：超过事件截止日",IF(AND(P316&lt;&gt;"",TODAY()&gt;=P316,N316&gt;0),"异常：离职前未缴清","正常"))))))</f>
        <v/>
      </c>
      <c r="R316" s="11" t="n"/>
    </row>
    <row r="317">
      <c r="A317" s="6">
        <f>IF(AND(D317="",E317=""),"",IFERROR(INDEX('激励事件明细'!$C$2:$C$501,IF(D317&lt;&gt;"",MATCH(D317,'激励事件明细'!$A$2:$A$501,0),MATCH(E317,'激励事件明细'!$B$2:$B$501,0))),""))</f>
        <v/>
      </c>
      <c r="B317" s="6">
        <f>IF(A317="","",IFERROR(INDEX('激励事件明细'!$D$2:$D$501,IF(D317&lt;&gt;"",MATCH(D317,'激励事件明细'!$A$2:$A$501,0),MATCH(E317,'激励事件明细'!$B$2:$B$501,0))),""))</f>
        <v/>
      </c>
      <c r="C317" s="6">
        <f>IF(A317="","",IFERROR(INDEX('激励事件明细'!$H$2:$H$501,IF(D317&lt;&gt;"",MATCH(D317,'激励事件明细'!$A$2:$A$501,0),MATCH(E317,'激励事件明细'!$B$2:$B$501,0))),""))</f>
        <v/>
      </c>
      <c r="D317" s="11" t="n"/>
      <c r="E317" s="11" t="n"/>
      <c r="F317" s="14">
        <f>IF(A317="","",IFERROR(INDEX('激励事件明细'!$Z$2:$Z$501,IF(D317&lt;&gt;"",MATCH(D317,'激励事件明细'!$A$2:$A$501,0),MATCH(E317,'激励事件明细'!$B$2:$B$501,0))),""))</f>
        <v/>
      </c>
      <c r="G317" s="16">
        <f>IF(A317="","",IFERROR(INDEX('激励事件明细'!$AA$2:$AA$501,IF(D317&lt;&gt;"",MATCH(D317,'激励事件明细'!$A$2:$A$501,0),MATCH(E317,'激励事件明细'!$B$2:$B$501,0))),""))</f>
        <v/>
      </c>
      <c r="H317" s="16">
        <f>IF(A317="","",IFERROR(INDEX('激励事件明细'!$AB$2:$AB$501,IF(D317&lt;&gt;"",MATCH(D317,'激励事件明细'!$A$2:$A$501,0),MATCH(E317,'激励事件明细'!$B$2:$B$501,0))),""))</f>
        <v/>
      </c>
      <c r="I317" s="12" t="n"/>
      <c r="J317" s="13" t="n"/>
      <c r="K317" s="13" t="n"/>
      <c r="L317" s="11" t="n"/>
      <c r="M317" s="14">
        <f>IF(A317="","",IF(D317&lt;&gt;"",SUMIFS($K$2:$K$501,$D$2:$D$501,D317),SUMIFS($K$2:$K$501,$E$2:$E$501,E317)))</f>
        <v/>
      </c>
      <c r="N317" s="14">
        <f>IF(F317="","",MAX(0,F317-M317))</f>
        <v/>
      </c>
      <c r="O317" s="6">
        <f>IF(A317="","",IF(AND(I317&lt;&gt;"",I317&gt;H317),"是",IF(AND(TODAY()&gt;H317,N317&gt;0),"是","否")))</f>
        <v/>
      </c>
      <c r="P317" s="16">
        <f>IF(A317="","",IFERROR(INDEX('激励事件明细'!$P$2:$P$501,IF(D317&lt;&gt;"",MATCH(D317,'激励事件明细'!$A$2:$A$501,0),MATCH(E317,'激励事件明细'!$B$2:$B$501,0))),""))</f>
        <v/>
      </c>
      <c r="Q317" s="6">
        <f>IF(AND(D317="",E317=""),"异常：必须关联事件编号或税额批次",IF(AND(D317&lt;&gt;"",COUNTIF('激励事件明细'!$A$2:$A$501,D317)=0),"异常：事件编号不存在",IF(AND(E317&lt;&gt;"",COUNTIF('激励事件明细'!$B$2:$B$501,E317)=0),"异常：税额批次不存在",IF(M317&gt;F317,"异常：本批次超额缴税",IF(AND(I317&lt;&gt;"",I317&gt;H317),"异常：超过事件截止日",IF(AND(P317&lt;&gt;"",TODAY()&gt;=P317,N317&gt;0),"异常：离职前未缴清","正常"))))))</f>
        <v/>
      </c>
      <c r="R317" s="11" t="n"/>
    </row>
    <row r="318">
      <c r="A318" s="6">
        <f>IF(AND(D318="",E318=""),"",IFERROR(INDEX('激励事件明细'!$C$2:$C$501,IF(D318&lt;&gt;"",MATCH(D318,'激励事件明细'!$A$2:$A$501,0),MATCH(E318,'激励事件明细'!$B$2:$B$501,0))),""))</f>
        <v/>
      </c>
      <c r="B318" s="6">
        <f>IF(A318="","",IFERROR(INDEX('激励事件明细'!$D$2:$D$501,IF(D318&lt;&gt;"",MATCH(D318,'激励事件明细'!$A$2:$A$501,0),MATCH(E318,'激励事件明细'!$B$2:$B$501,0))),""))</f>
        <v/>
      </c>
      <c r="C318" s="6">
        <f>IF(A318="","",IFERROR(INDEX('激励事件明细'!$H$2:$H$501,IF(D318&lt;&gt;"",MATCH(D318,'激励事件明细'!$A$2:$A$501,0),MATCH(E318,'激励事件明细'!$B$2:$B$501,0))),""))</f>
        <v/>
      </c>
      <c r="D318" s="11" t="n"/>
      <c r="E318" s="11" t="n"/>
      <c r="F318" s="14">
        <f>IF(A318="","",IFERROR(INDEX('激励事件明细'!$Z$2:$Z$501,IF(D318&lt;&gt;"",MATCH(D318,'激励事件明细'!$A$2:$A$501,0),MATCH(E318,'激励事件明细'!$B$2:$B$501,0))),""))</f>
        <v/>
      </c>
      <c r="G318" s="16">
        <f>IF(A318="","",IFERROR(INDEX('激励事件明细'!$AA$2:$AA$501,IF(D318&lt;&gt;"",MATCH(D318,'激励事件明细'!$A$2:$A$501,0),MATCH(E318,'激励事件明细'!$B$2:$B$501,0))),""))</f>
        <v/>
      </c>
      <c r="H318" s="16">
        <f>IF(A318="","",IFERROR(INDEX('激励事件明细'!$AB$2:$AB$501,IF(D318&lt;&gt;"",MATCH(D318,'激励事件明细'!$A$2:$A$501,0),MATCH(E318,'激励事件明细'!$B$2:$B$501,0))),""))</f>
        <v/>
      </c>
      <c r="I318" s="12" t="n"/>
      <c r="J318" s="13" t="n"/>
      <c r="K318" s="13" t="n"/>
      <c r="L318" s="11" t="n"/>
      <c r="M318" s="14">
        <f>IF(A318="","",IF(D318&lt;&gt;"",SUMIFS($K$2:$K$501,$D$2:$D$501,D318),SUMIFS($K$2:$K$501,$E$2:$E$501,E318)))</f>
        <v/>
      </c>
      <c r="N318" s="14">
        <f>IF(F318="","",MAX(0,F318-M318))</f>
        <v/>
      </c>
      <c r="O318" s="6">
        <f>IF(A318="","",IF(AND(I318&lt;&gt;"",I318&gt;H318),"是",IF(AND(TODAY()&gt;H318,N318&gt;0),"是","否")))</f>
        <v/>
      </c>
      <c r="P318" s="16">
        <f>IF(A318="","",IFERROR(INDEX('激励事件明细'!$P$2:$P$501,IF(D318&lt;&gt;"",MATCH(D318,'激励事件明细'!$A$2:$A$501,0),MATCH(E318,'激励事件明细'!$B$2:$B$501,0))),""))</f>
        <v/>
      </c>
      <c r="Q318" s="6">
        <f>IF(AND(D318="",E318=""),"异常：必须关联事件编号或税额批次",IF(AND(D318&lt;&gt;"",COUNTIF('激励事件明细'!$A$2:$A$501,D318)=0),"异常：事件编号不存在",IF(AND(E318&lt;&gt;"",COUNTIF('激励事件明细'!$B$2:$B$501,E318)=0),"异常：税额批次不存在",IF(M318&gt;F318,"异常：本批次超额缴税",IF(AND(I318&lt;&gt;"",I318&gt;H318),"异常：超过事件截止日",IF(AND(P318&lt;&gt;"",TODAY()&gt;=P318,N318&gt;0),"异常：离职前未缴清","正常"))))))</f>
        <v/>
      </c>
      <c r="R318" s="11" t="n"/>
    </row>
    <row r="319">
      <c r="A319" s="6">
        <f>IF(AND(D319="",E319=""),"",IFERROR(INDEX('激励事件明细'!$C$2:$C$501,IF(D319&lt;&gt;"",MATCH(D319,'激励事件明细'!$A$2:$A$501,0),MATCH(E319,'激励事件明细'!$B$2:$B$501,0))),""))</f>
        <v/>
      </c>
      <c r="B319" s="6">
        <f>IF(A319="","",IFERROR(INDEX('激励事件明细'!$D$2:$D$501,IF(D319&lt;&gt;"",MATCH(D319,'激励事件明细'!$A$2:$A$501,0),MATCH(E319,'激励事件明细'!$B$2:$B$501,0))),""))</f>
        <v/>
      </c>
      <c r="C319" s="6">
        <f>IF(A319="","",IFERROR(INDEX('激励事件明细'!$H$2:$H$501,IF(D319&lt;&gt;"",MATCH(D319,'激励事件明细'!$A$2:$A$501,0),MATCH(E319,'激励事件明细'!$B$2:$B$501,0))),""))</f>
        <v/>
      </c>
      <c r="D319" s="11" t="n"/>
      <c r="E319" s="11" t="n"/>
      <c r="F319" s="14">
        <f>IF(A319="","",IFERROR(INDEX('激励事件明细'!$Z$2:$Z$501,IF(D319&lt;&gt;"",MATCH(D319,'激励事件明细'!$A$2:$A$501,0),MATCH(E319,'激励事件明细'!$B$2:$B$501,0))),""))</f>
        <v/>
      </c>
      <c r="G319" s="16">
        <f>IF(A319="","",IFERROR(INDEX('激励事件明细'!$AA$2:$AA$501,IF(D319&lt;&gt;"",MATCH(D319,'激励事件明细'!$A$2:$A$501,0),MATCH(E319,'激励事件明细'!$B$2:$B$501,0))),""))</f>
        <v/>
      </c>
      <c r="H319" s="16">
        <f>IF(A319="","",IFERROR(INDEX('激励事件明细'!$AB$2:$AB$501,IF(D319&lt;&gt;"",MATCH(D319,'激励事件明细'!$A$2:$A$501,0),MATCH(E319,'激励事件明细'!$B$2:$B$501,0))),""))</f>
        <v/>
      </c>
      <c r="I319" s="12" t="n"/>
      <c r="J319" s="13" t="n"/>
      <c r="K319" s="13" t="n"/>
      <c r="L319" s="11" t="n"/>
      <c r="M319" s="14">
        <f>IF(A319="","",IF(D319&lt;&gt;"",SUMIFS($K$2:$K$501,$D$2:$D$501,D319),SUMIFS($K$2:$K$501,$E$2:$E$501,E319)))</f>
        <v/>
      </c>
      <c r="N319" s="14">
        <f>IF(F319="","",MAX(0,F319-M319))</f>
        <v/>
      </c>
      <c r="O319" s="6">
        <f>IF(A319="","",IF(AND(I319&lt;&gt;"",I319&gt;H319),"是",IF(AND(TODAY()&gt;H319,N319&gt;0),"是","否")))</f>
        <v/>
      </c>
      <c r="P319" s="16">
        <f>IF(A319="","",IFERROR(INDEX('激励事件明细'!$P$2:$P$501,IF(D319&lt;&gt;"",MATCH(D319,'激励事件明细'!$A$2:$A$501,0),MATCH(E319,'激励事件明细'!$B$2:$B$501,0))),""))</f>
        <v/>
      </c>
      <c r="Q319" s="6">
        <f>IF(AND(D319="",E319=""),"异常：必须关联事件编号或税额批次",IF(AND(D319&lt;&gt;"",COUNTIF('激励事件明细'!$A$2:$A$501,D319)=0),"异常：事件编号不存在",IF(AND(E319&lt;&gt;"",COUNTIF('激励事件明细'!$B$2:$B$501,E319)=0),"异常：税额批次不存在",IF(M319&gt;F319,"异常：本批次超额缴税",IF(AND(I319&lt;&gt;"",I319&gt;H319),"异常：超过事件截止日",IF(AND(P319&lt;&gt;"",TODAY()&gt;=P319,N319&gt;0),"异常：离职前未缴清","正常"))))))</f>
        <v/>
      </c>
      <c r="R319" s="11" t="n"/>
    </row>
    <row r="320">
      <c r="A320" s="6">
        <f>IF(AND(D320="",E320=""),"",IFERROR(INDEX('激励事件明细'!$C$2:$C$501,IF(D320&lt;&gt;"",MATCH(D320,'激励事件明细'!$A$2:$A$501,0),MATCH(E320,'激励事件明细'!$B$2:$B$501,0))),""))</f>
        <v/>
      </c>
      <c r="B320" s="6">
        <f>IF(A320="","",IFERROR(INDEX('激励事件明细'!$D$2:$D$501,IF(D320&lt;&gt;"",MATCH(D320,'激励事件明细'!$A$2:$A$501,0),MATCH(E320,'激励事件明细'!$B$2:$B$501,0))),""))</f>
        <v/>
      </c>
      <c r="C320" s="6">
        <f>IF(A320="","",IFERROR(INDEX('激励事件明细'!$H$2:$H$501,IF(D320&lt;&gt;"",MATCH(D320,'激励事件明细'!$A$2:$A$501,0),MATCH(E320,'激励事件明细'!$B$2:$B$501,0))),""))</f>
        <v/>
      </c>
      <c r="D320" s="11" t="n"/>
      <c r="E320" s="11" t="n"/>
      <c r="F320" s="14">
        <f>IF(A320="","",IFERROR(INDEX('激励事件明细'!$Z$2:$Z$501,IF(D320&lt;&gt;"",MATCH(D320,'激励事件明细'!$A$2:$A$501,0),MATCH(E320,'激励事件明细'!$B$2:$B$501,0))),""))</f>
        <v/>
      </c>
      <c r="G320" s="16">
        <f>IF(A320="","",IFERROR(INDEX('激励事件明细'!$AA$2:$AA$501,IF(D320&lt;&gt;"",MATCH(D320,'激励事件明细'!$A$2:$A$501,0),MATCH(E320,'激励事件明细'!$B$2:$B$501,0))),""))</f>
        <v/>
      </c>
      <c r="H320" s="16">
        <f>IF(A320="","",IFERROR(INDEX('激励事件明细'!$AB$2:$AB$501,IF(D320&lt;&gt;"",MATCH(D320,'激励事件明细'!$A$2:$A$501,0),MATCH(E320,'激励事件明细'!$B$2:$B$501,0))),""))</f>
        <v/>
      </c>
      <c r="I320" s="12" t="n"/>
      <c r="J320" s="13" t="n"/>
      <c r="K320" s="13" t="n"/>
      <c r="L320" s="11" t="n"/>
      <c r="M320" s="14">
        <f>IF(A320="","",IF(D320&lt;&gt;"",SUMIFS($K$2:$K$501,$D$2:$D$501,D320),SUMIFS($K$2:$K$501,$E$2:$E$501,E320)))</f>
        <v/>
      </c>
      <c r="N320" s="14">
        <f>IF(F320="","",MAX(0,F320-M320))</f>
        <v/>
      </c>
      <c r="O320" s="6">
        <f>IF(A320="","",IF(AND(I320&lt;&gt;"",I320&gt;H320),"是",IF(AND(TODAY()&gt;H320,N320&gt;0),"是","否")))</f>
        <v/>
      </c>
      <c r="P320" s="16">
        <f>IF(A320="","",IFERROR(INDEX('激励事件明细'!$P$2:$P$501,IF(D320&lt;&gt;"",MATCH(D320,'激励事件明细'!$A$2:$A$501,0),MATCH(E320,'激励事件明细'!$B$2:$B$501,0))),""))</f>
        <v/>
      </c>
      <c r="Q320" s="6">
        <f>IF(AND(D320="",E320=""),"异常：必须关联事件编号或税额批次",IF(AND(D320&lt;&gt;"",COUNTIF('激励事件明细'!$A$2:$A$501,D320)=0),"异常：事件编号不存在",IF(AND(E320&lt;&gt;"",COUNTIF('激励事件明细'!$B$2:$B$501,E320)=0),"异常：税额批次不存在",IF(M320&gt;F320,"异常：本批次超额缴税",IF(AND(I320&lt;&gt;"",I320&gt;H320),"异常：超过事件截止日",IF(AND(P320&lt;&gt;"",TODAY()&gt;=P320,N320&gt;0),"异常：离职前未缴清","正常"))))))</f>
        <v/>
      </c>
      <c r="R320" s="11" t="n"/>
    </row>
    <row r="321">
      <c r="A321" s="6">
        <f>IF(AND(D321="",E321=""),"",IFERROR(INDEX('激励事件明细'!$C$2:$C$501,IF(D321&lt;&gt;"",MATCH(D321,'激励事件明细'!$A$2:$A$501,0),MATCH(E321,'激励事件明细'!$B$2:$B$501,0))),""))</f>
        <v/>
      </c>
      <c r="B321" s="6">
        <f>IF(A321="","",IFERROR(INDEX('激励事件明细'!$D$2:$D$501,IF(D321&lt;&gt;"",MATCH(D321,'激励事件明细'!$A$2:$A$501,0),MATCH(E321,'激励事件明细'!$B$2:$B$501,0))),""))</f>
        <v/>
      </c>
      <c r="C321" s="6">
        <f>IF(A321="","",IFERROR(INDEX('激励事件明细'!$H$2:$H$501,IF(D321&lt;&gt;"",MATCH(D321,'激励事件明细'!$A$2:$A$501,0),MATCH(E321,'激励事件明细'!$B$2:$B$501,0))),""))</f>
        <v/>
      </c>
      <c r="D321" s="11" t="n"/>
      <c r="E321" s="11" t="n"/>
      <c r="F321" s="14">
        <f>IF(A321="","",IFERROR(INDEX('激励事件明细'!$Z$2:$Z$501,IF(D321&lt;&gt;"",MATCH(D321,'激励事件明细'!$A$2:$A$501,0),MATCH(E321,'激励事件明细'!$B$2:$B$501,0))),""))</f>
        <v/>
      </c>
      <c r="G321" s="16">
        <f>IF(A321="","",IFERROR(INDEX('激励事件明细'!$AA$2:$AA$501,IF(D321&lt;&gt;"",MATCH(D321,'激励事件明细'!$A$2:$A$501,0),MATCH(E321,'激励事件明细'!$B$2:$B$501,0))),""))</f>
        <v/>
      </c>
      <c r="H321" s="16">
        <f>IF(A321="","",IFERROR(INDEX('激励事件明细'!$AB$2:$AB$501,IF(D321&lt;&gt;"",MATCH(D321,'激励事件明细'!$A$2:$A$501,0),MATCH(E321,'激励事件明细'!$B$2:$B$501,0))),""))</f>
        <v/>
      </c>
      <c r="I321" s="12" t="n"/>
      <c r="J321" s="13" t="n"/>
      <c r="K321" s="13" t="n"/>
      <c r="L321" s="11" t="n"/>
      <c r="M321" s="14">
        <f>IF(A321="","",IF(D321&lt;&gt;"",SUMIFS($K$2:$K$501,$D$2:$D$501,D321),SUMIFS($K$2:$K$501,$E$2:$E$501,E321)))</f>
        <v/>
      </c>
      <c r="N321" s="14">
        <f>IF(F321="","",MAX(0,F321-M321))</f>
        <v/>
      </c>
      <c r="O321" s="6">
        <f>IF(A321="","",IF(AND(I321&lt;&gt;"",I321&gt;H321),"是",IF(AND(TODAY()&gt;H321,N321&gt;0),"是","否")))</f>
        <v/>
      </c>
      <c r="P321" s="16">
        <f>IF(A321="","",IFERROR(INDEX('激励事件明细'!$P$2:$P$501,IF(D321&lt;&gt;"",MATCH(D321,'激励事件明细'!$A$2:$A$501,0),MATCH(E321,'激励事件明细'!$B$2:$B$501,0))),""))</f>
        <v/>
      </c>
      <c r="Q321" s="6">
        <f>IF(AND(D321="",E321=""),"异常：必须关联事件编号或税额批次",IF(AND(D321&lt;&gt;"",COUNTIF('激励事件明细'!$A$2:$A$501,D321)=0),"异常：事件编号不存在",IF(AND(E321&lt;&gt;"",COUNTIF('激励事件明细'!$B$2:$B$501,E321)=0),"异常：税额批次不存在",IF(M321&gt;F321,"异常：本批次超额缴税",IF(AND(I321&lt;&gt;"",I321&gt;H321),"异常：超过事件截止日",IF(AND(P321&lt;&gt;"",TODAY()&gt;=P321,N321&gt;0),"异常：离职前未缴清","正常"))))))</f>
        <v/>
      </c>
      <c r="R321" s="11" t="n"/>
    </row>
    <row r="322">
      <c r="A322" s="6">
        <f>IF(AND(D322="",E322=""),"",IFERROR(INDEX('激励事件明细'!$C$2:$C$501,IF(D322&lt;&gt;"",MATCH(D322,'激励事件明细'!$A$2:$A$501,0),MATCH(E322,'激励事件明细'!$B$2:$B$501,0))),""))</f>
        <v/>
      </c>
      <c r="B322" s="6">
        <f>IF(A322="","",IFERROR(INDEX('激励事件明细'!$D$2:$D$501,IF(D322&lt;&gt;"",MATCH(D322,'激励事件明细'!$A$2:$A$501,0),MATCH(E322,'激励事件明细'!$B$2:$B$501,0))),""))</f>
        <v/>
      </c>
      <c r="C322" s="6">
        <f>IF(A322="","",IFERROR(INDEX('激励事件明细'!$H$2:$H$501,IF(D322&lt;&gt;"",MATCH(D322,'激励事件明细'!$A$2:$A$501,0),MATCH(E322,'激励事件明细'!$B$2:$B$501,0))),""))</f>
        <v/>
      </c>
      <c r="D322" s="11" t="n"/>
      <c r="E322" s="11" t="n"/>
      <c r="F322" s="14">
        <f>IF(A322="","",IFERROR(INDEX('激励事件明细'!$Z$2:$Z$501,IF(D322&lt;&gt;"",MATCH(D322,'激励事件明细'!$A$2:$A$501,0),MATCH(E322,'激励事件明细'!$B$2:$B$501,0))),""))</f>
        <v/>
      </c>
      <c r="G322" s="16">
        <f>IF(A322="","",IFERROR(INDEX('激励事件明细'!$AA$2:$AA$501,IF(D322&lt;&gt;"",MATCH(D322,'激励事件明细'!$A$2:$A$501,0),MATCH(E322,'激励事件明细'!$B$2:$B$501,0))),""))</f>
        <v/>
      </c>
      <c r="H322" s="16">
        <f>IF(A322="","",IFERROR(INDEX('激励事件明细'!$AB$2:$AB$501,IF(D322&lt;&gt;"",MATCH(D322,'激励事件明细'!$A$2:$A$501,0),MATCH(E322,'激励事件明细'!$B$2:$B$501,0))),""))</f>
        <v/>
      </c>
      <c r="I322" s="12" t="n"/>
      <c r="J322" s="13" t="n"/>
      <c r="K322" s="13" t="n"/>
      <c r="L322" s="11" t="n"/>
      <c r="M322" s="14">
        <f>IF(A322="","",IF(D322&lt;&gt;"",SUMIFS($K$2:$K$501,$D$2:$D$501,D322),SUMIFS($K$2:$K$501,$E$2:$E$501,E322)))</f>
        <v/>
      </c>
      <c r="N322" s="14">
        <f>IF(F322="","",MAX(0,F322-M322))</f>
        <v/>
      </c>
      <c r="O322" s="6">
        <f>IF(A322="","",IF(AND(I322&lt;&gt;"",I322&gt;H322),"是",IF(AND(TODAY()&gt;H322,N322&gt;0),"是","否")))</f>
        <v/>
      </c>
      <c r="P322" s="16">
        <f>IF(A322="","",IFERROR(INDEX('激励事件明细'!$P$2:$P$501,IF(D322&lt;&gt;"",MATCH(D322,'激励事件明细'!$A$2:$A$501,0),MATCH(E322,'激励事件明细'!$B$2:$B$501,0))),""))</f>
        <v/>
      </c>
      <c r="Q322" s="6">
        <f>IF(AND(D322="",E322=""),"异常：必须关联事件编号或税额批次",IF(AND(D322&lt;&gt;"",COUNTIF('激励事件明细'!$A$2:$A$501,D322)=0),"异常：事件编号不存在",IF(AND(E322&lt;&gt;"",COUNTIF('激励事件明细'!$B$2:$B$501,E322)=0),"异常：税额批次不存在",IF(M322&gt;F322,"异常：本批次超额缴税",IF(AND(I322&lt;&gt;"",I322&gt;H322),"异常：超过事件截止日",IF(AND(P322&lt;&gt;"",TODAY()&gt;=P322,N322&gt;0),"异常：离职前未缴清","正常"))))))</f>
        <v/>
      </c>
      <c r="R322" s="11" t="n"/>
    </row>
    <row r="323">
      <c r="A323" s="6">
        <f>IF(AND(D323="",E323=""),"",IFERROR(INDEX('激励事件明细'!$C$2:$C$501,IF(D323&lt;&gt;"",MATCH(D323,'激励事件明细'!$A$2:$A$501,0),MATCH(E323,'激励事件明细'!$B$2:$B$501,0))),""))</f>
        <v/>
      </c>
      <c r="B323" s="6">
        <f>IF(A323="","",IFERROR(INDEX('激励事件明细'!$D$2:$D$501,IF(D323&lt;&gt;"",MATCH(D323,'激励事件明细'!$A$2:$A$501,0),MATCH(E323,'激励事件明细'!$B$2:$B$501,0))),""))</f>
        <v/>
      </c>
      <c r="C323" s="6">
        <f>IF(A323="","",IFERROR(INDEX('激励事件明细'!$H$2:$H$501,IF(D323&lt;&gt;"",MATCH(D323,'激励事件明细'!$A$2:$A$501,0),MATCH(E323,'激励事件明细'!$B$2:$B$501,0))),""))</f>
        <v/>
      </c>
      <c r="D323" s="11" t="n"/>
      <c r="E323" s="11" t="n"/>
      <c r="F323" s="14">
        <f>IF(A323="","",IFERROR(INDEX('激励事件明细'!$Z$2:$Z$501,IF(D323&lt;&gt;"",MATCH(D323,'激励事件明细'!$A$2:$A$501,0),MATCH(E323,'激励事件明细'!$B$2:$B$501,0))),""))</f>
        <v/>
      </c>
      <c r="G323" s="16">
        <f>IF(A323="","",IFERROR(INDEX('激励事件明细'!$AA$2:$AA$501,IF(D323&lt;&gt;"",MATCH(D323,'激励事件明细'!$A$2:$A$501,0),MATCH(E323,'激励事件明细'!$B$2:$B$501,0))),""))</f>
        <v/>
      </c>
      <c r="H323" s="16">
        <f>IF(A323="","",IFERROR(INDEX('激励事件明细'!$AB$2:$AB$501,IF(D323&lt;&gt;"",MATCH(D323,'激励事件明细'!$A$2:$A$501,0),MATCH(E323,'激励事件明细'!$B$2:$B$501,0))),""))</f>
        <v/>
      </c>
      <c r="I323" s="12" t="n"/>
      <c r="J323" s="13" t="n"/>
      <c r="K323" s="13" t="n"/>
      <c r="L323" s="11" t="n"/>
      <c r="M323" s="14">
        <f>IF(A323="","",IF(D323&lt;&gt;"",SUMIFS($K$2:$K$501,$D$2:$D$501,D323),SUMIFS($K$2:$K$501,$E$2:$E$501,E323)))</f>
        <v/>
      </c>
      <c r="N323" s="14">
        <f>IF(F323="","",MAX(0,F323-M323))</f>
        <v/>
      </c>
      <c r="O323" s="6">
        <f>IF(A323="","",IF(AND(I323&lt;&gt;"",I323&gt;H323),"是",IF(AND(TODAY()&gt;H323,N323&gt;0),"是","否")))</f>
        <v/>
      </c>
      <c r="P323" s="16">
        <f>IF(A323="","",IFERROR(INDEX('激励事件明细'!$P$2:$P$501,IF(D323&lt;&gt;"",MATCH(D323,'激励事件明细'!$A$2:$A$501,0),MATCH(E323,'激励事件明细'!$B$2:$B$501,0))),""))</f>
        <v/>
      </c>
      <c r="Q323" s="6">
        <f>IF(AND(D323="",E323=""),"异常：必须关联事件编号或税额批次",IF(AND(D323&lt;&gt;"",COUNTIF('激励事件明细'!$A$2:$A$501,D323)=0),"异常：事件编号不存在",IF(AND(E323&lt;&gt;"",COUNTIF('激励事件明细'!$B$2:$B$501,E323)=0),"异常：税额批次不存在",IF(M323&gt;F323,"异常：本批次超额缴税",IF(AND(I323&lt;&gt;"",I323&gt;H323),"异常：超过事件截止日",IF(AND(P323&lt;&gt;"",TODAY()&gt;=P323,N323&gt;0),"异常：离职前未缴清","正常"))))))</f>
        <v/>
      </c>
      <c r="R323" s="11" t="n"/>
    </row>
    <row r="324">
      <c r="A324" s="6">
        <f>IF(AND(D324="",E324=""),"",IFERROR(INDEX('激励事件明细'!$C$2:$C$501,IF(D324&lt;&gt;"",MATCH(D324,'激励事件明细'!$A$2:$A$501,0),MATCH(E324,'激励事件明细'!$B$2:$B$501,0))),""))</f>
        <v/>
      </c>
      <c r="B324" s="6">
        <f>IF(A324="","",IFERROR(INDEX('激励事件明细'!$D$2:$D$501,IF(D324&lt;&gt;"",MATCH(D324,'激励事件明细'!$A$2:$A$501,0),MATCH(E324,'激励事件明细'!$B$2:$B$501,0))),""))</f>
        <v/>
      </c>
      <c r="C324" s="6">
        <f>IF(A324="","",IFERROR(INDEX('激励事件明细'!$H$2:$H$501,IF(D324&lt;&gt;"",MATCH(D324,'激励事件明细'!$A$2:$A$501,0),MATCH(E324,'激励事件明细'!$B$2:$B$501,0))),""))</f>
        <v/>
      </c>
      <c r="D324" s="11" t="n"/>
      <c r="E324" s="11" t="n"/>
      <c r="F324" s="14">
        <f>IF(A324="","",IFERROR(INDEX('激励事件明细'!$Z$2:$Z$501,IF(D324&lt;&gt;"",MATCH(D324,'激励事件明细'!$A$2:$A$501,0),MATCH(E324,'激励事件明细'!$B$2:$B$501,0))),""))</f>
        <v/>
      </c>
      <c r="G324" s="16">
        <f>IF(A324="","",IFERROR(INDEX('激励事件明细'!$AA$2:$AA$501,IF(D324&lt;&gt;"",MATCH(D324,'激励事件明细'!$A$2:$A$501,0),MATCH(E324,'激励事件明细'!$B$2:$B$501,0))),""))</f>
        <v/>
      </c>
      <c r="H324" s="16">
        <f>IF(A324="","",IFERROR(INDEX('激励事件明细'!$AB$2:$AB$501,IF(D324&lt;&gt;"",MATCH(D324,'激励事件明细'!$A$2:$A$501,0),MATCH(E324,'激励事件明细'!$B$2:$B$501,0))),""))</f>
        <v/>
      </c>
      <c r="I324" s="12" t="n"/>
      <c r="J324" s="13" t="n"/>
      <c r="K324" s="13" t="n"/>
      <c r="L324" s="11" t="n"/>
      <c r="M324" s="14">
        <f>IF(A324="","",IF(D324&lt;&gt;"",SUMIFS($K$2:$K$501,$D$2:$D$501,D324),SUMIFS($K$2:$K$501,$E$2:$E$501,E324)))</f>
        <v/>
      </c>
      <c r="N324" s="14">
        <f>IF(F324="","",MAX(0,F324-M324))</f>
        <v/>
      </c>
      <c r="O324" s="6">
        <f>IF(A324="","",IF(AND(I324&lt;&gt;"",I324&gt;H324),"是",IF(AND(TODAY()&gt;H324,N324&gt;0),"是","否")))</f>
        <v/>
      </c>
      <c r="P324" s="16">
        <f>IF(A324="","",IFERROR(INDEX('激励事件明细'!$P$2:$P$501,IF(D324&lt;&gt;"",MATCH(D324,'激励事件明细'!$A$2:$A$501,0),MATCH(E324,'激励事件明细'!$B$2:$B$501,0))),""))</f>
        <v/>
      </c>
      <c r="Q324" s="6">
        <f>IF(AND(D324="",E324=""),"异常：必须关联事件编号或税额批次",IF(AND(D324&lt;&gt;"",COUNTIF('激励事件明细'!$A$2:$A$501,D324)=0),"异常：事件编号不存在",IF(AND(E324&lt;&gt;"",COUNTIF('激励事件明细'!$B$2:$B$501,E324)=0),"异常：税额批次不存在",IF(M324&gt;F324,"异常：本批次超额缴税",IF(AND(I324&lt;&gt;"",I324&gt;H324),"异常：超过事件截止日",IF(AND(P324&lt;&gt;"",TODAY()&gt;=P324,N324&gt;0),"异常：离职前未缴清","正常"))))))</f>
        <v/>
      </c>
      <c r="R324" s="11" t="n"/>
    </row>
    <row r="325">
      <c r="A325" s="6">
        <f>IF(AND(D325="",E325=""),"",IFERROR(INDEX('激励事件明细'!$C$2:$C$501,IF(D325&lt;&gt;"",MATCH(D325,'激励事件明细'!$A$2:$A$501,0),MATCH(E325,'激励事件明细'!$B$2:$B$501,0))),""))</f>
        <v/>
      </c>
      <c r="B325" s="6">
        <f>IF(A325="","",IFERROR(INDEX('激励事件明细'!$D$2:$D$501,IF(D325&lt;&gt;"",MATCH(D325,'激励事件明细'!$A$2:$A$501,0),MATCH(E325,'激励事件明细'!$B$2:$B$501,0))),""))</f>
        <v/>
      </c>
      <c r="C325" s="6">
        <f>IF(A325="","",IFERROR(INDEX('激励事件明细'!$H$2:$H$501,IF(D325&lt;&gt;"",MATCH(D325,'激励事件明细'!$A$2:$A$501,0),MATCH(E325,'激励事件明细'!$B$2:$B$501,0))),""))</f>
        <v/>
      </c>
      <c r="D325" s="11" t="n"/>
      <c r="E325" s="11" t="n"/>
      <c r="F325" s="14">
        <f>IF(A325="","",IFERROR(INDEX('激励事件明细'!$Z$2:$Z$501,IF(D325&lt;&gt;"",MATCH(D325,'激励事件明细'!$A$2:$A$501,0),MATCH(E325,'激励事件明细'!$B$2:$B$501,0))),""))</f>
        <v/>
      </c>
      <c r="G325" s="16">
        <f>IF(A325="","",IFERROR(INDEX('激励事件明细'!$AA$2:$AA$501,IF(D325&lt;&gt;"",MATCH(D325,'激励事件明细'!$A$2:$A$501,0),MATCH(E325,'激励事件明细'!$B$2:$B$501,0))),""))</f>
        <v/>
      </c>
      <c r="H325" s="16">
        <f>IF(A325="","",IFERROR(INDEX('激励事件明细'!$AB$2:$AB$501,IF(D325&lt;&gt;"",MATCH(D325,'激励事件明细'!$A$2:$A$501,0),MATCH(E325,'激励事件明细'!$B$2:$B$501,0))),""))</f>
        <v/>
      </c>
      <c r="I325" s="12" t="n"/>
      <c r="J325" s="13" t="n"/>
      <c r="K325" s="13" t="n"/>
      <c r="L325" s="11" t="n"/>
      <c r="M325" s="14">
        <f>IF(A325="","",IF(D325&lt;&gt;"",SUMIFS($K$2:$K$501,$D$2:$D$501,D325),SUMIFS($K$2:$K$501,$E$2:$E$501,E325)))</f>
        <v/>
      </c>
      <c r="N325" s="14">
        <f>IF(F325="","",MAX(0,F325-M325))</f>
        <v/>
      </c>
      <c r="O325" s="6">
        <f>IF(A325="","",IF(AND(I325&lt;&gt;"",I325&gt;H325),"是",IF(AND(TODAY()&gt;H325,N325&gt;0),"是","否")))</f>
        <v/>
      </c>
      <c r="P325" s="16">
        <f>IF(A325="","",IFERROR(INDEX('激励事件明细'!$P$2:$P$501,IF(D325&lt;&gt;"",MATCH(D325,'激励事件明细'!$A$2:$A$501,0),MATCH(E325,'激励事件明细'!$B$2:$B$501,0))),""))</f>
        <v/>
      </c>
      <c r="Q325" s="6">
        <f>IF(AND(D325="",E325=""),"异常：必须关联事件编号或税额批次",IF(AND(D325&lt;&gt;"",COUNTIF('激励事件明细'!$A$2:$A$501,D325)=0),"异常：事件编号不存在",IF(AND(E325&lt;&gt;"",COUNTIF('激励事件明细'!$B$2:$B$501,E325)=0),"异常：税额批次不存在",IF(M325&gt;F325,"异常：本批次超额缴税",IF(AND(I325&lt;&gt;"",I325&gt;H325),"异常：超过事件截止日",IF(AND(P325&lt;&gt;"",TODAY()&gt;=P325,N325&gt;0),"异常：离职前未缴清","正常"))))))</f>
        <v/>
      </c>
      <c r="R325" s="11" t="n"/>
    </row>
    <row r="326">
      <c r="A326" s="6">
        <f>IF(AND(D326="",E326=""),"",IFERROR(INDEX('激励事件明细'!$C$2:$C$501,IF(D326&lt;&gt;"",MATCH(D326,'激励事件明细'!$A$2:$A$501,0),MATCH(E326,'激励事件明细'!$B$2:$B$501,0))),""))</f>
        <v/>
      </c>
      <c r="B326" s="6">
        <f>IF(A326="","",IFERROR(INDEX('激励事件明细'!$D$2:$D$501,IF(D326&lt;&gt;"",MATCH(D326,'激励事件明细'!$A$2:$A$501,0),MATCH(E326,'激励事件明细'!$B$2:$B$501,0))),""))</f>
        <v/>
      </c>
      <c r="C326" s="6">
        <f>IF(A326="","",IFERROR(INDEX('激励事件明细'!$H$2:$H$501,IF(D326&lt;&gt;"",MATCH(D326,'激励事件明细'!$A$2:$A$501,0),MATCH(E326,'激励事件明细'!$B$2:$B$501,0))),""))</f>
        <v/>
      </c>
      <c r="D326" s="11" t="n"/>
      <c r="E326" s="11" t="n"/>
      <c r="F326" s="14">
        <f>IF(A326="","",IFERROR(INDEX('激励事件明细'!$Z$2:$Z$501,IF(D326&lt;&gt;"",MATCH(D326,'激励事件明细'!$A$2:$A$501,0),MATCH(E326,'激励事件明细'!$B$2:$B$501,0))),""))</f>
        <v/>
      </c>
      <c r="G326" s="16">
        <f>IF(A326="","",IFERROR(INDEX('激励事件明细'!$AA$2:$AA$501,IF(D326&lt;&gt;"",MATCH(D326,'激励事件明细'!$A$2:$A$501,0),MATCH(E326,'激励事件明细'!$B$2:$B$501,0))),""))</f>
        <v/>
      </c>
      <c r="H326" s="16">
        <f>IF(A326="","",IFERROR(INDEX('激励事件明细'!$AB$2:$AB$501,IF(D326&lt;&gt;"",MATCH(D326,'激励事件明细'!$A$2:$A$501,0),MATCH(E326,'激励事件明细'!$B$2:$B$501,0))),""))</f>
        <v/>
      </c>
      <c r="I326" s="12" t="n"/>
      <c r="J326" s="13" t="n"/>
      <c r="K326" s="13" t="n"/>
      <c r="L326" s="11" t="n"/>
      <c r="M326" s="14">
        <f>IF(A326="","",IF(D326&lt;&gt;"",SUMIFS($K$2:$K$501,$D$2:$D$501,D326),SUMIFS($K$2:$K$501,$E$2:$E$501,E326)))</f>
        <v/>
      </c>
      <c r="N326" s="14">
        <f>IF(F326="","",MAX(0,F326-M326))</f>
        <v/>
      </c>
      <c r="O326" s="6">
        <f>IF(A326="","",IF(AND(I326&lt;&gt;"",I326&gt;H326),"是",IF(AND(TODAY()&gt;H326,N326&gt;0),"是","否")))</f>
        <v/>
      </c>
      <c r="P326" s="16">
        <f>IF(A326="","",IFERROR(INDEX('激励事件明细'!$P$2:$P$501,IF(D326&lt;&gt;"",MATCH(D326,'激励事件明细'!$A$2:$A$501,0),MATCH(E326,'激励事件明细'!$B$2:$B$501,0))),""))</f>
        <v/>
      </c>
      <c r="Q326" s="6">
        <f>IF(AND(D326="",E326=""),"异常：必须关联事件编号或税额批次",IF(AND(D326&lt;&gt;"",COUNTIF('激励事件明细'!$A$2:$A$501,D326)=0),"异常：事件编号不存在",IF(AND(E326&lt;&gt;"",COUNTIF('激励事件明细'!$B$2:$B$501,E326)=0),"异常：税额批次不存在",IF(M326&gt;F326,"异常：本批次超额缴税",IF(AND(I326&lt;&gt;"",I326&gt;H326),"异常：超过事件截止日",IF(AND(P326&lt;&gt;"",TODAY()&gt;=P326,N326&gt;0),"异常：离职前未缴清","正常"))))))</f>
        <v/>
      </c>
      <c r="R326" s="11" t="n"/>
    </row>
    <row r="327">
      <c r="A327" s="6">
        <f>IF(AND(D327="",E327=""),"",IFERROR(INDEX('激励事件明细'!$C$2:$C$501,IF(D327&lt;&gt;"",MATCH(D327,'激励事件明细'!$A$2:$A$501,0),MATCH(E327,'激励事件明细'!$B$2:$B$501,0))),""))</f>
        <v/>
      </c>
      <c r="B327" s="6">
        <f>IF(A327="","",IFERROR(INDEX('激励事件明细'!$D$2:$D$501,IF(D327&lt;&gt;"",MATCH(D327,'激励事件明细'!$A$2:$A$501,0),MATCH(E327,'激励事件明细'!$B$2:$B$501,0))),""))</f>
        <v/>
      </c>
      <c r="C327" s="6">
        <f>IF(A327="","",IFERROR(INDEX('激励事件明细'!$H$2:$H$501,IF(D327&lt;&gt;"",MATCH(D327,'激励事件明细'!$A$2:$A$501,0),MATCH(E327,'激励事件明细'!$B$2:$B$501,0))),""))</f>
        <v/>
      </c>
      <c r="D327" s="11" t="n"/>
      <c r="E327" s="11" t="n"/>
      <c r="F327" s="14">
        <f>IF(A327="","",IFERROR(INDEX('激励事件明细'!$Z$2:$Z$501,IF(D327&lt;&gt;"",MATCH(D327,'激励事件明细'!$A$2:$A$501,0),MATCH(E327,'激励事件明细'!$B$2:$B$501,0))),""))</f>
        <v/>
      </c>
      <c r="G327" s="16">
        <f>IF(A327="","",IFERROR(INDEX('激励事件明细'!$AA$2:$AA$501,IF(D327&lt;&gt;"",MATCH(D327,'激励事件明细'!$A$2:$A$501,0),MATCH(E327,'激励事件明细'!$B$2:$B$501,0))),""))</f>
        <v/>
      </c>
      <c r="H327" s="16">
        <f>IF(A327="","",IFERROR(INDEX('激励事件明细'!$AB$2:$AB$501,IF(D327&lt;&gt;"",MATCH(D327,'激励事件明细'!$A$2:$A$501,0),MATCH(E327,'激励事件明细'!$B$2:$B$501,0))),""))</f>
        <v/>
      </c>
      <c r="I327" s="12" t="n"/>
      <c r="J327" s="13" t="n"/>
      <c r="K327" s="13" t="n"/>
      <c r="L327" s="11" t="n"/>
      <c r="M327" s="14">
        <f>IF(A327="","",IF(D327&lt;&gt;"",SUMIFS($K$2:$K$501,$D$2:$D$501,D327),SUMIFS($K$2:$K$501,$E$2:$E$501,E327)))</f>
        <v/>
      </c>
      <c r="N327" s="14">
        <f>IF(F327="","",MAX(0,F327-M327))</f>
        <v/>
      </c>
      <c r="O327" s="6">
        <f>IF(A327="","",IF(AND(I327&lt;&gt;"",I327&gt;H327),"是",IF(AND(TODAY()&gt;H327,N327&gt;0),"是","否")))</f>
        <v/>
      </c>
      <c r="P327" s="16">
        <f>IF(A327="","",IFERROR(INDEX('激励事件明细'!$P$2:$P$501,IF(D327&lt;&gt;"",MATCH(D327,'激励事件明细'!$A$2:$A$501,0),MATCH(E327,'激励事件明细'!$B$2:$B$501,0))),""))</f>
        <v/>
      </c>
      <c r="Q327" s="6">
        <f>IF(AND(D327="",E327=""),"异常：必须关联事件编号或税额批次",IF(AND(D327&lt;&gt;"",COUNTIF('激励事件明细'!$A$2:$A$501,D327)=0),"异常：事件编号不存在",IF(AND(E327&lt;&gt;"",COUNTIF('激励事件明细'!$B$2:$B$501,E327)=0),"异常：税额批次不存在",IF(M327&gt;F327,"异常：本批次超额缴税",IF(AND(I327&lt;&gt;"",I327&gt;H327),"异常：超过事件截止日",IF(AND(P327&lt;&gt;"",TODAY()&gt;=P327,N327&gt;0),"异常：离职前未缴清","正常"))))))</f>
        <v/>
      </c>
      <c r="R327" s="11" t="n"/>
    </row>
    <row r="328">
      <c r="A328" s="6">
        <f>IF(AND(D328="",E328=""),"",IFERROR(INDEX('激励事件明细'!$C$2:$C$501,IF(D328&lt;&gt;"",MATCH(D328,'激励事件明细'!$A$2:$A$501,0),MATCH(E328,'激励事件明细'!$B$2:$B$501,0))),""))</f>
        <v/>
      </c>
      <c r="B328" s="6">
        <f>IF(A328="","",IFERROR(INDEX('激励事件明细'!$D$2:$D$501,IF(D328&lt;&gt;"",MATCH(D328,'激励事件明细'!$A$2:$A$501,0),MATCH(E328,'激励事件明细'!$B$2:$B$501,0))),""))</f>
        <v/>
      </c>
      <c r="C328" s="6">
        <f>IF(A328="","",IFERROR(INDEX('激励事件明细'!$H$2:$H$501,IF(D328&lt;&gt;"",MATCH(D328,'激励事件明细'!$A$2:$A$501,0),MATCH(E328,'激励事件明细'!$B$2:$B$501,0))),""))</f>
        <v/>
      </c>
      <c r="D328" s="11" t="n"/>
      <c r="E328" s="11" t="n"/>
      <c r="F328" s="14">
        <f>IF(A328="","",IFERROR(INDEX('激励事件明细'!$Z$2:$Z$501,IF(D328&lt;&gt;"",MATCH(D328,'激励事件明细'!$A$2:$A$501,0),MATCH(E328,'激励事件明细'!$B$2:$B$501,0))),""))</f>
        <v/>
      </c>
      <c r="G328" s="16">
        <f>IF(A328="","",IFERROR(INDEX('激励事件明细'!$AA$2:$AA$501,IF(D328&lt;&gt;"",MATCH(D328,'激励事件明细'!$A$2:$A$501,0),MATCH(E328,'激励事件明细'!$B$2:$B$501,0))),""))</f>
        <v/>
      </c>
      <c r="H328" s="16">
        <f>IF(A328="","",IFERROR(INDEX('激励事件明细'!$AB$2:$AB$501,IF(D328&lt;&gt;"",MATCH(D328,'激励事件明细'!$A$2:$A$501,0),MATCH(E328,'激励事件明细'!$B$2:$B$501,0))),""))</f>
        <v/>
      </c>
      <c r="I328" s="12" t="n"/>
      <c r="J328" s="13" t="n"/>
      <c r="K328" s="13" t="n"/>
      <c r="L328" s="11" t="n"/>
      <c r="M328" s="14">
        <f>IF(A328="","",IF(D328&lt;&gt;"",SUMIFS($K$2:$K$501,$D$2:$D$501,D328),SUMIFS($K$2:$K$501,$E$2:$E$501,E328)))</f>
        <v/>
      </c>
      <c r="N328" s="14">
        <f>IF(F328="","",MAX(0,F328-M328))</f>
        <v/>
      </c>
      <c r="O328" s="6">
        <f>IF(A328="","",IF(AND(I328&lt;&gt;"",I328&gt;H328),"是",IF(AND(TODAY()&gt;H328,N328&gt;0),"是","否")))</f>
        <v/>
      </c>
      <c r="P328" s="16">
        <f>IF(A328="","",IFERROR(INDEX('激励事件明细'!$P$2:$P$501,IF(D328&lt;&gt;"",MATCH(D328,'激励事件明细'!$A$2:$A$501,0),MATCH(E328,'激励事件明细'!$B$2:$B$501,0))),""))</f>
        <v/>
      </c>
      <c r="Q328" s="6">
        <f>IF(AND(D328="",E328=""),"异常：必须关联事件编号或税额批次",IF(AND(D328&lt;&gt;"",COUNTIF('激励事件明细'!$A$2:$A$501,D328)=0),"异常：事件编号不存在",IF(AND(E328&lt;&gt;"",COUNTIF('激励事件明细'!$B$2:$B$501,E328)=0),"异常：税额批次不存在",IF(M328&gt;F328,"异常：本批次超额缴税",IF(AND(I328&lt;&gt;"",I328&gt;H328),"异常：超过事件截止日",IF(AND(P328&lt;&gt;"",TODAY()&gt;=P328,N328&gt;0),"异常：离职前未缴清","正常"))))))</f>
        <v/>
      </c>
      <c r="R328" s="11" t="n"/>
    </row>
    <row r="329">
      <c r="A329" s="6">
        <f>IF(AND(D329="",E329=""),"",IFERROR(INDEX('激励事件明细'!$C$2:$C$501,IF(D329&lt;&gt;"",MATCH(D329,'激励事件明细'!$A$2:$A$501,0),MATCH(E329,'激励事件明细'!$B$2:$B$501,0))),""))</f>
        <v/>
      </c>
      <c r="B329" s="6">
        <f>IF(A329="","",IFERROR(INDEX('激励事件明细'!$D$2:$D$501,IF(D329&lt;&gt;"",MATCH(D329,'激励事件明细'!$A$2:$A$501,0),MATCH(E329,'激励事件明细'!$B$2:$B$501,0))),""))</f>
        <v/>
      </c>
      <c r="C329" s="6">
        <f>IF(A329="","",IFERROR(INDEX('激励事件明细'!$H$2:$H$501,IF(D329&lt;&gt;"",MATCH(D329,'激励事件明细'!$A$2:$A$501,0),MATCH(E329,'激励事件明细'!$B$2:$B$501,0))),""))</f>
        <v/>
      </c>
      <c r="D329" s="11" t="n"/>
      <c r="E329" s="11" t="n"/>
      <c r="F329" s="14">
        <f>IF(A329="","",IFERROR(INDEX('激励事件明细'!$Z$2:$Z$501,IF(D329&lt;&gt;"",MATCH(D329,'激励事件明细'!$A$2:$A$501,0),MATCH(E329,'激励事件明细'!$B$2:$B$501,0))),""))</f>
        <v/>
      </c>
      <c r="G329" s="16">
        <f>IF(A329="","",IFERROR(INDEX('激励事件明细'!$AA$2:$AA$501,IF(D329&lt;&gt;"",MATCH(D329,'激励事件明细'!$A$2:$A$501,0),MATCH(E329,'激励事件明细'!$B$2:$B$501,0))),""))</f>
        <v/>
      </c>
      <c r="H329" s="16">
        <f>IF(A329="","",IFERROR(INDEX('激励事件明细'!$AB$2:$AB$501,IF(D329&lt;&gt;"",MATCH(D329,'激励事件明细'!$A$2:$A$501,0),MATCH(E329,'激励事件明细'!$B$2:$B$501,0))),""))</f>
        <v/>
      </c>
      <c r="I329" s="12" t="n"/>
      <c r="J329" s="13" t="n"/>
      <c r="K329" s="13" t="n"/>
      <c r="L329" s="11" t="n"/>
      <c r="M329" s="14">
        <f>IF(A329="","",IF(D329&lt;&gt;"",SUMIFS($K$2:$K$501,$D$2:$D$501,D329),SUMIFS($K$2:$K$501,$E$2:$E$501,E329)))</f>
        <v/>
      </c>
      <c r="N329" s="14">
        <f>IF(F329="","",MAX(0,F329-M329))</f>
        <v/>
      </c>
      <c r="O329" s="6">
        <f>IF(A329="","",IF(AND(I329&lt;&gt;"",I329&gt;H329),"是",IF(AND(TODAY()&gt;H329,N329&gt;0),"是","否")))</f>
        <v/>
      </c>
      <c r="P329" s="16">
        <f>IF(A329="","",IFERROR(INDEX('激励事件明细'!$P$2:$P$501,IF(D329&lt;&gt;"",MATCH(D329,'激励事件明细'!$A$2:$A$501,0),MATCH(E329,'激励事件明细'!$B$2:$B$501,0))),""))</f>
        <v/>
      </c>
      <c r="Q329" s="6">
        <f>IF(AND(D329="",E329=""),"异常：必须关联事件编号或税额批次",IF(AND(D329&lt;&gt;"",COUNTIF('激励事件明细'!$A$2:$A$501,D329)=0),"异常：事件编号不存在",IF(AND(E329&lt;&gt;"",COUNTIF('激励事件明细'!$B$2:$B$501,E329)=0),"异常：税额批次不存在",IF(M329&gt;F329,"异常：本批次超额缴税",IF(AND(I329&lt;&gt;"",I329&gt;H329),"异常：超过事件截止日",IF(AND(P329&lt;&gt;"",TODAY()&gt;=P329,N329&gt;0),"异常：离职前未缴清","正常"))))))</f>
        <v/>
      </c>
      <c r="R329" s="11" t="n"/>
    </row>
    <row r="330">
      <c r="A330" s="6">
        <f>IF(AND(D330="",E330=""),"",IFERROR(INDEX('激励事件明细'!$C$2:$C$501,IF(D330&lt;&gt;"",MATCH(D330,'激励事件明细'!$A$2:$A$501,0),MATCH(E330,'激励事件明细'!$B$2:$B$501,0))),""))</f>
        <v/>
      </c>
      <c r="B330" s="6">
        <f>IF(A330="","",IFERROR(INDEX('激励事件明细'!$D$2:$D$501,IF(D330&lt;&gt;"",MATCH(D330,'激励事件明细'!$A$2:$A$501,0),MATCH(E330,'激励事件明细'!$B$2:$B$501,0))),""))</f>
        <v/>
      </c>
      <c r="C330" s="6">
        <f>IF(A330="","",IFERROR(INDEX('激励事件明细'!$H$2:$H$501,IF(D330&lt;&gt;"",MATCH(D330,'激励事件明细'!$A$2:$A$501,0),MATCH(E330,'激励事件明细'!$B$2:$B$501,0))),""))</f>
        <v/>
      </c>
      <c r="D330" s="11" t="n"/>
      <c r="E330" s="11" t="n"/>
      <c r="F330" s="14">
        <f>IF(A330="","",IFERROR(INDEX('激励事件明细'!$Z$2:$Z$501,IF(D330&lt;&gt;"",MATCH(D330,'激励事件明细'!$A$2:$A$501,0),MATCH(E330,'激励事件明细'!$B$2:$B$501,0))),""))</f>
        <v/>
      </c>
      <c r="G330" s="16">
        <f>IF(A330="","",IFERROR(INDEX('激励事件明细'!$AA$2:$AA$501,IF(D330&lt;&gt;"",MATCH(D330,'激励事件明细'!$A$2:$A$501,0),MATCH(E330,'激励事件明细'!$B$2:$B$501,0))),""))</f>
        <v/>
      </c>
      <c r="H330" s="16">
        <f>IF(A330="","",IFERROR(INDEX('激励事件明细'!$AB$2:$AB$501,IF(D330&lt;&gt;"",MATCH(D330,'激励事件明细'!$A$2:$A$501,0),MATCH(E330,'激励事件明细'!$B$2:$B$501,0))),""))</f>
        <v/>
      </c>
      <c r="I330" s="12" t="n"/>
      <c r="J330" s="13" t="n"/>
      <c r="K330" s="13" t="n"/>
      <c r="L330" s="11" t="n"/>
      <c r="M330" s="14">
        <f>IF(A330="","",IF(D330&lt;&gt;"",SUMIFS($K$2:$K$501,$D$2:$D$501,D330),SUMIFS($K$2:$K$501,$E$2:$E$501,E330)))</f>
        <v/>
      </c>
      <c r="N330" s="14">
        <f>IF(F330="","",MAX(0,F330-M330))</f>
        <v/>
      </c>
      <c r="O330" s="6">
        <f>IF(A330="","",IF(AND(I330&lt;&gt;"",I330&gt;H330),"是",IF(AND(TODAY()&gt;H330,N330&gt;0),"是","否")))</f>
        <v/>
      </c>
      <c r="P330" s="16">
        <f>IF(A330="","",IFERROR(INDEX('激励事件明细'!$P$2:$P$501,IF(D330&lt;&gt;"",MATCH(D330,'激励事件明细'!$A$2:$A$501,0),MATCH(E330,'激励事件明细'!$B$2:$B$501,0))),""))</f>
        <v/>
      </c>
      <c r="Q330" s="6">
        <f>IF(AND(D330="",E330=""),"异常：必须关联事件编号或税额批次",IF(AND(D330&lt;&gt;"",COUNTIF('激励事件明细'!$A$2:$A$501,D330)=0),"异常：事件编号不存在",IF(AND(E330&lt;&gt;"",COUNTIF('激励事件明细'!$B$2:$B$501,E330)=0),"异常：税额批次不存在",IF(M330&gt;F330,"异常：本批次超额缴税",IF(AND(I330&lt;&gt;"",I330&gt;H330),"异常：超过事件截止日",IF(AND(P330&lt;&gt;"",TODAY()&gt;=P330,N330&gt;0),"异常：离职前未缴清","正常"))))))</f>
        <v/>
      </c>
      <c r="R330" s="11" t="n"/>
    </row>
    <row r="331">
      <c r="A331" s="6">
        <f>IF(AND(D331="",E331=""),"",IFERROR(INDEX('激励事件明细'!$C$2:$C$501,IF(D331&lt;&gt;"",MATCH(D331,'激励事件明细'!$A$2:$A$501,0),MATCH(E331,'激励事件明细'!$B$2:$B$501,0))),""))</f>
        <v/>
      </c>
      <c r="B331" s="6">
        <f>IF(A331="","",IFERROR(INDEX('激励事件明细'!$D$2:$D$501,IF(D331&lt;&gt;"",MATCH(D331,'激励事件明细'!$A$2:$A$501,0),MATCH(E331,'激励事件明细'!$B$2:$B$501,0))),""))</f>
        <v/>
      </c>
      <c r="C331" s="6">
        <f>IF(A331="","",IFERROR(INDEX('激励事件明细'!$H$2:$H$501,IF(D331&lt;&gt;"",MATCH(D331,'激励事件明细'!$A$2:$A$501,0),MATCH(E331,'激励事件明细'!$B$2:$B$501,0))),""))</f>
        <v/>
      </c>
      <c r="D331" s="11" t="n"/>
      <c r="E331" s="11" t="n"/>
      <c r="F331" s="14">
        <f>IF(A331="","",IFERROR(INDEX('激励事件明细'!$Z$2:$Z$501,IF(D331&lt;&gt;"",MATCH(D331,'激励事件明细'!$A$2:$A$501,0),MATCH(E331,'激励事件明细'!$B$2:$B$501,0))),""))</f>
        <v/>
      </c>
      <c r="G331" s="16">
        <f>IF(A331="","",IFERROR(INDEX('激励事件明细'!$AA$2:$AA$501,IF(D331&lt;&gt;"",MATCH(D331,'激励事件明细'!$A$2:$A$501,0),MATCH(E331,'激励事件明细'!$B$2:$B$501,0))),""))</f>
        <v/>
      </c>
      <c r="H331" s="16">
        <f>IF(A331="","",IFERROR(INDEX('激励事件明细'!$AB$2:$AB$501,IF(D331&lt;&gt;"",MATCH(D331,'激励事件明细'!$A$2:$A$501,0),MATCH(E331,'激励事件明细'!$B$2:$B$501,0))),""))</f>
        <v/>
      </c>
      <c r="I331" s="12" t="n"/>
      <c r="J331" s="13" t="n"/>
      <c r="K331" s="13" t="n"/>
      <c r="L331" s="11" t="n"/>
      <c r="M331" s="14">
        <f>IF(A331="","",IF(D331&lt;&gt;"",SUMIFS($K$2:$K$501,$D$2:$D$501,D331),SUMIFS($K$2:$K$501,$E$2:$E$501,E331)))</f>
        <v/>
      </c>
      <c r="N331" s="14">
        <f>IF(F331="","",MAX(0,F331-M331))</f>
        <v/>
      </c>
      <c r="O331" s="6">
        <f>IF(A331="","",IF(AND(I331&lt;&gt;"",I331&gt;H331),"是",IF(AND(TODAY()&gt;H331,N331&gt;0),"是","否")))</f>
        <v/>
      </c>
      <c r="P331" s="16">
        <f>IF(A331="","",IFERROR(INDEX('激励事件明细'!$P$2:$P$501,IF(D331&lt;&gt;"",MATCH(D331,'激励事件明细'!$A$2:$A$501,0),MATCH(E331,'激励事件明细'!$B$2:$B$501,0))),""))</f>
        <v/>
      </c>
      <c r="Q331" s="6">
        <f>IF(AND(D331="",E331=""),"异常：必须关联事件编号或税额批次",IF(AND(D331&lt;&gt;"",COUNTIF('激励事件明细'!$A$2:$A$501,D331)=0),"异常：事件编号不存在",IF(AND(E331&lt;&gt;"",COUNTIF('激励事件明细'!$B$2:$B$501,E331)=0),"异常：税额批次不存在",IF(M331&gt;F331,"异常：本批次超额缴税",IF(AND(I331&lt;&gt;"",I331&gt;H331),"异常：超过事件截止日",IF(AND(P331&lt;&gt;"",TODAY()&gt;=P331,N331&gt;0),"异常：离职前未缴清","正常"))))))</f>
        <v/>
      </c>
      <c r="R331" s="11" t="n"/>
    </row>
    <row r="332">
      <c r="A332" s="6">
        <f>IF(AND(D332="",E332=""),"",IFERROR(INDEX('激励事件明细'!$C$2:$C$501,IF(D332&lt;&gt;"",MATCH(D332,'激励事件明细'!$A$2:$A$501,0),MATCH(E332,'激励事件明细'!$B$2:$B$501,0))),""))</f>
        <v/>
      </c>
      <c r="B332" s="6">
        <f>IF(A332="","",IFERROR(INDEX('激励事件明细'!$D$2:$D$501,IF(D332&lt;&gt;"",MATCH(D332,'激励事件明细'!$A$2:$A$501,0),MATCH(E332,'激励事件明细'!$B$2:$B$501,0))),""))</f>
        <v/>
      </c>
      <c r="C332" s="6">
        <f>IF(A332="","",IFERROR(INDEX('激励事件明细'!$H$2:$H$501,IF(D332&lt;&gt;"",MATCH(D332,'激励事件明细'!$A$2:$A$501,0),MATCH(E332,'激励事件明细'!$B$2:$B$501,0))),""))</f>
        <v/>
      </c>
      <c r="D332" s="11" t="n"/>
      <c r="E332" s="11" t="n"/>
      <c r="F332" s="14">
        <f>IF(A332="","",IFERROR(INDEX('激励事件明细'!$Z$2:$Z$501,IF(D332&lt;&gt;"",MATCH(D332,'激励事件明细'!$A$2:$A$501,0),MATCH(E332,'激励事件明细'!$B$2:$B$501,0))),""))</f>
        <v/>
      </c>
      <c r="G332" s="16">
        <f>IF(A332="","",IFERROR(INDEX('激励事件明细'!$AA$2:$AA$501,IF(D332&lt;&gt;"",MATCH(D332,'激励事件明细'!$A$2:$A$501,0),MATCH(E332,'激励事件明细'!$B$2:$B$501,0))),""))</f>
        <v/>
      </c>
      <c r="H332" s="16">
        <f>IF(A332="","",IFERROR(INDEX('激励事件明细'!$AB$2:$AB$501,IF(D332&lt;&gt;"",MATCH(D332,'激励事件明细'!$A$2:$A$501,0),MATCH(E332,'激励事件明细'!$B$2:$B$501,0))),""))</f>
        <v/>
      </c>
      <c r="I332" s="12" t="n"/>
      <c r="J332" s="13" t="n"/>
      <c r="K332" s="13" t="n"/>
      <c r="L332" s="11" t="n"/>
      <c r="M332" s="14">
        <f>IF(A332="","",IF(D332&lt;&gt;"",SUMIFS($K$2:$K$501,$D$2:$D$501,D332),SUMIFS($K$2:$K$501,$E$2:$E$501,E332)))</f>
        <v/>
      </c>
      <c r="N332" s="14">
        <f>IF(F332="","",MAX(0,F332-M332))</f>
        <v/>
      </c>
      <c r="O332" s="6">
        <f>IF(A332="","",IF(AND(I332&lt;&gt;"",I332&gt;H332),"是",IF(AND(TODAY()&gt;H332,N332&gt;0),"是","否")))</f>
        <v/>
      </c>
      <c r="P332" s="16">
        <f>IF(A332="","",IFERROR(INDEX('激励事件明细'!$P$2:$P$501,IF(D332&lt;&gt;"",MATCH(D332,'激励事件明细'!$A$2:$A$501,0),MATCH(E332,'激励事件明细'!$B$2:$B$501,0))),""))</f>
        <v/>
      </c>
      <c r="Q332" s="6">
        <f>IF(AND(D332="",E332=""),"异常：必须关联事件编号或税额批次",IF(AND(D332&lt;&gt;"",COUNTIF('激励事件明细'!$A$2:$A$501,D332)=0),"异常：事件编号不存在",IF(AND(E332&lt;&gt;"",COUNTIF('激励事件明细'!$B$2:$B$501,E332)=0),"异常：税额批次不存在",IF(M332&gt;F332,"异常：本批次超额缴税",IF(AND(I332&lt;&gt;"",I332&gt;H332),"异常：超过事件截止日",IF(AND(P332&lt;&gt;"",TODAY()&gt;=P332,N332&gt;0),"异常：离职前未缴清","正常"))))))</f>
        <v/>
      </c>
      <c r="R332" s="11" t="n"/>
    </row>
    <row r="333">
      <c r="A333" s="6">
        <f>IF(AND(D333="",E333=""),"",IFERROR(INDEX('激励事件明细'!$C$2:$C$501,IF(D333&lt;&gt;"",MATCH(D333,'激励事件明细'!$A$2:$A$501,0),MATCH(E333,'激励事件明细'!$B$2:$B$501,0))),""))</f>
        <v/>
      </c>
      <c r="B333" s="6">
        <f>IF(A333="","",IFERROR(INDEX('激励事件明细'!$D$2:$D$501,IF(D333&lt;&gt;"",MATCH(D333,'激励事件明细'!$A$2:$A$501,0),MATCH(E333,'激励事件明细'!$B$2:$B$501,0))),""))</f>
        <v/>
      </c>
      <c r="C333" s="6">
        <f>IF(A333="","",IFERROR(INDEX('激励事件明细'!$H$2:$H$501,IF(D333&lt;&gt;"",MATCH(D333,'激励事件明细'!$A$2:$A$501,0),MATCH(E333,'激励事件明细'!$B$2:$B$501,0))),""))</f>
        <v/>
      </c>
      <c r="D333" s="11" t="n"/>
      <c r="E333" s="11" t="n"/>
      <c r="F333" s="14">
        <f>IF(A333="","",IFERROR(INDEX('激励事件明细'!$Z$2:$Z$501,IF(D333&lt;&gt;"",MATCH(D333,'激励事件明细'!$A$2:$A$501,0),MATCH(E333,'激励事件明细'!$B$2:$B$501,0))),""))</f>
        <v/>
      </c>
      <c r="G333" s="16">
        <f>IF(A333="","",IFERROR(INDEX('激励事件明细'!$AA$2:$AA$501,IF(D333&lt;&gt;"",MATCH(D333,'激励事件明细'!$A$2:$A$501,0),MATCH(E333,'激励事件明细'!$B$2:$B$501,0))),""))</f>
        <v/>
      </c>
      <c r="H333" s="16">
        <f>IF(A333="","",IFERROR(INDEX('激励事件明细'!$AB$2:$AB$501,IF(D333&lt;&gt;"",MATCH(D333,'激励事件明细'!$A$2:$A$501,0),MATCH(E333,'激励事件明细'!$B$2:$B$501,0))),""))</f>
        <v/>
      </c>
      <c r="I333" s="12" t="n"/>
      <c r="J333" s="13" t="n"/>
      <c r="K333" s="13" t="n"/>
      <c r="L333" s="11" t="n"/>
      <c r="M333" s="14">
        <f>IF(A333="","",IF(D333&lt;&gt;"",SUMIFS($K$2:$K$501,$D$2:$D$501,D333),SUMIFS($K$2:$K$501,$E$2:$E$501,E333)))</f>
        <v/>
      </c>
      <c r="N333" s="14">
        <f>IF(F333="","",MAX(0,F333-M333))</f>
        <v/>
      </c>
      <c r="O333" s="6">
        <f>IF(A333="","",IF(AND(I333&lt;&gt;"",I333&gt;H333),"是",IF(AND(TODAY()&gt;H333,N333&gt;0),"是","否")))</f>
        <v/>
      </c>
      <c r="P333" s="16">
        <f>IF(A333="","",IFERROR(INDEX('激励事件明细'!$P$2:$P$501,IF(D333&lt;&gt;"",MATCH(D333,'激励事件明细'!$A$2:$A$501,0),MATCH(E333,'激励事件明细'!$B$2:$B$501,0))),""))</f>
        <v/>
      </c>
      <c r="Q333" s="6">
        <f>IF(AND(D333="",E333=""),"异常：必须关联事件编号或税额批次",IF(AND(D333&lt;&gt;"",COUNTIF('激励事件明细'!$A$2:$A$501,D333)=0),"异常：事件编号不存在",IF(AND(E333&lt;&gt;"",COUNTIF('激励事件明细'!$B$2:$B$501,E333)=0),"异常：税额批次不存在",IF(M333&gt;F333,"异常：本批次超额缴税",IF(AND(I333&lt;&gt;"",I333&gt;H333),"异常：超过事件截止日",IF(AND(P333&lt;&gt;"",TODAY()&gt;=P333,N333&gt;0),"异常：离职前未缴清","正常"))))))</f>
        <v/>
      </c>
      <c r="R333" s="11" t="n"/>
    </row>
    <row r="334">
      <c r="A334" s="6">
        <f>IF(AND(D334="",E334=""),"",IFERROR(INDEX('激励事件明细'!$C$2:$C$501,IF(D334&lt;&gt;"",MATCH(D334,'激励事件明细'!$A$2:$A$501,0),MATCH(E334,'激励事件明细'!$B$2:$B$501,0))),""))</f>
        <v/>
      </c>
      <c r="B334" s="6">
        <f>IF(A334="","",IFERROR(INDEX('激励事件明细'!$D$2:$D$501,IF(D334&lt;&gt;"",MATCH(D334,'激励事件明细'!$A$2:$A$501,0),MATCH(E334,'激励事件明细'!$B$2:$B$501,0))),""))</f>
        <v/>
      </c>
      <c r="C334" s="6">
        <f>IF(A334="","",IFERROR(INDEX('激励事件明细'!$H$2:$H$501,IF(D334&lt;&gt;"",MATCH(D334,'激励事件明细'!$A$2:$A$501,0),MATCH(E334,'激励事件明细'!$B$2:$B$501,0))),""))</f>
        <v/>
      </c>
      <c r="D334" s="11" t="n"/>
      <c r="E334" s="11" t="n"/>
      <c r="F334" s="14">
        <f>IF(A334="","",IFERROR(INDEX('激励事件明细'!$Z$2:$Z$501,IF(D334&lt;&gt;"",MATCH(D334,'激励事件明细'!$A$2:$A$501,0),MATCH(E334,'激励事件明细'!$B$2:$B$501,0))),""))</f>
        <v/>
      </c>
      <c r="G334" s="16">
        <f>IF(A334="","",IFERROR(INDEX('激励事件明细'!$AA$2:$AA$501,IF(D334&lt;&gt;"",MATCH(D334,'激励事件明细'!$A$2:$A$501,0),MATCH(E334,'激励事件明细'!$B$2:$B$501,0))),""))</f>
        <v/>
      </c>
      <c r="H334" s="16">
        <f>IF(A334="","",IFERROR(INDEX('激励事件明细'!$AB$2:$AB$501,IF(D334&lt;&gt;"",MATCH(D334,'激励事件明细'!$A$2:$A$501,0),MATCH(E334,'激励事件明细'!$B$2:$B$501,0))),""))</f>
        <v/>
      </c>
      <c r="I334" s="12" t="n"/>
      <c r="J334" s="13" t="n"/>
      <c r="K334" s="13" t="n"/>
      <c r="L334" s="11" t="n"/>
      <c r="M334" s="14">
        <f>IF(A334="","",IF(D334&lt;&gt;"",SUMIFS($K$2:$K$501,$D$2:$D$501,D334),SUMIFS($K$2:$K$501,$E$2:$E$501,E334)))</f>
        <v/>
      </c>
      <c r="N334" s="14">
        <f>IF(F334="","",MAX(0,F334-M334))</f>
        <v/>
      </c>
      <c r="O334" s="6">
        <f>IF(A334="","",IF(AND(I334&lt;&gt;"",I334&gt;H334),"是",IF(AND(TODAY()&gt;H334,N334&gt;0),"是","否")))</f>
        <v/>
      </c>
      <c r="P334" s="16">
        <f>IF(A334="","",IFERROR(INDEX('激励事件明细'!$P$2:$P$501,IF(D334&lt;&gt;"",MATCH(D334,'激励事件明细'!$A$2:$A$501,0),MATCH(E334,'激励事件明细'!$B$2:$B$501,0))),""))</f>
        <v/>
      </c>
      <c r="Q334" s="6">
        <f>IF(AND(D334="",E334=""),"异常：必须关联事件编号或税额批次",IF(AND(D334&lt;&gt;"",COUNTIF('激励事件明细'!$A$2:$A$501,D334)=0),"异常：事件编号不存在",IF(AND(E334&lt;&gt;"",COUNTIF('激励事件明细'!$B$2:$B$501,E334)=0),"异常：税额批次不存在",IF(M334&gt;F334,"异常：本批次超额缴税",IF(AND(I334&lt;&gt;"",I334&gt;H334),"异常：超过事件截止日",IF(AND(P334&lt;&gt;"",TODAY()&gt;=P334,N334&gt;0),"异常：离职前未缴清","正常"))))))</f>
        <v/>
      </c>
      <c r="R334" s="11" t="n"/>
    </row>
    <row r="335">
      <c r="A335" s="6">
        <f>IF(AND(D335="",E335=""),"",IFERROR(INDEX('激励事件明细'!$C$2:$C$501,IF(D335&lt;&gt;"",MATCH(D335,'激励事件明细'!$A$2:$A$501,0),MATCH(E335,'激励事件明细'!$B$2:$B$501,0))),""))</f>
        <v/>
      </c>
      <c r="B335" s="6">
        <f>IF(A335="","",IFERROR(INDEX('激励事件明细'!$D$2:$D$501,IF(D335&lt;&gt;"",MATCH(D335,'激励事件明细'!$A$2:$A$501,0),MATCH(E335,'激励事件明细'!$B$2:$B$501,0))),""))</f>
        <v/>
      </c>
      <c r="C335" s="6">
        <f>IF(A335="","",IFERROR(INDEX('激励事件明细'!$H$2:$H$501,IF(D335&lt;&gt;"",MATCH(D335,'激励事件明细'!$A$2:$A$501,0),MATCH(E335,'激励事件明细'!$B$2:$B$501,0))),""))</f>
        <v/>
      </c>
      <c r="D335" s="11" t="n"/>
      <c r="E335" s="11" t="n"/>
      <c r="F335" s="14">
        <f>IF(A335="","",IFERROR(INDEX('激励事件明细'!$Z$2:$Z$501,IF(D335&lt;&gt;"",MATCH(D335,'激励事件明细'!$A$2:$A$501,0),MATCH(E335,'激励事件明细'!$B$2:$B$501,0))),""))</f>
        <v/>
      </c>
      <c r="G335" s="16">
        <f>IF(A335="","",IFERROR(INDEX('激励事件明细'!$AA$2:$AA$501,IF(D335&lt;&gt;"",MATCH(D335,'激励事件明细'!$A$2:$A$501,0),MATCH(E335,'激励事件明细'!$B$2:$B$501,0))),""))</f>
        <v/>
      </c>
      <c r="H335" s="16">
        <f>IF(A335="","",IFERROR(INDEX('激励事件明细'!$AB$2:$AB$501,IF(D335&lt;&gt;"",MATCH(D335,'激励事件明细'!$A$2:$A$501,0),MATCH(E335,'激励事件明细'!$B$2:$B$501,0))),""))</f>
        <v/>
      </c>
      <c r="I335" s="12" t="n"/>
      <c r="J335" s="13" t="n"/>
      <c r="K335" s="13" t="n"/>
      <c r="L335" s="11" t="n"/>
      <c r="M335" s="14">
        <f>IF(A335="","",IF(D335&lt;&gt;"",SUMIFS($K$2:$K$501,$D$2:$D$501,D335),SUMIFS($K$2:$K$501,$E$2:$E$501,E335)))</f>
        <v/>
      </c>
      <c r="N335" s="14">
        <f>IF(F335="","",MAX(0,F335-M335))</f>
        <v/>
      </c>
      <c r="O335" s="6">
        <f>IF(A335="","",IF(AND(I335&lt;&gt;"",I335&gt;H335),"是",IF(AND(TODAY()&gt;H335,N335&gt;0),"是","否")))</f>
        <v/>
      </c>
      <c r="P335" s="16">
        <f>IF(A335="","",IFERROR(INDEX('激励事件明细'!$P$2:$P$501,IF(D335&lt;&gt;"",MATCH(D335,'激励事件明细'!$A$2:$A$501,0),MATCH(E335,'激励事件明细'!$B$2:$B$501,0))),""))</f>
        <v/>
      </c>
      <c r="Q335" s="6">
        <f>IF(AND(D335="",E335=""),"异常：必须关联事件编号或税额批次",IF(AND(D335&lt;&gt;"",COUNTIF('激励事件明细'!$A$2:$A$501,D335)=0),"异常：事件编号不存在",IF(AND(E335&lt;&gt;"",COUNTIF('激励事件明细'!$B$2:$B$501,E335)=0),"异常：税额批次不存在",IF(M335&gt;F335,"异常：本批次超额缴税",IF(AND(I335&lt;&gt;"",I335&gt;H335),"异常：超过事件截止日",IF(AND(P335&lt;&gt;"",TODAY()&gt;=P335,N335&gt;0),"异常：离职前未缴清","正常"))))))</f>
        <v/>
      </c>
      <c r="R335" s="11" t="n"/>
    </row>
    <row r="336">
      <c r="A336" s="6">
        <f>IF(AND(D336="",E336=""),"",IFERROR(INDEX('激励事件明细'!$C$2:$C$501,IF(D336&lt;&gt;"",MATCH(D336,'激励事件明细'!$A$2:$A$501,0),MATCH(E336,'激励事件明细'!$B$2:$B$501,0))),""))</f>
        <v/>
      </c>
      <c r="B336" s="6">
        <f>IF(A336="","",IFERROR(INDEX('激励事件明细'!$D$2:$D$501,IF(D336&lt;&gt;"",MATCH(D336,'激励事件明细'!$A$2:$A$501,0),MATCH(E336,'激励事件明细'!$B$2:$B$501,0))),""))</f>
        <v/>
      </c>
      <c r="C336" s="6">
        <f>IF(A336="","",IFERROR(INDEX('激励事件明细'!$H$2:$H$501,IF(D336&lt;&gt;"",MATCH(D336,'激励事件明细'!$A$2:$A$501,0),MATCH(E336,'激励事件明细'!$B$2:$B$501,0))),""))</f>
        <v/>
      </c>
      <c r="D336" s="11" t="n"/>
      <c r="E336" s="11" t="n"/>
      <c r="F336" s="14">
        <f>IF(A336="","",IFERROR(INDEX('激励事件明细'!$Z$2:$Z$501,IF(D336&lt;&gt;"",MATCH(D336,'激励事件明细'!$A$2:$A$501,0),MATCH(E336,'激励事件明细'!$B$2:$B$501,0))),""))</f>
        <v/>
      </c>
      <c r="G336" s="16">
        <f>IF(A336="","",IFERROR(INDEX('激励事件明细'!$AA$2:$AA$501,IF(D336&lt;&gt;"",MATCH(D336,'激励事件明细'!$A$2:$A$501,0),MATCH(E336,'激励事件明细'!$B$2:$B$501,0))),""))</f>
        <v/>
      </c>
      <c r="H336" s="16">
        <f>IF(A336="","",IFERROR(INDEX('激励事件明细'!$AB$2:$AB$501,IF(D336&lt;&gt;"",MATCH(D336,'激励事件明细'!$A$2:$A$501,0),MATCH(E336,'激励事件明细'!$B$2:$B$501,0))),""))</f>
        <v/>
      </c>
      <c r="I336" s="12" t="n"/>
      <c r="J336" s="13" t="n"/>
      <c r="K336" s="13" t="n"/>
      <c r="L336" s="11" t="n"/>
      <c r="M336" s="14">
        <f>IF(A336="","",IF(D336&lt;&gt;"",SUMIFS($K$2:$K$501,$D$2:$D$501,D336),SUMIFS($K$2:$K$501,$E$2:$E$501,E336)))</f>
        <v/>
      </c>
      <c r="N336" s="14">
        <f>IF(F336="","",MAX(0,F336-M336))</f>
        <v/>
      </c>
      <c r="O336" s="6">
        <f>IF(A336="","",IF(AND(I336&lt;&gt;"",I336&gt;H336),"是",IF(AND(TODAY()&gt;H336,N336&gt;0),"是","否")))</f>
        <v/>
      </c>
      <c r="P336" s="16">
        <f>IF(A336="","",IFERROR(INDEX('激励事件明细'!$P$2:$P$501,IF(D336&lt;&gt;"",MATCH(D336,'激励事件明细'!$A$2:$A$501,0),MATCH(E336,'激励事件明细'!$B$2:$B$501,0))),""))</f>
        <v/>
      </c>
      <c r="Q336" s="6">
        <f>IF(AND(D336="",E336=""),"异常：必须关联事件编号或税额批次",IF(AND(D336&lt;&gt;"",COUNTIF('激励事件明细'!$A$2:$A$501,D336)=0),"异常：事件编号不存在",IF(AND(E336&lt;&gt;"",COUNTIF('激励事件明细'!$B$2:$B$501,E336)=0),"异常：税额批次不存在",IF(M336&gt;F336,"异常：本批次超额缴税",IF(AND(I336&lt;&gt;"",I336&gt;H336),"异常：超过事件截止日",IF(AND(P336&lt;&gt;"",TODAY()&gt;=P336,N336&gt;0),"异常：离职前未缴清","正常"))))))</f>
        <v/>
      </c>
      <c r="R336" s="11" t="n"/>
    </row>
    <row r="337">
      <c r="A337" s="6">
        <f>IF(AND(D337="",E337=""),"",IFERROR(INDEX('激励事件明细'!$C$2:$C$501,IF(D337&lt;&gt;"",MATCH(D337,'激励事件明细'!$A$2:$A$501,0),MATCH(E337,'激励事件明细'!$B$2:$B$501,0))),""))</f>
        <v/>
      </c>
      <c r="B337" s="6">
        <f>IF(A337="","",IFERROR(INDEX('激励事件明细'!$D$2:$D$501,IF(D337&lt;&gt;"",MATCH(D337,'激励事件明细'!$A$2:$A$501,0),MATCH(E337,'激励事件明细'!$B$2:$B$501,0))),""))</f>
        <v/>
      </c>
      <c r="C337" s="6">
        <f>IF(A337="","",IFERROR(INDEX('激励事件明细'!$H$2:$H$501,IF(D337&lt;&gt;"",MATCH(D337,'激励事件明细'!$A$2:$A$501,0),MATCH(E337,'激励事件明细'!$B$2:$B$501,0))),""))</f>
        <v/>
      </c>
      <c r="D337" s="11" t="n"/>
      <c r="E337" s="11" t="n"/>
      <c r="F337" s="14">
        <f>IF(A337="","",IFERROR(INDEX('激励事件明细'!$Z$2:$Z$501,IF(D337&lt;&gt;"",MATCH(D337,'激励事件明细'!$A$2:$A$501,0),MATCH(E337,'激励事件明细'!$B$2:$B$501,0))),""))</f>
        <v/>
      </c>
      <c r="G337" s="16">
        <f>IF(A337="","",IFERROR(INDEX('激励事件明细'!$AA$2:$AA$501,IF(D337&lt;&gt;"",MATCH(D337,'激励事件明细'!$A$2:$A$501,0),MATCH(E337,'激励事件明细'!$B$2:$B$501,0))),""))</f>
        <v/>
      </c>
      <c r="H337" s="16">
        <f>IF(A337="","",IFERROR(INDEX('激励事件明细'!$AB$2:$AB$501,IF(D337&lt;&gt;"",MATCH(D337,'激励事件明细'!$A$2:$A$501,0),MATCH(E337,'激励事件明细'!$B$2:$B$501,0))),""))</f>
        <v/>
      </c>
      <c r="I337" s="12" t="n"/>
      <c r="J337" s="13" t="n"/>
      <c r="K337" s="13" t="n"/>
      <c r="L337" s="11" t="n"/>
      <c r="M337" s="14">
        <f>IF(A337="","",IF(D337&lt;&gt;"",SUMIFS($K$2:$K$501,$D$2:$D$501,D337),SUMIFS($K$2:$K$501,$E$2:$E$501,E337)))</f>
        <v/>
      </c>
      <c r="N337" s="14">
        <f>IF(F337="","",MAX(0,F337-M337))</f>
        <v/>
      </c>
      <c r="O337" s="6">
        <f>IF(A337="","",IF(AND(I337&lt;&gt;"",I337&gt;H337),"是",IF(AND(TODAY()&gt;H337,N337&gt;0),"是","否")))</f>
        <v/>
      </c>
      <c r="P337" s="16">
        <f>IF(A337="","",IFERROR(INDEX('激励事件明细'!$P$2:$P$501,IF(D337&lt;&gt;"",MATCH(D337,'激励事件明细'!$A$2:$A$501,0),MATCH(E337,'激励事件明细'!$B$2:$B$501,0))),""))</f>
        <v/>
      </c>
      <c r="Q337" s="6">
        <f>IF(AND(D337="",E337=""),"异常：必须关联事件编号或税额批次",IF(AND(D337&lt;&gt;"",COUNTIF('激励事件明细'!$A$2:$A$501,D337)=0),"异常：事件编号不存在",IF(AND(E337&lt;&gt;"",COUNTIF('激励事件明细'!$B$2:$B$501,E337)=0),"异常：税额批次不存在",IF(M337&gt;F337,"异常：本批次超额缴税",IF(AND(I337&lt;&gt;"",I337&gt;H337),"异常：超过事件截止日",IF(AND(P337&lt;&gt;"",TODAY()&gt;=P337,N337&gt;0),"异常：离职前未缴清","正常"))))))</f>
        <v/>
      </c>
      <c r="R337" s="11" t="n"/>
    </row>
    <row r="338">
      <c r="A338" s="6">
        <f>IF(AND(D338="",E338=""),"",IFERROR(INDEX('激励事件明细'!$C$2:$C$501,IF(D338&lt;&gt;"",MATCH(D338,'激励事件明细'!$A$2:$A$501,0),MATCH(E338,'激励事件明细'!$B$2:$B$501,0))),""))</f>
        <v/>
      </c>
      <c r="B338" s="6">
        <f>IF(A338="","",IFERROR(INDEX('激励事件明细'!$D$2:$D$501,IF(D338&lt;&gt;"",MATCH(D338,'激励事件明细'!$A$2:$A$501,0),MATCH(E338,'激励事件明细'!$B$2:$B$501,0))),""))</f>
        <v/>
      </c>
      <c r="C338" s="6">
        <f>IF(A338="","",IFERROR(INDEX('激励事件明细'!$H$2:$H$501,IF(D338&lt;&gt;"",MATCH(D338,'激励事件明细'!$A$2:$A$501,0),MATCH(E338,'激励事件明细'!$B$2:$B$501,0))),""))</f>
        <v/>
      </c>
      <c r="D338" s="11" t="n"/>
      <c r="E338" s="11" t="n"/>
      <c r="F338" s="14">
        <f>IF(A338="","",IFERROR(INDEX('激励事件明细'!$Z$2:$Z$501,IF(D338&lt;&gt;"",MATCH(D338,'激励事件明细'!$A$2:$A$501,0),MATCH(E338,'激励事件明细'!$B$2:$B$501,0))),""))</f>
        <v/>
      </c>
      <c r="G338" s="16">
        <f>IF(A338="","",IFERROR(INDEX('激励事件明细'!$AA$2:$AA$501,IF(D338&lt;&gt;"",MATCH(D338,'激励事件明细'!$A$2:$A$501,0),MATCH(E338,'激励事件明细'!$B$2:$B$501,0))),""))</f>
        <v/>
      </c>
      <c r="H338" s="16">
        <f>IF(A338="","",IFERROR(INDEX('激励事件明细'!$AB$2:$AB$501,IF(D338&lt;&gt;"",MATCH(D338,'激励事件明细'!$A$2:$A$501,0),MATCH(E338,'激励事件明细'!$B$2:$B$501,0))),""))</f>
        <v/>
      </c>
      <c r="I338" s="12" t="n"/>
      <c r="J338" s="13" t="n"/>
      <c r="K338" s="13" t="n"/>
      <c r="L338" s="11" t="n"/>
      <c r="M338" s="14">
        <f>IF(A338="","",IF(D338&lt;&gt;"",SUMIFS($K$2:$K$501,$D$2:$D$501,D338),SUMIFS($K$2:$K$501,$E$2:$E$501,E338)))</f>
        <v/>
      </c>
      <c r="N338" s="14">
        <f>IF(F338="","",MAX(0,F338-M338))</f>
        <v/>
      </c>
      <c r="O338" s="6">
        <f>IF(A338="","",IF(AND(I338&lt;&gt;"",I338&gt;H338),"是",IF(AND(TODAY()&gt;H338,N338&gt;0),"是","否")))</f>
        <v/>
      </c>
      <c r="P338" s="16">
        <f>IF(A338="","",IFERROR(INDEX('激励事件明细'!$P$2:$P$501,IF(D338&lt;&gt;"",MATCH(D338,'激励事件明细'!$A$2:$A$501,0),MATCH(E338,'激励事件明细'!$B$2:$B$501,0))),""))</f>
        <v/>
      </c>
      <c r="Q338" s="6">
        <f>IF(AND(D338="",E338=""),"异常：必须关联事件编号或税额批次",IF(AND(D338&lt;&gt;"",COUNTIF('激励事件明细'!$A$2:$A$501,D338)=0),"异常：事件编号不存在",IF(AND(E338&lt;&gt;"",COUNTIF('激励事件明细'!$B$2:$B$501,E338)=0),"异常：税额批次不存在",IF(M338&gt;F338,"异常：本批次超额缴税",IF(AND(I338&lt;&gt;"",I338&gt;H338),"异常：超过事件截止日",IF(AND(P338&lt;&gt;"",TODAY()&gt;=P338,N338&gt;0),"异常：离职前未缴清","正常"))))))</f>
        <v/>
      </c>
      <c r="R338" s="11" t="n"/>
    </row>
    <row r="339">
      <c r="A339" s="6">
        <f>IF(AND(D339="",E339=""),"",IFERROR(INDEX('激励事件明细'!$C$2:$C$501,IF(D339&lt;&gt;"",MATCH(D339,'激励事件明细'!$A$2:$A$501,0),MATCH(E339,'激励事件明细'!$B$2:$B$501,0))),""))</f>
        <v/>
      </c>
      <c r="B339" s="6">
        <f>IF(A339="","",IFERROR(INDEX('激励事件明细'!$D$2:$D$501,IF(D339&lt;&gt;"",MATCH(D339,'激励事件明细'!$A$2:$A$501,0),MATCH(E339,'激励事件明细'!$B$2:$B$501,0))),""))</f>
        <v/>
      </c>
      <c r="C339" s="6">
        <f>IF(A339="","",IFERROR(INDEX('激励事件明细'!$H$2:$H$501,IF(D339&lt;&gt;"",MATCH(D339,'激励事件明细'!$A$2:$A$501,0),MATCH(E339,'激励事件明细'!$B$2:$B$501,0))),""))</f>
        <v/>
      </c>
      <c r="D339" s="11" t="n"/>
      <c r="E339" s="11" t="n"/>
      <c r="F339" s="14">
        <f>IF(A339="","",IFERROR(INDEX('激励事件明细'!$Z$2:$Z$501,IF(D339&lt;&gt;"",MATCH(D339,'激励事件明细'!$A$2:$A$501,0),MATCH(E339,'激励事件明细'!$B$2:$B$501,0))),""))</f>
        <v/>
      </c>
      <c r="G339" s="16">
        <f>IF(A339="","",IFERROR(INDEX('激励事件明细'!$AA$2:$AA$501,IF(D339&lt;&gt;"",MATCH(D339,'激励事件明细'!$A$2:$A$501,0),MATCH(E339,'激励事件明细'!$B$2:$B$501,0))),""))</f>
        <v/>
      </c>
      <c r="H339" s="16">
        <f>IF(A339="","",IFERROR(INDEX('激励事件明细'!$AB$2:$AB$501,IF(D339&lt;&gt;"",MATCH(D339,'激励事件明细'!$A$2:$A$501,0),MATCH(E339,'激励事件明细'!$B$2:$B$501,0))),""))</f>
        <v/>
      </c>
      <c r="I339" s="12" t="n"/>
      <c r="J339" s="13" t="n"/>
      <c r="K339" s="13" t="n"/>
      <c r="L339" s="11" t="n"/>
      <c r="M339" s="14">
        <f>IF(A339="","",IF(D339&lt;&gt;"",SUMIFS($K$2:$K$501,$D$2:$D$501,D339),SUMIFS($K$2:$K$501,$E$2:$E$501,E339)))</f>
        <v/>
      </c>
      <c r="N339" s="14">
        <f>IF(F339="","",MAX(0,F339-M339))</f>
        <v/>
      </c>
      <c r="O339" s="6">
        <f>IF(A339="","",IF(AND(I339&lt;&gt;"",I339&gt;H339),"是",IF(AND(TODAY()&gt;H339,N339&gt;0),"是","否")))</f>
        <v/>
      </c>
      <c r="P339" s="16">
        <f>IF(A339="","",IFERROR(INDEX('激励事件明细'!$P$2:$P$501,IF(D339&lt;&gt;"",MATCH(D339,'激励事件明细'!$A$2:$A$501,0),MATCH(E339,'激励事件明细'!$B$2:$B$501,0))),""))</f>
        <v/>
      </c>
      <c r="Q339" s="6">
        <f>IF(AND(D339="",E339=""),"异常：必须关联事件编号或税额批次",IF(AND(D339&lt;&gt;"",COUNTIF('激励事件明细'!$A$2:$A$501,D339)=0),"异常：事件编号不存在",IF(AND(E339&lt;&gt;"",COUNTIF('激励事件明细'!$B$2:$B$501,E339)=0),"异常：税额批次不存在",IF(M339&gt;F339,"异常：本批次超额缴税",IF(AND(I339&lt;&gt;"",I339&gt;H339),"异常：超过事件截止日",IF(AND(P339&lt;&gt;"",TODAY()&gt;=P339,N339&gt;0),"异常：离职前未缴清","正常"))))))</f>
        <v/>
      </c>
      <c r="R339" s="11" t="n"/>
    </row>
    <row r="340">
      <c r="A340" s="6">
        <f>IF(AND(D340="",E340=""),"",IFERROR(INDEX('激励事件明细'!$C$2:$C$501,IF(D340&lt;&gt;"",MATCH(D340,'激励事件明细'!$A$2:$A$501,0),MATCH(E340,'激励事件明细'!$B$2:$B$501,0))),""))</f>
        <v/>
      </c>
      <c r="B340" s="6">
        <f>IF(A340="","",IFERROR(INDEX('激励事件明细'!$D$2:$D$501,IF(D340&lt;&gt;"",MATCH(D340,'激励事件明细'!$A$2:$A$501,0),MATCH(E340,'激励事件明细'!$B$2:$B$501,0))),""))</f>
        <v/>
      </c>
      <c r="C340" s="6">
        <f>IF(A340="","",IFERROR(INDEX('激励事件明细'!$H$2:$H$501,IF(D340&lt;&gt;"",MATCH(D340,'激励事件明细'!$A$2:$A$501,0),MATCH(E340,'激励事件明细'!$B$2:$B$501,0))),""))</f>
        <v/>
      </c>
      <c r="D340" s="11" t="n"/>
      <c r="E340" s="11" t="n"/>
      <c r="F340" s="14">
        <f>IF(A340="","",IFERROR(INDEX('激励事件明细'!$Z$2:$Z$501,IF(D340&lt;&gt;"",MATCH(D340,'激励事件明细'!$A$2:$A$501,0),MATCH(E340,'激励事件明细'!$B$2:$B$501,0))),""))</f>
        <v/>
      </c>
      <c r="G340" s="16">
        <f>IF(A340="","",IFERROR(INDEX('激励事件明细'!$AA$2:$AA$501,IF(D340&lt;&gt;"",MATCH(D340,'激励事件明细'!$A$2:$A$501,0),MATCH(E340,'激励事件明细'!$B$2:$B$501,0))),""))</f>
        <v/>
      </c>
      <c r="H340" s="16">
        <f>IF(A340="","",IFERROR(INDEX('激励事件明细'!$AB$2:$AB$501,IF(D340&lt;&gt;"",MATCH(D340,'激励事件明细'!$A$2:$A$501,0),MATCH(E340,'激励事件明细'!$B$2:$B$501,0))),""))</f>
        <v/>
      </c>
      <c r="I340" s="12" t="n"/>
      <c r="J340" s="13" t="n"/>
      <c r="K340" s="13" t="n"/>
      <c r="L340" s="11" t="n"/>
      <c r="M340" s="14">
        <f>IF(A340="","",IF(D340&lt;&gt;"",SUMIFS($K$2:$K$501,$D$2:$D$501,D340),SUMIFS($K$2:$K$501,$E$2:$E$501,E340)))</f>
        <v/>
      </c>
      <c r="N340" s="14">
        <f>IF(F340="","",MAX(0,F340-M340))</f>
        <v/>
      </c>
      <c r="O340" s="6">
        <f>IF(A340="","",IF(AND(I340&lt;&gt;"",I340&gt;H340),"是",IF(AND(TODAY()&gt;H340,N340&gt;0),"是","否")))</f>
        <v/>
      </c>
      <c r="P340" s="16">
        <f>IF(A340="","",IFERROR(INDEX('激励事件明细'!$P$2:$P$501,IF(D340&lt;&gt;"",MATCH(D340,'激励事件明细'!$A$2:$A$501,0),MATCH(E340,'激励事件明细'!$B$2:$B$501,0))),""))</f>
        <v/>
      </c>
      <c r="Q340" s="6">
        <f>IF(AND(D340="",E340=""),"异常：必须关联事件编号或税额批次",IF(AND(D340&lt;&gt;"",COUNTIF('激励事件明细'!$A$2:$A$501,D340)=0),"异常：事件编号不存在",IF(AND(E340&lt;&gt;"",COUNTIF('激励事件明细'!$B$2:$B$501,E340)=0),"异常：税额批次不存在",IF(M340&gt;F340,"异常：本批次超额缴税",IF(AND(I340&lt;&gt;"",I340&gt;H340),"异常：超过事件截止日",IF(AND(P340&lt;&gt;"",TODAY()&gt;=P340,N340&gt;0),"异常：离职前未缴清","正常"))))))</f>
        <v/>
      </c>
      <c r="R340" s="11" t="n"/>
    </row>
    <row r="341">
      <c r="A341" s="6">
        <f>IF(AND(D341="",E341=""),"",IFERROR(INDEX('激励事件明细'!$C$2:$C$501,IF(D341&lt;&gt;"",MATCH(D341,'激励事件明细'!$A$2:$A$501,0),MATCH(E341,'激励事件明细'!$B$2:$B$501,0))),""))</f>
        <v/>
      </c>
      <c r="B341" s="6">
        <f>IF(A341="","",IFERROR(INDEX('激励事件明细'!$D$2:$D$501,IF(D341&lt;&gt;"",MATCH(D341,'激励事件明细'!$A$2:$A$501,0),MATCH(E341,'激励事件明细'!$B$2:$B$501,0))),""))</f>
        <v/>
      </c>
      <c r="C341" s="6">
        <f>IF(A341="","",IFERROR(INDEX('激励事件明细'!$H$2:$H$501,IF(D341&lt;&gt;"",MATCH(D341,'激励事件明细'!$A$2:$A$501,0),MATCH(E341,'激励事件明细'!$B$2:$B$501,0))),""))</f>
        <v/>
      </c>
      <c r="D341" s="11" t="n"/>
      <c r="E341" s="11" t="n"/>
      <c r="F341" s="14">
        <f>IF(A341="","",IFERROR(INDEX('激励事件明细'!$Z$2:$Z$501,IF(D341&lt;&gt;"",MATCH(D341,'激励事件明细'!$A$2:$A$501,0),MATCH(E341,'激励事件明细'!$B$2:$B$501,0))),""))</f>
        <v/>
      </c>
      <c r="G341" s="16">
        <f>IF(A341="","",IFERROR(INDEX('激励事件明细'!$AA$2:$AA$501,IF(D341&lt;&gt;"",MATCH(D341,'激励事件明细'!$A$2:$A$501,0),MATCH(E341,'激励事件明细'!$B$2:$B$501,0))),""))</f>
        <v/>
      </c>
      <c r="H341" s="16">
        <f>IF(A341="","",IFERROR(INDEX('激励事件明细'!$AB$2:$AB$501,IF(D341&lt;&gt;"",MATCH(D341,'激励事件明细'!$A$2:$A$501,0),MATCH(E341,'激励事件明细'!$B$2:$B$501,0))),""))</f>
        <v/>
      </c>
      <c r="I341" s="12" t="n"/>
      <c r="J341" s="13" t="n"/>
      <c r="K341" s="13" t="n"/>
      <c r="L341" s="11" t="n"/>
      <c r="M341" s="14">
        <f>IF(A341="","",IF(D341&lt;&gt;"",SUMIFS($K$2:$K$501,$D$2:$D$501,D341),SUMIFS($K$2:$K$501,$E$2:$E$501,E341)))</f>
        <v/>
      </c>
      <c r="N341" s="14">
        <f>IF(F341="","",MAX(0,F341-M341))</f>
        <v/>
      </c>
      <c r="O341" s="6">
        <f>IF(A341="","",IF(AND(I341&lt;&gt;"",I341&gt;H341),"是",IF(AND(TODAY()&gt;H341,N341&gt;0),"是","否")))</f>
        <v/>
      </c>
      <c r="P341" s="16">
        <f>IF(A341="","",IFERROR(INDEX('激励事件明细'!$P$2:$P$501,IF(D341&lt;&gt;"",MATCH(D341,'激励事件明细'!$A$2:$A$501,0),MATCH(E341,'激励事件明细'!$B$2:$B$501,0))),""))</f>
        <v/>
      </c>
      <c r="Q341" s="6">
        <f>IF(AND(D341="",E341=""),"异常：必须关联事件编号或税额批次",IF(AND(D341&lt;&gt;"",COUNTIF('激励事件明细'!$A$2:$A$501,D341)=0),"异常：事件编号不存在",IF(AND(E341&lt;&gt;"",COUNTIF('激励事件明细'!$B$2:$B$501,E341)=0),"异常：税额批次不存在",IF(M341&gt;F341,"异常：本批次超额缴税",IF(AND(I341&lt;&gt;"",I341&gt;H341),"异常：超过事件截止日",IF(AND(P341&lt;&gt;"",TODAY()&gt;=P341,N341&gt;0),"异常：离职前未缴清","正常"))))))</f>
        <v/>
      </c>
      <c r="R341" s="11" t="n"/>
    </row>
    <row r="342">
      <c r="A342" s="6">
        <f>IF(AND(D342="",E342=""),"",IFERROR(INDEX('激励事件明细'!$C$2:$C$501,IF(D342&lt;&gt;"",MATCH(D342,'激励事件明细'!$A$2:$A$501,0),MATCH(E342,'激励事件明细'!$B$2:$B$501,0))),""))</f>
        <v/>
      </c>
      <c r="B342" s="6">
        <f>IF(A342="","",IFERROR(INDEX('激励事件明细'!$D$2:$D$501,IF(D342&lt;&gt;"",MATCH(D342,'激励事件明细'!$A$2:$A$501,0),MATCH(E342,'激励事件明细'!$B$2:$B$501,0))),""))</f>
        <v/>
      </c>
      <c r="C342" s="6">
        <f>IF(A342="","",IFERROR(INDEX('激励事件明细'!$H$2:$H$501,IF(D342&lt;&gt;"",MATCH(D342,'激励事件明细'!$A$2:$A$501,0),MATCH(E342,'激励事件明细'!$B$2:$B$501,0))),""))</f>
        <v/>
      </c>
      <c r="D342" s="11" t="n"/>
      <c r="E342" s="11" t="n"/>
      <c r="F342" s="14">
        <f>IF(A342="","",IFERROR(INDEX('激励事件明细'!$Z$2:$Z$501,IF(D342&lt;&gt;"",MATCH(D342,'激励事件明细'!$A$2:$A$501,0),MATCH(E342,'激励事件明细'!$B$2:$B$501,0))),""))</f>
        <v/>
      </c>
      <c r="G342" s="16">
        <f>IF(A342="","",IFERROR(INDEX('激励事件明细'!$AA$2:$AA$501,IF(D342&lt;&gt;"",MATCH(D342,'激励事件明细'!$A$2:$A$501,0),MATCH(E342,'激励事件明细'!$B$2:$B$501,0))),""))</f>
        <v/>
      </c>
      <c r="H342" s="16">
        <f>IF(A342="","",IFERROR(INDEX('激励事件明细'!$AB$2:$AB$501,IF(D342&lt;&gt;"",MATCH(D342,'激励事件明细'!$A$2:$A$501,0),MATCH(E342,'激励事件明细'!$B$2:$B$501,0))),""))</f>
        <v/>
      </c>
      <c r="I342" s="12" t="n"/>
      <c r="J342" s="13" t="n"/>
      <c r="K342" s="13" t="n"/>
      <c r="L342" s="11" t="n"/>
      <c r="M342" s="14">
        <f>IF(A342="","",IF(D342&lt;&gt;"",SUMIFS($K$2:$K$501,$D$2:$D$501,D342),SUMIFS($K$2:$K$501,$E$2:$E$501,E342)))</f>
        <v/>
      </c>
      <c r="N342" s="14">
        <f>IF(F342="","",MAX(0,F342-M342))</f>
        <v/>
      </c>
      <c r="O342" s="6">
        <f>IF(A342="","",IF(AND(I342&lt;&gt;"",I342&gt;H342),"是",IF(AND(TODAY()&gt;H342,N342&gt;0),"是","否")))</f>
        <v/>
      </c>
      <c r="P342" s="16">
        <f>IF(A342="","",IFERROR(INDEX('激励事件明细'!$P$2:$P$501,IF(D342&lt;&gt;"",MATCH(D342,'激励事件明细'!$A$2:$A$501,0),MATCH(E342,'激励事件明细'!$B$2:$B$501,0))),""))</f>
        <v/>
      </c>
      <c r="Q342" s="6">
        <f>IF(AND(D342="",E342=""),"异常：必须关联事件编号或税额批次",IF(AND(D342&lt;&gt;"",COUNTIF('激励事件明细'!$A$2:$A$501,D342)=0),"异常：事件编号不存在",IF(AND(E342&lt;&gt;"",COUNTIF('激励事件明细'!$B$2:$B$501,E342)=0),"异常：税额批次不存在",IF(M342&gt;F342,"异常：本批次超额缴税",IF(AND(I342&lt;&gt;"",I342&gt;H342),"异常：超过事件截止日",IF(AND(P342&lt;&gt;"",TODAY()&gt;=P342,N342&gt;0),"异常：离职前未缴清","正常"))))))</f>
        <v/>
      </c>
      <c r="R342" s="11" t="n"/>
    </row>
    <row r="343">
      <c r="A343" s="6">
        <f>IF(AND(D343="",E343=""),"",IFERROR(INDEX('激励事件明细'!$C$2:$C$501,IF(D343&lt;&gt;"",MATCH(D343,'激励事件明细'!$A$2:$A$501,0),MATCH(E343,'激励事件明细'!$B$2:$B$501,0))),""))</f>
        <v/>
      </c>
      <c r="B343" s="6">
        <f>IF(A343="","",IFERROR(INDEX('激励事件明细'!$D$2:$D$501,IF(D343&lt;&gt;"",MATCH(D343,'激励事件明细'!$A$2:$A$501,0),MATCH(E343,'激励事件明细'!$B$2:$B$501,0))),""))</f>
        <v/>
      </c>
      <c r="C343" s="6">
        <f>IF(A343="","",IFERROR(INDEX('激励事件明细'!$H$2:$H$501,IF(D343&lt;&gt;"",MATCH(D343,'激励事件明细'!$A$2:$A$501,0),MATCH(E343,'激励事件明细'!$B$2:$B$501,0))),""))</f>
        <v/>
      </c>
      <c r="D343" s="11" t="n"/>
      <c r="E343" s="11" t="n"/>
      <c r="F343" s="14">
        <f>IF(A343="","",IFERROR(INDEX('激励事件明细'!$Z$2:$Z$501,IF(D343&lt;&gt;"",MATCH(D343,'激励事件明细'!$A$2:$A$501,0),MATCH(E343,'激励事件明细'!$B$2:$B$501,0))),""))</f>
        <v/>
      </c>
      <c r="G343" s="16">
        <f>IF(A343="","",IFERROR(INDEX('激励事件明细'!$AA$2:$AA$501,IF(D343&lt;&gt;"",MATCH(D343,'激励事件明细'!$A$2:$A$501,0),MATCH(E343,'激励事件明细'!$B$2:$B$501,0))),""))</f>
        <v/>
      </c>
      <c r="H343" s="16">
        <f>IF(A343="","",IFERROR(INDEX('激励事件明细'!$AB$2:$AB$501,IF(D343&lt;&gt;"",MATCH(D343,'激励事件明细'!$A$2:$A$501,0),MATCH(E343,'激励事件明细'!$B$2:$B$501,0))),""))</f>
        <v/>
      </c>
      <c r="I343" s="12" t="n"/>
      <c r="J343" s="13" t="n"/>
      <c r="K343" s="13" t="n"/>
      <c r="L343" s="11" t="n"/>
      <c r="M343" s="14">
        <f>IF(A343="","",IF(D343&lt;&gt;"",SUMIFS($K$2:$K$501,$D$2:$D$501,D343),SUMIFS($K$2:$K$501,$E$2:$E$501,E343)))</f>
        <v/>
      </c>
      <c r="N343" s="14">
        <f>IF(F343="","",MAX(0,F343-M343))</f>
        <v/>
      </c>
      <c r="O343" s="6">
        <f>IF(A343="","",IF(AND(I343&lt;&gt;"",I343&gt;H343),"是",IF(AND(TODAY()&gt;H343,N343&gt;0),"是","否")))</f>
        <v/>
      </c>
      <c r="P343" s="16">
        <f>IF(A343="","",IFERROR(INDEX('激励事件明细'!$P$2:$P$501,IF(D343&lt;&gt;"",MATCH(D343,'激励事件明细'!$A$2:$A$501,0),MATCH(E343,'激励事件明细'!$B$2:$B$501,0))),""))</f>
        <v/>
      </c>
      <c r="Q343" s="6">
        <f>IF(AND(D343="",E343=""),"异常：必须关联事件编号或税额批次",IF(AND(D343&lt;&gt;"",COUNTIF('激励事件明细'!$A$2:$A$501,D343)=0),"异常：事件编号不存在",IF(AND(E343&lt;&gt;"",COUNTIF('激励事件明细'!$B$2:$B$501,E343)=0),"异常：税额批次不存在",IF(M343&gt;F343,"异常：本批次超额缴税",IF(AND(I343&lt;&gt;"",I343&gt;H343),"异常：超过事件截止日",IF(AND(P343&lt;&gt;"",TODAY()&gt;=P343,N343&gt;0),"异常：离职前未缴清","正常"))))))</f>
        <v/>
      </c>
      <c r="R343" s="11" t="n"/>
    </row>
    <row r="344">
      <c r="A344" s="6">
        <f>IF(AND(D344="",E344=""),"",IFERROR(INDEX('激励事件明细'!$C$2:$C$501,IF(D344&lt;&gt;"",MATCH(D344,'激励事件明细'!$A$2:$A$501,0),MATCH(E344,'激励事件明细'!$B$2:$B$501,0))),""))</f>
        <v/>
      </c>
      <c r="B344" s="6">
        <f>IF(A344="","",IFERROR(INDEX('激励事件明细'!$D$2:$D$501,IF(D344&lt;&gt;"",MATCH(D344,'激励事件明细'!$A$2:$A$501,0),MATCH(E344,'激励事件明细'!$B$2:$B$501,0))),""))</f>
        <v/>
      </c>
      <c r="C344" s="6">
        <f>IF(A344="","",IFERROR(INDEX('激励事件明细'!$H$2:$H$501,IF(D344&lt;&gt;"",MATCH(D344,'激励事件明细'!$A$2:$A$501,0),MATCH(E344,'激励事件明细'!$B$2:$B$501,0))),""))</f>
        <v/>
      </c>
      <c r="D344" s="11" t="n"/>
      <c r="E344" s="11" t="n"/>
      <c r="F344" s="14">
        <f>IF(A344="","",IFERROR(INDEX('激励事件明细'!$Z$2:$Z$501,IF(D344&lt;&gt;"",MATCH(D344,'激励事件明细'!$A$2:$A$501,0),MATCH(E344,'激励事件明细'!$B$2:$B$501,0))),""))</f>
        <v/>
      </c>
      <c r="G344" s="16">
        <f>IF(A344="","",IFERROR(INDEX('激励事件明细'!$AA$2:$AA$501,IF(D344&lt;&gt;"",MATCH(D344,'激励事件明细'!$A$2:$A$501,0),MATCH(E344,'激励事件明细'!$B$2:$B$501,0))),""))</f>
        <v/>
      </c>
      <c r="H344" s="16">
        <f>IF(A344="","",IFERROR(INDEX('激励事件明细'!$AB$2:$AB$501,IF(D344&lt;&gt;"",MATCH(D344,'激励事件明细'!$A$2:$A$501,0),MATCH(E344,'激励事件明细'!$B$2:$B$501,0))),""))</f>
        <v/>
      </c>
      <c r="I344" s="12" t="n"/>
      <c r="J344" s="13" t="n"/>
      <c r="K344" s="13" t="n"/>
      <c r="L344" s="11" t="n"/>
      <c r="M344" s="14">
        <f>IF(A344="","",IF(D344&lt;&gt;"",SUMIFS($K$2:$K$501,$D$2:$D$501,D344),SUMIFS($K$2:$K$501,$E$2:$E$501,E344)))</f>
        <v/>
      </c>
      <c r="N344" s="14">
        <f>IF(F344="","",MAX(0,F344-M344))</f>
        <v/>
      </c>
      <c r="O344" s="6">
        <f>IF(A344="","",IF(AND(I344&lt;&gt;"",I344&gt;H344),"是",IF(AND(TODAY()&gt;H344,N344&gt;0),"是","否")))</f>
        <v/>
      </c>
      <c r="P344" s="16">
        <f>IF(A344="","",IFERROR(INDEX('激励事件明细'!$P$2:$P$501,IF(D344&lt;&gt;"",MATCH(D344,'激励事件明细'!$A$2:$A$501,0),MATCH(E344,'激励事件明细'!$B$2:$B$501,0))),""))</f>
        <v/>
      </c>
      <c r="Q344" s="6">
        <f>IF(AND(D344="",E344=""),"异常：必须关联事件编号或税额批次",IF(AND(D344&lt;&gt;"",COUNTIF('激励事件明细'!$A$2:$A$501,D344)=0),"异常：事件编号不存在",IF(AND(E344&lt;&gt;"",COUNTIF('激励事件明细'!$B$2:$B$501,E344)=0),"异常：税额批次不存在",IF(M344&gt;F344,"异常：本批次超额缴税",IF(AND(I344&lt;&gt;"",I344&gt;H344),"异常：超过事件截止日",IF(AND(P344&lt;&gt;"",TODAY()&gt;=P344,N344&gt;0),"异常：离职前未缴清","正常"))))))</f>
        <v/>
      </c>
      <c r="R344" s="11" t="n"/>
    </row>
    <row r="345">
      <c r="A345" s="6">
        <f>IF(AND(D345="",E345=""),"",IFERROR(INDEX('激励事件明细'!$C$2:$C$501,IF(D345&lt;&gt;"",MATCH(D345,'激励事件明细'!$A$2:$A$501,0),MATCH(E345,'激励事件明细'!$B$2:$B$501,0))),""))</f>
        <v/>
      </c>
      <c r="B345" s="6">
        <f>IF(A345="","",IFERROR(INDEX('激励事件明细'!$D$2:$D$501,IF(D345&lt;&gt;"",MATCH(D345,'激励事件明细'!$A$2:$A$501,0),MATCH(E345,'激励事件明细'!$B$2:$B$501,0))),""))</f>
        <v/>
      </c>
      <c r="C345" s="6">
        <f>IF(A345="","",IFERROR(INDEX('激励事件明细'!$H$2:$H$501,IF(D345&lt;&gt;"",MATCH(D345,'激励事件明细'!$A$2:$A$501,0),MATCH(E345,'激励事件明细'!$B$2:$B$501,0))),""))</f>
        <v/>
      </c>
      <c r="D345" s="11" t="n"/>
      <c r="E345" s="11" t="n"/>
      <c r="F345" s="14">
        <f>IF(A345="","",IFERROR(INDEX('激励事件明细'!$Z$2:$Z$501,IF(D345&lt;&gt;"",MATCH(D345,'激励事件明细'!$A$2:$A$501,0),MATCH(E345,'激励事件明细'!$B$2:$B$501,0))),""))</f>
        <v/>
      </c>
      <c r="G345" s="16">
        <f>IF(A345="","",IFERROR(INDEX('激励事件明细'!$AA$2:$AA$501,IF(D345&lt;&gt;"",MATCH(D345,'激励事件明细'!$A$2:$A$501,0),MATCH(E345,'激励事件明细'!$B$2:$B$501,0))),""))</f>
        <v/>
      </c>
      <c r="H345" s="16">
        <f>IF(A345="","",IFERROR(INDEX('激励事件明细'!$AB$2:$AB$501,IF(D345&lt;&gt;"",MATCH(D345,'激励事件明细'!$A$2:$A$501,0),MATCH(E345,'激励事件明细'!$B$2:$B$501,0))),""))</f>
        <v/>
      </c>
      <c r="I345" s="12" t="n"/>
      <c r="J345" s="13" t="n"/>
      <c r="K345" s="13" t="n"/>
      <c r="L345" s="11" t="n"/>
      <c r="M345" s="14">
        <f>IF(A345="","",IF(D345&lt;&gt;"",SUMIFS($K$2:$K$501,$D$2:$D$501,D345),SUMIFS($K$2:$K$501,$E$2:$E$501,E345)))</f>
        <v/>
      </c>
      <c r="N345" s="14">
        <f>IF(F345="","",MAX(0,F345-M345))</f>
        <v/>
      </c>
      <c r="O345" s="6">
        <f>IF(A345="","",IF(AND(I345&lt;&gt;"",I345&gt;H345),"是",IF(AND(TODAY()&gt;H345,N345&gt;0),"是","否")))</f>
        <v/>
      </c>
      <c r="P345" s="16">
        <f>IF(A345="","",IFERROR(INDEX('激励事件明细'!$P$2:$P$501,IF(D345&lt;&gt;"",MATCH(D345,'激励事件明细'!$A$2:$A$501,0),MATCH(E345,'激励事件明细'!$B$2:$B$501,0))),""))</f>
        <v/>
      </c>
      <c r="Q345" s="6">
        <f>IF(AND(D345="",E345=""),"异常：必须关联事件编号或税额批次",IF(AND(D345&lt;&gt;"",COUNTIF('激励事件明细'!$A$2:$A$501,D345)=0),"异常：事件编号不存在",IF(AND(E345&lt;&gt;"",COUNTIF('激励事件明细'!$B$2:$B$501,E345)=0),"异常：税额批次不存在",IF(M345&gt;F345,"异常：本批次超额缴税",IF(AND(I345&lt;&gt;"",I345&gt;H345),"异常：超过事件截止日",IF(AND(P345&lt;&gt;"",TODAY()&gt;=P345,N345&gt;0),"异常：离职前未缴清","正常"))))))</f>
        <v/>
      </c>
      <c r="R345" s="11" t="n"/>
    </row>
    <row r="346">
      <c r="A346" s="6">
        <f>IF(AND(D346="",E346=""),"",IFERROR(INDEX('激励事件明细'!$C$2:$C$501,IF(D346&lt;&gt;"",MATCH(D346,'激励事件明细'!$A$2:$A$501,0),MATCH(E346,'激励事件明细'!$B$2:$B$501,0))),""))</f>
        <v/>
      </c>
      <c r="B346" s="6">
        <f>IF(A346="","",IFERROR(INDEX('激励事件明细'!$D$2:$D$501,IF(D346&lt;&gt;"",MATCH(D346,'激励事件明细'!$A$2:$A$501,0),MATCH(E346,'激励事件明细'!$B$2:$B$501,0))),""))</f>
        <v/>
      </c>
      <c r="C346" s="6">
        <f>IF(A346="","",IFERROR(INDEX('激励事件明细'!$H$2:$H$501,IF(D346&lt;&gt;"",MATCH(D346,'激励事件明细'!$A$2:$A$501,0),MATCH(E346,'激励事件明细'!$B$2:$B$501,0))),""))</f>
        <v/>
      </c>
      <c r="D346" s="11" t="n"/>
      <c r="E346" s="11" t="n"/>
      <c r="F346" s="14">
        <f>IF(A346="","",IFERROR(INDEX('激励事件明细'!$Z$2:$Z$501,IF(D346&lt;&gt;"",MATCH(D346,'激励事件明细'!$A$2:$A$501,0),MATCH(E346,'激励事件明细'!$B$2:$B$501,0))),""))</f>
        <v/>
      </c>
      <c r="G346" s="16">
        <f>IF(A346="","",IFERROR(INDEX('激励事件明细'!$AA$2:$AA$501,IF(D346&lt;&gt;"",MATCH(D346,'激励事件明细'!$A$2:$A$501,0),MATCH(E346,'激励事件明细'!$B$2:$B$501,0))),""))</f>
        <v/>
      </c>
      <c r="H346" s="16">
        <f>IF(A346="","",IFERROR(INDEX('激励事件明细'!$AB$2:$AB$501,IF(D346&lt;&gt;"",MATCH(D346,'激励事件明细'!$A$2:$A$501,0),MATCH(E346,'激励事件明细'!$B$2:$B$501,0))),""))</f>
        <v/>
      </c>
      <c r="I346" s="12" t="n"/>
      <c r="J346" s="13" t="n"/>
      <c r="K346" s="13" t="n"/>
      <c r="L346" s="11" t="n"/>
      <c r="M346" s="14">
        <f>IF(A346="","",IF(D346&lt;&gt;"",SUMIFS($K$2:$K$501,$D$2:$D$501,D346),SUMIFS($K$2:$K$501,$E$2:$E$501,E346)))</f>
        <v/>
      </c>
      <c r="N346" s="14">
        <f>IF(F346="","",MAX(0,F346-M346))</f>
        <v/>
      </c>
      <c r="O346" s="6">
        <f>IF(A346="","",IF(AND(I346&lt;&gt;"",I346&gt;H346),"是",IF(AND(TODAY()&gt;H346,N346&gt;0),"是","否")))</f>
        <v/>
      </c>
      <c r="P346" s="16">
        <f>IF(A346="","",IFERROR(INDEX('激励事件明细'!$P$2:$P$501,IF(D346&lt;&gt;"",MATCH(D346,'激励事件明细'!$A$2:$A$501,0),MATCH(E346,'激励事件明细'!$B$2:$B$501,0))),""))</f>
        <v/>
      </c>
      <c r="Q346" s="6">
        <f>IF(AND(D346="",E346=""),"异常：必须关联事件编号或税额批次",IF(AND(D346&lt;&gt;"",COUNTIF('激励事件明细'!$A$2:$A$501,D346)=0),"异常：事件编号不存在",IF(AND(E346&lt;&gt;"",COUNTIF('激励事件明细'!$B$2:$B$501,E346)=0),"异常：税额批次不存在",IF(M346&gt;F346,"异常：本批次超额缴税",IF(AND(I346&lt;&gt;"",I346&gt;H346),"异常：超过事件截止日",IF(AND(P346&lt;&gt;"",TODAY()&gt;=P346,N346&gt;0),"异常：离职前未缴清","正常"))))))</f>
        <v/>
      </c>
      <c r="R346" s="11" t="n"/>
    </row>
    <row r="347">
      <c r="A347" s="6">
        <f>IF(AND(D347="",E347=""),"",IFERROR(INDEX('激励事件明细'!$C$2:$C$501,IF(D347&lt;&gt;"",MATCH(D347,'激励事件明细'!$A$2:$A$501,0),MATCH(E347,'激励事件明细'!$B$2:$B$501,0))),""))</f>
        <v/>
      </c>
      <c r="B347" s="6">
        <f>IF(A347="","",IFERROR(INDEX('激励事件明细'!$D$2:$D$501,IF(D347&lt;&gt;"",MATCH(D347,'激励事件明细'!$A$2:$A$501,0),MATCH(E347,'激励事件明细'!$B$2:$B$501,0))),""))</f>
        <v/>
      </c>
      <c r="C347" s="6">
        <f>IF(A347="","",IFERROR(INDEX('激励事件明细'!$H$2:$H$501,IF(D347&lt;&gt;"",MATCH(D347,'激励事件明细'!$A$2:$A$501,0),MATCH(E347,'激励事件明细'!$B$2:$B$501,0))),""))</f>
        <v/>
      </c>
      <c r="D347" s="11" t="n"/>
      <c r="E347" s="11" t="n"/>
      <c r="F347" s="14">
        <f>IF(A347="","",IFERROR(INDEX('激励事件明细'!$Z$2:$Z$501,IF(D347&lt;&gt;"",MATCH(D347,'激励事件明细'!$A$2:$A$501,0),MATCH(E347,'激励事件明细'!$B$2:$B$501,0))),""))</f>
        <v/>
      </c>
      <c r="G347" s="16">
        <f>IF(A347="","",IFERROR(INDEX('激励事件明细'!$AA$2:$AA$501,IF(D347&lt;&gt;"",MATCH(D347,'激励事件明细'!$A$2:$A$501,0),MATCH(E347,'激励事件明细'!$B$2:$B$501,0))),""))</f>
        <v/>
      </c>
      <c r="H347" s="16">
        <f>IF(A347="","",IFERROR(INDEX('激励事件明细'!$AB$2:$AB$501,IF(D347&lt;&gt;"",MATCH(D347,'激励事件明细'!$A$2:$A$501,0),MATCH(E347,'激励事件明细'!$B$2:$B$501,0))),""))</f>
        <v/>
      </c>
      <c r="I347" s="12" t="n"/>
      <c r="J347" s="13" t="n"/>
      <c r="K347" s="13" t="n"/>
      <c r="L347" s="11" t="n"/>
      <c r="M347" s="14">
        <f>IF(A347="","",IF(D347&lt;&gt;"",SUMIFS($K$2:$K$501,$D$2:$D$501,D347),SUMIFS($K$2:$K$501,$E$2:$E$501,E347)))</f>
        <v/>
      </c>
      <c r="N347" s="14">
        <f>IF(F347="","",MAX(0,F347-M347))</f>
        <v/>
      </c>
      <c r="O347" s="6">
        <f>IF(A347="","",IF(AND(I347&lt;&gt;"",I347&gt;H347),"是",IF(AND(TODAY()&gt;H347,N347&gt;0),"是","否")))</f>
        <v/>
      </c>
      <c r="P347" s="16">
        <f>IF(A347="","",IFERROR(INDEX('激励事件明细'!$P$2:$P$501,IF(D347&lt;&gt;"",MATCH(D347,'激励事件明细'!$A$2:$A$501,0),MATCH(E347,'激励事件明细'!$B$2:$B$501,0))),""))</f>
        <v/>
      </c>
      <c r="Q347" s="6">
        <f>IF(AND(D347="",E347=""),"异常：必须关联事件编号或税额批次",IF(AND(D347&lt;&gt;"",COUNTIF('激励事件明细'!$A$2:$A$501,D347)=0),"异常：事件编号不存在",IF(AND(E347&lt;&gt;"",COUNTIF('激励事件明细'!$B$2:$B$501,E347)=0),"异常：税额批次不存在",IF(M347&gt;F347,"异常：本批次超额缴税",IF(AND(I347&lt;&gt;"",I347&gt;H347),"异常：超过事件截止日",IF(AND(P347&lt;&gt;"",TODAY()&gt;=P347,N347&gt;0),"异常：离职前未缴清","正常"))))))</f>
        <v/>
      </c>
      <c r="R347" s="11" t="n"/>
    </row>
    <row r="348">
      <c r="A348" s="6">
        <f>IF(AND(D348="",E348=""),"",IFERROR(INDEX('激励事件明细'!$C$2:$C$501,IF(D348&lt;&gt;"",MATCH(D348,'激励事件明细'!$A$2:$A$501,0),MATCH(E348,'激励事件明细'!$B$2:$B$501,0))),""))</f>
        <v/>
      </c>
      <c r="B348" s="6">
        <f>IF(A348="","",IFERROR(INDEX('激励事件明细'!$D$2:$D$501,IF(D348&lt;&gt;"",MATCH(D348,'激励事件明细'!$A$2:$A$501,0),MATCH(E348,'激励事件明细'!$B$2:$B$501,0))),""))</f>
        <v/>
      </c>
      <c r="C348" s="6">
        <f>IF(A348="","",IFERROR(INDEX('激励事件明细'!$H$2:$H$501,IF(D348&lt;&gt;"",MATCH(D348,'激励事件明细'!$A$2:$A$501,0),MATCH(E348,'激励事件明细'!$B$2:$B$501,0))),""))</f>
        <v/>
      </c>
      <c r="D348" s="11" t="n"/>
      <c r="E348" s="11" t="n"/>
      <c r="F348" s="14">
        <f>IF(A348="","",IFERROR(INDEX('激励事件明细'!$Z$2:$Z$501,IF(D348&lt;&gt;"",MATCH(D348,'激励事件明细'!$A$2:$A$501,0),MATCH(E348,'激励事件明细'!$B$2:$B$501,0))),""))</f>
        <v/>
      </c>
      <c r="G348" s="16">
        <f>IF(A348="","",IFERROR(INDEX('激励事件明细'!$AA$2:$AA$501,IF(D348&lt;&gt;"",MATCH(D348,'激励事件明细'!$A$2:$A$501,0),MATCH(E348,'激励事件明细'!$B$2:$B$501,0))),""))</f>
        <v/>
      </c>
      <c r="H348" s="16">
        <f>IF(A348="","",IFERROR(INDEX('激励事件明细'!$AB$2:$AB$501,IF(D348&lt;&gt;"",MATCH(D348,'激励事件明细'!$A$2:$A$501,0),MATCH(E348,'激励事件明细'!$B$2:$B$501,0))),""))</f>
        <v/>
      </c>
      <c r="I348" s="12" t="n"/>
      <c r="J348" s="13" t="n"/>
      <c r="K348" s="13" t="n"/>
      <c r="L348" s="11" t="n"/>
      <c r="M348" s="14">
        <f>IF(A348="","",IF(D348&lt;&gt;"",SUMIFS($K$2:$K$501,$D$2:$D$501,D348),SUMIFS($K$2:$K$501,$E$2:$E$501,E348)))</f>
        <v/>
      </c>
      <c r="N348" s="14">
        <f>IF(F348="","",MAX(0,F348-M348))</f>
        <v/>
      </c>
      <c r="O348" s="6">
        <f>IF(A348="","",IF(AND(I348&lt;&gt;"",I348&gt;H348),"是",IF(AND(TODAY()&gt;H348,N348&gt;0),"是","否")))</f>
        <v/>
      </c>
      <c r="P348" s="16">
        <f>IF(A348="","",IFERROR(INDEX('激励事件明细'!$P$2:$P$501,IF(D348&lt;&gt;"",MATCH(D348,'激励事件明细'!$A$2:$A$501,0),MATCH(E348,'激励事件明细'!$B$2:$B$501,0))),""))</f>
        <v/>
      </c>
      <c r="Q348" s="6">
        <f>IF(AND(D348="",E348=""),"异常：必须关联事件编号或税额批次",IF(AND(D348&lt;&gt;"",COUNTIF('激励事件明细'!$A$2:$A$501,D348)=0),"异常：事件编号不存在",IF(AND(E348&lt;&gt;"",COUNTIF('激励事件明细'!$B$2:$B$501,E348)=0),"异常：税额批次不存在",IF(M348&gt;F348,"异常：本批次超额缴税",IF(AND(I348&lt;&gt;"",I348&gt;H348),"异常：超过事件截止日",IF(AND(P348&lt;&gt;"",TODAY()&gt;=P348,N348&gt;0),"异常：离职前未缴清","正常"))))))</f>
        <v/>
      </c>
      <c r="R348" s="11" t="n"/>
    </row>
    <row r="349">
      <c r="A349" s="6">
        <f>IF(AND(D349="",E349=""),"",IFERROR(INDEX('激励事件明细'!$C$2:$C$501,IF(D349&lt;&gt;"",MATCH(D349,'激励事件明细'!$A$2:$A$501,0),MATCH(E349,'激励事件明细'!$B$2:$B$501,0))),""))</f>
        <v/>
      </c>
      <c r="B349" s="6">
        <f>IF(A349="","",IFERROR(INDEX('激励事件明细'!$D$2:$D$501,IF(D349&lt;&gt;"",MATCH(D349,'激励事件明细'!$A$2:$A$501,0),MATCH(E349,'激励事件明细'!$B$2:$B$501,0))),""))</f>
        <v/>
      </c>
      <c r="C349" s="6">
        <f>IF(A349="","",IFERROR(INDEX('激励事件明细'!$H$2:$H$501,IF(D349&lt;&gt;"",MATCH(D349,'激励事件明细'!$A$2:$A$501,0),MATCH(E349,'激励事件明细'!$B$2:$B$501,0))),""))</f>
        <v/>
      </c>
      <c r="D349" s="11" t="n"/>
      <c r="E349" s="11" t="n"/>
      <c r="F349" s="14">
        <f>IF(A349="","",IFERROR(INDEX('激励事件明细'!$Z$2:$Z$501,IF(D349&lt;&gt;"",MATCH(D349,'激励事件明细'!$A$2:$A$501,0),MATCH(E349,'激励事件明细'!$B$2:$B$501,0))),""))</f>
        <v/>
      </c>
      <c r="G349" s="16">
        <f>IF(A349="","",IFERROR(INDEX('激励事件明细'!$AA$2:$AA$501,IF(D349&lt;&gt;"",MATCH(D349,'激励事件明细'!$A$2:$A$501,0),MATCH(E349,'激励事件明细'!$B$2:$B$501,0))),""))</f>
        <v/>
      </c>
      <c r="H349" s="16">
        <f>IF(A349="","",IFERROR(INDEX('激励事件明细'!$AB$2:$AB$501,IF(D349&lt;&gt;"",MATCH(D349,'激励事件明细'!$A$2:$A$501,0),MATCH(E349,'激励事件明细'!$B$2:$B$501,0))),""))</f>
        <v/>
      </c>
      <c r="I349" s="12" t="n"/>
      <c r="J349" s="13" t="n"/>
      <c r="K349" s="13" t="n"/>
      <c r="L349" s="11" t="n"/>
      <c r="M349" s="14">
        <f>IF(A349="","",IF(D349&lt;&gt;"",SUMIFS($K$2:$K$501,$D$2:$D$501,D349),SUMIFS($K$2:$K$501,$E$2:$E$501,E349)))</f>
        <v/>
      </c>
      <c r="N349" s="14">
        <f>IF(F349="","",MAX(0,F349-M349))</f>
        <v/>
      </c>
      <c r="O349" s="6">
        <f>IF(A349="","",IF(AND(I349&lt;&gt;"",I349&gt;H349),"是",IF(AND(TODAY()&gt;H349,N349&gt;0),"是","否")))</f>
        <v/>
      </c>
      <c r="P349" s="16">
        <f>IF(A349="","",IFERROR(INDEX('激励事件明细'!$P$2:$P$501,IF(D349&lt;&gt;"",MATCH(D349,'激励事件明细'!$A$2:$A$501,0),MATCH(E349,'激励事件明细'!$B$2:$B$501,0))),""))</f>
        <v/>
      </c>
      <c r="Q349" s="6">
        <f>IF(AND(D349="",E349=""),"异常：必须关联事件编号或税额批次",IF(AND(D349&lt;&gt;"",COUNTIF('激励事件明细'!$A$2:$A$501,D349)=0),"异常：事件编号不存在",IF(AND(E349&lt;&gt;"",COUNTIF('激励事件明细'!$B$2:$B$501,E349)=0),"异常：税额批次不存在",IF(M349&gt;F349,"异常：本批次超额缴税",IF(AND(I349&lt;&gt;"",I349&gt;H349),"异常：超过事件截止日",IF(AND(P349&lt;&gt;"",TODAY()&gt;=P349,N349&gt;0),"异常：离职前未缴清","正常"))))))</f>
        <v/>
      </c>
      <c r="R349" s="11" t="n"/>
    </row>
    <row r="350">
      <c r="A350" s="6">
        <f>IF(AND(D350="",E350=""),"",IFERROR(INDEX('激励事件明细'!$C$2:$C$501,IF(D350&lt;&gt;"",MATCH(D350,'激励事件明细'!$A$2:$A$501,0),MATCH(E350,'激励事件明细'!$B$2:$B$501,0))),""))</f>
        <v/>
      </c>
      <c r="B350" s="6">
        <f>IF(A350="","",IFERROR(INDEX('激励事件明细'!$D$2:$D$501,IF(D350&lt;&gt;"",MATCH(D350,'激励事件明细'!$A$2:$A$501,0),MATCH(E350,'激励事件明细'!$B$2:$B$501,0))),""))</f>
        <v/>
      </c>
      <c r="C350" s="6">
        <f>IF(A350="","",IFERROR(INDEX('激励事件明细'!$H$2:$H$501,IF(D350&lt;&gt;"",MATCH(D350,'激励事件明细'!$A$2:$A$501,0),MATCH(E350,'激励事件明细'!$B$2:$B$501,0))),""))</f>
        <v/>
      </c>
      <c r="D350" s="11" t="n"/>
      <c r="E350" s="11" t="n"/>
      <c r="F350" s="14">
        <f>IF(A350="","",IFERROR(INDEX('激励事件明细'!$Z$2:$Z$501,IF(D350&lt;&gt;"",MATCH(D350,'激励事件明细'!$A$2:$A$501,0),MATCH(E350,'激励事件明细'!$B$2:$B$501,0))),""))</f>
        <v/>
      </c>
      <c r="G350" s="16">
        <f>IF(A350="","",IFERROR(INDEX('激励事件明细'!$AA$2:$AA$501,IF(D350&lt;&gt;"",MATCH(D350,'激励事件明细'!$A$2:$A$501,0),MATCH(E350,'激励事件明细'!$B$2:$B$501,0))),""))</f>
        <v/>
      </c>
      <c r="H350" s="16">
        <f>IF(A350="","",IFERROR(INDEX('激励事件明细'!$AB$2:$AB$501,IF(D350&lt;&gt;"",MATCH(D350,'激励事件明细'!$A$2:$A$501,0),MATCH(E350,'激励事件明细'!$B$2:$B$501,0))),""))</f>
        <v/>
      </c>
      <c r="I350" s="12" t="n"/>
      <c r="J350" s="13" t="n"/>
      <c r="K350" s="13" t="n"/>
      <c r="L350" s="11" t="n"/>
      <c r="M350" s="14">
        <f>IF(A350="","",IF(D350&lt;&gt;"",SUMIFS($K$2:$K$501,$D$2:$D$501,D350),SUMIFS($K$2:$K$501,$E$2:$E$501,E350)))</f>
        <v/>
      </c>
      <c r="N350" s="14">
        <f>IF(F350="","",MAX(0,F350-M350))</f>
        <v/>
      </c>
      <c r="O350" s="6">
        <f>IF(A350="","",IF(AND(I350&lt;&gt;"",I350&gt;H350),"是",IF(AND(TODAY()&gt;H350,N350&gt;0),"是","否")))</f>
        <v/>
      </c>
      <c r="P350" s="16">
        <f>IF(A350="","",IFERROR(INDEX('激励事件明细'!$P$2:$P$501,IF(D350&lt;&gt;"",MATCH(D350,'激励事件明细'!$A$2:$A$501,0),MATCH(E350,'激励事件明细'!$B$2:$B$501,0))),""))</f>
        <v/>
      </c>
      <c r="Q350" s="6">
        <f>IF(AND(D350="",E350=""),"异常：必须关联事件编号或税额批次",IF(AND(D350&lt;&gt;"",COUNTIF('激励事件明细'!$A$2:$A$501,D350)=0),"异常：事件编号不存在",IF(AND(E350&lt;&gt;"",COUNTIF('激励事件明细'!$B$2:$B$501,E350)=0),"异常：税额批次不存在",IF(M350&gt;F350,"异常：本批次超额缴税",IF(AND(I350&lt;&gt;"",I350&gt;H350),"异常：超过事件截止日",IF(AND(P350&lt;&gt;"",TODAY()&gt;=P350,N350&gt;0),"异常：离职前未缴清","正常"))))))</f>
        <v/>
      </c>
      <c r="R350" s="11" t="n"/>
    </row>
    <row r="351">
      <c r="A351" s="6">
        <f>IF(AND(D351="",E351=""),"",IFERROR(INDEX('激励事件明细'!$C$2:$C$501,IF(D351&lt;&gt;"",MATCH(D351,'激励事件明细'!$A$2:$A$501,0),MATCH(E351,'激励事件明细'!$B$2:$B$501,0))),""))</f>
        <v/>
      </c>
      <c r="B351" s="6">
        <f>IF(A351="","",IFERROR(INDEX('激励事件明细'!$D$2:$D$501,IF(D351&lt;&gt;"",MATCH(D351,'激励事件明细'!$A$2:$A$501,0),MATCH(E351,'激励事件明细'!$B$2:$B$501,0))),""))</f>
        <v/>
      </c>
      <c r="C351" s="6">
        <f>IF(A351="","",IFERROR(INDEX('激励事件明细'!$H$2:$H$501,IF(D351&lt;&gt;"",MATCH(D351,'激励事件明细'!$A$2:$A$501,0),MATCH(E351,'激励事件明细'!$B$2:$B$501,0))),""))</f>
        <v/>
      </c>
      <c r="D351" s="11" t="n"/>
      <c r="E351" s="11" t="n"/>
      <c r="F351" s="14">
        <f>IF(A351="","",IFERROR(INDEX('激励事件明细'!$Z$2:$Z$501,IF(D351&lt;&gt;"",MATCH(D351,'激励事件明细'!$A$2:$A$501,0),MATCH(E351,'激励事件明细'!$B$2:$B$501,0))),""))</f>
        <v/>
      </c>
      <c r="G351" s="16">
        <f>IF(A351="","",IFERROR(INDEX('激励事件明细'!$AA$2:$AA$501,IF(D351&lt;&gt;"",MATCH(D351,'激励事件明细'!$A$2:$A$501,0),MATCH(E351,'激励事件明细'!$B$2:$B$501,0))),""))</f>
        <v/>
      </c>
      <c r="H351" s="16">
        <f>IF(A351="","",IFERROR(INDEX('激励事件明细'!$AB$2:$AB$501,IF(D351&lt;&gt;"",MATCH(D351,'激励事件明细'!$A$2:$A$501,0),MATCH(E351,'激励事件明细'!$B$2:$B$501,0))),""))</f>
        <v/>
      </c>
      <c r="I351" s="12" t="n"/>
      <c r="J351" s="13" t="n"/>
      <c r="K351" s="13" t="n"/>
      <c r="L351" s="11" t="n"/>
      <c r="M351" s="14">
        <f>IF(A351="","",IF(D351&lt;&gt;"",SUMIFS($K$2:$K$501,$D$2:$D$501,D351),SUMIFS($K$2:$K$501,$E$2:$E$501,E351)))</f>
        <v/>
      </c>
      <c r="N351" s="14">
        <f>IF(F351="","",MAX(0,F351-M351))</f>
        <v/>
      </c>
      <c r="O351" s="6">
        <f>IF(A351="","",IF(AND(I351&lt;&gt;"",I351&gt;H351),"是",IF(AND(TODAY()&gt;H351,N351&gt;0),"是","否")))</f>
        <v/>
      </c>
      <c r="P351" s="16">
        <f>IF(A351="","",IFERROR(INDEX('激励事件明细'!$P$2:$P$501,IF(D351&lt;&gt;"",MATCH(D351,'激励事件明细'!$A$2:$A$501,0),MATCH(E351,'激励事件明细'!$B$2:$B$501,0))),""))</f>
        <v/>
      </c>
      <c r="Q351" s="6">
        <f>IF(AND(D351="",E351=""),"异常：必须关联事件编号或税额批次",IF(AND(D351&lt;&gt;"",COUNTIF('激励事件明细'!$A$2:$A$501,D351)=0),"异常：事件编号不存在",IF(AND(E351&lt;&gt;"",COUNTIF('激励事件明细'!$B$2:$B$501,E351)=0),"异常：税额批次不存在",IF(M351&gt;F351,"异常：本批次超额缴税",IF(AND(I351&lt;&gt;"",I351&gt;H351),"异常：超过事件截止日",IF(AND(P351&lt;&gt;"",TODAY()&gt;=P351,N351&gt;0),"异常：离职前未缴清","正常"))))))</f>
        <v/>
      </c>
      <c r="R351" s="11" t="n"/>
    </row>
    <row r="352">
      <c r="A352" s="6">
        <f>IF(AND(D352="",E352=""),"",IFERROR(INDEX('激励事件明细'!$C$2:$C$501,IF(D352&lt;&gt;"",MATCH(D352,'激励事件明细'!$A$2:$A$501,0),MATCH(E352,'激励事件明细'!$B$2:$B$501,0))),""))</f>
        <v/>
      </c>
      <c r="B352" s="6">
        <f>IF(A352="","",IFERROR(INDEX('激励事件明细'!$D$2:$D$501,IF(D352&lt;&gt;"",MATCH(D352,'激励事件明细'!$A$2:$A$501,0),MATCH(E352,'激励事件明细'!$B$2:$B$501,0))),""))</f>
        <v/>
      </c>
      <c r="C352" s="6">
        <f>IF(A352="","",IFERROR(INDEX('激励事件明细'!$H$2:$H$501,IF(D352&lt;&gt;"",MATCH(D352,'激励事件明细'!$A$2:$A$501,0),MATCH(E352,'激励事件明细'!$B$2:$B$501,0))),""))</f>
        <v/>
      </c>
      <c r="D352" s="11" t="n"/>
      <c r="E352" s="11" t="n"/>
      <c r="F352" s="14">
        <f>IF(A352="","",IFERROR(INDEX('激励事件明细'!$Z$2:$Z$501,IF(D352&lt;&gt;"",MATCH(D352,'激励事件明细'!$A$2:$A$501,0),MATCH(E352,'激励事件明细'!$B$2:$B$501,0))),""))</f>
        <v/>
      </c>
      <c r="G352" s="16">
        <f>IF(A352="","",IFERROR(INDEX('激励事件明细'!$AA$2:$AA$501,IF(D352&lt;&gt;"",MATCH(D352,'激励事件明细'!$A$2:$A$501,0),MATCH(E352,'激励事件明细'!$B$2:$B$501,0))),""))</f>
        <v/>
      </c>
      <c r="H352" s="16">
        <f>IF(A352="","",IFERROR(INDEX('激励事件明细'!$AB$2:$AB$501,IF(D352&lt;&gt;"",MATCH(D352,'激励事件明细'!$A$2:$A$501,0),MATCH(E352,'激励事件明细'!$B$2:$B$501,0))),""))</f>
        <v/>
      </c>
      <c r="I352" s="12" t="n"/>
      <c r="J352" s="13" t="n"/>
      <c r="K352" s="13" t="n"/>
      <c r="L352" s="11" t="n"/>
      <c r="M352" s="14">
        <f>IF(A352="","",IF(D352&lt;&gt;"",SUMIFS($K$2:$K$501,$D$2:$D$501,D352),SUMIFS($K$2:$K$501,$E$2:$E$501,E352)))</f>
        <v/>
      </c>
      <c r="N352" s="14">
        <f>IF(F352="","",MAX(0,F352-M352))</f>
        <v/>
      </c>
      <c r="O352" s="6">
        <f>IF(A352="","",IF(AND(I352&lt;&gt;"",I352&gt;H352),"是",IF(AND(TODAY()&gt;H352,N352&gt;0),"是","否")))</f>
        <v/>
      </c>
      <c r="P352" s="16">
        <f>IF(A352="","",IFERROR(INDEX('激励事件明细'!$P$2:$P$501,IF(D352&lt;&gt;"",MATCH(D352,'激励事件明细'!$A$2:$A$501,0),MATCH(E352,'激励事件明细'!$B$2:$B$501,0))),""))</f>
        <v/>
      </c>
      <c r="Q352" s="6">
        <f>IF(AND(D352="",E352=""),"异常：必须关联事件编号或税额批次",IF(AND(D352&lt;&gt;"",COUNTIF('激励事件明细'!$A$2:$A$501,D352)=0),"异常：事件编号不存在",IF(AND(E352&lt;&gt;"",COUNTIF('激励事件明细'!$B$2:$B$501,E352)=0),"异常：税额批次不存在",IF(M352&gt;F352,"异常：本批次超额缴税",IF(AND(I352&lt;&gt;"",I352&gt;H352),"异常：超过事件截止日",IF(AND(P352&lt;&gt;"",TODAY()&gt;=P352,N352&gt;0),"异常：离职前未缴清","正常"))))))</f>
        <v/>
      </c>
      <c r="R352" s="11" t="n"/>
    </row>
    <row r="353">
      <c r="A353" s="6">
        <f>IF(AND(D353="",E353=""),"",IFERROR(INDEX('激励事件明细'!$C$2:$C$501,IF(D353&lt;&gt;"",MATCH(D353,'激励事件明细'!$A$2:$A$501,0),MATCH(E353,'激励事件明细'!$B$2:$B$501,0))),""))</f>
        <v/>
      </c>
      <c r="B353" s="6">
        <f>IF(A353="","",IFERROR(INDEX('激励事件明细'!$D$2:$D$501,IF(D353&lt;&gt;"",MATCH(D353,'激励事件明细'!$A$2:$A$501,0),MATCH(E353,'激励事件明细'!$B$2:$B$501,0))),""))</f>
        <v/>
      </c>
      <c r="C353" s="6">
        <f>IF(A353="","",IFERROR(INDEX('激励事件明细'!$H$2:$H$501,IF(D353&lt;&gt;"",MATCH(D353,'激励事件明细'!$A$2:$A$501,0),MATCH(E353,'激励事件明细'!$B$2:$B$501,0))),""))</f>
        <v/>
      </c>
      <c r="D353" s="11" t="n"/>
      <c r="E353" s="11" t="n"/>
      <c r="F353" s="14">
        <f>IF(A353="","",IFERROR(INDEX('激励事件明细'!$Z$2:$Z$501,IF(D353&lt;&gt;"",MATCH(D353,'激励事件明细'!$A$2:$A$501,0),MATCH(E353,'激励事件明细'!$B$2:$B$501,0))),""))</f>
        <v/>
      </c>
      <c r="G353" s="16">
        <f>IF(A353="","",IFERROR(INDEX('激励事件明细'!$AA$2:$AA$501,IF(D353&lt;&gt;"",MATCH(D353,'激励事件明细'!$A$2:$A$501,0),MATCH(E353,'激励事件明细'!$B$2:$B$501,0))),""))</f>
        <v/>
      </c>
      <c r="H353" s="16">
        <f>IF(A353="","",IFERROR(INDEX('激励事件明细'!$AB$2:$AB$501,IF(D353&lt;&gt;"",MATCH(D353,'激励事件明细'!$A$2:$A$501,0),MATCH(E353,'激励事件明细'!$B$2:$B$501,0))),""))</f>
        <v/>
      </c>
      <c r="I353" s="12" t="n"/>
      <c r="J353" s="13" t="n"/>
      <c r="K353" s="13" t="n"/>
      <c r="L353" s="11" t="n"/>
      <c r="M353" s="14">
        <f>IF(A353="","",IF(D353&lt;&gt;"",SUMIFS($K$2:$K$501,$D$2:$D$501,D353),SUMIFS($K$2:$K$501,$E$2:$E$501,E353)))</f>
        <v/>
      </c>
      <c r="N353" s="14">
        <f>IF(F353="","",MAX(0,F353-M353))</f>
        <v/>
      </c>
      <c r="O353" s="6">
        <f>IF(A353="","",IF(AND(I353&lt;&gt;"",I353&gt;H353),"是",IF(AND(TODAY()&gt;H353,N353&gt;0),"是","否")))</f>
        <v/>
      </c>
      <c r="P353" s="16">
        <f>IF(A353="","",IFERROR(INDEX('激励事件明细'!$P$2:$P$501,IF(D353&lt;&gt;"",MATCH(D353,'激励事件明细'!$A$2:$A$501,0),MATCH(E353,'激励事件明细'!$B$2:$B$501,0))),""))</f>
        <v/>
      </c>
      <c r="Q353" s="6">
        <f>IF(AND(D353="",E353=""),"异常：必须关联事件编号或税额批次",IF(AND(D353&lt;&gt;"",COUNTIF('激励事件明细'!$A$2:$A$501,D353)=0),"异常：事件编号不存在",IF(AND(E353&lt;&gt;"",COUNTIF('激励事件明细'!$B$2:$B$501,E353)=0),"异常：税额批次不存在",IF(M353&gt;F353,"异常：本批次超额缴税",IF(AND(I353&lt;&gt;"",I353&gt;H353),"异常：超过事件截止日",IF(AND(P353&lt;&gt;"",TODAY()&gt;=P353,N353&gt;0),"异常：离职前未缴清","正常"))))))</f>
        <v/>
      </c>
      <c r="R353" s="11" t="n"/>
    </row>
    <row r="354">
      <c r="A354" s="6">
        <f>IF(AND(D354="",E354=""),"",IFERROR(INDEX('激励事件明细'!$C$2:$C$501,IF(D354&lt;&gt;"",MATCH(D354,'激励事件明细'!$A$2:$A$501,0),MATCH(E354,'激励事件明细'!$B$2:$B$501,0))),""))</f>
        <v/>
      </c>
      <c r="B354" s="6">
        <f>IF(A354="","",IFERROR(INDEX('激励事件明细'!$D$2:$D$501,IF(D354&lt;&gt;"",MATCH(D354,'激励事件明细'!$A$2:$A$501,0),MATCH(E354,'激励事件明细'!$B$2:$B$501,0))),""))</f>
        <v/>
      </c>
      <c r="C354" s="6">
        <f>IF(A354="","",IFERROR(INDEX('激励事件明细'!$H$2:$H$501,IF(D354&lt;&gt;"",MATCH(D354,'激励事件明细'!$A$2:$A$501,0),MATCH(E354,'激励事件明细'!$B$2:$B$501,0))),""))</f>
        <v/>
      </c>
      <c r="D354" s="11" t="n"/>
      <c r="E354" s="11" t="n"/>
      <c r="F354" s="14">
        <f>IF(A354="","",IFERROR(INDEX('激励事件明细'!$Z$2:$Z$501,IF(D354&lt;&gt;"",MATCH(D354,'激励事件明细'!$A$2:$A$501,0),MATCH(E354,'激励事件明细'!$B$2:$B$501,0))),""))</f>
        <v/>
      </c>
      <c r="G354" s="16">
        <f>IF(A354="","",IFERROR(INDEX('激励事件明细'!$AA$2:$AA$501,IF(D354&lt;&gt;"",MATCH(D354,'激励事件明细'!$A$2:$A$501,0),MATCH(E354,'激励事件明细'!$B$2:$B$501,0))),""))</f>
        <v/>
      </c>
      <c r="H354" s="16">
        <f>IF(A354="","",IFERROR(INDEX('激励事件明细'!$AB$2:$AB$501,IF(D354&lt;&gt;"",MATCH(D354,'激励事件明细'!$A$2:$A$501,0),MATCH(E354,'激励事件明细'!$B$2:$B$501,0))),""))</f>
        <v/>
      </c>
      <c r="I354" s="12" t="n"/>
      <c r="J354" s="13" t="n"/>
      <c r="K354" s="13" t="n"/>
      <c r="L354" s="11" t="n"/>
      <c r="M354" s="14">
        <f>IF(A354="","",IF(D354&lt;&gt;"",SUMIFS($K$2:$K$501,$D$2:$D$501,D354),SUMIFS($K$2:$K$501,$E$2:$E$501,E354)))</f>
        <v/>
      </c>
      <c r="N354" s="14">
        <f>IF(F354="","",MAX(0,F354-M354))</f>
        <v/>
      </c>
      <c r="O354" s="6">
        <f>IF(A354="","",IF(AND(I354&lt;&gt;"",I354&gt;H354),"是",IF(AND(TODAY()&gt;H354,N354&gt;0),"是","否")))</f>
        <v/>
      </c>
      <c r="P354" s="16">
        <f>IF(A354="","",IFERROR(INDEX('激励事件明细'!$P$2:$P$501,IF(D354&lt;&gt;"",MATCH(D354,'激励事件明细'!$A$2:$A$501,0),MATCH(E354,'激励事件明细'!$B$2:$B$501,0))),""))</f>
        <v/>
      </c>
      <c r="Q354" s="6">
        <f>IF(AND(D354="",E354=""),"异常：必须关联事件编号或税额批次",IF(AND(D354&lt;&gt;"",COUNTIF('激励事件明细'!$A$2:$A$501,D354)=0),"异常：事件编号不存在",IF(AND(E354&lt;&gt;"",COUNTIF('激励事件明细'!$B$2:$B$501,E354)=0),"异常：税额批次不存在",IF(M354&gt;F354,"异常：本批次超额缴税",IF(AND(I354&lt;&gt;"",I354&gt;H354),"异常：超过事件截止日",IF(AND(P354&lt;&gt;"",TODAY()&gt;=P354,N354&gt;0),"异常：离职前未缴清","正常"))))))</f>
        <v/>
      </c>
      <c r="R354" s="11" t="n"/>
    </row>
    <row r="355">
      <c r="A355" s="6">
        <f>IF(AND(D355="",E355=""),"",IFERROR(INDEX('激励事件明细'!$C$2:$C$501,IF(D355&lt;&gt;"",MATCH(D355,'激励事件明细'!$A$2:$A$501,0),MATCH(E355,'激励事件明细'!$B$2:$B$501,0))),""))</f>
        <v/>
      </c>
      <c r="B355" s="6">
        <f>IF(A355="","",IFERROR(INDEX('激励事件明细'!$D$2:$D$501,IF(D355&lt;&gt;"",MATCH(D355,'激励事件明细'!$A$2:$A$501,0),MATCH(E355,'激励事件明细'!$B$2:$B$501,0))),""))</f>
        <v/>
      </c>
      <c r="C355" s="6">
        <f>IF(A355="","",IFERROR(INDEX('激励事件明细'!$H$2:$H$501,IF(D355&lt;&gt;"",MATCH(D355,'激励事件明细'!$A$2:$A$501,0),MATCH(E355,'激励事件明细'!$B$2:$B$501,0))),""))</f>
        <v/>
      </c>
      <c r="D355" s="11" t="n"/>
      <c r="E355" s="11" t="n"/>
      <c r="F355" s="14">
        <f>IF(A355="","",IFERROR(INDEX('激励事件明细'!$Z$2:$Z$501,IF(D355&lt;&gt;"",MATCH(D355,'激励事件明细'!$A$2:$A$501,0),MATCH(E355,'激励事件明细'!$B$2:$B$501,0))),""))</f>
        <v/>
      </c>
      <c r="G355" s="16">
        <f>IF(A355="","",IFERROR(INDEX('激励事件明细'!$AA$2:$AA$501,IF(D355&lt;&gt;"",MATCH(D355,'激励事件明细'!$A$2:$A$501,0),MATCH(E355,'激励事件明细'!$B$2:$B$501,0))),""))</f>
        <v/>
      </c>
      <c r="H355" s="16">
        <f>IF(A355="","",IFERROR(INDEX('激励事件明细'!$AB$2:$AB$501,IF(D355&lt;&gt;"",MATCH(D355,'激励事件明细'!$A$2:$A$501,0),MATCH(E355,'激励事件明细'!$B$2:$B$501,0))),""))</f>
        <v/>
      </c>
      <c r="I355" s="12" t="n"/>
      <c r="J355" s="13" t="n"/>
      <c r="K355" s="13" t="n"/>
      <c r="L355" s="11" t="n"/>
      <c r="M355" s="14">
        <f>IF(A355="","",IF(D355&lt;&gt;"",SUMIFS($K$2:$K$501,$D$2:$D$501,D355),SUMIFS($K$2:$K$501,$E$2:$E$501,E355)))</f>
        <v/>
      </c>
      <c r="N355" s="14">
        <f>IF(F355="","",MAX(0,F355-M355))</f>
        <v/>
      </c>
      <c r="O355" s="6">
        <f>IF(A355="","",IF(AND(I355&lt;&gt;"",I355&gt;H355),"是",IF(AND(TODAY()&gt;H355,N355&gt;0),"是","否")))</f>
        <v/>
      </c>
      <c r="P355" s="16">
        <f>IF(A355="","",IFERROR(INDEX('激励事件明细'!$P$2:$P$501,IF(D355&lt;&gt;"",MATCH(D355,'激励事件明细'!$A$2:$A$501,0),MATCH(E355,'激励事件明细'!$B$2:$B$501,0))),""))</f>
        <v/>
      </c>
      <c r="Q355" s="6">
        <f>IF(AND(D355="",E355=""),"异常：必须关联事件编号或税额批次",IF(AND(D355&lt;&gt;"",COUNTIF('激励事件明细'!$A$2:$A$501,D355)=0),"异常：事件编号不存在",IF(AND(E355&lt;&gt;"",COUNTIF('激励事件明细'!$B$2:$B$501,E355)=0),"异常：税额批次不存在",IF(M355&gt;F355,"异常：本批次超额缴税",IF(AND(I355&lt;&gt;"",I355&gt;H355),"异常：超过事件截止日",IF(AND(P355&lt;&gt;"",TODAY()&gt;=P355,N355&gt;0),"异常：离职前未缴清","正常"))))))</f>
        <v/>
      </c>
      <c r="R355" s="11" t="n"/>
    </row>
    <row r="356">
      <c r="A356" s="6">
        <f>IF(AND(D356="",E356=""),"",IFERROR(INDEX('激励事件明细'!$C$2:$C$501,IF(D356&lt;&gt;"",MATCH(D356,'激励事件明细'!$A$2:$A$501,0),MATCH(E356,'激励事件明细'!$B$2:$B$501,0))),""))</f>
        <v/>
      </c>
      <c r="B356" s="6">
        <f>IF(A356="","",IFERROR(INDEX('激励事件明细'!$D$2:$D$501,IF(D356&lt;&gt;"",MATCH(D356,'激励事件明细'!$A$2:$A$501,0),MATCH(E356,'激励事件明细'!$B$2:$B$501,0))),""))</f>
        <v/>
      </c>
      <c r="C356" s="6">
        <f>IF(A356="","",IFERROR(INDEX('激励事件明细'!$H$2:$H$501,IF(D356&lt;&gt;"",MATCH(D356,'激励事件明细'!$A$2:$A$501,0),MATCH(E356,'激励事件明细'!$B$2:$B$501,0))),""))</f>
        <v/>
      </c>
      <c r="D356" s="11" t="n"/>
      <c r="E356" s="11" t="n"/>
      <c r="F356" s="14">
        <f>IF(A356="","",IFERROR(INDEX('激励事件明细'!$Z$2:$Z$501,IF(D356&lt;&gt;"",MATCH(D356,'激励事件明细'!$A$2:$A$501,0),MATCH(E356,'激励事件明细'!$B$2:$B$501,0))),""))</f>
        <v/>
      </c>
      <c r="G356" s="16">
        <f>IF(A356="","",IFERROR(INDEX('激励事件明细'!$AA$2:$AA$501,IF(D356&lt;&gt;"",MATCH(D356,'激励事件明细'!$A$2:$A$501,0),MATCH(E356,'激励事件明细'!$B$2:$B$501,0))),""))</f>
        <v/>
      </c>
      <c r="H356" s="16">
        <f>IF(A356="","",IFERROR(INDEX('激励事件明细'!$AB$2:$AB$501,IF(D356&lt;&gt;"",MATCH(D356,'激励事件明细'!$A$2:$A$501,0),MATCH(E356,'激励事件明细'!$B$2:$B$501,0))),""))</f>
        <v/>
      </c>
      <c r="I356" s="12" t="n"/>
      <c r="J356" s="13" t="n"/>
      <c r="K356" s="13" t="n"/>
      <c r="L356" s="11" t="n"/>
      <c r="M356" s="14">
        <f>IF(A356="","",IF(D356&lt;&gt;"",SUMIFS($K$2:$K$501,$D$2:$D$501,D356),SUMIFS($K$2:$K$501,$E$2:$E$501,E356)))</f>
        <v/>
      </c>
      <c r="N356" s="14">
        <f>IF(F356="","",MAX(0,F356-M356))</f>
        <v/>
      </c>
      <c r="O356" s="6">
        <f>IF(A356="","",IF(AND(I356&lt;&gt;"",I356&gt;H356),"是",IF(AND(TODAY()&gt;H356,N356&gt;0),"是","否")))</f>
        <v/>
      </c>
      <c r="P356" s="16">
        <f>IF(A356="","",IFERROR(INDEX('激励事件明细'!$P$2:$P$501,IF(D356&lt;&gt;"",MATCH(D356,'激励事件明细'!$A$2:$A$501,0),MATCH(E356,'激励事件明细'!$B$2:$B$501,0))),""))</f>
        <v/>
      </c>
      <c r="Q356" s="6">
        <f>IF(AND(D356="",E356=""),"异常：必须关联事件编号或税额批次",IF(AND(D356&lt;&gt;"",COUNTIF('激励事件明细'!$A$2:$A$501,D356)=0),"异常：事件编号不存在",IF(AND(E356&lt;&gt;"",COUNTIF('激励事件明细'!$B$2:$B$501,E356)=0),"异常：税额批次不存在",IF(M356&gt;F356,"异常：本批次超额缴税",IF(AND(I356&lt;&gt;"",I356&gt;H356),"异常：超过事件截止日",IF(AND(P356&lt;&gt;"",TODAY()&gt;=P356,N356&gt;0),"异常：离职前未缴清","正常"))))))</f>
        <v/>
      </c>
      <c r="R356" s="11" t="n"/>
    </row>
    <row r="357">
      <c r="A357" s="6">
        <f>IF(AND(D357="",E357=""),"",IFERROR(INDEX('激励事件明细'!$C$2:$C$501,IF(D357&lt;&gt;"",MATCH(D357,'激励事件明细'!$A$2:$A$501,0),MATCH(E357,'激励事件明细'!$B$2:$B$501,0))),""))</f>
        <v/>
      </c>
      <c r="B357" s="6">
        <f>IF(A357="","",IFERROR(INDEX('激励事件明细'!$D$2:$D$501,IF(D357&lt;&gt;"",MATCH(D357,'激励事件明细'!$A$2:$A$501,0),MATCH(E357,'激励事件明细'!$B$2:$B$501,0))),""))</f>
        <v/>
      </c>
      <c r="C357" s="6">
        <f>IF(A357="","",IFERROR(INDEX('激励事件明细'!$H$2:$H$501,IF(D357&lt;&gt;"",MATCH(D357,'激励事件明细'!$A$2:$A$501,0),MATCH(E357,'激励事件明细'!$B$2:$B$501,0))),""))</f>
        <v/>
      </c>
      <c r="D357" s="11" t="n"/>
      <c r="E357" s="11" t="n"/>
      <c r="F357" s="14">
        <f>IF(A357="","",IFERROR(INDEX('激励事件明细'!$Z$2:$Z$501,IF(D357&lt;&gt;"",MATCH(D357,'激励事件明细'!$A$2:$A$501,0),MATCH(E357,'激励事件明细'!$B$2:$B$501,0))),""))</f>
        <v/>
      </c>
      <c r="G357" s="16">
        <f>IF(A357="","",IFERROR(INDEX('激励事件明细'!$AA$2:$AA$501,IF(D357&lt;&gt;"",MATCH(D357,'激励事件明细'!$A$2:$A$501,0),MATCH(E357,'激励事件明细'!$B$2:$B$501,0))),""))</f>
        <v/>
      </c>
      <c r="H357" s="16">
        <f>IF(A357="","",IFERROR(INDEX('激励事件明细'!$AB$2:$AB$501,IF(D357&lt;&gt;"",MATCH(D357,'激励事件明细'!$A$2:$A$501,0),MATCH(E357,'激励事件明细'!$B$2:$B$501,0))),""))</f>
        <v/>
      </c>
      <c r="I357" s="12" t="n"/>
      <c r="J357" s="13" t="n"/>
      <c r="K357" s="13" t="n"/>
      <c r="L357" s="11" t="n"/>
      <c r="M357" s="14">
        <f>IF(A357="","",IF(D357&lt;&gt;"",SUMIFS($K$2:$K$501,$D$2:$D$501,D357),SUMIFS($K$2:$K$501,$E$2:$E$501,E357)))</f>
        <v/>
      </c>
      <c r="N357" s="14">
        <f>IF(F357="","",MAX(0,F357-M357))</f>
        <v/>
      </c>
      <c r="O357" s="6">
        <f>IF(A357="","",IF(AND(I357&lt;&gt;"",I357&gt;H357),"是",IF(AND(TODAY()&gt;H357,N357&gt;0),"是","否")))</f>
        <v/>
      </c>
      <c r="P357" s="16">
        <f>IF(A357="","",IFERROR(INDEX('激励事件明细'!$P$2:$P$501,IF(D357&lt;&gt;"",MATCH(D357,'激励事件明细'!$A$2:$A$501,0),MATCH(E357,'激励事件明细'!$B$2:$B$501,0))),""))</f>
        <v/>
      </c>
      <c r="Q357" s="6">
        <f>IF(AND(D357="",E357=""),"异常：必须关联事件编号或税额批次",IF(AND(D357&lt;&gt;"",COUNTIF('激励事件明细'!$A$2:$A$501,D357)=0),"异常：事件编号不存在",IF(AND(E357&lt;&gt;"",COUNTIF('激励事件明细'!$B$2:$B$501,E357)=0),"异常：税额批次不存在",IF(M357&gt;F357,"异常：本批次超额缴税",IF(AND(I357&lt;&gt;"",I357&gt;H357),"异常：超过事件截止日",IF(AND(P357&lt;&gt;"",TODAY()&gt;=P357,N357&gt;0),"异常：离职前未缴清","正常"))))))</f>
        <v/>
      </c>
      <c r="R357" s="11" t="n"/>
    </row>
    <row r="358">
      <c r="A358" s="6">
        <f>IF(AND(D358="",E358=""),"",IFERROR(INDEX('激励事件明细'!$C$2:$C$501,IF(D358&lt;&gt;"",MATCH(D358,'激励事件明细'!$A$2:$A$501,0),MATCH(E358,'激励事件明细'!$B$2:$B$501,0))),""))</f>
        <v/>
      </c>
      <c r="B358" s="6">
        <f>IF(A358="","",IFERROR(INDEX('激励事件明细'!$D$2:$D$501,IF(D358&lt;&gt;"",MATCH(D358,'激励事件明细'!$A$2:$A$501,0),MATCH(E358,'激励事件明细'!$B$2:$B$501,0))),""))</f>
        <v/>
      </c>
      <c r="C358" s="6">
        <f>IF(A358="","",IFERROR(INDEX('激励事件明细'!$H$2:$H$501,IF(D358&lt;&gt;"",MATCH(D358,'激励事件明细'!$A$2:$A$501,0),MATCH(E358,'激励事件明细'!$B$2:$B$501,0))),""))</f>
        <v/>
      </c>
      <c r="D358" s="11" t="n"/>
      <c r="E358" s="11" t="n"/>
      <c r="F358" s="14">
        <f>IF(A358="","",IFERROR(INDEX('激励事件明细'!$Z$2:$Z$501,IF(D358&lt;&gt;"",MATCH(D358,'激励事件明细'!$A$2:$A$501,0),MATCH(E358,'激励事件明细'!$B$2:$B$501,0))),""))</f>
        <v/>
      </c>
      <c r="G358" s="16">
        <f>IF(A358="","",IFERROR(INDEX('激励事件明细'!$AA$2:$AA$501,IF(D358&lt;&gt;"",MATCH(D358,'激励事件明细'!$A$2:$A$501,0),MATCH(E358,'激励事件明细'!$B$2:$B$501,0))),""))</f>
        <v/>
      </c>
      <c r="H358" s="16">
        <f>IF(A358="","",IFERROR(INDEX('激励事件明细'!$AB$2:$AB$501,IF(D358&lt;&gt;"",MATCH(D358,'激励事件明细'!$A$2:$A$501,0),MATCH(E358,'激励事件明细'!$B$2:$B$501,0))),""))</f>
        <v/>
      </c>
      <c r="I358" s="12" t="n"/>
      <c r="J358" s="13" t="n"/>
      <c r="K358" s="13" t="n"/>
      <c r="L358" s="11" t="n"/>
      <c r="M358" s="14">
        <f>IF(A358="","",IF(D358&lt;&gt;"",SUMIFS($K$2:$K$501,$D$2:$D$501,D358),SUMIFS($K$2:$K$501,$E$2:$E$501,E358)))</f>
        <v/>
      </c>
      <c r="N358" s="14">
        <f>IF(F358="","",MAX(0,F358-M358))</f>
        <v/>
      </c>
      <c r="O358" s="6">
        <f>IF(A358="","",IF(AND(I358&lt;&gt;"",I358&gt;H358),"是",IF(AND(TODAY()&gt;H358,N358&gt;0),"是","否")))</f>
        <v/>
      </c>
      <c r="P358" s="16">
        <f>IF(A358="","",IFERROR(INDEX('激励事件明细'!$P$2:$P$501,IF(D358&lt;&gt;"",MATCH(D358,'激励事件明细'!$A$2:$A$501,0),MATCH(E358,'激励事件明细'!$B$2:$B$501,0))),""))</f>
        <v/>
      </c>
      <c r="Q358" s="6">
        <f>IF(AND(D358="",E358=""),"异常：必须关联事件编号或税额批次",IF(AND(D358&lt;&gt;"",COUNTIF('激励事件明细'!$A$2:$A$501,D358)=0),"异常：事件编号不存在",IF(AND(E358&lt;&gt;"",COUNTIF('激励事件明细'!$B$2:$B$501,E358)=0),"异常：税额批次不存在",IF(M358&gt;F358,"异常：本批次超额缴税",IF(AND(I358&lt;&gt;"",I358&gt;H358),"异常：超过事件截止日",IF(AND(P358&lt;&gt;"",TODAY()&gt;=P358,N358&gt;0),"异常：离职前未缴清","正常"))))))</f>
        <v/>
      </c>
      <c r="R358" s="11" t="n"/>
    </row>
    <row r="359">
      <c r="A359" s="6">
        <f>IF(AND(D359="",E359=""),"",IFERROR(INDEX('激励事件明细'!$C$2:$C$501,IF(D359&lt;&gt;"",MATCH(D359,'激励事件明细'!$A$2:$A$501,0),MATCH(E359,'激励事件明细'!$B$2:$B$501,0))),""))</f>
        <v/>
      </c>
      <c r="B359" s="6">
        <f>IF(A359="","",IFERROR(INDEX('激励事件明细'!$D$2:$D$501,IF(D359&lt;&gt;"",MATCH(D359,'激励事件明细'!$A$2:$A$501,0),MATCH(E359,'激励事件明细'!$B$2:$B$501,0))),""))</f>
        <v/>
      </c>
      <c r="C359" s="6">
        <f>IF(A359="","",IFERROR(INDEX('激励事件明细'!$H$2:$H$501,IF(D359&lt;&gt;"",MATCH(D359,'激励事件明细'!$A$2:$A$501,0),MATCH(E359,'激励事件明细'!$B$2:$B$501,0))),""))</f>
        <v/>
      </c>
      <c r="D359" s="11" t="n"/>
      <c r="E359" s="11" t="n"/>
      <c r="F359" s="14">
        <f>IF(A359="","",IFERROR(INDEX('激励事件明细'!$Z$2:$Z$501,IF(D359&lt;&gt;"",MATCH(D359,'激励事件明细'!$A$2:$A$501,0),MATCH(E359,'激励事件明细'!$B$2:$B$501,0))),""))</f>
        <v/>
      </c>
      <c r="G359" s="16">
        <f>IF(A359="","",IFERROR(INDEX('激励事件明细'!$AA$2:$AA$501,IF(D359&lt;&gt;"",MATCH(D359,'激励事件明细'!$A$2:$A$501,0),MATCH(E359,'激励事件明细'!$B$2:$B$501,0))),""))</f>
        <v/>
      </c>
      <c r="H359" s="16">
        <f>IF(A359="","",IFERROR(INDEX('激励事件明细'!$AB$2:$AB$501,IF(D359&lt;&gt;"",MATCH(D359,'激励事件明细'!$A$2:$A$501,0),MATCH(E359,'激励事件明细'!$B$2:$B$501,0))),""))</f>
        <v/>
      </c>
      <c r="I359" s="12" t="n"/>
      <c r="J359" s="13" t="n"/>
      <c r="K359" s="13" t="n"/>
      <c r="L359" s="11" t="n"/>
      <c r="M359" s="14">
        <f>IF(A359="","",IF(D359&lt;&gt;"",SUMIFS($K$2:$K$501,$D$2:$D$501,D359),SUMIFS($K$2:$K$501,$E$2:$E$501,E359)))</f>
        <v/>
      </c>
      <c r="N359" s="14">
        <f>IF(F359="","",MAX(0,F359-M359))</f>
        <v/>
      </c>
      <c r="O359" s="6">
        <f>IF(A359="","",IF(AND(I359&lt;&gt;"",I359&gt;H359),"是",IF(AND(TODAY()&gt;H359,N359&gt;0),"是","否")))</f>
        <v/>
      </c>
      <c r="P359" s="16">
        <f>IF(A359="","",IFERROR(INDEX('激励事件明细'!$P$2:$P$501,IF(D359&lt;&gt;"",MATCH(D359,'激励事件明细'!$A$2:$A$501,0),MATCH(E359,'激励事件明细'!$B$2:$B$501,0))),""))</f>
        <v/>
      </c>
      <c r="Q359" s="6">
        <f>IF(AND(D359="",E359=""),"异常：必须关联事件编号或税额批次",IF(AND(D359&lt;&gt;"",COUNTIF('激励事件明细'!$A$2:$A$501,D359)=0),"异常：事件编号不存在",IF(AND(E359&lt;&gt;"",COUNTIF('激励事件明细'!$B$2:$B$501,E359)=0),"异常：税额批次不存在",IF(M359&gt;F359,"异常：本批次超额缴税",IF(AND(I359&lt;&gt;"",I359&gt;H359),"异常：超过事件截止日",IF(AND(P359&lt;&gt;"",TODAY()&gt;=P359,N359&gt;0),"异常：离职前未缴清","正常"))))))</f>
        <v/>
      </c>
      <c r="R359" s="11" t="n"/>
    </row>
    <row r="360">
      <c r="A360" s="6">
        <f>IF(AND(D360="",E360=""),"",IFERROR(INDEX('激励事件明细'!$C$2:$C$501,IF(D360&lt;&gt;"",MATCH(D360,'激励事件明细'!$A$2:$A$501,0),MATCH(E360,'激励事件明细'!$B$2:$B$501,0))),""))</f>
        <v/>
      </c>
      <c r="B360" s="6">
        <f>IF(A360="","",IFERROR(INDEX('激励事件明细'!$D$2:$D$501,IF(D360&lt;&gt;"",MATCH(D360,'激励事件明细'!$A$2:$A$501,0),MATCH(E360,'激励事件明细'!$B$2:$B$501,0))),""))</f>
        <v/>
      </c>
      <c r="C360" s="6">
        <f>IF(A360="","",IFERROR(INDEX('激励事件明细'!$H$2:$H$501,IF(D360&lt;&gt;"",MATCH(D360,'激励事件明细'!$A$2:$A$501,0),MATCH(E360,'激励事件明细'!$B$2:$B$501,0))),""))</f>
        <v/>
      </c>
      <c r="D360" s="11" t="n"/>
      <c r="E360" s="11" t="n"/>
      <c r="F360" s="14">
        <f>IF(A360="","",IFERROR(INDEX('激励事件明细'!$Z$2:$Z$501,IF(D360&lt;&gt;"",MATCH(D360,'激励事件明细'!$A$2:$A$501,0),MATCH(E360,'激励事件明细'!$B$2:$B$501,0))),""))</f>
        <v/>
      </c>
      <c r="G360" s="16">
        <f>IF(A360="","",IFERROR(INDEX('激励事件明细'!$AA$2:$AA$501,IF(D360&lt;&gt;"",MATCH(D360,'激励事件明细'!$A$2:$A$501,0),MATCH(E360,'激励事件明细'!$B$2:$B$501,0))),""))</f>
        <v/>
      </c>
      <c r="H360" s="16">
        <f>IF(A360="","",IFERROR(INDEX('激励事件明细'!$AB$2:$AB$501,IF(D360&lt;&gt;"",MATCH(D360,'激励事件明细'!$A$2:$A$501,0),MATCH(E360,'激励事件明细'!$B$2:$B$501,0))),""))</f>
        <v/>
      </c>
      <c r="I360" s="12" t="n"/>
      <c r="J360" s="13" t="n"/>
      <c r="K360" s="13" t="n"/>
      <c r="L360" s="11" t="n"/>
      <c r="M360" s="14">
        <f>IF(A360="","",IF(D360&lt;&gt;"",SUMIFS($K$2:$K$501,$D$2:$D$501,D360),SUMIFS($K$2:$K$501,$E$2:$E$501,E360)))</f>
        <v/>
      </c>
      <c r="N360" s="14">
        <f>IF(F360="","",MAX(0,F360-M360))</f>
        <v/>
      </c>
      <c r="O360" s="6">
        <f>IF(A360="","",IF(AND(I360&lt;&gt;"",I360&gt;H360),"是",IF(AND(TODAY()&gt;H360,N360&gt;0),"是","否")))</f>
        <v/>
      </c>
      <c r="P360" s="16">
        <f>IF(A360="","",IFERROR(INDEX('激励事件明细'!$P$2:$P$501,IF(D360&lt;&gt;"",MATCH(D360,'激励事件明细'!$A$2:$A$501,0),MATCH(E360,'激励事件明细'!$B$2:$B$501,0))),""))</f>
        <v/>
      </c>
      <c r="Q360" s="6">
        <f>IF(AND(D360="",E360=""),"异常：必须关联事件编号或税额批次",IF(AND(D360&lt;&gt;"",COUNTIF('激励事件明细'!$A$2:$A$501,D360)=0),"异常：事件编号不存在",IF(AND(E360&lt;&gt;"",COUNTIF('激励事件明细'!$B$2:$B$501,E360)=0),"异常：税额批次不存在",IF(M360&gt;F360,"异常：本批次超额缴税",IF(AND(I360&lt;&gt;"",I360&gt;H360),"异常：超过事件截止日",IF(AND(P360&lt;&gt;"",TODAY()&gt;=P360,N360&gt;0),"异常：离职前未缴清","正常"))))))</f>
        <v/>
      </c>
      <c r="R360" s="11" t="n"/>
    </row>
    <row r="361">
      <c r="A361" s="6">
        <f>IF(AND(D361="",E361=""),"",IFERROR(INDEX('激励事件明细'!$C$2:$C$501,IF(D361&lt;&gt;"",MATCH(D361,'激励事件明细'!$A$2:$A$501,0),MATCH(E361,'激励事件明细'!$B$2:$B$501,0))),""))</f>
        <v/>
      </c>
      <c r="B361" s="6">
        <f>IF(A361="","",IFERROR(INDEX('激励事件明细'!$D$2:$D$501,IF(D361&lt;&gt;"",MATCH(D361,'激励事件明细'!$A$2:$A$501,0),MATCH(E361,'激励事件明细'!$B$2:$B$501,0))),""))</f>
        <v/>
      </c>
      <c r="C361" s="6">
        <f>IF(A361="","",IFERROR(INDEX('激励事件明细'!$H$2:$H$501,IF(D361&lt;&gt;"",MATCH(D361,'激励事件明细'!$A$2:$A$501,0),MATCH(E361,'激励事件明细'!$B$2:$B$501,0))),""))</f>
        <v/>
      </c>
      <c r="D361" s="11" t="n"/>
      <c r="E361" s="11" t="n"/>
      <c r="F361" s="14">
        <f>IF(A361="","",IFERROR(INDEX('激励事件明细'!$Z$2:$Z$501,IF(D361&lt;&gt;"",MATCH(D361,'激励事件明细'!$A$2:$A$501,0),MATCH(E361,'激励事件明细'!$B$2:$B$501,0))),""))</f>
        <v/>
      </c>
      <c r="G361" s="16">
        <f>IF(A361="","",IFERROR(INDEX('激励事件明细'!$AA$2:$AA$501,IF(D361&lt;&gt;"",MATCH(D361,'激励事件明细'!$A$2:$A$501,0),MATCH(E361,'激励事件明细'!$B$2:$B$501,0))),""))</f>
        <v/>
      </c>
      <c r="H361" s="16">
        <f>IF(A361="","",IFERROR(INDEX('激励事件明细'!$AB$2:$AB$501,IF(D361&lt;&gt;"",MATCH(D361,'激励事件明细'!$A$2:$A$501,0),MATCH(E361,'激励事件明细'!$B$2:$B$501,0))),""))</f>
        <v/>
      </c>
      <c r="I361" s="12" t="n"/>
      <c r="J361" s="13" t="n"/>
      <c r="K361" s="13" t="n"/>
      <c r="L361" s="11" t="n"/>
      <c r="M361" s="14">
        <f>IF(A361="","",IF(D361&lt;&gt;"",SUMIFS($K$2:$K$501,$D$2:$D$501,D361),SUMIFS($K$2:$K$501,$E$2:$E$501,E361)))</f>
        <v/>
      </c>
      <c r="N361" s="14">
        <f>IF(F361="","",MAX(0,F361-M361))</f>
        <v/>
      </c>
      <c r="O361" s="6">
        <f>IF(A361="","",IF(AND(I361&lt;&gt;"",I361&gt;H361),"是",IF(AND(TODAY()&gt;H361,N361&gt;0),"是","否")))</f>
        <v/>
      </c>
      <c r="P361" s="16">
        <f>IF(A361="","",IFERROR(INDEX('激励事件明细'!$P$2:$P$501,IF(D361&lt;&gt;"",MATCH(D361,'激励事件明细'!$A$2:$A$501,0),MATCH(E361,'激励事件明细'!$B$2:$B$501,0))),""))</f>
        <v/>
      </c>
      <c r="Q361" s="6">
        <f>IF(AND(D361="",E361=""),"异常：必须关联事件编号或税额批次",IF(AND(D361&lt;&gt;"",COUNTIF('激励事件明细'!$A$2:$A$501,D361)=0),"异常：事件编号不存在",IF(AND(E361&lt;&gt;"",COUNTIF('激励事件明细'!$B$2:$B$501,E361)=0),"异常：税额批次不存在",IF(M361&gt;F361,"异常：本批次超额缴税",IF(AND(I361&lt;&gt;"",I361&gt;H361),"异常：超过事件截止日",IF(AND(P361&lt;&gt;"",TODAY()&gt;=P361,N361&gt;0),"异常：离职前未缴清","正常"))))))</f>
        <v/>
      </c>
      <c r="R361" s="11" t="n"/>
    </row>
    <row r="362">
      <c r="A362" s="6">
        <f>IF(AND(D362="",E362=""),"",IFERROR(INDEX('激励事件明细'!$C$2:$C$501,IF(D362&lt;&gt;"",MATCH(D362,'激励事件明细'!$A$2:$A$501,0),MATCH(E362,'激励事件明细'!$B$2:$B$501,0))),""))</f>
        <v/>
      </c>
      <c r="B362" s="6">
        <f>IF(A362="","",IFERROR(INDEX('激励事件明细'!$D$2:$D$501,IF(D362&lt;&gt;"",MATCH(D362,'激励事件明细'!$A$2:$A$501,0),MATCH(E362,'激励事件明细'!$B$2:$B$501,0))),""))</f>
        <v/>
      </c>
      <c r="C362" s="6">
        <f>IF(A362="","",IFERROR(INDEX('激励事件明细'!$H$2:$H$501,IF(D362&lt;&gt;"",MATCH(D362,'激励事件明细'!$A$2:$A$501,0),MATCH(E362,'激励事件明细'!$B$2:$B$501,0))),""))</f>
        <v/>
      </c>
      <c r="D362" s="11" t="n"/>
      <c r="E362" s="11" t="n"/>
      <c r="F362" s="14">
        <f>IF(A362="","",IFERROR(INDEX('激励事件明细'!$Z$2:$Z$501,IF(D362&lt;&gt;"",MATCH(D362,'激励事件明细'!$A$2:$A$501,0),MATCH(E362,'激励事件明细'!$B$2:$B$501,0))),""))</f>
        <v/>
      </c>
      <c r="G362" s="16">
        <f>IF(A362="","",IFERROR(INDEX('激励事件明细'!$AA$2:$AA$501,IF(D362&lt;&gt;"",MATCH(D362,'激励事件明细'!$A$2:$A$501,0),MATCH(E362,'激励事件明细'!$B$2:$B$501,0))),""))</f>
        <v/>
      </c>
      <c r="H362" s="16">
        <f>IF(A362="","",IFERROR(INDEX('激励事件明细'!$AB$2:$AB$501,IF(D362&lt;&gt;"",MATCH(D362,'激励事件明细'!$A$2:$A$501,0),MATCH(E362,'激励事件明细'!$B$2:$B$501,0))),""))</f>
        <v/>
      </c>
      <c r="I362" s="12" t="n"/>
      <c r="J362" s="13" t="n"/>
      <c r="K362" s="13" t="n"/>
      <c r="L362" s="11" t="n"/>
      <c r="M362" s="14">
        <f>IF(A362="","",IF(D362&lt;&gt;"",SUMIFS($K$2:$K$501,$D$2:$D$501,D362),SUMIFS($K$2:$K$501,$E$2:$E$501,E362)))</f>
        <v/>
      </c>
      <c r="N362" s="14">
        <f>IF(F362="","",MAX(0,F362-M362))</f>
        <v/>
      </c>
      <c r="O362" s="6">
        <f>IF(A362="","",IF(AND(I362&lt;&gt;"",I362&gt;H362),"是",IF(AND(TODAY()&gt;H362,N362&gt;0),"是","否")))</f>
        <v/>
      </c>
      <c r="P362" s="16">
        <f>IF(A362="","",IFERROR(INDEX('激励事件明细'!$P$2:$P$501,IF(D362&lt;&gt;"",MATCH(D362,'激励事件明细'!$A$2:$A$501,0),MATCH(E362,'激励事件明细'!$B$2:$B$501,0))),""))</f>
        <v/>
      </c>
      <c r="Q362" s="6">
        <f>IF(AND(D362="",E362=""),"异常：必须关联事件编号或税额批次",IF(AND(D362&lt;&gt;"",COUNTIF('激励事件明细'!$A$2:$A$501,D362)=0),"异常：事件编号不存在",IF(AND(E362&lt;&gt;"",COUNTIF('激励事件明细'!$B$2:$B$501,E362)=0),"异常：税额批次不存在",IF(M362&gt;F362,"异常：本批次超额缴税",IF(AND(I362&lt;&gt;"",I362&gt;H362),"异常：超过事件截止日",IF(AND(P362&lt;&gt;"",TODAY()&gt;=P362,N362&gt;0),"异常：离职前未缴清","正常"))))))</f>
        <v/>
      </c>
      <c r="R362" s="11" t="n"/>
    </row>
    <row r="363">
      <c r="A363" s="6">
        <f>IF(AND(D363="",E363=""),"",IFERROR(INDEX('激励事件明细'!$C$2:$C$501,IF(D363&lt;&gt;"",MATCH(D363,'激励事件明细'!$A$2:$A$501,0),MATCH(E363,'激励事件明细'!$B$2:$B$501,0))),""))</f>
        <v/>
      </c>
      <c r="B363" s="6">
        <f>IF(A363="","",IFERROR(INDEX('激励事件明细'!$D$2:$D$501,IF(D363&lt;&gt;"",MATCH(D363,'激励事件明细'!$A$2:$A$501,0),MATCH(E363,'激励事件明细'!$B$2:$B$501,0))),""))</f>
        <v/>
      </c>
      <c r="C363" s="6">
        <f>IF(A363="","",IFERROR(INDEX('激励事件明细'!$H$2:$H$501,IF(D363&lt;&gt;"",MATCH(D363,'激励事件明细'!$A$2:$A$501,0),MATCH(E363,'激励事件明细'!$B$2:$B$501,0))),""))</f>
        <v/>
      </c>
      <c r="D363" s="11" t="n"/>
      <c r="E363" s="11" t="n"/>
      <c r="F363" s="14">
        <f>IF(A363="","",IFERROR(INDEX('激励事件明细'!$Z$2:$Z$501,IF(D363&lt;&gt;"",MATCH(D363,'激励事件明细'!$A$2:$A$501,0),MATCH(E363,'激励事件明细'!$B$2:$B$501,0))),""))</f>
        <v/>
      </c>
      <c r="G363" s="16">
        <f>IF(A363="","",IFERROR(INDEX('激励事件明细'!$AA$2:$AA$501,IF(D363&lt;&gt;"",MATCH(D363,'激励事件明细'!$A$2:$A$501,0),MATCH(E363,'激励事件明细'!$B$2:$B$501,0))),""))</f>
        <v/>
      </c>
      <c r="H363" s="16">
        <f>IF(A363="","",IFERROR(INDEX('激励事件明细'!$AB$2:$AB$501,IF(D363&lt;&gt;"",MATCH(D363,'激励事件明细'!$A$2:$A$501,0),MATCH(E363,'激励事件明细'!$B$2:$B$501,0))),""))</f>
        <v/>
      </c>
      <c r="I363" s="12" t="n"/>
      <c r="J363" s="13" t="n"/>
      <c r="K363" s="13" t="n"/>
      <c r="L363" s="11" t="n"/>
      <c r="M363" s="14">
        <f>IF(A363="","",IF(D363&lt;&gt;"",SUMIFS($K$2:$K$501,$D$2:$D$501,D363),SUMIFS($K$2:$K$501,$E$2:$E$501,E363)))</f>
        <v/>
      </c>
      <c r="N363" s="14">
        <f>IF(F363="","",MAX(0,F363-M363))</f>
        <v/>
      </c>
      <c r="O363" s="6">
        <f>IF(A363="","",IF(AND(I363&lt;&gt;"",I363&gt;H363),"是",IF(AND(TODAY()&gt;H363,N363&gt;0),"是","否")))</f>
        <v/>
      </c>
      <c r="P363" s="16">
        <f>IF(A363="","",IFERROR(INDEX('激励事件明细'!$P$2:$P$501,IF(D363&lt;&gt;"",MATCH(D363,'激励事件明细'!$A$2:$A$501,0),MATCH(E363,'激励事件明细'!$B$2:$B$501,0))),""))</f>
        <v/>
      </c>
      <c r="Q363" s="6">
        <f>IF(AND(D363="",E363=""),"异常：必须关联事件编号或税额批次",IF(AND(D363&lt;&gt;"",COUNTIF('激励事件明细'!$A$2:$A$501,D363)=0),"异常：事件编号不存在",IF(AND(E363&lt;&gt;"",COUNTIF('激励事件明细'!$B$2:$B$501,E363)=0),"异常：税额批次不存在",IF(M363&gt;F363,"异常：本批次超额缴税",IF(AND(I363&lt;&gt;"",I363&gt;H363),"异常：超过事件截止日",IF(AND(P363&lt;&gt;"",TODAY()&gt;=P363,N363&gt;0),"异常：离职前未缴清","正常"))))))</f>
        <v/>
      </c>
      <c r="R363" s="11" t="n"/>
    </row>
    <row r="364">
      <c r="A364" s="6">
        <f>IF(AND(D364="",E364=""),"",IFERROR(INDEX('激励事件明细'!$C$2:$C$501,IF(D364&lt;&gt;"",MATCH(D364,'激励事件明细'!$A$2:$A$501,0),MATCH(E364,'激励事件明细'!$B$2:$B$501,0))),""))</f>
        <v/>
      </c>
      <c r="B364" s="6">
        <f>IF(A364="","",IFERROR(INDEX('激励事件明细'!$D$2:$D$501,IF(D364&lt;&gt;"",MATCH(D364,'激励事件明细'!$A$2:$A$501,0),MATCH(E364,'激励事件明细'!$B$2:$B$501,0))),""))</f>
        <v/>
      </c>
      <c r="C364" s="6">
        <f>IF(A364="","",IFERROR(INDEX('激励事件明细'!$H$2:$H$501,IF(D364&lt;&gt;"",MATCH(D364,'激励事件明细'!$A$2:$A$501,0),MATCH(E364,'激励事件明细'!$B$2:$B$501,0))),""))</f>
        <v/>
      </c>
      <c r="D364" s="11" t="n"/>
      <c r="E364" s="11" t="n"/>
      <c r="F364" s="14">
        <f>IF(A364="","",IFERROR(INDEX('激励事件明细'!$Z$2:$Z$501,IF(D364&lt;&gt;"",MATCH(D364,'激励事件明细'!$A$2:$A$501,0),MATCH(E364,'激励事件明细'!$B$2:$B$501,0))),""))</f>
        <v/>
      </c>
      <c r="G364" s="16">
        <f>IF(A364="","",IFERROR(INDEX('激励事件明细'!$AA$2:$AA$501,IF(D364&lt;&gt;"",MATCH(D364,'激励事件明细'!$A$2:$A$501,0),MATCH(E364,'激励事件明细'!$B$2:$B$501,0))),""))</f>
        <v/>
      </c>
      <c r="H364" s="16">
        <f>IF(A364="","",IFERROR(INDEX('激励事件明细'!$AB$2:$AB$501,IF(D364&lt;&gt;"",MATCH(D364,'激励事件明细'!$A$2:$A$501,0),MATCH(E364,'激励事件明细'!$B$2:$B$501,0))),""))</f>
        <v/>
      </c>
      <c r="I364" s="12" t="n"/>
      <c r="J364" s="13" t="n"/>
      <c r="K364" s="13" t="n"/>
      <c r="L364" s="11" t="n"/>
      <c r="M364" s="14">
        <f>IF(A364="","",IF(D364&lt;&gt;"",SUMIFS($K$2:$K$501,$D$2:$D$501,D364),SUMIFS($K$2:$K$501,$E$2:$E$501,E364)))</f>
        <v/>
      </c>
      <c r="N364" s="14">
        <f>IF(F364="","",MAX(0,F364-M364))</f>
        <v/>
      </c>
      <c r="O364" s="6">
        <f>IF(A364="","",IF(AND(I364&lt;&gt;"",I364&gt;H364),"是",IF(AND(TODAY()&gt;H364,N364&gt;0),"是","否")))</f>
        <v/>
      </c>
      <c r="P364" s="16">
        <f>IF(A364="","",IFERROR(INDEX('激励事件明细'!$P$2:$P$501,IF(D364&lt;&gt;"",MATCH(D364,'激励事件明细'!$A$2:$A$501,0),MATCH(E364,'激励事件明细'!$B$2:$B$501,0))),""))</f>
        <v/>
      </c>
      <c r="Q364" s="6">
        <f>IF(AND(D364="",E364=""),"异常：必须关联事件编号或税额批次",IF(AND(D364&lt;&gt;"",COUNTIF('激励事件明细'!$A$2:$A$501,D364)=0),"异常：事件编号不存在",IF(AND(E364&lt;&gt;"",COUNTIF('激励事件明细'!$B$2:$B$501,E364)=0),"异常：税额批次不存在",IF(M364&gt;F364,"异常：本批次超额缴税",IF(AND(I364&lt;&gt;"",I364&gt;H364),"异常：超过事件截止日",IF(AND(P364&lt;&gt;"",TODAY()&gt;=P364,N364&gt;0),"异常：离职前未缴清","正常"))))))</f>
        <v/>
      </c>
      <c r="R364" s="11" t="n"/>
    </row>
    <row r="365">
      <c r="A365" s="6">
        <f>IF(AND(D365="",E365=""),"",IFERROR(INDEX('激励事件明细'!$C$2:$C$501,IF(D365&lt;&gt;"",MATCH(D365,'激励事件明细'!$A$2:$A$501,0),MATCH(E365,'激励事件明细'!$B$2:$B$501,0))),""))</f>
        <v/>
      </c>
      <c r="B365" s="6">
        <f>IF(A365="","",IFERROR(INDEX('激励事件明细'!$D$2:$D$501,IF(D365&lt;&gt;"",MATCH(D365,'激励事件明细'!$A$2:$A$501,0),MATCH(E365,'激励事件明细'!$B$2:$B$501,0))),""))</f>
        <v/>
      </c>
      <c r="C365" s="6">
        <f>IF(A365="","",IFERROR(INDEX('激励事件明细'!$H$2:$H$501,IF(D365&lt;&gt;"",MATCH(D365,'激励事件明细'!$A$2:$A$501,0),MATCH(E365,'激励事件明细'!$B$2:$B$501,0))),""))</f>
        <v/>
      </c>
      <c r="D365" s="11" t="n"/>
      <c r="E365" s="11" t="n"/>
      <c r="F365" s="14">
        <f>IF(A365="","",IFERROR(INDEX('激励事件明细'!$Z$2:$Z$501,IF(D365&lt;&gt;"",MATCH(D365,'激励事件明细'!$A$2:$A$501,0),MATCH(E365,'激励事件明细'!$B$2:$B$501,0))),""))</f>
        <v/>
      </c>
      <c r="G365" s="16">
        <f>IF(A365="","",IFERROR(INDEX('激励事件明细'!$AA$2:$AA$501,IF(D365&lt;&gt;"",MATCH(D365,'激励事件明细'!$A$2:$A$501,0),MATCH(E365,'激励事件明细'!$B$2:$B$501,0))),""))</f>
        <v/>
      </c>
      <c r="H365" s="16">
        <f>IF(A365="","",IFERROR(INDEX('激励事件明细'!$AB$2:$AB$501,IF(D365&lt;&gt;"",MATCH(D365,'激励事件明细'!$A$2:$A$501,0),MATCH(E365,'激励事件明细'!$B$2:$B$501,0))),""))</f>
        <v/>
      </c>
      <c r="I365" s="12" t="n"/>
      <c r="J365" s="13" t="n"/>
      <c r="K365" s="13" t="n"/>
      <c r="L365" s="11" t="n"/>
      <c r="M365" s="14">
        <f>IF(A365="","",IF(D365&lt;&gt;"",SUMIFS($K$2:$K$501,$D$2:$D$501,D365),SUMIFS($K$2:$K$501,$E$2:$E$501,E365)))</f>
        <v/>
      </c>
      <c r="N365" s="14">
        <f>IF(F365="","",MAX(0,F365-M365))</f>
        <v/>
      </c>
      <c r="O365" s="6">
        <f>IF(A365="","",IF(AND(I365&lt;&gt;"",I365&gt;H365),"是",IF(AND(TODAY()&gt;H365,N365&gt;0),"是","否")))</f>
        <v/>
      </c>
      <c r="P365" s="16">
        <f>IF(A365="","",IFERROR(INDEX('激励事件明细'!$P$2:$P$501,IF(D365&lt;&gt;"",MATCH(D365,'激励事件明细'!$A$2:$A$501,0),MATCH(E365,'激励事件明细'!$B$2:$B$501,0))),""))</f>
        <v/>
      </c>
      <c r="Q365" s="6">
        <f>IF(AND(D365="",E365=""),"异常：必须关联事件编号或税额批次",IF(AND(D365&lt;&gt;"",COUNTIF('激励事件明细'!$A$2:$A$501,D365)=0),"异常：事件编号不存在",IF(AND(E365&lt;&gt;"",COUNTIF('激励事件明细'!$B$2:$B$501,E365)=0),"异常：税额批次不存在",IF(M365&gt;F365,"异常：本批次超额缴税",IF(AND(I365&lt;&gt;"",I365&gt;H365),"异常：超过事件截止日",IF(AND(P365&lt;&gt;"",TODAY()&gt;=P365,N365&gt;0),"异常：离职前未缴清","正常"))))))</f>
        <v/>
      </c>
      <c r="R365" s="11" t="n"/>
    </row>
    <row r="366">
      <c r="A366" s="6">
        <f>IF(AND(D366="",E366=""),"",IFERROR(INDEX('激励事件明细'!$C$2:$C$501,IF(D366&lt;&gt;"",MATCH(D366,'激励事件明细'!$A$2:$A$501,0),MATCH(E366,'激励事件明细'!$B$2:$B$501,0))),""))</f>
        <v/>
      </c>
      <c r="B366" s="6">
        <f>IF(A366="","",IFERROR(INDEX('激励事件明细'!$D$2:$D$501,IF(D366&lt;&gt;"",MATCH(D366,'激励事件明细'!$A$2:$A$501,0),MATCH(E366,'激励事件明细'!$B$2:$B$501,0))),""))</f>
        <v/>
      </c>
      <c r="C366" s="6">
        <f>IF(A366="","",IFERROR(INDEX('激励事件明细'!$H$2:$H$501,IF(D366&lt;&gt;"",MATCH(D366,'激励事件明细'!$A$2:$A$501,0),MATCH(E366,'激励事件明细'!$B$2:$B$501,0))),""))</f>
        <v/>
      </c>
      <c r="D366" s="11" t="n"/>
      <c r="E366" s="11" t="n"/>
      <c r="F366" s="14">
        <f>IF(A366="","",IFERROR(INDEX('激励事件明细'!$Z$2:$Z$501,IF(D366&lt;&gt;"",MATCH(D366,'激励事件明细'!$A$2:$A$501,0),MATCH(E366,'激励事件明细'!$B$2:$B$501,0))),""))</f>
        <v/>
      </c>
      <c r="G366" s="16">
        <f>IF(A366="","",IFERROR(INDEX('激励事件明细'!$AA$2:$AA$501,IF(D366&lt;&gt;"",MATCH(D366,'激励事件明细'!$A$2:$A$501,0),MATCH(E366,'激励事件明细'!$B$2:$B$501,0))),""))</f>
        <v/>
      </c>
      <c r="H366" s="16">
        <f>IF(A366="","",IFERROR(INDEX('激励事件明细'!$AB$2:$AB$501,IF(D366&lt;&gt;"",MATCH(D366,'激励事件明细'!$A$2:$A$501,0),MATCH(E366,'激励事件明细'!$B$2:$B$501,0))),""))</f>
        <v/>
      </c>
      <c r="I366" s="12" t="n"/>
      <c r="J366" s="13" t="n"/>
      <c r="K366" s="13" t="n"/>
      <c r="L366" s="11" t="n"/>
      <c r="M366" s="14">
        <f>IF(A366="","",IF(D366&lt;&gt;"",SUMIFS($K$2:$K$501,$D$2:$D$501,D366),SUMIFS($K$2:$K$501,$E$2:$E$501,E366)))</f>
        <v/>
      </c>
      <c r="N366" s="14">
        <f>IF(F366="","",MAX(0,F366-M366))</f>
        <v/>
      </c>
      <c r="O366" s="6">
        <f>IF(A366="","",IF(AND(I366&lt;&gt;"",I366&gt;H366),"是",IF(AND(TODAY()&gt;H366,N366&gt;0),"是","否")))</f>
        <v/>
      </c>
      <c r="P366" s="16">
        <f>IF(A366="","",IFERROR(INDEX('激励事件明细'!$P$2:$P$501,IF(D366&lt;&gt;"",MATCH(D366,'激励事件明细'!$A$2:$A$501,0),MATCH(E366,'激励事件明细'!$B$2:$B$501,0))),""))</f>
        <v/>
      </c>
      <c r="Q366" s="6">
        <f>IF(AND(D366="",E366=""),"异常：必须关联事件编号或税额批次",IF(AND(D366&lt;&gt;"",COUNTIF('激励事件明细'!$A$2:$A$501,D366)=0),"异常：事件编号不存在",IF(AND(E366&lt;&gt;"",COUNTIF('激励事件明细'!$B$2:$B$501,E366)=0),"异常：税额批次不存在",IF(M366&gt;F366,"异常：本批次超额缴税",IF(AND(I366&lt;&gt;"",I366&gt;H366),"异常：超过事件截止日",IF(AND(P366&lt;&gt;"",TODAY()&gt;=P366,N366&gt;0),"异常：离职前未缴清","正常"))))))</f>
        <v/>
      </c>
      <c r="R366" s="11" t="n"/>
    </row>
    <row r="367">
      <c r="A367" s="6">
        <f>IF(AND(D367="",E367=""),"",IFERROR(INDEX('激励事件明细'!$C$2:$C$501,IF(D367&lt;&gt;"",MATCH(D367,'激励事件明细'!$A$2:$A$501,0),MATCH(E367,'激励事件明细'!$B$2:$B$501,0))),""))</f>
        <v/>
      </c>
      <c r="B367" s="6">
        <f>IF(A367="","",IFERROR(INDEX('激励事件明细'!$D$2:$D$501,IF(D367&lt;&gt;"",MATCH(D367,'激励事件明细'!$A$2:$A$501,0),MATCH(E367,'激励事件明细'!$B$2:$B$501,0))),""))</f>
        <v/>
      </c>
      <c r="C367" s="6">
        <f>IF(A367="","",IFERROR(INDEX('激励事件明细'!$H$2:$H$501,IF(D367&lt;&gt;"",MATCH(D367,'激励事件明细'!$A$2:$A$501,0),MATCH(E367,'激励事件明细'!$B$2:$B$501,0))),""))</f>
        <v/>
      </c>
      <c r="D367" s="11" t="n"/>
      <c r="E367" s="11" t="n"/>
      <c r="F367" s="14">
        <f>IF(A367="","",IFERROR(INDEX('激励事件明细'!$Z$2:$Z$501,IF(D367&lt;&gt;"",MATCH(D367,'激励事件明细'!$A$2:$A$501,0),MATCH(E367,'激励事件明细'!$B$2:$B$501,0))),""))</f>
        <v/>
      </c>
      <c r="G367" s="16">
        <f>IF(A367="","",IFERROR(INDEX('激励事件明细'!$AA$2:$AA$501,IF(D367&lt;&gt;"",MATCH(D367,'激励事件明细'!$A$2:$A$501,0),MATCH(E367,'激励事件明细'!$B$2:$B$501,0))),""))</f>
        <v/>
      </c>
      <c r="H367" s="16">
        <f>IF(A367="","",IFERROR(INDEX('激励事件明细'!$AB$2:$AB$501,IF(D367&lt;&gt;"",MATCH(D367,'激励事件明细'!$A$2:$A$501,0),MATCH(E367,'激励事件明细'!$B$2:$B$501,0))),""))</f>
        <v/>
      </c>
      <c r="I367" s="12" t="n"/>
      <c r="J367" s="13" t="n"/>
      <c r="K367" s="13" t="n"/>
      <c r="L367" s="11" t="n"/>
      <c r="M367" s="14">
        <f>IF(A367="","",IF(D367&lt;&gt;"",SUMIFS($K$2:$K$501,$D$2:$D$501,D367),SUMIFS($K$2:$K$501,$E$2:$E$501,E367)))</f>
        <v/>
      </c>
      <c r="N367" s="14">
        <f>IF(F367="","",MAX(0,F367-M367))</f>
        <v/>
      </c>
      <c r="O367" s="6">
        <f>IF(A367="","",IF(AND(I367&lt;&gt;"",I367&gt;H367),"是",IF(AND(TODAY()&gt;H367,N367&gt;0),"是","否")))</f>
        <v/>
      </c>
      <c r="P367" s="16">
        <f>IF(A367="","",IFERROR(INDEX('激励事件明细'!$P$2:$P$501,IF(D367&lt;&gt;"",MATCH(D367,'激励事件明细'!$A$2:$A$501,0),MATCH(E367,'激励事件明细'!$B$2:$B$501,0))),""))</f>
        <v/>
      </c>
      <c r="Q367" s="6">
        <f>IF(AND(D367="",E367=""),"异常：必须关联事件编号或税额批次",IF(AND(D367&lt;&gt;"",COUNTIF('激励事件明细'!$A$2:$A$501,D367)=0),"异常：事件编号不存在",IF(AND(E367&lt;&gt;"",COUNTIF('激励事件明细'!$B$2:$B$501,E367)=0),"异常：税额批次不存在",IF(M367&gt;F367,"异常：本批次超额缴税",IF(AND(I367&lt;&gt;"",I367&gt;H367),"异常：超过事件截止日",IF(AND(P367&lt;&gt;"",TODAY()&gt;=P367,N367&gt;0),"异常：离职前未缴清","正常"))))))</f>
        <v/>
      </c>
      <c r="R367" s="11" t="n"/>
    </row>
    <row r="368">
      <c r="A368" s="6">
        <f>IF(AND(D368="",E368=""),"",IFERROR(INDEX('激励事件明细'!$C$2:$C$501,IF(D368&lt;&gt;"",MATCH(D368,'激励事件明细'!$A$2:$A$501,0),MATCH(E368,'激励事件明细'!$B$2:$B$501,0))),""))</f>
        <v/>
      </c>
      <c r="B368" s="6">
        <f>IF(A368="","",IFERROR(INDEX('激励事件明细'!$D$2:$D$501,IF(D368&lt;&gt;"",MATCH(D368,'激励事件明细'!$A$2:$A$501,0),MATCH(E368,'激励事件明细'!$B$2:$B$501,0))),""))</f>
        <v/>
      </c>
      <c r="C368" s="6">
        <f>IF(A368="","",IFERROR(INDEX('激励事件明细'!$H$2:$H$501,IF(D368&lt;&gt;"",MATCH(D368,'激励事件明细'!$A$2:$A$501,0),MATCH(E368,'激励事件明细'!$B$2:$B$501,0))),""))</f>
        <v/>
      </c>
      <c r="D368" s="11" t="n"/>
      <c r="E368" s="11" t="n"/>
      <c r="F368" s="14">
        <f>IF(A368="","",IFERROR(INDEX('激励事件明细'!$Z$2:$Z$501,IF(D368&lt;&gt;"",MATCH(D368,'激励事件明细'!$A$2:$A$501,0),MATCH(E368,'激励事件明细'!$B$2:$B$501,0))),""))</f>
        <v/>
      </c>
      <c r="G368" s="16">
        <f>IF(A368="","",IFERROR(INDEX('激励事件明细'!$AA$2:$AA$501,IF(D368&lt;&gt;"",MATCH(D368,'激励事件明细'!$A$2:$A$501,0),MATCH(E368,'激励事件明细'!$B$2:$B$501,0))),""))</f>
        <v/>
      </c>
      <c r="H368" s="16">
        <f>IF(A368="","",IFERROR(INDEX('激励事件明细'!$AB$2:$AB$501,IF(D368&lt;&gt;"",MATCH(D368,'激励事件明细'!$A$2:$A$501,0),MATCH(E368,'激励事件明细'!$B$2:$B$501,0))),""))</f>
        <v/>
      </c>
      <c r="I368" s="12" t="n"/>
      <c r="J368" s="13" t="n"/>
      <c r="K368" s="13" t="n"/>
      <c r="L368" s="11" t="n"/>
      <c r="M368" s="14">
        <f>IF(A368="","",IF(D368&lt;&gt;"",SUMIFS($K$2:$K$501,$D$2:$D$501,D368),SUMIFS($K$2:$K$501,$E$2:$E$501,E368)))</f>
        <v/>
      </c>
      <c r="N368" s="14">
        <f>IF(F368="","",MAX(0,F368-M368))</f>
        <v/>
      </c>
      <c r="O368" s="6">
        <f>IF(A368="","",IF(AND(I368&lt;&gt;"",I368&gt;H368),"是",IF(AND(TODAY()&gt;H368,N368&gt;0),"是","否")))</f>
        <v/>
      </c>
      <c r="P368" s="16">
        <f>IF(A368="","",IFERROR(INDEX('激励事件明细'!$P$2:$P$501,IF(D368&lt;&gt;"",MATCH(D368,'激励事件明细'!$A$2:$A$501,0),MATCH(E368,'激励事件明细'!$B$2:$B$501,0))),""))</f>
        <v/>
      </c>
      <c r="Q368" s="6">
        <f>IF(AND(D368="",E368=""),"异常：必须关联事件编号或税额批次",IF(AND(D368&lt;&gt;"",COUNTIF('激励事件明细'!$A$2:$A$501,D368)=0),"异常：事件编号不存在",IF(AND(E368&lt;&gt;"",COUNTIF('激励事件明细'!$B$2:$B$501,E368)=0),"异常：税额批次不存在",IF(M368&gt;F368,"异常：本批次超额缴税",IF(AND(I368&lt;&gt;"",I368&gt;H368),"异常：超过事件截止日",IF(AND(P368&lt;&gt;"",TODAY()&gt;=P368,N368&gt;0),"异常：离职前未缴清","正常"))))))</f>
        <v/>
      </c>
      <c r="R368" s="11" t="n"/>
    </row>
    <row r="369">
      <c r="A369" s="6">
        <f>IF(AND(D369="",E369=""),"",IFERROR(INDEX('激励事件明细'!$C$2:$C$501,IF(D369&lt;&gt;"",MATCH(D369,'激励事件明细'!$A$2:$A$501,0),MATCH(E369,'激励事件明细'!$B$2:$B$501,0))),""))</f>
        <v/>
      </c>
      <c r="B369" s="6">
        <f>IF(A369="","",IFERROR(INDEX('激励事件明细'!$D$2:$D$501,IF(D369&lt;&gt;"",MATCH(D369,'激励事件明细'!$A$2:$A$501,0),MATCH(E369,'激励事件明细'!$B$2:$B$501,0))),""))</f>
        <v/>
      </c>
      <c r="C369" s="6">
        <f>IF(A369="","",IFERROR(INDEX('激励事件明细'!$H$2:$H$501,IF(D369&lt;&gt;"",MATCH(D369,'激励事件明细'!$A$2:$A$501,0),MATCH(E369,'激励事件明细'!$B$2:$B$501,0))),""))</f>
        <v/>
      </c>
      <c r="D369" s="11" t="n"/>
      <c r="E369" s="11" t="n"/>
      <c r="F369" s="14">
        <f>IF(A369="","",IFERROR(INDEX('激励事件明细'!$Z$2:$Z$501,IF(D369&lt;&gt;"",MATCH(D369,'激励事件明细'!$A$2:$A$501,0),MATCH(E369,'激励事件明细'!$B$2:$B$501,0))),""))</f>
        <v/>
      </c>
      <c r="G369" s="16">
        <f>IF(A369="","",IFERROR(INDEX('激励事件明细'!$AA$2:$AA$501,IF(D369&lt;&gt;"",MATCH(D369,'激励事件明细'!$A$2:$A$501,0),MATCH(E369,'激励事件明细'!$B$2:$B$501,0))),""))</f>
        <v/>
      </c>
      <c r="H369" s="16">
        <f>IF(A369="","",IFERROR(INDEX('激励事件明细'!$AB$2:$AB$501,IF(D369&lt;&gt;"",MATCH(D369,'激励事件明细'!$A$2:$A$501,0),MATCH(E369,'激励事件明细'!$B$2:$B$501,0))),""))</f>
        <v/>
      </c>
      <c r="I369" s="12" t="n"/>
      <c r="J369" s="13" t="n"/>
      <c r="K369" s="13" t="n"/>
      <c r="L369" s="11" t="n"/>
      <c r="M369" s="14">
        <f>IF(A369="","",IF(D369&lt;&gt;"",SUMIFS($K$2:$K$501,$D$2:$D$501,D369),SUMIFS($K$2:$K$501,$E$2:$E$501,E369)))</f>
        <v/>
      </c>
      <c r="N369" s="14">
        <f>IF(F369="","",MAX(0,F369-M369))</f>
        <v/>
      </c>
      <c r="O369" s="6">
        <f>IF(A369="","",IF(AND(I369&lt;&gt;"",I369&gt;H369),"是",IF(AND(TODAY()&gt;H369,N369&gt;0),"是","否")))</f>
        <v/>
      </c>
      <c r="P369" s="16">
        <f>IF(A369="","",IFERROR(INDEX('激励事件明细'!$P$2:$P$501,IF(D369&lt;&gt;"",MATCH(D369,'激励事件明细'!$A$2:$A$501,0),MATCH(E369,'激励事件明细'!$B$2:$B$501,0))),""))</f>
        <v/>
      </c>
      <c r="Q369" s="6">
        <f>IF(AND(D369="",E369=""),"异常：必须关联事件编号或税额批次",IF(AND(D369&lt;&gt;"",COUNTIF('激励事件明细'!$A$2:$A$501,D369)=0),"异常：事件编号不存在",IF(AND(E369&lt;&gt;"",COUNTIF('激励事件明细'!$B$2:$B$501,E369)=0),"异常：税额批次不存在",IF(M369&gt;F369,"异常：本批次超额缴税",IF(AND(I369&lt;&gt;"",I369&gt;H369),"异常：超过事件截止日",IF(AND(P369&lt;&gt;"",TODAY()&gt;=P369,N369&gt;0),"异常：离职前未缴清","正常"))))))</f>
        <v/>
      </c>
      <c r="R369" s="11" t="n"/>
    </row>
    <row r="370">
      <c r="A370" s="6">
        <f>IF(AND(D370="",E370=""),"",IFERROR(INDEX('激励事件明细'!$C$2:$C$501,IF(D370&lt;&gt;"",MATCH(D370,'激励事件明细'!$A$2:$A$501,0),MATCH(E370,'激励事件明细'!$B$2:$B$501,0))),""))</f>
        <v/>
      </c>
      <c r="B370" s="6">
        <f>IF(A370="","",IFERROR(INDEX('激励事件明细'!$D$2:$D$501,IF(D370&lt;&gt;"",MATCH(D370,'激励事件明细'!$A$2:$A$501,0),MATCH(E370,'激励事件明细'!$B$2:$B$501,0))),""))</f>
        <v/>
      </c>
      <c r="C370" s="6">
        <f>IF(A370="","",IFERROR(INDEX('激励事件明细'!$H$2:$H$501,IF(D370&lt;&gt;"",MATCH(D370,'激励事件明细'!$A$2:$A$501,0),MATCH(E370,'激励事件明细'!$B$2:$B$501,0))),""))</f>
        <v/>
      </c>
      <c r="D370" s="11" t="n"/>
      <c r="E370" s="11" t="n"/>
      <c r="F370" s="14">
        <f>IF(A370="","",IFERROR(INDEX('激励事件明细'!$Z$2:$Z$501,IF(D370&lt;&gt;"",MATCH(D370,'激励事件明细'!$A$2:$A$501,0),MATCH(E370,'激励事件明细'!$B$2:$B$501,0))),""))</f>
        <v/>
      </c>
      <c r="G370" s="16">
        <f>IF(A370="","",IFERROR(INDEX('激励事件明细'!$AA$2:$AA$501,IF(D370&lt;&gt;"",MATCH(D370,'激励事件明细'!$A$2:$A$501,0),MATCH(E370,'激励事件明细'!$B$2:$B$501,0))),""))</f>
        <v/>
      </c>
      <c r="H370" s="16">
        <f>IF(A370="","",IFERROR(INDEX('激励事件明细'!$AB$2:$AB$501,IF(D370&lt;&gt;"",MATCH(D370,'激励事件明细'!$A$2:$A$501,0),MATCH(E370,'激励事件明细'!$B$2:$B$501,0))),""))</f>
        <v/>
      </c>
      <c r="I370" s="12" t="n"/>
      <c r="J370" s="13" t="n"/>
      <c r="K370" s="13" t="n"/>
      <c r="L370" s="11" t="n"/>
      <c r="M370" s="14">
        <f>IF(A370="","",IF(D370&lt;&gt;"",SUMIFS($K$2:$K$501,$D$2:$D$501,D370),SUMIFS($K$2:$K$501,$E$2:$E$501,E370)))</f>
        <v/>
      </c>
      <c r="N370" s="14">
        <f>IF(F370="","",MAX(0,F370-M370))</f>
        <v/>
      </c>
      <c r="O370" s="6">
        <f>IF(A370="","",IF(AND(I370&lt;&gt;"",I370&gt;H370),"是",IF(AND(TODAY()&gt;H370,N370&gt;0),"是","否")))</f>
        <v/>
      </c>
      <c r="P370" s="16">
        <f>IF(A370="","",IFERROR(INDEX('激励事件明细'!$P$2:$P$501,IF(D370&lt;&gt;"",MATCH(D370,'激励事件明细'!$A$2:$A$501,0),MATCH(E370,'激励事件明细'!$B$2:$B$501,0))),""))</f>
        <v/>
      </c>
      <c r="Q370" s="6">
        <f>IF(AND(D370="",E370=""),"异常：必须关联事件编号或税额批次",IF(AND(D370&lt;&gt;"",COUNTIF('激励事件明细'!$A$2:$A$501,D370)=0),"异常：事件编号不存在",IF(AND(E370&lt;&gt;"",COUNTIF('激励事件明细'!$B$2:$B$501,E370)=0),"异常：税额批次不存在",IF(M370&gt;F370,"异常：本批次超额缴税",IF(AND(I370&lt;&gt;"",I370&gt;H370),"异常：超过事件截止日",IF(AND(P370&lt;&gt;"",TODAY()&gt;=P370,N370&gt;0),"异常：离职前未缴清","正常"))))))</f>
        <v/>
      </c>
      <c r="R370" s="11" t="n"/>
    </row>
    <row r="371">
      <c r="A371" s="6">
        <f>IF(AND(D371="",E371=""),"",IFERROR(INDEX('激励事件明细'!$C$2:$C$501,IF(D371&lt;&gt;"",MATCH(D371,'激励事件明细'!$A$2:$A$501,0),MATCH(E371,'激励事件明细'!$B$2:$B$501,0))),""))</f>
        <v/>
      </c>
      <c r="B371" s="6">
        <f>IF(A371="","",IFERROR(INDEX('激励事件明细'!$D$2:$D$501,IF(D371&lt;&gt;"",MATCH(D371,'激励事件明细'!$A$2:$A$501,0),MATCH(E371,'激励事件明细'!$B$2:$B$501,0))),""))</f>
        <v/>
      </c>
      <c r="C371" s="6">
        <f>IF(A371="","",IFERROR(INDEX('激励事件明细'!$H$2:$H$501,IF(D371&lt;&gt;"",MATCH(D371,'激励事件明细'!$A$2:$A$501,0),MATCH(E371,'激励事件明细'!$B$2:$B$501,0))),""))</f>
        <v/>
      </c>
      <c r="D371" s="11" t="n"/>
      <c r="E371" s="11" t="n"/>
      <c r="F371" s="14">
        <f>IF(A371="","",IFERROR(INDEX('激励事件明细'!$Z$2:$Z$501,IF(D371&lt;&gt;"",MATCH(D371,'激励事件明细'!$A$2:$A$501,0),MATCH(E371,'激励事件明细'!$B$2:$B$501,0))),""))</f>
        <v/>
      </c>
      <c r="G371" s="16">
        <f>IF(A371="","",IFERROR(INDEX('激励事件明细'!$AA$2:$AA$501,IF(D371&lt;&gt;"",MATCH(D371,'激励事件明细'!$A$2:$A$501,0),MATCH(E371,'激励事件明细'!$B$2:$B$501,0))),""))</f>
        <v/>
      </c>
      <c r="H371" s="16">
        <f>IF(A371="","",IFERROR(INDEX('激励事件明细'!$AB$2:$AB$501,IF(D371&lt;&gt;"",MATCH(D371,'激励事件明细'!$A$2:$A$501,0),MATCH(E371,'激励事件明细'!$B$2:$B$501,0))),""))</f>
        <v/>
      </c>
      <c r="I371" s="12" t="n"/>
      <c r="J371" s="13" t="n"/>
      <c r="K371" s="13" t="n"/>
      <c r="L371" s="11" t="n"/>
      <c r="M371" s="14">
        <f>IF(A371="","",IF(D371&lt;&gt;"",SUMIFS($K$2:$K$501,$D$2:$D$501,D371),SUMIFS($K$2:$K$501,$E$2:$E$501,E371)))</f>
        <v/>
      </c>
      <c r="N371" s="14">
        <f>IF(F371="","",MAX(0,F371-M371))</f>
        <v/>
      </c>
      <c r="O371" s="6">
        <f>IF(A371="","",IF(AND(I371&lt;&gt;"",I371&gt;H371),"是",IF(AND(TODAY()&gt;H371,N371&gt;0),"是","否")))</f>
        <v/>
      </c>
      <c r="P371" s="16">
        <f>IF(A371="","",IFERROR(INDEX('激励事件明细'!$P$2:$P$501,IF(D371&lt;&gt;"",MATCH(D371,'激励事件明细'!$A$2:$A$501,0),MATCH(E371,'激励事件明细'!$B$2:$B$501,0))),""))</f>
        <v/>
      </c>
      <c r="Q371" s="6">
        <f>IF(AND(D371="",E371=""),"异常：必须关联事件编号或税额批次",IF(AND(D371&lt;&gt;"",COUNTIF('激励事件明细'!$A$2:$A$501,D371)=0),"异常：事件编号不存在",IF(AND(E371&lt;&gt;"",COUNTIF('激励事件明细'!$B$2:$B$501,E371)=0),"异常：税额批次不存在",IF(M371&gt;F371,"异常：本批次超额缴税",IF(AND(I371&lt;&gt;"",I371&gt;H371),"异常：超过事件截止日",IF(AND(P371&lt;&gt;"",TODAY()&gt;=P371,N371&gt;0),"异常：离职前未缴清","正常"))))))</f>
        <v/>
      </c>
      <c r="R371" s="11" t="n"/>
    </row>
    <row r="372">
      <c r="A372" s="6">
        <f>IF(AND(D372="",E372=""),"",IFERROR(INDEX('激励事件明细'!$C$2:$C$501,IF(D372&lt;&gt;"",MATCH(D372,'激励事件明细'!$A$2:$A$501,0),MATCH(E372,'激励事件明细'!$B$2:$B$501,0))),""))</f>
        <v/>
      </c>
      <c r="B372" s="6">
        <f>IF(A372="","",IFERROR(INDEX('激励事件明细'!$D$2:$D$501,IF(D372&lt;&gt;"",MATCH(D372,'激励事件明细'!$A$2:$A$501,0),MATCH(E372,'激励事件明细'!$B$2:$B$501,0))),""))</f>
        <v/>
      </c>
      <c r="C372" s="6">
        <f>IF(A372="","",IFERROR(INDEX('激励事件明细'!$H$2:$H$501,IF(D372&lt;&gt;"",MATCH(D372,'激励事件明细'!$A$2:$A$501,0),MATCH(E372,'激励事件明细'!$B$2:$B$501,0))),""))</f>
        <v/>
      </c>
      <c r="D372" s="11" t="n"/>
      <c r="E372" s="11" t="n"/>
      <c r="F372" s="14">
        <f>IF(A372="","",IFERROR(INDEX('激励事件明细'!$Z$2:$Z$501,IF(D372&lt;&gt;"",MATCH(D372,'激励事件明细'!$A$2:$A$501,0),MATCH(E372,'激励事件明细'!$B$2:$B$501,0))),""))</f>
        <v/>
      </c>
      <c r="G372" s="16">
        <f>IF(A372="","",IFERROR(INDEX('激励事件明细'!$AA$2:$AA$501,IF(D372&lt;&gt;"",MATCH(D372,'激励事件明细'!$A$2:$A$501,0),MATCH(E372,'激励事件明细'!$B$2:$B$501,0))),""))</f>
        <v/>
      </c>
      <c r="H372" s="16">
        <f>IF(A372="","",IFERROR(INDEX('激励事件明细'!$AB$2:$AB$501,IF(D372&lt;&gt;"",MATCH(D372,'激励事件明细'!$A$2:$A$501,0),MATCH(E372,'激励事件明细'!$B$2:$B$501,0))),""))</f>
        <v/>
      </c>
      <c r="I372" s="12" t="n"/>
      <c r="J372" s="13" t="n"/>
      <c r="K372" s="13" t="n"/>
      <c r="L372" s="11" t="n"/>
      <c r="M372" s="14">
        <f>IF(A372="","",IF(D372&lt;&gt;"",SUMIFS($K$2:$K$501,$D$2:$D$501,D372),SUMIFS($K$2:$K$501,$E$2:$E$501,E372)))</f>
        <v/>
      </c>
      <c r="N372" s="14">
        <f>IF(F372="","",MAX(0,F372-M372))</f>
        <v/>
      </c>
      <c r="O372" s="6">
        <f>IF(A372="","",IF(AND(I372&lt;&gt;"",I372&gt;H372),"是",IF(AND(TODAY()&gt;H372,N372&gt;0),"是","否")))</f>
        <v/>
      </c>
      <c r="P372" s="16">
        <f>IF(A372="","",IFERROR(INDEX('激励事件明细'!$P$2:$P$501,IF(D372&lt;&gt;"",MATCH(D372,'激励事件明细'!$A$2:$A$501,0),MATCH(E372,'激励事件明细'!$B$2:$B$501,0))),""))</f>
        <v/>
      </c>
      <c r="Q372" s="6">
        <f>IF(AND(D372="",E372=""),"异常：必须关联事件编号或税额批次",IF(AND(D372&lt;&gt;"",COUNTIF('激励事件明细'!$A$2:$A$501,D372)=0),"异常：事件编号不存在",IF(AND(E372&lt;&gt;"",COUNTIF('激励事件明细'!$B$2:$B$501,E372)=0),"异常：税额批次不存在",IF(M372&gt;F372,"异常：本批次超额缴税",IF(AND(I372&lt;&gt;"",I372&gt;H372),"异常：超过事件截止日",IF(AND(P372&lt;&gt;"",TODAY()&gt;=P372,N372&gt;0),"异常：离职前未缴清","正常"))))))</f>
        <v/>
      </c>
      <c r="R372" s="11" t="n"/>
    </row>
    <row r="373">
      <c r="A373" s="6">
        <f>IF(AND(D373="",E373=""),"",IFERROR(INDEX('激励事件明细'!$C$2:$C$501,IF(D373&lt;&gt;"",MATCH(D373,'激励事件明细'!$A$2:$A$501,0),MATCH(E373,'激励事件明细'!$B$2:$B$501,0))),""))</f>
        <v/>
      </c>
      <c r="B373" s="6">
        <f>IF(A373="","",IFERROR(INDEX('激励事件明细'!$D$2:$D$501,IF(D373&lt;&gt;"",MATCH(D373,'激励事件明细'!$A$2:$A$501,0),MATCH(E373,'激励事件明细'!$B$2:$B$501,0))),""))</f>
        <v/>
      </c>
      <c r="C373" s="6">
        <f>IF(A373="","",IFERROR(INDEX('激励事件明细'!$H$2:$H$501,IF(D373&lt;&gt;"",MATCH(D373,'激励事件明细'!$A$2:$A$501,0),MATCH(E373,'激励事件明细'!$B$2:$B$501,0))),""))</f>
        <v/>
      </c>
      <c r="D373" s="11" t="n"/>
      <c r="E373" s="11" t="n"/>
      <c r="F373" s="14">
        <f>IF(A373="","",IFERROR(INDEX('激励事件明细'!$Z$2:$Z$501,IF(D373&lt;&gt;"",MATCH(D373,'激励事件明细'!$A$2:$A$501,0),MATCH(E373,'激励事件明细'!$B$2:$B$501,0))),""))</f>
        <v/>
      </c>
      <c r="G373" s="16">
        <f>IF(A373="","",IFERROR(INDEX('激励事件明细'!$AA$2:$AA$501,IF(D373&lt;&gt;"",MATCH(D373,'激励事件明细'!$A$2:$A$501,0),MATCH(E373,'激励事件明细'!$B$2:$B$501,0))),""))</f>
        <v/>
      </c>
      <c r="H373" s="16">
        <f>IF(A373="","",IFERROR(INDEX('激励事件明细'!$AB$2:$AB$501,IF(D373&lt;&gt;"",MATCH(D373,'激励事件明细'!$A$2:$A$501,0),MATCH(E373,'激励事件明细'!$B$2:$B$501,0))),""))</f>
        <v/>
      </c>
      <c r="I373" s="12" t="n"/>
      <c r="J373" s="13" t="n"/>
      <c r="K373" s="13" t="n"/>
      <c r="L373" s="11" t="n"/>
      <c r="M373" s="14">
        <f>IF(A373="","",IF(D373&lt;&gt;"",SUMIFS($K$2:$K$501,$D$2:$D$501,D373),SUMIFS($K$2:$K$501,$E$2:$E$501,E373)))</f>
        <v/>
      </c>
      <c r="N373" s="14">
        <f>IF(F373="","",MAX(0,F373-M373))</f>
        <v/>
      </c>
      <c r="O373" s="6">
        <f>IF(A373="","",IF(AND(I373&lt;&gt;"",I373&gt;H373),"是",IF(AND(TODAY()&gt;H373,N373&gt;0),"是","否")))</f>
        <v/>
      </c>
      <c r="P373" s="16">
        <f>IF(A373="","",IFERROR(INDEX('激励事件明细'!$P$2:$P$501,IF(D373&lt;&gt;"",MATCH(D373,'激励事件明细'!$A$2:$A$501,0),MATCH(E373,'激励事件明细'!$B$2:$B$501,0))),""))</f>
        <v/>
      </c>
      <c r="Q373" s="6">
        <f>IF(AND(D373="",E373=""),"异常：必须关联事件编号或税额批次",IF(AND(D373&lt;&gt;"",COUNTIF('激励事件明细'!$A$2:$A$501,D373)=0),"异常：事件编号不存在",IF(AND(E373&lt;&gt;"",COUNTIF('激励事件明细'!$B$2:$B$501,E373)=0),"异常：税额批次不存在",IF(M373&gt;F373,"异常：本批次超额缴税",IF(AND(I373&lt;&gt;"",I373&gt;H373),"异常：超过事件截止日",IF(AND(P373&lt;&gt;"",TODAY()&gt;=P373,N373&gt;0),"异常：离职前未缴清","正常"))))))</f>
        <v/>
      </c>
      <c r="R373" s="11" t="n"/>
    </row>
    <row r="374">
      <c r="A374" s="6">
        <f>IF(AND(D374="",E374=""),"",IFERROR(INDEX('激励事件明细'!$C$2:$C$501,IF(D374&lt;&gt;"",MATCH(D374,'激励事件明细'!$A$2:$A$501,0),MATCH(E374,'激励事件明细'!$B$2:$B$501,0))),""))</f>
        <v/>
      </c>
      <c r="B374" s="6">
        <f>IF(A374="","",IFERROR(INDEX('激励事件明细'!$D$2:$D$501,IF(D374&lt;&gt;"",MATCH(D374,'激励事件明细'!$A$2:$A$501,0),MATCH(E374,'激励事件明细'!$B$2:$B$501,0))),""))</f>
        <v/>
      </c>
      <c r="C374" s="6">
        <f>IF(A374="","",IFERROR(INDEX('激励事件明细'!$H$2:$H$501,IF(D374&lt;&gt;"",MATCH(D374,'激励事件明细'!$A$2:$A$501,0),MATCH(E374,'激励事件明细'!$B$2:$B$501,0))),""))</f>
        <v/>
      </c>
      <c r="D374" s="11" t="n"/>
      <c r="E374" s="11" t="n"/>
      <c r="F374" s="14">
        <f>IF(A374="","",IFERROR(INDEX('激励事件明细'!$Z$2:$Z$501,IF(D374&lt;&gt;"",MATCH(D374,'激励事件明细'!$A$2:$A$501,0),MATCH(E374,'激励事件明细'!$B$2:$B$501,0))),""))</f>
        <v/>
      </c>
      <c r="G374" s="16">
        <f>IF(A374="","",IFERROR(INDEX('激励事件明细'!$AA$2:$AA$501,IF(D374&lt;&gt;"",MATCH(D374,'激励事件明细'!$A$2:$A$501,0),MATCH(E374,'激励事件明细'!$B$2:$B$501,0))),""))</f>
        <v/>
      </c>
      <c r="H374" s="16">
        <f>IF(A374="","",IFERROR(INDEX('激励事件明细'!$AB$2:$AB$501,IF(D374&lt;&gt;"",MATCH(D374,'激励事件明细'!$A$2:$A$501,0),MATCH(E374,'激励事件明细'!$B$2:$B$501,0))),""))</f>
        <v/>
      </c>
      <c r="I374" s="12" t="n"/>
      <c r="J374" s="13" t="n"/>
      <c r="K374" s="13" t="n"/>
      <c r="L374" s="11" t="n"/>
      <c r="M374" s="14">
        <f>IF(A374="","",IF(D374&lt;&gt;"",SUMIFS($K$2:$K$501,$D$2:$D$501,D374),SUMIFS($K$2:$K$501,$E$2:$E$501,E374)))</f>
        <v/>
      </c>
      <c r="N374" s="14">
        <f>IF(F374="","",MAX(0,F374-M374))</f>
        <v/>
      </c>
      <c r="O374" s="6">
        <f>IF(A374="","",IF(AND(I374&lt;&gt;"",I374&gt;H374),"是",IF(AND(TODAY()&gt;H374,N374&gt;0),"是","否")))</f>
        <v/>
      </c>
      <c r="P374" s="16">
        <f>IF(A374="","",IFERROR(INDEX('激励事件明细'!$P$2:$P$501,IF(D374&lt;&gt;"",MATCH(D374,'激励事件明细'!$A$2:$A$501,0),MATCH(E374,'激励事件明细'!$B$2:$B$501,0))),""))</f>
        <v/>
      </c>
      <c r="Q374" s="6">
        <f>IF(AND(D374="",E374=""),"异常：必须关联事件编号或税额批次",IF(AND(D374&lt;&gt;"",COUNTIF('激励事件明细'!$A$2:$A$501,D374)=0),"异常：事件编号不存在",IF(AND(E374&lt;&gt;"",COUNTIF('激励事件明细'!$B$2:$B$501,E374)=0),"异常：税额批次不存在",IF(M374&gt;F374,"异常：本批次超额缴税",IF(AND(I374&lt;&gt;"",I374&gt;H374),"异常：超过事件截止日",IF(AND(P374&lt;&gt;"",TODAY()&gt;=P374,N374&gt;0),"异常：离职前未缴清","正常"))))))</f>
        <v/>
      </c>
      <c r="R374" s="11" t="n"/>
    </row>
    <row r="375">
      <c r="A375" s="6">
        <f>IF(AND(D375="",E375=""),"",IFERROR(INDEX('激励事件明细'!$C$2:$C$501,IF(D375&lt;&gt;"",MATCH(D375,'激励事件明细'!$A$2:$A$501,0),MATCH(E375,'激励事件明细'!$B$2:$B$501,0))),""))</f>
        <v/>
      </c>
      <c r="B375" s="6">
        <f>IF(A375="","",IFERROR(INDEX('激励事件明细'!$D$2:$D$501,IF(D375&lt;&gt;"",MATCH(D375,'激励事件明细'!$A$2:$A$501,0),MATCH(E375,'激励事件明细'!$B$2:$B$501,0))),""))</f>
        <v/>
      </c>
      <c r="C375" s="6">
        <f>IF(A375="","",IFERROR(INDEX('激励事件明细'!$H$2:$H$501,IF(D375&lt;&gt;"",MATCH(D375,'激励事件明细'!$A$2:$A$501,0),MATCH(E375,'激励事件明细'!$B$2:$B$501,0))),""))</f>
        <v/>
      </c>
      <c r="D375" s="11" t="n"/>
      <c r="E375" s="11" t="n"/>
      <c r="F375" s="14">
        <f>IF(A375="","",IFERROR(INDEX('激励事件明细'!$Z$2:$Z$501,IF(D375&lt;&gt;"",MATCH(D375,'激励事件明细'!$A$2:$A$501,0),MATCH(E375,'激励事件明细'!$B$2:$B$501,0))),""))</f>
        <v/>
      </c>
      <c r="G375" s="16">
        <f>IF(A375="","",IFERROR(INDEX('激励事件明细'!$AA$2:$AA$501,IF(D375&lt;&gt;"",MATCH(D375,'激励事件明细'!$A$2:$A$501,0),MATCH(E375,'激励事件明细'!$B$2:$B$501,0))),""))</f>
        <v/>
      </c>
      <c r="H375" s="16">
        <f>IF(A375="","",IFERROR(INDEX('激励事件明细'!$AB$2:$AB$501,IF(D375&lt;&gt;"",MATCH(D375,'激励事件明细'!$A$2:$A$501,0),MATCH(E375,'激励事件明细'!$B$2:$B$501,0))),""))</f>
        <v/>
      </c>
      <c r="I375" s="12" t="n"/>
      <c r="J375" s="13" t="n"/>
      <c r="K375" s="13" t="n"/>
      <c r="L375" s="11" t="n"/>
      <c r="M375" s="14">
        <f>IF(A375="","",IF(D375&lt;&gt;"",SUMIFS($K$2:$K$501,$D$2:$D$501,D375),SUMIFS($K$2:$K$501,$E$2:$E$501,E375)))</f>
        <v/>
      </c>
      <c r="N375" s="14">
        <f>IF(F375="","",MAX(0,F375-M375))</f>
        <v/>
      </c>
      <c r="O375" s="6">
        <f>IF(A375="","",IF(AND(I375&lt;&gt;"",I375&gt;H375),"是",IF(AND(TODAY()&gt;H375,N375&gt;0),"是","否")))</f>
        <v/>
      </c>
      <c r="P375" s="16">
        <f>IF(A375="","",IFERROR(INDEX('激励事件明细'!$P$2:$P$501,IF(D375&lt;&gt;"",MATCH(D375,'激励事件明细'!$A$2:$A$501,0),MATCH(E375,'激励事件明细'!$B$2:$B$501,0))),""))</f>
        <v/>
      </c>
      <c r="Q375" s="6">
        <f>IF(AND(D375="",E375=""),"异常：必须关联事件编号或税额批次",IF(AND(D375&lt;&gt;"",COUNTIF('激励事件明细'!$A$2:$A$501,D375)=0),"异常：事件编号不存在",IF(AND(E375&lt;&gt;"",COUNTIF('激励事件明细'!$B$2:$B$501,E375)=0),"异常：税额批次不存在",IF(M375&gt;F375,"异常：本批次超额缴税",IF(AND(I375&lt;&gt;"",I375&gt;H375),"异常：超过事件截止日",IF(AND(P375&lt;&gt;"",TODAY()&gt;=P375,N375&gt;0),"异常：离职前未缴清","正常"))))))</f>
        <v/>
      </c>
      <c r="R375" s="11" t="n"/>
    </row>
    <row r="376">
      <c r="A376" s="6">
        <f>IF(AND(D376="",E376=""),"",IFERROR(INDEX('激励事件明细'!$C$2:$C$501,IF(D376&lt;&gt;"",MATCH(D376,'激励事件明细'!$A$2:$A$501,0),MATCH(E376,'激励事件明细'!$B$2:$B$501,0))),""))</f>
        <v/>
      </c>
      <c r="B376" s="6">
        <f>IF(A376="","",IFERROR(INDEX('激励事件明细'!$D$2:$D$501,IF(D376&lt;&gt;"",MATCH(D376,'激励事件明细'!$A$2:$A$501,0),MATCH(E376,'激励事件明细'!$B$2:$B$501,0))),""))</f>
        <v/>
      </c>
      <c r="C376" s="6">
        <f>IF(A376="","",IFERROR(INDEX('激励事件明细'!$H$2:$H$501,IF(D376&lt;&gt;"",MATCH(D376,'激励事件明细'!$A$2:$A$501,0),MATCH(E376,'激励事件明细'!$B$2:$B$501,0))),""))</f>
        <v/>
      </c>
      <c r="D376" s="11" t="n"/>
      <c r="E376" s="11" t="n"/>
      <c r="F376" s="14">
        <f>IF(A376="","",IFERROR(INDEX('激励事件明细'!$Z$2:$Z$501,IF(D376&lt;&gt;"",MATCH(D376,'激励事件明细'!$A$2:$A$501,0),MATCH(E376,'激励事件明细'!$B$2:$B$501,0))),""))</f>
        <v/>
      </c>
      <c r="G376" s="16">
        <f>IF(A376="","",IFERROR(INDEX('激励事件明细'!$AA$2:$AA$501,IF(D376&lt;&gt;"",MATCH(D376,'激励事件明细'!$A$2:$A$501,0),MATCH(E376,'激励事件明细'!$B$2:$B$501,0))),""))</f>
        <v/>
      </c>
      <c r="H376" s="16">
        <f>IF(A376="","",IFERROR(INDEX('激励事件明细'!$AB$2:$AB$501,IF(D376&lt;&gt;"",MATCH(D376,'激励事件明细'!$A$2:$A$501,0),MATCH(E376,'激励事件明细'!$B$2:$B$501,0))),""))</f>
        <v/>
      </c>
      <c r="I376" s="12" t="n"/>
      <c r="J376" s="13" t="n"/>
      <c r="K376" s="13" t="n"/>
      <c r="L376" s="11" t="n"/>
      <c r="M376" s="14">
        <f>IF(A376="","",IF(D376&lt;&gt;"",SUMIFS($K$2:$K$501,$D$2:$D$501,D376),SUMIFS($K$2:$K$501,$E$2:$E$501,E376)))</f>
        <v/>
      </c>
      <c r="N376" s="14">
        <f>IF(F376="","",MAX(0,F376-M376))</f>
        <v/>
      </c>
      <c r="O376" s="6">
        <f>IF(A376="","",IF(AND(I376&lt;&gt;"",I376&gt;H376),"是",IF(AND(TODAY()&gt;H376,N376&gt;0),"是","否")))</f>
        <v/>
      </c>
      <c r="P376" s="16">
        <f>IF(A376="","",IFERROR(INDEX('激励事件明细'!$P$2:$P$501,IF(D376&lt;&gt;"",MATCH(D376,'激励事件明细'!$A$2:$A$501,0),MATCH(E376,'激励事件明细'!$B$2:$B$501,0))),""))</f>
        <v/>
      </c>
      <c r="Q376" s="6">
        <f>IF(AND(D376="",E376=""),"异常：必须关联事件编号或税额批次",IF(AND(D376&lt;&gt;"",COUNTIF('激励事件明细'!$A$2:$A$501,D376)=0),"异常：事件编号不存在",IF(AND(E376&lt;&gt;"",COUNTIF('激励事件明细'!$B$2:$B$501,E376)=0),"异常：税额批次不存在",IF(M376&gt;F376,"异常：本批次超额缴税",IF(AND(I376&lt;&gt;"",I376&gt;H376),"异常：超过事件截止日",IF(AND(P376&lt;&gt;"",TODAY()&gt;=P376,N376&gt;0),"异常：离职前未缴清","正常"))))))</f>
        <v/>
      </c>
      <c r="R376" s="11" t="n"/>
    </row>
    <row r="377">
      <c r="A377" s="6">
        <f>IF(AND(D377="",E377=""),"",IFERROR(INDEX('激励事件明细'!$C$2:$C$501,IF(D377&lt;&gt;"",MATCH(D377,'激励事件明细'!$A$2:$A$501,0),MATCH(E377,'激励事件明细'!$B$2:$B$501,0))),""))</f>
        <v/>
      </c>
      <c r="B377" s="6">
        <f>IF(A377="","",IFERROR(INDEX('激励事件明细'!$D$2:$D$501,IF(D377&lt;&gt;"",MATCH(D377,'激励事件明细'!$A$2:$A$501,0),MATCH(E377,'激励事件明细'!$B$2:$B$501,0))),""))</f>
        <v/>
      </c>
      <c r="C377" s="6">
        <f>IF(A377="","",IFERROR(INDEX('激励事件明细'!$H$2:$H$501,IF(D377&lt;&gt;"",MATCH(D377,'激励事件明细'!$A$2:$A$501,0),MATCH(E377,'激励事件明细'!$B$2:$B$501,0))),""))</f>
        <v/>
      </c>
      <c r="D377" s="11" t="n"/>
      <c r="E377" s="11" t="n"/>
      <c r="F377" s="14">
        <f>IF(A377="","",IFERROR(INDEX('激励事件明细'!$Z$2:$Z$501,IF(D377&lt;&gt;"",MATCH(D377,'激励事件明细'!$A$2:$A$501,0),MATCH(E377,'激励事件明细'!$B$2:$B$501,0))),""))</f>
        <v/>
      </c>
      <c r="G377" s="16">
        <f>IF(A377="","",IFERROR(INDEX('激励事件明细'!$AA$2:$AA$501,IF(D377&lt;&gt;"",MATCH(D377,'激励事件明细'!$A$2:$A$501,0),MATCH(E377,'激励事件明细'!$B$2:$B$501,0))),""))</f>
        <v/>
      </c>
      <c r="H377" s="16">
        <f>IF(A377="","",IFERROR(INDEX('激励事件明细'!$AB$2:$AB$501,IF(D377&lt;&gt;"",MATCH(D377,'激励事件明细'!$A$2:$A$501,0),MATCH(E377,'激励事件明细'!$B$2:$B$501,0))),""))</f>
        <v/>
      </c>
      <c r="I377" s="12" t="n"/>
      <c r="J377" s="13" t="n"/>
      <c r="K377" s="13" t="n"/>
      <c r="L377" s="11" t="n"/>
      <c r="M377" s="14">
        <f>IF(A377="","",IF(D377&lt;&gt;"",SUMIFS($K$2:$K$501,$D$2:$D$501,D377),SUMIFS($K$2:$K$501,$E$2:$E$501,E377)))</f>
        <v/>
      </c>
      <c r="N377" s="14">
        <f>IF(F377="","",MAX(0,F377-M377))</f>
        <v/>
      </c>
      <c r="O377" s="6">
        <f>IF(A377="","",IF(AND(I377&lt;&gt;"",I377&gt;H377),"是",IF(AND(TODAY()&gt;H377,N377&gt;0),"是","否")))</f>
        <v/>
      </c>
      <c r="P377" s="16">
        <f>IF(A377="","",IFERROR(INDEX('激励事件明细'!$P$2:$P$501,IF(D377&lt;&gt;"",MATCH(D377,'激励事件明细'!$A$2:$A$501,0),MATCH(E377,'激励事件明细'!$B$2:$B$501,0))),""))</f>
        <v/>
      </c>
      <c r="Q377" s="6">
        <f>IF(AND(D377="",E377=""),"异常：必须关联事件编号或税额批次",IF(AND(D377&lt;&gt;"",COUNTIF('激励事件明细'!$A$2:$A$501,D377)=0),"异常：事件编号不存在",IF(AND(E377&lt;&gt;"",COUNTIF('激励事件明细'!$B$2:$B$501,E377)=0),"异常：税额批次不存在",IF(M377&gt;F377,"异常：本批次超额缴税",IF(AND(I377&lt;&gt;"",I377&gt;H377),"异常：超过事件截止日",IF(AND(P377&lt;&gt;"",TODAY()&gt;=P377,N377&gt;0),"异常：离职前未缴清","正常"))))))</f>
        <v/>
      </c>
      <c r="R377" s="11" t="n"/>
    </row>
    <row r="378">
      <c r="A378" s="6">
        <f>IF(AND(D378="",E378=""),"",IFERROR(INDEX('激励事件明细'!$C$2:$C$501,IF(D378&lt;&gt;"",MATCH(D378,'激励事件明细'!$A$2:$A$501,0),MATCH(E378,'激励事件明细'!$B$2:$B$501,0))),""))</f>
        <v/>
      </c>
      <c r="B378" s="6">
        <f>IF(A378="","",IFERROR(INDEX('激励事件明细'!$D$2:$D$501,IF(D378&lt;&gt;"",MATCH(D378,'激励事件明细'!$A$2:$A$501,0),MATCH(E378,'激励事件明细'!$B$2:$B$501,0))),""))</f>
        <v/>
      </c>
      <c r="C378" s="6">
        <f>IF(A378="","",IFERROR(INDEX('激励事件明细'!$H$2:$H$501,IF(D378&lt;&gt;"",MATCH(D378,'激励事件明细'!$A$2:$A$501,0),MATCH(E378,'激励事件明细'!$B$2:$B$501,0))),""))</f>
        <v/>
      </c>
      <c r="D378" s="11" t="n"/>
      <c r="E378" s="11" t="n"/>
      <c r="F378" s="14">
        <f>IF(A378="","",IFERROR(INDEX('激励事件明细'!$Z$2:$Z$501,IF(D378&lt;&gt;"",MATCH(D378,'激励事件明细'!$A$2:$A$501,0),MATCH(E378,'激励事件明细'!$B$2:$B$501,0))),""))</f>
        <v/>
      </c>
      <c r="G378" s="16">
        <f>IF(A378="","",IFERROR(INDEX('激励事件明细'!$AA$2:$AA$501,IF(D378&lt;&gt;"",MATCH(D378,'激励事件明细'!$A$2:$A$501,0),MATCH(E378,'激励事件明细'!$B$2:$B$501,0))),""))</f>
        <v/>
      </c>
      <c r="H378" s="16">
        <f>IF(A378="","",IFERROR(INDEX('激励事件明细'!$AB$2:$AB$501,IF(D378&lt;&gt;"",MATCH(D378,'激励事件明细'!$A$2:$A$501,0),MATCH(E378,'激励事件明细'!$B$2:$B$501,0))),""))</f>
        <v/>
      </c>
      <c r="I378" s="12" t="n"/>
      <c r="J378" s="13" t="n"/>
      <c r="K378" s="13" t="n"/>
      <c r="L378" s="11" t="n"/>
      <c r="M378" s="14">
        <f>IF(A378="","",IF(D378&lt;&gt;"",SUMIFS($K$2:$K$501,$D$2:$D$501,D378),SUMIFS($K$2:$K$501,$E$2:$E$501,E378)))</f>
        <v/>
      </c>
      <c r="N378" s="14">
        <f>IF(F378="","",MAX(0,F378-M378))</f>
        <v/>
      </c>
      <c r="O378" s="6">
        <f>IF(A378="","",IF(AND(I378&lt;&gt;"",I378&gt;H378),"是",IF(AND(TODAY()&gt;H378,N378&gt;0),"是","否")))</f>
        <v/>
      </c>
      <c r="P378" s="16">
        <f>IF(A378="","",IFERROR(INDEX('激励事件明细'!$P$2:$P$501,IF(D378&lt;&gt;"",MATCH(D378,'激励事件明细'!$A$2:$A$501,0),MATCH(E378,'激励事件明细'!$B$2:$B$501,0))),""))</f>
        <v/>
      </c>
      <c r="Q378" s="6">
        <f>IF(AND(D378="",E378=""),"异常：必须关联事件编号或税额批次",IF(AND(D378&lt;&gt;"",COUNTIF('激励事件明细'!$A$2:$A$501,D378)=0),"异常：事件编号不存在",IF(AND(E378&lt;&gt;"",COUNTIF('激励事件明细'!$B$2:$B$501,E378)=0),"异常：税额批次不存在",IF(M378&gt;F378,"异常：本批次超额缴税",IF(AND(I378&lt;&gt;"",I378&gt;H378),"异常：超过事件截止日",IF(AND(P378&lt;&gt;"",TODAY()&gt;=P378,N378&gt;0),"异常：离职前未缴清","正常"))))))</f>
        <v/>
      </c>
      <c r="R378" s="11" t="n"/>
    </row>
    <row r="379">
      <c r="A379" s="6">
        <f>IF(AND(D379="",E379=""),"",IFERROR(INDEX('激励事件明细'!$C$2:$C$501,IF(D379&lt;&gt;"",MATCH(D379,'激励事件明细'!$A$2:$A$501,0),MATCH(E379,'激励事件明细'!$B$2:$B$501,0))),""))</f>
        <v/>
      </c>
      <c r="B379" s="6">
        <f>IF(A379="","",IFERROR(INDEX('激励事件明细'!$D$2:$D$501,IF(D379&lt;&gt;"",MATCH(D379,'激励事件明细'!$A$2:$A$501,0),MATCH(E379,'激励事件明细'!$B$2:$B$501,0))),""))</f>
        <v/>
      </c>
      <c r="C379" s="6">
        <f>IF(A379="","",IFERROR(INDEX('激励事件明细'!$H$2:$H$501,IF(D379&lt;&gt;"",MATCH(D379,'激励事件明细'!$A$2:$A$501,0),MATCH(E379,'激励事件明细'!$B$2:$B$501,0))),""))</f>
        <v/>
      </c>
      <c r="D379" s="11" t="n"/>
      <c r="E379" s="11" t="n"/>
      <c r="F379" s="14">
        <f>IF(A379="","",IFERROR(INDEX('激励事件明细'!$Z$2:$Z$501,IF(D379&lt;&gt;"",MATCH(D379,'激励事件明细'!$A$2:$A$501,0),MATCH(E379,'激励事件明细'!$B$2:$B$501,0))),""))</f>
        <v/>
      </c>
      <c r="G379" s="16">
        <f>IF(A379="","",IFERROR(INDEX('激励事件明细'!$AA$2:$AA$501,IF(D379&lt;&gt;"",MATCH(D379,'激励事件明细'!$A$2:$A$501,0),MATCH(E379,'激励事件明细'!$B$2:$B$501,0))),""))</f>
        <v/>
      </c>
      <c r="H379" s="16">
        <f>IF(A379="","",IFERROR(INDEX('激励事件明细'!$AB$2:$AB$501,IF(D379&lt;&gt;"",MATCH(D379,'激励事件明细'!$A$2:$A$501,0),MATCH(E379,'激励事件明细'!$B$2:$B$501,0))),""))</f>
        <v/>
      </c>
      <c r="I379" s="12" t="n"/>
      <c r="J379" s="13" t="n"/>
      <c r="K379" s="13" t="n"/>
      <c r="L379" s="11" t="n"/>
      <c r="M379" s="14">
        <f>IF(A379="","",IF(D379&lt;&gt;"",SUMIFS($K$2:$K$501,$D$2:$D$501,D379),SUMIFS($K$2:$K$501,$E$2:$E$501,E379)))</f>
        <v/>
      </c>
      <c r="N379" s="14">
        <f>IF(F379="","",MAX(0,F379-M379))</f>
        <v/>
      </c>
      <c r="O379" s="6">
        <f>IF(A379="","",IF(AND(I379&lt;&gt;"",I379&gt;H379),"是",IF(AND(TODAY()&gt;H379,N379&gt;0),"是","否")))</f>
        <v/>
      </c>
      <c r="P379" s="16">
        <f>IF(A379="","",IFERROR(INDEX('激励事件明细'!$P$2:$P$501,IF(D379&lt;&gt;"",MATCH(D379,'激励事件明细'!$A$2:$A$501,0),MATCH(E379,'激励事件明细'!$B$2:$B$501,0))),""))</f>
        <v/>
      </c>
      <c r="Q379" s="6">
        <f>IF(AND(D379="",E379=""),"异常：必须关联事件编号或税额批次",IF(AND(D379&lt;&gt;"",COUNTIF('激励事件明细'!$A$2:$A$501,D379)=0),"异常：事件编号不存在",IF(AND(E379&lt;&gt;"",COUNTIF('激励事件明细'!$B$2:$B$501,E379)=0),"异常：税额批次不存在",IF(M379&gt;F379,"异常：本批次超额缴税",IF(AND(I379&lt;&gt;"",I379&gt;H379),"异常：超过事件截止日",IF(AND(P379&lt;&gt;"",TODAY()&gt;=P379,N379&gt;0),"异常：离职前未缴清","正常"))))))</f>
        <v/>
      </c>
      <c r="R379" s="11" t="n"/>
    </row>
    <row r="380">
      <c r="A380" s="6">
        <f>IF(AND(D380="",E380=""),"",IFERROR(INDEX('激励事件明细'!$C$2:$C$501,IF(D380&lt;&gt;"",MATCH(D380,'激励事件明细'!$A$2:$A$501,0),MATCH(E380,'激励事件明细'!$B$2:$B$501,0))),""))</f>
        <v/>
      </c>
      <c r="B380" s="6">
        <f>IF(A380="","",IFERROR(INDEX('激励事件明细'!$D$2:$D$501,IF(D380&lt;&gt;"",MATCH(D380,'激励事件明细'!$A$2:$A$501,0),MATCH(E380,'激励事件明细'!$B$2:$B$501,0))),""))</f>
        <v/>
      </c>
      <c r="C380" s="6">
        <f>IF(A380="","",IFERROR(INDEX('激励事件明细'!$H$2:$H$501,IF(D380&lt;&gt;"",MATCH(D380,'激励事件明细'!$A$2:$A$501,0),MATCH(E380,'激励事件明细'!$B$2:$B$501,0))),""))</f>
        <v/>
      </c>
      <c r="D380" s="11" t="n"/>
      <c r="E380" s="11" t="n"/>
      <c r="F380" s="14">
        <f>IF(A380="","",IFERROR(INDEX('激励事件明细'!$Z$2:$Z$501,IF(D380&lt;&gt;"",MATCH(D380,'激励事件明细'!$A$2:$A$501,0),MATCH(E380,'激励事件明细'!$B$2:$B$501,0))),""))</f>
        <v/>
      </c>
      <c r="G380" s="16">
        <f>IF(A380="","",IFERROR(INDEX('激励事件明细'!$AA$2:$AA$501,IF(D380&lt;&gt;"",MATCH(D380,'激励事件明细'!$A$2:$A$501,0),MATCH(E380,'激励事件明细'!$B$2:$B$501,0))),""))</f>
        <v/>
      </c>
      <c r="H380" s="16">
        <f>IF(A380="","",IFERROR(INDEX('激励事件明细'!$AB$2:$AB$501,IF(D380&lt;&gt;"",MATCH(D380,'激励事件明细'!$A$2:$A$501,0),MATCH(E380,'激励事件明细'!$B$2:$B$501,0))),""))</f>
        <v/>
      </c>
      <c r="I380" s="12" t="n"/>
      <c r="J380" s="13" t="n"/>
      <c r="K380" s="13" t="n"/>
      <c r="L380" s="11" t="n"/>
      <c r="M380" s="14">
        <f>IF(A380="","",IF(D380&lt;&gt;"",SUMIFS($K$2:$K$501,$D$2:$D$501,D380),SUMIFS($K$2:$K$501,$E$2:$E$501,E380)))</f>
        <v/>
      </c>
      <c r="N380" s="14">
        <f>IF(F380="","",MAX(0,F380-M380))</f>
        <v/>
      </c>
      <c r="O380" s="6">
        <f>IF(A380="","",IF(AND(I380&lt;&gt;"",I380&gt;H380),"是",IF(AND(TODAY()&gt;H380,N380&gt;0),"是","否")))</f>
        <v/>
      </c>
      <c r="P380" s="16">
        <f>IF(A380="","",IFERROR(INDEX('激励事件明细'!$P$2:$P$501,IF(D380&lt;&gt;"",MATCH(D380,'激励事件明细'!$A$2:$A$501,0),MATCH(E380,'激励事件明细'!$B$2:$B$501,0))),""))</f>
        <v/>
      </c>
      <c r="Q380" s="6">
        <f>IF(AND(D380="",E380=""),"异常：必须关联事件编号或税额批次",IF(AND(D380&lt;&gt;"",COUNTIF('激励事件明细'!$A$2:$A$501,D380)=0),"异常：事件编号不存在",IF(AND(E380&lt;&gt;"",COUNTIF('激励事件明细'!$B$2:$B$501,E380)=0),"异常：税额批次不存在",IF(M380&gt;F380,"异常：本批次超额缴税",IF(AND(I380&lt;&gt;"",I380&gt;H380),"异常：超过事件截止日",IF(AND(P380&lt;&gt;"",TODAY()&gt;=P380,N380&gt;0),"异常：离职前未缴清","正常"))))))</f>
        <v/>
      </c>
      <c r="R380" s="11" t="n"/>
    </row>
    <row r="381">
      <c r="A381" s="6">
        <f>IF(AND(D381="",E381=""),"",IFERROR(INDEX('激励事件明细'!$C$2:$C$501,IF(D381&lt;&gt;"",MATCH(D381,'激励事件明细'!$A$2:$A$501,0),MATCH(E381,'激励事件明细'!$B$2:$B$501,0))),""))</f>
        <v/>
      </c>
      <c r="B381" s="6">
        <f>IF(A381="","",IFERROR(INDEX('激励事件明细'!$D$2:$D$501,IF(D381&lt;&gt;"",MATCH(D381,'激励事件明细'!$A$2:$A$501,0),MATCH(E381,'激励事件明细'!$B$2:$B$501,0))),""))</f>
        <v/>
      </c>
      <c r="C381" s="6">
        <f>IF(A381="","",IFERROR(INDEX('激励事件明细'!$H$2:$H$501,IF(D381&lt;&gt;"",MATCH(D381,'激励事件明细'!$A$2:$A$501,0),MATCH(E381,'激励事件明细'!$B$2:$B$501,0))),""))</f>
        <v/>
      </c>
      <c r="D381" s="11" t="n"/>
      <c r="E381" s="11" t="n"/>
      <c r="F381" s="14">
        <f>IF(A381="","",IFERROR(INDEX('激励事件明细'!$Z$2:$Z$501,IF(D381&lt;&gt;"",MATCH(D381,'激励事件明细'!$A$2:$A$501,0),MATCH(E381,'激励事件明细'!$B$2:$B$501,0))),""))</f>
        <v/>
      </c>
      <c r="G381" s="16">
        <f>IF(A381="","",IFERROR(INDEX('激励事件明细'!$AA$2:$AA$501,IF(D381&lt;&gt;"",MATCH(D381,'激励事件明细'!$A$2:$A$501,0),MATCH(E381,'激励事件明细'!$B$2:$B$501,0))),""))</f>
        <v/>
      </c>
      <c r="H381" s="16">
        <f>IF(A381="","",IFERROR(INDEX('激励事件明细'!$AB$2:$AB$501,IF(D381&lt;&gt;"",MATCH(D381,'激励事件明细'!$A$2:$A$501,0),MATCH(E381,'激励事件明细'!$B$2:$B$501,0))),""))</f>
        <v/>
      </c>
      <c r="I381" s="12" t="n"/>
      <c r="J381" s="13" t="n"/>
      <c r="K381" s="13" t="n"/>
      <c r="L381" s="11" t="n"/>
      <c r="M381" s="14">
        <f>IF(A381="","",IF(D381&lt;&gt;"",SUMIFS($K$2:$K$501,$D$2:$D$501,D381),SUMIFS($K$2:$K$501,$E$2:$E$501,E381)))</f>
        <v/>
      </c>
      <c r="N381" s="14">
        <f>IF(F381="","",MAX(0,F381-M381))</f>
        <v/>
      </c>
      <c r="O381" s="6">
        <f>IF(A381="","",IF(AND(I381&lt;&gt;"",I381&gt;H381),"是",IF(AND(TODAY()&gt;H381,N381&gt;0),"是","否")))</f>
        <v/>
      </c>
      <c r="P381" s="16">
        <f>IF(A381="","",IFERROR(INDEX('激励事件明细'!$P$2:$P$501,IF(D381&lt;&gt;"",MATCH(D381,'激励事件明细'!$A$2:$A$501,0),MATCH(E381,'激励事件明细'!$B$2:$B$501,0))),""))</f>
        <v/>
      </c>
      <c r="Q381" s="6">
        <f>IF(AND(D381="",E381=""),"异常：必须关联事件编号或税额批次",IF(AND(D381&lt;&gt;"",COUNTIF('激励事件明细'!$A$2:$A$501,D381)=0),"异常：事件编号不存在",IF(AND(E381&lt;&gt;"",COUNTIF('激励事件明细'!$B$2:$B$501,E381)=0),"异常：税额批次不存在",IF(M381&gt;F381,"异常：本批次超额缴税",IF(AND(I381&lt;&gt;"",I381&gt;H381),"异常：超过事件截止日",IF(AND(P381&lt;&gt;"",TODAY()&gt;=P381,N381&gt;0),"异常：离职前未缴清","正常"))))))</f>
        <v/>
      </c>
      <c r="R381" s="11" t="n"/>
    </row>
    <row r="382">
      <c r="A382" s="6">
        <f>IF(AND(D382="",E382=""),"",IFERROR(INDEX('激励事件明细'!$C$2:$C$501,IF(D382&lt;&gt;"",MATCH(D382,'激励事件明细'!$A$2:$A$501,0),MATCH(E382,'激励事件明细'!$B$2:$B$501,0))),""))</f>
        <v/>
      </c>
      <c r="B382" s="6">
        <f>IF(A382="","",IFERROR(INDEX('激励事件明细'!$D$2:$D$501,IF(D382&lt;&gt;"",MATCH(D382,'激励事件明细'!$A$2:$A$501,0),MATCH(E382,'激励事件明细'!$B$2:$B$501,0))),""))</f>
        <v/>
      </c>
      <c r="C382" s="6">
        <f>IF(A382="","",IFERROR(INDEX('激励事件明细'!$H$2:$H$501,IF(D382&lt;&gt;"",MATCH(D382,'激励事件明细'!$A$2:$A$501,0),MATCH(E382,'激励事件明细'!$B$2:$B$501,0))),""))</f>
        <v/>
      </c>
      <c r="D382" s="11" t="n"/>
      <c r="E382" s="11" t="n"/>
      <c r="F382" s="14">
        <f>IF(A382="","",IFERROR(INDEX('激励事件明细'!$Z$2:$Z$501,IF(D382&lt;&gt;"",MATCH(D382,'激励事件明细'!$A$2:$A$501,0),MATCH(E382,'激励事件明细'!$B$2:$B$501,0))),""))</f>
        <v/>
      </c>
      <c r="G382" s="16">
        <f>IF(A382="","",IFERROR(INDEX('激励事件明细'!$AA$2:$AA$501,IF(D382&lt;&gt;"",MATCH(D382,'激励事件明细'!$A$2:$A$501,0),MATCH(E382,'激励事件明细'!$B$2:$B$501,0))),""))</f>
        <v/>
      </c>
      <c r="H382" s="16">
        <f>IF(A382="","",IFERROR(INDEX('激励事件明细'!$AB$2:$AB$501,IF(D382&lt;&gt;"",MATCH(D382,'激励事件明细'!$A$2:$A$501,0),MATCH(E382,'激励事件明细'!$B$2:$B$501,0))),""))</f>
        <v/>
      </c>
      <c r="I382" s="12" t="n"/>
      <c r="J382" s="13" t="n"/>
      <c r="K382" s="13" t="n"/>
      <c r="L382" s="11" t="n"/>
      <c r="M382" s="14">
        <f>IF(A382="","",IF(D382&lt;&gt;"",SUMIFS($K$2:$K$501,$D$2:$D$501,D382),SUMIFS($K$2:$K$501,$E$2:$E$501,E382)))</f>
        <v/>
      </c>
      <c r="N382" s="14">
        <f>IF(F382="","",MAX(0,F382-M382))</f>
        <v/>
      </c>
      <c r="O382" s="6">
        <f>IF(A382="","",IF(AND(I382&lt;&gt;"",I382&gt;H382),"是",IF(AND(TODAY()&gt;H382,N382&gt;0),"是","否")))</f>
        <v/>
      </c>
      <c r="P382" s="16">
        <f>IF(A382="","",IFERROR(INDEX('激励事件明细'!$P$2:$P$501,IF(D382&lt;&gt;"",MATCH(D382,'激励事件明细'!$A$2:$A$501,0),MATCH(E382,'激励事件明细'!$B$2:$B$501,0))),""))</f>
        <v/>
      </c>
      <c r="Q382" s="6">
        <f>IF(AND(D382="",E382=""),"异常：必须关联事件编号或税额批次",IF(AND(D382&lt;&gt;"",COUNTIF('激励事件明细'!$A$2:$A$501,D382)=0),"异常：事件编号不存在",IF(AND(E382&lt;&gt;"",COUNTIF('激励事件明细'!$B$2:$B$501,E382)=0),"异常：税额批次不存在",IF(M382&gt;F382,"异常：本批次超额缴税",IF(AND(I382&lt;&gt;"",I382&gt;H382),"异常：超过事件截止日",IF(AND(P382&lt;&gt;"",TODAY()&gt;=P382,N382&gt;0),"异常：离职前未缴清","正常"))))))</f>
        <v/>
      </c>
      <c r="R382" s="11" t="n"/>
    </row>
    <row r="383">
      <c r="A383" s="6">
        <f>IF(AND(D383="",E383=""),"",IFERROR(INDEX('激励事件明细'!$C$2:$C$501,IF(D383&lt;&gt;"",MATCH(D383,'激励事件明细'!$A$2:$A$501,0),MATCH(E383,'激励事件明细'!$B$2:$B$501,0))),""))</f>
        <v/>
      </c>
      <c r="B383" s="6">
        <f>IF(A383="","",IFERROR(INDEX('激励事件明细'!$D$2:$D$501,IF(D383&lt;&gt;"",MATCH(D383,'激励事件明细'!$A$2:$A$501,0),MATCH(E383,'激励事件明细'!$B$2:$B$501,0))),""))</f>
        <v/>
      </c>
      <c r="C383" s="6">
        <f>IF(A383="","",IFERROR(INDEX('激励事件明细'!$H$2:$H$501,IF(D383&lt;&gt;"",MATCH(D383,'激励事件明细'!$A$2:$A$501,0),MATCH(E383,'激励事件明细'!$B$2:$B$501,0))),""))</f>
        <v/>
      </c>
      <c r="D383" s="11" t="n"/>
      <c r="E383" s="11" t="n"/>
      <c r="F383" s="14">
        <f>IF(A383="","",IFERROR(INDEX('激励事件明细'!$Z$2:$Z$501,IF(D383&lt;&gt;"",MATCH(D383,'激励事件明细'!$A$2:$A$501,0),MATCH(E383,'激励事件明细'!$B$2:$B$501,0))),""))</f>
        <v/>
      </c>
      <c r="G383" s="16">
        <f>IF(A383="","",IFERROR(INDEX('激励事件明细'!$AA$2:$AA$501,IF(D383&lt;&gt;"",MATCH(D383,'激励事件明细'!$A$2:$A$501,0),MATCH(E383,'激励事件明细'!$B$2:$B$501,0))),""))</f>
        <v/>
      </c>
      <c r="H383" s="16">
        <f>IF(A383="","",IFERROR(INDEX('激励事件明细'!$AB$2:$AB$501,IF(D383&lt;&gt;"",MATCH(D383,'激励事件明细'!$A$2:$A$501,0),MATCH(E383,'激励事件明细'!$B$2:$B$501,0))),""))</f>
        <v/>
      </c>
      <c r="I383" s="12" t="n"/>
      <c r="J383" s="13" t="n"/>
      <c r="K383" s="13" t="n"/>
      <c r="L383" s="11" t="n"/>
      <c r="M383" s="14">
        <f>IF(A383="","",IF(D383&lt;&gt;"",SUMIFS($K$2:$K$501,$D$2:$D$501,D383),SUMIFS($K$2:$K$501,$E$2:$E$501,E383)))</f>
        <v/>
      </c>
      <c r="N383" s="14">
        <f>IF(F383="","",MAX(0,F383-M383))</f>
        <v/>
      </c>
      <c r="O383" s="6">
        <f>IF(A383="","",IF(AND(I383&lt;&gt;"",I383&gt;H383),"是",IF(AND(TODAY()&gt;H383,N383&gt;0),"是","否")))</f>
        <v/>
      </c>
      <c r="P383" s="16">
        <f>IF(A383="","",IFERROR(INDEX('激励事件明细'!$P$2:$P$501,IF(D383&lt;&gt;"",MATCH(D383,'激励事件明细'!$A$2:$A$501,0),MATCH(E383,'激励事件明细'!$B$2:$B$501,0))),""))</f>
        <v/>
      </c>
      <c r="Q383" s="6">
        <f>IF(AND(D383="",E383=""),"异常：必须关联事件编号或税额批次",IF(AND(D383&lt;&gt;"",COUNTIF('激励事件明细'!$A$2:$A$501,D383)=0),"异常：事件编号不存在",IF(AND(E383&lt;&gt;"",COUNTIF('激励事件明细'!$B$2:$B$501,E383)=0),"异常：税额批次不存在",IF(M383&gt;F383,"异常：本批次超额缴税",IF(AND(I383&lt;&gt;"",I383&gt;H383),"异常：超过事件截止日",IF(AND(P383&lt;&gt;"",TODAY()&gt;=P383,N383&gt;0),"异常：离职前未缴清","正常"))))))</f>
        <v/>
      </c>
      <c r="R383" s="11" t="n"/>
    </row>
    <row r="384">
      <c r="A384" s="6">
        <f>IF(AND(D384="",E384=""),"",IFERROR(INDEX('激励事件明细'!$C$2:$C$501,IF(D384&lt;&gt;"",MATCH(D384,'激励事件明细'!$A$2:$A$501,0),MATCH(E384,'激励事件明细'!$B$2:$B$501,0))),""))</f>
        <v/>
      </c>
      <c r="B384" s="6">
        <f>IF(A384="","",IFERROR(INDEX('激励事件明细'!$D$2:$D$501,IF(D384&lt;&gt;"",MATCH(D384,'激励事件明细'!$A$2:$A$501,0),MATCH(E384,'激励事件明细'!$B$2:$B$501,0))),""))</f>
        <v/>
      </c>
      <c r="C384" s="6">
        <f>IF(A384="","",IFERROR(INDEX('激励事件明细'!$H$2:$H$501,IF(D384&lt;&gt;"",MATCH(D384,'激励事件明细'!$A$2:$A$501,0),MATCH(E384,'激励事件明细'!$B$2:$B$501,0))),""))</f>
        <v/>
      </c>
      <c r="D384" s="11" t="n"/>
      <c r="E384" s="11" t="n"/>
      <c r="F384" s="14">
        <f>IF(A384="","",IFERROR(INDEX('激励事件明细'!$Z$2:$Z$501,IF(D384&lt;&gt;"",MATCH(D384,'激励事件明细'!$A$2:$A$501,0),MATCH(E384,'激励事件明细'!$B$2:$B$501,0))),""))</f>
        <v/>
      </c>
      <c r="G384" s="16">
        <f>IF(A384="","",IFERROR(INDEX('激励事件明细'!$AA$2:$AA$501,IF(D384&lt;&gt;"",MATCH(D384,'激励事件明细'!$A$2:$A$501,0),MATCH(E384,'激励事件明细'!$B$2:$B$501,0))),""))</f>
        <v/>
      </c>
      <c r="H384" s="16">
        <f>IF(A384="","",IFERROR(INDEX('激励事件明细'!$AB$2:$AB$501,IF(D384&lt;&gt;"",MATCH(D384,'激励事件明细'!$A$2:$A$501,0),MATCH(E384,'激励事件明细'!$B$2:$B$501,0))),""))</f>
        <v/>
      </c>
      <c r="I384" s="12" t="n"/>
      <c r="J384" s="13" t="n"/>
      <c r="K384" s="13" t="n"/>
      <c r="L384" s="11" t="n"/>
      <c r="M384" s="14">
        <f>IF(A384="","",IF(D384&lt;&gt;"",SUMIFS($K$2:$K$501,$D$2:$D$501,D384),SUMIFS($K$2:$K$501,$E$2:$E$501,E384)))</f>
        <v/>
      </c>
      <c r="N384" s="14">
        <f>IF(F384="","",MAX(0,F384-M384))</f>
        <v/>
      </c>
      <c r="O384" s="6">
        <f>IF(A384="","",IF(AND(I384&lt;&gt;"",I384&gt;H384),"是",IF(AND(TODAY()&gt;H384,N384&gt;0),"是","否")))</f>
        <v/>
      </c>
      <c r="P384" s="16">
        <f>IF(A384="","",IFERROR(INDEX('激励事件明细'!$P$2:$P$501,IF(D384&lt;&gt;"",MATCH(D384,'激励事件明细'!$A$2:$A$501,0),MATCH(E384,'激励事件明细'!$B$2:$B$501,0))),""))</f>
        <v/>
      </c>
      <c r="Q384" s="6">
        <f>IF(AND(D384="",E384=""),"异常：必须关联事件编号或税额批次",IF(AND(D384&lt;&gt;"",COUNTIF('激励事件明细'!$A$2:$A$501,D384)=0),"异常：事件编号不存在",IF(AND(E384&lt;&gt;"",COUNTIF('激励事件明细'!$B$2:$B$501,E384)=0),"异常：税额批次不存在",IF(M384&gt;F384,"异常：本批次超额缴税",IF(AND(I384&lt;&gt;"",I384&gt;H384),"异常：超过事件截止日",IF(AND(P384&lt;&gt;"",TODAY()&gt;=P384,N384&gt;0),"异常：离职前未缴清","正常"))))))</f>
        <v/>
      </c>
      <c r="R384" s="11" t="n"/>
    </row>
    <row r="385">
      <c r="A385" s="6">
        <f>IF(AND(D385="",E385=""),"",IFERROR(INDEX('激励事件明细'!$C$2:$C$501,IF(D385&lt;&gt;"",MATCH(D385,'激励事件明细'!$A$2:$A$501,0),MATCH(E385,'激励事件明细'!$B$2:$B$501,0))),""))</f>
        <v/>
      </c>
      <c r="B385" s="6">
        <f>IF(A385="","",IFERROR(INDEX('激励事件明细'!$D$2:$D$501,IF(D385&lt;&gt;"",MATCH(D385,'激励事件明细'!$A$2:$A$501,0),MATCH(E385,'激励事件明细'!$B$2:$B$501,0))),""))</f>
        <v/>
      </c>
      <c r="C385" s="6">
        <f>IF(A385="","",IFERROR(INDEX('激励事件明细'!$H$2:$H$501,IF(D385&lt;&gt;"",MATCH(D385,'激励事件明细'!$A$2:$A$501,0),MATCH(E385,'激励事件明细'!$B$2:$B$501,0))),""))</f>
        <v/>
      </c>
      <c r="D385" s="11" t="n"/>
      <c r="E385" s="11" t="n"/>
      <c r="F385" s="14">
        <f>IF(A385="","",IFERROR(INDEX('激励事件明细'!$Z$2:$Z$501,IF(D385&lt;&gt;"",MATCH(D385,'激励事件明细'!$A$2:$A$501,0),MATCH(E385,'激励事件明细'!$B$2:$B$501,0))),""))</f>
        <v/>
      </c>
      <c r="G385" s="16">
        <f>IF(A385="","",IFERROR(INDEX('激励事件明细'!$AA$2:$AA$501,IF(D385&lt;&gt;"",MATCH(D385,'激励事件明细'!$A$2:$A$501,0),MATCH(E385,'激励事件明细'!$B$2:$B$501,0))),""))</f>
        <v/>
      </c>
      <c r="H385" s="16">
        <f>IF(A385="","",IFERROR(INDEX('激励事件明细'!$AB$2:$AB$501,IF(D385&lt;&gt;"",MATCH(D385,'激励事件明细'!$A$2:$A$501,0),MATCH(E385,'激励事件明细'!$B$2:$B$501,0))),""))</f>
        <v/>
      </c>
      <c r="I385" s="12" t="n"/>
      <c r="J385" s="13" t="n"/>
      <c r="K385" s="13" t="n"/>
      <c r="L385" s="11" t="n"/>
      <c r="M385" s="14">
        <f>IF(A385="","",IF(D385&lt;&gt;"",SUMIFS($K$2:$K$501,$D$2:$D$501,D385),SUMIFS($K$2:$K$501,$E$2:$E$501,E385)))</f>
        <v/>
      </c>
      <c r="N385" s="14">
        <f>IF(F385="","",MAX(0,F385-M385))</f>
        <v/>
      </c>
      <c r="O385" s="6">
        <f>IF(A385="","",IF(AND(I385&lt;&gt;"",I385&gt;H385),"是",IF(AND(TODAY()&gt;H385,N385&gt;0),"是","否")))</f>
        <v/>
      </c>
      <c r="P385" s="16">
        <f>IF(A385="","",IFERROR(INDEX('激励事件明细'!$P$2:$P$501,IF(D385&lt;&gt;"",MATCH(D385,'激励事件明细'!$A$2:$A$501,0),MATCH(E385,'激励事件明细'!$B$2:$B$501,0))),""))</f>
        <v/>
      </c>
      <c r="Q385" s="6">
        <f>IF(AND(D385="",E385=""),"异常：必须关联事件编号或税额批次",IF(AND(D385&lt;&gt;"",COUNTIF('激励事件明细'!$A$2:$A$501,D385)=0),"异常：事件编号不存在",IF(AND(E385&lt;&gt;"",COUNTIF('激励事件明细'!$B$2:$B$501,E385)=0),"异常：税额批次不存在",IF(M385&gt;F385,"异常：本批次超额缴税",IF(AND(I385&lt;&gt;"",I385&gt;H385),"异常：超过事件截止日",IF(AND(P385&lt;&gt;"",TODAY()&gt;=P385,N385&gt;0),"异常：离职前未缴清","正常"))))))</f>
        <v/>
      </c>
      <c r="R385" s="11" t="n"/>
    </row>
    <row r="386">
      <c r="A386" s="6">
        <f>IF(AND(D386="",E386=""),"",IFERROR(INDEX('激励事件明细'!$C$2:$C$501,IF(D386&lt;&gt;"",MATCH(D386,'激励事件明细'!$A$2:$A$501,0),MATCH(E386,'激励事件明细'!$B$2:$B$501,0))),""))</f>
        <v/>
      </c>
      <c r="B386" s="6">
        <f>IF(A386="","",IFERROR(INDEX('激励事件明细'!$D$2:$D$501,IF(D386&lt;&gt;"",MATCH(D386,'激励事件明细'!$A$2:$A$501,0),MATCH(E386,'激励事件明细'!$B$2:$B$501,0))),""))</f>
        <v/>
      </c>
      <c r="C386" s="6">
        <f>IF(A386="","",IFERROR(INDEX('激励事件明细'!$H$2:$H$501,IF(D386&lt;&gt;"",MATCH(D386,'激励事件明细'!$A$2:$A$501,0),MATCH(E386,'激励事件明细'!$B$2:$B$501,0))),""))</f>
        <v/>
      </c>
      <c r="D386" s="11" t="n"/>
      <c r="E386" s="11" t="n"/>
      <c r="F386" s="14">
        <f>IF(A386="","",IFERROR(INDEX('激励事件明细'!$Z$2:$Z$501,IF(D386&lt;&gt;"",MATCH(D386,'激励事件明细'!$A$2:$A$501,0),MATCH(E386,'激励事件明细'!$B$2:$B$501,0))),""))</f>
        <v/>
      </c>
      <c r="G386" s="16">
        <f>IF(A386="","",IFERROR(INDEX('激励事件明细'!$AA$2:$AA$501,IF(D386&lt;&gt;"",MATCH(D386,'激励事件明细'!$A$2:$A$501,0),MATCH(E386,'激励事件明细'!$B$2:$B$501,0))),""))</f>
        <v/>
      </c>
      <c r="H386" s="16">
        <f>IF(A386="","",IFERROR(INDEX('激励事件明细'!$AB$2:$AB$501,IF(D386&lt;&gt;"",MATCH(D386,'激励事件明细'!$A$2:$A$501,0),MATCH(E386,'激励事件明细'!$B$2:$B$501,0))),""))</f>
        <v/>
      </c>
      <c r="I386" s="12" t="n"/>
      <c r="J386" s="13" t="n"/>
      <c r="K386" s="13" t="n"/>
      <c r="L386" s="11" t="n"/>
      <c r="M386" s="14">
        <f>IF(A386="","",IF(D386&lt;&gt;"",SUMIFS($K$2:$K$501,$D$2:$D$501,D386),SUMIFS($K$2:$K$501,$E$2:$E$501,E386)))</f>
        <v/>
      </c>
      <c r="N386" s="14">
        <f>IF(F386="","",MAX(0,F386-M386))</f>
        <v/>
      </c>
      <c r="O386" s="6">
        <f>IF(A386="","",IF(AND(I386&lt;&gt;"",I386&gt;H386),"是",IF(AND(TODAY()&gt;H386,N386&gt;0),"是","否")))</f>
        <v/>
      </c>
      <c r="P386" s="16">
        <f>IF(A386="","",IFERROR(INDEX('激励事件明细'!$P$2:$P$501,IF(D386&lt;&gt;"",MATCH(D386,'激励事件明细'!$A$2:$A$501,0),MATCH(E386,'激励事件明细'!$B$2:$B$501,0))),""))</f>
        <v/>
      </c>
      <c r="Q386" s="6">
        <f>IF(AND(D386="",E386=""),"异常：必须关联事件编号或税额批次",IF(AND(D386&lt;&gt;"",COUNTIF('激励事件明细'!$A$2:$A$501,D386)=0),"异常：事件编号不存在",IF(AND(E386&lt;&gt;"",COUNTIF('激励事件明细'!$B$2:$B$501,E386)=0),"异常：税额批次不存在",IF(M386&gt;F386,"异常：本批次超额缴税",IF(AND(I386&lt;&gt;"",I386&gt;H386),"异常：超过事件截止日",IF(AND(P386&lt;&gt;"",TODAY()&gt;=P386,N386&gt;0),"异常：离职前未缴清","正常"))))))</f>
        <v/>
      </c>
      <c r="R386" s="11" t="n"/>
    </row>
    <row r="387">
      <c r="A387" s="6">
        <f>IF(AND(D387="",E387=""),"",IFERROR(INDEX('激励事件明细'!$C$2:$C$501,IF(D387&lt;&gt;"",MATCH(D387,'激励事件明细'!$A$2:$A$501,0),MATCH(E387,'激励事件明细'!$B$2:$B$501,0))),""))</f>
        <v/>
      </c>
      <c r="B387" s="6">
        <f>IF(A387="","",IFERROR(INDEX('激励事件明细'!$D$2:$D$501,IF(D387&lt;&gt;"",MATCH(D387,'激励事件明细'!$A$2:$A$501,0),MATCH(E387,'激励事件明细'!$B$2:$B$501,0))),""))</f>
        <v/>
      </c>
      <c r="C387" s="6">
        <f>IF(A387="","",IFERROR(INDEX('激励事件明细'!$H$2:$H$501,IF(D387&lt;&gt;"",MATCH(D387,'激励事件明细'!$A$2:$A$501,0),MATCH(E387,'激励事件明细'!$B$2:$B$501,0))),""))</f>
        <v/>
      </c>
      <c r="D387" s="11" t="n"/>
      <c r="E387" s="11" t="n"/>
      <c r="F387" s="14">
        <f>IF(A387="","",IFERROR(INDEX('激励事件明细'!$Z$2:$Z$501,IF(D387&lt;&gt;"",MATCH(D387,'激励事件明细'!$A$2:$A$501,0),MATCH(E387,'激励事件明细'!$B$2:$B$501,0))),""))</f>
        <v/>
      </c>
      <c r="G387" s="16">
        <f>IF(A387="","",IFERROR(INDEX('激励事件明细'!$AA$2:$AA$501,IF(D387&lt;&gt;"",MATCH(D387,'激励事件明细'!$A$2:$A$501,0),MATCH(E387,'激励事件明细'!$B$2:$B$501,0))),""))</f>
        <v/>
      </c>
      <c r="H387" s="16">
        <f>IF(A387="","",IFERROR(INDEX('激励事件明细'!$AB$2:$AB$501,IF(D387&lt;&gt;"",MATCH(D387,'激励事件明细'!$A$2:$A$501,0),MATCH(E387,'激励事件明细'!$B$2:$B$501,0))),""))</f>
        <v/>
      </c>
      <c r="I387" s="12" t="n"/>
      <c r="J387" s="13" t="n"/>
      <c r="K387" s="13" t="n"/>
      <c r="L387" s="11" t="n"/>
      <c r="M387" s="14">
        <f>IF(A387="","",IF(D387&lt;&gt;"",SUMIFS($K$2:$K$501,$D$2:$D$501,D387),SUMIFS($K$2:$K$501,$E$2:$E$501,E387)))</f>
        <v/>
      </c>
      <c r="N387" s="14">
        <f>IF(F387="","",MAX(0,F387-M387))</f>
        <v/>
      </c>
      <c r="O387" s="6">
        <f>IF(A387="","",IF(AND(I387&lt;&gt;"",I387&gt;H387),"是",IF(AND(TODAY()&gt;H387,N387&gt;0),"是","否")))</f>
        <v/>
      </c>
      <c r="P387" s="16">
        <f>IF(A387="","",IFERROR(INDEX('激励事件明细'!$P$2:$P$501,IF(D387&lt;&gt;"",MATCH(D387,'激励事件明细'!$A$2:$A$501,0),MATCH(E387,'激励事件明细'!$B$2:$B$501,0))),""))</f>
        <v/>
      </c>
      <c r="Q387" s="6">
        <f>IF(AND(D387="",E387=""),"异常：必须关联事件编号或税额批次",IF(AND(D387&lt;&gt;"",COUNTIF('激励事件明细'!$A$2:$A$501,D387)=0),"异常：事件编号不存在",IF(AND(E387&lt;&gt;"",COUNTIF('激励事件明细'!$B$2:$B$501,E387)=0),"异常：税额批次不存在",IF(M387&gt;F387,"异常：本批次超额缴税",IF(AND(I387&lt;&gt;"",I387&gt;H387),"异常：超过事件截止日",IF(AND(P387&lt;&gt;"",TODAY()&gt;=P387,N387&gt;0),"异常：离职前未缴清","正常"))))))</f>
        <v/>
      </c>
      <c r="R387" s="11" t="n"/>
    </row>
    <row r="388">
      <c r="A388" s="6">
        <f>IF(AND(D388="",E388=""),"",IFERROR(INDEX('激励事件明细'!$C$2:$C$501,IF(D388&lt;&gt;"",MATCH(D388,'激励事件明细'!$A$2:$A$501,0),MATCH(E388,'激励事件明细'!$B$2:$B$501,0))),""))</f>
        <v/>
      </c>
      <c r="B388" s="6">
        <f>IF(A388="","",IFERROR(INDEX('激励事件明细'!$D$2:$D$501,IF(D388&lt;&gt;"",MATCH(D388,'激励事件明细'!$A$2:$A$501,0),MATCH(E388,'激励事件明细'!$B$2:$B$501,0))),""))</f>
        <v/>
      </c>
      <c r="C388" s="6">
        <f>IF(A388="","",IFERROR(INDEX('激励事件明细'!$H$2:$H$501,IF(D388&lt;&gt;"",MATCH(D388,'激励事件明细'!$A$2:$A$501,0),MATCH(E388,'激励事件明细'!$B$2:$B$501,0))),""))</f>
        <v/>
      </c>
      <c r="D388" s="11" t="n"/>
      <c r="E388" s="11" t="n"/>
      <c r="F388" s="14">
        <f>IF(A388="","",IFERROR(INDEX('激励事件明细'!$Z$2:$Z$501,IF(D388&lt;&gt;"",MATCH(D388,'激励事件明细'!$A$2:$A$501,0),MATCH(E388,'激励事件明细'!$B$2:$B$501,0))),""))</f>
        <v/>
      </c>
      <c r="G388" s="16">
        <f>IF(A388="","",IFERROR(INDEX('激励事件明细'!$AA$2:$AA$501,IF(D388&lt;&gt;"",MATCH(D388,'激励事件明细'!$A$2:$A$501,0),MATCH(E388,'激励事件明细'!$B$2:$B$501,0))),""))</f>
        <v/>
      </c>
      <c r="H388" s="16">
        <f>IF(A388="","",IFERROR(INDEX('激励事件明细'!$AB$2:$AB$501,IF(D388&lt;&gt;"",MATCH(D388,'激励事件明细'!$A$2:$A$501,0),MATCH(E388,'激励事件明细'!$B$2:$B$501,0))),""))</f>
        <v/>
      </c>
      <c r="I388" s="12" t="n"/>
      <c r="J388" s="13" t="n"/>
      <c r="K388" s="13" t="n"/>
      <c r="L388" s="11" t="n"/>
      <c r="M388" s="14">
        <f>IF(A388="","",IF(D388&lt;&gt;"",SUMIFS($K$2:$K$501,$D$2:$D$501,D388),SUMIFS($K$2:$K$501,$E$2:$E$501,E388)))</f>
        <v/>
      </c>
      <c r="N388" s="14">
        <f>IF(F388="","",MAX(0,F388-M388))</f>
        <v/>
      </c>
      <c r="O388" s="6">
        <f>IF(A388="","",IF(AND(I388&lt;&gt;"",I388&gt;H388),"是",IF(AND(TODAY()&gt;H388,N388&gt;0),"是","否")))</f>
        <v/>
      </c>
      <c r="P388" s="16">
        <f>IF(A388="","",IFERROR(INDEX('激励事件明细'!$P$2:$P$501,IF(D388&lt;&gt;"",MATCH(D388,'激励事件明细'!$A$2:$A$501,0),MATCH(E388,'激励事件明细'!$B$2:$B$501,0))),""))</f>
        <v/>
      </c>
      <c r="Q388" s="6">
        <f>IF(AND(D388="",E388=""),"异常：必须关联事件编号或税额批次",IF(AND(D388&lt;&gt;"",COUNTIF('激励事件明细'!$A$2:$A$501,D388)=0),"异常：事件编号不存在",IF(AND(E388&lt;&gt;"",COUNTIF('激励事件明细'!$B$2:$B$501,E388)=0),"异常：税额批次不存在",IF(M388&gt;F388,"异常：本批次超额缴税",IF(AND(I388&lt;&gt;"",I388&gt;H388),"异常：超过事件截止日",IF(AND(P388&lt;&gt;"",TODAY()&gt;=P388,N388&gt;0),"异常：离职前未缴清","正常"))))))</f>
        <v/>
      </c>
      <c r="R388" s="11" t="n"/>
    </row>
    <row r="389">
      <c r="A389" s="6">
        <f>IF(AND(D389="",E389=""),"",IFERROR(INDEX('激励事件明细'!$C$2:$C$501,IF(D389&lt;&gt;"",MATCH(D389,'激励事件明细'!$A$2:$A$501,0),MATCH(E389,'激励事件明细'!$B$2:$B$501,0))),""))</f>
        <v/>
      </c>
      <c r="B389" s="6">
        <f>IF(A389="","",IFERROR(INDEX('激励事件明细'!$D$2:$D$501,IF(D389&lt;&gt;"",MATCH(D389,'激励事件明细'!$A$2:$A$501,0),MATCH(E389,'激励事件明细'!$B$2:$B$501,0))),""))</f>
        <v/>
      </c>
      <c r="C389" s="6">
        <f>IF(A389="","",IFERROR(INDEX('激励事件明细'!$H$2:$H$501,IF(D389&lt;&gt;"",MATCH(D389,'激励事件明细'!$A$2:$A$501,0),MATCH(E389,'激励事件明细'!$B$2:$B$501,0))),""))</f>
        <v/>
      </c>
      <c r="D389" s="11" t="n"/>
      <c r="E389" s="11" t="n"/>
      <c r="F389" s="14">
        <f>IF(A389="","",IFERROR(INDEX('激励事件明细'!$Z$2:$Z$501,IF(D389&lt;&gt;"",MATCH(D389,'激励事件明细'!$A$2:$A$501,0),MATCH(E389,'激励事件明细'!$B$2:$B$501,0))),""))</f>
        <v/>
      </c>
      <c r="G389" s="16">
        <f>IF(A389="","",IFERROR(INDEX('激励事件明细'!$AA$2:$AA$501,IF(D389&lt;&gt;"",MATCH(D389,'激励事件明细'!$A$2:$A$501,0),MATCH(E389,'激励事件明细'!$B$2:$B$501,0))),""))</f>
        <v/>
      </c>
      <c r="H389" s="16">
        <f>IF(A389="","",IFERROR(INDEX('激励事件明细'!$AB$2:$AB$501,IF(D389&lt;&gt;"",MATCH(D389,'激励事件明细'!$A$2:$A$501,0),MATCH(E389,'激励事件明细'!$B$2:$B$501,0))),""))</f>
        <v/>
      </c>
      <c r="I389" s="12" t="n"/>
      <c r="J389" s="13" t="n"/>
      <c r="K389" s="13" t="n"/>
      <c r="L389" s="11" t="n"/>
      <c r="M389" s="14">
        <f>IF(A389="","",IF(D389&lt;&gt;"",SUMIFS($K$2:$K$501,$D$2:$D$501,D389),SUMIFS($K$2:$K$501,$E$2:$E$501,E389)))</f>
        <v/>
      </c>
      <c r="N389" s="14">
        <f>IF(F389="","",MAX(0,F389-M389))</f>
        <v/>
      </c>
      <c r="O389" s="6">
        <f>IF(A389="","",IF(AND(I389&lt;&gt;"",I389&gt;H389),"是",IF(AND(TODAY()&gt;H389,N389&gt;0),"是","否")))</f>
        <v/>
      </c>
      <c r="P389" s="16">
        <f>IF(A389="","",IFERROR(INDEX('激励事件明细'!$P$2:$P$501,IF(D389&lt;&gt;"",MATCH(D389,'激励事件明细'!$A$2:$A$501,0),MATCH(E389,'激励事件明细'!$B$2:$B$501,0))),""))</f>
        <v/>
      </c>
      <c r="Q389" s="6">
        <f>IF(AND(D389="",E389=""),"异常：必须关联事件编号或税额批次",IF(AND(D389&lt;&gt;"",COUNTIF('激励事件明细'!$A$2:$A$501,D389)=0),"异常：事件编号不存在",IF(AND(E389&lt;&gt;"",COUNTIF('激励事件明细'!$B$2:$B$501,E389)=0),"异常：税额批次不存在",IF(M389&gt;F389,"异常：本批次超额缴税",IF(AND(I389&lt;&gt;"",I389&gt;H389),"异常：超过事件截止日",IF(AND(P389&lt;&gt;"",TODAY()&gt;=P389,N389&gt;0),"异常：离职前未缴清","正常"))))))</f>
        <v/>
      </c>
      <c r="R389" s="11" t="n"/>
    </row>
    <row r="390">
      <c r="A390" s="6">
        <f>IF(AND(D390="",E390=""),"",IFERROR(INDEX('激励事件明细'!$C$2:$C$501,IF(D390&lt;&gt;"",MATCH(D390,'激励事件明细'!$A$2:$A$501,0),MATCH(E390,'激励事件明细'!$B$2:$B$501,0))),""))</f>
        <v/>
      </c>
      <c r="B390" s="6">
        <f>IF(A390="","",IFERROR(INDEX('激励事件明细'!$D$2:$D$501,IF(D390&lt;&gt;"",MATCH(D390,'激励事件明细'!$A$2:$A$501,0),MATCH(E390,'激励事件明细'!$B$2:$B$501,0))),""))</f>
        <v/>
      </c>
      <c r="C390" s="6">
        <f>IF(A390="","",IFERROR(INDEX('激励事件明细'!$H$2:$H$501,IF(D390&lt;&gt;"",MATCH(D390,'激励事件明细'!$A$2:$A$501,0),MATCH(E390,'激励事件明细'!$B$2:$B$501,0))),""))</f>
        <v/>
      </c>
      <c r="D390" s="11" t="n"/>
      <c r="E390" s="11" t="n"/>
      <c r="F390" s="14">
        <f>IF(A390="","",IFERROR(INDEX('激励事件明细'!$Z$2:$Z$501,IF(D390&lt;&gt;"",MATCH(D390,'激励事件明细'!$A$2:$A$501,0),MATCH(E390,'激励事件明细'!$B$2:$B$501,0))),""))</f>
        <v/>
      </c>
      <c r="G390" s="16">
        <f>IF(A390="","",IFERROR(INDEX('激励事件明细'!$AA$2:$AA$501,IF(D390&lt;&gt;"",MATCH(D390,'激励事件明细'!$A$2:$A$501,0),MATCH(E390,'激励事件明细'!$B$2:$B$501,0))),""))</f>
        <v/>
      </c>
      <c r="H390" s="16">
        <f>IF(A390="","",IFERROR(INDEX('激励事件明细'!$AB$2:$AB$501,IF(D390&lt;&gt;"",MATCH(D390,'激励事件明细'!$A$2:$A$501,0),MATCH(E390,'激励事件明细'!$B$2:$B$501,0))),""))</f>
        <v/>
      </c>
      <c r="I390" s="12" t="n"/>
      <c r="J390" s="13" t="n"/>
      <c r="K390" s="13" t="n"/>
      <c r="L390" s="11" t="n"/>
      <c r="M390" s="14">
        <f>IF(A390="","",IF(D390&lt;&gt;"",SUMIFS($K$2:$K$501,$D$2:$D$501,D390),SUMIFS($K$2:$K$501,$E$2:$E$501,E390)))</f>
        <v/>
      </c>
      <c r="N390" s="14">
        <f>IF(F390="","",MAX(0,F390-M390))</f>
        <v/>
      </c>
      <c r="O390" s="6">
        <f>IF(A390="","",IF(AND(I390&lt;&gt;"",I390&gt;H390),"是",IF(AND(TODAY()&gt;H390,N390&gt;0),"是","否")))</f>
        <v/>
      </c>
      <c r="P390" s="16">
        <f>IF(A390="","",IFERROR(INDEX('激励事件明细'!$P$2:$P$501,IF(D390&lt;&gt;"",MATCH(D390,'激励事件明细'!$A$2:$A$501,0),MATCH(E390,'激励事件明细'!$B$2:$B$501,0))),""))</f>
        <v/>
      </c>
      <c r="Q390" s="6">
        <f>IF(AND(D390="",E390=""),"异常：必须关联事件编号或税额批次",IF(AND(D390&lt;&gt;"",COUNTIF('激励事件明细'!$A$2:$A$501,D390)=0),"异常：事件编号不存在",IF(AND(E390&lt;&gt;"",COUNTIF('激励事件明细'!$B$2:$B$501,E390)=0),"异常：税额批次不存在",IF(M390&gt;F390,"异常：本批次超额缴税",IF(AND(I390&lt;&gt;"",I390&gt;H390),"异常：超过事件截止日",IF(AND(P390&lt;&gt;"",TODAY()&gt;=P390,N390&gt;0),"异常：离职前未缴清","正常"))))))</f>
        <v/>
      </c>
      <c r="R390" s="11" t="n"/>
    </row>
    <row r="391">
      <c r="A391" s="6">
        <f>IF(AND(D391="",E391=""),"",IFERROR(INDEX('激励事件明细'!$C$2:$C$501,IF(D391&lt;&gt;"",MATCH(D391,'激励事件明细'!$A$2:$A$501,0),MATCH(E391,'激励事件明细'!$B$2:$B$501,0))),""))</f>
        <v/>
      </c>
      <c r="B391" s="6">
        <f>IF(A391="","",IFERROR(INDEX('激励事件明细'!$D$2:$D$501,IF(D391&lt;&gt;"",MATCH(D391,'激励事件明细'!$A$2:$A$501,0),MATCH(E391,'激励事件明细'!$B$2:$B$501,0))),""))</f>
        <v/>
      </c>
      <c r="C391" s="6">
        <f>IF(A391="","",IFERROR(INDEX('激励事件明细'!$H$2:$H$501,IF(D391&lt;&gt;"",MATCH(D391,'激励事件明细'!$A$2:$A$501,0),MATCH(E391,'激励事件明细'!$B$2:$B$501,0))),""))</f>
        <v/>
      </c>
      <c r="D391" s="11" t="n"/>
      <c r="E391" s="11" t="n"/>
      <c r="F391" s="14">
        <f>IF(A391="","",IFERROR(INDEX('激励事件明细'!$Z$2:$Z$501,IF(D391&lt;&gt;"",MATCH(D391,'激励事件明细'!$A$2:$A$501,0),MATCH(E391,'激励事件明细'!$B$2:$B$501,0))),""))</f>
        <v/>
      </c>
      <c r="G391" s="16">
        <f>IF(A391="","",IFERROR(INDEX('激励事件明细'!$AA$2:$AA$501,IF(D391&lt;&gt;"",MATCH(D391,'激励事件明细'!$A$2:$A$501,0),MATCH(E391,'激励事件明细'!$B$2:$B$501,0))),""))</f>
        <v/>
      </c>
      <c r="H391" s="16">
        <f>IF(A391="","",IFERROR(INDEX('激励事件明细'!$AB$2:$AB$501,IF(D391&lt;&gt;"",MATCH(D391,'激励事件明细'!$A$2:$A$501,0),MATCH(E391,'激励事件明细'!$B$2:$B$501,0))),""))</f>
        <v/>
      </c>
      <c r="I391" s="12" t="n"/>
      <c r="J391" s="13" t="n"/>
      <c r="K391" s="13" t="n"/>
      <c r="L391" s="11" t="n"/>
      <c r="M391" s="14">
        <f>IF(A391="","",IF(D391&lt;&gt;"",SUMIFS($K$2:$K$501,$D$2:$D$501,D391),SUMIFS($K$2:$K$501,$E$2:$E$501,E391)))</f>
        <v/>
      </c>
      <c r="N391" s="14">
        <f>IF(F391="","",MAX(0,F391-M391))</f>
        <v/>
      </c>
      <c r="O391" s="6">
        <f>IF(A391="","",IF(AND(I391&lt;&gt;"",I391&gt;H391),"是",IF(AND(TODAY()&gt;H391,N391&gt;0),"是","否")))</f>
        <v/>
      </c>
      <c r="P391" s="16">
        <f>IF(A391="","",IFERROR(INDEX('激励事件明细'!$P$2:$P$501,IF(D391&lt;&gt;"",MATCH(D391,'激励事件明细'!$A$2:$A$501,0),MATCH(E391,'激励事件明细'!$B$2:$B$501,0))),""))</f>
        <v/>
      </c>
      <c r="Q391" s="6">
        <f>IF(AND(D391="",E391=""),"异常：必须关联事件编号或税额批次",IF(AND(D391&lt;&gt;"",COUNTIF('激励事件明细'!$A$2:$A$501,D391)=0),"异常：事件编号不存在",IF(AND(E391&lt;&gt;"",COUNTIF('激励事件明细'!$B$2:$B$501,E391)=0),"异常：税额批次不存在",IF(M391&gt;F391,"异常：本批次超额缴税",IF(AND(I391&lt;&gt;"",I391&gt;H391),"异常：超过事件截止日",IF(AND(P391&lt;&gt;"",TODAY()&gt;=P391,N391&gt;0),"异常：离职前未缴清","正常"))))))</f>
        <v/>
      </c>
      <c r="R391" s="11" t="n"/>
    </row>
    <row r="392">
      <c r="A392" s="6">
        <f>IF(AND(D392="",E392=""),"",IFERROR(INDEX('激励事件明细'!$C$2:$C$501,IF(D392&lt;&gt;"",MATCH(D392,'激励事件明细'!$A$2:$A$501,0),MATCH(E392,'激励事件明细'!$B$2:$B$501,0))),""))</f>
        <v/>
      </c>
      <c r="B392" s="6">
        <f>IF(A392="","",IFERROR(INDEX('激励事件明细'!$D$2:$D$501,IF(D392&lt;&gt;"",MATCH(D392,'激励事件明细'!$A$2:$A$501,0),MATCH(E392,'激励事件明细'!$B$2:$B$501,0))),""))</f>
        <v/>
      </c>
      <c r="C392" s="6">
        <f>IF(A392="","",IFERROR(INDEX('激励事件明细'!$H$2:$H$501,IF(D392&lt;&gt;"",MATCH(D392,'激励事件明细'!$A$2:$A$501,0),MATCH(E392,'激励事件明细'!$B$2:$B$501,0))),""))</f>
        <v/>
      </c>
      <c r="D392" s="11" t="n"/>
      <c r="E392" s="11" t="n"/>
      <c r="F392" s="14">
        <f>IF(A392="","",IFERROR(INDEX('激励事件明细'!$Z$2:$Z$501,IF(D392&lt;&gt;"",MATCH(D392,'激励事件明细'!$A$2:$A$501,0),MATCH(E392,'激励事件明细'!$B$2:$B$501,0))),""))</f>
        <v/>
      </c>
      <c r="G392" s="16">
        <f>IF(A392="","",IFERROR(INDEX('激励事件明细'!$AA$2:$AA$501,IF(D392&lt;&gt;"",MATCH(D392,'激励事件明细'!$A$2:$A$501,0),MATCH(E392,'激励事件明细'!$B$2:$B$501,0))),""))</f>
        <v/>
      </c>
      <c r="H392" s="16">
        <f>IF(A392="","",IFERROR(INDEX('激励事件明细'!$AB$2:$AB$501,IF(D392&lt;&gt;"",MATCH(D392,'激励事件明细'!$A$2:$A$501,0),MATCH(E392,'激励事件明细'!$B$2:$B$501,0))),""))</f>
        <v/>
      </c>
      <c r="I392" s="12" t="n"/>
      <c r="J392" s="13" t="n"/>
      <c r="K392" s="13" t="n"/>
      <c r="L392" s="11" t="n"/>
      <c r="M392" s="14">
        <f>IF(A392="","",IF(D392&lt;&gt;"",SUMIFS($K$2:$K$501,$D$2:$D$501,D392),SUMIFS($K$2:$K$501,$E$2:$E$501,E392)))</f>
        <v/>
      </c>
      <c r="N392" s="14">
        <f>IF(F392="","",MAX(0,F392-M392))</f>
        <v/>
      </c>
      <c r="O392" s="6">
        <f>IF(A392="","",IF(AND(I392&lt;&gt;"",I392&gt;H392),"是",IF(AND(TODAY()&gt;H392,N392&gt;0),"是","否")))</f>
        <v/>
      </c>
      <c r="P392" s="16">
        <f>IF(A392="","",IFERROR(INDEX('激励事件明细'!$P$2:$P$501,IF(D392&lt;&gt;"",MATCH(D392,'激励事件明细'!$A$2:$A$501,0),MATCH(E392,'激励事件明细'!$B$2:$B$501,0))),""))</f>
        <v/>
      </c>
      <c r="Q392" s="6">
        <f>IF(AND(D392="",E392=""),"异常：必须关联事件编号或税额批次",IF(AND(D392&lt;&gt;"",COUNTIF('激励事件明细'!$A$2:$A$501,D392)=0),"异常：事件编号不存在",IF(AND(E392&lt;&gt;"",COUNTIF('激励事件明细'!$B$2:$B$501,E392)=0),"异常：税额批次不存在",IF(M392&gt;F392,"异常：本批次超额缴税",IF(AND(I392&lt;&gt;"",I392&gt;H392),"异常：超过事件截止日",IF(AND(P392&lt;&gt;"",TODAY()&gt;=P392,N392&gt;0),"异常：离职前未缴清","正常"))))))</f>
        <v/>
      </c>
      <c r="R392" s="11" t="n"/>
    </row>
    <row r="393">
      <c r="A393" s="6">
        <f>IF(AND(D393="",E393=""),"",IFERROR(INDEX('激励事件明细'!$C$2:$C$501,IF(D393&lt;&gt;"",MATCH(D393,'激励事件明细'!$A$2:$A$501,0),MATCH(E393,'激励事件明细'!$B$2:$B$501,0))),""))</f>
        <v/>
      </c>
      <c r="B393" s="6">
        <f>IF(A393="","",IFERROR(INDEX('激励事件明细'!$D$2:$D$501,IF(D393&lt;&gt;"",MATCH(D393,'激励事件明细'!$A$2:$A$501,0),MATCH(E393,'激励事件明细'!$B$2:$B$501,0))),""))</f>
        <v/>
      </c>
      <c r="C393" s="6">
        <f>IF(A393="","",IFERROR(INDEX('激励事件明细'!$H$2:$H$501,IF(D393&lt;&gt;"",MATCH(D393,'激励事件明细'!$A$2:$A$501,0),MATCH(E393,'激励事件明细'!$B$2:$B$501,0))),""))</f>
        <v/>
      </c>
      <c r="D393" s="11" t="n"/>
      <c r="E393" s="11" t="n"/>
      <c r="F393" s="14">
        <f>IF(A393="","",IFERROR(INDEX('激励事件明细'!$Z$2:$Z$501,IF(D393&lt;&gt;"",MATCH(D393,'激励事件明细'!$A$2:$A$501,0),MATCH(E393,'激励事件明细'!$B$2:$B$501,0))),""))</f>
        <v/>
      </c>
      <c r="G393" s="16">
        <f>IF(A393="","",IFERROR(INDEX('激励事件明细'!$AA$2:$AA$501,IF(D393&lt;&gt;"",MATCH(D393,'激励事件明细'!$A$2:$A$501,0),MATCH(E393,'激励事件明细'!$B$2:$B$501,0))),""))</f>
        <v/>
      </c>
      <c r="H393" s="16">
        <f>IF(A393="","",IFERROR(INDEX('激励事件明细'!$AB$2:$AB$501,IF(D393&lt;&gt;"",MATCH(D393,'激励事件明细'!$A$2:$A$501,0),MATCH(E393,'激励事件明细'!$B$2:$B$501,0))),""))</f>
        <v/>
      </c>
      <c r="I393" s="12" t="n"/>
      <c r="J393" s="13" t="n"/>
      <c r="K393" s="13" t="n"/>
      <c r="L393" s="11" t="n"/>
      <c r="M393" s="14">
        <f>IF(A393="","",IF(D393&lt;&gt;"",SUMIFS($K$2:$K$501,$D$2:$D$501,D393),SUMIFS($K$2:$K$501,$E$2:$E$501,E393)))</f>
        <v/>
      </c>
      <c r="N393" s="14">
        <f>IF(F393="","",MAX(0,F393-M393))</f>
        <v/>
      </c>
      <c r="O393" s="6">
        <f>IF(A393="","",IF(AND(I393&lt;&gt;"",I393&gt;H393),"是",IF(AND(TODAY()&gt;H393,N393&gt;0),"是","否")))</f>
        <v/>
      </c>
      <c r="P393" s="16">
        <f>IF(A393="","",IFERROR(INDEX('激励事件明细'!$P$2:$P$501,IF(D393&lt;&gt;"",MATCH(D393,'激励事件明细'!$A$2:$A$501,0),MATCH(E393,'激励事件明细'!$B$2:$B$501,0))),""))</f>
        <v/>
      </c>
      <c r="Q393" s="6">
        <f>IF(AND(D393="",E393=""),"异常：必须关联事件编号或税额批次",IF(AND(D393&lt;&gt;"",COUNTIF('激励事件明细'!$A$2:$A$501,D393)=0),"异常：事件编号不存在",IF(AND(E393&lt;&gt;"",COUNTIF('激励事件明细'!$B$2:$B$501,E393)=0),"异常：税额批次不存在",IF(M393&gt;F393,"异常：本批次超额缴税",IF(AND(I393&lt;&gt;"",I393&gt;H393),"异常：超过事件截止日",IF(AND(P393&lt;&gt;"",TODAY()&gt;=P393,N393&gt;0),"异常：离职前未缴清","正常"))))))</f>
        <v/>
      </c>
      <c r="R393" s="11" t="n"/>
    </row>
    <row r="394">
      <c r="A394" s="6">
        <f>IF(AND(D394="",E394=""),"",IFERROR(INDEX('激励事件明细'!$C$2:$C$501,IF(D394&lt;&gt;"",MATCH(D394,'激励事件明细'!$A$2:$A$501,0),MATCH(E394,'激励事件明细'!$B$2:$B$501,0))),""))</f>
        <v/>
      </c>
      <c r="B394" s="6">
        <f>IF(A394="","",IFERROR(INDEX('激励事件明细'!$D$2:$D$501,IF(D394&lt;&gt;"",MATCH(D394,'激励事件明细'!$A$2:$A$501,0),MATCH(E394,'激励事件明细'!$B$2:$B$501,0))),""))</f>
        <v/>
      </c>
      <c r="C394" s="6">
        <f>IF(A394="","",IFERROR(INDEX('激励事件明细'!$H$2:$H$501,IF(D394&lt;&gt;"",MATCH(D394,'激励事件明细'!$A$2:$A$501,0),MATCH(E394,'激励事件明细'!$B$2:$B$501,0))),""))</f>
        <v/>
      </c>
      <c r="D394" s="11" t="n"/>
      <c r="E394" s="11" t="n"/>
      <c r="F394" s="14">
        <f>IF(A394="","",IFERROR(INDEX('激励事件明细'!$Z$2:$Z$501,IF(D394&lt;&gt;"",MATCH(D394,'激励事件明细'!$A$2:$A$501,0),MATCH(E394,'激励事件明细'!$B$2:$B$501,0))),""))</f>
        <v/>
      </c>
      <c r="G394" s="16">
        <f>IF(A394="","",IFERROR(INDEX('激励事件明细'!$AA$2:$AA$501,IF(D394&lt;&gt;"",MATCH(D394,'激励事件明细'!$A$2:$A$501,0),MATCH(E394,'激励事件明细'!$B$2:$B$501,0))),""))</f>
        <v/>
      </c>
      <c r="H394" s="16">
        <f>IF(A394="","",IFERROR(INDEX('激励事件明细'!$AB$2:$AB$501,IF(D394&lt;&gt;"",MATCH(D394,'激励事件明细'!$A$2:$A$501,0),MATCH(E394,'激励事件明细'!$B$2:$B$501,0))),""))</f>
        <v/>
      </c>
      <c r="I394" s="12" t="n"/>
      <c r="J394" s="13" t="n"/>
      <c r="K394" s="13" t="n"/>
      <c r="L394" s="11" t="n"/>
      <c r="M394" s="14">
        <f>IF(A394="","",IF(D394&lt;&gt;"",SUMIFS($K$2:$K$501,$D$2:$D$501,D394),SUMIFS($K$2:$K$501,$E$2:$E$501,E394)))</f>
        <v/>
      </c>
      <c r="N394" s="14">
        <f>IF(F394="","",MAX(0,F394-M394))</f>
        <v/>
      </c>
      <c r="O394" s="6">
        <f>IF(A394="","",IF(AND(I394&lt;&gt;"",I394&gt;H394),"是",IF(AND(TODAY()&gt;H394,N394&gt;0),"是","否")))</f>
        <v/>
      </c>
      <c r="P394" s="16">
        <f>IF(A394="","",IFERROR(INDEX('激励事件明细'!$P$2:$P$501,IF(D394&lt;&gt;"",MATCH(D394,'激励事件明细'!$A$2:$A$501,0),MATCH(E394,'激励事件明细'!$B$2:$B$501,0))),""))</f>
        <v/>
      </c>
      <c r="Q394" s="6">
        <f>IF(AND(D394="",E394=""),"异常：必须关联事件编号或税额批次",IF(AND(D394&lt;&gt;"",COUNTIF('激励事件明细'!$A$2:$A$501,D394)=0),"异常：事件编号不存在",IF(AND(E394&lt;&gt;"",COUNTIF('激励事件明细'!$B$2:$B$501,E394)=0),"异常：税额批次不存在",IF(M394&gt;F394,"异常：本批次超额缴税",IF(AND(I394&lt;&gt;"",I394&gt;H394),"异常：超过事件截止日",IF(AND(P394&lt;&gt;"",TODAY()&gt;=P394,N394&gt;0),"异常：离职前未缴清","正常"))))))</f>
        <v/>
      </c>
      <c r="R394" s="11" t="n"/>
    </row>
    <row r="395">
      <c r="A395" s="6">
        <f>IF(AND(D395="",E395=""),"",IFERROR(INDEX('激励事件明细'!$C$2:$C$501,IF(D395&lt;&gt;"",MATCH(D395,'激励事件明细'!$A$2:$A$501,0),MATCH(E395,'激励事件明细'!$B$2:$B$501,0))),""))</f>
        <v/>
      </c>
      <c r="B395" s="6">
        <f>IF(A395="","",IFERROR(INDEX('激励事件明细'!$D$2:$D$501,IF(D395&lt;&gt;"",MATCH(D395,'激励事件明细'!$A$2:$A$501,0),MATCH(E395,'激励事件明细'!$B$2:$B$501,0))),""))</f>
        <v/>
      </c>
      <c r="C395" s="6">
        <f>IF(A395="","",IFERROR(INDEX('激励事件明细'!$H$2:$H$501,IF(D395&lt;&gt;"",MATCH(D395,'激励事件明细'!$A$2:$A$501,0),MATCH(E395,'激励事件明细'!$B$2:$B$501,0))),""))</f>
        <v/>
      </c>
      <c r="D395" s="11" t="n"/>
      <c r="E395" s="11" t="n"/>
      <c r="F395" s="14">
        <f>IF(A395="","",IFERROR(INDEX('激励事件明细'!$Z$2:$Z$501,IF(D395&lt;&gt;"",MATCH(D395,'激励事件明细'!$A$2:$A$501,0),MATCH(E395,'激励事件明细'!$B$2:$B$501,0))),""))</f>
        <v/>
      </c>
      <c r="G395" s="16">
        <f>IF(A395="","",IFERROR(INDEX('激励事件明细'!$AA$2:$AA$501,IF(D395&lt;&gt;"",MATCH(D395,'激励事件明细'!$A$2:$A$501,0),MATCH(E395,'激励事件明细'!$B$2:$B$501,0))),""))</f>
        <v/>
      </c>
      <c r="H395" s="16">
        <f>IF(A395="","",IFERROR(INDEX('激励事件明细'!$AB$2:$AB$501,IF(D395&lt;&gt;"",MATCH(D395,'激励事件明细'!$A$2:$A$501,0),MATCH(E395,'激励事件明细'!$B$2:$B$501,0))),""))</f>
        <v/>
      </c>
      <c r="I395" s="12" t="n"/>
      <c r="J395" s="13" t="n"/>
      <c r="K395" s="13" t="n"/>
      <c r="L395" s="11" t="n"/>
      <c r="M395" s="14">
        <f>IF(A395="","",IF(D395&lt;&gt;"",SUMIFS($K$2:$K$501,$D$2:$D$501,D395),SUMIFS($K$2:$K$501,$E$2:$E$501,E395)))</f>
        <v/>
      </c>
      <c r="N395" s="14">
        <f>IF(F395="","",MAX(0,F395-M395))</f>
        <v/>
      </c>
      <c r="O395" s="6">
        <f>IF(A395="","",IF(AND(I395&lt;&gt;"",I395&gt;H395),"是",IF(AND(TODAY()&gt;H395,N395&gt;0),"是","否")))</f>
        <v/>
      </c>
      <c r="P395" s="16">
        <f>IF(A395="","",IFERROR(INDEX('激励事件明细'!$P$2:$P$501,IF(D395&lt;&gt;"",MATCH(D395,'激励事件明细'!$A$2:$A$501,0),MATCH(E395,'激励事件明细'!$B$2:$B$501,0))),""))</f>
        <v/>
      </c>
      <c r="Q395" s="6">
        <f>IF(AND(D395="",E395=""),"异常：必须关联事件编号或税额批次",IF(AND(D395&lt;&gt;"",COUNTIF('激励事件明细'!$A$2:$A$501,D395)=0),"异常：事件编号不存在",IF(AND(E395&lt;&gt;"",COUNTIF('激励事件明细'!$B$2:$B$501,E395)=0),"异常：税额批次不存在",IF(M395&gt;F395,"异常：本批次超额缴税",IF(AND(I395&lt;&gt;"",I395&gt;H395),"异常：超过事件截止日",IF(AND(P395&lt;&gt;"",TODAY()&gt;=P395,N395&gt;0),"异常：离职前未缴清","正常"))))))</f>
        <v/>
      </c>
      <c r="R395" s="11" t="n"/>
    </row>
    <row r="396">
      <c r="A396" s="6">
        <f>IF(AND(D396="",E396=""),"",IFERROR(INDEX('激励事件明细'!$C$2:$C$501,IF(D396&lt;&gt;"",MATCH(D396,'激励事件明细'!$A$2:$A$501,0),MATCH(E396,'激励事件明细'!$B$2:$B$501,0))),""))</f>
        <v/>
      </c>
      <c r="B396" s="6">
        <f>IF(A396="","",IFERROR(INDEX('激励事件明细'!$D$2:$D$501,IF(D396&lt;&gt;"",MATCH(D396,'激励事件明细'!$A$2:$A$501,0),MATCH(E396,'激励事件明细'!$B$2:$B$501,0))),""))</f>
        <v/>
      </c>
      <c r="C396" s="6">
        <f>IF(A396="","",IFERROR(INDEX('激励事件明细'!$H$2:$H$501,IF(D396&lt;&gt;"",MATCH(D396,'激励事件明细'!$A$2:$A$501,0),MATCH(E396,'激励事件明细'!$B$2:$B$501,0))),""))</f>
        <v/>
      </c>
      <c r="D396" s="11" t="n"/>
      <c r="E396" s="11" t="n"/>
      <c r="F396" s="14">
        <f>IF(A396="","",IFERROR(INDEX('激励事件明细'!$Z$2:$Z$501,IF(D396&lt;&gt;"",MATCH(D396,'激励事件明细'!$A$2:$A$501,0),MATCH(E396,'激励事件明细'!$B$2:$B$501,0))),""))</f>
        <v/>
      </c>
      <c r="G396" s="16">
        <f>IF(A396="","",IFERROR(INDEX('激励事件明细'!$AA$2:$AA$501,IF(D396&lt;&gt;"",MATCH(D396,'激励事件明细'!$A$2:$A$501,0),MATCH(E396,'激励事件明细'!$B$2:$B$501,0))),""))</f>
        <v/>
      </c>
      <c r="H396" s="16">
        <f>IF(A396="","",IFERROR(INDEX('激励事件明细'!$AB$2:$AB$501,IF(D396&lt;&gt;"",MATCH(D396,'激励事件明细'!$A$2:$A$501,0),MATCH(E396,'激励事件明细'!$B$2:$B$501,0))),""))</f>
        <v/>
      </c>
      <c r="I396" s="12" t="n"/>
      <c r="J396" s="13" t="n"/>
      <c r="K396" s="13" t="n"/>
      <c r="L396" s="11" t="n"/>
      <c r="M396" s="14">
        <f>IF(A396="","",IF(D396&lt;&gt;"",SUMIFS($K$2:$K$501,$D$2:$D$501,D396),SUMIFS($K$2:$K$501,$E$2:$E$501,E396)))</f>
        <v/>
      </c>
      <c r="N396" s="14">
        <f>IF(F396="","",MAX(0,F396-M396))</f>
        <v/>
      </c>
      <c r="O396" s="6">
        <f>IF(A396="","",IF(AND(I396&lt;&gt;"",I396&gt;H396),"是",IF(AND(TODAY()&gt;H396,N396&gt;0),"是","否")))</f>
        <v/>
      </c>
      <c r="P396" s="16">
        <f>IF(A396="","",IFERROR(INDEX('激励事件明细'!$P$2:$P$501,IF(D396&lt;&gt;"",MATCH(D396,'激励事件明细'!$A$2:$A$501,0),MATCH(E396,'激励事件明细'!$B$2:$B$501,0))),""))</f>
        <v/>
      </c>
      <c r="Q396" s="6">
        <f>IF(AND(D396="",E396=""),"异常：必须关联事件编号或税额批次",IF(AND(D396&lt;&gt;"",COUNTIF('激励事件明细'!$A$2:$A$501,D396)=0),"异常：事件编号不存在",IF(AND(E396&lt;&gt;"",COUNTIF('激励事件明细'!$B$2:$B$501,E396)=0),"异常：税额批次不存在",IF(M396&gt;F396,"异常：本批次超额缴税",IF(AND(I396&lt;&gt;"",I396&gt;H396),"异常：超过事件截止日",IF(AND(P396&lt;&gt;"",TODAY()&gt;=P396,N396&gt;0),"异常：离职前未缴清","正常"))))))</f>
        <v/>
      </c>
      <c r="R396" s="11" t="n"/>
    </row>
    <row r="397">
      <c r="A397" s="6">
        <f>IF(AND(D397="",E397=""),"",IFERROR(INDEX('激励事件明细'!$C$2:$C$501,IF(D397&lt;&gt;"",MATCH(D397,'激励事件明细'!$A$2:$A$501,0),MATCH(E397,'激励事件明细'!$B$2:$B$501,0))),""))</f>
        <v/>
      </c>
      <c r="B397" s="6">
        <f>IF(A397="","",IFERROR(INDEX('激励事件明细'!$D$2:$D$501,IF(D397&lt;&gt;"",MATCH(D397,'激励事件明细'!$A$2:$A$501,0),MATCH(E397,'激励事件明细'!$B$2:$B$501,0))),""))</f>
        <v/>
      </c>
      <c r="C397" s="6">
        <f>IF(A397="","",IFERROR(INDEX('激励事件明细'!$H$2:$H$501,IF(D397&lt;&gt;"",MATCH(D397,'激励事件明细'!$A$2:$A$501,0),MATCH(E397,'激励事件明细'!$B$2:$B$501,0))),""))</f>
        <v/>
      </c>
      <c r="D397" s="11" t="n"/>
      <c r="E397" s="11" t="n"/>
      <c r="F397" s="14">
        <f>IF(A397="","",IFERROR(INDEX('激励事件明细'!$Z$2:$Z$501,IF(D397&lt;&gt;"",MATCH(D397,'激励事件明细'!$A$2:$A$501,0),MATCH(E397,'激励事件明细'!$B$2:$B$501,0))),""))</f>
        <v/>
      </c>
      <c r="G397" s="16">
        <f>IF(A397="","",IFERROR(INDEX('激励事件明细'!$AA$2:$AA$501,IF(D397&lt;&gt;"",MATCH(D397,'激励事件明细'!$A$2:$A$501,0),MATCH(E397,'激励事件明细'!$B$2:$B$501,0))),""))</f>
        <v/>
      </c>
      <c r="H397" s="16">
        <f>IF(A397="","",IFERROR(INDEX('激励事件明细'!$AB$2:$AB$501,IF(D397&lt;&gt;"",MATCH(D397,'激励事件明细'!$A$2:$A$501,0),MATCH(E397,'激励事件明细'!$B$2:$B$501,0))),""))</f>
        <v/>
      </c>
      <c r="I397" s="12" t="n"/>
      <c r="J397" s="13" t="n"/>
      <c r="K397" s="13" t="n"/>
      <c r="L397" s="11" t="n"/>
      <c r="M397" s="14">
        <f>IF(A397="","",IF(D397&lt;&gt;"",SUMIFS($K$2:$K$501,$D$2:$D$501,D397),SUMIFS($K$2:$K$501,$E$2:$E$501,E397)))</f>
        <v/>
      </c>
      <c r="N397" s="14">
        <f>IF(F397="","",MAX(0,F397-M397))</f>
        <v/>
      </c>
      <c r="O397" s="6">
        <f>IF(A397="","",IF(AND(I397&lt;&gt;"",I397&gt;H397),"是",IF(AND(TODAY()&gt;H397,N397&gt;0),"是","否")))</f>
        <v/>
      </c>
      <c r="P397" s="16">
        <f>IF(A397="","",IFERROR(INDEX('激励事件明细'!$P$2:$P$501,IF(D397&lt;&gt;"",MATCH(D397,'激励事件明细'!$A$2:$A$501,0),MATCH(E397,'激励事件明细'!$B$2:$B$501,0))),""))</f>
        <v/>
      </c>
      <c r="Q397" s="6">
        <f>IF(AND(D397="",E397=""),"异常：必须关联事件编号或税额批次",IF(AND(D397&lt;&gt;"",COUNTIF('激励事件明细'!$A$2:$A$501,D397)=0),"异常：事件编号不存在",IF(AND(E397&lt;&gt;"",COUNTIF('激励事件明细'!$B$2:$B$501,E397)=0),"异常：税额批次不存在",IF(M397&gt;F397,"异常：本批次超额缴税",IF(AND(I397&lt;&gt;"",I397&gt;H397),"异常：超过事件截止日",IF(AND(P397&lt;&gt;"",TODAY()&gt;=P397,N397&gt;0),"异常：离职前未缴清","正常"))))))</f>
        <v/>
      </c>
      <c r="R397" s="11" t="n"/>
    </row>
    <row r="398">
      <c r="A398" s="6">
        <f>IF(AND(D398="",E398=""),"",IFERROR(INDEX('激励事件明细'!$C$2:$C$501,IF(D398&lt;&gt;"",MATCH(D398,'激励事件明细'!$A$2:$A$501,0),MATCH(E398,'激励事件明细'!$B$2:$B$501,0))),""))</f>
        <v/>
      </c>
      <c r="B398" s="6">
        <f>IF(A398="","",IFERROR(INDEX('激励事件明细'!$D$2:$D$501,IF(D398&lt;&gt;"",MATCH(D398,'激励事件明细'!$A$2:$A$501,0),MATCH(E398,'激励事件明细'!$B$2:$B$501,0))),""))</f>
        <v/>
      </c>
      <c r="C398" s="6">
        <f>IF(A398="","",IFERROR(INDEX('激励事件明细'!$H$2:$H$501,IF(D398&lt;&gt;"",MATCH(D398,'激励事件明细'!$A$2:$A$501,0),MATCH(E398,'激励事件明细'!$B$2:$B$501,0))),""))</f>
        <v/>
      </c>
      <c r="D398" s="11" t="n"/>
      <c r="E398" s="11" t="n"/>
      <c r="F398" s="14">
        <f>IF(A398="","",IFERROR(INDEX('激励事件明细'!$Z$2:$Z$501,IF(D398&lt;&gt;"",MATCH(D398,'激励事件明细'!$A$2:$A$501,0),MATCH(E398,'激励事件明细'!$B$2:$B$501,0))),""))</f>
        <v/>
      </c>
      <c r="G398" s="16">
        <f>IF(A398="","",IFERROR(INDEX('激励事件明细'!$AA$2:$AA$501,IF(D398&lt;&gt;"",MATCH(D398,'激励事件明细'!$A$2:$A$501,0),MATCH(E398,'激励事件明细'!$B$2:$B$501,0))),""))</f>
        <v/>
      </c>
      <c r="H398" s="16">
        <f>IF(A398="","",IFERROR(INDEX('激励事件明细'!$AB$2:$AB$501,IF(D398&lt;&gt;"",MATCH(D398,'激励事件明细'!$A$2:$A$501,0),MATCH(E398,'激励事件明细'!$B$2:$B$501,0))),""))</f>
        <v/>
      </c>
      <c r="I398" s="12" t="n"/>
      <c r="J398" s="13" t="n"/>
      <c r="K398" s="13" t="n"/>
      <c r="L398" s="11" t="n"/>
      <c r="M398" s="14">
        <f>IF(A398="","",IF(D398&lt;&gt;"",SUMIFS($K$2:$K$501,$D$2:$D$501,D398),SUMIFS($K$2:$K$501,$E$2:$E$501,E398)))</f>
        <v/>
      </c>
      <c r="N398" s="14">
        <f>IF(F398="","",MAX(0,F398-M398))</f>
        <v/>
      </c>
      <c r="O398" s="6">
        <f>IF(A398="","",IF(AND(I398&lt;&gt;"",I398&gt;H398),"是",IF(AND(TODAY()&gt;H398,N398&gt;0),"是","否")))</f>
        <v/>
      </c>
      <c r="P398" s="16">
        <f>IF(A398="","",IFERROR(INDEX('激励事件明细'!$P$2:$P$501,IF(D398&lt;&gt;"",MATCH(D398,'激励事件明细'!$A$2:$A$501,0),MATCH(E398,'激励事件明细'!$B$2:$B$501,0))),""))</f>
        <v/>
      </c>
      <c r="Q398" s="6">
        <f>IF(AND(D398="",E398=""),"异常：必须关联事件编号或税额批次",IF(AND(D398&lt;&gt;"",COUNTIF('激励事件明细'!$A$2:$A$501,D398)=0),"异常：事件编号不存在",IF(AND(E398&lt;&gt;"",COUNTIF('激励事件明细'!$B$2:$B$501,E398)=0),"异常：税额批次不存在",IF(M398&gt;F398,"异常：本批次超额缴税",IF(AND(I398&lt;&gt;"",I398&gt;H398),"异常：超过事件截止日",IF(AND(P398&lt;&gt;"",TODAY()&gt;=P398,N398&gt;0),"异常：离职前未缴清","正常"))))))</f>
        <v/>
      </c>
      <c r="R398" s="11" t="n"/>
    </row>
    <row r="399">
      <c r="A399" s="6">
        <f>IF(AND(D399="",E399=""),"",IFERROR(INDEX('激励事件明细'!$C$2:$C$501,IF(D399&lt;&gt;"",MATCH(D399,'激励事件明细'!$A$2:$A$501,0),MATCH(E399,'激励事件明细'!$B$2:$B$501,0))),""))</f>
        <v/>
      </c>
      <c r="B399" s="6">
        <f>IF(A399="","",IFERROR(INDEX('激励事件明细'!$D$2:$D$501,IF(D399&lt;&gt;"",MATCH(D399,'激励事件明细'!$A$2:$A$501,0),MATCH(E399,'激励事件明细'!$B$2:$B$501,0))),""))</f>
        <v/>
      </c>
      <c r="C399" s="6">
        <f>IF(A399="","",IFERROR(INDEX('激励事件明细'!$H$2:$H$501,IF(D399&lt;&gt;"",MATCH(D399,'激励事件明细'!$A$2:$A$501,0),MATCH(E399,'激励事件明细'!$B$2:$B$501,0))),""))</f>
        <v/>
      </c>
      <c r="D399" s="11" t="n"/>
      <c r="E399" s="11" t="n"/>
      <c r="F399" s="14">
        <f>IF(A399="","",IFERROR(INDEX('激励事件明细'!$Z$2:$Z$501,IF(D399&lt;&gt;"",MATCH(D399,'激励事件明细'!$A$2:$A$501,0),MATCH(E399,'激励事件明细'!$B$2:$B$501,0))),""))</f>
        <v/>
      </c>
      <c r="G399" s="16">
        <f>IF(A399="","",IFERROR(INDEX('激励事件明细'!$AA$2:$AA$501,IF(D399&lt;&gt;"",MATCH(D399,'激励事件明细'!$A$2:$A$501,0),MATCH(E399,'激励事件明细'!$B$2:$B$501,0))),""))</f>
        <v/>
      </c>
      <c r="H399" s="16">
        <f>IF(A399="","",IFERROR(INDEX('激励事件明细'!$AB$2:$AB$501,IF(D399&lt;&gt;"",MATCH(D399,'激励事件明细'!$A$2:$A$501,0),MATCH(E399,'激励事件明细'!$B$2:$B$501,0))),""))</f>
        <v/>
      </c>
      <c r="I399" s="12" t="n"/>
      <c r="J399" s="13" t="n"/>
      <c r="K399" s="13" t="n"/>
      <c r="L399" s="11" t="n"/>
      <c r="M399" s="14">
        <f>IF(A399="","",IF(D399&lt;&gt;"",SUMIFS($K$2:$K$501,$D$2:$D$501,D399),SUMIFS($K$2:$K$501,$E$2:$E$501,E399)))</f>
        <v/>
      </c>
      <c r="N399" s="14">
        <f>IF(F399="","",MAX(0,F399-M399))</f>
        <v/>
      </c>
      <c r="O399" s="6">
        <f>IF(A399="","",IF(AND(I399&lt;&gt;"",I399&gt;H399),"是",IF(AND(TODAY()&gt;H399,N399&gt;0),"是","否")))</f>
        <v/>
      </c>
      <c r="P399" s="16">
        <f>IF(A399="","",IFERROR(INDEX('激励事件明细'!$P$2:$P$501,IF(D399&lt;&gt;"",MATCH(D399,'激励事件明细'!$A$2:$A$501,0),MATCH(E399,'激励事件明细'!$B$2:$B$501,0))),""))</f>
        <v/>
      </c>
      <c r="Q399" s="6">
        <f>IF(AND(D399="",E399=""),"异常：必须关联事件编号或税额批次",IF(AND(D399&lt;&gt;"",COUNTIF('激励事件明细'!$A$2:$A$501,D399)=0),"异常：事件编号不存在",IF(AND(E399&lt;&gt;"",COUNTIF('激励事件明细'!$B$2:$B$501,E399)=0),"异常：税额批次不存在",IF(M399&gt;F399,"异常：本批次超额缴税",IF(AND(I399&lt;&gt;"",I399&gt;H399),"异常：超过事件截止日",IF(AND(P399&lt;&gt;"",TODAY()&gt;=P399,N399&gt;0),"异常：离职前未缴清","正常"))))))</f>
        <v/>
      </c>
      <c r="R399" s="11" t="n"/>
    </row>
    <row r="400">
      <c r="A400" s="6">
        <f>IF(AND(D400="",E400=""),"",IFERROR(INDEX('激励事件明细'!$C$2:$C$501,IF(D400&lt;&gt;"",MATCH(D400,'激励事件明细'!$A$2:$A$501,0),MATCH(E400,'激励事件明细'!$B$2:$B$501,0))),""))</f>
        <v/>
      </c>
      <c r="B400" s="6">
        <f>IF(A400="","",IFERROR(INDEX('激励事件明细'!$D$2:$D$501,IF(D400&lt;&gt;"",MATCH(D400,'激励事件明细'!$A$2:$A$501,0),MATCH(E400,'激励事件明细'!$B$2:$B$501,0))),""))</f>
        <v/>
      </c>
      <c r="C400" s="6">
        <f>IF(A400="","",IFERROR(INDEX('激励事件明细'!$H$2:$H$501,IF(D400&lt;&gt;"",MATCH(D400,'激励事件明细'!$A$2:$A$501,0),MATCH(E400,'激励事件明细'!$B$2:$B$501,0))),""))</f>
        <v/>
      </c>
      <c r="D400" s="11" t="n"/>
      <c r="E400" s="11" t="n"/>
      <c r="F400" s="14">
        <f>IF(A400="","",IFERROR(INDEX('激励事件明细'!$Z$2:$Z$501,IF(D400&lt;&gt;"",MATCH(D400,'激励事件明细'!$A$2:$A$501,0),MATCH(E400,'激励事件明细'!$B$2:$B$501,0))),""))</f>
        <v/>
      </c>
      <c r="G400" s="16">
        <f>IF(A400="","",IFERROR(INDEX('激励事件明细'!$AA$2:$AA$501,IF(D400&lt;&gt;"",MATCH(D400,'激励事件明细'!$A$2:$A$501,0),MATCH(E400,'激励事件明细'!$B$2:$B$501,0))),""))</f>
        <v/>
      </c>
      <c r="H400" s="16">
        <f>IF(A400="","",IFERROR(INDEX('激励事件明细'!$AB$2:$AB$501,IF(D400&lt;&gt;"",MATCH(D400,'激励事件明细'!$A$2:$A$501,0),MATCH(E400,'激励事件明细'!$B$2:$B$501,0))),""))</f>
        <v/>
      </c>
      <c r="I400" s="12" t="n"/>
      <c r="J400" s="13" t="n"/>
      <c r="K400" s="13" t="n"/>
      <c r="L400" s="11" t="n"/>
      <c r="M400" s="14">
        <f>IF(A400="","",IF(D400&lt;&gt;"",SUMIFS($K$2:$K$501,$D$2:$D$501,D400),SUMIFS($K$2:$K$501,$E$2:$E$501,E400)))</f>
        <v/>
      </c>
      <c r="N400" s="14">
        <f>IF(F400="","",MAX(0,F400-M400))</f>
        <v/>
      </c>
      <c r="O400" s="6">
        <f>IF(A400="","",IF(AND(I400&lt;&gt;"",I400&gt;H400),"是",IF(AND(TODAY()&gt;H400,N400&gt;0),"是","否")))</f>
        <v/>
      </c>
      <c r="P400" s="16">
        <f>IF(A400="","",IFERROR(INDEX('激励事件明细'!$P$2:$P$501,IF(D400&lt;&gt;"",MATCH(D400,'激励事件明细'!$A$2:$A$501,0),MATCH(E400,'激励事件明细'!$B$2:$B$501,0))),""))</f>
        <v/>
      </c>
      <c r="Q400" s="6">
        <f>IF(AND(D400="",E400=""),"异常：必须关联事件编号或税额批次",IF(AND(D400&lt;&gt;"",COUNTIF('激励事件明细'!$A$2:$A$501,D400)=0),"异常：事件编号不存在",IF(AND(E400&lt;&gt;"",COUNTIF('激励事件明细'!$B$2:$B$501,E400)=0),"异常：税额批次不存在",IF(M400&gt;F400,"异常：本批次超额缴税",IF(AND(I400&lt;&gt;"",I400&gt;H400),"异常：超过事件截止日",IF(AND(P400&lt;&gt;"",TODAY()&gt;=P400,N400&gt;0),"异常：离职前未缴清","正常"))))))</f>
        <v/>
      </c>
      <c r="R400" s="11" t="n"/>
    </row>
    <row r="401">
      <c r="A401" s="6">
        <f>IF(AND(D401="",E401=""),"",IFERROR(INDEX('激励事件明细'!$C$2:$C$501,IF(D401&lt;&gt;"",MATCH(D401,'激励事件明细'!$A$2:$A$501,0),MATCH(E401,'激励事件明细'!$B$2:$B$501,0))),""))</f>
        <v/>
      </c>
      <c r="B401" s="6">
        <f>IF(A401="","",IFERROR(INDEX('激励事件明细'!$D$2:$D$501,IF(D401&lt;&gt;"",MATCH(D401,'激励事件明细'!$A$2:$A$501,0),MATCH(E401,'激励事件明细'!$B$2:$B$501,0))),""))</f>
        <v/>
      </c>
      <c r="C401" s="6">
        <f>IF(A401="","",IFERROR(INDEX('激励事件明细'!$H$2:$H$501,IF(D401&lt;&gt;"",MATCH(D401,'激励事件明细'!$A$2:$A$501,0),MATCH(E401,'激励事件明细'!$B$2:$B$501,0))),""))</f>
        <v/>
      </c>
      <c r="D401" s="11" t="n"/>
      <c r="E401" s="11" t="n"/>
      <c r="F401" s="14">
        <f>IF(A401="","",IFERROR(INDEX('激励事件明细'!$Z$2:$Z$501,IF(D401&lt;&gt;"",MATCH(D401,'激励事件明细'!$A$2:$A$501,0),MATCH(E401,'激励事件明细'!$B$2:$B$501,0))),""))</f>
        <v/>
      </c>
      <c r="G401" s="16">
        <f>IF(A401="","",IFERROR(INDEX('激励事件明细'!$AA$2:$AA$501,IF(D401&lt;&gt;"",MATCH(D401,'激励事件明细'!$A$2:$A$501,0),MATCH(E401,'激励事件明细'!$B$2:$B$501,0))),""))</f>
        <v/>
      </c>
      <c r="H401" s="16">
        <f>IF(A401="","",IFERROR(INDEX('激励事件明细'!$AB$2:$AB$501,IF(D401&lt;&gt;"",MATCH(D401,'激励事件明细'!$A$2:$A$501,0),MATCH(E401,'激励事件明细'!$B$2:$B$501,0))),""))</f>
        <v/>
      </c>
      <c r="I401" s="12" t="n"/>
      <c r="J401" s="13" t="n"/>
      <c r="K401" s="13" t="n"/>
      <c r="L401" s="11" t="n"/>
      <c r="M401" s="14">
        <f>IF(A401="","",IF(D401&lt;&gt;"",SUMIFS($K$2:$K$501,$D$2:$D$501,D401),SUMIFS($K$2:$K$501,$E$2:$E$501,E401)))</f>
        <v/>
      </c>
      <c r="N401" s="14">
        <f>IF(F401="","",MAX(0,F401-M401))</f>
        <v/>
      </c>
      <c r="O401" s="6">
        <f>IF(A401="","",IF(AND(I401&lt;&gt;"",I401&gt;H401),"是",IF(AND(TODAY()&gt;H401,N401&gt;0),"是","否")))</f>
        <v/>
      </c>
      <c r="P401" s="16">
        <f>IF(A401="","",IFERROR(INDEX('激励事件明细'!$P$2:$P$501,IF(D401&lt;&gt;"",MATCH(D401,'激励事件明细'!$A$2:$A$501,0),MATCH(E401,'激励事件明细'!$B$2:$B$501,0))),""))</f>
        <v/>
      </c>
      <c r="Q401" s="6">
        <f>IF(AND(D401="",E401=""),"异常：必须关联事件编号或税额批次",IF(AND(D401&lt;&gt;"",COUNTIF('激励事件明细'!$A$2:$A$501,D401)=0),"异常：事件编号不存在",IF(AND(E401&lt;&gt;"",COUNTIF('激励事件明细'!$B$2:$B$501,E401)=0),"异常：税额批次不存在",IF(M401&gt;F401,"异常：本批次超额缴税",IF(AND(I401&lt;&gt;"",I401&gt;H401),"异常：超过事件截止日",IF(AND(P401&lt;&gt;"",TODAY()&gt;=P401,N401&gt;0),"异常：离职前未缴清","正常"))))))</f>
        <v/>
      </c>
      <c r="R401" s="11" t="n"/>
    </row>
    <row r="402">
      <c r="A402" s="6">
        <f>IF(AND(D402="",E402=""),"",IFERROR(INDEX('激励事件明细'!$C$2:$C$501,IF(D402&lt;&gt;"",MATCH(D402,'激励事件明细'!$A$2:$A$501,0),MATCH(E402,'激励事件明细'!$B$2:$B$501,0))),""))</f>
        <v/>
      </c>
      <c r="B402" s="6">
        <f>IF(A402="","",IFERROR(INDEX('激励事件明细'!$D$2:$D$501,IF(D402&lt;&gt;"",MATCH(D402,'激励事件明细'!$A$2:$A$501,0),MATCH(E402,'激励事件明细'!$B$2:$B$501,0))),""))</f>
        <v/>
      </c>
      <c r="C402" s="6">
        <f>IF(A402="","",IFERROR(INDEX('激励事件明细'!$H$2:$H$501,IF(D402&lt;&gt;"",MATCH(D402,'激励事件明细'!$A$2:$A$501,0),MATCH(E402,'激励事件明细'!$B$2:$B$501,0))),""))</f>
        <v/>
      </c>
      <c r="D402" s="11" t="n"/>
      <c r="E402" s="11" t="n"/>
      <c r="F402" s="14">
        <f>IF(A402="","",IFERROR(INDEX('激励事件明细'!$Z$2:$Z$501,IF(D402&lt;&gt;"",MATCH(D402,'激励事件明细'!$A$2:$A$501,0),MATCH(E402,'激励事件明细'!$B$2:$B$501,0))),""))</f>
        <v/>
      </c>
      <c r="G402" s="16">
        <f>IF(A402="","",IFERROR(INDEX('激励事件明细'!$AA$2:$AA$501,IF(D402&lt;&gt;"",MATCH(D402,'激励事件明细'!$A$2:$A$501,0),MATCH(E402,'激励事件明细'!$B$2:$B$501,0))),""))</f>
        <v/>
      </c>
      <c r="H402" s="16">
        <f>IF(A402="","",IFERROR(INDEX('激励事件明细'!$AB$2:$AB$501,IF(D402&lt;&gt;"",MATCH(D402,'激励事件明细'!$A$2:$A$501,0),MATCH(E402,'激励事件明细'!$B$2:$B$501,0))),""))</f>
        <v/>
      </c>
      <c r="I402" s="12" t="n"/>
      <c r="J402" s="13" t="n"/>
      <c r="K402" s="13" t="n"/>
      <c r="L402" s="11" t="n"/>
      <c r="M402" s="14">
        <f>IF(A402="","",IF(D402&lt;&gt;"",SUMIFS($K$2:$K$501,$D$2:$D$501,D402),SUMIFS($K$2:$K$501,$E$2:$E$501,E402)))</f>
        <v/>
      </c>
      <c r="N402" s="14">
        <f>IF(F402="","",MAX(0,F402-M402))</f>
        <v/>
      </c>
      <c r="O402" s="6">
        <f>IF(A402="","",IF(AND(I402&lt;&gt;"",I402&gt;H402),"是",IF(AND(TODAY()&gt;H402,N402&gt;0),"是","否")))</f>
        <v/>
      </c>
      <c r="P402" s="16">
        <f>IF(A402="","",IFERROR(INDEX('激励事件明细'!$P$2:$P$501,IF(D402&lt;&gt;"",MATCH(D402,'激励事件明细'!$A$2:$A$501,0),MATCH(E402,'激励事件明细'!$B$2:$B$501,0))),""))</f>
        <v/>
      </c>
      <c r="Q402" s="6">
        <f>IF(AND(D402="",E402=""),"异常：必须关联事件编号或税额批次",IF(AND(D402&lt;&gt;"",COUNTIF('激励事件明细'!$A$2:$A$501,D402)=0),"异常：事件编号不存在",IF(AND(E402&lt;&gt;"",COUNTIF('激励事件明细'!$B$2:$B$501,E402)=0),"异常：税额批次不存在",IF(M402&gt;F402,"异常：本批次超额缴税",IF(AND(I402&lt;&gt;"",I402&gt;H402),"异常：超过事件截止日",IF(AND(P402&lt;&gt;"",TODAY()&gt;=P402,N402&gt;0),"异常：离职前未缴清","正常"))))))</f>
        <v/>
      </c>
      <c r="R402" s="11" t="n"/>
    </row>
    <row r="403">
      <c r="A403" s="6">
        <f>IF(AND(D403="",E403=""),"",IFERROR(INDEX('激励事件明细'!$C$2:$C$501,IF(D403&lt;&gt;"",MATCH(D403,'激励事件明细'!$A$2:$A$501,0),MATCH(E403,'激励事件明细'!$B$2:$B$501,0))),""))</f>
        <v/>
      </c>
      <c r="B403" s="6">
        <f>IF(A403="","",IFERROR(INDEX('激励事件明细'!$D$2:$D$501,IF(D403&lt;&gt;"",MATCH(D403,'激励事件明细'!$A$2:$A$501,0),MATCH(E403,'激励事件明细'!$B$2:$B$501,0))),""))</f>
        <v/>
      </c>
      <c r="C403" s="6">
        <f>IF(A403="","",IFERROR(INDEX('激励事件明细'!$H$2:$H$501,IF(D403&lt;&gt;"",MATCH(D403,'激励事件明细'!$A$2:$A$501,0),MATCH(E403,'激励事件明细'!$B$2:$B$501,0))),""))</f>
        <v/>
      </c>
      <c r="D403" s="11" t="n"/>
      <c r="E403" s="11" t="n"/>
      <c r="F403" s="14">
        <f>IF(A403="","",IFERROR(INDEX('激励事件明细'!$Z$2:$Z$501,IF(D403&lt;&gt;"",MATCH(D403,'激励事件明细'!$A$2:$A$501,0),MATCH(E403,'激励事件明细'!$B$2:$B$501,0))),""))</f>
        <v/>
      </c>
      <c r="G403" s="16">
        <f>IF(A403="","",IFERROR(INDEX('激励事件明细'!$AA$2:$AA$501,IF(D403&lt;&gt;"",MATCH(D403,'激励事件明细'!$A$2:$A$501,0),MATCH(E403,'激励事件明细'!$B$2:$B$501,0))),""))</f>
        <v/>
      </c>
      <c r="H403" s="16">
        <f>IF(A403="","",IFERROR(INDEX('激励事件明细'!$AB$2:$AB$501,IF(D403&lt;&gt;"",MATCH(D403,'激励事件明细'!$A$2:$A$501,0),MATCH(E403,'激励事件明细'!$B$2:$B$501,0))),""))</f>
        <v/>
      </c>
      <c r="I403" s="12" t="n"/>
      <c r="J403" s="13" t="n"/>
      <c r="K403" s="13" t="n"/>
      <c r="L403" s="11" t="n"/>
      <c r="M403" s="14">
        <f>IF(A403="","",IF(D403&lt;&gt;"",SUMIFS($K$2:$K$501,$D$2:$D$501,D403),SUMIFS($K$2:$K$501,$E$2:$E$501,E403)))</f>
        <v/>
      </c>
      <c r="N403" s="14">
        <f>IF(F403="","",MAX(0,F403-M403))</f>
        <v/>
      </c>
      <c r="O403" s="6">
        <f>IF(A403="","",IF(AND(I403&lt;&gt;"",I403&gt;H403),"是",IF(AND(TODAY()&gt;H403,N403&gt;0),"是","否")))</f>
        <v/>
      </c>
      <c r="P403" s="16">
        <f>IF(A403="","",IFERROR(INDEX('激励事件明细'!$P$2:$P$501,IF(D403&lt;&gt;"",MATCH(D403,'激励事件明细'!$A$2:$A$501,0),MATCH(E403,'激励事件明细'!$B$2:$B$501,0))),""))</f>
        <v/>
      </c>
      <c r="Q403" s="6">
        <f>IF(AND(D403="",E403=""),"异常：必须关联事件编号或税额批次",IF(AND(D403&lt;&gt;"",COUNTIF('激励事件明细'!$A$2:$A$501,D403)=0),"异常：事件编号不存在",IF(AND(E403&lt;&gt;"",COUNTIF('激励事件明细'!$B$2:$B$501,E403)=0),"异常：税额批次不存在",IF(M403&gt;F403,"异常：本批次超额缴税",IF(AND(I403&lt;&gt;"",I403&gt;H403),"异常：超过事件截止日",IF(AND(P403&lt;&gt;"",TODAY()&gt;=P403,N403&gt;0),"异常：离职前未缴清","正常"))))))</f>
        <v/>
      </c>
      <c r="R403" s="11" t="n"/>
    </row>
    <row r="404">
      <c r="A404" s="6">
        <f>IF(AND(D404="",E404=""),"",IFERROR(INDEX('激励事件明细'!$C$2:$C$501,IF(D404&lt;&gt;"",MATCH(D404,'激励事件明细'!$A$2:$A$501,0),MATCH(E404,'激励事件明细'!$B$2:$B$501,0))),""))</f>
        <v/>
      </c>
      <c r="B404" s="6">
        <f>IF(A404="","",IFERROR(INDEX('激励事件明细'!$D$2:$D$501,IF(D404&lt;&gt;"",MATCH(D404,'激励事件明细'!$A$2:$A$501,0),MATCH(E404,'激励事件明细'!$B$2:$B$501,0))),""))</f>
        <v/>
      </c>
      <c r="C404" s="6">
        <f>IF(A404="","",IFERROR(INDEX('激励事件明细'!$H$2:$H$501,IF(D404&lt;&gt;"",MATCH(D404,'激励事件明细'!$A$2:$A$501,0),MATCH(E404,'激励事件明细'!$B$2:$B$501,0))),""))</f>
        <v/>
      </c>
      <c r="D404" s="11" t="n"/>
      <c r="E404" s="11" t="n"/>
      <c r="F404" s="14">
        <f>IF(A404="","",IFERROR(INDEX('激励事件明细'!$Z$2:$Z$501,IF(D404&lt;&gt;"",MATCH(D404,'激励事件明细'!$A$2:$A$501,0),MATCH(E404,'激励事件明细'!$B$2:$B$501,0))),""))</f>
        <v/>
      </c>
      <c r="G404" s="16">
        <f>IF(A404="","",IFERROR(INDEX('激励事件明细'!$AA$2:$AA$501,IF(D404&lt;&gt;"",MATCH(D404,'激励事件明细'!$A$2:$A$501,0),MATCH(E404,'激励事件明细'!$B$2:$B$501,0))),""))</f>
        <v/>
      </c>
      <c r="H404" s="16">
        <f>IF(A404="","",IFERROR(INDEX('激励事件明细'!$AB$2:$AB$501,IF(D404&lt;&gt;"",MATCH(D404,'激励事件明细'!$A$2:$A$501,0),MATCH(E404,'激励事件明细'!$B$2:$B$501,0))),""))</f>
        <v/>
      </c>
      <c r="I404" s="12" t="n"/>
      <c r="J404" s="13" t="n"/>
      <c r="K404" s="13" t="n"/>
      <c r="L404" s="11" t="n"/>
      <c r="M404" s="14">
        <f>IF(A404="","",IF(D404&lt;&gt;"",SUMIFS($K$2:$K$501,$D$2:$D$501,D404),SUMIFS($K$2:$K$501,$E$2:$E$501,E404)))</f>
        <v/>
      </c>
      <c r="N404" s="14">
        <f>IF(F404="","",MAX(0,F404-M404))</f>
        <v/>
      </c>
      <c r="O404" s="6">
        <f>IF(A404="","",IF(AND(I404&lt;&gt;"",I404&gt;H404),"是",IF(AND(TODAY()&gt;H404,N404&gt;0),"是","否")))</f>
        <v/>
      </c>
      <c r="P404" s="16">
        <f>IF(A404="","",IFERROR(INDEX('激励事件明细'!$P$2:$P$501,IF(D404&lt;&gt;"",MATCH(D404,'激励事件明细'!$A$2:$A$501,0),MATCH(E404,'激励事件明细'!$B$2:$B$501,0))),""))</f>
        <v/>
      </c>
      <c r="Q404" s="6">
        <f>IF(AND(D404="",E404=""),"异常：必须关联事件编号或税额批次",IF(AND(D404&lt;&gt;"",COUNTIF('激励事件明细'!$A$2:$A$501,D404)=0),"异常：事件编号不存在",IF(AND(E404&lt;&gt;"",COUNTIF('激励事件明细'!$B$2:$B$501,E404)=0),"异常：税额批次不存在",IF(M404&gt;F404,"异常：本批次超额缴税",IF(AND(I404&lt;&gt;"",I404&gt;H404),"异常：超过事件截止日",IF(AND(P404&lt;&gt;"",TODAY()&gt;=P404,N404&gt;0),"异常：离职前未缴清","正常"))))))</f>
        <v/>
      </c>
      <c r="R404" s="11" t="n"/>
    </row>
    <row r="405">
      <c r="A405" s="6">
        <f>IF(AND(D405="",E405=""),"",IFERROR(INDEX('激励事件明细'!$C$2:$C$501,IF(D405&lt;&gt;"",MATCH(D405,'激励事件明细'!$A$2:$A$501,0),MATCH(E405,'激励事件明细'!$B$2:$B$501,0))),""))</f>
        <v/>
      </c>
      <c r="B405" s="6">
        <f>IF(A405="","",IFERROR(INDEX('激励事件明细'!$D$2:$D$501,IF(D405&lt;&gt;"",MATCH(D405,'激励事件明细'!$A$2:$A$501,0),MATCH(E405,'激励事件明细'!$B$2:$B$501,0))),""))</f>
        <v/>
      </c>
      <c r="C405" s="6">
        <f>IF(A405="","",IFERROR(INDEX('激励事件明细'!$H$2:$H$501,IF(D405&lt;&gt;"",MATCH(D405,'激励事件明细'!$A$2:$A$501,0),MATCH(E405,'激励事件明细'!$B$2:$B$501,0))),""))</f>
        <v/>
      </c>
      <c r="D405" s="11" t="n"/>
      <c r="E405" s="11" t="n"/>
      <c r="F405" s="14">
        <f>IF(A405="","",IFERROR(INDEX('激励事件明细'!$Z$2:$Z$501,IF(D405&lt;&gt;"",MATCH(D405,'激励事件明细'!$A$2:$A$501,0),MATCH(E405,'激励事件明细'!$B$2:$B$501,0))),""))</f>
        <v/>
      </c>
      <c r="G405" s="16">
        <f>IF(A405="","",IFERROR(INDEX('激励事件明细'!$AA$2:$AA$501,IF(D405&lt;&gt;"",MATCH(D405,'激励事件明细'!$A$2:$A$501,0),MATCH(E405,'激励事件明细'!$B$2:$B$501,0))),""))</f>
        <v/>
      </c>
      <c r="H405" s="16">
        <f>IF(A405="","",IFERROR(INDEX('激励事件明细'!$AB$2:$AB$501,IF(D405&lt;&gt;"",MATCH(D405,'激励事件明细'!$A$2:$A$501,0),MATCH(E405,'激励事件明细'!$B$2:$B$501,0))),""))</f>
        <v/>
      </c>
      <c r="I405" s="12" t="n"/>
      <c r="J405" s="13" t="n"/>
      <c r="K405" s="13" t="n"/>
      <c r="L405" s="11" t="n"/>
      <c r="M405" s="14">
        <f>IF(A405="","",IF(D405&lt;&gt;"",SUMIFS($K$2:$K$501,$D$2:$D$501,D405),SUMIFS($K$2:$K$501,$E$2:$E$501,E405)))</f>
        <v/>
      </c>
      <c r="N405" s="14">
        <f>IF(F405="","",MAX(0,F405-M405))</f>
        <v/>
      </c>
      <c r="O405" s="6">
        <f>IF(A405="","",IF(AND(I405&lt;&gt;"",I405&gt;H405),"是",IF(AND(TODAY()&gt;H405,N405&gt;0),"是","否")))</f>
        <v/>
      </c>
      <c r="P405" s="16">
        <f>IF(A405="","",IFERROR(INDEX('激励事件明细'!$P$2:$P$501,IF(D405&lt;&gt;"",MATCH(D405,'激励事件明细'!$A$2:$A$501,0),MATCH(E405,'激励事件明细'!$B$2:$B$501,0))),""))</f>
        <v/>
      </c>
      <c r="Q405" s="6">
        <f>IF(AND(D405="",E405=""),"异常：必须关联事件编号或税额批次",IF(AND(D405&lt;&gt;"",COUNTIF('激励事件明细'!$A$2:$A$501,D405)=0),"异常：事件编号不存在",IF(AND(E405&lt;&gt;"",COUNTIF('激励事件明细'!$B$2:$B$501,E405)=0),"异常：税额批次不存在",IF(M405&gt;F405,"异常：本批次超额缴税",IF(AND(I405&lt;&gt;"",I405&gt;H405),"异常：超过事件截止日",IF(AND(P405&lt;&gt;"",TODAY()&gt;=P405,N405&gt;0),"异常：离职前未缴清","正常"))))))</f>
        <v/>
      </c>
      <c r="R405" s="11" t="n"/>
    </row>
    <row r="406">
      <c r="A406" s="6">
        <f>IF(AND(D406="",E406=""),"",IFERROR(INDEX('激励事件明细'!$C$2:$C$501,IF(D406&lt;&gt;"",MATCH(D406,'激励事件明细'!$A$2:$A$501,0),MATCH(E406,'激励事件明细'!$B$2:$B$501,0))),""))</f>
        <v/>
      </c>
      <c r="B406" s="6">
        <f>IF(A406="","",IFERROR(INDEX('激励事件明细'!$D$2:$D$501,IF(D406&lt;&gt;"",MATCH(D406,'激励事件明细'!$A$2:$A$501,0),MATCH(E406,'激励事件明细'!$B$2:$B$501,0))),""))</f>
        <v/>
      </c>
      <c r="C406" s="6">
        <f>IF(A406="","",IFERROR(INDEX('激励事件明细'!$H$2:$H$501,IF(D406&lt;&gt;"",MATCH(D406,'激励事件明细'!$A$2:$A$501,0),MATCH(E406,'激励事件明细'!$B$2:$B$501,0))),""))</f>
        <v/>
      </c>
      <c r="D406" s="11" t="n"/>
      <c r="E406" s="11" t="n"/>
      <c r="F406" s="14">
        <f>IF(A406="","",IFERROR(INDEX('激励事件明细'!$Z$2:$Z$501,IF(D406&lt;&gt;"",MATCH(D406,'激励事件明细'!$A$2:$A$501,0),MATCH(E406,'激励事件明细'!$B$2:$B$501,0))),""))</f>
        <v/>
      </c>
      <c r="G406" s="16">
        <f>IF(A406="","",IFERROR(INDEX('激励事件明细'!$AA$2:$AA$501,IF(D406&lt;&gt;"",MATCH(D406,'激励事件明细'!$A$2:$A$501,0),MATCH(E406,'激励事件明细'!$B$2:$B$501,0))),""))</f>
        <v/>
      </c>
      <c r="H406" s="16">
        <f>IF(A406="","",IFERROR(INDEX('激励事件明细'!$AB$2:$AB$501,IF(D406&lt;&gt;"",MATCH(D406,'激励事件明细'!$A$2:$A$501,0),MATCH(E406,'激励事件明细'!$B$2:$B$501,0))),""))</f>
        <v/>
      </c>
      <c r="I406" s="12" t="n"/>
      <c r="J406" s="13" t="n"/>
      <c r="K406" s="13" t="n"/>
      <c r="L406" s="11" t="n"/>
      <c r="M406" s="14">
        <f>IF(A406="","",IF(D406&lt;&gt;"",SUMIFS($K$2:$K$501,$D$2:$D$501,D406),SUMIFS($K$2:$K$501,$E$2:$E$501,E406)))</f>
        <v/>
      </c>
      <c r="N406" s="14">
        <f>IF(F406="","",MAX(0,F406-M406))</f>
        <v/>
      </c>
      <c r="O406" s="6">
        <f>IF(A406="","",IF(AND(I406&lt;&gt;"",I406&gt;H406),"是",IF(AND(TODAY()&gt;H406,N406&gt;0),"是","否")))</f>
        <v/>
      </c>
      <c r="P406" s="16">
        <f>IF(A406="","",IFERROR(INDEX('激励事件明细'!$P$2:$P$501,IF(D406&lt;&gt;"",MATCH(D406,'激励事件明细'!$A$2:$A$501,0),MATCH(E406,'激励事件明细'!$B$2:$B$501,0))),""))</f>
        <v/>
      </c>
      <c r="Q406" s="6">
        <f>IF(AND(D406="",E406=""),"异常：必须关联事件编号或税额批次",IF(AND(D406&lt;&gt;"",COUNTIF('激励事件明细'!$A$2:$A$501,D406)=0),"异常：事件编号不存在",IF(AND(E406&lt;&gt;"",COUNTIF('激励事件明细'!$B$2:$B$501,E406)=0),"异常：税额批次不存在",IF(M406&gt;F406,"异常：本批次超额缴税",IF(AND(I406&lt;&gt;"",I406&gt;H406),"异常：超过事件截止日",IF(AND(P406&lt;&gt;"",TODAY()&gt;=P406,N406&gt;0),"异常：离职前未缴清","正常"))))))</f>
        <v/>
      </c>
      <c r="R406" s="11" t="n"/>
    </row>
    <row r="407">
      <c r="A407" s="6">
        <f>IF(AND(D407="",E407=""),"",IFERROR(INDEX('激励事件明细'!$C$2:$C$501,IF(D407&lt;&gt;"",MATCH(D407,'激励事件明细'!$A$2:$A$501,0),MATCH(E407,'激励事件明细'!$B$2:$B$501,0))),""))</f>
        <v/>
      </c>
      <c r="B407" s="6">
        <f>IF(A407="","",IFERROR(INDEX('激励事件明细'!$D$2:$D$501,IF(D407&lt;&gt;"",MATCH(D407,'激励事件明细'!$A$2:$A$501,0),MATCH(E407,'激励事件明细'!$B$2:$B$501,0))),""))</f>
        <v/>
      </c>
      <c r="C407" s="6">
        <f>IF(A407="","",IFERROR(INDEX('激励事件明细'!$H$2:$H$501,IF(D407&lt;&gt;"",MATCH(D407,'激励事件明细'!$A$2:$A$501,0),MATCH(E407,'激励事件明细'!$B$2:$B$501,0))),""))</f>
        <v/>
      </c>
      <c r="D407" s="11" t="n"/>
      <c r="E407" s="11" t="n"/>
      <c r="F407" s="14">
        <f>IF(A407="","",IFERROR(INDEX('激励事件明细'!$Z$2:$Z$501,IF(D407&lt;&gt;"",MATCH(D407,'激励事件明细'!$A$2:$A$501,0),MATCH(E407,'激励事件明细'!$B$2:$B$501,0))),""))</f>
        <v/>
      </c>
      <c r="G407" s="16">
        <f>IF(A407="","",IFERROR(INDEX('激励事件明细'!$AA$2:$AA$501,IF(D407&lt;&gt;"",MATCH(D407,'激励事件明细'!$A$2:$A$501,0),MATCH(E407,'激励事件明细'!$B$2:$B$501,0))),""))</f>
        <v/>
      </c>
      <c r="H407" s="16">
        <f>IF(A407="","",IFERROR(INDEX('激励事件明细'!$AB$2:$AB$501,IF(D407&lt;&gt;"",MATCH(D407,'激励事件明细'!$A$2:$A$501,0),MATCH(E407,'激励事件明细'!$B$2:$B$501,0))),""))</f>
        <v/>
      </c>
      <c r="I407" s="12" t="n"/>
      <c r="J407" s="13" t="n"/>
      <c r="K407" s="13" t="n"/>
      <c r="L407" s="11" t="n"/>
      <c r="M407" s="14">
        <f>IF(A407="","",IF(D407&lt;&gt;"",SUMIFS($K$2:$K$501,$D$2:$D$501,D407),SUMIFS($K$2:$K$501,$E$2:$E$501,E407)))</f>
        <v/>
      </c>
      <c r="N407" s="14">
        <f>IF(F407="","",MAX(0,F407-M407))</f>
        <v/>
      </c>
      <c r="O407" s="6">
        <f>IF(A407="","",IF(AND(I407&lt;&gt;"",I407&gt;H407),"是",IF(AND(TODAY()&gt;H407,N407&gt;0),"是","否")))</f>
        <v/>
      </c>
      <c r="P407" s="16">
        <f>IF(A407="","",IFERROR(INDEX('激励事件明细'!$P$2:$P$501,IF(D407&lt;&gt;"",MATCH(D407,'激励事件明细'!$A$2:$A$501,0),MATCH(E407,'激励事件明细'!$B$2:$B$501,0))),""))</f>
        <v/>
      </c>
      <c r="Q407" s="6">
        <f>IF(AND(D407="",E407=""),"异常：必须关联事件编号或税额批次",IF(AND(D407&lt;&gt;"",COUNTIF('激励事件明细'!$A$2:$A$501,D407)=0),"异常：事件编号不存在",IF(AND(E407&lt;&gt;"",COUNTIF('激励事件明细'!$B$2:$B$501,E407)=0),"异常：税额批次不存在",IF(M407&gt;F407,"异常：本批次超额缴税",IF(AND(I407&lt;&gt;"",I407&gt;H407),"异常：超过事件截止日",IF(AND(P407&lt;&gt;"",TODAY()&gt;=P407,N407&gt;0),"异常：离职前未缴清","正常"))))))</f>
        <v/>
      </c>
      <c r="R407" s="11" t="n"/>
    </row>
    <row r="408">
      <c r="A408" s="6">
        <f>IF(AND(D408="",E408=""),"",IFERROR(INDEX('激励事件明细'!$C$2:$C$501,IF(D408&lt;&gt;"",MATCH(D408,'激励事件明细'!$A$2:$A$501,0),MATCH(E408,'激励事件明细'!$B$2:$B$501,0))),""))</f>
        <v/>
      </c>
      <c r="B408" s="6">
        <f>IF(A408="","",IFERROR(INDEX('激励事件明细'!$D$2:$D$501,IF(D408&lt;&gt;"",MATCH(D408,'激励事件明细'!$A$2:$A$501,0),MATCH(E408,'激励事件明细'!$B$2:$B$501,0))),""))</f>
        <v/>
      </c>
      <c r="C408" s="6">
        <f>IF(A408="","",IFERROR(INDEX('激励事件明细'!$H$2:$H$501,IF(D408&lt;&gt;"",MATCH(D408,'激励事件明细'!$A$2:$A$501,0),MATCH(E408,'激励事件明细'!$B$2:$B$501,0))),""))</f>
        <v/>
      </c>
      <c r="D408" s="11" t="n"/>
      <c r="E408" s="11" t="n"/>
      <c r="F408" s="14">
        <f>IF(A408="","",IFERROR(INDEX('激励事件明细'!$Z$2:$Z$501,IF(D408&lt;&gt;"",MATCH(D408,'激励事件明细'!$A$2:$A$501,0),MATCH(E408,'激励事件明细'!$B$2:$B$501,0))),""))</f>
        <v/>
      </c>
      <c r="G408" s="16">
        <f>IF(A408="","",IFERROR(INDEX('激励事件明细'!$AA$2:$AA$501,IF(D408&lt;&gt;"",MATCH(D408,'激励事件明细'!$A$2:$A$501,0),MATCH(E408,'激励事件明细'!$B$2:$B$501,0))),""))</f>
        <v/>
      </c>
      <c r="H408" s="16">
        <f>IF(A408="","",IFERROR(INDEX('激励事件明细'!$AB$2:$AB$501,IF(D408&lt;&gt;"",MATCH(D408,'激励事件明细'!$A$2:$A$501,0),MATCH(E408,'激励事件明细'!$B$2:$B$501,0))),""))</f>
        <v/>
      </c>
      <c r="I408" s="12" t="n"/>
      <c r="J408" s="13" t="n"/>
      <c r="K408" s="13" t="n"/>
      <c r="L408" s="11" t="n"/>
      <c r="M408" s="14">
        <f>IF(A408="","",IF(D408&lt;&gt;"",SUMIFS($K$2:$K$501,$D$2:$D$501,D408),SUMIFS($K$2:$K$501,$E$2:$E$501,E408)))</f>
        <v/>
      </c>
      <c r="N408" s="14">
        <f>IF(F408="","",MAX(0,F408-M408))</f>
        <v/>
      </c>
      <c r="O408" s="6">
        <f>IF(A408="","",IF(AND(I408&lt;&gt;"",I408&gt;H408),"是",IF(AND(TODAY()&gt;H408,N408&gt;0),"是","否")))</f>
        <v/>
      </c>
      <c r="P408" s="16">
        <f>IF(A408="","",IFERROR(INDEX('激励事件明细'!$P$2:$P$501,IF(D408&lt;&gt;"",MATCH(D408,'激励事件明细'!$A$2:$A$501,0),MATCH(E408,'激励事件明细'!$B$2:$B$501,0))),""))</f>
        <v/>
      </c>
      <c r="Q408" s="6">
        <f>IF(AND(D408="",E408=""),"异常：必须关联事件编号或税额批次",IF(AND(D408&lt;&gt;"",COUNTIF('激励事件明细'!$A$2:$A$501,D408)=0),"异常：事件编号不存在",IF(AND(E408&lt;&gt;"",COUNTIF('激励事件明细'!$B$2:$B$501,E408)=0),"异常：税额批次不存在",IF(M408&gt;F408,"异常：本批次超额缴税",IF(AND(I408&lt;&gt;"",I408&gt;H408),"异常：超过事件截止日",IF(AND(P408&lt;&gt;"",TODAY()&gt;=P408,N408&gt;0),"异常：离职前未缴清","正常"))))))</f>
        <v/>
      </c>
      <c r="R408" s="11" t="n"/>
    </row>
    <row r="409">
      <c r="A409" s="6">
        <f>IF(AND(D409="",E409=""),"",IFERROR(INDEX('激励事件明细'!$C$2:$C$501,IF(D409&lt;&gt;"",MATCH(D409,'激励事件明细'!$A$2:$A$501,0),MATCH(E409,'激励事件明细'!$B$2:$B$501,0))),""))</f>
        <v/>
      </c>
      <c r="B409" s="6">
        <f>IF(A409="","",IFERROR(INDEX('激励事件明细'!$D$2:$D$501,IF(D409&lt;&gt;"",MATCH(D409,'激励事件明细'!$A$2:$A$501,0),MATCH(E409,'激励事件明细'!$B$2:$B$501,0))),""))</f>
        <v/>
      </c>
      <c r="C409" s="6">
        <f>IF(A409="","",IFERROR(INDEX('激励事件明细'!$H$2:$H$501,IF(D409&lt;&gt;"",MATCH(D409,'激励事件明细'!$A$2:$A$501,0),MATCH(E409,'激励事件明细'!$B$2:$B$501,0))),""))</f>
        <v/>
      </c>
      <c r="D409" s="11" t="n"/>
      <c r="E409" s="11" t="n"/>
      <c r="F409" s="14">
        <f>IF(A409="","",IFERROR(INDEX('激励事件明细'!$Z$2:$Z$501,IF(D409&lt;&gt;"",MATCH(D409,'激励事件明细'!$A$2:$A$501,0),MATCH(E409,'激励事件明细'!$B$2:$B$501,0))),""))</f>
        <v/>
      </c>
      <c r="G409" s="16">
        <f>IF(A409="","",IFERROR(INDEX('激励事件明细'!$AA$2:$AA$501,IF(D409&lt;&gt;"",MATCH(D409,'激励事件明细'!$A$2:$A$501,0),MATCH(E409,'激励事件明细'!$B$2:$B$501,0))),""))</f>
        <v/>
      </c>
      <c r="H409" s="16">
        <f>IF(A409="","",IFERROR(INDEX('激励事件明细'!$AB$2:$AB$501,IF(D409&lt;&gt;"",MATCH(D409,'激励事件明细'!$A$2:$A$501,0),MATCH(E409,'激励事件明细'!$B$2:$B$501,0))),""))</f>
        <v/>
      </c>
      <c r="I409" s="12" t="n"/>
      <c r="J409" s="13" t="n"/>
      <c r="K409" s="13" t="n"/>
      <c r="L409" s="11" t="n"/>
      <c r="M409" s="14">
        <f>IF(A409="","",IF(D409&lt;&gt;"",SUMIFS($K$2:$K$501,$D$2:$D$501,D409),SUMIFS($K$2:$K$501,$E$2:$E$501,E409)))</f>
        <v/>
      </c>
      <c r="N409" s="14">
        <f>IF(F409="","",MAX(0,F409-M409))</f>
        <v/>
      </c>
      <c r="O409" s="6">
        <f>IF(A409="","",IF(AND(I409&lt;&gt;"",I409&gt;H409),"是",IF(AND(TODAY()&gt;H409,N409&gt;0),"是","否")))</f>
        <v/>
      </c>
      <c r="P409" s="16">
        <f>IF(A409="","",IFERROR(INDEX('激励事件明细'!$P$2:$P$501,IF(D409&lt;&gt;"",MATCH(D409,'激励事件明细'!$A$2:$A$501,0),MATCH(E409,'激励事件明细'!$B$2:$B$501,0))),""))</f>
        <v/>
      </c>
      <c r="Q409" s="6">
        <f>IF(AND(D409="",E409=""),"异常：必须关联事件编号或税额批次",IF(AND(D409&lt;&gt;"",COUNTIF('激励事件明细'!$A$2:$A$501,D409)=0),"异常：事件编号不存在",IF(AND(E409&lt;&gt;"",COUNTIF('激励事件明细'!$B$2:$B$501,E409)=0),"异常：税额批次不存在",IF(M409&gt;F409,"异常：本批次超额缴税",IF(AND(I409&lt;&gt;"",I409&gt;H409),"异常：超过事件截止日",IF(AND(P409&lt;&gt;"",TODAY()&gt;=P409,N409&gt;0),"异常：离职前未缴清","正常"))))))</f>
        <v/>
      </c>
      <c r="R409" s="11" t="n"/>
    </row>
    <row r="410">
      <c r="A410" s="6">
        <f>IF(AND(D410="",E410=""),"",IFERROR(INDEX('激励事件明细'!$C$2:$C$501,IF(D410&lt;&gt;"",MATCH(D410,'激励事件明细'!$A$2:$A$501,0),MATCH(E410,'激励事件明细'!$B$2:$B$501,0))),""))</f>
        <v/>
      </c>
      <c r="B410" s="6">
        <f>IF(A410="","",IFERROR(INDEX('激励事件明细'!$D$2:$D$501,IF(D410&lt;&gt;"",MATCH(D410,'激励事件明细'!$A$2:$A$501,0),MATCH(E410,'激励事件明细'!$B$2:$B$501,0))),""))</f>
        <v/>
      </c>
      <c r="C410" s="6">
        <f>IF(A410="","",IFERROR(INDEX('激励事件明细'!$H$2:$H$501,IF(D410&lt;&gt;"",MATCH(D410,'激励事件明细'!$A$2:$A$501,0),MATCH(E410,'激励事件明细'!$B$2:$B$501,0))),""))</f>
        <v/>
      </c>
      <c r="D410" s="11" t="n"/>
      <c r="E410" s="11" t="n"/>
      <c r="F410" s="14">
        <f>IF(A410="","",IFERROR(INDEX('激励事件明细'!$Z$2:$Z$501,IF(D410&lt;&gt;"",MATCH(D410,'激励事件明细'!$A$2:$A$501,0),MATCH(E410,'激励事件明细'!$B$2:$B$501,0))),""))</f>
        <v/>
      </c>
      <c r="G410" s="16">
        <f>IF(A410="","",IFERROR(INDEX('激励事件明细'!$AA$2:$AA$501,IF(D410&lt;&gt;"",MATCH(D410,'激励事件明细'!$A$2:$A$501,0),MATCH(E410,'激励事件明细'!$B$2:$B$501,0))),""))</f>
        <v/>
      </c>
      <c r="H410" s="16">
        <f>IF(A410="","",IFERROR(INDEX('激励事件明细'!$AB$2:$AB$501,IF(D410&lt;&gt;"",MATCH(D410,'激励事件明细'!$A$2:$A$501,0),MATCH(E410,'激励事件明细'!$B$2:$B$501,0))),""))</f>
        <v/>
      </c>
      <c r="I410" s="12" t="n"/>
      <c r="J410" s="13" t="n"/>
      <c r="K410" s="13" t="n"/>
      <c r="L410" s="11" t="n"/>
      <c r="M410" s="14">
        <f>IF(A410="","",IF(D410&lt;&gt;"",SUMIFS($K$2:$K$501,$D$2:$D$501,D410),SUMIFS($K$2:$K$501,$E$2:$E$501,E410)))</f>
        <v/>
      </c>
      <c r="N410" s="14">
        <f>IF(F410="","",MAX(0,F410-M410))</f>
        <v/>
      </c>
      <c r="O410" s="6">
        <f>IF(A410="","",IF(AND(I410&lt;&gt;"",I410&gt;H410),"是",IF(AND(TODAY()&gt;H410,N410&gt;0),"是","否")))</f>
        <v/>
      </c>
      <c r="P410" s="16">
        <f>IF(A410="","",IFERROR(INDEX('激励事件明细'!$P$2:$P$501,IF(D410&lt;&gt;"",MATCH(D410,'激励事件明细'!$A$2:$A$501,0),MATCH(E410,'激励事件明细'!$B$2:$B$501,0))),""))</f>
        <v/>
      </c>
      <c r="Q410" s="6">
        <f>IF(AND(D410="",E410=""),"异常：必须关联事件编号或税额批次",IF(AND(D410&lt;&gt;"",COUNTIF('激励事件明细'!$A$2:$A$501,D410)=0),"异常：事件编号不存在",IF(AND(E410&lt;&gt;"",COUNTIF('激励事件明细'!$B$2:$B$501,E410)=0),"异常：税额批次不存在",IF(M410&gt;F410,"异常：本批次超额缴税",IF(AND(I410&lt;&gt;"",I410&gt;H410),"异常：超过事件截止日",IF(AND(P410&lt;&gt;"",TODAY()&gt;=P410,N410&gt;0),"异常：离职前未缴清","正常"))))))</f>
        <v/>
      </c>
      <c r="R410" s="11" t="n"/>
    </row>
    <row r="411">
      <c r="A411" s="6">
        <f>IF(AND(D411="",E411=""),"",IFERROR(INDEX('激励事件明细'!$C$2:$C$501,IF(D411&lt;&gt;"",MATCH(D411,'激励事件明细'!$A$2:$A$501,0),MATCH(E411,'激励事件明细'!$B$2:$B$501,0))),""))</f>
        <v/>
      </c>
      <c r="B411" s="6">
        <f>IF(A411="","",IFERROR(INDEX('激励事件明细'!$D$2:$D$501,IF(D411&lt;&gt;"",MATCH(D411,'激励事件明细'!$A$2:$A$501,0),MATCH(E411,'激励事件明细'!$B$2:$B$501,0))),""))</f>
        <v/>
      </c>
      <c r="C411" s="6">
        <f>IF(A411="","",IFERROR(INDEX('激励事件明细'!$H$2:$H$501,IF(D411&lt;&gt;"",MATCH(D411,'激励事件明细'!$A$2:$A$501,0),MATCH(E411,'激励事件明细'!$B$2:$B$501,0))),""))</f>
        <v/>
      </c>
      <c r="D411" s="11" t="n"/>
      <c r="E411" s="11" t="n"/>
      <c r="F411" s="14">
        <f>IF(A411="","",IFERROR(INDEX('激励事件明细'!$Z$2:$Z$501,IF(D411&lt;&gt;"",MATCH(D411,'激励事件明细'!$A$2:$A$501,0),MATCH(E411,'激励事件明细'!$B$2:$B$501,0))),""))</f>
        <v/>
      </c>
      <c r="G411" s="16">
        <f>IF(A411="","",IFERROR(INDEX('激励事件明细'!$AA$2:$AA$501,IF(D411&lt;&gt;"",MATCH(D411,'激励事件明细'!$A$2:$A$501,0),MATCH(E411,'激励事件明细'!$B$2:$B$501,0))),""))</f>
        <v/>
      </c>
      <c r="H411" s="16">
        <f>IF(A411="","",IFERROR(INDEX('激励事件明细'!$AB$2:$AB$501,IF(D411&lt;&gt;"",MATCH(D411,'激励事件明细'!$A$2:$A$501,0),MATCH(E411,'激励事件明细'!$B$2:$B$501,0))),""))</f>
        <v/>
      </c>
      <c r="I411" s="12" t="n"/>
      <c r="J411" s="13" t="n"/>
      <c r="K411" s="13" t="n"/>
      <c r="L411" s="11" t="n"/>
      <c r="M411" s="14">
        <f>IF(A411="","",IF(D411&lt;&gt;"",SUMIFS($K$2:$K$501,$D$2:$D$501,D411),SUMIFS($K$2:$K$501,$E$2:$E$501,E411)))</f>
        <v/>
      </c>
      <c r="N411" s="14">
        <f>IF(F411="","",MAX(0,F411-M411))</f>
        <v/>
      </c>
      <c r="O411" s="6">
        <f>IF(A411="","",IF(AND(I411&lt;&gt;"",I411&gt;H411),"是",IF(AND(TODAY()&gt;H411,N411&gt;0),"是","否")))</f>
        <v/>
      </c>
      <c r="P411" s="16">
        <f>IF(A411="","",IFERROR(INDEX('激励事件明细'!$P$2:$P$501,IF(D411&lt;&gt;"",MATCH(D411,'激励事件明细'!$A$2:$A$501,0),MATCH(E411,'激励事件明细'!$B$2:$B$501,0))),""))</f>
        <v/>
      </c>
      <c r="Q411" s="6">
        <f>IF(AND(D411="",E411=""),"异常：必须关联事件编号或税额批次",IF(AND(D411&lt;&gt;"",COUNTIF('激励事件明细'!$A$2:$A$501,D411)=0),"异常：事件编号不存在",IF(AND(E411&lt;&gt;"",COUNTIF('激励事件明细'!$B$2:$B$501,E411)=0),"异常：税额批次不存在",IF(M411&gt;F411,"异常：本批次超额缴税",IF(AND(I411&lt;&gt;"",I411&gt;H411),"异常：超过事件截止日",IF(AND(P411&lt;&gt;"",TODAY()&gt;=P411,N411&gt;0),"异常：离职前未缴清","正常"))))))</f>
        <v/>
      </c>
      <c r="R411" s="11" t="n"/>
    </row>
    <row r="412">
      <c r="A412" s="6">
        <f>IF(AND(D412="",E412=""),"",IFERROR(INDEX('激励事件明细'!$C$2:$C$501,IF(D412&lt;&gt;"",MATCH(D412,'激励事件明细'!$A$2:$A$501,0),MATCH(E412,'激励事件明细'!$B$2:$B$501,0))),""))</f>
        <v/>
      </c>
      <c r="B412" s="6">
        <f>IF(A412="","",IFERROR(INDEX('激励事件明细'!$D$2:$D$501,IF(D412&lt;&gt;"",MATCH(D412,'激励事件明细'!$A$2:$A$501,0),MATCH(E412,'激励事件明细'!$B$2:$B$501,0))),""))</f>
        <v/>
      </c>
      <c r="C412" s="6">
        <f>IF(A412="","",IFERROR(INDEX('激励事件明细'!$H$2:$H$501,IF(D412&lt;&gt;"",MATCH(D412,'激励事件明细'!$A$2:$A$501,0),MATCH(E412,'激励事件明细'!$B$2:$B$501,0))),""))</f>
        <v/>
      </c>
      <c r="D412" s="11" t="n"/>
      <c r="E412" s="11" t="n"/>
      <c r="F412" s="14">
        <f>IF(A412="","",IFERROR(INDEX('激励事件明细'!$Z$2:$Z$501,IF(D412&lt;&gt;"",MATCH(D412,'激励事件明细'!$A$2:$A$501,0),MATCH(E412,'激励事件明细'!$B$2:$B$501,0))),""))</f>
        <v/>
      </c>
      <c r="G412" s="16">
        <f>IF(A412="","",IFERROR(INDEX('激励事件明细'!$AA$2:$AA$501,IF(D412&lt;&gt;"",MATCH(D412,'激励事件明细'!$A$2:$A$501,0),MATCH(E412,'激励事件明细'!$B$2:$B$501,0))),""))</f>
        <v/>
      </c>
      <c r="H412" s="16">
        <f>IF(A412="","",IFERROR(INDEX('激励事件明细'!$AB$2:$AB$501,IF(D412&lt;&gt;"",MATCH(D412,'激励事件明细'!$A$2:$A$501,0),MATCH(E412,'激励事件明细'!$B$2:$B$501,0))),""))</f>
        <v/>
      </c>
      <c r="I412" s="12" t="n"/>
      <c r="J412" s="13" t="n"/>
      <c r="K412" s="13" t="n"/>
      <c r="L412" s="11" t="n"/>
      <c r="M412" s="14">
        <f>IF(A412="","",IF(D412&lt;&gt;"",SUMIFS($K$2:$K$501,$D$2:$D$501,D412),SUMIFS($K$2:$K$501,$E$2:$E$501,E412)))</f>
        <v/>
      </c>
      <c r="N412" s="14">
        <f>IF(F412="","",MAX(0,F412-M412))</f>
        <v/>
      </c>
      <c r="O412" s="6">
        <f>IF(A412="","",IF(AND(I412&lt;&gt;"",I412&gt;H412),"是",IF(AND(TODAY()&gt;H412,N412&gt;0),"是","否")))</f>
        <v/>
      </c>
      <c r="P412" s="16">
        <f>IF(A412="","",IFERROR(INDEX('激励事件明细'!$P$2:$P$501,IF(D412&lt;&gt;"",MATCH(D412,'激励事件明细'!$A$2:$A$501,0),MATCH(E412,'激励事件明细'!$B$2:$B$501,0))),""))</f>
        <v/>
      </c>
      <c r="Q412" s="6">
        <f>IF(AND(D412="",E412=""),"异常：必须关联事件编号或税额批次",IF(AND(D412&lt;&gt;"",COUNTIF('激励事件明细'!$A$2:$A$501,D412)=0),"异常：事件编号不存在",IF(AND(E412&lt;&gt;"",COUNTIF('激励事件明细'!$B$2:$B$501,E412)=0),"异常：税额批次不存在",IF(M412&gt;F412,"异常：本批次超额缴税",IF(AND(I412&lt;&gt;"",I412&gt;H412),"异常：超过事件截止日",IF(AND(P412&lt;&gt;"",TODAY()&gt;=P412,N412&gt;0),"异常：离职前未缴清","正常"))))))</f>
        <v/>
      </c>
      <c r="R412" s="11" t="n"/>
    </row>
    <row r="413">
      <c r="A413" s="6">
        <f>IF(AND(D413="",E413=""),"",IFERROR(INDEX('激励事件明细'!$C$2:$C$501,IF(D413&lt;&gt;"",MATCH(D413,'激励事件明细'!$A$2:$A$501,0),MATCH(E413,'激励事件明细'!$B$2:$B$501,0))),""))</f>
        <v/>
      </c>
      <c r="B413" s="6">
        <f>IF(A413="","",IFERROR(INDEX('激励事件明细'!$D$2:$D$501,IF(D413&lt;&gt;"",MATCH(D413,'激励事件明细'!$A$2:$A$501,0),MATCH(E413,'激励事件明细'!$B$2:$B$501,0))),""))</f>
        <v/>
      </c>
      <c r="C413" s="6">
        <f>IF(A413="","",IFERROR(INDEX('激励事件明细'!$H$2:$H$501,IF(D413&lt;&gt;"",MATCH(D413,'激励事件明细'!$A$2:$A$501,0),MATCH(E413,'激励事件明细'!$B$2:$B$501,0))),""))</f>
        <v/>
      </c>
      <c r="D413" s="11" t="n"/>
      <c r="E413" s="11" t="n"/>
      <c r="F413" s="14">
        <f>IF(A413="","",IFERROR(INDEX('激励事件明细'!$Z$2:$Z$501,IF(D413&lt;&gt;"",MATCH(D413,'激励事件明细'!$A$2:$A$501,0),MATCH(E413,'激励事件明细'!$B$2:$B$501,0))),""))</f>
        <v/>
      </c>
      <c r="G413" s="16">
        <f>IF(A413="","",IFERROR(INDEX('激励事件明细'!$AA$2:$AA$501,IF(D413&lt;&gt;"",MATCH(D413,'激励事件明细'!$A$2:$A$501,0),MATCH(E413,'激励事件明细'!$B$2:$B$501,0))),""))</f>
        <v/>
      </c>
      <c r="H413" s="16">
        <f>IF(A413="","",IFERROR(INDEX('激励事件明细'!$AB$2:$AB$501,IF(D413&lt;&gt;"",MATCH(D413,'激励事件明细'!$A$2:$A$501,0),MATCH(E413,'激励事件明细'!$B$2:$B$501,0))),""))</f>
        <v/>
      </c>
      <c r="I413" s="12" t="n"/>
      <c r="J413" s="13" t="n"/>
      <c r="K413" s="13" t="n"/>
      <c r="L413" s="11" t="n"/>
      <c r="M413" s="14">
        <f>IF(A413="","",IF(D413&lt;&gt;"",SUMIFS($K$2:$K$501,$D$2:$D$501,D413),SUMIFS($K$2:$K$501,$E$2:$E$501,E413)))</f>
        <v/>
      </c>
      <c r="N413" s="14">
        <f>IF(F413="","",MAX(0,F413-M413))</f>
        <v/>
      </c>
      <c r="O413" s="6">
        <f>IF(A413="","",IF(AND(I413&lt;&gt;"",I413&gt;H413),"是",IF(AND(TODAY()&gt;H413,N413&gt;0),"是","否")))</f>
        <v/>
      </c>
      <c r="P413" s="16">
        <f>IF(A413="","",IFERROR(INDEX('激励事件明细'!$P$2:$P$501,IF(D413&lt;&gt;"",MATCH(D413,'激励事件明细'!$A$2:$A$501,0),MATCH(E413,'激励事件明细'!$B$2:$B$501,0))),""))</f>
        <v/>
      </c>
      <c r="Q413" s="6">
        <f>IF(AND(D413="",E413=""),"异常：必须关联事件编号或税额批次",IF(AND(D413&lt;&gt;"",COUNTIF('激励事件明细'!$A$2:$A$501,D413)=0),"异常：事件编号不存在",IF(AND(E413&lt;&gt;"",COUNTIF('激励事件明细'!$B$2:$B$501,E413)=0),"异常：税额批次不存在",IF(M413&gt;F413,"异常：本批次超额缴税",IF(AND(I413&lt;&gt;"",I413&gt;H413),"异常：超过事件截止日",IF(AND(P413&lt;&gt;"",TODAY()&gt;=P413,N413&gt;0),"异常：离职前未缴清","正常"))))))</f>
        <v/>
      </c>
      <c r="R413" s="11" t="n"/>
    </row>
    <row r="414">
      <c r="A414" s="6">
        <f>IF(AND(D414="",E414=""),"",IFERROR(INDEX('激励事件明细'!$C$2:$C$501,IF(D414&lt;&gt;"",MATCH(D414,'激励事件明细'!$A$2:$A$501,0),MATCH(E414,'激励事件明细'!$B$2:$B$501,0))),""))</f>
        <v/>
      </c>
      <c r="B414" s="6">
        <f>IF(A414="","",IFERROR(INDEX('激励事件明细'!$D$2:$D$501,IF(D414&lt;&gt;"",MATCH(D414,'激励事件明细'!$A$2:$A$501,0),MATCH(E414,'激励事件明细'!$B$2:$B$501,0))),""))</f>
        <v/>
      </c>
      <c r="C414" s="6">
        <f>IF(A414="","",IFERROR(INDEX('激励事件明细'!$H$2:$H$501,IF(D414&lt;&gt;"",MATCH(D414,'激励事件明细'!$A$2:$A$501,0),MATCH(E414,'激励事件明细'!$B$2:$B$501,0))),""))</f>
        <v/>
      </c>
      <c r="D414" s="11" t="n"/>
      <c r="E414" s="11" t="n"/>
      <c r="F414" s="14">
        <f>IF(A414="","",IFERROR(INDEX('激励事件明细'!$Z$2:$Z$501,IF(D414&lt;&gt;"",MATCH(D414,'激励事件明细'!$A$2:$A$501,0),MATCH(E414,'激励事件明细'!$B$2:$B$501,0))),""))</f>
        <v/>
      </c>
      <c r="G414" s="16">
        <f>IF(A414="","",IFERROR(INDEX('激励事件明细'!$AA$2:$AA$501,IF(D414&lt;&gt;"",MATCH(D414,'激励事件明细'!$A$2:$A$501,0),MATCH(E414,'激励事件明细'!$B$2:$B$501,0))),""))</f>
        <v/>
      </c>
      <c r="H414" s="16">
        <f>IF(A414="","",IFERROR(INDEX('激励事件明细'!$AB$2:$AB$501,IF(D414&lt;&gt;"",MATCH(D414,'激励事件明细'!$A$2:$A$501,0),MATCH(E414,'激励事件明细'!$B$2:$B$501,0))),""))</f>
        <v/>
      </c>
      <c r="I414" s="12" t="n"/>
      <c r="J414" s="13" t="n"/>
      <c r="K414" s="13" t="n"/>
      <c r="L414" s="11" t="n"/>
      <c r="M414" s="14">
        <f>IF(A414="","",IF(D414&lt;&gt;"",SUMIFS($K$2:$K$501,$D$2:$D$501,D414),SUMIFS($K$2:$K$501,$E$2:$E$501,E414)))</f>
        <v/>
      </c>
      <c r="N414" s="14">
        <f>IF(F414="","",MAX(0,F414-M414))</f>
        <v/>
      </c>
      <c r="O414" s="6">
        <f>IF(A414="","",IF(AND(I414&lt;&gt;"",I414&gt;H414),"是",IF(AND(TODAY()&gt;H414,N414&gt;0),"是","否")))</f>
        <v/>
      </c>
      <c r="P414" s="16">
        <f>IF(A414="","",IFERROR(INDEX('激励事件明细'!$P$2:$P$501,IF(D414&lt;&gt;"",MATCH(D414,'激励事件明细'!$A$2:$A$501,0),MATCH(E414,'激励事件明细'!$B$2:$B$501,0))),""))</f>
        <v/>
      </c>
      <c r="Q414" s="6">
        <f>IF(AND(D414="",E414=""),"异常：必须关联事件编号或税额批次",IF(AND(D414&lt;&gt;"",COUNTIF('激励事件明细'!$A$2:$A$501,D414)=0),"异常：事件编号不存在",IF(AND(E414&lt;&gt;"",COUNTIF('激励事件明细'!$B$2:$B$501,E414)=0),"异常：税额批次不存在",IF(M414&gt;F414,"异常：本批次超额缴税",IF(AND(I414&lt;&gt;"",I414&gt;H414),"异常：超过事件截止日",IF(AND(P414&lt;&gt;"",TODAY()&gt;=P414,N414&gt;0),"异常：离职前未缴清","正常"))))))</f>
        <v/>
      </c>
      <c r="R414" s="11" t="n"/>
    </row>
    <row r="415">
      <c r="A415" s="6">
        <f>IF(AND(D415="",E415=""),"",IFERROR(INDEX('激励事件明细'!$C$2:$C$501,IF(D415&lt;&gt;"",MATCH(D415,'激励事件明细'!$A$2:$A$501,0),MATCH(E415,'激励事件明细'!$B$2:$B$501,0))),""))</f>
        <v/>
      </c>
      <c r="B415" s="6">
        <f>IF(A415="","",IFERROR(INDEX('激励事件明细'!$D$2:$D$501,IF(D415&lt;&gt;"",MATCH(D415,'激励事件明细'!$A$2:$A$501,0),MATCH(E415,'激励事件明细'!$B$2:$B$501,0))),""))</f>
        <v/>
      </c>
      <c r="C415" s="6">
        <f>IF(A415="","",IFERROR(INDEX('激励事件明细'!$H$2:$H$501,IF(D415&lt;&gt;"",MATCH(D415,'激励事件明细'!$A$2:$A$501,0),MATCH(E415,'激励事件明细'!$B$2:$B$501,0))),""))</f>
        <v/>
      </c>
      <c r="D415" s="11" t="n"/>
      <c r="E415" s="11" t="n"/>
      <c r="F415" s="14">
        <f>IF(A415="","",IFERROR(INDEX('激励事件明细'!$Z$2:$Z$501,IF(D415&lt;&gt;"",MATCH(D415,'激励事件明细'!$A$2:$A$501,0),MATCH(E415,'激励事件明细'!$B$2:$B$501,0))),""))</f>
        <v/>
      </c>
      <c r="G415" s="16">
        <f>IF(A415="","",IFERROR(INDEX('激励事件明细'!$AA$2:$AA$501,IF(D415&lt;&gt;"",MATCH(D415,'激励事件明细'!$A$2:$A$501,0),MATCH(E415,'激励事件明细'!$B$2:$B$501,0))),""))</f>
        <v/>
      </c>
      <c r="H415" s="16">
        <f>IF(A415="","",IFERROR(INDEX('激励事件明细'!$AB$2:$AB$501,IF(D415&lt;&gt;"",MATCH(D415,'激励事件明细'!$A$2:$A$501,0),MATCH(E415,'激励事件明细'!$B$2:$B$501,0))),""))</f>
        <v/>
      </c>
      <c r="I415" s="12" t="n"/>
      <c r="J415" s="13" t="n"/>
      <c r="K415" s="13" t="n"/>
      <c r="L415" s="11" t="n"/>
      <c r="M415" s="14">
        <f>IF(A415="","",IF(D415&lt;&gt;"",SUMIFS($K$2:$K$501,$D$2:$D$501,D415),SUMIFS($K$2:$K$501,$E$2:$E$501,E415)))</f>
        <v/>
      </c>
      <c r="N415" s="14">
        <f>IF(F415="","",MAX(0,F415-M415))</f>
        <v/>
      </c>
      <c r="O415" s="6">
        <f>IF(A415="","",IF(AND(I415&lt;&gt;"",I415&gt;H415),"是",IF(AND(TODAY()&gt;H415,N415&gt;0),"是","否")))</f>
        <v/>
      </c>
      <c r="P415" s="16">
        <f>IF(A415="","",IFERROR(INDEX('激励事件明细'!$P$2:$P$501,IF(D415&lt;&gt;"",MATCH(D415,'激励事件明细'!$A$2:$A$501,0),MATCH(E415,'激励事件明细'!$B$2:$B$501,0))),""))</f>
        <v/>
      </c>
      <c r="Q415" s="6">
        <f>IF(AND(D415="",E415=""),"异常：必须关联事件编号或税额批次",IF(AND(D415&lt;&gt;"",COUNTIF('激励事件明细'!$A$2:$A$501,D415)=0),"异常：事件编号不存在",IF(AND(E415&lt;&gt;"",COUNTIF('激励事件明细'!$B$2:$B$501,E415)=0),"异常：税额批次不存在",IF(M415&gt;F415,"异常：本批次超额缴税",IF(AND(I415&lt;&gt;"",I415&gt;H415),"异常：超过事件截止日",IF(AND(P415&lt;&gt;"",TODAY()&gt;=P415,N415&gt;0),"异常：离职前未缴清","正常"))))))</f>
        <v/>
      </c>
      <c r="R415" s="11" t="n"/>
    </row>
    <row r="416">
      <c r="A416" s="6">
        <f>IF(AND(D416="",E416=""),"",IFERROR(INDEX('激励事件明细'!$C$2:$C$501,IF(D416&lt;&gt;"",MATCH(D416,'激励事件明细'!$A$2:$A$501,0),MATCH(E416,'激励事件明细'!$B$2:$B$501,0))),""))</f>
        <v/>
      </c>
      <c r="B416" s="6">
        <f>IF(A416="","",IFERROR(INDEX('激励事件明细'!$D$2:$D$501,IF(D416&lt;&gt;"",MATCH(D416,'激励事件明细'!$A$2:$A$501,0),MATCH(E416,'激励事件明细'!$B$2:$B$501,0))),""))</f>
        <v/>
      </c>
      <c r="C416" s="6">
        <f>IF(A416="","",IFERROR(INDEX('激励事件明细'!$H$2:$H$501,IF(D416&lt;&gt;"",MATCH(D416,'激励事件明细'!$A$2:$A$501,0),MATCH(E416,'激励事件明细'!$B$2:$B$501,0))),""))</f>
        <v/>
      </c>
      <c r="D416" s="11" t="n"/>
      <c r="E416" s="11" t="n"/>
      <c r="F416" s="14">
        <f>IF(A416="","",IFERROR(INDEX('激励事件明细'!$Z$2:$Z$501,IF(D416&lt;&gt;"",MATCH(D416,'激励事件明细'!$A$2:$A$501,0),MATCH(E416,'激励事件明细'!$B$2:$B$501,0))),""))</f>
        <v/>
      </c>
      <c r="G416" s="16">
        <f>IF(A416="","",IFERROR(INDEX('激励事件明细'!$AA$2:$AA$501,IF(D416&lt;&gt;"",MATCH(D416,'激励事件明细'!$A$2:$A$501,0),MATCH(E416,'激励事件明细'!$B$2:$B$501,0))),""))</f>
        <v/>
      </c>
      <c r="H416" s="16">
        <f>IF(A416="","",IFERROR(INDEX('激励事件明细'!$AB$2:$AB$501,IF(D416&lt;&gt;"",MATCH(D416,'激励事件明细'!$A$2:$A$501,0),MATCH(E416,'激励事件明细'!$B$2:$B$501,0))),""))</f>
        <v/>
      </c>
      <c r="I416" s="12" t="n"/>
      <c r="J416" s="13" t="n"/>
      <c r="K416" s="13" t="n"/>
      <c r="L416" s="11" t="n"/>
      <c r="M416" s="14">
        <f>IF(A416="","",IF(D416&lt;&gt;"",SUMIFS($K$2:$K$501,$D$2:$D$501,D416),SUMIFS($K$2:$K$501,$E$2:$E$501,E416)))</f>
        <v/>
      </c>
      <c r="N416" s="14">
        <f>IF(F416="","",MAX(0,F416-M416))</f>
        <v/>
      </c>
      <c r="O416" s="6">
        <f>IF(A416="","",IF(AND(I416&lt;&gt;"",I416&gt;H416),"是",IF(AND(TODAY()&gt;H416,N416&gt;0),"是","否")))</f>
        <v/>
      </c>
      <c r="P416" s="16">
        <f>IF(A416="","",IFERROR(INDEX('激励事件明细'!$P$2:$P$501,IF(D416&lt;&gt;"",MATCH(D416,'激励事件明细'!$A$2:$A$501,0),MATCH(E416,'激励事件明细'!$B$2:$B$501,0))),""))</f>
        <v/>
      </c>
      <c r="Q416" s="6">
        <f>IF(AND(D416="",E416=""),"异常：必须关联事件编号或税额批次",IF(AND(D416&lt;&gt;"",COUNTIF('激励事件明细'!$A$2:$A$501,D416)=0),"异常：事件编号不存在",IF(AND(E416&lt;&gt;"",COUNTIF('激励事件明细'!$B$2:$B$501,E416)=0),"异常：税额批次不存在",IF(M416&gt;F416,"异常：本批次超额缴税",IF(AND(I416&lt;&gt;"",I416&gt;H416),"异常：超过事件截止日",IF(AND(P416&lt;&gt;"",TODAY()&gt;=P416,N416&gt;0),"异常：离职前未缴清","正常"))))))</f>
        <v/>
      </c>
      <c r="R416" s="11" t="n"/>
    </row>
    <row r="417">
      <c r="A417" s="6">
        <f>IF(AND(D417="",E417=""),"",IFERROR(INDEX('激励事件明细'!$C$2:$C$501,IF(D417&lt;&gt;"",MATCH(D417,'激励事件明细'!$A$2:$A$501,0),MATCH(E417,'激励事件明细'!$B$2:$B$501,0))),""))</f>
        <v/>
      </c>
      <c r="B417" s="6">
        <f>IF(A417="","",IFERROR(INDEX('激励事件明细'!$D$2:$D$501,IF(D417&lt;&gt;"",MATCH(D417,'激励事件明细'!$A$2:$A$501,0),MATCH(E417,'激励事件明细'!$B$2:$B$501,0))),""))</f>
        <v/>
      </c>
      <c r="C417" s="6">
        <f>IF(A417="","",IFERROR(INDEX('激励事件明细'!$H$2:$H$501,IF(D417&lt;&gt;"",MATCH(D417,'激励事件明细'!$A$2:$A$501,0),MATCH(E417,'激励事件明细'!$B$2:$B$501,0))),""))</f>
        <v/>
      </c>
      <c r="D417" s="11" t="n"/>
      <c r="E417" s="11" t="n"/>
      <c r="F417" s="14">
        <f>IF(A417="","",IFERROR(INDEX('激励事件明细'!$Z$2:$Z$501,IF(D417&lt;&gt;"",MATCH(D417,'激励事件明细'!$A$2:$A$501,0),MATCH(E417,'激励事件明细'!$B$2:$B$501,0))),""))</f>
        <v/>
      </c>
      <c r="G417" s="16">
        <f>IF(A417="","",IFERROR(INDEX('激励事件明细'!$AA$2:$AA$501,IF(D417&lt;&gt;"",MATCH(D417,'激励事件明细'!$A$2:$A$501,0),MATCH(E417,'激励事件明细'!$B$2:$B$501,0))),""))</f>
        <v/>
      </c>
      <c r="H417" s="16">
        <f>IF(A417="","",IFERROR(INDEX('激励事件明细'!$AB$2:$AB$501,IF(D417&lt;&gt;"",MATCH(D417,'激励事件明细'!$A$2:$A$501,0),MATCH(E417,'激励事件明细'!$B$2:$B$501,0))),""))</f>
        <v/>
      </c>
      <c r="I417" s="12" t="n"/>
      <c r="J417" s="13" t="n"/>
      <c r="K417" s="13" t="n"/>
      <c r="L417" s="11" t="n"/>
      <c r="M417" s="14">
        <f>IF(A417="","",IF(D417&lt;&gt;"",SUMIFS($K$2:$K$501,$D$2:$D$501,D417),SUMIFS($K$2:$K$501,$E$2:$E$501,E417)))</f>
        <v/>
      </c>
      <c r="N417" s="14">
        <f>IF(F417="","",MAX(0,F417-M417))</f>
        <v/>
      </c>
      <c r="O417" s="6">
        <f>IF(A417="","",IF(AND(I417&lt;&gt;"",I417&gt;H417),"是",IF(AND(TODAY()&gt;H417,N417&gt;0),"是","否")))</f>
        <v/>
      </c>
      <c r="P417" s="16">
        <f>IF(A417="","",IFERROR(INDEX('激励事件明细'!$P$2:$P$501,IF(D417&lt;&gt;"",MATCH(D417,'激励事件明细'!$A$2:$A$501,0),MATCH(E417,'激励事件明细'!$B$2:$B$501,0))),""))</f>
        <v/>
      </c>
      <c r="Q417" s="6">
        <f>IF(AND(D417="",E417=""),"异常：必须关联事件编号或税额批次",IF(AND(D417&lt;&gt;"",COUNTIF('激励事件明细'!$A$2:$A$501,D417)=0),"异常：事件编号不存在",IF(AND(E417&lt;&gt;"",COUNTIF('激励事件明细'!$B$2:$B$501,E417)=0),"异常：税额批次不存在",IF(M417&gt;F417,"异常：本批次超额缴税",IF(AND(I417&lt;&gt;"",I417&gt;H417),"异常：超过事件截止日",IF(AND(P417&lt;&gt;"",TODAY()&gt;=P417,N417&gt;0),"异常：离职前未缴清","正常"))))))</f>
        <v/>
      </c>
      <c r="R417" s="11" t="n"/>
    </row>
    <row r="418">
      <c r="A418" s="6">
        <f>IF(AND(D418="",E418=""),"",IFERROR(INDEX('激励事件明细'!$C$2:$C$501,IF(D418&lt;&gt;"",MATCH(D418,'激励事件明细'!$A$2:$A$501,0),MATCH(E418,'激励事件明细'!$B$2:$B$501,0))),""))</f>
        <v/>
      </c>
      <c r="B418" s="6">
        <f>IF(A418="","",IFERROR(INDEX('激励事件明细'!$D$2:$D$501,IF(D418&lt;&gt;"",MATCH(D418,'激励事件明细'!$A$2:$A$501,0),MATCH(E418,'激励事件明细'!$B$2:$B$501,0))),""))</f>
        <v/>
      </c>
      <c r="C418" s="6">
        <f>IF(A418="","",IFERROR(INDEX('激励事件明细'!$H$2:$H$501,IF(D418&lt;&gt;"",MATCH(D418,'激励事件明细'!$A$2:$A$501,0),MATCH(E418,'激励事件明细'!$B$2:$B$501,0))),""))</f>
        <v/>
      </c>
      <c r="D418" s="11" t="n"/>
      <c r="E418" s="11" t="n"/>
      <c r="F418" s="14">
        <f>IF(A418="","",IFERROR(INDEX('激励事件明细'!$Z$2:$Z$501,IF(D418&lt;&gt;"",MATCH(D418,'激励事件明细'!$A$2:$A$501,0),MATCH(E418,'激励事件明细'!$B$2:$B$501,0))),""))</f>
        <v/>
      </c>
      <c r="G418" s="16">
        <f>IF(A418="","",IFERROR(INDEX('激励事件明细'!$AA$2:$AA$501,IF(D418&lt;&gt;"",MATCH(D418,'激励事件明细'!$A$2:$A$501,0),MATCH(E418,'激励事件明细'!$B$2:$B$501,0))),""))</f>
        <v/>
      </c>
      <c r="H418" s="16">
        <f>IF(A418="","",IFERROR(INDEX('激励事件明细'!$AB$2:$AB$501,IF(D418&lt;&gt;"",MATCH(D418,'激励事件明细'!$A$2:$A$501,0),MATCH(E418,'激励事件明细'!$B$2:$B$501,0))),""))</f>
        <v/>
      </c>
      <c r="I418" s="12" t="n"/>
      <c r="J418" s="13" t="n"/>
      <c r="K418" s="13" t="n"/>
      <c r="L418" s="11" t="n"/>
      <c r="M418" s="14">
        <f>IF(A418="","",IF(D418&lt;&gt;"",SUMIFS($K$2:$K$501,$D$2:$D$501,D418),SUMIFS($K$2:$K$501,$E$2:$E$501,E418)))</f>
        <v/>
      </c>
      <c r="N418" s="14">
        <f>IF(F418="","",MAX(0,F418-M418))</f>
        <v/>
      </c>
      <c r="O418" s="6">
        <f>IF(A418="","",IF(AND(I418&lt;&gt;"",I418&gt;H418),"是",IF(AND(TODAY()&gt;H418,N418&gt;0),"是","否")))</f>
        <v/>
      </c>
      <c r="P418" s="16">
        <f>IF(A418="","",IFERROR(INDEX('激励事件明细'!$P$2:$P$501,IF(D418&lt;&gt;"",MATCH(D418,'激励事件明细'!$A$2:$A$501,0),MATCH(E418,'激励事件明细'!$B$2:$B$501,0))),""))</f>
        <v/>
      </c>
      <c r="Q418" s="6">
        <f>IF(AND(D418="",E418=""),"异常：必须关联事件编号或税额批次",IF(AND(D418&lt;&gt;"",COUNTIF('激励事件明细'!$A$2:$A$501,D418)=0),"异常：事件编号不存在",IF(AND(E418&lt;&gt;"",COUNTIF('激励事件明细'!$B$2:$B$501,E418)=0),"异常：税额批次不存在",IF(M418&gt;F418,"异常：本批次超额缴税",IF(AND(I418&lt;&gt;"",I418&gt;H418),"异常：超过事件截止日",IF(AND(P418&lt;&gt;"",TODAY()&gt;=P418,N418&gt;0),"异常：离职前未缴清","正常"))))))</f>
        <v/>
      </c>
      <c r="R418" s="11" t="n"/>
    </row>
    <row r="419">
      <c r="A419" s="6">
        <f>IF(AND(D419="",E419=""),"",IFERROR(INDEX('激励事件明细'!$C$2:$C$501,IF(D419&lt;&gt;"",MATCH(D419,'激励事件明细'!$A$2:$A$501,0),MATCH(E419,'激励事件明细'!$B$2:$B$501,0))),""))</f>
        <v/>
      </c>
      <c r="B419" s="6">
        <f>IF(A419="","",IFERROR(INDEX('激励事件明细'!$D$2:$D$501,IF(D419&lt;&gt;"",MATCH(D419,'激励事件明细'!$A$2:$A$501,0),MATCH(E419,'激励事件明细'!$B$2:$B$501,0))),""))</f>
        <v/>
      </c>
      <c r="C419" s="6">
        <f>IF(A419="","",IFERROR(INDEX('激励事件明细'!$H$2:$H$501,IF(D419&lt;&gt;"",MATCH(D419,'激励事件明细'!$A$2:$A$501,0),MATCH(E419,'激励事件明细'!$B$2:$B$501,0))),""))</f>
        <v/>
      </c>
      <c r="D419" s="11" t="n"/>
      <c r="E419" s="11" t="n"/>
      <c r="F419" s="14">
        <f>IF(A419="","",IFERROR(INDEX('激励事件明细'!$Z$2:$Z$501,IF(D419&lt;&gt;"",MATCH(D419,'激励事件明细'!$A$2:$A$501,0),MATCH(E419,'激励事件明细'!$B$2:$B$501,0))),""))</f>
        <v/>
      </c>
      <c r="G419" s="16">
        <f>IF(A419="","",IFERROR(INDEX('激励事件明细'!$AA$2:$AA$501,IF(D419&lt;&gt;"",MATCH(D419,'激励事件明细'!$A$2:$A$501,0),MATCH(E419,'激励事件明细'!$B$2:$B$501,0))),""))</f>
        <v/>
      </c>
      <c r="H419" s="16">
        <f>IF(A419="","",IFERROR(INDEX('激励事件明细'!$AB$2:$AB$501,IF(D419&lt;&gt;"",MATCH(D419,'激励事件明细'!$A$2:$A$501,0),MATCH(E419,'激励事件明细'!$B$2:$B$501,0))),""))</f>
        <v/>
      </c>
      <c r="I419" s="12" t="n"/>
      <c r="J419" s="13" t="n"/>
      <c r="K419" s="13" t="n"/>
      <c r="L419" s="11" t="n"/>
      <c r="M419" s="14">
        <f>IF(A419="","",IF(D419&lt;&gt;"",SUMIFS($K$2:$K$501,$D$2:$D$501,D419),SUMIFS($K$2:$K$501,$E$2:$E$501,E419)))</f>
        <v/>
      </c>
      <c r="N419" s="14">
        <f>IF(F419="","",MAX(0,F419-M419))</f>
        <v/>
      </c>
      <c r="O419" s="6">
        <f>IF(A419="","",IF(AND(I419&lt;&gt;"",I419&gt;H419),"是",IF(AND(TODAY()&gt;H419,N419&gt;0),"是","否")))</f>
        <v/>
      </c>
      <c r="P419" s="16">
        <f>IF(A419="","",IFERROR(INDEX('激励事件明细'!$P$2:$P$501,IF(D419&lt;&gt;"",MATCH(D419,'激励事件明细'!$A$2:$A$501,0),MATCH(E419,'激励事件明细'!$B$2:$B$501,0))),""))</f>
        <v/>
      </c>
      <c r="Q419" s="6">
        <f>IF(AND(D419="",E419=""),"异常：必须关联事件编号或税额批次",IF(AND(D419&lt;&gt;"",COUNTIF('激励事件明细'!$A$2:$A$501,D419)=0),"异常：事件编号不存在",IF(AND(E419&lt;&gt;"",COUNTIF('激励事件明细'!$B$2:$B$501,E419)=0),"异常：税额批次不存在",IF(M419&gt;F419,"异常：本批次超额缴税",IF(AND(I419&lt;&gt;"",I419&gt;H419),"异常：超过事件截止日",IF(AND(P419&lt;&gt;"",TODAY()&gt;=P419,N419&gt;0),"异常：离职前未缴清","正常"))))))</f>
        <v/>
      </c>
      <c r="R419" s="11" t="n"/>
    </row>
    <row r="420">
      <c r="A420" s="6">
        <f>IF(AND(D420="",E420=""),"",IFERROR(INDEX('激励事件明细'!$C$2:$C$501,IF(D420&lt;&gt;"",MATCH(D420,'激励事件明细'!$A$2:$A$501,0),MATCH(E420,'激励事件明细'!$B$2:$B$501,0))),""))</f>
        <v/>
      </c>
      <c r="B420" s="6">
        <f>IF(A420="","",IFERROR(INDEX('激励事件明细'!$D$2:$D$501,IF(D420&lt;&gt;"",MATCH(D420,'激励事件明细'!$A$2:$A$501,0),MATCH(E420,'激励事件明细'!$B$2:$B$501,0))),""))</f>
        <v/>
      </c>
      <c r="C420" s="6">
        <f>IF(A420="","",IFERROR(INDEX('激励事件明细'!$H$2:$H$501,IF(D420&lt;&gt;"",MATCH(D420,'激励事件明细'!$A$2:$A$501,0),MATCH(E420,'激励事件明细'!$B$2:$B$501,0))),""))</f>
        <v/>
      </c>
      <c r="D420" s="11" t="n"/>
      <c r="E420" s="11" t="n"/>
      <c r="F420" s="14">
        <f>IF(A420="","",IFERROR(INDEX('激励事件明细'!$Z$2:$Z$501,IF(D420&lt;&gt;"",MATCH(D420,'激励事件明细'!$A$2:$A$501,0),MATCH(E420,'激励事件明细'!$B$2:$B$501,0))),""))</f>
        <v/>
      </c>
      <c r="G420" s="16">
        <f>IF(A420="","",IFERROR(INDEX('激励事件明细'!$AA$2:$AA$501,IF(D420&lt;&gt;"",MATCH(D420,'激励事件明细'!$A$2:$A$501,0),MATCH(E420,'激励事件明细'!$B$2:$B$501,0))),""))</f>
        <v/>
      </c>
      <c r="H420" s="16">
        <f>IF(A420="","",IFERROR(INDEX('激励事件明细'!$AB$2:$AB$501,IF(D420&lt;&gt;"",MATCH(D420,'激励事件明细'!$A$2:$A$501,0),MATCH(E420,'激励事件明细'!$B$2:$B$501,0))),""))</f>
        <v/>
      </c>
      <c r="I420" s="12" t="n"/>
      <c r="J420" s="13" t="n"/>
      <c r="K420" s="13" t="n"/>
      <c r="L420" s="11" t="n"/>
      <c r="M420" s="14">
        <f>IF(A420="","",IF(D420&lt;&gt;"",SUMIFS($K$2:$K$501,$D$2:$D$501,D420),SUMIFS($K$2:$K$501,$E$2:$E$501,E420)))</f>
        <v/>
      </c>
      <c r="N420" s="14">
        <f>IF(F420="","",MAX(0,F420-M420))</f>
        <v/>
      </c>
      <c r="O420" s="6">
        <f>IF(A420="","",IF(AND(I420&lt;&gt;"",I420&gt;H420),"是",IF(AND(TODAY()&gt;H420,N420&gt;0),"是","否")))</f>
        <v/>
      </c>
      <c r="P420" s="16">
        <f>IF(A420="","",IFERROR(INDEX('激励事件明细'!$P$2:$P$501,IF(D420&lt;&gt;"",MATCH(D420,'激励事件明细'!$A$2:$A$501,0),MATCH(E420,'激励事件明细'!$B$2:$B$501,0))),""))</f>
        <v/>
      </c>
      <c r="Q420" s="6">
        <f>IF(AND(D420="",E420=""),"异常：必须关联事件编号或税额批次",IF(AND(D420&lt;&gt;"",COUNTIF('激励事件明细'!$A$2:$A$501,D420)=0),"异常：事件编号不存在",IF(AND(E420&lt;&gt;"",COUNTIF('激励事件明细'!$B$2:$B$501,E420)=0),"异常：税额批次不存在",IF(M420&gt;F420,"异常：本批次超额缴税",IF(AND(I420&lt;&gt;"",I420&gt;H420),"异常：超过事件截止日",IF(AND(P420&lt;&gt;"",TODAY()&gt;=P420,N420&gt;0),"异常：离职前未缴清","正常"))))))</f>
        <v/>
      </c>
      <c r="R420" s="11" t="n"/>
    </row>
    <row r="421">
      <c r="A421" s="6">
        <f>IF(AND(D421="",E421=""),"",IFERROR(INDEX('激励事件明细'!$C$2:$C$501,IF(D421&lt;&gt;"",MATCH(D421,'激励事件明细'!$A$2:$A$501,0),MATCH(E421,'激励事件明细'!$B$2:$B$501,0))),""))</f>
        <v/>
      </c>
      <c r="B421" s="6">
        <f>IF(A421="","",IFERROR(INDEX('激励事件明细'!$D$2:$D$501,IF(D421&lt;&gt;"",MATCH(D421,'激励事件明细'!$A$2:$A$501,0),MATCH(E421,'激励事件明细'!$B$2:$B$501,0))),""))</f>
        <v/>
      </c>
      <c r="C421" s="6">
        <f>IF(A421="","",IFERROR(INDEX('激励事件明细'!$H$2:$H$501,IF(D421&lt;&gt;"",MATCH(D421,'激励事件明细'!$A$2:$A$501,0),MATCH(E421,'激励事件明细'!$B$2:$B$501,0))),""))</f>
        <v/>
      </c>
      <c r="D421" s="11" t="n"/>
      <c r="E421" s="11" t="n"/>
      <c r="F421" s="14">
        <f>IF(A421="","",IFERROR(INDEX('激励事件明细'!$Z$2:$Z$501,IF(D421&lt;&gt;"",MATCH(D421,'激励事件明细'!$A$2:$A$501,0),MATCH(E421,'激励事件明细'!$B$2:$B$501,0))),""))</f>
        <v/>
      </c>
      <c r="G421" s="16">
        <f>IF(A421="","",IFERROR(INDEX('激励事件明细'!$AA$2:$AA$501,IF(D421&lt;&gt;"",MATCH(D421,'激励事件明细'!$A$2:$A$501,0),MATCH(E421,'激励事件明细'!$B$2:$B$501,0))),""))</f>
        <v/>
      </c>
      <c r="H421" s="16">
        <f>IF(A421="","",IFERROR(INDEX('激励事件明细'!$AB$2:$AB$501,IF(D421&lt;&gt;"",MATCH(D421,'激励事件明细'!$A$2:$A$501,0),MATCH(E421,'激励事件明细'!$B$2:$B$501,0))),""))</f>
        <v/>
      </c>
      <c r="I421" s="12" t="n"/>
      <c r="J421" s="13" t="n"/>
      <c r="K421" s="13" t="n"/>
      <c r="L421" s="11" t="n"/>
      <c r="M421" s="14">
        <f>IF(A421="","",IF(D421&lt;&gt;"",SUMIFS($K$2:$K$501,$D$2:$D$501,D421),SUMIFS($K$2:$K$501,$E$2:$E$501,E421)))</f>
        <v/>
      </c>
      <c r="N421" s="14">
        <f>IF(F421="","",MAX(0,F421-M421))</f>
        <v/>
      </c>
      <c r="O421" s="6">
        <f>IF(A421="","",IF(AND(I421&lt;&gt;"",I421&gt;H421),"是",IF(AND(TODAY()&gt;H421,N421&gt;0),"是","否")))</f>
        <v/>
      </c>
      <c r="P421" s="16">
        <f>IF(A421="","",IFERROR(INDEX('激励事件明细'!$P$2:$P$501,IF(D421&lt;&gt;"",MATCH(D421,'激励事件明细'!$A$2:$A$501,0),MATCH(E421,'激励事件明细'!$B$2:$B$501,0))),""))</f>
        <v/>
      </c>
      <c r="Q421" s="6">
        <f>IF(AND(D421="",E421=""),"异常：必须关联事件编号或税额批次",IF(AND(D421&lt;&gt;"",COUNTIF('激励事件明细'!$A$2:$A$501,D421)=0),"异常：事件编号不存在",IF(AND(E421&lt;&gt;"",COUNTIF('激励事件明细'!$B$2:$B$501,E421)=0),"异常：税额批次不存在",IF(M421&gt;F421,"异常：本批次超额缴税",IF(AND(I421&lt;&gt;"",I421&gt;H421),"异常：超过事件截止日",IF(AND(P421&lt;&gt;"",TODAY()&gt;=P421,N421&gt;0),"异常：离职前未缴清","正常"))))))</f>
        <v/>
      </c>
      <c r="R421" s="11" t="n"/>
    </row>
    <row r="422">
      <c r="A422" s="6">
        <f>IF(AND(D422="",E422=""),"",IFERROR(INDEX('激励事件明细'!$C$2:$C$501,IF(D422&lt;&gt;"",MATCH(D422,'激励事件明细'!$A$2:$A$501,0),MATCH(E422,'激励事件明细'!$B$2:$B$501,0))),""))</f>
        <v/>
      </c>
      <c r="B422" s="6">
        <f>IF(A422="","",IFERROR(INDEX('激励事件明细'!$D$2:$D$501,IF(D422&lt;&gt;"",MATCH(D422,'激励事件明细'!$A$2:$A$501,0),MATCH(E422,'激励事件明细'!$B$2:$B$501,0))),""))</f>
        <v/>
      </c>
      <c r="C422" s="6">
        <f>IF(A422="","",IFERROR(INDEX('激励事件明细'!$H$2:$H$501,IF(D422&lt;&gt;"",MATCH(D422,'激励事件明细'!$A$2:$A$501,0),MATCH(E422,'激励事件明细'!$B$2:$B$501,0))),""))</f>
        <v/>
      </c>
      <c r="D422" s="11" t="n"/>
      <c r="E422" s="11" t="n"/>
      <c r="F422" s="14">
        <f>IF(A422="","",IFERROR(INDEX('激励事件明细'!$Z$2:$Z$501,IF(D422&lt;&gt;"",MATCH(D422,'激励事件明细'!$A$2:$A$501,0),MATCH(E422,'激励事件明细'!$B$2:$B$501,0))),""))</f>
        <v/>
      </c>
      <c r="G422" s="16">
        <f>IF(A422="","",IFERROR(INDEX('激励事件明细'!$AA$2:$AA$501,IF(D422&lt;&gt;"",MATCH(D422,'激励事件明细'!$A$2:$A$501,0),MATCH(E422,'激励事件明细'!$B$2:$B$501,0))),""))</f>
        <v/>
      </c>
      <c r="H422" s="16">
        <f>IF(A422="","",IFERROR(INDEX('激励事件明细'!$AB$2:$AB$501,IF(D422&lt;&gt;"",MATCH(D422,'激励事件明细'!$A$2:$A$501,0),MATCH(E422,'激励事件明细'!$B$2:$B$501,0))),""))</f>
        <v/>
      </c>
      <c r="I422" s="12" t="n"/>
      <c r="J422" s="13" t="n"/>
      <c r="K422" s="13" t="n"/>
      <c r="L422" s="11" t="n"/>
      <c r="M422" s="14">
        <f>IF(A422="","",IF(D422&lt;&gt;"",SUMIFS($K$2:$K$501,$D$2:$D$501,D422),SUMIFS($K$2:$K$501,$E$2:$E$501,E422)))</f>
        <v/>
      </c>
      <c r="N422" s="14">
        <f>IF(F422="","",MAX(0,F422-M422))</f>
        <v/>
      </c>
      <c r="O422" s="6">
        <f>IF(A422="","",IF(AND(I422&lt;&gt;"",I422&gt;H422),"是",IF(AND(TODAY()&gt;H422,N422&gt;0),"是","否")))</f>
        <v/>
      </c>
      <c r="P422" s="16">
        <f>IF(A422="","",IFERROR(INDEX('激励事件明细'!$P$2:$P$501,IF(D422&lt;&gt;"",MATCH(D422,'激励事件明细'!$A$2:$A$501,0),MATCH(E422,'激励事件明细'!$B$2:$B$501,0))),""))</f>
        <v/>
      </c>
      <c r="Q422" s="6">
        <f>IF(AND(D422="",E422=""),"异常：必须关联事件编号或税额批次",IF(AND(D422&lt;&gt;"",COUNTIF('激励事件明细'!$A$2:$A$501,D422)=0),"异常：事件编号不存在",IF(AND(E422&lt;&gt;"",COUNTIF('激励事件明细'!$B$2:$B$501,E422)=0),"异常：税额批次不存在",IF(M422&gt;F422,"异常：本批次超额缴税",IF(AND(I422&lt;&gt;"",I422&gt;H422),"异常：超过事件截止日",IF(AND(P422&lt;&gt;"",TODAY()&gt;=P422,N422&gt;0),"异常：离职前未缴清","正常"))))))</f>
        <v/>
      </c>
      <c r="R422" s="11" t="n"/>
    </row>
    <row r="423">
      <c r="A423" s="6">
        <f>IF(AND(D423="",E423=""),"",IFERROR(INDEX('激励事件明细'!$C$2:$C$501,IF(D423&lt;&gt;"",MATCH(D423,'激励事件明细'!$A$2:$A$501,0),MATCH(E423,'激励事件明细'!$B$2:$B$501,0))),""))</f>
        <v/>
      </c>
      <c r="B423" s="6">
        <f>IF(A423="","",IFERROR(INDEX('激励事件明细'!$D$2:$D$501,IF(D423&lt;&gt;"",MATCH(D423,'激励事件明细'!$A$2:$A$501,0),MATCH(E423,'激励事件明细'!$B$2:$B$501,0))),""))</f>
        <v/>
      </c>
      <c r="C423" s="6">
        <f>IF(A423="","",IFERROR(INDEX('激励事件明细'!$H$2:$H$501,IF(D423&lt;&gt;"",MATCH(D423,'激励事件明细'!$A$2:$A$501,0),MATCH(E423,'激励事件明细'!$B$2:$B$501,0))),""))</f>
        <v/>
      </c>
      <c r="D423" s="11" t="n"/>
      <c r="E423" s="11" t="n"/>
      <c r="F423" s="14">
        <f>IF(A423="","",IFERROR(INDEX('激励事件明细'!$Z$2:$Z$501,IF(D423&lt;&gt;"",MATCH(D423,'激励事件明细'!$A$2:$A$501,0),MATCH(E423,'激励事件明细'!$B$2:$B$501,0))),""))</f>
        <v/>
      </c>
      <c r="G423" s="16">
        <f>IF(A423="","",IFERROR(INDEX('激励事件明细'!$AA$2:$AA$501,IF(D423&lt;&gt;"",MATCH(D423,'激励事件明细'!$A$2:$A$501,0),MATCH(E423,'激励事件明细'!$B$2:$B$501,0))),""))</f>
        <v/>
      </c>
      <c r="H423" s="16">
        <f>IF(A423="","",IFERROR(INDEX('激励事件明细'!$AB$2:$AB$501,IF(D423&lt;&gt;"",MATCH(D423,'激励事件明细'!$A$2:$A$501,0),MATCH(E423,'激励事件明细'!$B$2:$B$501,0))),""))</f>
        <v/>
      </c>
      <c r="I423" s="12" t="n"/>
      <c r="J423" s="13" t="n"/>
      <c r="K423" s="13" t="n"/>
      <c r="L423" s="11" t="n"/>
      <c r="M423" s="14">
        <f>IF(A423="","",IF(D423&lt;&gt;"",SUMIFS($K$2:$K$501,$D$2:$D$501,D423),SUMIFS($K$2:$K$501,$E$2:$E$501,E423)))</f>
        <v/>
      </c>
      <c r="N423" s="14">
        <f>IF(F423="","",MAX(0,F423-M423))</f>
        <v/>
      </c>
      <c r="O423" s="6">
        <f>IF(A423="","",IF(AND(I423&lt;&gt;"",I423&gt;H423),"是",IF(AND(TODAY()&gt;H423,N423&gt;0),"是","否")))</f>
        <v/>
      </c>
      <c r="P423" s="16">
        <f>IF(A423="","",IFERROR(INDEX('激励事件明细'!$P$2:$P$501,IF(D423&lt;&gt;"",MATCH(D423,'激励事件明细'!$A$2:$A$501,0),MATCH(E423,'激励事件明细'!$B$2:$B$501,0))),""))</f>
        <v/>
      </c>
      <c r="Q423" s="6">
        <f>IF(AND(D423="",E423=""),"异常：必须关联事件编号或税额批次",IF(AND(D423&lt;&gt;"",COUNTIF('激励事件明细'!$A$2:$A$501,D423)=0),"异常：事件编号不存在",IF(AND(E423&lt;&gt;"",COUNTIF('激励事件明细'!$B$2:$B$501,E423)=0),"异常：税额批次不存在",IF(M423&gt;F423,"异常：本批次超额缴税",IF(AND(I423&lt;&gt;"",I423&gt;H423),"异常：超过事件截止日",IF(AND(P423&lt;&gt;"",TODAY()&gt;=P423,N423&gt;0),"异常：离职前未缴清","正常"))))))</f>
        <v/>
      </c>
      <c r="R423" s="11" t="n"/>
    </row>
    <row r="424">
      <c r="A424" s="6">
        <f>IF(AND(D424="",E424=""),"",IFERROR(INDEX('激励事件明细'!$C$2:$C$501,IF(D424&lt;&gt;"",MATCH(D424,'激励事件明细'!$A$2:$A$501,0),MATCH(E424,'激励事件明细'!$B$2:$B$501,0))),""))</f>
        <v/>
      </c>
      <c r="B424" s="6">
        <f>IF(A424="","",IFERROR(INDEX('激励事件明细'!$D$2:$D$501,IF(D424&lt;&gt;"",MATCH(D424,'激励事件明细'!$A$2:$A$501,0),MATCH(E424,'激励事件明细'!$B$2:$B$501,0))),""))</f>
        <v/>
      </c>
      <c r="C424" s="6">
        <f>IF(A424="","",IFERROR(INDEX('激励事件明细'!$H$2:$H$501,IF(D424&lt;&gt;"",MATCH(D424,'激励事件明细'!$A$2:$A$501,0),MATCH(E424,'激励事件明细'!$B$2:$B$501,0))),""))</f>
        <v/>
      </c>
      <c r="D424" s="11" t="n"/>
      <c r="E424" s="11" t="n"/>
      <c r="F424" s="14">
        <f>IF(A424="","",IFERROR(INDEX('激励事件明细'!$Z$2:$Z$501,IF(D424&lt;&gt;"",MATCH(D424,'激励事件明细'!$A$2:$A$501,0),MATCH(E424,'激励事件明细'!$B$2:$B$501,0))),""))</f>
        <v/>
      </c>
      <c r="G424" s="16">
        <f>IF(A424="","",IFERROR(INDEX('激励事件明细'!$AA$2:$AA$501,IF(D424&lt;&gt;"",MATCH(D424,'激励事件明细'!$A$2:$A$501,0),MATCH(E424,'激励事件明细'!$B$2:$B$501,0))),""))</f>
        <v/>
      </c>
      <c r="H424" s="16">
        <f>IF(A424="","",IFERROR(INDEX('激励事件明细'!$AB$2:$AB$501,IF(D424&lt;&gt;"",MATCH(D424,'激励事件明细'!$A$2:$A$501,0),MATCH(E424,'激励事件明细'!$B$2:$B$501,0))),""))</f>
        <v/>
      </c>
      <c r="I424" s="12" t="n"/>
      <c r="J424" s="13" t="n"/>
      <c r="K424" s="13" t="n"/>
      <c r="L424" s="11" t="n"/>
      <c r="M424" s="14">
        <f>IF(A424="","",IF(D424&lt;&gt;"",SUMIFS($K$2:$K$501,$D$2:$D$501,D424),SUMIFS($K$2:$K$501,$E$2:$E$501,E424)))</f>
        <v/>
      </c>
      <c r="N424" s="14">
        <f>IF(F424="","",MAX(0,F424-M424))</f>
        <v/>
      </c>
      <c r="O424" s="6">
        <f>IF(A424="","",IF(AND(I424&lt;&gt;"",I424&gt;H424),"是",IF(AND(TODAY()&gt;H424,N424&gt;0),"是","否")))</f>
        <v/>
      </c>
      <c r="P424" s="16">
        <f>IF(A424="","",IFERROR(INDEX('激励事件明细'!$P$2:$P$501,IF(D424&lt;&gt;"",MATCH(D424,'激励事件明细'!$A$2:$A$501,0),MATCH(E424,'激励事件明细'!$B$2:$B$501,0))),""))</f>
        <v/>
      </c>
      <c r="Q424" s="6">
        <f>IF(AND(D424="",E424=""),"异常：必须关联事件编号或税额批次",IF(AND(D424&lt;&gt;"",COUNTIF('激励事件明细'!$A$2:$A$501,D424)=0),"异常：事件编号不存在",IF(AND(E424&lt;&gt;"",COUNTIF('激励事件明细'!$B$2:$B$501,E424)=0),"异常：税额批次不存在",IF(M424&gt;F424,"异常：本批次超额缴税",IF(AND(I424&lt;&gt;"",I424&gt;H424),"异常：超过事件截止日",IF(AND(P424&lt;&gt;"",TODAY()&gt;=P424,N424&gt;0),"异常：离职前未缴清","正常"))))))</f>
        <v/>
      </c>
      <c r="R424" s="11" t="n"/>
    </row>
    <row r="425">
      <c r="A425" s="6">
        <f>IF(AND(D425="",E425=""),"",IFERROR(INDEX('激励事件明细'!$C$2:$C$501,IF(D425&lt;&gt;"",MATCH(D425,'激励事件明细'!$A$2:$A$501,0),MATCH(E425,'激励事件明细'!$B$2:$B$501,0))),""))</f>
        <v/>
      </c>
      <c r="B425" s="6">
        <f>IF(A425="","",IFERROR(INDEX('激励事件明细'!$D$2:$D$501,IF(D425&lt;&gt;"",MATCH(D425,'激励事件明细'!$A$2:$A$501,0),MATCH(E425,'激励事件明细'!$B$2:$B$501,0))),""))</f>
        <v/>
      </c>
      <c r="C425" s="6">
        <f>IF(A425="","",IFERROR(INDEX('激励事件明细'!$H$2:$H$501,IF(D425&lt;&gt;"",MATCH(D425,'激励事件明细'!$A$2:$A$501,0),MATCH(E425,'激励事件明细'!$B$2:$B$501,0))),""))</f>
        <v/>
      </c>
      <c r="D425" s="11" t="n"/>
      <c r="E425" s="11" t="n"/>
      <c r="F425" s="14">
        <f>IF(A425="","",IFERROR(INDEX('激励事件明细'!$Z$2:$Z$501,IF(D425&lt;&gt;"",MATCH(D425,'激励事件明细'!$A$2:$A$501,0),MATCH(E425,'激励事件明细'!$B$2:$B$501,0))),""))</f>
        <v/>
      </c>
      <c r="G425" s="16">
        <f>IF(A425="","",IFERROR(INDEX('激励事件明细'!$AA$2:$AA$501,IF(D425&lt;&gt;"",MATCH(D425,'激励事件明细'!$A$2:$A$501,0),MATCH(E425,'激励事件明细'!$B$2:$B$501,0))),""))</f>
        <v/>
      </c>
      <c r="H425" s="16">
        <f>IF(A425="","",IFERROR(INDEX('激励事件明细'!$AB$2:$AB$501,IF(D425&lt;&gt;"",MATCH(D425,'激励事件明细'!$A$2:$A$501,0),MATCH(E425,'激励事件明细'!$B$2:$B$501,0))),""))</f>
        <v/>
      </c>
      <c r="I425" s="12" t="n"/>
      <c r="J425" s="13" t="n"/>
      <c r="K425" s="13" t="n"/>
      <c r="L425" s="11" t="n"/>
      <c r="M425" s="14">
        <f>IF(A425="","",IF(D425&lt;&gt;"",SUMIFS($K$2:$K$501,$D$2:$D$501,D425),SUMIFS($K$2:$K$501,$E$2:$E$501,E425)))</f>
        <v/>
      </c>
      <c r="N425" s="14">
        <f>IF(F425="","",MAX(0,F425-M425))</f>
        <v/>
      </c>
      <c r="O425" s="6">
        <f>IF(A425="","",IF(AND(I425&lt;&gt;"",I425&gt;H425),"是",IF(AND(TODAY()&gt;H425,N425&gt;0),"是","否")))</f>
        <v/>
      </c>
      <c r="P425" s="16">
        <f>IF(A425="","",IFERROR(INDEX('激励事件明细'!$P$2:$P$501,IF(D425&lt;&gt;"",MATCH(D425,'激励事件明细'!$A$2:$A$501,0),MATCH(E425,'激励事件明细'!$B$2:$B$501,0))),""))</f>
        <v/>
      </c>
      <c r="Q425" s="6">
        <f>IF(AND(D425="",E425=""),"异常：必须关联事件编号或税额批次",IF(AND(D425&lt;&gt;"",COUNTIF('激励事件明细'!$A$2:$A$501,D425)=0),"异常：事件编号不存在",IF(AND(E425&lt;&gt;"",COUNTIF('激励事件明细'!$B$2:$B$501,E425)=0),"异常：税额批次不存在",IF(M425&gt;F425,"异常：本批次超额缴税",IF(AND(I425&lt;&gt;"",I425&gt;H425),"异常：超过事件截止日",IF(AND(P425&lt;&gt;"",TODAY()&gt;=P425,N425&gt;0),"异常：离职前未缴清","正常"))))))</f>
        <v/>
      </c>
      <c r="R425" s="11" t="n"/>
    </row>
    <row r="426">
      <c r="A426" s="6">
        <f>IF(AND(D426="",E426=""),"",IFERROR(INDEX('激励事件明细'!$C$2:$C$501,IF(D426&lt;&gt;"",MATCH(D426,'激励事件明细'!$A$2:$A$501,0),MATCH(E426,'激励事件明细'!$B$2:$B$501,0))),""))</f>
        <v/>
      </c>
      <c r="B426" s="6">
        <f>IF(A426="","",IFERROR(INDEX('激励事件明细'!$D$2:$D$501,IF(D426&lt;&gt;"",MATCH(D426,'激励事件明细'!$A$2:$A$501,0),MATCH(E426,'激励事件明细'!$B$2:$B$501,0))),""))</f>
        <v/>
      </c>
      <c r="C426" s="6">
        <f>IF(A426="","",IFERROR(INDEX('激励事件明细'!$H$2:$H$501,IF(D426&lt;&gt;"",MATCH(D426,'激励事件明细'!$A$2:$A$501,0),MATCH(E426,'激励事件明细'!$B$2:$B$501,0))),""))</f>
        <v/>
      </c>
      <c r="D426" s="11" t="n"/>
      <c r="E426" s="11" t="n"/>
      <c r="F426" s="14">
        <f>IF(A426="","",IFERROR(INDEX('激励事件明细'!$Z$2:$Z$501,IF(D426&lt;&gt;"",MATCH(D426,'激励事件明细'!$A$2:$A$501,0),MATCH(E426,'激励事件明细'!$B$2:$B$501,0))),""))</f>
        <v/>
      </c>
      <c r="G426" s="16">
        <f>IF(A426="","",IFERROR(INDEX('激励事件明细'!$AA$2:$AA$501,IF(D426&lt;&gt;"",MATCH(D426,'激励事件明细'!$A$2:$A$501,0),MATCH(E426,'激励事件明细'!$B$2:$B$501,0))),""))</f>
        <v/>
      </c>
      <c r="H426" s="16">
        <f>IF(A426="","",IFERROR(INDEX('激励事件明细'!$AB$2:$AB$501,IF(D426&lt;&gt;"",MATCH(D426,'激励事件明细'!$A$2:$A$501,0),MATCH(E426,'激励事件明细'!$B$2:$B$501,0))),""))</f>
        <v/>
      </c>
      <c r="I426" s="12" t="n"/>
      <c r="J426" s="13" t="n"/>
      <c r="K426" s="13" t="n"/>
      <c r="L426" s="11" t="n"/>
      <c r="M426" s="14">
        <f>IF(A426="","",IF(D426&lt;&gt;"",SUMIFS($K$2:$K$501,$D$2:$D$501,D426),SUMIFS($K$2:$K$501,$E$2:$E$501,E426)))</f>
        <v/>
      </c>
      <c r="N426" s="14">
        <f>IF(F426="","",MAX(0,F426-M426))</f>
        <v/>
      </c>
      <c r="O426" s="6">
        <f>IF(A426="","",IF(AND(I426&lt;&gt;"",I426&gt;H426),"是",IF(AND(TODAY()&gt;H426,N426&gt;0),"是","否")))</f>
        <v/>
      </c>
      <c r="P426" s="16">
        <f>IF(A426="","",IFERROR(INDEX('激励事件明细'!$P$2:$P$501,IF(D426&lt;&gt;"",MATCH(D426,'激励事件明细'!$A$2:$A$501,0),MATCH(E426,'激励事件明细'!$B$2:$B$501,0))),""))</f>
        <v/>
      </c>
      <c r="Q426" s="6">
        <f>IF(AND(D426="",E426=""),"异常：必须关联事件编号或税额批次",IF(AND(D426&lt;&gt;"",COUNTIF('激励事件明细'!$A$2:$A$501,D426)=0),"异常：事件编号不存在",IF(AND(E426&lt;&gt;"",COUNTIF('激励事件明细'!$B$2:$B$501,E426)=0),"异常：税额批次不存在",IF(M426&gt;F426,"异常：本批次超额缴税",IF(AND(I426&lt;&gt;"",I426&gt;H426),"异常：超过事件截止日",IF(AND(P426&lt;&gt;"",TODAY()&gt;=P426,N426&gt;0),"异常：离职前未缴清","正常"))))))</f>
        <v/>
      </c>
      <c r="R426" s="11" t="n"/>
    </row>
    <row r="427">
      <c r="A427" s="6">
        <f>IF(AND(D427="",E427=""),"",IFERROR(INDEX('激励事件明细'!$C$2:$C$501,IF(D427&lt;&gt;"",MATCH(D427,'激励事件明细'!$A$2:$A$501,0),MATCH(E427,'激励事件明细'!$B$2:$B$501,0))),""))</f>
        <v/>
      </c>
      <c r="B427" s="6">
        <f>IF(A427="","",IFERROR(INDEX('激励事件明细'!$D$2:$D$501,IF(D427&lt;&gt;"",MATCH(D427,'激励事件明细'!$A$2:$A$501,0),MATCH(E427,'激励事件明细'!$B$2:$B$501,0))),""))</f>
        <v/>
      </c>
      <c r="C427" s="6">
        <f>IF(A427="","",IFERROR(INDEX('激励事件明细'!$H$2:$H$501,IF(D427&lt;&gt;"",MATCH(D427,'激励事件明细'!$A$2:$A$501,0),MATCH(E427,'激励事件明细'!$B$2:$B$501,0))),""))</f>
        <v/>
      </c>
      <c r="D427" s="11" t="n"/>
      <c r="E427" s="11" t="n"/>
      <c r="F427" s="14">
        <f>IF(A427="","",IFERROR(INDEX('激励事件明细'!$Z$2:$Z$501,IF(D427&lt;&gt;"",MATCH(D427,'激励事件明细'!$A$2:$A$501,0),MATCH(E427,'激励事件明细'!$B$2:$B$501,0))),""))</f>
        <v/>
      </c>
      <c r="G427" s="16">
        <f>IF(A427="","",IFERROR(INDEX('激励事件明细'!$AA$2:$AA$501,IF(D427&lt;&gt;"",MATCH(D427,'激励事件明细'!$A$2:$A$501,0),MATCH(E427,'激励事件明细'!$B$2:$B$501,0))),""))</f>
        <v/>
      </c>
      <c r="H427" s="16">
        <f>IF(A427="","",IFERROR(INDEX('激励事件明细'!$AB$2:$AB$501,IF(D427&lt;&gt;"",MATCH(D427,'激励事件明细'!$A$2:$A$501,0),MATCH(E427,'激励事件明细'!$B$2:$B$501,0))),""))</f>
        <v/>
      </c>
      <c r="I427" s="12" t="n"/>
      <c r="J427" s="13" t="n"/>
      <c r="K427" s="13" t="n"/>
      <c r="L427" s="11" t="n"/>
      <c r="M427" s="14">
        <f>IF(A427="","",IF(D427&lt;&gt;"",SUMIFS($K$2:$K$501,$D$2:$D$501,D427),SUMIFS($K$2:$K$501,$E$2:$E$501,E427)))</f>
        <v/>
      </c>
      <c r="N427" s="14">
        <f>IF(F427="","",MAX(0,F427-M427))</f>
        <v/>
      </c>
      <c r="O427" s="6">
        <f>IF(A427="","",IF(AND(I427&lt;&gt;"",I427&gt;H427),"是",IF(AND(TODAY()&gt;H427,N427&gt;0),"是","否")))</f>
        <v/>
      </c>
      <c r="P427" s="16">
        <f>IF(A427="","",IFERROR(INDEX('激励事件明细'!$P$2:$P$501,IF(D427&lt;&gt;"",MATCH(D427,'激励事件明细'!$A$2:$A$501,0),MATCH(E427,'激励事件明细'!$B$2:$B$501,0))),""))</f>
        <v/>
      </c>
      <c r="Q427" s="6">
        <f>IF(AND(D427="",E427=""),"异常：必须关联事件编号或税额批次",IF(AND(D427&lt;&gt;"",COUNTIF('激励事件明细'!$A$2:$A$501,D427)=0),"异常：事件编号不存在",IF(AND(E427&lt;&gt;"",COUNTIF('激励事件明细'!$B$2:$B$501,E427)=0),"异常：税额批次不存在",IF(M427&gt;F427,"异常：本批次超额缴税",IF(AND(I427&lt;&gt;"",I427&gt;H427),"异常：超过事件截止日",IF(AND(P427&lt;&gt;"",TODAY()&gt;=P427,N427&gt;0),"异常：离职前未缴清","正常"))))))</f>
        <v/>
      </c>
      <c r="R427" s="11" t="n"/>
    </row>
    <row r="428">
      <c r="A428" s="6">
        <f>IF(AND(D428="",E428=""),"",IFERROR(INDEX('激励事件明细'!$C$2:$C$501,IF(D428&lt;&gt;"",MATCH(D428,'激励事件明细'!$A$2:$A$501,0),MATCH(E428,'激励事件明细'!$B$2:$B$501,0))),""))</f>
        <v/>
      </c>
      <c r="B428" s="6">
        <f>IF(A428="","",IFERROR(INDEX('激励事件明细'!$D$2:$D$501,IF(D428&lt;&gt;"",MATCH(D428,'激励事件明细'!$A$2:$A$501,0),MATCH(E428,'激励事件明细'!$B$2:$B$501,0))),""))</f>
        <v/>
      </c>
      <c r="C428" s="6">
        <f>IF(A428="","",IFERROR(INDEX('激励事件明细'!$H$2:$H$501,IF(D428&lt;&gt;"",MATCH(D428,'激励事件明细'!$A$2:$A$501,0),MATCH(E428,'激励事件明细'!$B$2:$B$501,0))),""))</f>
        <v/>
      </c>
      <c r="D428" s="11" t="n"/>
      <c r="E428" s="11" t="n"/>
      <c r="F428" s="14">
        <f>IF(A428="","",IFERROR(INDEX('激励事件明细'!$Z$2:$Z$501,IF(D428&lt;&gt;"",MATCH(D428,'激励事件明细'!$A$2:$A$501,0),MATCH(E428,'激励事件明细'!$B$2:$B$501,0))),""))</f>
        <v/>
      </c>
      <c r="G428" s="16">
        <f>IF(A428="","",IFERROR(INDEX('激励事件明细'!$AA$2:$AA$501,IF(D428&lt;&gt;"",MATCH(D428,'激励事件明细'!$A$2:$A$501,0),MATCH(E428,'激励事件明细'!$B$2:$B$501,0))),""))</f>
        <v/>
      </c>
      <c r="H428" s="16">
        <f>IF(A428="","",IFERROR(INDEX('激励事件明细'!$AB$2:$AB$501,IF(D428&lt;&gt;"",MATCH(D428,'激励事件明细'!$A$2:$A$501,0),MATCH(E428,'激励事件明细'!$B$2:$B$501,0))),""))</f>
        <v/>
      </c>
      <c r="I428" s="12" t="n"/>
      <c r="J428" s="13" t="n"/>
      <c r="K428" s="13" t="n"/>
      <c r="L428" s="11" t="n"/>
      <c r="M428" s="14">
        <f>IF(A428="","",IF(D428&lt;&gt;"",SUMIFS($K$2:$K$501,$D$2:$D$501,D428),SUMIFS($K$2:$K$501,$E$2:$E$501,E428)))</f>
        <v/>
      </c>
      <c r="N428" s="14">
        <f>IF(F428="","",MAX(0,F428-M428))</f>
        <v/>
      </c>
      <c r="O428" s="6">
        <f>IF(A428="","",IF(AND(I428&lt;&gt;"",I428&gt;H428),"是",IF(AND(TODAY()&gt;H428,N428&gt;0),"是","否")))</f>
        <v/>
      </c>
      <c r="P428" s="16">
        <f>IF(A428="","",IFERROR(INDEX('激励事件明细'!$P$2:$P$501,IF(D428&lt;&gt;"",MATCH(D428,'激励事件明细'!$A$2:$A$501,0),MATCH(E428,'激励事件明细'!$B$2:$B$501,0))),""))</f>
        <v/>
      </c>
      <c r="Q428" s="6">
        <f>IF(AND(D428="",E428=""),"异常：必须关联事件编号或税额批次",IF(AND(D428&lt;&gt;"",COUNTIF('激励事件明细'!$A$2:$A$501,D428)=0),"异常：事件编号不存在",IF(AND(E428&lt;&gt;"",COUNTIF('激励事件明细'!$B$2:$B$501,E428)=0),"异常：税额批次不存在",IF(M428&gt;F428,"异常：本批次超额缴税",IF(AND(I428&lt;&gt;"",I428&gt;H428),"异常：超过事件截止日",IF(AND(P428&lt;&gt;"",TODAY()&gt;=P428,N428&gt;0),"异常：离职前未缴清","正常"))))))</f>
        <v/>
      </c>
      <c r="R428" s="11" t="n"/>
    </row>
    <row r="429">
      <c r="A429" s="6">
        <f>IF(AND(D429="",E429=""),"",IFERROR(INDEX('激励事件明细'!$C$2:$C$501,IF(D429&lt;&gt;"",MATCH(D429,'激励事件明细'!$A$2:$A$501,0),MATCH(E429,'激励事件明细'!$B$2:$B$501,0))),""))</f>
        <v/>
      </c>
      <c r="B429" s="6">
        <f>IF(A429="","",IFERROR(INDEX('激励事件明细'!$D$2:$D$501,IF(D429&lt;&gt;"",MATCH(D429,'激励事件明细'!$A$2:$A$501,0),MATCH(E429,'激励事件明细'!$B$2:$B$501,0))),""))</f>
        <v/>
      </c>
      <c r="C429" s="6">
        <f>IF(A429="","",IFERROR(INDEX('激励事件明细'!$H$2:$H$501,IF(D429&lt;&gt;"",MATCH(D429,'激励事件明细'!$A$2:$A$501,0),MATCH(E429,'激励事件明细'!$B$2:$B$501,0))),""))</f>
        <v/>
      </c>
      <c r="D429" s="11" t="n"/>
      <c r="E429" s="11" t="n"/>
      <c r="F429" s="14">
        <f>IF(A429="","",IFERROR(INDEX('激励事件明细'!$Z$2:$Z$501,IF(D429&lt;&gt;"",MATCH(D429,'激励事件明细'!$A$2:$A$501,0),MATCH(E429,'激励事件明细'!$B$2:$B$501,0))),""))</f>
        <v/>
      </c>
      <c r="G429" s="16">
        <f>IF(A429="","",IFERROR(INDEX('激励事件明细'!$AA$2:$AA$501,IF(D429&lt;&gt;"",MATCH(D429,'激励事件明细'!$A$2:$A$501,0),MATCH(E429,'激励事件明细'!$B$2:$B$501,0))),""))</f>
        <v/>
      </c>
      <c r="H429" s="16">
        <f>IF(A429="","",IFERROR(INDEX('激励事件明细'!$AB$2:$AB$501,IF(D429&lt;&gt;"",MATCH(D429,'激励事件明细'!$A$2:$A$501,0),MATCH(E429,'激励事件明细'!$B$2:$B$501,0))),""))</f>
        <v/>
      </c>
      <c r="I429" s="12" t="n"/>
      <c r="J429" s="13" t="n"/>
      <c r="K429" s="13" t="n"/>
      <c r="L429" s="11" t="n"/>
      <c r="M429" s="14">
        <f>IF(A429="","",IF(D429&lt;&gt;"",SUMIFS($K$2:$K$501,$D$2:$D$501,D429),SUMIFS($K$2:$K$501,$E$2:$E$501,E429)))</f>
        <v/>
      </c>
      <c r="N429" s="14">
        <f>IF(F429="","",MAX(0,F429-M429))</f>
        <v/>
      </c>
      <c r="O429" s="6">
        <f>IF(A429="","",IF(AND(I429&lt;&gt;"",I429&gt;H429),"是",IF(AND(TODAY()&gt;H429,N429&gt;0),"是","否")))</f>
        <v/>
      </c>
      <c r="P429" s="16">
        <f>IF(A429="","",IFERROR(INDEX('激励事件明细'!$P$2:$P$501,IF(D429&lt;&gt;"",MATCH(D429,'激励事件明细'!$A$2:$A$501,0),MATCH(E429,'激励事件明细'!$B$2:$B$501,0))),""))</f>
        <v/>
      </c>
      <c r="Q429" s="6">
        <f>IF(AND(D429="",E429=""),"异常：必须关联事件编号或税额批次",IF(AND(D429&lt;&gt;"",COUNTIF('激励事件明细'!$A$2:$A$501,D429)=0),"异常：事件编号不存在",IF(AND(E429&lt;&gt;"",COUNTIF('激励事件明细'!$B$2:$B$501,E429)=0),"异常：税额批次不存在",IF(M429&gt;F429,"异常：本批次超额缴税",IF(AND(I429&lt;&gt;"",I429&gt;H429),"异常：超过事件截止日",IF(AND(P429&lt;&gt;"",TODAY()&gt;=P429,N429&gt;0),"异常：离职前未缴清","正常"))))))</f>
        <v/>
      </c>
      <c r="R429" s="11" t="n"/>
    </row>
    <row r="430">
      <c r="A430" s="6">
        <f>IF(AND(D430="",E430=""),"",IFERROR(INDEX('激励事件明细'!$C$2:$C$501,IF(D430&lt;&gt;"",MATCH(D430,'激励事件明细'!$A$2:$A$501,0),MATCH(E430,'激励事件明细'!$B$2:$B$501,0))),""))</f>
        <v/>
      </c>
      <c r="B430" s="6">
        <f>IF(A430="","",IFERROR(INDEX('激励事件明细'!$D$2:$D$501,IF(D430&lt;&gt;"",MATCH(D430,'激励事件明细'!$A$2:$A$501,0),MATCH(E430,'激励事件明细'!$B$2:$B$501,0))),""))</f>
        <v/>
      </c>
      <c r="C430" s="6">
        <f>IF(A430="","",IFERROR(INDEX('激励事件明细'!$H$2:$H$501,IF(D430&lt;&gt;"",MATCH(D430,'激励事件明细'!$A$2:$A$501,0),MATCH(E430,'激励事件明细'!$B$2:$B$501,0))),""))</f>
        <v/>
      </c>
      <c r="D430" s="11" t="n"/>
      <c r="E430" s="11" t="n"/>
      <c r="F430" s="14">
        <f>IF(A430="","",IFERROR(INDEX('激励事件明细'!$Z$2:$Z$501,IF(D430&lt;&gt;"",MATCH(D430,'激励事件明细'!$A$2:$A$501,0),MATCH(E430,'激励事件明细'!$B$2:$B$501,0))),""))</f>
        <v/>
      </c>
      <c r="G430" s="16">
        <f>IF(A430="","",IFERROR(INDEX('激励事件明细'!$AA$2:$AA$501,IF(D430&lt;&gt;"",MATCH(D430,'激励事件明细'!$A$2:$A$501,0),MATCH(E430,'激励事件明细'!$B$2:$B$501,0))),""))</f>
        <v/>
      </c>
      <c r="H430" s="16">
        <f>IF(A430="","",IFERROR(INDEX('激励事件明细'!$AB$2:$AB$501,IF(D430&lt;&gt;"",MATCH(D430,'激励事件明细'!$A$2:$A$501,0),MATCH(E430,'激励事件明细'!$B$2:$B$501,0))),""))</f>
        <v/>
      </c>
      <c r="I430" s="12" t="n"/>
      <c r="J430" s="13" t="n"/>
      <c r="K430" s="13" t="n"/>
      <c r="L430" s="11" t="n"/>
      <c r="M430" s="14">
        <f>IF(A430="","",IF(D430&lt;&gt;"",SUMIFS($K$2:$K$501,$D$2:$D$501,D430),SUMIFS($K$2:$K$501,$E$2:$E$501,E430)))</f>
        <v/>
      </c>
      <c r="N430" s="14">
        <f>IF(F430="","",MAX(0,F430-M430))</f>
        <v/>
      </c>
      <c r="O430" s="6">
        <f>IF(A430="","",IF(AND(I430&lt;&gt;"",I430&gt;H430),"是",IF(AND(TODAY()&gt;H430,N430&gt;0),"是","否")))</f>
        <v/>
      </c>
      <c r="P430" s="16">
        <f>IF(A430="","",IFERROR(INDEX('激励事件明细'!$P$2:$P$501,IF(D430&lt;&gt;"",MATCH(D430,'激励事件明细'!$A$2:$A$501,0),MATCH(E430,'激励事件明细'!$B$2:$B$501,0))),""))</f>
        <v/>
      </c>
      <c r="Q430" s="6">
        <f>IF(AND(D430="",E430=""),"异常：必须关联事件编号或税额批次",IF(AND(D430&lt;&gt;"",COUNTIF('激励事件明细'!$A$2:$A$501,D430)=0),"异常：事件编号不存在",IF(AND(E430&lt;&gt;"",COUNTIF('激励事件明细'!$B$2:$B$501,E430)=0),"异常：税额批次不存在",IF(M430&gt;F430,"异常：本批次超额缴税",IF(AND(I430&lt;&gt;"",I430&gt;H430),"异常：超过事件截止日",IF(AND(P430&lt;&gt;"",TODAY()&gt;=P430,N430&gt;0),"异常：离职前未缴清","正常"))))))</f>
        <v/>
      </c>
      <c r="R430" s="11" t="n"/>
    </row>
    <row r="431">
      <c r="A431" s="6">
        <f>IF(AND(D431="",E431=""),"",IFERROR(INDEX('激励事件明细'!$C$2:$C$501,IF(D431&lt;&gt;"",MATCH(D431,'激励事件明细'!$A$2:$A$501,0),MATCH(E431,'激励事件明细'!$B$2:$B$501,0))),""))</f>
        <v/>
      </c>
      <c r="B431" s="6">
        <f>IF(A431="","",IFERROR(INDEX('激励事件明细'!$D$2:$D$501,IF(D431&lt;&gt;"",MATCH(D431,'激励事件明细'!$A$2:$A$501,0),MATCH(E431,'激励事件明细'!$B$2:$B$501,0))),""))</f>
        <v/>
      </c>
      <c r="C431" s="6">
        <f>IF(A431="","",IFERROR(INDEX('激励事件明细'!$H$2:$H$501,IF(D431&lt;&gt;"",MATCH(D431,'激励事件明细'!$A$2:$A$501,0),MATCH(E431,'激励事件明细'!$B$2:$B$501,0))),""))</f>
        <v/>
      </c>
      <c r="D431" s="11" t="n"/>
      <c r="E431" s="11" t="n"/>
      <c r="F431" s="14">
        <f>IF(A431="","",IFERROR(INDEX('激励事件明细'!$Z$2:$Z$501,IF(D431&lt;&gt;"",MATCH(D431,'激励事件明细'!$A$2:$A$501,0),MATCH(E431,'激励事件明细'!$B$2:$B$501,0))),""))</f>
        <v/>
      </c>
      <c r="G431" s="16">
        <f>IF(A431="","",IFERROR(INDEX('激励事件明细'!$AA$2:$AA$501,IF(D431&lt;&gt;"",MATCH(D431,'激励事件明细'!$A$2:$A$501,0),MATCH(E431,'激励事件明细'!$B$2:$B$501,0))),""))</f>
        <v/>
      </c>
      <c r="H431" s="16">
        <f>IF(A431="","",IFERROR(INDEX('激励事件明细'!$AB$2:$AB$501,IF(D431&lt;&gt;"",MATCH(D431,'激励事件明细'!$A$2:$A$501,0),MATCH(E431,'激励事件明细'!$B$2:$B$501,0))),""))</f>
        <v/>
      </c>
      <c r="I431" s="12" t="n"/>
      <c r="J431" s="13" t="n"/>
      <c r="K431" s="13" t="n"/>
      <c r="L431" s="11" t="n"/>
      <c r="M431" s="14">
        <f>IF(A431="","",IF(D431&lt;&gt;"",SUMIFS($K$2:$K$501,$D$2:$D$501,D431),SUMIFS($K$2:$K$501,$E$2:$E$501,E431)))</f>
        <v/>
      </c>
      <c r="N431" s="14">
        <f>IF(F431="","",MAX(0,F431-M431))</f>
        <v/>
      </c>
      <c r="O431" s="6">
        <f>IF(A431="","",IF(AND(I431&lt;&gt;"",I431&gt;H431),"是",IF(AND(TODAY()&gt;H431,N431&gt;0),"是","否")))</f>
        <v/>
      </c>
      <c r="P431" s="16">
        <f>IF(A431="","",IFERROR(INDEX('激励事件明细'!$P$2:$P$501,IF(D431&lt;&gt;"",MATCH(D431,'激励事件明细'!$A$2:$A$501,0),MATCH(E431,'激励事件明细'!$B$2:$B$501,0))),""))</f>
        <v/>
      </c>
      <c r="Q431" s="6">
        <f>IF(AND(D431="",E431=""),"异常：必须关联事件编号或税额批次",IF(AND(D431&lt;&gt;"",COUNTIF('激励事件明细'!$A$2:$A$501,D431)=0),"异常：事件编号不存在",IF(AND(E431&lt;&gt;"",COUNTIF('激励事件明细'!$B$2:$B$501,E431)=0),"异常：税额批次不存在",IF(M431&gt;F431,"异常：本批次超额缴税",IF(AND(I431&lt;&gt;"",I431&gt;H431),"异常：超过事件截止日",IF(AND(P431&lt;&gt;"",TODAY()&gt;=P431,N431&gt;0),"异常：离职前未缴清","正常"))))))</f>
        <v/>
      </c>
      <c r="R431" s="11" t="n"/>
    </row>
    <row r="432">
      <c r="A432" s="6">
        <f>IF(AND(D432="",E432=""),"",IFERROR(INDEX('激励事件明细'!$C$2:$C$501,IF(D432&lt;&gt;"",MATCH(D432,'激励事件明细'!$A$2:$A$501,0),MATCH(E432,'激励事件明细'!$B$2:$B$501,0))),""))</f>
        <v/>
      </c>
      <c r="B432" s="6">
        <f>IF(A432="","",IFERROR(INDEX('激励事件明细'!$D$2:$D$501,IF(D432&lt;&gt;"",MATCH(D432,'激励事件明细'!$A$2:$A$501,0),MATCH(E432,'激励事件明细'!$B$2:$B$501,0))),""))</f>
        <v/>
      </c>
      <c r="C432" s="6">
        <f>IF(A432="","",IFERROR(INDEX('激励事件明细'!$H$2:$H$501,IF(D432&lt;&gt;"",MATCH(D432,'激励事件明细'!$A$2:$A$501,0),MATCH(E432,'激励事件明细'!$B$2:$B$501,0))),""))</f>
        <v/>
      </c>
      <c r="D432" s="11" t="n"/>
      <c r="E432" s="11" t="n"/>
      <c r="F432" s="14">
        <f>IF(A432="","",IFERROR(INDEX('激励事件明细'!$Z$2:$Z$501,IF(D432&lt;&gt;"",MATCH(D432,'激励事件明细'!$A$2:$A$501,0),MATCH(E432,'激励事件明细'!$B$2:$B$501,0))),""))</f>
        <v/>
      </c>
      <c r="G432" s="16">
        <f>IF(A432="","",IFERROR(INDEX('激励事件明细'!$AA$2:$AA$501,IF(D432&lt;&gt;"",MATCH(D432,'激励事件明细'!$A$2:$A$501,0),MATCH(E432,'激励事件明细'!$B$2:$B$501,0))),""))</f>
        <v/>
      </c>
      <c r="H432" s="16">
        <f>IF(A432="","",IFERROR(INDEX('激励事件明细'!$AB$2:$AB$501,IF(D432&lt;&gt;"",MATCH(D432,'激励事件明细'!$A$2:$A$501,0),MATCH(E432,'激励事件明细'!$B$2:$B$501,0))),""))</f>
        <v/>
      </c>
      <c r="I432" s="12" t="n"/>
      <c r="J432" s="13" t="n"/>
      <c r="K432" s="13" t="n"/>
      <c r="L432" s="11" t="n"/>
      <c r="M432" s="14">
        <f>IF(A432="","",IF(D432&lt;&gt;"",SUMIFS($K$2:$K$501,$D$2:$D$501,D432),SUMIFS($K$2:$K$501,$E$2:$E$501,E432)))</f>
        <v/>
      </c>
      <c r="N432" s="14">
        <f>IF(F432="","",MAX(0,F432-M432))</f>
        <v/>
      </c>
      <c r="O432" s="6">
        <f>IF(A432="","",IF(AND(I432&lt;&gt;"",I432&gt;H432),"是",IF(AND(TODAY()&gt;H432,N432&gt;0),"是","否")))</f>
        <v/>
      </c>
      <c r="P432" s="16">
        <f>IF(A432="","",IFERROR(INDEX('激励事件明细'!$P$2:$P$501,IF(D432&lt;&gt;"",MATCH(D432,'激励事件明细'!$A$2:$A$501,0),MATCH(E432,'激励事件明细'!$B$2:$B$501,0))),""))</f>
        <v/>
      </c>
      <c r="Q432" s="6">
        <f>IF(AND(D432="",E432=""),"异常：必须关联事件编号或税额批次",IF(AND(D432&lt;&gt;"",COUNTIF('激励事件明细'!$A$2:$A$501,D432)=0),"异常：事件编号不存在",IF(AND(E432&lt;&gt;"",COUNTIF('激励事件明细'!$B$2:$B$501,E432)=0),"异常：税额批次不存在",IF(M432&gt;F432,"异常：本批次超额缴税",IF(AND(I432&lt;&gt;"",I432&gt;H432),"异常：超过事件截止日",IF(AND(P432&lt;&gt;"",TODAY()&gt;=P432,N432&gt;0),"异常：离职前未缴清","正常"))))))</f>
        <v/>
      </c>
      <c r="R432" s="11" t="n"/>
    </row>
    <row r="433">
      <c r="A433" s="6">
        <f>IF(AND(D433="",E433=""),"",IFERROR(INDEX('激励事件明细'!$C$2:$C$501,IF(D433&lt;&gt;"",MATCH(D433,'激励事件明细'!$A$2:$A$501,0),MATCH(E433,'激励事件明细'!$B$2:$B$501,0))),""))</f>
        <v/>
      </c>
      <c r="B433" s="6">
        <f>IF(A433="","",IFERROR(INDEX('激励事件明细'!$D$2:$D$501,IF(D433&lt;&gt;"",MATCH(D433,'激励事件明细'!$A$2:$A$501,0),MATCH(E433,'激励事件明细'!$B$2:$B$501,0))),""))</f>
        <v/>
      </c>
      <c r="C433" s="6">
        <f>IF(A433="","",IFERROR(INDEX('激励事件明细'!$H$2:$H$501,IF(D433&lt;&gt;"",MATCH(D433,'激励事件明细'!$A$2:$A$501,0),MATCH(E433,'激励事件明细'!$B$2:$B$501,0))),""))</f>
        <v/>
      </c>
      <c r="D433" s="11" t="n"/>
      <c r="E433" s="11" t="n"/>
      <c r="F433" s="14">
        <f>IF(A433="","",IFERROR(INDEX('激励事件明细'!$Z$2:$Z$501,IF(D433&lt;&gt;"",MATCH(D433,'激励事件明细'!$A$2:$A$501,0),MATCH(E433,'激励事件明细'!$B$2:$B$501,0))),""))</f>
        <v/>
      </c>
      <c r="G433" s="16">
        <f>IF(A433="","",IFERROR(INDEX('激励事件明细'!$AA$2:$AA$501,IF(D433&lt;&gt;"",MATCH(D433,'激励事件明细'!$A$2:$A$501,0),MATCH(E433,'激励事件明细'!$B$2:$B$501,0))),""))</f>
        <v/>
      </c>
      <c r="H433" s="16">
        <f>IF(A433="","",IFERROR(INDEX('激励事件明细'!$AB$2:$AB$501,IF(D433&lt;&gt;"",MATCH(D433,'激励事件明细'!$A$2:$A$501,0),MATCH(E433,'激励事件明细'!$B$2:$B$501,0))),""))</f>
        <v/>
      </c>
      <c r="I433" s="12" t="n"/>
      <c r="J433" s="13" t="n"/>
      <c r="K433" s="13" t="n"/>
      <c r="L433" s="11" t="n"/>
      <c r="M433" s="14">
        <f>IF(A433="","",IF(D433&lt;&gt;"",SUMIFS($K$2:$K$501,$D$2:$D$501,D433),SUMIFS($K$2:$K$501,$E$2:$E$501,E433)))</f>
        <v/>
      </c>
      <c r="N433" s="14">
        <f>IF(F433="","",MAX(0,F433-M433))</f>
        <v/>
      </c>
      <c r="O433" s="6">
        <f>IF(A433="","",IF(AND(I433&lt;&gt;"",I433&gt;H433),"是",IF(AND(TODAY()&gt;H433,N433&gt;0),"是","否")))</f>
        <v/>
      </c>
      <c r="P433" s="16">
        <f>IF(A433="","",IFERROR(INDEX('激励事件明细'!$P$2:$P$501,IF(D433&lt;&gt;"",MATCH(D433,'激励事件明细'!$A$2:$A$501,0),MATCH(E433,'激励事件明细'!$B$2:$B$501,0))),""))</f>
        <v/>
      </c>
      <c r="Q433" s="6">
        <f>IF(AND(D433="",E433=""),"异常：必须关联事件编号或税额批次",IF(AND(D433&lt;&gt;"",COUNTIF('激励事件明细'!$A$2:$A$501,D433)=0),"异常：事件编号不存在",IF(AND(E433&lt;&gt;"",COUNTIF('激励事件明细'!$B$2:$B$501,E433)=0),"异常：税额批次不存在",IF(M433&gt;F433,"异常：本批次超额缴税",IF(AND(I433&lt;&gt;"",I433&gt;H433),"异常：超过事件截止日",IF(AND(P433&lt;&gt;"",TODAY()&gt;=P433,N433&gt;0),"异常：离职前未缴清","正常"))))))</f>
        <v/>
      </c>
      <c r="R433" s="11" t="n"/>
    </row>
    <row r="434">
      <c r="A434" s="6">
        <f>IF(AND(D434="",E434=""),"",IFERROR(INDEX('激励事件明细'!$C$2:$C$501,IF(D434&lt;&gt;"",MATCH(D434,'激励事件明细'!$A$2:$A$501,0),MATCH(E434,'激励事件明细'!$B$2:$B$501,0))),""))</f>
        <v/>
      </c>
      <c r="B434" s="6">
        <f>IF(A434="","",IFERROR(INDEX('激励事件明细'!$D$2:$D$501,IF(D434&lt;&gt;"",MATCH(D434,'激励事件明细'!$A$2:$A$501,0),MATCH(E434,'激励事件明细'!$B$2:$B$501,0))),""))</f>
        <v/>
      </c>
      <c r="C434" s="6">
        <f>IF(A434="","",IFERROR(INDEX('激励事件明细'!$H$2:$H$501,IF(D434&lt;&gt;"",MATCH(D434,'激励事件明细'!$A$2:$A$501,0),MATCH(E434,'激励事件明细'!$B$2:$B$501,0))),""))</f>
        <v/>
      </c>
      <c r="D434" s="11" t="n"/>
      <c r="E434" s="11" t="n"/>
      <c r="F434" s="14">
        <f>IF(A434="","",IFERROR(INDEX('激励事件明细'!$Z$2:$Z$501,IF(D434&lt;&gt;"",MATCH(D434,'激励事件明细'!$A$2:$A$501,0),MATCH(E434,'激励事件明细'!$B$2:$B$501,0))),""))</f>
        <v/>
      </c>
      <c r="G434" s="16">
        <f>IF(A434="","",IFERROR(INDEX('激励事件明细'!$AA$2:$AA$501,IF(D434&lt;&gt;"",MATCH(D434,'激励事件明细'!$A$2:$A$501,0),MATCH(E434,'激励事件明细'!$B$2:$B$501,0))),""))</f>
        <v/>
      </c>
      <c r="H434" s="16">
        <f>IF(A434="","",IFERROR(INDEX('激励事件明细'!$AB$2:$AB$501,IF(D434&lt;&gt;"",MATCH(D434,'激励事件明细'!$A$2:$A$501,0),MATCH(E434,'激励事件明细'!$B$2:$B$501,0))),""))</f>
        <v/>
      </c>
      <c r="I434" s="12" t="n"/>
      <c r="J434" s="13" t="n"/>
      <c r="K434" s="13" t="n"/>
      <c r="L434" s="11" t="n"/>
      <c r="M434" s="14">
        <f>IF(A434="","",IF(D434&lt;&gt;"",SUMIFS($K$2:$K$501,$D$2:$D$501,D434),SUMIFS($K$2:$K$501,$E$2:$E$501,E434)))</f>
        <v/>
      </c>
      <c r="N434" s="14">
        <f>IF(F434="","",MAX(0,F434-M434))</f>
        <v/>
      </c>
      <c r="O434" s="6">
        <f>IF(A434="","",IF(AND(I434&lt;&gt;"",I434&gt;H434),"是",IF(AND(TODAY()&gt;H434,N434&gt;0),"是","否")))</f>
        <v/>
      </c>
      <c r="P434" s="16">
        <f>IF(A434="","",IFERROR(INDEX('激励事件明细'!$P$2:$P$501,IF(D434&lt;&gt;"",MATCH(D434,'激励事件明细'!$A$2:$A$501,0),MATCH(E434,'激励事件明细'!$B$2:$B$501,0))),""))</f>
        <v/>
      </c>
      <c r="Q434" s="6">
        <f>IF(AND(D434="",E434=""),"异常：必须关联事件编号或税额批次",IF(AND(D434&lt;&gt;"",COUNTIF('激励事件明细'!$A$2:$A$501,D434)=0),"异常：事件编号不存在",IF(AND(E434&lt;&gt;"",COUNTIF('激励事件明细'!$B$2:$B$501,E434)=0),"异常：税额批次不存在",IF(M434&gt;F434,"异常：本批次超额缴税",IF(AND(I434&lt;&gt;"",I434&gt;H434),"异常：超过事件截止日",IF(AND(P434&lt;&gt;"",TODAY()&gt;=P434,N434&gt;0),"异常：离职前未缴清","正常"))))))</f>
        <v/>
      </c>
      <c r="R434" s="11" t="n"/>
    </row>
    <row r="435">
      <c r="A435" s="6">
        <f>IF(AND(D435="",E435=""),"",IFERROR(INDEX('激励事件明细'!$C$2:$C$501,IF(D435&lt;&gt;"",MATCH(D435,'激励事件明细'!$A$2:$A$501,0),MATCH(E435,'激励事件明细'!$B$2:$B$501,0))),""))</f>
        <v/>
      </c>
      <c r="B435" s="6">
        <f>IF(A435="","",IFERROR(INDEX('激励事件明细'!$D$2:$D$501,IF(D435&lt;&gt;"",MATCH(D435,'激励事件明细'!$A$2:$A$501,0),MATCH(E435,'激励事件明细'!$B$2:$B$501,0))),""))</f>
        <v/>
      </c>
      <c r="C435" s="6">
        <f>IF(A435="","",IFERROR(INDEX('激励事件明细'!$H$2:$H$501,IF(D435&lt;&gt;"",MATCH(D435,'激励事件明细'!$A$2:$A$501,0),MATCH(E435,'激励事件明细'!$B$2:$B$501,0))),""))</f>
        <v/>
      </c>
      <c r="D435" s="11" t="n"/>
      <c r="E435" s="11" t="n"/>
      <c r="F435" s="14">
        <f>IF(A435="","",IFERROR(INDEX('激励事件明细'!$Z$2:$Z$501,IF(D435&lt;&gt;"",MATCH(D435,'激励事件明细'!$A$2:$A$501,0),MATCH(E435,'激励事件明细'!$B$2:$B$501,0))),""))</f>
        <v/>
      </c>
      <c r="G435" s="16">
        <f>IF(A435="","",IFERROR(INDEX('激励事件明细'!$AA$2:$AA$501,IF(D435&lt;&gt;"",MATCH(D435,'激励事件明细'!$A$2:$A$501,0),MATCH(E435,'激励事件明细'!$B$2:$B$501,0))),""))</f>
        <v/>
      </c>
      <c r="H435" s="16">
        <f>IF(A435="","",IFERROR(INDEX('激励事件明细'!$AB$2:$AB$501,IF(D435&lt;&gt;"",MATCH(D435,'激励事件明细'!$A$2:$A$501,0),MATCH(E435,'激励事件明细'!$B$2:$B$501,0))),""))</f>
        <v/>
      </c>
      <c r="I435" s="12" t="n"/>
      <c r="J435" s="13" t="n"/>
      <c r="K435" s="13" t="n"/>
      <c r="L435" s="11" t="n"/>
      <c r="M435" s="14">
        <f>IF(A435="","",IF(D435&lt;&gt;"",SUMIFS($K$2:$K$501,$D$2:$D$501,D435),SUMIFS($K$2:$K$501,$E$2:$E$501,E435)))</f>
        <v/>
      </c>
      <c r="N435" s="14">
        <f>IF(F435="","",MAX(0,F435-M435))</f>
        <v/>
      </c>
      <c r="O435" s="6">
        <f>IF(A435="","",IF(AND(I435&lt;&gt;"",I435&gt;H435),"是",IF(AND(TODAY()&gt;H435,N435&gt;0),"是","否")))</f>
        <v/>
      </c>
      <c r="P435" s="16">
        <f>IF(A435="","",IFERROR(INDEX('激励事件明细'!$P$2:$P$501,IF(D435&lt;&gt;"",MATCH(D435,'激励事件明细'!$A$2:$A$501,0),MATCH(E435,'激励事件明细'!$B$2:$B$501,0))),""))</f>
        <v/>
      </c>
      <c r="Q435" s="6">
        <f>IF(AND(D435="",E435=""),"异常：必须关联事件编号或税额批次",IF(AND(D435&lt;&gt;"",COUNTIF('激励事件明细'!$A$2:$A$501,D435)=0),"异常：事件编号不存在",IF(AND(E435&lt;&gt;"",COUNTIF('激励事件明细'!$B$2:$B$501,E435)=0),"异常：税额批次不存在",IF(M435&gt;F435,"异常：本批次超额缴税",IF(AND(I435&lt;&gt;"",I435&gt;H435),"异常：超过事件截止日",IF(AND(P435&lt;&gt;"",TODAY()&gt;=P435,N435&gt;0),"异常：离职前未缴清","正常"))))))</f>
        <v/>
      </c>
      <c r="R435" s="11" t="n"/>
    </row>
    <row r="436">
      <c r="A436" s="6">
        <f>IF(AND(D436="",E436=""),"",IFERROR(INDEX('激励事件明细'!$C$2:$C$501,IF(D436&lt;&gt;"",MATCH(D436,'激励事件明细'!$A$2:$A$501,0),MATCH(E436,'激励事件明细'!$B$2:$B$501,0))),""))</f>
        <v/>
      </c>
      <c r="B436" s="6">
        <f>IF(A436="","",IFERROR(INDEX('激励事件明细'!$D$2:$D$501,IF(D436&lt;&gt;"",MATCH(D436,'激励事件明细'!$A$2:$A$501,0),MATCH(E436,'激励事件明细'!$B$2:$B$501,0))),""))</f>
        <v/>
      </c>
      <c r="C436" s="6">
        <f>IF(A436="","",IFERROR(INDEX('激励事件明细'!$H$2:$H$501,IF(D436&lt;&gt;"",MATCH(D436,'激励事件明细'!$A$2:$A$501,0),MATCH(E436,'激励事件明细'!$B$2:$B$501,0))),""))</f>
        <v/>
      </c>
      <c r="D436" s="11" t="n"/>
      <c r="E436" s="11" t="n"/>
      <c r="F436" s="14">
        <f>IF(A436="","",IFERROR(INDEX('激励事件明细'!$Z$2:$Z$501,IF(D436&lt;&gt;"",MATCH(D436,'激励事件明细'!$A$2:$A$501,0),MATCH(E436,'激励事件明细'!$B$2:$B$501,0))),""))</f>
        <v/>
      </c>
      <c r="G436" s="16">
        <f>IF(A436="","",IFERROR(INDEX('激励事件明细'!$AA$2:$AA$501,IF(D436&lt;&gt;"",MATCH(D436,'激励事件明细'!$A$2:$A$501,0),MATCH(E436,'激励事件明细'!$B$2:$B$501,0))),""))</f>
        <v/>
      </c>
      <c r="H436" s="16">
        <f>IF(A436="","",IFERROR(INDEX('激励事件明细'!$AB$2:$AB$501,IF(D436&lt;&gt;"",MATCH(D436,'激励事件明细'!$A$2:$A$501,0),MATCH(E436,'激励事件明细'!$B$2:$B$501,0))),""))</f>
        <v/>
      </c>
      <c r="I436" s="12" t="n"/>
      <c r="J436" s="13" t="n"/>
      <c r="K436" s="13" t="n"/>
      <c r="L436" s="11" t="n"/>
      <c r="M436" s="14">
        <f>IF(A436="","",IF(D436&lt;&gt;"",SUMIFS($K$2:$K$501,$D$2:$D$501,D436),SUMIFS($K$2:$K$501,$E$2:$E$501,E436)))</f>
        <v/>
      </c>
      <c r="N436" s="14">
        <f>IF(F436="","",MAX(0,F436-M436))</f>
        <v/>
      </c>
      <c r="O436" s="6">
        <f>IF(A436="","",IF(AND(I436&lt;&gt;"",I436&gt;H436),"是",IF(AND(TODAY()&gt;H436,N436&gt;0),"是","否")))</f>
        <v/>
      </c>
      <c r="P436" s="16">
        <f>IF(A436="","",IFERROR(INDEX('激励事件明细'!$P$2:$P$501,IF(D436&lt;&gt;"",MATCH(D436,'激励事件明细'!$A$2:$A$501,0),MATCH(E436,'激励事件明细'!$B$2:$B$501,0))),""))</f>
        <v/>
      </c>
      <c r="Q436" s="6">
        <f>IF(AND(D436="",E436=""),"异常：必须关联事件编号或税额批次",IF(AND(D436&lt;&gt;"",COUNTIF('激励事件明细'!$A$2:$A$501,D436)=0),"异常：事件编号不存在",IF(AND(E436&lt;&gt;"",COUNTIF('激励事件明细'!$B$2:$B$501,E436)=0),"异常：税额批次不存在",IF(M436&gt;F436,"异常：本批次超额缴税",IF(AND(I436&lt;&gt;"",I436&gt;H436),"异常：超过事件截止日",IF(AND(P436&lt;&gt;"",TODAY()&gt;=P436,N436&gt;0),"异常：离职前未缴清","正常"))))))</f>
        <v/>
      </c>
      <c r="R436" s="11" t="n"/>
    </row>
    <row r="437">
      <c r="A437" s="6">
        <f>IF(AND(D437="",E437=""),"",IFERROR(INDEX('激励事件明细'!$C$2:$C$501,IF(D437&lt;&gt;"",MATCH(D437,'激励事件明细'!$A$2:$A$501,0),MATCH(E437,'激励事件明细'!$B$2:$B$501,0))),""))</f>
        <v/>
      </c>
      <c r="B437" s="6">
        <f>IF(A437="","",IFERROR(INDEX('激励事件明细'!$D$2:$D$501,IF(D437&lt;&gt;"",MATCH(D437,'激励事件明细'!$A$2:$A$501,0),MATCH(E437,'激励事件明细'!$B$2:$B$501,0))),""))</f>
        <v/>
      </c>
      <c r="C437" s="6">
        <f>IF(A437="","",IFERROR(INDEX('激励事件明细'!$H$2:$H$501,IF(D437&lt;&gt;"",MATCH(D437,'激励事件明细'!$A$2:$A$501,0),MATCH(E437,'激励事件明细'!$B$2:$B$501,0))),""))</f>
        <v/>
      </c>
      <c r="D437" s="11" t="n"/>
      <c r="E437" s="11" t="n"/>
      <c r="F437" s="14">
        <f>IF(A437="","",IFERROR(INDEX('激励事件明细'!$Z$2:$Z$501,IF(D437&lt;&gt;"",MATCH(D437,'激励事件明细'!$A$2:$A$501,0),MATCH(E437,'激励事件明细'!$B$2:$B$501,0))),""))</f>
        <v/>
      </c>
      <c r="G437" s="16">
        <f>IF(A437="","",IFERROR(INDEX('激励事件明细'!$AA$2:$AA$501,IF(D437&lt;&gt;"",MATCH(D437,'激励事件明细'!$A$2:$A$501,0),MATCH(E437,'激励事件明细'!$B$2:$B$501,0))),""))</f>
        <v/>
      </c>
      <c r="H437" s="16">
        <f>IF(A437="","",IFERROR(INDEX('激励事件明细'!$AB$2:$AB$501,IF(D437&lt;&gt;"",MATCH(D437,'激励事件明细'!$A$2:$A$501,0),MATCH(E437,'激励事件明细'!$B$2:$B$501,0))),""))</f>
        <v/>
      </c>
      <c r="I437" s="12" t="n"/>
      <c r="J437" s="13" t="n"/>
      <c r="K437" s="13" t="n"/>
      <c r="L437" s="11" t="n"/>
      <c r="M437" s="14">
        <f>IF(A437="","",IF(D437&lt;&gt;"",SUMIFS($K$2:$K$501,$D$2:$D$501,D437),SUMIFS($K$2:$K$501,$E$2:$E$501,E437)))</f>
        <v/>
      </c>
      <c r="N437" s="14">
        <f>IF(F437="","",MAX(0,F437-M437))</f>
        <v/>
      </c>
      <c r="O437" s="6">
        <f>IF(A437="","",IF(AND(I437&lt;&gt;"",I437&gt;H437),"是",IF(AND(TODAY()&gt;H437,N437&gt;0),"是","否")))</f>
        <v/>
      </c>
      <c r="P437" s="16">
        <f>IF(A437="","",IFERROR(INDEX('激励事件明细'!$P$2:$P$501,IF(D437&lt;&gt;"",MATCH(D437,'激励事件明细'!$A$2:$A$501,0),MATCH(E437,'激励事件明细'!$B$2:$B$501,0))),""))</f>
        <v/>
      </c>
      <c r="Q437" s="6">
        <f>IF(AND(D437="",E437=""),"异常：必须关联事件编号或税额批次",IF(AND(D437&lt;&gt;"",COUNTIF('激励事件明细'!$A$2:$A$501,D437)=0),"异常：事件编号不存在",IF(AND(E437&lt;&gt;"",COUNTIF('激励事件明细'!$B$2:$B$501,E437)=0),"异常：税额批次不存在",IF(M437&gt;F437,"异常：本批次超额缴税",IF(AND(I437&lt;&gt;"",I437&gt;H437),"异常：超过事件截止日",IF(AND(P437&lt;&gt;"",TODAY()&gt;=P437,N437&gt;0),"异常：离职前未缴清","正常"))))))</f>
        <v/>
      </c>
      <c r="R437" s="11" t="n"/>
    </row>
    <row r="438">
      <c r="A438" s="6">
        <f>IF(AND(D438="",E438=""),"",IFERROR(INDEX('激励事件明细'!$C$2:$C$501,IF(D438&lt;&gt;"",MATCH(D438,'激励事件明细'!$A$2:$A$501,0),MATCH(E438,'激励事件明细'!$B$2:$B$501,0))),""))</f>
        <v/>
      </c>
      <c r="B438" s="6">
        <f>IF(A438="","",IFERROR(INDEX('激励事件明细'!$D$2:$D$501,IF(D438&lt;&gt;"",MATCH(D438,'激励事件明细'!$A$2:$A$501,0),MATCH(E438,'激励事件明细'!$B$2:$B$501,0))),""))</f>
        <v/>
      </c>
      <c r="C438" s="6">
        <f>IF(A438="","",IFERROR(INDEX('激励事件明细'!$H$2:$H$501,IF(D438&lt;&gt;"",MATCH(D438,'激励事件明细'!$A$2:$A$501,0),MATCH(E438,'激励事件明细'!$B$2:$B$501,0))),""))</f>
        <v/>
      </c>
      <c r="D438" s="11" t="n"/>
      <c r="E438" s="11" t="n"/>
      <c r="F438" s="14">
        <f>IF(A438="","",IFERROR(INDEX('激励事件明细'!$Z$2:$Z$501,IF(D438&lt;&gt;"",MATCH(D438,'激励事件明细'!$A$2:$A$501,0),MATCH(E438,'激励事件明细'!$B$2:$B$501,0))),""))</f>
        <v/>
      </c>
      <c r="G438" s="16">
        <f>IF(A438="","",IFERROR(INDEX('激励事件明细'!$AA$2:$AA$501,IF(D438&lt;&gt;"",MATCH(D438,'激励事件明细'!$A$2:$A$501,0),MATCH(E438,'激励事件明细'!$B$2:$B$501,0))),""))</f>
        <v/>
      </c>
      <c r="H438" s="16">
        <f>IF(A438="","",IFERROR(INDEX('激励事件明细'!$AB$2:$AB$501,IF(D438&lt;&gt;"",MATCH(D438,'激励事件明细'!$A$2:$A$501,0),MATCH(E438,'激励事件明细'!$B$2:$B$501,0))),""))</f>
        <v/>
      </c>
      <c r="I438" s="12" t="n"/>
      <c r="J438" s="13" t="n"/>
      <c r="K438" s="13" t="n"/>
      <c r="L438" s="11" t="n"/>
      <c r="M438" s="14">
        <f>IF(A438="","",IF(D438&lt;&gt;"",SUMIFS($K$2:$K$501,$D$2:$D$501,D438),SUMIFS($K$2:$K$501,$E$2:$E$501,E438)))</f>
        <v/>
      </c>
      <c r="N438" s="14">
        <f>IF(F438="","",MAX(0,F438-M438))</f>
        <v/>
      </c>
      <c r="O438" s="6">
        <f>IF(A438="","",IF(AND(I438&lt;&gt;"",I438&gt;H438),"是",IF(AND(TODAY()&gt;H438,N438&gt;0),"是","否")))</f>
        <v/>
      </c>
      <c r="P438" s="16">
        <f>IF(A438="","",IFERROR(INDEX('激励事件明细'!$P$2:$P$501,IF(D438&lt;&gt;"",MATCH(D438,'激励事件明细'!$A$2:$A$501,0),MATCH(E438,'激励事件明细'!$B$2:$B$501,0))),""))</f>
        <v/>
      </c>
      <c r="Q438" s="6">
        <f>IF(AND(D438="",E438=""),"异常：必须关联事件编号或税额批次",IF(AND(D438&lt;&gt;"",COUNTIF('激励事件明细'!$A$2:$A$501,D438)=0),"异常：事件编号不存在",IF(AND(E438&lt;&gt;"",COUNTIF('激励事件明细'!$B$2:$B$501,E438)=0),"异常：税额批次不存在",IF(M438&gt;F438,"异常：本批次超额缴税",IF(AND(I438&lt;&gt;"",I438&gt;H438),"异常：超过事件截止日",IF(AND(P438&lt;&gt;"",TODAY()&gt;=P438,N438&gt;0),"异常：离职前未缴清","正常"))))))</f>
        <v/>
      </c>
      <c r="R438" s="11" t="n"/>
    </row>
    <row r="439">
      <c r="A439" s="6">
        <f>IF(AND(D439="",E439=""),"",IFERROR(INDEX('激励事件明细'!$C$2:$C$501,IF(D439&lt;&gt;"",MATCH(D439,'激励事件明细'!$A$2:$A$501,0),MATCH(E439,'激励事件明细'!$B$2:$B$501,0))),""))</f>
        <v/>
      </c>
      <c r="B439" s="6">
        <f>IF(A439="","",IFERROR(INDEX('激励事件明细'!$D$2:$D$501,IF(D439&lt;&gt;"",MATCH(D439,'激励事件明细'!$A$2:$A$501,0),MATCH(E439,'激励事件明细'!$B$2:$B$501,0))),""))</f>
        <v/>
      </c>
      <c r="C439" s="6">
        <f>IF(A439="","",IFERROR(INDEX('激励事件明细'!$H$2:$H$501,IF(D439&lt;&gt;"",MATCH(D439,'激励事件明细'!$A$2:$A$501,0),MATCH(E439,'激励事件明细'!$B$2:$B$501,0))),""))</f>
        <v/>
      </c>
      <c r="D439" s="11" t="n"/>
      <c r="E439" s="11" t="n"/>
      <c r="F439" s="14">
        <f>IF(A439="","",IFERROR(INDEX('激励事件明细'!$Z$2:$Z$501,IF(D439&lt;&gt;"",MATCH(D439,'激励事件明细'!$A$2:$A$501,0),MATCH(E439,'激励事件明细'!$B$2:$B$501,0))),""))</f>
        <v/>
      </c>
      <c r="G439" s="16">
        <f>IF(A439="","",IFERROR(INDEX('激励事件明细'!$AA$2:$AA$501,IF(D439&lt;&gt;"",MATCH(D439,'激励事件明细'!$A$2:$A$501,0),MATCH(E439,'激励事件明细'!$B$2:$B$501,0))),""))</f>
        <v/>
      </c>
      <c r="H439" s="16">
        <f>IF(A439="","",IFERROR(INDEX('激励事件明细'!$AB$2:$AB$501,IF(D439&lt;&gt;"",MATCH(D439,'激励事件明细'!$A$2:$A$501,0),MATCH(E439,'激励事件明细'!$B$2:$B$501,0))),""))</f>
        <v/>
      </c>
      <c r="I439" s="12" t="n"/>
      <c r="J439" s="13" t="n"/>
      <c r="K439" s="13" t="n"/>
      <c r="L439" s="11" t="n"/>
      <c r="M439" s="14">
        <f>IF(A439="","",IF(D439&lt;&gt;"",SUMIFS($K$2:$K$501,$D$2:$D$501,D439),SUMIFS($K$2:$K$501,$E$2:$E$501,E439)))</f>
        <v/>
      </c>
      <c r="N439" s="14">
        <f>IF(F439="","",MAX(0,F439-M439))</f>
        <v/>
      </c>
      <c r="O439" s="6">
        <f>IF(A439="","",IF(AND(I439&lt;&gt;"",I439&gt;H439),"是",IF(AND(TODAY()&gt;H439,N439&gt;0),"是","否")))</f>
        <v/>
      </c>
      <c r="P439" s="16">
        <f>IF(A439="","",IFERROR(INDEX('激励事件明细'!$P$2:$P$501,IF(D439&lt;&gt;"",MATCH(D439,'激励事件明细'!$A$2:$A$501,0),MATCH(E439,'激励事件明细'!$B$2:$B$501,0))),""))</f>
        <v/>
      </c>
      <c r="Q439" s="6">
        <f>IF(AND(D439="",E439=""),"异常：必须关联事件编号或税额批次",IF(AND(D439&lt;&gt;"",COUNTIF('激励事件明细'!$A$2:$A$501,D439)=0),"异常：事件编号不存在",IF(AND(E439&lt;&gt;"",COUNTIF('激励事件明细'!$B$2:$B$501,E439)=0),"异常：税额批次不存在",IF(M439&gt;F439,"异常：本批次超额缴税",IF(AND(I439&lt;&gt;"",I439&gt;H439),"异常：超过事件截止日",IF(AND(P439&lt;&gt;"",TODAY()&gt;=P439,N439&gt;0),"异常：离职前未缴清","正常"))))))</f>
        <v/>
      </c>
      <c r="R439" s="11" t="n"/>
    </row>
    <row r="440">
      <c r="A440" s="6">
        <f>IF(AND(D440="",E440=""),"",IFERROR(INDEX('激励事件明细'!$C$2:$C$501,IF(D440&lt;&gt;"",MATCH(D440,'激励事件明细'!$A$2:$A$501,0),MATCH(E440,'激励事件明细'!$B$2:$B$501,0))),""))</f>
        <v/>
      </c>
      <c r="B440" s="6">
        <f>IF(A440="","",IFERROR(INDEX('激励事件明细'!$D$2:$D$501,IF(D440&lt;&gt;"",MATCH(D440,'激励事件明细'!$A$2:$A$501,0),MATCH(E440,'激励事件明细'!$B$2:$B$501,0))),""))</f>
        <v/>
      </c>
      <c r="C440" s="6">
        <f>IF(A440="","",IFERROR(INDEX('激励事件明细'!$H$2:$H$501,IF(D440&lt;&gt;"",MATCH(D440,'激励事件明细'!$A$2:$A$501,0),MATCH(E440,'激励事件明细'!$B$2:$B$501,0))),""))</f>
        <v/>
      </c>
      <c r="D440" s="11" t="n"/>
      <c r="E440" s="11" t="n"/>
      <c r="F440" s="14">
        <f>IF(A440="","",IFERROR(INDEX('激励事件明细'!$Z$2:$Z$501,IF(D440&lt;&gt;"",MATCH(D440,'激励事件明细'!$A$2:$A$501,0),MATCH(E440,'激励事件明细'!$B$2:$B$501,0))),""))</f>
        <v/>
      </c>
      <c r="G440" s="16">
        <f>IF(A440="","",IFERROR(INDEX('激励事件明细'!$AA$2:$AA$501,IF(D440&lt;&gt;"",MATCH(D440,'激励事件明细'!$A$2:$A$501,0),MATCH(E440,'激励事件明细'!$B$2:$B$501,0))),""))</f>
        <v/>
      </c>
      <c r="H440" s="16">
        <f>IF(A440="","",IFERROR(INDEX('激励事件明细'!$AB$2:$AB$501,IF(D440&lt;&gt;"",MATCH(D440,'激励事件明细'!$A$2:$A$501,0),MATCH(E440,'激励事件明细'!$B$2:$B$501,0))),""))</f>
        <v/>
      </c>
      <c r="I440" s="12" t="n"/>
      <c r="J440" s="13" t="n"/>
      <c r="K440" s="13" t="n"/>
      <c r="L440" s="11" t="n"/>
      <c r="M440" s="14">
        <f>IF(A440="","",IF(D440&lt;&gt;"",SUMIFS($K$2:$K$501,$D$2:$D$501,D440),SUMIFS($K$2:$K$501,$E$2:$E$501,E440)))</f>
        <v/>
      </c>
      <c r="N440" s="14">
        <f>IF(F440="","",MAX(0,F440-M440))</f>
        <v/>
      </c>
      <c r="O440" s="6">
        <f>IF(A440="","",IF(AND(I440&lt;&gt;"",I440&gt;H440),"是",IF(AND(TODAY()&gt;H440,N440&gt;0),"是","否")))</f>
        <v/>
      </c>
      <c r="P440" s="16">
        <f>IF(A440="","",IFERROR(INDEX('激励事件明细'!$P$2:$P$501,IF(D440&lt;&gt;"",MATCH(D440,'激励事件明细'!$A$2:$A$501,0),MATCH(E440,'激励事件明细'!$B$2:$B$501,0))),""))</f>
        <v/>
      </c>
      <c r="Q440" s="6">
        <f>IF(AND(D440="",E440=""),"异常：必须关联事件编号或税额批次",IF(AND(D440&lt;&gt;"",COUNTIF('激励事件明细'!$A$2:$A$501,D440)=0),"异常：事件编号不存在",IF(AND(E440&lt;&gt;"",COUNTIF('激励事件明细'!$B$2:$B$501,E440)=0),"异常：税额批次不存在",IF(M440&gt;F440,"异常：本批次超额缴税",IF(AND(I440&lt;&gt;"",I440&gt;H440),"异常：超过事件截止日",IF(AND(P440&lt;&gt;"",TODAY()&gt;=P440,N440&gt;0),"异常：离职前未缴清","正常"))))))</f>
        <v/>
      </c>
      <c r="R440" s="11" t="n"/>
    </row>
    <row r="441">
      <c r="A441" s="6">
        <f>IF(AND(D441="",E441=""),"",IFERROR(INDEX('激励事件明细'!$C$2:$C$501,IF(D441&lt;&gt;"",MATCH(D441,'激励事件明细'!$A$2:$A$501,0),MATCH(E441,'激励事件明细'!$B$2:$B$501,0))),""))</f>
        <v/>
      </c>
      <c r="B441" s="6">
        <f>IF(A441="","",IFERROR(INDEX('激励事件明细'!$D$2:$D$501,IF(D441&lt;&gt;"",MATCH(D441,'激励事件明细'!$A$2:$A$501,0),MATCH(E441,'激励事件明细'!$B$2:$B$501,0))),""))</f>
        <v/>
      </c>
      <c r="C441" s="6">
        <f>IF(A441="","",IFERROR(INDEX('激励事件明细'!$H$2:$H$501,IF(D441&lt;&gt;"",MATCH(D441,'激励事件明细'!$A$2:$A$501,0),MATCH(E441,'激励事件明细'!$B$2:$B$501,0))),""))</f>
        <v/>
      </c>
      <c r="D441" s="11" t="n"/>
      <c r="E441" s="11" t="n"/>
      <c r="F441" s="14">
        <f>IF(A441="","",IFERROR(INDEX('激励事件明细'!$Z$2:$Z$501,IF(D441&lt;&gt;"",MATCH(D441,'激励事件明细'!$A$2:$A$501,0),MATCH(E441,'激励事件明细'!$B$2:$B$501,0))),""))</f>
        <v/>
      </c>
      <c r="G441" s="16">
        <f>IF(A441="","",IFERROR(INDEX('激励事件明细'!$AA$2:$AA$501,IF(D441&lt;&gt;"",MATCH(D441,'激励事件明细'!$A$2:$A$501,0),MATCH(E441,'激励事件明细'!$B$2:$B$501,0))),""))</f>
        <v/>
      </c>
      <c r="H441" s="16">
        <f>IF(A441="","",IFERROR(INDEX('激励事件明细'!$AB$2:$AB$501,IF(D441&lt;&gt;"",MATCH(D441,'激励事件明细'!$A$2:$A$501,0),MATCH(E441,'激励事件明细'!$B$2:$B$501,0))),""))</f>
        <v/>
      </c>
      <c r="I441" s="12" t="n"/>
      <c r="J441" s="13" t="n"/>
      <c r="K441" s="13" t="n"/>
      <c r="L441" s="11" t="n"/>
      <c r="M441" s="14">
        <f>IF(A441="","",IF(D441&lt;&gt;"",SUMIFS($K$2:$K$501,$D$2:$D$501,D441),SUMIFS($K$2:$K$501,$E$2:$E$501,E441)))</f>
        <v/>
      </c>
      <c r="N441" s="14">
        <f>IF(F441="","",MAX(0,F441-M441))</f>
        <v/>
      </c>
      <c r="O441" s="6">
        <f>IF(A441="","",IF(AND(I441&lt;&gt;"",I441&gt;H441),"是",IF(AND(TODAY()&gt;H441,N441&gt;0),"是","否")))</f>
        <v/>
      </c>
      <c r="P441" s="16">
        <f>IF(A441="","",IFERROR(INDEX('激励事件明细'!$P$2:$P$501,IF(D441&lt;&gt;"",MATCH(D441,'激励事件明细'!$A$2:$A$501,0),MATCH(E441,'激励事件明细'!$B$2:$B$501,0))),""))</f>
        <v/>
      </c>
      <c r="Q441" s="6">
        <f>IF(AND(D441="",E441=""),"异常：必须关联事件编号或税额批次",IF(AND(D441&lt;&gt;"",COUNTIF('激励事件明细'!$A$2:$A$501,D441)=0),"异常：事件编号不存在",IF(AND(E441&lt;&gt;"",COUNTIF('激励事件明细'!$B$2:$B$501,E441)=0),"异常：税额批次不存在",IF(M441&gt;F441,"异常：本批次超额缴税",IF(AND(I441&lt;&gt;"",I441&gt;H441),"异常：超过事件截止日",IF(AND(P441&lt;&gt;"",TODAY()&gt;=P441,N441&gt;0),"异常：离职前未缴清","正常"))))))</f>
        <v/>
      </c>
      <c r="R441" s="11" t="n"/>
    </row>
    <row r="442">
      <c r="A442" s="6">
        <f>IF(AND(D442="",E442=""),"",IFERROR(INDEX('激励事件明细'!$C$2:$C$501,IF(D442&lt;&gt;"",MATCH(D442,'激励事件明细'!$A$2:$A$501,0),MATCH(E442,'激励事件明细'!$B$2:$B$501,0))),""))</f>
        <v/>
      </c>
      <c r="B442" s="6">
        <f>IF(A442="","",IFERROR(INDEX('激励事件明细'!$D$2:$D$501,IF(D442&lt;&gt;"",MATCH(D442,'激励事件明细'!$A$2:$A$501,0),MATCH(E442,'激励事件明细'!$B$2:$B$501,0))),""))</f>
        <v/>
      </c>
      <c r="C442" s="6">
        <f>IF(A442="","",IFERROR(INDEX('激励事件明细'!$H$2:$H$501,IF(D442&lt;&gt;"",MATCH(D442,'激励事件明细'!$A$2:$A$501,0),MATCH(E442,'激励事件明细'!$B$2:$B$501,0))),""))</f>
        <v/>
      </c>
      <c r="D442" s="11" t="n"/>
      <c r="E442" s="11" t="n"/>
      <c r="F442" s="14">
        <f>IF(A442="","",IFERROR(INDEX('激励事件明细'!$Z$2:$Z$501,IF(D442&lt;&gt;"",MATCH(D442,'激励事件明细'!$A$2:$A$501,0),MATCH(E442,'激励事件明细'!$B$2:$B$501,0))),""))</f>
        <v/>
      </c>
      <c r="G442" s="16">
        <f>IF(A442="","",IFERROR(INDEX('激励事件明细'!$AA$2:$AA$501,IF(D442&lt;&gt;"",MATCH(D442,'激励事件明细'!$A$2:$A$501,0),MATCH(E442,'激励事件明细'!$B$2:$B$501,0))),""))</f>
        <v/>
      </c>
      <c r="H442" s="16">
        <f>IF(A442="","",IFERROR(INDEX('激励事件明细'!$AB$2:$AB$501,IF(D442&lt;&gt;"",MATCH(D442,'激励事件明细'!$A$2:$A$501,0),MATCH(E442,'激励事件明细'!$B$2:$B$501,0))),""))</f>
        <v/>
      </c>
      <c r="I442" s="12" t="n"/>
      <c r="J442" s="13" t="n"/>
      <c r="K442" s="13" t="n"/>
      <c r="L442" s="11" t="n"/>
      <c r="M442" s="14">
        <f>IF(A442="","",IF(D442&lt;&gt;"",SUMIFS($K$2:$K$501,$D$2:$D$501,D442),SUMIFS($K$2:$K$501,$E$2:$E$501,E442)))</f>
        <v/>
      </c>
      <c r="N442" s="14">
        <f>IF(F442="","",MAX(0,F442-M442))</f>
        <v/>
      </c>
      <c r="O442" s="6">
        <f>IF(A442="","",IF(AND(I442&lt;&gt;"",I442&gt;H442),"是",IF(AND(TODAY()&gt;H442,N442&gt;0),"是","否")))</f>
        <v/>
      </c>
      <c r="P442" s="16">
        <f>IF(A442="","",IFERROR(INDEX('激励事件明细'!$P$2:$P$501,IF(D442&lt;&gt;"",MATCH(D442,'激励事件明细'!$A$2:$A$501,0),MATCH(E442,'激励事件明细'!$B$2:$B$501,0))),""))</f>
        <v/>
      </c>
      <c r="Q442" s="6">
        <f>IF(AND(D442="",E442=""),"异常：必须关联事件编号或税额批次",IF(AND(D442&lt;&gt;"",COUNTIF('激励事件明细'!$A$2:$A$501,D442)=0),"异常：事件编号不存在",IF(AND(E442&lt;&gt;"",COUNTIF('激励事件明细'!$B$2:$B$501,E442)=0),"异常：税额批次不存在",IF(M442&gt;F442,"异常：本批次超额缴税",IF(AND(I442&lt;&gt;"",I442&gt;H442),"异常：超过事件截止日",IF(AND(P442&lt;&gt;"",TODAY()&gt;=P442,N442&gt;0),"异常：离职前未缴清","正常"))))))</f>
        <v/>
      </c>
      <c r="R442" s="11" t="n"/>
    </row>
    <row r="443">
      <c r="A443" s="6">
        <f>IF(AND(D443="",E443=""),"",IFERROR(INDEX('激励事件明细'!$C$2:$C$501,IF(D443&lt;&gt;"",MATCH(D443,'激励事件明细'!$A$2:$A$501,0),MATCH(E443,'激励事件明细'!$B$2:$B$501,0))),""))</f>
        <v/>
      </c>
      <c r="B443" s="6">
        <f>IF(A443="","",IFERROR(INDEX('激励事件明细'!$D$2:$D$501,IF(D443&lt;&gt;"",MATCH(D443,'激励事件明细'!$A$2:$A$501,0),MATCH(E443,'激励事件明细'!$B$2:$B$501,0))),""))</f>
        <v/>
      </c>
      <c r="C443" s="6">
        <f>IF(A443="","",IFERROR(INDEX('激励事件明细'!$H$2:$H$501,IF(D443&lt;&gt;"",MATCH(D443,'激励事件明细'!$A$2:$A$501,0),MATCH(E443,'激励事件明细'!$B$2:$B$501,0))),""))</f>
        <v/>
      </c>
      <c r="D443" s="11" t="n"/>
      <c r="E443" s="11" t="n"/>
      <c r="F443" s="14">
        <f>IF(A443="","",IFERROR(INDEX('激励事件明细'!$Z$2:$Z$501,IF(D443&lt;&gt;"",MATCH(D443,'激励事件明细'!$A$2:$A$501,0),MATCH(E443,'激励事件明细'!$B$2:$B$501,0))),""))</f>
        <v/>
      </c>
      <c r="G443" s="16">
        <f>IF(A443="","",IFERROR(INDEX('激励事件明细'!$AA$2:$AA$501,IF(D443&lt;&gt;"",MATCH(D443,'激励事件明细'!$A$2:$A$501,0),MATCH(E443,'激励事件明细'!$B$2:$B$501,0))),""))</f>
        <v/>
      </c>
      <c r="H443" s="16">
        <f>IF(A443="","",IFERROR(INDEX('激励事件明细'!$AB$2:$AB$501,IF(D443&lt;&gt;"",MATCH(D443,'激励事件明细'!$A$2:$A$501,0),MATCH(E443,'激励事件明细'!$B$2:$B$501,0))),""))</f>
        <v/>
      </c>
      <c r="I443" s="12" t="n"/>
      <c r="J443" s="13" t="n"/>
      <c r="K443" s="13" t="n"/>
      <c r="L443" s="11" t="n"/>
      <c r="M443" s="14">
        <f>IF(A443="","",IF(D443&lt;&gt;"",SUMIFS($K$2:$K$501,$D$2:$D$501,D443),SUMIFS($K$2:$K$501,$E$2:$E$501,E443)))</f>
        <v/>
      </c>
      <c r="N443" s="14">
        <f>IF(F443="","",MAX(0,F443-M443))</f>
        <v/>
      </c>
      <c r="O443" s="6">
        <f>IF(A443="","",IF(AND(I443&lt;&gt;"",I443&gt;H443),"是",IF(AND(TODAY()&gt;H443,N443&gt;0),"是","否")))</f>
        <v/>
      </c>
      <c r="P443" s="16">
        <f>IF(A443="","",IFERROR(INDEX('激励事件明细'!$P$2:$P$501,IF(D443&lt;&gt;"",MATCH(D443,'激励事件明细'!$A$2:$A$501,0),MATCH(E443,'激励事件明细'!$B$2:$B$501,0))),""))</f>
        <v/>
      </c>
      <c r="Q443" s="6">
        <f>IF(AND(D443="",E443=""),"异常：必须关联事件编号或税额批次",IF(AND(D443&lt;&gt;"",COUNTIF('激励事件明细'!$A$2:$A$501,D443)=0),"异常：事件编号不存在",IF(AND(E443&lt;&gt;"",COUNTIF('激励事件明细'!$B$2:$B$501,E443)=0),"异常：税额批次不存在",IF(M443&gt;F443,"异常：本批次超额缴税",IF(AND(I443&lt;&gt;"",I443&gt;H443),"异常：超过事件截止日",IF(AND(P443&lt;&gt;"",TODAY()&gt;=P443,N443&gt;0),"异常：离职前未缴清","正常"))))))</f>
        <v/>
      </c>
      <c r="R443" s="11" t="n"/>
    </row>
    <row r="444">
      <c r="A444" s="6">
        <f>IF(AND(D444="",E444=""),"",IFERROR(INDEX('激励事件明细'!$C$2:$C$501,IF(D444&lt;&gt;"",MATCH(D444,'激励事件明细'!$A$2:$A$501,0),MATCH(E444,'激励事件明细'!$B$2:$B$501,0))),""))</f>
        <v/>
      </c>
      <c r="B444" s="6">
        <f>IF(A444="","",IFERROR(INDEX('激励事件明细'!$D$2:$D$501,IF(D444&lt;&gt;"",MATCH(D444,'激励事件明细'!$A$2:$A$501,0),MATCH(E444,'激励事件明细'!$B$2:$B$501,0))),""))</f>
        <v/>
      </c>
      <c r="C444" s="6">
        <f>IF(A444="","",IFERROR(INDEX('激励事件明细'!$H$2:$H$501,IF(D444&lt;&gt;"",MATCH(D444,'激励事件明细'!$A$2:$A$501,0),MATCH(E444,'激励事件明细'!$B$2:$B$501,0))),""))</f>
        <v/>
      </c>
      <c r="D444" s="11" t="n"/>
      <c r="E444" s="11" t="n"/>
      <c r="F444" s="14">
        <f>IF(A444="","",IFERROR(INDEX('激励事件明细'!$Z$2:$Z$501,IF(D444&lt;&gt;"",MATCH(D444,'激励事件明细'!$A$2:$A$501,0),MATCH(E444,'激励事件明细'!$B$2:$B$501,0))),""))</f>
        <v/>
      </c>
      <c r="G444" s="16">
        <f>IF(A444="","",IFERROR(INDEX('激励事件明细'!$AA$2:$AA$501,IF(D444&lt;&gt;"",MATCH(D444,'激励事件明细'!$A$2:$A$501,0),MATCH(E444,'激励事件明细'!$B$2:$B$501,0))),""))</f>
        <v/>
      </c>
      <c r="H444" s="16">
        <f>IF(A444="","",IFERROR(INDEX('激励事件明细'!$AB$2:$AB$501,IF(D444&lt;&gt;"",MATCH(D444,'激励事件明细'!$A$2:$A$501,0),MATCH(E444,'激励事件明细'!$B$2:$B$501,0))),""))</f>
        <v/>
      </c>
      <c r="I444" s="12" t="n"/>
      <c r="J444" s="13" t="n"/>
      <c r="K444" s="13" t="n"/>
      <c r="L444" s="11" t="n"/>
      <c r="M444" s="14">
        <f>IF(A444="","",IF(D444&lt;&gt;"",SUMIFS($K$2:$K$501,$D$2:$D$501,D444),SUMIFS($K$2:$K$501,$E$2:$E$501,E444)))</f>
        <v/>
      </c>
      <c r="N444" s="14">
        <f>IF(F444="","",MAX(0,F444-M444))</f>
        <v/>
      </c>
      <c r="O444" s="6">
        <f>IF(A444="","",IF(AND(I444&lt;&gt;"",I444&gt;H444),"是",IF(AND(TODAY()&gt;H444,N444&gt;0),"是","否")))</f>
        <v/>
      </c>
      <c r="P444" s="16">
        <f>IF(A444="","",IFERROR(INDEX('激励事件明细'!$P$2:$P$501,IF(D444&lt;&gt;"",MATCH(D444,'激励事件明细'!$A$2:$A$501,0),MATCH(E444,'激励事件明细'!$B$2:$B$501,0))),""))</f>
        <v/>
      </c>
      <c r="Q444" s="6">
        <f>IF(AND(D444="",E444=""),"异常：必须关联事件编号或税额批次",IF(AND(D444&lt;&gt;"",COUNTIF('激励事件明细'!$A$2:$A$501,D444)=0),"异常：事件编号不存在",IF(AND(E444&lt;&gt;"",COUNTIF('激励事件明细'!$B$2:$B$501,E444)=0),"异常：税额批次不存在",IF(M444&gt;F444,"异常：本批次超额缴税",IF(AND(I444&lt;&gt;"",I444&gt;H444),"异常：超过事件截止日",IF(AND(P444&lt;&gt;"",TODAY()&gt;=P444,N444&gt;0),"异常：离职前未缴清","正常"))))))</f>
        <v/>
      </c>
      <c r="R444" s="11" t="n"/>
    </row>
    <row r="445">
      <c r="A445" s="6">
        <f>IF(AND(D445="",E445=""),"",IFERROR(INDEX('激励事件明细'!$C$2:$C$501,IF(D445&lt;&gt;"",MATCH(D445,'激励事件明细'!$A$2:$A$501,0),MATCH(E445,'激励事件明细'!$B$2:$B$501,0))),""))</f>
        <v/>
      </c>
      <c r="B445" s="6">
        <f>IF(A445="","",IFERROR(INDEX('激励事件明细'!$D$2:$D$501,IF(D445&lt;&gt;"",MATCH(D445,'激励事件明细'!$A$2:$A$501,0),MATCH(E445,'激励事件明细'!$B$2:$B$501,0))),""))</f>
        <v/>
      </c>
      <c r="C445" s="6">
        <f>IF(A445="","",IFERROR(INDEX('激励事件明细'!$H$2:$H$501,IF(D445&lt;&gt;"",MATCH(D445,'激励事件明细'!$A$2:$A$501,0),MATCH(E445,'激励事件明细'!$B$2:$B$501,0))),""))</f>
        <v/>
      </c>
      <c r="D445" s="11" t="n"/>
      <c r="E445" s="11" t="n"/>
      <c r="F445" s="14">
        <f>IF(A445="","",IFERROR(INDEX('激励事件明细'!$Z$2:$Z$501,IF(D445&lt;&gt;"",MATCH(D445,'激励事件明细'!$A$2:$A$501,0),MATCH(E445,'激励事件明细'!$B$2:$B$501,0))),""))</f>
        <v/>
      </c>
      <c r="G445" s="16">
        <f>IF(A445="","",IFERROR(INDEX('激励事件明细'!$AA$2:$AA$501,IF(D445&lt;&gt;"",MATCH(D445,'激励事件明细'!$A$2:$A$501,0),MATCH(E445,'激励事件明细'!$B$2:$B$501,0))),""))</f>
        <v/>
      </c>
      <c r="H445" s="16">
        <f>IF(A445="","",IFERROR(INDEX('激励事件明细'!$AB$2:$AB$501,IF(D445&lt;&gt;"",MATCH(D445,'激励事件明细'!$A$2:$A$501,0),MATCH(E445,'激励事件明细'!$B$2:$B$501,0))),""))</f>
        <v/>
      </c>
      <c r="I445" s="12" t="n"/>
      <c r="J445" s="13" t="n"/>
      <c r="K445" s="13" t="n"/>
      <c r="L445" s="11" t="n"/>
      <c r="M445" s="14">
        <f>IF(A445="","",IF(D445&lt;&gt;"",SUMIFS($K$2:$K$501,$D$2:$D$501,D445),SUMIFS($K$2:$K$501,$E$2:$E$501,E445)))</f>
        <v/>
      </c>
      <c r="N445" s="14">
        <f>IF(F445="","",MAX(0,F445-M445))</f>
        <v/>
      </c>
      <c r="O445" s="6">
        <f>IF(A445="","",IF(AND(I445&lt;&gt;"",I445&gt;H445),"是",IF(AND(TODAY()&gt;H445,N445&gt;0),"是","否")))</f>
        <v/>
      </c>
      <c r="P445" s="16">
        <f>IF(A445="","",IFERROR(INDEX('激励事件明细'!$P$2:$P$501,IF(D445&lt;&gt;"",MATCH(D445,'激励事件明细'!$A$2:$A$501,0),MATCH(E445,'激励事件明细'!$B$2:$B$501,0))),""))</f>
        <v/>
      </c>
      <c r="Q445" s="6">
        <f>IF(AND(D445="",E445=""),"异常：必须关联事件编号或税额批次",IF(AND(D445&lt;&gt;"",COUNTIF('激励事件明细'!$A$2:$A$501,D445)=0),"异常：事件编号不存在",IF(AND(E445&lt;&gt;"",COUNTIF('激励事件明细'!$B$2:$B$501,E445)=0),"异常：税额批次不存在",IF(M445&gt;F445,"异常：本批次超额缴税",IF(AND(I445&lt;&gt;"",I445&gt;H445),"异常：超过事件截止日",IF(AND(P445&lt;&gt;"",TODAY()&gt;=P445,N445&gt;0),"异常：离职前未缴清","正常"))))))</f>
        <v/>
      </c>
      <c r="R445" s="11" t="n"/>
    </row>
    <row r="446">
      <c r="A446" s="6">
        <f>IF(AND(D446="",E446=""),"",IFERROR(INDEX('激励事件明细'!$C$2:$C$501,IF(D446&lt;&gt;"",MATCH(D446,'激励事件明细'!$A$2:$A$501,0),MATCH(E446,'激励事件明细'!$B$2:$B$501,0))),""))</f>
        <v/>
      </c>
      <c r="B446" s="6">
        <f>IF(A446="","",IFERROR(INDEX('激励事件明细'!$D$2:$D$501,IF(D446&lt;&gt;"",MATCH(D446,'激励事件明细'!$A$2:$A$501,0),MATCH(E446,'激励事件明细'!$B$2:$B$501,0))),""))</f>
        <v/>
      </c>
      <c r="C446" s="6">
        <f>IF(A446="","",IFERROR(INDEX('激励事件明细'!$H$2:$H$501,IF(D446&lt;&gt;"",MATCH(D446,'激励事件明细'!$A$2:$A$501,0),MATCH(E446,'激励事件明细'!$B$2:$B$501,0))),""))</f>
        <v/>
      </c>
      <c r="D446" s="11" t="n"/>
      <c r="E446" s="11" t="n"/>
      <c r="F446" s="14">
        <f>IF(A446="","",IFERROR(INDEX('激励事件明细'!$Z$2:$Z$501,IF(D446&lt;&gt;"",MATCH(D446,'激励事件明细'!$A$2:$A$501,0),MATCH(E446,'激励事件明细'!$B$2:$B$501,0))),""))</f>
        <v/>
      </c>
      <c r="G446" s="16">
        <f>IF(A446="","",IFERROR(INDEX('激励事件明细'!$AA$2:$AA$501,IF(D446&lt;&gt;"",MATCH(D446,'激励事件明细'!$A$2:$A$501,0),MATCH(E446,'激励事件明细'!$B$2:$B$501,0))),""))</f>
        <v/>
      </c>
      <c r="H446" s="16">
        <f>IF(A446="","",IFERROR(INDEX('激励事件明细'!$AB$2:$AB$501,IF(D446&lt;&gt;"",MATCH(D446,'激励事件明细'!$A$2:$A$501,0),MATCH(E446,'激励事件明细'!$B$2:$B$501,0))),""))</f>
        <v/>
      </c>
      <c r="I446" s="12" t="n"/>
      <c r="J446" s="13" t="n"/>
      <c r="K446" s="13" t="n"/>
      <c r="L446" s="11" t="n"/>
      <c r="M446" s="14">
        <f>IF(A446="","",IF(D446&lt;&gt;"",SUMIFS($K$2:$K$501,$D$2:$D$501,D446),SUMIFS($K$2:$K$501,$E$2:$E$501,E446)))</f>
        <v/>
      </c>
      <c r="N446" s="14">
        <f>IF(F446="","",MAX(0,F446-M446))</f>
        <v/>
      </c>
      <c r="O446" s="6">
        <f>IF(A446="","",IF(AND(I446&lt;&gt;"",I446&gt;H446),"是",IF(AND(TODAY()&gt;H446,N446&gt;0),"是","否")))</f>
        <v/>
      </c>
      <c r="P446" s="16">
        <f>IF(A446="","",IFERROR(INDEX('激励事件明细'!$P$2:$P$501,IF(D446&lt;&gt;"",MATCH(D446,'激励事件明细'!$A$2:$A$501,0),MATCH(E446,'激励事件明细'!$B$2:$B$501,0))),""))</f>
        <v/>
      </c>
      <c r="Q446" s="6">
        <f>IF(AND(D446="",E446=""),"异常：必须关联事件编号或税额批次",IF(AND(D446&lt;&gt;"",COUNTIF('激励事件明细'!$A$2:$A$501,D446)=0),"异常：事件编号不存在",IF(AND(E446&lt;&gt;"",COUNTIF('激励事件明细'!$B$2:$B$501,E446)=0),"异常：税额批次不存在",IF(M446&gt;F446,"异常：本批次超额缴税",IF(AND(I446&lt;&gt;"",I446&gt;H446),"异常：超过事件截止日",IF(AND(P446&lt;&gt;"",TODAY()&gt;=P446,N446&gt;0),"异常：离职前未缴清","正常"))))))</f>
        <v/>
      </c>
      <c r="R446" s="11" t="n"/>
    </row>
    <row r="447">
      <c r="A447" s="6">
        <f>IF(AND(D447="",E447=""),"",IFERROR(INDEX('激励事件明细'!$C$2:$C$501,IF(D447&lt;&gt;"",MATCH(D447,'激励事件明细'!$A$2:$A$501,0),MATCH(E447,'激励事件明细'!$B$2:$B$501,0))),""))</f>
        <v/>
      </c>
      <c r="B447" s="6">
        <f>IF(A447="","",IFERROR(INDEX('激励事件明细'!$D$2:$D$501,IF(D447&lt;&gt;"",MATCH(D447,'激励事件明细'!$A$2:$A$501,0),MATCH(E447,'激励事件明细'!$B$2:$B$501,0))),""))</f>
        <v/>
      </c>
      <c r="C447" s="6">
        <f>IF(A447="","",IFERROR(INDEX('激励事件明细'!$H$2:$H$501,IF(D447&lt;&gt;"",MATCH(D447,'激励事件明细'!$A$2:$A$501,0),MATCH(E447,'激励事件明细'!$B$2:$B$501,0))),""))</f>
        <v/>
      </c>
      <c r="D447" s="11" t="n"/>
      <c r="E447" s="11" t="n"/>
      <c r="F447" s="14">
        <f>IF(A447="","",IFERROR(INDEX('激励事件明细'!$Z$2:$Z$501,IF(D447&lt;&gt;"",MATCH(D447,'激励事件明细'!$A$2:$A$501,0),MATCH(E447,'激励事件明细'!$B$2:$B$501,0))),""))</f>
        <v/>
      </c>
      <c r="G447" s="16">
        <f>IF(A447="","",IFERROR(INDEX('激励事件明细'!$AA$2:$AA$501,IF(D447&lt;&gt;"",MATCH(D447,'激励事件明细'!$A$2:$A$501,0),MATCH(E447,'激励事件明细'!$B$2:$B$501,0))),""))</f>
        <v/>
      </c>
      <c r="H447" s="16">
        <f>IF(A447="","",IFERROR(INDEX('激励事件明细'!$AB$2:$AB$501,IF(D447&lt;&gt;"",MATCH(D447,'激励事件明细'!$A$2:$A$501,0),MATCH(E447,'激励事件明细'!$B$2:$B$501,0))),""))</f>
        <v/>
      </c>
      <c r="I447" s="12" t="n"/>
      <c r="J447" s="13" t="n"/>
      <c r="K447" s="13" t="n"/>
      <c r="L447" s="11" t="n"/>
      <c r="M447" s="14">
        <f>IF(A447="","",IF(D447&lt;&gt;"",SUMIFS($K$2:$K$501,$D$2:$D$501,D447),SUMIFS($K$2:$K$501,$E$2:$E$501,E447)))</f>
        <v/>
      </c>
      <c r="N447" s="14">
        <f>IF(F447="","",MAX(0,F447-M447))</f>
        <v/>
      </c>
      <c r="O447" s="6">
        <f>IF(A447="","",IF(AND(I447&lt;&gt;"",I447&gt;H447),"是",IF(AND(TODAY()&gt;H447,N447&gt;0),"是","否")))</f>
        <v/>
      </c>
      <c r="P447" s="16">
        <f>IF(A447="","",IFERROR(INDEX('激励事件明细'!$P$2:$P$501,IF(D447&lt;&gt;"",MATCH(D447,'激励事件明细'!$A$2:$A$501,0),MATCH(E447,'激励事件明细'!$B$2:$B$501,0))),""))</f>
        <v/>
      </c>
      <c r="Q447" s="6">
        <f>IF(AND(D447="",E447=""),"异常：必须关联事件编号或税额批次",IF(AND(D447&lt;&gt;"",COUNTIF('激励事件明细'!$A$2:$A$501,D447)=0),"异常：事件编号不存在",IF(AND(E447&lt;&gt;"",COUNTIF('激励事件明细'!$B$2:$B$501,E447)=0),"异常：税额批次不存在",IF(M447&gt;F447,"异常：本批次超额缴税",IF(AND(I447&lt;&gt;"",I447&gt;H447),"异常：超过事件截止日",IF(AND(P447&lt;&gt;"",TODAY()&gt;=P447,N447&gt;0),"异常：离职前未缴清","正常"))))))</f>
        <v/>
      </c>
      <c r="R447" s="11" t="n"/>
    </row>
    <row r="448">
      <c r="A448" s="6">
        <f>IF(AND(D448="",E448=""),"",IFERROR(INDEX('激励事件明细'!$C$2:$C$501,IF(D448&lt;&gt;"",MATCH(D448,'激励事件明细'!$A$2:$A$501,0),MATCH(E448,'激励事件明细'!$B$2:$B$501,0))),""))</f>
        <v/>
      </c>
      <c r="B448" s="6">
        <f>IF(A448="","",IFERROR(INDEX('激励事件明细'!$D$2:$D$501,IF(D448&lt;&gt;"",MATCH(D448,'激励事件明细'!$A$2:$A$501,0),MATCH(E448,'激励事件明细'!$B$2:$B$501,0))),""))</f>
        <v/>
      </c>
      <c r="C448" s="6">
        <f>IF(A448="","",IFERROR(INDEX('激励事件明细'!$H$2:$H$501,IF(D448&lt;&gt;"",MATCH(D448,'激励事件明细'!$A$2:$A$501,0),MATCH(E448,'激励事件明细'!$B$2:$B$501,0))),""))</f>
        <v/>
      </c>
      <c r="D448" s="11" t="n"/>
      <c r="E448" s="11" t="n"/>
      <c r="F448" s="14">
        <f>IF(A448="","",IFERROR(INDEX('激励事件明细'!$Z$2:$Z$501,IF(D448&lt;&gt;"",MATCH(D448,'激励事件明细'!$A$2:$A$501,0),MATCH(E448,'激励事件明细'!$B$2:$B$501,0))),""))</f>
        <v/>
      </c>
      <c r="G448" s="16">
        <f>IF(A448="","",IFERROR(INDEX('激励事件明细'!$AA$2:$AA$501,IF(D448&lt;&gt;"",MATCH(D448,'激励事件明细'!$A$2:$A$501,0),MATCH(E448,'激励事件明细'!$B$2:$B$501,0))),""))</f>
        <v/>
      </c>
      <c r="H448" s="16">
        <f>IF(A448="","",IFERROR(INDEX('激励事件明细'!$AB$2:$AB$501,IF(D448&lt;&gt;"",MATCH(D448,'激励事件明细'!$A$2:$A$501,0),MATCH(E448,'激励事件明细'!$B$2:$B$501,0))),""))</f>
        <v/>
      </c>
      <c r="I448" s="12" t="n"/>
      <c r="J448" s="13" t="n"/>
      <c r="K448" s="13" t="n"/>
      <c r="L448" s="11" t="n"/>
      <c r="M448" s="14">
        <f>IF(A448="","",IF(D448&lt;&gt;"",SUMIFS($K$2:$K$501,$D$2:$D$501,D448),SUMIFS($K$2:$K$501,$E$2:$E$501,E448)))</f>
        <v/>
      </c>
      <c r="N448" s="14">
        <f>IF(F448="","",MAX(0,F448-M448))</f>
        <v/>
      </c>
      <c r="O448" s="6">
        <f>IF(A448="","",IF(AND(I448&lt;&gt;"",I448&gt;H448),"是",IF(AND(TODAY()&gt;H448,N448&gt;0),"是","否")))</f>
        <v/>
      </c>
      <c r="P448" s="16">
        <f>IF(A448="","",IFERROR(INDEX('激励事件明细'!$P$2:$P$501,IF(D448&lt;&gt;"",MATCH(D448,'激励事件明细'!$A$2:$A$501,0),MATCH(E448,'激励事件明细'!$B$2:$B$501,0))),""))</f>
        <v/>
      </c>
      <c r="Q448" s="6">
        <f>IF(AND(D448="",E448=""),"异常：必须关联事件编号或税额批次",IF(AND(D448&lt;&gt;"",COUNTIF('激励事件明细'!$A$2:$A$501,D448)=0),"异常：事件编号不存在",IF(AND(E448&lt;&gt;"",COUNTIF('激励事件明细'!$B$2:$B$501,E448)=0),"异常：税额批次不存在",IF(M448&gt;F448,"异常：本批次超额缴税",IF(AND(I448&lt;&gt;"",I448&gt;H448),"异常：超过事件截止日",IF(AND(P448&lt;&gt;"",TODAY()&gt;=P448,N448&gt;0),"异常：离职前未缴清","正常"))))))</f>
        <v/>
      </c>
      <c r="R448" s="11" t="n"/>
    </row>
    <row r="449">
      <c r="A449" s="6">
        <f>IF(AND(D449="",E449=""),"",IFERROR(INDEX('激励事件明细'!$C$2:$C$501,IF(D449&lt;&gt;"",MATCH(D449,'激励事件明细'!$A$2:$A$501,0),MATCH(E449,'激励事件明细'!$B$2:$B$501,0))),""))</f>
        <v/>
      </c>
      <c r="B449" s="6">
        <f>IF(A449="","",IFERROR(INDEX('激励事件明细'!$D$2:$D$501,IF(D449&lt;&gt;"",MATCH(D449,'激励事件明细'!$A$2:$A$501,0),MATCH(E449,'激励事件明细'!$B$2:$B$501,0))),""))</f>
        <v/>
      </c>
      <c r="C449" s="6">
        <f>IF(A449="","",IFERROR(INDEX('激励事件明细'!$H$2:$H$501,IF(D449&lt;&gt;"",MATCH(D449,'激励事件明细'!$A$2:$A$501,0),MATCH(E449,'激励事件明细'!$B$2:$B$501,0))),""))</f>
        <v/>
      </c>
      <c r="D449" s="11" t="n"/>
      <c r="E449" s="11" t="n"/>
      <c r="F449" s="14">
        <f>IF(A449="","",IFERROR(INDEX('激励事件明细'!$Z$2:$Z$501,IF(D449&lt;&gt;"",MATCH(D449,'激励事件明细'!$A$2:$A$501,0),MATCH(E449,'激励事件明细'!$B$2:$B$501,0))),""))</f>
        <v/>
      </c>
      <c r="G449" s="16">
        <f>IF(A449="","",IFERROR(INDEX('激励事件明细'!$AA$2:$AA$501,IF(D449&lt;&gt;"",MATCH(D449,'激励事件明细'!$A$2:$A$501,0),MATCH(E449,'激励事件明细'!$B$2:$B$501,0))),""))</f>
        <v/>
      </c>
      <c r="H449" s="16">
        <f>IF(A449="","",IFERROR(INDEX('激励事件明细'!$AB$2:$AB$501,IF(D449&lt;&gt;"",MATCH(D449,'激励事件明细'!$A$2:$A$501,0),MATCH(E449,'激励事件明细'!$B$2:$B$501,0))),""))</f>
        <v/>
      </c>
      <c r="I449" s="12" t="n"/>
      <c r="J449" s="13" t="n"/>
      <c r="K449" s="13" t="n"/>
      <c r="L449" s="11" t="n"/>
      <c r="M449" s="14">
        <f>IF(A449="","",IF(D449&lt;&gt;"",SUMIFS($K$2:$K$501,$D$2:$D$501,D449),SUMIFS($K$2:$K$501,$E$2:$E$501,E449)))</f>
        <v/>
      </c>
      <c r="N449" s="14">
        <f>IF(F449="","",MAX(0,F449-M449))</f>
        <v/>
      </c>
      <c r="O449" s="6">
        <f>IF(A449="","",IF(AND(I449&lt;&gt;"",I449&gt;H449),"是",IF(AND(TODAY()&gt;H449,N449&gt;0),"是","否")))</f>
        <v/>
      </c>
      <c r="P449" s="16">
        <f>IF(A449="","",IFERROR(INDEX('激励事件明细'!$P$2:$P$501,IF(D449&lt;&gt;"",MATCH(D449,'激励事件明细'!$A$2:$A$501,0),MATCH(E449,'激励事件明细'!$B$2:$B$501,0))),""))</f>
        <v/>
      </c>
      <c r="Q449" s="6">
        <f>IF(AND(D449="",E449=""),"异常：必须关联事件编号或税额批次",IF(AND(D449&lt;&gt;"",COUNTIF('激励事件明细'!$A$2:$A$501,D449)=0),"异常：事件编号不存在",IF(AND(E449&lt;&gt;"",COUNTIF('激励事件明细'!$B$2:$B$501,E449)=0),"异常：税额批次不存在",IF(M449&gt;F449,"异常：本批次超额缴税",IF(AND(I449&lt;&gt;"",I449&gt;H449),"异常：超过事件截止日",IF(AND(P449&lt;&gt;"",TODAY()&gt;=P449,N449&gt;0),"异常：离职前未缴清","正常"))))))</f>
        <v/>
      </c>
      <c r="R449" s="11" t="n"/>
    </row>
    <row r="450">
      <c r="A450" s="6">
        <f>IF(AND(D450="",E450=""),"",IFERROR(INDEX('激励事件明细'!$C$2:$C$501,IF(D450&lt;&gt;"",MATCH(D450,'激励事件明细'!$A$2:$A$501,0),MATCH(E450,'激励事件明细'!$B$2:$B$501,0))),""))</f>
        <v/>
      </c>
      <c r="B450" s="6">
        <f>IF(A450="","",IFERROR(INDEX('激励事件明细'!$D$2:$D$501,IF(D450&lt;&gt;"",MATCH(D450,'激励事件明细'!$A$2:$A$501,0),MATCH(E450,'激励事件明细'!$B$2:$B$501,0))),""))</f>
        <v/>
      </c>
      <c r="C450" s="6">
        <f>IF(A450="","",IFERROR(INDEX('激励事件明细'!$H$2:$H$501,IF(D450&lt;&gt;"",MATCH(D450,'激励事件明细'!$A$2:$A$501,0),MATCH(E450,'激励事件明细'!$B$2:$B$501,0))),""))</f>
        <v/>
      </c>
      <c r="D450" s="11" t="n"/>
      <c r="E450" s="11" t="n"/>
      <c r="F450" s="14">
        <f>IF(A450="","",IFERROR(INDEX('激励事件明细'!$Z$2:$Z$501,IF(D450&lt;&gt;"",MATCH(D450,'激励事件明细'!$A$2:$A$501,0),MATCH(E450,'激励事件明细'!$B$2:$B$501,0))),""))</f>
        <v/>
      </c>
      <c r="G450" s="16">
        <f>IF(A450="","",IFERROR(INDEX('激励事件明细'!$AA$2:$AA$501,IF(D450&lt;&gt;"",MATCH(D450,'激励事件明细'!$A$2:$A$501,0),MATCH(E450,'激励事件明细'!$B$2:$B$501,0))),""))</f>
        <v/>
      </c>
      <c r="H450" s="16">
        <f>IF(A450="","",IFERROR(INDEX('激励事件明细'!$AB$2:$AB$501,IF(D450&lt;&gt;"",MATCH(D450,'激励事件明细'!$A$2:$A$501,0),MATCH(E450,'激励事件明细'!$B$2:$B$501,0))),""))</f>
        <v/>
      </c>
      <c r="I450" s="12" t="n"/>
      <c r="J450" s="13" t="n"/>
      <c r="K450" s="13" t="n"/>
      <c r="L450" s="11" t="n"/>
      <c r="M450" s="14">
        <f>IF(A450="","",IF(D450&lt;&gt;"",SUMIFS($K$2:$K$501,$D$2:$D$501,D450),SUMIFS($K$2:$K$501,$E$2:$E$501,E450)))</f>
        <v/>
      </c>
      <c r="N450" s="14">
        <f>IF(F450="","",MAX(0,F450-M450))</f>
        <v/>
      </c>
      <c r="O450" s="6">
        <f>IF(A450="","",IF(AND(I450&lt;&gt;"",I450&gt;H450),"是",IF(AND(TODAY()&gt;H450,N450&gt;0),"是","否")))</f>
        <v/>
      </c>
      <c r="P450" s="16">
        <f>IF(A450="","",IFERROR(INDEX('激励事件明细'!$P$2:$P$501,IF(D450&lt;&gt;"",MATCH(D450,'激励事件明细'!$A$2:$A$501,0),MATCH(E450,'激励事件明细'!$B$2:$B$501,0))),""))</f>
        <v/>
      </c>
      <c r="Q450" s="6">
        <f>IF(AND(D450="",E450=""),"异常：必须关联事件编号或税额批次",IF(AND(D450&lt;&gt;"",COUNTIF('激励事件明细'!$A$2:$A$501,D450)=0),"异常：事件编号不存在",IF(AND(E450&lt;&gt;"",COUNTIF('激励事件明细'!$B$2:$B$501,E450)=0),"异常：税额批次不存在",IF(M450&gt;F450,"异常：本批次超额缴税",IF(AND(I450&lt;&gt;"",I450&gt;H450),"异常：超过事件截止日",IF(AND(P450&lt;&gt;"",TODAY()&gt;=P450,N450&gt;0),"异常：离职前未缴清","正常"))))))</f>
        <v/>
      </c>
      <c r="R450" s="11" t="n"/>
    </row>
    <row r="451">
      <c r="A451" s="6">
        <f>IF(AND(D451="",E451=""),"",IFERROR(INDEX('激励事件明细'!$C$2:$C$501,IF(D451&lt;&gt;"",MATCH(D451,'激励事件明细'!$A$2:$A$501,0),MATCH(E451,'激励事件明细'!$B$2:$B$501,0))),""))</f>
        <v/>
      </c>
      <c r="B451" s="6">
        <f>IF(A451="","",IFERROR(INDEX('激励事件明细'!$D$2:$D$501,IF(D451&lt;&gt;"",MATCH(D451,'激励事件明细'!$A$2:$A$501,0),MATCH(E451,'激励事件明细'!$B$2:$B$501,0))),""))</f>
        <v/>
      </c>
      <c r="C451" s="6">
        <f>IF(A451="","",IFERROR(INDEX('激励事件明细'!$H$2:$H$501,IF(D451&lt;&gt;"",MATCH(D451,'激励事件明细'!$A$2:$A$501,0),MATCH(E451,'激励事件明细'!$B$2:$B$501,0))),""))</f>
        <v/>
      </c>
      <c r="D451" s="11" t="n"/>
      <c r="E451" s="11" t="n"/>
      <c r="F451" s="14">
        <f>IF(A451="","",IFERROR(INDEX('激励事件明细'!$Z$2:$Z$501,IF(D451&lt;&gt;"",MATCH(D451,'激励事件明细'!$A$2:$A$501,0),MATCH(E451,'激励事件明细'!$B$2:$B$501,0))),""))</f>
        <v/>
      </c>
      <c r="G451" s="16">
        <f>IF(A451="","",IFERROR(INDEX('激励事件明细'!$AA$2:$AA$501,IF(D451&lt;&gt;"",MATCH(D451,'激励事件明细'!$A$2:$A$501,0),MATCH(E451,'激励事件明细'!$B$2:$B$501,0))),""))</f>
        <v/>
      </c>
      <c r="H451" s="16">
        <f>IF(A451="","",IFERROR(INDEX('激励事件明细'!$AB$2:$AB$501,IF(D451&lt;&gt;"",MATCH(D451,'激励事件明细'!$A$2:$A$501,0),MATCH(E451,'激励事件明细'!$B$2:$B$501,0))),""))</f>
        <v/>
      </c>
      <c r="I451" s="12" t="n"/>
      <c r="J451" s="13" t="n"/>
      <c r="K451" s="13" t="n"/>
      <c r="L451" s="11" t="n"/>
      <c r="M451" s="14">
        <f>IF(A451="","",IF(D451&lt;&gt;"",SUMIFS($K$2:$K$501,$D$2:$D$501,D451),SUMIFS($K$2:$K$501,$E$2:$E$501,E451)))</f>
        <v/>
      </c>
      <c r="N451" s="14">
        <f>IF(F451="","",MAX(0,F451-M451))</f>
        <v/>
      </c>
      <c r="O451" s="6">
        <f>IF(A451="","",IF(AND(I451&lt;&gt;"",I451&gt;H451),"是",IF(AND(TODAY()&gt;H451,N451&gt;0),"是","否")))</f>
        <v/>
      </c>
      <c r="P451" s="16">
        <f>IF(A451="","",IFERROR(INDEX('激励事件明细'!$P$2:$P$501,IF(D451&lt;&gt;"",MATCH(D451,'激励事件明细'!$A$2:$A$501,0),MATCH(E451,'激励事件明细'!$B$2:$B$501,0))),""))</f>
        <v/>
      </c>
      <c r="Q451" s="6">
        <f>IF(AND(D451="",E451=""),"异常：必须关联事件编号或税额批次",IF(AND(D451&lt;&gt;"",COUNTIF('激励事件明细'!$A$2:$A$501,D451)=0),"异常：事件编号不存在",IF(AND(E451&lt;&gt;"",COUNTIF('激励事件明细'!$B$2:$B$501,E451)=0),"异常：税额批次不存在",IF(M451&gt;F451,"异常：本批次超额缴税",IF(AND(I451&lt;&gt;"",I451&gt;H451),"异常：超过事件截止日",IF(AND(P451&lt;&gt;"",TODAY()&gt;=P451,N451&gt;0),"异常：离职前未缴清","正常"))))))</f>
        <v/>
      </c>
      <c r="R451" s="11" t="n"/>
    </row>
    <row r="452">
      <c r="A452" s="6">
        <f>IF(AND(D452="",E452=""),"",IFERROR(INDEX('激励事件明细'!$C$2:$C$501,IF(D452&lt;&gt;"",MATCH(D452,'激励事件明细'!$A$2:$A$501,0),MATCH(E452,'激励事件明细'!$B$2:$B$501,0))),""))</f>
        <v/>
      </c>
      <c r="B452" s="6">
        <f>IF(A452="","",IFERROR(INDEX('激励事件明细'!$D$2:$D$501,IF(D452&lt;&gt;"",MATCH(D452,'激励事件明细'!$A$2:$A$501,0),MATCH(E452,'激励事件明细'!$B$2:$B$501,0))),""))</f>
        <v/>
      </c>
      <c r="C452" s="6">
        <f>IF(A452="","",IFERROR(INDEX('激励事件明细'!$H$2:$H$501,IF(D452&lt;&gt;"",MATCH(D452,'激励事件明细'!$A$2:$A$501,0),MATCH(E452,'激励事件明细'!$B$2:$B$501,0))),""))</f>
        <v/>
      </c>
      <c r="D452" s="11" t="n"/>
      <c r="E452" s="11" t="n"/>
      <c r="F452" s="14">
        <f>IF(A452="","",IFERROR(INDEX('激励事件明细'!$Z$2:$Z$501,IF(D452&lt;&gt;"",MATCH(D452,'激励事件明细'!$A$2:$A$501,0),MATCH(E452,'激励事件明细'!$B$2:$B$501,0))),""))</f>
        <v/>
      </c>
      <c r="G452" s="16">
        <f>IF(A452="","",IFERROR(INDEX('激励事件明细'!$AA$2:$AA$501,IF(D452&lt;&gt;"",MATCH(D452,'激励事件明细'!$A$2:$A$501,0),MATCH(E452,'激励事件明细'!$B$2:$B$501,0))),""))</f>
        <v/>
      </c>
      <c r="H452" s="16">
        <f>IF(A452="","",IFERROR(INDEX('激励事件明细'!$AB$2:$AB$501,IF(D452&lt;&gt;"",MATCH(D452,'激励事件明细'!$A$2:$A$501,0),MATCH(E452,'激励事件明细'!$B$2:$B$501,0))),""))</f>
        <v/>
      </c>
      <c r="I452" s="12" t="n"/>
      <c r="J452" s="13" t="n"/>
      <c r="K452" s="13" t="n"/>
      <c r="L452" s="11" t="n"/>
      <c r="M452" s="14">
        <f>IF(A452="","",IF(D452&lt;&gt;"",SUMIFS($K$2:$K$501,$D$2:$D$501,D452),SUMIFS($K$2:$K$501,$E$2:$E$501,E452)))</f>
        <v/>
      </c>
      <c r="N452" s="14">
        <f>IF(F452="","",MAX(0,F452-M452))</f>
        <v/>
      </c>
      <c r="O452" s="6">
        <f>IF(A452="","",IF(AND(I452&lt;&gt;"",I452&gt;H452),"是",IF(AND(TODAY()&gt;H452,N452&gt;0),"是","否")))</f>
        <v/>
      </c>
      <c r="P452" s="16">
        <f>IF(A452="","",IFERROR(INDEX('激励事件明细'!$P$2:$P$501,IF(D452&lt;&gt;"",MATCH(D452,'激励事件明细'!$A$2:$A$501,0),MATCH(E452,'激励事件明细'!$B$2:$B$501,0))),""))</f>
        <v/>
      </c>
      <c r="Q452" s="6">
        <f>IF(AND(D452="",E452=""),"异常：必须关联事件编号或税额批次",IF(AND(D452&lt;&gt;"",COUNTIF('激励事件明细'!$A$2:$A$501,D452)=0),"异常：事件编号不存在",IF(AND(E452&lt;&gt;"",COUNTIF('激励事件明细'!$B$2:$B$501,E452)=0),"异常：税额批次不存在",IF(M452&gt;F452,"异常：本批次超额缴税",IF(AND(I452&lt;&gt;"",I452&gt;H452),"异常：超过事件截止日",IF(AND(P452&lt;&gt;"",TODAY()&gt;=P452,N452&gt;0),"异常：离职前未缴清","正常"))))))</f>
        <v/>
      </c>
      <c r="R452" s="11" t="n"/>
    </row>
    <row r="453">
      <c r="A453" s="6">
        <f>IF(AND(D453="",E453=""),"",IFERROR(INDEX('激励事件明细'!$C$2:$C$501,IF(D453&lt;&gt;"",MATCH(D453,'激励事件明细'!$A$2:$A$501,0),MATCH(E453,'激励事件明细'!$B$2:$B$501,0))),""))</f>
        <v/>
      </c>
      <c r="B453" s="6">
        <f>IF(A453="","",IFERROR(INDEX('激励事件明细'!$D$2:$D$501,IF(D453&lt;&gt;"",MATCH(D453,'激励事件明细'!$A$2:$A$501,0),MATCH(E453,'激励事件明细'!$B$2:$B$501,0))),""))</f>
        <v/>
      </c>
      <c r="C453" s="6">
        <f>IF(A453="","",IFERROR(INDEX('激励事件明细'!$H$2:$H$501,IF(D453&lt;&gt;"",MATCH(D453,'激励事件明细'!$A$2:$A$501,0),MATCH(E453,'激励事件明细'!$B$2:$B$501,0))),""))</f>
        <v/>
      </c>
      <c r="D453" s="11" t="n"/>
      <c r="E453" s="11" t="n"/>
      <c r="F453" s="14">
        <f>IF(A453="","",IFERROR(INDEX('激励事件明细'!$Z$2:$Z$501,IF(D453&lt;&gt;"",MATCH(D453,'激励事件明细'!$A$2:$A$501,0),MATCH(E453,'激励事件明细'!$B$2:$B$501,0))),""))</f>
        <v/>
      </c>
      <c r="G453" s="16">
        <f>IF(A453="","",IFERROR(INDEX('激励事件明细'!$AA$2:$AA$501,IF(D453&lt;&gt;"",MATCH(D453,'激励事件明细'!$A$2:$A$501,0),MATCH(E453,'激励事件明细'!$B$2:$B$501,0))),""))</f>
        <v/>
      </c>
      <c r="H453" s="16">
        <f>IF(A453="","",IFERROR(INDEX('激励事件明细'!$AB$2:$AB$501,IF(D453&lt;&gt;"",MATCH(D453,'激励事件明细'!$A$2:$A$501,0),MATCH(E453,'激励事件明细'!$B$2:$B$501,0))),""))</f>
        <v/>
      </c>
      <c r="I453" s="12" t="n"/>
      <c r="J453" s="13" t="n"/>
      <c r="K453" s="13" t="n"/>
      <c r="L453" s="11" t="n"/>
      <c r="M453" s="14">
        <f>IF(A453="","",IF(D453&lt;&gt;"",SUMIFS($K$2:$K$501,$D$2:$D$501,D453),SUMIFS($K$2:$K$501,$E$2:$E$501,E453)))</f>
        <v/>
      </c>
      <c r="N453" s="14">
        <f>IF(F453="","",MAX(0,F453-M453))</f>
        <v/>
      </c>
      <c r="O453" s="6">
        <f>IF(A453="","",IF(AND(I453&lt;&gt;"",I453&gt;H453),"是",IF(AND(TODAY()&gt;H453,N453&gt;0),"是","否")))</f>
        <v/>
      </c>
      <c r="P453" s="16">
        <f>IF(A453="","",IFERROR(INDEX('激励事件明细'!$P$2:$P$501,IF(D453&lt;&gt;"",MATCH(D453,'激励事件明细'!$A$2:$A$501,0),MATCH(E453,'激励事件明细'!$B$2:$B$501,0))),""))</f>
        <v/>
      </c>
      <c r="Q453" s="6">
        <f>IF(AND(D453="",E453=""),"异常：必须关联事件编号或税额批次",IF(AND(D453&lt;&gt;"",COUNTIF('激励事件明细'!$A$2:$A$501,D453)=0),"异常：事件编号不存在",IF(AND(E453&lt;&gt;"",COUNTIF('激励事件明细'!$B$2:$B$501,E453)=0),"异常：税额批次不存在",IF(M453&gt;F453,"异常：本批次超额缴税",IF(AND(I453&lt;&gt;"",I453&gt;H453),"异常：超过事件截止日",IF(AND(P453&lt;&gt;"",TODAY()&gt;=P453,N453&gt;0),"异常：离职前未缴清","正常"))))))</f>
        <v/>
      </c>
      <c r="R453" s="11" t="n"/>
    </row>
    <row r="454">
      <c r="A454" s="6">
        <f>IF(AND(D454="",E454=""),"",IFERROR(INDEX('激励事件明细'!$C$2:$C$501,IF(D454&lt;&gt;"",MATCH(D454,'激励事件明细'!$A$2:$A$501,0),MATCH(E454,'激励事件明细'!$B$2:$B$501,0))),""))</f>
        <v/>
      </c>
      <c r="B454" s="6">
        <f>IF(A454="","",IFERROR(INDEX('激励事件明细'!$D$2:$D$501,IF(D454&lt;&gt;"",MATCH(D454,'激励事件明细'!$A$2:$A$501,0),MATCH(E454,'激励事件明细'!$B$2:$B$501,0))),""))</f>
        <v/>
      </c>
      <c r="C454" s="6">
        <f>IF(A454="","",IFERROR(INDEX('激励事件明细'!$H$2:$H$501,IF(D454&lt;&gt;"",MATCH(D454,'激励事件明细'!$A$2:$A$501,0),MATCH(E454,'激励事件明细'!$B$2:$B$501,0))),""))</f>
        <v/>
      </c>
      <c r="D454" s="11" t="n"/>
      <c r="E454" s="11" t="n"/>
      <c r="F454" s="14">
        <f>IF(A454="","",IFERROR(INDEX('激励事件明细'!$Z$2:$Z$501,IF(D454&lt;&gt;"",MATCH(D454,'激励事件明细'!$A$2:$A$501,0),MATCH(E454,'激励事件明细'!$B$2:$B$501,0))),""))</f>
        <v/>
      </c>
      <c r="G454" s="16">
        <f>IF(A454="","",IFERROR(INDEX('激励事件明细'!$AA$2:$AA$501,IF(D454&lt;&gt;"",MATCH(D454,'激励事件明细'!$A$2:$A$501,0),MATCH(E454,'激励事件明细'!$B$2:$B$501,0))),""))</f>
        <v/>
      </c>
      <c r="H454" s="16">
        <f>IF(A454="","",IFERROR(INDEX('激励事件明细'!$AB$2:$AB$501,IF(D454&lt;&gt;"",MATCH(D454,'激励事件明细'!$A$2:$A$501,0),MATCH(E454,'激励事件明细'!$B$2:$B$501,0))),""))</f>
        <v/>
      </c>
      <c r="I454" s="12" t="n"/>
      <c r="J454" s="13" t="n"/>
      <c r="K454" s="13" t="n"/>
      <c r="L454" s="11" t="n"/>
      <c r="M454" s="14">
        <f>IF(A454="","",IF(D454&lt;&gt;"",SUMIFS($K$2:$K$501,$D$2:$D$501,D454),SUMIFS($K$2:$K$501,$E$2:$E$501,E454)))</f>
        <v/>
      </c>
      <c r="N454" s="14">
        <f>IF(F454="","",MAX(0,F454-M454))</f>
        <v/>
      </c>
      <c r="O454" s="6">
        <f>IF(A454="","",IF(AND(I454&lt;&gt;"",I454&gt;H454),"是",IF(AND(TODAY()&gt;H454,N454&gt;0),"是","否")))</f>
        <v/>
      </c>
      <c r="P454" s="16">
        <f>IF(A454="","",IFERROR(INDEX('激励事件明细'!$P$2:$P$501,IF(D454&lt;&gt;"",MATCH(D454,'激励事件明细'!$A$2:$A$501,0),MATCH(E454,'激励事件明细'!$B$2:$B$501,0))),""))</f>
        <v/>
      </c>
      <c r="Q454" s="6">
        <f>IF(AND(D454="",E454=""),"异常：必须关联事件编号或税额批次",IF(AND(D454&lt;&gt;"",COUNTIF('激励事件明细'!$A$2:$A$501,D454)=0),"异常：事件编号不存在",IF(AND(E454&lt;&gt;"",COUNTIF('激励事件明细'!$B$2:$B$501,E454)=0),"异常：税额批次不存在",IF(M454&gt;F454,"异常：本批次超额缴税",IF(AND(I454&lt;&gt;"",I454&gt;H454),"异常：超过事件截止日",IF(AND(P454&lt;&gt;"",TODAY()&gt;=P454,N454&gt;0),"异常：离职前未缴清","正常"))))))</f>
        <v/>
      </c>
      <c r="R454" s="11" t="n"/>
    </row>
    <row r="455">
      <c r="A455" s="6">
        <f>IF(AND(D455="",E455=""),"",IFERROR(INDEX('激励事件明细'!$C$2:$C$501,IF(D455&lt;&gt;"",MATCH(D455,'激励事件明细'!$A$2:$A$501,0),MATCH(E455,'激励事件明细'!$B$2:$B$501,0))),""))</f>
        <v/>
      </c>
      <c r="B455" s="6">
        <f>IF(A455="","",IFERROR(INDEX('激励事件明细'!$D$2:$D$501,IF(D455&lt;&gt;"",MATCH(D455,'激励事件明细'!$A$2:$A$501,0),MATCH(E455,'激励事件明细'!$B$2:$B$501,0))),""))</f>
        <v/>
      </c>
      <c r="C455" s="6">
        <f>IF(A455="","",IFERROR(INDEX('激励事件明细'!$H$2:$H$501,IF(D455&lt;&gt;"",MATCH(D455,'激励事件明细'!$A$2:$A$501,0),MATCH(E455,'激励事件明细'!$B$2:$B$501,0))),""))</f>
        <v/>
      </c>
      <c r="D455" s="11" t="n"/>
      <c r="E455" s="11" t="n"/>
      <c r="F455" s="14">
        <f>IF(A455="","",IFERROR(INDEX('激励事件明细'!$Z$2:$Z$501,IF(D455&lt;&gt;"",MATCH(D455,'激励事件明细'!$A$2:$A$501,0),MATCH(E455,'激励事件明细'!$B$2:$B$501,0))),""))</f>
        <v/>
      </c>
      <c r="G455" s="16">
        <f>IF(A455="","",IFERROR(INDEX('激励事件明细'!$AA$2:$AA$501,IF(D455&lt;&gt;"",MATCH(D455,'激励事件明细'!$A$2:$A$501,0),MATCH(E455,'激励事件明细'!$B$2:$B$501,0))),""))</f>
        <v/>
      </c>
      <c r="H455" s="16">
        <f>IF(A455="","",IFERROR(INDEX('激励事件明细'!$AB$2:$AB$501,IF(D455&lt;&gt;"",MATCH(D455,'激励事件明细'!$A$2:$A$501,0),MATCH(E455,'激励事件明细'!$B$2:$B$501,0))),""))</f>
        <v/>
      </c>
      <c r="I455" s="12" t="n"/>
      <c r="J455" s="13" t="n"/>
      <c r="K455" s="13" t="n"/>
      <c r="L455" s="11" t="n"/>
      <c r="M455" s="14">
        <f>IF(A455="","",IF(D455&lt;&gt;"",SUMIFS($K$2:$K$501,$D$2:$D$501,D455),SUMIFS($K$2:$K$501,$E$2:$E$501,E455)))</f>
        <v/>
      </c>
      <c r="N455" s="14">
        <f>IF(F455="","",MAX(0,F455-M455))</f>
        <v/>
      </c>
      <c r="O455" s="6">
        <f>IF(A455="","",IF(AND(I455&lt;&gt;"",I455&gt;H455),"是",IF(AND(TODAY()&gt;H455,N455&gt;0),"是","否")))</f>
        <v/>
      </c>
      <c r="P455" s="16">
        <f>IF(A455="","",IFERROR(INDEX('激励事件明细'!$P$2:$P$501,IF(D455&lt;&gt;"",MATCH(D455,'激励事件明细'!$A$2:$A$501,0),MATCH(E455,'激励事件明细'!$B$2:$B$501,0))),""))</f>
        <v/>
      </c>
      <c r="Q455" s="6">
        <f>IF(AND(D455="",E455=""),"异常：必须关联事件编号或税额批次",IF(AND(D455&lt;&gt;"",COUNTIF('激励事件明细'!$A$2:$A$501,D455)=0),"异常：事件编号不存在",IF(AND(E455&lt;&gt;"",COUNTIF('激励事件明细'!$B$2:$B$501,E455)=0),"异常：税额批次不存在",IF(M455&gt;F455,"异常：本批次超额缴税",IF(AND(I455&lt;&gt;"",I455&gt;H455),"异常：超过事件截止日",IF(AND(P455&lt;&gt;"",TODAY()&gt;=P455,N455&gt;0),"异常：离职前未缴清","正常"))))))</f>
        <v/>
      </c>
      <c r="R455" s="11" t="n"/>
    </row>
    <row r="456">
      <c r="A456" s="6">
        <f>IF(AND(D456="",E456=""),"",IFERROR(INDEX('激励事件明细'!$C$2:$C$501,IF(D456&lt;&gt;"",MATCH(D456,'激励事件明细'!$A$2:$A$501,0),MATCH(E456,'激励事件明细'!$B$2:$B$501,0))),""))</f>
        <v/>
      </c>
      <c r="B456" s="6">
        <f>IF(A456="","",IFERROR(INDEX('激励事件明细'!$D$2:$D$501,IF(D456&lt;&gt;"",MATCH(D456,'激励事件明细'!$A$2:$A$501,0),MATCH(E456,'激励事件明细'!$B$2:$B$501,0))),""))</f>
        <v/>
      </c>
      <c r="C456" s="6">
        <f>IF(A456="","",IFERROR(INDEX('激励事件明细'!$H$2:$H$501,IF(D456&lt;&gt;"",MATCH(D456,'激励事件明细'!$A$2:$A$501,0),MATCH(E456,'激励事件明细'!$B$2:$B$501,0))),""))</f>
        <v/>
      </c>
      <c r="D456" s="11" t="n"/>
      <c r="E456" s="11" t="n"/>
      <c r="F456" s="14">
        <f>IF(A456="","",IFERROR(INDEX('激励事件明细'!$Z$2:$Z$501,IF(D456&lt;&gt;"",MATCH(D456,'激励事件明细'!$A$2:$A$501,0),MATCH(E456,'激励事件明细'!$B$2:$B$501,0))),""))</f>
        <v/>
      </c>
      <c r="G456" s="16">
        <f>IF(A456="","",IFERROR(INDEX('激励事件明细'!$AA$2:$AA$501,IF(D456&lt;&gt;"",MATCH(D456,'激励事件明细'!$A$2:$A$501,0),MATCH(E456,'激励事件明细'!$B$2:$B$501,0))),""))</f>
        <v/>
      </c>
      <c r="H456" s="16">
        <f>IF(A456="","",IFERROR(INDEX('激励事件明细'!$AB$2:$AB$501,IF(D456&lt;&gt;"",MATCH(D456,'激励事件明细'!$A$2:$A$501,0),MATCH(E456,'激励事件明细'!$B$2:$B$501,0))),""))</f>
        <v/>
      </c>
      <c r="I456" s="12" t="n"/>
      <c r="J456" s="13" t="n"/>
      <c r="K456" s="13" t="n"/>
      <c r="L456" s="11" t="n"/>
      <c r="M456" s="14">
        <f>IF(A456="","",IF(D456&lt;&gt;"",SUMIFS($K$2:$K$501,$D$2:$D$501,D456),SUMIFS($K$2:$K$501,$E$2:$E$501,E456)))</f>
        <v/>
      </c>
      <c r="N456" s="14">
        <f>IF(F456="","",MAX(0,F456-M456))</f>
        <v/>
      </c>
      <c r="O456" s="6">
        <f>IF(A456="","",IF(AND(I456&lt;&gt;"",I456&gt;H456),"是",IF(AND(TODAY()&gt;H456,N456&gt;0),"是","否")))</f>
        <v/>
      </c>
      <c r="P456" s="16">
        <f>IF(A456="","",IFERROR(INDEX('激励事件明细'!$P$2:$P$501,IF(D456&lt;&gt;"",MATCH(D456,'激励事件明细'!$A$2:$A$501,0),MATCH(E456,'激励事件明细'!$B$2:$B$501,0))),""))</f>
        <v/>
      </c>
      <c r="Q456" s="6">
        <f>IF(AND(D456="",E456=""),"异常：必须关联事件编号或税额批次",IF(AND(D456&lt;&gt;"",COUNTIF('激励事件明细'!$A$2:$A$501,D456)=0),"异常：事件编号不存在",IF(AND(E456&lt;&gt;"",COUNTIF('激励事件明细'!$B$2:$B$501,E456)=0),"异常：税额批次不存在",IF(M456&gt;F456,"异常：本批次超额缴税",IF(AND(I456&lt;&gt;"",I456&gt;H456),"异常：超过事件截止日",IF(AND(P456&lt;&gt;"",TODAY()&gt;=P456,N456&gt;0),"异常：离职前未缴清","正常"))))))</f>
        <v/>
      </c>
      <c r="R456" s="11" t="n"/>
    </row>
    <row r="457">
      <c r="A457" s="6">
        <f>IF(AND(D457="",E457=""),"",IFERROR(INDEX('激励事件明细'!$C$2:$C$501,IF(D457&lt;&gt;"",MATCH(D457,'激励事件明细'!$A$2:$A$501,0),MATCH(E457,'激励事件明细'!$B$2:$B$501,0))),""))</f>
        <v/>
      </c>
      <c r="B457" s="6">
        <f>IF(A457="","",IFERROR(INDEX('激励事件明细'!$D$2:$D$501,IF(D457&lt;&gt;"",MATCH(D457,'激励事件明细'!$A$2:$A$501,0),MATCH(E457,'激励事件明细'!$B$2:$B$501,0))),""))</f>
        <v/>
      </c>
      <c r="C457" s="6">
        <f>IF(A457="","",IFERROR(INDEX('激励事件明细'!$H$2:$H$501,IF(D457&lt;&gt;"",MATCH(D457,'激励事件明细'!$A$2:$A$501,0),MATCH(E457,'激励事件明细'!$B$2:$B$501,0))),""))</f>
        <v/>
      </c>
      <c r="D457" s="11" t="n"/>
      <c r="E457" s="11" t="n"/>
      <c r="F457" s="14">
        <f>IF(A457="","",IFERROR(INDEX('激励事件明细'!$Z$2:$Z$501,IF(D457&lt;&gt;"",MATCH(D457,'激励事件明细'!$A$2:$A$501,0),MATCH(E457,'激励事件明细'!$B$2:$B$501,0))),""))</f>
        <v/>
      </c>
      <c r="G457" s="16">
        <f>IF(A457="","",IFERROR(INDEX('激励事件明细'!$AA$2:$AA$501,IF(D457&lt;&gt;"",MATCH(D457,'激励事件明细'!$A$2:$A$501,0),MATCH(E457,'激励事件明细'!$B$2:$B$501,0))),""))</f>
        <v/>
      </c>
      <c r="H457" s="16">
        <f>IF(A457="","",IFERROR(INDEX('激励事件明细'!$AB$2:$AB$501,IF(D457&lt;&gt;"",MATCH(D457,'激励事件明细'!$A$2:$A$501,0),MATCH(E457,'激励事件明细'!$B$2:$B$501,0))),""))</f>
        <v/>
      </c>
      <c r="I457" s="12" t="n"/>
      <c r="J457" s="13" t="n"/>
      <c r="K457" s="13" t="n"/>
      <c r="L457" s="11" t="n"/>
      <c r="M457" s="14">
        <f>IF(A457="","",IF(D457&lt;&gt;"",SUMIFS($K$2:$K$501,$D$2:$D$501,D457),SUMIFS($K$2:$K$501,$E$2:$E$501,E457)))</f>
        <v/>
      </c>
      <c r="N457" s="14">
        <f>IF(F457="","",MAX(0,F457-M457))</f>
        <v/>
      </c>
      <c r="O457" s="6">
        <f>IF(A457="","",IF(AND(I457&lt;&gt;"",I457&gt;H457),"是",IF(AND(TODAY()&gt;H457,N457&gt;0),"是","否")))</f>
        <v/>
      </c>
      <c r="P457" s="16">
        <f>IF(A457="","",IFERROR(INDEX('激励事件明细'!$P$2:$P$501,IF(D457&lt;&gt;"",MATCH(D457,'激励事件明细'!$A$2:$A$501,0),MATCH(E457,'激励事件明细'!$B$2:$B$501,0))),""))</f>
        <v/>
      </c>
      <c r="Q457" s="6">
        <f>IF(AND(D457="",E457=""),"异常：必须关联事件编号或税额批次",IF(AND(D457&lt;&gt;"",COUNTIF('激励事件明细'!$A$2:$A$501,D457)=0),"异常：事件编号不存在",IF(AND(E457&lt;&gt;"",COUNTIF('激励事件明细'!$B$2:$B$501,E457)=0),"异常：税额批次不存在",IF(M457&gt;F457,"异常：本批次超额缴税",IF(AND(I457&lt;&gt;"",I457&gt;H457),"异常：超过事件截止日",IF(AND(P457&lt;&gt;"",TODAY()&gt;=P457,N457&gt;0),"异常：离职前未缴清","正常"))))))</f>
        <v/>
      </c>
      <c r="R457" s="11" t="n"/>
    </row>
    <row r="458">
      <c r="A458" s="6">
        <f>IF(AND(D458="",E458=""),"",IFERROR(INDEX('激励事件明细'!$C$2:$C$501,IF(D458&lt;&gt;"",MATCH(D458,'激励事件明细'!$A$2:$A$501,0),MATCH(E458,'激励事件明细'!$B$2:$B$501,0))),""))</f>
        <v/>
      </c>
      <c r="B458" s="6">
        <f>IF(A458="","",IFERROR(INDEX('激励事件明细'!$D$2:$D$501,IF(D458&lt;&gt;"",MATCH(D458,'激励事件明细'!$A$2:$A$501,0),MATCH(E458,'激励事件明细'!$B$2:$B$501,0))),""))</f>
        <v/>
      </c>
      <c r="C458" s="6">
        <f>IF(A458="","",IFERROR(INDEX('激励事件明细'!$H$2:$H$501,IF(D458&lt;&gt;"",MATCH(D458,'激励事件明细'!$A$2:$A$501,0),MATCH(E458,'激励事件明细'!$B$2:$B$501,0))),""))</f>
        <v/>
      </c>
      <c r="D458" s="11" t="n"/>
      <c r="E458" s="11" t="n"/>
      <c r="F458" s="14">
        <f>IF(A458="","",IFERROR(INDEX('激励事件明细'!$Z$2:$Z$501,IF(D458&lt;&gt;"",MATCH(D458,'激励事件明细'!$A$2:$A$501,0),MATCH(E458,'激励事件明细'!$B$2:$B$501,0))),""))</f>
        <v/>
      </c>
      <c r="G458" s="16">
        <f>IF(A458="","",IFERROR(INDEX('激励事件明细'!$AA$2:$AA$501,IF(D458&lt;&gt;"",MATCH(D458,'激励事件明细'!$A$2:$A$501,0),MATCH(E458,'激励事件明细'!$B$2:$B$501,0))),""))</f>
        <v/>
      </c>
      <c r="H458" s="16">
        <f>IF(A458="","",IFERROR(INDEX('激励事件明细'!$AB$2:$AB$501,IF(D458&lt;&gt;"",MATCH(D458,'激励事件明细'!$A$2:$A$501,0),MATCH(E458,'激励事件明细'!$B$2:$B$501,0))),""))</f>
        <v/>
      </c>
      <c r="I458" s="12" t="n"/>
      <c r="J458" s="13" t="n"/>
      <c r="K458" s="13" t="n"/>
      <c r="L458" s="11" t="n"/>
      <c r="M458" s="14">
        <f>IF(A458="","",IF(D458&lt;&gt;"",SUMIFS($K$2:$K$501,$D$2:$D$501,D458),SUMIFS($K$2:$K$501,$E$2:$E$501,E458)))</f>
        <v/>
      </c>
      <c r="N458" s="14">
        <f>IF(F458="","",MAX(0,F458-M458))</f>
        <v/>
      </c>
      <c r="O458" s="6">
        <f>IF(A458="","",IF(AND(I458&lt;&gt;"",I458&gt;H458),"是",IF(AND(TODAY()&gt;H458,N458&gt;0),"是","否")))</f>
        <v/>
      </c>
      <c r="P458" s="16">
        <f>IF(A458="","",IFERROR(INDEX('激励事件明细'!$P$2:$P$501,IF(D458&lt;&gt;"",MATCH(D458,'激励事件明细'!$A$2:$A$501,0),MATCH(E458,'激励事件明细'!$B$2:$B$501,0))),""))</f>
        <v/>
      </c>
      <c r="Q458" s="6">
        <f>IF(AND(D458="",E458=""),"异常：必须关联事件编号或税额批次",IF(AND(D458&lt;&gt;"",COUNTIF('激励事件明细'!$A$2:$A$501,D458)=0),"异常：事件编号不存在",IF(AND(E458&lt;&gt;"",COUNTIF('激励事件明细'!$B$2:$B$501,E458)=0),"异常：税额批次不存在",IF(M458&gt;F458,"异常：本批次超额缴税",IF(AND(I458&lt;&gt;"",I458&gt;H458),"异常：超过事件截止日",IF(AND(P458&lt;&gt;"",TODAY()&gt;=P458,N458&gt;0),"异常：离职前未缴清","正常"))))))</f>
        <v/>
      </c>
      <c r="R458" s="11" t="n"/>
    </row>
    <row r="459">
      <c r="A459" s="6">
        <f>IF(AND(D459="",E459=""),"",IFERROR(INDEX('激励事件明细'!$C$2:$C$501,IF(D459&lt;&gt;"",MATCH(D459,'激励事件明细'!$A$2:$A$501,0),MATCH(E459,'激励事件明细'!$B$2:$B$501,0))),""))</f>
        <v/>
      </c>
      <c r="B459" s="6">
        <f>IF(A459="","",IFERROR(INDEX('激励事件明细'!$D$2:$D$501,IF(D459&lt;&gt;"",MATCH(D459,'激励事件明细'!$A$2:$A$501,0),MATCH(E459,'激励事件明细'!$B$2:$B$501,0))),""))</f>
        <v/>
      </c>
      <c r="C459" s="6">
        <f>IF(A459="","",IFERROR(INDEX('激励事件明细'!$H$2:$H$501,IF(D459&lt;&gt;"",MATCH(D459,'激励事件明细'!$A$2:$A$501,0),MATCH(E459,'激励事件明细'!$B$2:$B$501,0))),""))</f>
        <v/>
      </c>
      <c r="D459" s="11" t="n"/>
      <c r="E459" s="11" t="n"/>
      <c r="F459" s="14">
        <f>IF(A459="","",IFERROR(INDEX('激励事件明细'!$Z$2:$Z$501,IF(D459&lt;&gt;"",MATCH(D459,'激励事件明细'!$A$2:$A$501,0),MATCH(E459,'激励事件明细'!$B$2:$B$501,0))),""))</f>
        <v/>
      </c>
      <c r="G459" s="16">
        <f>IF(A459="","",IFERROR(INDEX('激励事件明细'!$AA$2:$AA$501,IF(D459&lt;&gt;"",MATCH(D459,'激励事件明细'!$A$2:$A$501,0),MATCH(E459,'激励事件明细'!$B$2:$B$501,0))),""))</f>
        <v/>
      </c>
      <c r="H459" s="16">
        <f>IF(A459="","",IFERROR(INDEX('激励事件明细'!$AB$2:$AB$501,IF(D459&lt;&gt;"",MATCH(D459,'激励事件明细'!$A$2:$A$501,0),MATCH(E459,'激励事件明细'!$B$2:$B$501,0))),""))</f>
        <v/>
      </c>
      <c r="I459" s="12" t="n"/>
      <c r="J459" s="13" t="n"/>
      <c r="K459" s="13" t="n"/>
      <c r="L459" s="11" t="n"/>
      <c r="M459" s="14">
        <f>IF(A459="","",IF(D459&lt;&gt;"",SUMIFS($K$2:$K$501,$D$2:$D$501,D459),SUMIFS($K$2:$K$501,$E$2:$E$501,E459)))</f>
        <v/>
      </c>
      <c r="N459" s="14">
        <f>IF(F459="","",MAX(0,F459-M459))</f>
        <v/>
      </c>
      <c r="O459" s="6">
        <f>IF(A459="","",IF(AND(I459&lt;&gt;"",I459&gt;H459),"是",IF(AND(TODAY()&gt;H459,N459&gt;0),"是","否")))</f>
        <v/>
      </c>
      <c r="P459" s="16">
        <f>IF(A459="","",IFERROR(INDEX('激励事件明细'!$P$2:$P$501,IF(D459&lt;&gt;"",MATCH(D459,'激励事件明细'!$A$2:$A$501,0),MATCH(E459,'激励事件明细'!$B$2:$B$501,0))),""))</f>
        <v/>
      </c>
      <c r="Q459" s="6">
        <f>IF(AND(D459="",E459=""),"异常：必须关联事件编号或税额批次",IF(AND(D459&lt;&gt;"",COUNTIF('激励事件明细'!$A$2:$A$501,D459)=0),"异常：事件编号不存在",IF(AND(E459&lt;&gt;"",COUNTIF('激励事件明细'!$B$2:$B$501,E459)=0),"异常：税额批次不存在",IF(M459&gt;F459,"异常：本批次超额缴税",IF(AND(I459&lt;&gt;"",I459&gt;H459),"异常：超过事件截止日",IF(AND(P459&lt;&gt;"",TODAY()&gt;=P459,N459&gt;0),"异常：离职前未缴清","正常"))))))</f>
        <v/>
      </c>
      <c r="R459" s="11" t="n"/>
    </row>
    <row r="460">
      <c r="A460" s="6">
        <f>IF(AND(D460="",E460=""),"",IFERROR(INDEX('激励事件明细'!$C$2:$C$501,IF(D460&lt;&gt;"",MATCH(D460,'激励事件明细'!$A$2:$A$501,0),MATCH(E460,'激励事件明细'!$B$2:$B$501,0))),""))</f>
        <v/>
      </c>
      <c r="B460" s="6">
        <f>IF(A460="","",IFERROR(INDEX('激励事件明细'!$D$2:$D$501,IF(D460&lt;&gt;"",MATCH(D460,'激励事件明细'!$A$2:$A$501,0),MATCH(E460,'激励事件明细'!$B$2:$B$501,0))),""))</f>
        <v/>
      </c>
      <c r="C460" s="6">
        <f>IF(A460="","",IFERROR(INDEX('激励事件明细'!$H$2:$H$501,IF(D460&lt;&gt;"",MATCH(D460,'激励事件明细'!$A$2:$A$501,0),MATCH(E460,'激励事件明细'!$B$2:$B$501,0))),""))</f>
        <v/>
      </c>
      <c r="D460" s="11" t="n"/>
      <c r="E460" s="11" t="n"/>
      <c r="F460" s="14">
        <f>IF(A460="","",IFERROR(INDEX('激励事件明细'!$Z$2:$Z$501,IF(D460&lt;&gt;"",MATCH(D460,'激励事件明细'!$A$2:$A$501,0),MATCH(E460,'激励事件明细'!$B$2:$B$501,0))),""))</f>
        <v/>
      </c>
      <c r="G460" s="16">
        <f>IF(A460="","",IFERROR(INDEX('激励事件明细'!$AA$2:$AA$501,IF(D460&lt;&gt;"",MATCH(D460,'激励事件明细'!$A$2:$A$501,0),MATCH(E460,'激励事件明细'!$B$2:$B$501,0))),""))</f>
        <v/>
      </c>
      <c r="H460" s="16">
        <f>IF(A460="","",IFERROR(INDEX('激励事件明细'!$AB$2:$AB$501,IF(D460&lt;&gt;"",MATCH(D460,'激励事件明细'!$A$2:$A$501,0),MATCH(E460,'激励事件明细'!$B$2:$B$501,0))),""))</f>
        <v/>
      </c>
      <c r="I460" s="12" t="n"/>
      <c r="J460" s="13" t="n"/>
      <c r="K460" s="13" t="n"/>
      <c r="L460" s="11" t="n"/>
      <c r="M460" s="14">
        <f>IF(A460="","",IF(D460&lt;&gt;"",SUMIFS($K$2:$K$501,$D$2:$D$501,D460),SUMIFS($K$2:$K$501,$E$2:$E$501,E460)))</f>
        <v/>
      </c>
      <c r="N460" s="14">
        <f>IF(F460="","",MAX(0,F460-M460))</f>
        <v/>
      </c>
      <c r="O460" s="6">
        <f>IF(A460="","",IF(AND(I460&lt;&gt;"",I460&gt;H460),"是",IF(AND(TODAY()&gt;H460,N460&gt;0),"是","否")))</f>
        <v/>
      </c>
      <c r="P460" s="16">
        <f>IF(A460="","",IFERROR(INDEX('激励事件明细'!$P$2:$P$501,IF(D460&lt;&gt;"",MATCH(D460,'激励事件明细'!$A$2:$A$501,0),MATCH(E460,'激励事件明细'!$B$2:$B$501,0))),""))</f>
        <v/>
      </c>
      <c r="Q460" s="6">
        <f>IF(AND(D460="",E460=""),"异常：必须关联事件编号或税额批次",IF(AND(D460&lt;&gt;"",COUNTIF('激励事件明细'!$A$2:$A$501,D460)=0),"异常：事件编号不存在",IF(AND(E460&lt;&gt;"",COUNTIF('激励事件明细'!$B$2:$B$501,E460)=0),"异常：税额批次不存在",IF(M460&gt;F460,"异常：本批次超额缴税",IF(AND(I460&lt;&gt;"",I460&gt;H460),"异常：超过事件截止日",IF(AND(P460&lt;&gt;"",TODAY()&gt;=P460,N460&gt;0),"异常：离职前未缴清","正常"))))))</f>
        <v/>
      </c>
      <c r="R460" s="11" t="n"/>
    </row>
    <row r="461">
      <c r="A461" s="6">
        <f>IF(AND(D461="",E461=""),"",IFERROR(INDEX('激励事件明细'!$C$2:$C$501,IF(D461&lt;&gt;"",MATCH(D461,'激励事件明细'!$A$2:$A$501,0),MATCH(E461,'激励事件明细'!$B$2:$B$501,0))),""))</f>
        <v/>
      </c>
      <c r="B461" s="6">
        <f>IF(A461="","",IFERROR(INDEX('激励事件明细'!$D$2:$D$501,IF(D461&lt;&gt;"",MATCH(D461,'激励事件明细'!$A$2:$A$501,0),MATCH(E461,'激励事件明细'!$B$2:$B$501,0))),""))</f>
        <v/>
      </c>
      <c r="C461" s="6">
        <f>IF(A461="","",IFERROR(INDEX('激励事件明细'!$H$2:$H$501,IF(D461&lt;&gt;"",MATCH(D461,'激励事件明细'!$A$2:$A$501,0),MATCH(E461,'激励事件明细'!$B$2:$B$501,0))),""))</f>
        <v/>
      </c>
      <c r="D461" s="11" t="n"/>
      <c r="E461" s="11" t="n"/>
      <c r="F461" s="14">
        <f>IF(A461="","",IFERROR(INDEX('激励事件明细'!$Z$2:$Z$501,IF(D461&lt;&gt;"",MATCH(D461,'激励事件明细'!$A$2:$A$501,0),MATCH(E461,'激励事件明细'!$B$2:$B$501,0))),""))</f>
        <v/>
      </c>
      <c r="G461" s="16">
        <f>IF(A461="","",IFERROR(INDEX('激励事件明细'!$AA$2:$AA$501,IF(D461&lt;&gt;"",MATCH(D461,'激励事件明细'!$A$2:$A$501,0),MATCH(E461,'激励事件明细'!$B$2:$B$501,0))),""))</f>
        <v/>
      </c>
      <c r="H461" s="16">
        <f>IF(A461="","",IFERROR(INDEX('激励事件明细'!$AB$2:$AB$501,IF(D461&lt;&gt;"",MATCH(D461,'激励事件明细'!$A$2:$A$501,0),MATCH(E461,'激励事件明细'!$B$2:$B$501,0))),""))</f>
        <v/>
      </c>
      <c r="I461" s="12" t="n"/>
      <c r="J461" s="13" t="n"/>
      <c r="K461" s="13" t="n"/>
      <c r="L461" s="11" t="n"/>
      <c r="M461" s="14">
        <f>IF(A461="","",IF(D461&lt;&gt;"",SUMIFS($K$2:$K$501,$D$2:$D$501,D461),SUMIFS($K$2:$K$501,$E$2:$E$501,E461)))</f>
        <v/>
      </c>
      <c r="N461" s="14">
        <f>IF(F461="","",MAX(0,F461-M461))</f>
        <v/>
      </c>
      <c r="O461" s="6">
        <f>IF(A461="","",IF(AND(I461&lt;&gt;"",I461&gt;H461),"是",IF(AND(TODAY()&gt;H461,N461&gt;0),"是","否")))</f>
        <v/>
      </c>
      <c r="P461" s="16">
        <f>IF(A461="","",IFERROR(INDEX('激励事件明细'!$P$2:$P$501,IF(D461&lt;&gt;"",MATCH(D461,'激励事件明细'!$A$2:$A$501,0),MATCH(E461,'激励事件明细'!$B$2:$B$501,0))),""))</f>
        <v/>
      </c>
      <c r="Q461" s="6">
        <f>IF(AND(D461="",E461=""),"异常：必须关联事件编号或税额批次",IF(AND(D461&lt;&gt;"",COUNTIF('激励事件明细'!$A$2:$A$501,D461)=0),"异常：事件编号不存在",IF(AND(E461&lt;&gt;"",COUNTIF('激励事件明细'!$B$2:$B$501,E461)=0),"异常：税额批次不存在",IF(M461&gt;F461,"异常：本批次超额缴税",IF(AND(I461&lt;&gt;"",I461&gt;H461),"异常：超过事件截止日",IF(AND(P461&lt;&gt;"",TODAY()&gt;=P461,N461&gt;0),"异常：离职前未缴清","正常"))))))</f>
        <v/>
      </c>
      <c r="R461" s="11" t="n"/>
    </row>
    <row r="462">
      <c r="A462" s="6">
        <f>IF(AND(D462="",E462=""),"",IFERROR(INDEX('激励事件明细'!$C$2:$C$501,IF(D462&lt;&gt;"",MATCH(D462,'激励事件明细'!$A$2:$A$501,0),MATCH(E462,'激励事件明细'!$B$2:$B$501,0))),""))</f>
        <v/>
      </c>
      <c r="B462" s="6">
        <f>IF(A462="","",IFERROR(INDEX('激励事件明细'!$D$2:$D$501,IF(D462&lt;&gt;"",MATCH(D462,'激励事件明细'!$A$2:$A$501,0),MATCH(E462,'激励事件明细'!$B$2:$B$501,0))),""))</f>
        <v/>
      </c>
      <c r="C462" s="6">
        <f>IF(A462="","",IFERROR(INDEX('激励事件明细'!$H$2:$H$501,IF(D462&lt;&gt;"",MATCH(D462,'激励事件明细'!$A$2:$A$501,0),MATCH(E462,'激励事件明细'!$B$2:$B$501,0))),""))</f>
        <v/>
      </c>
      <c r="D462" s="11" t="n"/>
      <c r="E462" s="11" t="n"/>
      <c r="F462" s="14">
        <f>IF(A462="","",IFERROR(INDEX('激励事件明细'!$Z$2:$Z$501,IF(D462&lt;&gt;"",MATCH(D462,'激励事件明细'!$A$2:$A$501,0),MATCH(E462,'激励事件明细'!$B$2:$B$501,0))),""))</f>
        <v/>
      </c>
      <c r="G462" s="16">
        <f>IF(A462="","",IFERROR(INDEX('激励事件明细'!$AA$2:$AA$501,IF(D462&lt;&gt;"",MATCH(D462,'激励事件明细'!$A$2:$A$501,0),MATCH(E462,'激励事件明细'!$B$2:$B$501,0))),""))</f>
        <v/>
      </c>
      <c r="H462" s="16">
        <f>IF(A462="","",IFERROR(INDEX('激励事件明细'!$AB$2:$AB$501,IF(D462&lt;&gt;"",MATCH(D462,'激励事件明细'!$A$2:$A$501,0),MATCH(E462,'激励事件明细'!$B$2:$B$501,0))),""))</f>
        <v/>
      </c>
      <c r="I462" s="12" t="n"/>
      <c r="J462" s="13" t="n"/>
      <c r="K462" s="13" t="n"/>
      <c r="L462" s="11" t="n"/>
      <c r="M462" s="14">
        <f>IF(A462="","",IF(D462&lt;&gt;"",SUMIFS($K$2:$K$501,$D$2:$D$501,D462),SUMIFS($K$2:$K$501,$E$2:$E$501,E462)))</f>
        <v/>
      </c>
      <c r="N462" s="14">
        <f>IF(F462="","",MAX(0,F462-M462))</f>
        <v/>
      </c>
      <c r="O462" s="6">
        <f>IF(A462="","",IF(AND(I462&lt;&gt;"",I462&gt;H462),"是",IF(AND(TODAY()&gt;H462,N462&gt;0),"是","否")))</f>
        <v/>
      </c>
      <c r="P462" s="16">
        <f>IF(A462="","",IFERROR(INDEX('激励事件明细'!$P$2:$P$501,IF(D462&lt;&gt;"",MATCH(D462,'激励事件明细'!$A$2:$A$501,0),MATCH(E462,'激励事件明细'!$B$2:$B$501,0))),""))</f>
        <v/>
      </c>
      <c r="Q462" s="6">
        <f>IF(AND(D462="",E462=""),"异常：必须关联事件编号或税额批次",IF(AND(D462&lt;&gt;"",COUNTIF('激励事件明细'!$A$2:$A$501,D462)=0),"异常：事件编号不存在",IF(AND(E462&lt;&gt;"",COUNTIF('激励事件明细'!$B$2:$B$501,E462)=0),"异常：税额批次不存在",IF(M462&gt;F462,"异常：本批次超额缴税",IF(AND(I462&lt;&gt;"",I462&gt;H462),"异常：超过事件截止日",IF(AND(P462&lt;&gt;"",TODAY()&gt;=P462,N462&gt;0),"异常：离职前未缴清","正常"))))))</f>
        <v/>
      </c>
      <c r="R462" s="11" t="n"/>
    </row>
    <row r="463">
      <c r="A463" s="6">
        <f>IF(AND(D463="",E463=""),"",IFERROR(INDEX('激励事件明细'!$C$2:$C$501,IF(D463&lt;&gt;"",MATCH(D463,'激励事件明细'!$A$2:$A$501,0),MATCH(E463,'激励事件明细'!$B$2:$B$501,0))),""))</f>
        <v/>
      </c>
      <c r="B463" s="6">
        <f>IF(A463="","",IFERROR(INDEX('激励事件明细'!$D$2:$D$501,IF(D463&lt;&gt;"",MATCH(D463,'激励事件明细'!$A$2:$A$501,0),MATCH(E463,'激励事件明细'!$B$2:$B$501,0))),""))</f>
        <v/>
      </c>
      <c r="C463" s="6">
        <f>IF(A463="","",IFERROR(INDEX('激励事件明细'!$H$2:$H$501,IF(D463&lt;&gt;"",MATCH(D463,'激励事件明细'!$A$2:$A$501,0),MATCH(E463,'激励事件明细'!$B$2:$B$501,0))),""))</f>
        <v/>
      </c>
      <c r="D463" s="11" t="n"/>
      <c r="E463" s="11" t="n"/>
      <c r="F463" s="14">
        <f>IF(A463="","",IFERROR(INDEX('激励事件明细'!$Z$2:$Z$501,IF(D463&lt;&gt;"",MATCH(D463,'激励事件明细'!$A$2:$A$501,0),MATCH(E463,'激励事件明细'!$B$2:$B$501,0))),""))</f>
        <v/>
      </c>
      <c r="G463" s="16">
        <f>IF(A463="","",IFERROR(INDEX('激励事件明细'!$AA$2:$AA$501,IF(D463&lt;&gt;"",MATCH(D463,'激励事件明细'!$A$2:$A$501,0),MATCH(E463,'激励事件明细'!$B$2:$B$501,0))),""))</f>
        <v/>
      </c>
      <c r="H463" s="16">
        <f>IF(A463="","",IFERROR(INDEX('激励事件明细'!$AB$2:$AB$501,IF(D463&lt;&gt;"",MATCH(D463,'激励事件明细'!$A$2:$A$501,0),MATCH(E463,'激励事件明细'!$B$2:$B$501,0))),""))</f>
        <v/>
      </c>
      <c r="I463" s="12" t="n"/>
      <c r="J463" s="13" t="n"/>
      <c r="K463" s="13" t="n"/>
      <c r="L463" s="11" t="n"/>
      <c r="M463" s="14">
        <f>IF(A463="","",IF(D463&lt;&gt;"",SUMIFS($K$2:$K$501,$D$2:$D$501,D463),SUMIFS($K$2:$K$501,$E$2:$E$501,E463)))</f>
        <v/>
      </c>
      <c r="N463" s="14">
        <f>IF(F463="","",MAX(0,F463-M463))</f>
        <v/>
      </c>
      <c r="O463" s="6">
        <f>IF(A463="","",IF(AND(I463&lt;&gt;"",I463&gt;H463),"是",IF(AND(TODAY()&gt;H463,N463&gt;0),"是","否")))</f>
        <v/>
      </c>
      <c r="P463" s="16">
        <f>IF(A463="","",IFERROR(INDEX('激励事件明细'!$P$2:$P$501,IF(D463&lt;&gt;"",MATCH(D463,'激励事件明细'!$A$2:$A$501,0),MATCH(E463,'激励事件明细'!$B$2:$B$501,0))),""))</f>
        <v/>
      </c>
      <c r="Q463" s="6">
        <f>IF(AND(D463="",E463=""),"异常：必须关联事件编号或税额批次",IF(AND(D463&lt;&gt;"",COUNTIF('激励事件明细'!$A$2:$A$501,D463)=0),"异常：事件编号不存在",IF(AND(E463&lt;&gt;"",COUNTIF('激励事件明细'!$B$2:$B$501,E463)=0),"异常：税额批次不存在",IF(M463&gt;F463,"异常：本批次超额缴税",IF(AND(I463&lt;&gt;"",I463&gt;H463),"异常：超过事件截止日",IF(AND(P463&lt;&gt;"",TODAY()&gt;=P463,N463&gt;0),"异常：离职前未缴清","正常"))))))</f>
        <v/>
      </c>
      <c r="R463" s="11" t="n"/>
    </row>
    <row r="464">
      <c r="A464" s="6">
        <f>IF(AND(D464="",E464=""),"",IFERROR(INDEX('激励事件明细'!$C$2:$C$501,IF(D464&lt;&gt;"",MATCH(D464,'激励事件明细'!$A$2:$A$501,0),MATCH(E464,'激励事件明细'!$B$2:$B$501,0))),""))</f>
        <v/>
      </c>
      <c r="B464" s="6">
        <f>IF(A464="","",IFERROR(INDEX('激励事件明细'!$D$2:$D$501,IF(D464&lt;&gt;"",MATCH(D464,'激励事件明细'!$A$2:$A$501,0),MATCH(E464,'激励事件明细'!$B$2:$B$501,0))),""))</f>
        <v/>
      </c>
      <c r="C464" s="6">
        <f>IF(A464="","",IFERROR(INDEX('激励事件明细'!$H$2:$H$501,IF(D464&lt;&gt;"",MATCH(D464,'激励事件明细'!$A$2:$A$501,0),MATCH(E464,'激励事件明细'!$B$2:$B$501,0))),""))</f>
        <v/>
      </c>
      <c r="D464" s="11" t="n"/>
      <c r="E464" s="11" t="n"/>
      <c r="F464" s="14">
        <f>IF(A464="","",IFERROR(INDEX('激励事件明细'!$Z$2:$Z$501,IF(D464&lt;&gt;"",MATCH(D464,'激励事件明细'!$A$2:$A$501,0),MATCH(E464,'激励事件明细'!$B$2:$B$501,0))),""))</f>
        <v/>
      </c>
      <c r="G464" s="16">
        <f>IF(A464="","",IFERROR(INDEX('激励事件明细'!$AA$2:$AA$501,IF(D464&lt;&gt;"",MATCH(D464,'激励事件明细'!$A$2:$A$501,0),MATCH(E464,'激励事件明细'!$B$2:$B$501,0))),""))</f>
        <v/>
      </c>
      <c r="H464" s="16">
        <f>IF(A464="","",IFERROR(INDEX('激励事件明细'!$AB$2:$AB$501,IF(D464&lt;&gt;"",MATCH(D464,'激励事件明细'!$A$2:$A$501,0),MATCH(E464,'激励事件明细'!$B$2:$B$501,0))),""))</f>
        <v/>
      </c>
      <c r="I464" s="12" t="n"/>
      <c r="J464" s="13" t="n"/>
      <c r="K464" s="13" t="n"/>
      <c r="L464" s="11" t="n"/>
      <c r="M464" s="14">
        <f>IF(A464="","",IF(D464&lt;&gt;"",SUMIFS($K$2:$K$501,$D$2:$D$501,D464),SUMIFS($K$2:$K$501,$E$2:$E$501,E464)))</f>
        <v/>
      </c>
      <c r="N464" s="14">
        <f>IF(F464="","",MAX(0,F464-M464))</f>
        <v/>
      </c>
      <c r="O464" s="6">
        <f>IF(A464="","",IF(AND(I464&lt;&gt;"",I464&gt;H464),"是",IF(AND(TODAY()&gt;H464,N464&gt;0),"是","否")))</f>
        <v/>
      </c>
      <c r="P464" s="16">
        <f>IF(A464="","",IFERROR(INDEX('激励事件明细'!$P$2:$P$501,IF(D464&lt;&gt;"",MATCH(D464,'激励事件明细'!$A$2:$A$501,0),MATCH(E464,'激励事件明细'!$B$2:$B$501,0))),""))</f>
        <v/>
      </c>
      <c r="Q464" s="6">
        <f>IF(AND(D464="",E464=""),"异常：必须关联事件编号或税额批次",IF(AND(D464&lt;&gt;"",COUNTIF('激励事件明细'!$A$2:$A$501,D464)=0),"异常：事件编号不存在",IF(AND(E464&lt;&gt;"",COUNTIF('激励事件明细'!$B$2:$B$501,E464)=0),"异常：税额批次不存在",IF(M464&gt;F464,"异常：本批次超额缴税",IF(AND(I464&lt;&gt;"",I464&gt;H464),"异常：超过事件截止日",IF(AND(P464&lt;&gt;"",TODAY()&gt;=P464,N464&gt;0),"异常：离职前未缴清","正常"))))))</f>
        <v/>
      </c>
      <c r="R464" s="11" t="n"/>
    </row>
    <row r="465">
      <c r="A465" s="6">
        <f>IF(AND(D465="",E465=""),"",IFERROR(INDEX('激励事件明细'!$C$2:$C$501,IF(D465&lt;&gt;"",MATCH(D465,'激励事件明细'!$A$2:$A$501,0),MATCH(E465,'激励事件明细'!$B$2:$B$501,0))),""))</f>
        <v/>
      </c>
      <c r="B465" s="6">
        <f>IF(A465="","",IFERROR(INDEX('激励事件明细'!$D$2:$D$501,IF(D465&lt;&gt;"",MATCH(D465,'激励事件明细'!$A$2:$A$501,0),MATCH(E465,'激励事件明细'!$B$2:$B$501,0))),""))</f>
        <v/>
      </c>
      <c r="C465" s="6">
        <f>IF(A465="","",IFERROR(INDEX('激励事件明细'!$H$2:$H$501,IF(D465&lt;&gt;"",MATCH(D465,'激励事件明细'!$A$2:$A$501,0),MATCH(E465,'激励事件明细'!$B$2:$B$501,0))),""))</f>
        <v/>
      </c>
      <c r="D465" s="11" t="n"/>
      <c r="E465" s="11" t="n"/>
      <c r="F465" s="14">
        <f>IF(A465="","",IFERROR(INDEX('激励事件明细'!$Z$2:$Z$501,IF(D465&lt;&gt;"",MATCH(D465,'激励事件明细'!$A$2:$A$501,0),MATCH(E465,'激励事件明细'!$B$2:$B$501,0))),""))</f>
        <v/>
      </c>
      <c r="G465" s="16">
        <f>IF(A465="","",IFERROR(INDEX('激励事件明细'!$AA$2:$AA$501,IF(D465&lt;&gt;"",MATCH(D465,'激励事件明细'!$A$2:$A$501,0),MATCH(E465,'激励事件明细'!$B$2:$B$501,0))),""))</f>
        <v/>
      </c>
      <c r="H465" s="16">
        <f>IF(A465="","",IFERROR(INDEX('激励事件明细'!$AB$2:$AB$501,IF(D465&lt;&gt;"",MATCH(D465,'激励事件明细'!$A$2:$A$501,0),MATCH(E465,'激励事件明细'!$B$2:$B$501,0))),""))</f>
        <v/>
      </c>
      <c r="I465" s="12" t="n"/>
      <c r="J465" s="13" t="n"/>
      <c r="K465" s="13" t="n"/>
      <c r="L465" s="11" t="n"/>
      <c r="M465" s="14">
        <f>IF(A465="","",IF(D465&lt;&gt;"",SUMIFS($K$2:$K$501,$D$2:$D$501,D465),SUMIFS($K$2:$K$501,$E$2:$E$501,E465)))</f>
        <v/>
      </c>
      <c r="N465" s="14">
        <f>IF(F465="","",MAX(0,F465-M465))</f>
        <v/>
      </c>
      <c r="O465" s="6">
        <f>IF(A465="","",IF(AND(I465&lt;&gt;"",I465&gt;H465),"是",IF(AND(TODAY()&gt;H465,N465&gt;0),"是","否")))</f>
        <v/>
      </c>
      <c r="P465" s="16">
        <f>IF(A465="","",IFERROR(INDEX('激励事件明细'!$P$2:$P$501,IF(D465&lt;&gt;"",MATCH(D465,'激励事件明细'!$A$2:$A$501,0),MATCH(E465,'激励事件明细'!$B$2:$B$501,0))),""))</f>
        <v/>
      </c>
      <c r="Q465" s="6">
        <f>IF(AND(D465="",E465=""),"异常：必须关联事件编号或税额批次",IF(AND(D465&lt;&gt;"",COUNTIF('激励事件明细'!$A$2:$A$501,D465)=0),"异常：事件编号不存在",IF(AND(E465&lt;&gt;"",COUNTIF('激励事件明细'!$B$2:$B$501,E465)=0),"异常：税额批次不存在",IF(M465&gt;F465,"异常：本批次超额缴税",IF(AND(I465&lt;&gt;"",I465&gt;H465),"异常：超过事件截止日",IF(AND(P465&lt;&gt;"",TODAY()&gt;=P465,N465&gt;0),"异常：离职前未缴清","正常"))))))</f>
        <v/>
      </c>
      <c r="R465" s="11" t="n"/>
    </row>
    <row r="466">
      <c r="A466" s="6">
        <f>IF(AND(D466="",E466=""),"",IFERROR(INDEX('激励事件明细'!$C$2:$C$501,IF(D466&lt;&gt;"",MATCH(D466,'激励事件明细'!$A$2:$A$501,0),MATCH(E466,'激励事件明细'!$B$2:$B$501,0))),""))</f>
        <v/>
      </c>
      <c r="B466" s="6">
        <f>IF(A466="","",IFERROR(INDEX('激励事件明细'!$D$2:$D$501,IF(D466&lt;&gt;"",MATCH(D466,'激励事件明细'!$A$2:$A$501,0),MATCH(E466,'激励事件明细'!$B$2:$B$501,0))),""))</f>
        <v/>
      </c>
      <c r="C466" s="6">
        <f>IF(A466="","",IFERROR(INDEX('激励事件明细'!$H$2:$H$501,IF(D466&lt;&gt;"",MATCH(D466,'激励事件明细'!$A$2:$A$501,0),MATCH(E466,'激励事件明细'!$B$2:$B$501,0))),""))</f>
        <v/>
      </c>
      <c r="D466" s="11" t="n"/>
      <c r="E466" s="11" t="n"/>
      <c r="F466" s="14">
        <f>IF(A466="","",IFERROR(INDEX('激励事件明细'!$Z$2:$Z$501,IF(D466&lt;&gt;"",MATCH(D466,'激励事件明细'!$A$2:$A$501,0),MATCH(E466,'激励事件明细'!$B$2:$B$501,0))),""))</f>
        <v/>
      </c>
      <c r="G466" s="16">
        <f>IF(A466="","",IFERROR(INDEX('激励事件明细'!$AA$2:$AA$501,IF(D466&lt;&gt;"",MATCH(D466,'激励事件明细'!$A$2:$A$501,0),MATCH(E466,'激励事件明细'!$B$2:$B$501,0))),""))</f>
        <v/>
      </c>
      <c r="H466" s="16">
        <f>IF(A466="","",IFERROR(INDEX('激励事件明细'!$AB$2:$AB$501,IF(D466&lt;&gt;"",MATCH(D466,'激励事件明细'!$A$2:$A$501,0),MATCH(E466,'激励事件明细'!$B$2:$B$501,0))),""))</f>
        <v/>
      </c>
      <c r="I466" s="12" t="n"/>
      <c r="J466" s="13" t="n"/>
      <c r="K466" s="13" t="n"/>
      <c r="L466" s="11" t="n"/>
      <c r="M466" s="14">
        <f>IF(A466="","",IF(D466&lt;&gt;"",SUMIFS($K$2:$K$501,$D$2:$D$501,D466),SUMIFS($K$2:$K$501,$E$2:$E$501,E466)))</f>
        <v/>
      </c>
      <c r="N466" s="14">
        <f>IF(F466="","",MAX(0,F466-M466))</f>
        <v/>
      </c>
      <c r="O466" s="6">
        <f>IF(A466="","",IF(AND(I466&lt;&gt;"",I466&gt;H466),"是",IF(AND(TODAY()&gt;H466,N466&gt;0),"是","否")))</f>
        <v/>
      </c>
      <c r="P466" s="16">
        <f>IF(A466="","",IFERROR(INDEX('激励事件明细'!$P$2:$P$501,IF(D466&lt;&gt;"",MATCH(D466,'激励事件明细'!$A$2:$A$501,0),MATCH(E466,'激励事件明细'!$B$2:$B$501,0))),""))</f>
        <v/>
      </c>
      <c r="Q466" s="6">
        <f>IF(AND(D466="",E466=""),"异常：必须关联事件编号或税额批次",IF(AND(D466&lt;&gt;"",COUNTIF('激励事件明细'!$A$2:$A$501,D466)=0),"异常：事件编号不存在",IF(AND(E466&lt;&gt;"",COUNTIF('激励事件明细'!$B$2:$B$501,E466)=0),"异常：税额批次不存在",IF(M466&gt;F466,"异常：本批次超额缴税",IF(AND(I466&lt;&gt;"",I466&gt;H466),"异常：超过事件截止日",IF(AND(P466&lt;&gt;"",TODAY()&gt;=P466,N466&gt;0),"异常：离职前未缴清","正常"))))))</f>
        <v/>
      </c>
      <c r="R466" s="11" t="n"/>
    </row>
    <row r="467">
      <c r="A467" s="6">
        <f>IF(AND(D467="",E467=""),"",IFERROR(INDEX('激励事件明细'!$C$2:$C$501,IF(D467&lt;&gt;"",MATCH(D467,'激励事件明细'!$A$2:$A$501,0),MATCH(E467,'激励事件明细'!$B$2:$B$501,0))),""))</f>
        <v/>
      </c>
      <c r="B467" s="6">
        <f>IF(A467="","",IFERROR(INDEX('激励事件明细'!$D$2:$D$501,IF(D467&lt;&gt;"",MATCH(D467,'激励事件明细'!$A$2:$A$501,0),MATCH(E467,'激励事件明细'!$B$2:$B$501,0))),""))</f>
        <v/>
      </c>
      <c r="C467" s="6">
        <f>IF(A467="","",IFERROR(INDEX('激励事件明细'!$H$2:$H$501,IF(D467&lt;&gt;"",MATCH(D467,'激励事件明细'!$A$2:$A$501,0),MATCH(E467,'激励事件明细'!$B$2:$B$501,0))),""))</f>
        <v/>
      </c>
      <c r="D467" s="11" t="n"/>
      <c r="E467" s="11" t="n"/>
      <c r="F467" s="14">
        <f>IF(A467="","",IFERROR(INDEX('激励事件明细'!$Z$2:$Z$501,IF(D467&lt;&gt;"",MATCH(D467,'激励事件明细'!$A$2:$A$501,0),MATCH(E467,'激励事件明细'!$B$2:$B$501,0))),""))</f>
        <v/>
      </c>
      <c r="G467" s="16">
        <f>IF(A467="","",IFERROR(INDEX('激励事件明细'!$AA$2:$AA$501,IF(D467&lt;&gt;"",MATCH(D467,'激励事件明细'!$A$2:$A$501,0),MATCH(E467,'激励事件明细'!$B$2:$B$501,0))),""))</f>
        <v/>
      </c>
      <c r="H467" s="16">
        <f>IF(A467="","",IFERROR(INDEX('激励事件明细'!$AB$2:$AB$501,IF(D467&lt;&gt;"",MATCH(D467,'激励事件明细'!$A$2:$A$501,0),MATCH(E467,'激励事件明细'!$B$2:$B$501,0))),""))</f>
        <v/>
      </c>
      <c r="I467" s="12" t="n"/>
      <c r="J467" s="13" t="n"/>
      <c r="K467" s="13" t="n"/>
      <c r="L467" s="11" t="n"/>
      <c r="M467" s="14">
        <f>IF(A467="","",IF(D467&lt;&gt;"",SUMIFS($K$2:$K$501,$D$2:$D$501,D467),SUMIFS($K$2:$K$501,$E$2:$E$501,E467)))</f>
        <v/>
      </c>
      <c r="N467" s="14">
        <f>IF(F467="","",MAX(0,F467-M467))</f>
        <v/>
      </c>
      <c r="O467" s="6">
        <f>IF(A467="","",IF(AND(I467&lt;&gt;"",I467&gt;H467),"是",IF(AND(TODAY()&gt;H467,N467&gt;0),"是","否")))</f>
        <v/>
      </c>
      <c r="P467" s="16">
        <f>IF(A467="","",IFERROR(INDEX('激励事件明细'!$P$2:$P$501,IF(D467&lt;&gt;"",MATCH(D467,'激励事件明细'!$A$2:$A$501,0),MATCH(E467,'激励事件明细'!$B$2:$B$501,0))),""))</f>
        <v/>
      </c>
      <c r="Q467" s="6">
        <f>IF(AND(D467="",E467=""),"异常：必须关联事件编号或税额批次",IF(AND(D467&lt;&gt;"",COUNTIF('激励事件明细'!$A$2:$A$501,D467)=0),"异常：事件编号不存在",IF(AND(E467&lt;&gt;"",COUNTIF('激励事件明细'!$B$2:$B$501,E467)=0),"异常：税额批次不存在",IF(M467&gt;F467,"异常：本批次超额缴税",IF(AND(I467&lt;&gt;"",I467&gt;H467),"异常：超过事件截止日",IF(AND(P467&lt;&gt;"",TODAY()&gt;=P467,N467&gt;0),"异常：离职前未缴清","正常"))))))</f>
        <v/>
      </c>
      <c r="R467" s="11" t="n"/>
    </row>
    <row r="468">
      <c r="A468" s="6">
        <f>IF(AND(D468="",E468=""),"",IFERROR(INDEX('激励事件明细'!$C$2:$C$501,IF(D468&lt;&gt;"",MATCH(D468,'激励事件明细'!$A$2:$A$501,0),MATCH(E468,'激励事件明细'!$B$2:$B$501,0))),""))</f>
        <v/>
      </c>
      <c r="B468" s="6">
        <f>IF(A468="","",IFERROR(INDEX('激励事件明细'!$D$2:$D$501,IF(D468&lt;&gt;"",MATCH(D468,'激励事件明细'!$A$2:$A$501,0),MATCH(E468,'激励事件明细'!$B$2:$B$501,0))),""))</f>
        <v/>
      </c>
      <c r="C468" s="6">
        <f>IF(A468="","",IFERROR(INDEX('激励事件明细'!$H$2:$H$501,IF(D468&lt;&gt;"",MATCH(D468,'激励事件明细'!$A$2:$A$501,0),MATCH(E468,'激励事件明细'!$B$2:$B$501,0))),""))</f>
        <v/>
      </c>
      <c r="D468" s="11" t="n"/>
      <c r="E468" s="11" t="n"/>
      <c r="F468" s="14">
        <f>IF(A468="","",IFERROR(INDEX('激励事件明细'!$Z$2:$Z$501,IF(D468&lt;&gt;"",MATCH(D468,'激励事件明细'!$A$2:$A$501,0),MATCH(E468,'激励事件明细'!$B$2:$B$501,0))),""))</f>
        <v/>
      </c>
      <c r="G468" s="16">
        <f>IF(A468="","",IFERROR(INDEX('激励事件明细'!$AA$2:$AA$501,IF(D468&lt;&gt;"",MATCH(D468,'激励事件明细'!$A$2:$A$501,0),MATCH(E468,'激励事件明细'!$B$2:$B$501,0))),""))</f>
        <v/>
      </c>
      <c r="H468" s="16">
        <f>IF(A468="","",IFERROR(INDEX('激励事件明细'!$AB$2:$AB$501,IF(D468&lt;&gt;"",MATCH(D468,'激励事件明细'!$A$2:$A$501,0),MATCH(E468,'激励事件明细'!$B$2:$B$501,0))),""))</f>
        <v/>
      </c>
      <c r="I468" s="12" t="n"/>
      <c r="J468" s="13" t="n"/>
      <c r="K468" s="13" t="n"/>
      <c r="L468" s="11" t="n"/>
      <c r="M468" s="14">
        <f>IF(A468="","",IF(D468&lt;&gt;"",SUMIFS($K$2:$K$501,$D$2:$D$501,D468),SUMIFS($K$2:$K$501,$E$2:$E$501,E468)))</f>
        <v/>
      </c>
      <c r="N468" s="14">
        <f>IF(F468="","",MAX(0,F468-M468))</f>
        <v/>
      </c>
      <c r="O468" s="6">
        <f>IF(A468="","",IF(AND(I468&lt;&gt;"",I468&gt;H468),"是",IF(AND(TODAY()&gt;H468,N468&gt;0),"是","否")))</f>
        <v/>
      </c>
      <c r="P468" s="16">
        <f>IF(A468="","",IFERROR(INDEX('激励事件明细'!$P$2:$P$501,IF(D468&lt;&gt;"",MATCH(D468,'激励事件明细'!$A$2:$A$501,0),MATCH(E468,'激励事件明细'!$B$2:$B$501,0))),""))</f>
        <v/>
      </c>
      <c r="Q468" s="6">
        <f>IF(AND(D468="",E468=""),"异常：必须关联事件编号或税额批次",IF(AND(D468&lt;&gt;"",COUNTIF('激励事件明细'!$A$2:$A$501,D468)=0),"异常：事件编号不存在",IF(AND(E468&lt;&gt;"",COUNTIF('激励事件明细'!$B$2:$B$501,E468)=0),"异常：税额批次不存在",IF(M468&gt;F468,"异常：本批次超额缴税",IF(AND(I468&lt;&gt;"",I468&gt;H468),"异常：超过事件截止日",IF(AND(P468&lt;&gt;"",TODAY()&gt;=P468,N468&gt;0),"异常：离职前未缴清","正常"))))))</f>
        <v/>
      </c>
      <c r="R468" s="11" t="n"/>
    </row>
    <row r="469">
      <c r="A469" s="6">
        <f>IF(AND(D469="",E469=""),"",IFERROR(INDEX('激励事件明细'!$C$2:$C$501,IF(D469&lt;&gt;"",MATCH(D469,'激励事件明细'!$A$2:$A$501,0),MATCH(E469,'激励事件明细'!$B$2:$B$501,0))),""))</f>
        <v/>
      </c>
      <c r="B469" s="6">
        <f>IF(A469="","",IFERROR(INDEX('激励事件明细'!$D$2:$D$501,IF(D469&lt;&gt;"",MATCH(D469,'激励事件明细'!$A$2:$A$501,0),MATCH(E469,'激励事件明细'!$B$2:$B$501,0))),""))</f>
        <v/>
      </c>
      <c r="C469" s="6">
        <f>IF(A469="","",IFERROR(INDEX('激励事件明细'!$H$2:$H$501,IF(D469&lt;&gt;"",MATCH(D469,'激励事件明细'!$A$2:$A$501,0),MATCH(E469,'激励事件明细'!$B$2:$B$501,0))),""))</f>
        <v/>
      </c>
      <c r="D469" s="11" t="n"/>
      <c r="E469" s="11" t="n"/>
      <c r="F469" s="14">
        <f>IF(A469="","",IFERROR(INDEX('激励事件明细'!$Z$2:$Z$501,IF(D469&lt;&gt;"",MATCH(D469,'激励事件明细'!$A$2:$A$501,0),MATCH(E469,'激励事件明细'!$B$2:$B$501,0))),""))</f>
        <v/>
      </c>
      <c r="G469" s="16">
        <f>IF(A469="","",IFERROR(INDEX('激励事件明细'!$AA$2:$AA$501,IF(D469&lt;&gt;"",MATCH(D469,'激励事件明细'!$A$2:$A$501,0),MATCH(E469,'激励事件明细'!$B$2:$B$501,0))),""))</f>
        <v/>
      </c>
      <c r="H469" s="16">
        <f>IF(A469="","",IFERROR(INDEX('激励事件明细'!$AB$2:$AB$501,IF(D469&lt;&gt;"",MATCH(D469,'激励事件明细'!$A$2:$A$501,0),MATCH(E469,'激励事件明细'!$B$2:$B$501,0))),""))</f>
        <v/>
      </c>
      <c r="I469" s="12" t="n"/>
      <c r="J469" s="13" t="n"/>
      <c r="K469" s="13" t="n"/>
      <c r="L469" s="11" t="n"/>
      <c r="M469" s="14">
        <f>IF(A469="","",IF(D469&lt;&gt;"",SUMIFS($K$2:$K$501,$D$2:$D$501,D469),SUMIFS($K$2:$K$501,$E$2:$E$501,E469)))</f>
        <v/>
      </c>
      <c r="N469" s="14">
        <f>IF(F469="","",MAX(0,F469-M469))</f>
        <v/>
      </c>
      <c r="O469" s="6">
        <f>IF(A469="","",IF(AND(I469&lt;&gt;"",I469&gt;H469),"是",IF(AND(TODAY()&gt;H469,N469&gt;0),"是","否")))</f>
        <v/>
      </c>
      <c r="P469" s="16">
        <f>IF(A469="","",IFERROR(INDEX('激励事件明细'!$P$2:$P$501,IF(D469&lt;&gt;"",MATCH(D469,'激励事件明细'!$A$2:$A$501,0),MATCH(E469,'激励事件明细'!$B$2:$B$501,0))),""))</f>
        <v/>
      </c>
      <c r="Q469" s="6">
        <f>IF(AND(D469="",E469=""),"异常：必须关联事件编号或税额批次",IF(AND(D469&lt;&gt;"",COUNTIF('激励事件明细'!$A$2:$A$501,D469)=0),"异常：事件编号不存在",IF(AND(E469&lt;&gt;"",COUNTIF('激励事件明细'!$B$2:$B$501,E469)=0),"异常：税额批次不存在",IF(M469&gt;F469,"异常：本批次超额缴税",IF(AND(I469&lt;&gt;"",I469&gt;H469),"异常：超过事件截止日",IF(AND(P469&lt;&gt;"",TODAY()&gt;=P469,N469&gt;0),"异常：离职前未缴清","正常"))))))</f>
        <v/>
      </c>
      <c r="R469" s="11" t="n"/>
    </row>
    <row r="470">
      <c r="A470" s="6">
        <f>IF(AND(D470="",E470=""),"",IFERROR(INDEX('激励事件明细'!$C$2:$C$501,IF(D470&lt;&gt;"",MATCH(D470,'激励事件明细'!$A$2:$A$501,0),MATCH(E470,'激励事件明细'!$B$2:$B$501,0))),""))</f>
        <v/>
      </c>
      <c r="B470" s="6">
        <f>IF(A470="","",IFERROR(INDEX('激励事件明细'!$D$2:$D$501,IF(D470&lt;&gt;"",MATCH(D470,'激励事件明细'!$A$2:$A$501,0),MATCH(E470,'激励事件明细'!$B$2:$B$501,0))),""))</f>
        <v/>
      </c>
      <c r="C470" s="6">
        <f>IF(A470="","",IFERROR(INDEX('激励事件明细'!$H$2:$H$501,IF(D470&lt;&gt;"",MATCH(D470,'激励事件明细'!$A$2:$A$501,0),MATCH(E470,'激励事件明细'!$B$2:$B$501,0))),""))</f>
        <v/>
      </c>
      <c r="D470" s="11" t="n"/>
      <c r="E470" s="11" t="n"/>
      <c r="F470" s="14">
        <f>IF(A470="","",IFERROR(INDEX('激励事件明细'!$Z$2:$Z$501,IF(D470&lt;&gt;"",MATCH(D470,'激励事件明细'!$A$2:$A$501,0),MATCH(E470,'激励事件明细'!$B$2:$B$501,0))),""))</f>
        <v/>
      </c>
      <c r="G470" s="16">
        <f>IF(A470="","",IFERROR(INDEX('激励事件明细'!$AA$2:$AA$501,IF(D470&lt;&gt;"",MATCH(D470,'激励事件明细'!$A$2:$A$501,0),MATCH(E470,'激励事件明细'!$B$2:$B$501,0))),""))</f>
        <v/>
      </c>
      <c r="H470" s="16">
        <f>IF(A470="","",IFERROR(INDEX('激励事件明细'!$AB$2:$AB$501,IF(D470&lt;&gt;"",MATCH(D470,'激励事件明细'!$A$2:$A$501,0),MATCH(E470,'激励事件明细'!$B$2:$B$501,0))),""))</f>
        <v/>
      </c>
      <c r="I470" s="12" t="n"/>
      <c r="J470" s="13" t="n"/>
      <c r="K470" s="13" t="n"/>
      <c r="L470" s="11" t="n"/>
      <c r="M470" s="14">
        <f>IF(A470="","",IF(D470&lt;&gt;"",SUMIFS($K$2:$K$501,$D$2:$D$501,D470),SUMIFS($K$2:$K$501,$E$2:$E$501,E470)))</f>
        <v/>
      </c>
      <c r="N470" s="14">
        <f>IF(F470="","",MAX(0,F470-M470))</f>
        <v/>
      </c>
      <c r="O470" s="6">
        <f>IF(A470="","",IF(AND(I470&lt;&gt;"",I470&gt;H470),"是",IF(AND(TODAY()&gt;H470,N470&gt;0),"是","否")))</f>
        <v/>
      </c>
      <c r="P470" s="16">
        <f>IF(A470="","",IFERROR(INDEX('激励事件明细'!$P$2:$P$501,IF(D470&lt;&gt;"",MATCH(D470,'激励事件明细'!$A$2:$A$501,0),MATCH(E470,'激励事件明细'!$B$2:$B$501,0))),""))</f>
        <v/>
      </c>
      <c r="Q470" s="6">
        <f>IF(AND(D470="",E470=""),"异常：必须关联事件编号或税额批次",IF(AND(D470&lt;&gt;"",COUNTIF('激励事件明细'!$A$2:$A$501,D470)=0),"异常：事件编号不存在",IF(AND(E470&lt;&gt;"",COUNTIF('激励事件明细'!$B$2:$B$501,E470)=0),"异常：税额批次不存在",IF(M470&gt;F470,"异常：本批次超额缴税",IF(AND(I470&lt;&gt;"",I470&gt;H470),"异常：超过事件截止日",IF(AND(P470&lt;&gt;"",TODAY()&gt;=P470,N470&gt;0),"异常：离职前未缴清","正常"))))))</f>
        <v/>
      </c>
      <c r="R470" s="11" t="n"/>
    </row>
    <row r="471">
      <c r="A471" s="6">
        <f>IF(AND(D471="",E471=""),"",IFERROR(INDEX('激励事件明细'!$C$2:$C$501,IF(D471&lt;&gt;"",MATCH(D471,'激励事件明细'!$A$2:$A$501,0),MATCH(E471,'激励事件明细'!$B$2:$B$501,0))),""))</f>
        <v/>
      </c>
      <c r="B471" s="6">
        <f>IF(A471="","",IFERROR(INDEX('激励事件明细'!$D$2:$D$501,IF(D471&lt;&gt;"",MATCH(D471,'激励事件明细'!$A$2:$A$501,0),MATCH(E471,'激励事件明细'!$B$2:$B$501,0))),""))</f>
        <v/>
      </c>
      <c r="C471" s="6">
        <f>IF(A471="","",IFERROR(INDEX('激励事件明细'!$H$2:$H$501,IF(D471&lt;&gt;"",MATCH(D471,'激励事件明细'!$A$2:$A$501,0),MATCH(E471,'激励事件明细'!$B$2:$B$501,0))),""))</f>
        <v/>
      </c>
      <c r="D471" s="11" t="n"/>
      <c r="E471" s="11" t="n"/>
      <c r="F471" s="14">
        <f>IF(A471="","",IFERROR(INDEX('激励事件明细'!$Z$2:$Z$501,IF(D471&lt;&gt;"",MATCH(D471,'激励事件明细'!$A$2:$A$501,0),MATCH(E471,'激励事件明细'!$B$2:$B$501,0))),""))</f>
        <v/>
      </c>
      <c r="G471" s="16">
        <f>IF(A471="","",IFERROR(INDEX('激励事件明细'!$AA$2:$AA$501,IF(D471&lt;&gt;"",MATCH(D471,'激励事件明细'!$A$2:$A$501,0),MATCH(E471,'激励事件明细'!$B$2:$B$501,0))),""))</f>
        <v/>
      </c>
      <c r="H471" s="16">
        <f>IF(A471="","",IFERROR(INDEX('激励事件明细'!$AB$2:$AB$501,IF(D471&lt;&gt;"",MATCH(D471,'激励事件明细'!$A$2:$A$501,0),MATCH(E471,'激励事件明细'!$B$2:$B$501,0))),""))</f>
        <v/>
      </c>
      <c r="I471" s="12" t="n"/>
      <c r="J471" s="13" t="n"/>
      <c r="K471" s="13" t="n"/>
      <c r="L471" s="11" t="n"/>
      <c r="M471" s="14">
        <f>IF(A471="","",IF(D471&lt;&gt;"",SUMIFS($K$2:$K$501,$D$2:$D$501,D471),SUMIFS($K$2:$K$501,$E$2:$E$501,E471)))</f>
        <v/>
      </c>
      <c r="N471" s="14">
        <f>IF(F471="","",MAX(0,F471-M471))</f>
        <v/>
      </c>
      <c r="O471" s="6">
        <f>IF(A471="","",IF(AND(I471&lt;&gt;"",I471&gt;H471),"是",IF(AND(TODAY()&gt;H471,N471&gt;0),"是","否")))</f>
        <v/>
      </c>
      <c r="P471" s="16">
        <f>IF(A471="","",IFERROR(INDEX('激励事件明细'!$P$2:$P$501,IF(D471&lt;&gt;"",MATCH(D471,'激励事件明细'!$A$2:$A$501,0),MATCH(E471,'激励事件明细'!$B$2:$B$501,0))),""))</f>
        <v/>
      </c>
      <c r="Q471" s="6">
        <f>IF(AND(D471="",E471=""),"异常：必须关联事件编号或税额批次",IF(AND(D471&lt;&gt;"",COUNTIF('激励事件明细'!$A$2:$A$501,D471)=0),"异常：事件编号不存在",IF(AND(E471&lt;&gt;"",COUNTIF('激励事件明细'!$B$2:$B$501,E471)=0),"异常：税额批次不存在",IF(M471&gt;F471,"异常：本批次超额缴税",IF(AND(I471&lt;&gt;"",I471&gt;H471),"异常：超过事件截止日",IF(AND(P471&lt;&gt;"",TODAY()&gt;=P471,N471&gt;0),"异常：离职前未缴清","正常"))))))</f>
        <v/>
      </c>
      <c r="R471" s="11" t="n"/>
    </row>
    <row r="472">
      <c r="A472" s="6">
        <f>IF(AND(D472="",E472=""),"",IFERROR(INDEX('激励事件明细'!$C$2:$C$501,IF(D472&lt;&gt;"",MATCH(D472,'激励事件明细'!$A$2:$A$501,0),MATCH(E472,'激励事件明细'!$B$2:$B$501,0))),""))</f>
        <v/>
      </c>
      <c r="B472" s="6">
        <f>IF(A472="","",IFERROR(INDEX('激励事件明细'!$D$2:$D$501,IF(D472&lt;&gt;"",MATCH(D472,'激励事件明细'!$A$2:$A$501,0),MATCH(E472,'激励事件明细'!$B$2:$B$501,0))),""))</f>
        <v/>
      </c>
      <c r="C472" s="6">
        <f>IF(A472="","",IFERROR(INDEX('激励事件明细'!$H$2:$H$501,IF(D472&lt;&gt;"",MATCH(D472,'激励事件明细'!$A$2:$A$501,0),MATCH(E472,'激励事件明细'!$B$2:$B$501,0))),""))</f>
        <v/>
      </c>
      <c r="D472" s="11" t="n"/>
      <c r="E472" s="11" t="n"/>
      <c r="F472" s="14">
        <f>IF(A472="","",IFERROR(INDEX('激励事件明细'!$Z$2:$Z$501,IF(D472&lt;&gt;"",MATCH(D472,'激励事件明细'!$A$2:$A$501,0),MATCH(E472,'激励事件明细'!$B$2:$B$501,0))),""))</f>
        <v/>
      </c>
      <c r="G472" s="16">
        <f>IF(A472="","",IFERROR(INDEX('激励事件明细'!$AA$2:$AA$501,IF(D472&lt;&gt;"",MATCH(D472,'激励事件明细'!$A$2:$A$501,0),MATCH(E472,'激励事件明细'!$B$2:$B$501,0))),""))</f>
        <v/>
      </c>
      <c r="H472" s="16">
        <f>IF(A472="","",IFERROR(INDEX('激励事件明细'!$AB$2:$AB$501,IF(D472&lt;&gt;"",MATCH(D472,'激励事件明细'!$A$2:$A$501,0),MATCH(E472,'激励事件明细'!$B$2:$B$501,0))),""))</f>
        <v/>
      </c>
      <c r="I472" s="12" t="n"/>
      <c r="J472" s="13" t="n"/>
      <c r="K472" s="13" t="n"/>
      <c r="L472" s="11" t="n"/>
      <c r="M472" s="14">
        <f>IF(A472="","",IF(D472&lt;&gt;"",SUMIFS($K$2:$K$501,$D$2:$D$501,D472),SUMIFS($K$2:$K$501,$E$2:$E$501,E472)))</f>
        <v/>
      </c>
      <c r="N472" s="14">
        <f>IF(F472="","",MAX(0,F472-M472))</f>
        <v/>
      </c>
      <c r="O472" s="6">
        <f>IF(A472="","",IF(AND(I472&lt;&gt;"",I472&gt;H472),"是",IF(AND(TODAY()&gt;H472,N472&gt;0),"是","否")))</f>
        <v/>
      </c>
      <c r="P472" s="16">
        <f>IF(A472="","",IFERROR(INDEX('激励事件明细'!$P$2:$P$501,IF(D472&lt;&gt;"",MATCH(D472,'激励事件明细'!$A$2:$A$501,0),MATCH(E472,'激励事件明细'!$B$2:$B$501,0))),""))</f>
        <v/>
      </c>
      <c r="Q472" s="6">
        <f>IF(AND(D472="",E472=""),"异常：必须关联事件编号或税额批次",IF(AND(D472&lt;&gt;"",COUNTIF('激励事件明细'!$A$2:$A$501,D472)=0),"异常：事件编号不存在",IF(AND(E472&lt;&gt;"",COUNTIF('激励事件明细'!$B$2:$B$501,E472)=0),"异常：税额批次不存在",IF(M472&gt;F472,"异常：本批次超额缴税",IF(AND(I472&lt;&gt;"",I472&gt;H472),"异常：超过事件截止日",IF(AND(P472&lt;&gt;"",TODAY()&gt;=P472,N472&gt;0),"异常：离职前未缴清","正常"))))))</f>
        <v/>
      </c>
      <c r="R472" s="11" t="n"/>
    </row>
    <row r="473">
      <c r="A473" s="6">
        <f>IF(AND(D473="",E473=""),"",IFERROR(INDEX('激励事件明细'!$C$2:$C$501,IF(D473&lt;&gt;"",MATCH(D473,'激励事件明细'!$A$2:$A$501,0),MATCH(E473,'激励事件明细'!$B$2:$B$501,0))),""))</f>
        <v/>
      </c>
      <c r="B473" s="6">
        <f>IF(A473="","",IFERROR(INDEX('激励事件明细'!$D$2:$D$501,IF(D473&lt;&gt;"",MATCH(D473,'激励事件明细'!$A$2:$A$501,0),MATCH(E473,'激励事件明细'!$B$2:$B$501,0))),""))</f>
        <v/>
      </c>
      <c r="C473" s="6">
        <f>IF(A473="","",IFERROR(INDEX('激励事件明细'!$H$2:$H$501,IF(D473&lt;&gt;"",MATCH(D473,'激励事件明细'!$A$2:$A$501,0),MATCH(E473,'激励事件明细'!$B$2:$B$501,0))),""))</f>
        <v/>
      </c>
      <c r="D473" s="11" t="n"/>
      <c r="E473" s="11" t="n"/>
      <c r="F473" s="14">
        <f>IF(A473="","",IFERROR(INDEX('激励事件明细'!$Z$2:$Z$501,IF(D473&lt;&gt;"",MATCH(D473,'激励事件明细'!$A$2:$A$501,0),MATCH(E473,'激励事件明细'!$B$2:$B$501,0))),""))</f>
        <v/>
      </c>
      <c r="G473" s="16">
        <f>IF(A473="","",IFERROR(INDEX('激励事件明细'!$AA$2:$AA$501,IF(D473&lt;&gt;"",MATCH(D473,'激励事件明细'!$A$2:$A$501,0),MATCH(E473,'激励事件明细'!$B$2:$B$501,0))),""))</f>
        <v/>
      </c>
      <c r="H473" s="16">
        <f>IF(A473="","",IFERROR(INDEX('激励事件明细'!$AB$2:$AB$501,IF(D473&lt;&gt;"",MATCH(D473,'激励事件明细'!$A$2:$A$501,0),MATCH(E473,'激励事件明细'!$B$2:$B$501,0))),""))</f>
        <v/>
      </c>
      <c r="I473" s="12" t="n"/>
      <c r="J473" s="13" t="n"/>
      <c r="K473" s="13" t="n"/>
      <c r="L473" s="11" t="n"/>
      <c r="M473" s="14">
        <f>IF(A473="","",IF(D473&lt;&gt;"",SUMIFS($K$2:$K$501,$D$2:$D$501,D473),SUMIFS($K$2:$K$501,$E$2:$E$501,E473)))</f>
        <v/>
      </c>
      <c r="N473" s="14">
        <f>IF(F473="","",MAX(0,F473-M473))</f>
        <v/>
      </c>
      <c r="O473" s="6">
        <f>IF(A473="","",IF(AND(I473&lt;&gt;"",I473&gt;H473),"是",IF(AND(TODAY()&gt;H473,N473&gt;0),"是","否")))</f>
        <v/>
      </c>
      <c r="P473" s="16">
        <f>IF(A473="","",IFERROR(INDEX('激励事件明细'!$P$2:$P$501,IF(D473&lt;&gt;"",MATCH(D473,'激励事件明细'!$A$2:$A$501,0),MATCH(E473,'激励事件明细'!$B$2:$B$501,0))),""))</f>
        <v/>
      </c>
      <c r="Q473" s="6">
        <f>IF(AND(D473="",E473=""),"异常：必须关联事件编号或税额批次",IF(AND(D473&lt;&gt;"",COUNTIF('激励事件明细'!$A$2:$A$501,D473)=0),"异常：事件编号不存在",IF(AND(E473&lt;&gt;"",COUNTIF('激励事件明细'!$B$2:$B$501,E473)=0),"异常：税额批次不存在",IF(M473&gt;F473,"异常：本批次超额缴税",IF(AND(I473&lt;&gt;"",I473&gt;H473),"异常：超过事件截止日",IF(AND(P473&lt;&gt;"",TODAY()&gt;=P473,N473&gt;0),"异常：离职前未缴清","正常"))))))</f>
        <v/>
      </c>
      <c r="R473" s="11" t="n"/>
    </row>
    <row r="474">
      <c r="A474" s="6">
        <f>IF(AND(D474="",E474=""),"",IFERROR(INDEX('激励事件明细'!$C$2:$C$501,IF(D474&lt;&gt;"",MATCH(D474,'激励事件明细'!$A$2:$A$501,0),MATCH(E474,'激励事件明细'!$B$2:$B$501,0))),""))</f>
        <v/>
      </c>
      <c r="B474" s="6">
        <f>IF(A474="","",IFERROR(INDEX('激励事件明细'!$D$2:$D$501,IF(D474&lt;&gt;"",MATCH(D474,'激励事件明细'!$A$2:$A$501,0),MATCH(E474,'激励事件明细'!$B$2:$B$501,0))),""))</f>
        <v/>
      </c>
      <c r="C474" s="6">
        <f>IF(A474="","",IFERROR(INDEX('激励事件明细'!$H$2:$H$501,IF(D474&lt;&gt;"",MATCH(D474,'激励事件明细'!$A$2:$A$501,0),MATCH(E474,'激励事件明细'!$B$2:$B$501,0))),""))</f>
        <v/>
      </c>
      <c r="D474" s="11" t="n"/>
      <c r="E474" s="11" t="n"/>
      <c r="F474" s="14">
        <f>IF(A474="","",IFERROR(INDEX('激励事件明细'!$Z$2:$Z$501,IF(D474&lt;&gt;"",MATCH(D474,'激励事件明细'!$A$2:$A$501,0),MATCH(E474,'激励事件明细'!$B$2:$B$501,0))),""))</f>
        <v/>
      </c>
      <c r="G474" s="16">
        <f>IF(A474="","",IFERROR(INDEX('激励事件明细'!$AA$2:$AA$501,IF(D474&lt;&gt;"",MATCH(D474,'激励事件明细'!$A$2:$A$501,0),MATCH(E474,'激励事件明细'!$B$2:$B$501,0))),""))</f>
        <v/>
      </c>
      <c r="H474" s="16">
        <f>IF(A474="","",IFERROR(INDEX('激励事件明细'!$AB$2:$AB$501,IF(D474&lt;&gt;"",MATCH(D474,'激励事件明细'!$A$2:$A$501,0),MATCH(E474,'激励事件明细'!$B$2:$B$501,0))),""))</f>
        <v/>
      </c>
      <c r="I474" s="12" t="n"/>
      <c r="J474" s="13" t="n"/>
      <c r="K474" s="13" t="n"/>
      <c r="L474" s="11" t="n"/>
      <c r="M474" s="14">
        <f>IF(A474="","",IF(D474&lt;&gt;"",SUMIFS($K$2:$K$501,$D$2:$D$501,D474),SUMIFS($K$2:$K$501,$E$2:$E$501,E474)))</f>
        <v/>
      </c>
      <c r="N474" s="14">
        <f>IF(F474="","",MAX(0,F474-M474))</f>
        <v/>
      </c>
      <c r="O474" s="6">
        <f>IF(A474="","",IF(AND(I474&lt;&gt;"",I474&gt;H474),"是",IF(AND(TODAY()&gt;H474,N474&gt;0),"是","否")))</f>
        <v/>
      </c>
      <c r="P474" s="16">
        <f>IF(A474="","",IFERROR(INDEX('激励事件明细'!$P$2:$P$501,IF(D474&lt;&gt;"",MATCH(D474,'激励事件明细'!$A$2:$A$501,0),MATCH(E474,'激励事件明细'!$B$2:$B$501,0))),""))</f>
        <v/>
      </c>
      <c r="Q474" s="6">
        <f>IF(AND(D474="",E474=""),"异常：必须关联事件编号或税额批次",IF(AND(D474&lt;&gt;"",COUNTIF('激励事件明细'!$A$2:$A$501,D474)=0),"异常：事件编号不存在",IF(AND(E474&lt;&gt;"",COUNTIF('激励事件明细'!$B$2:$B$501,E474)=0),"异常：税额批次不存在",IF(M474&gt;F474,"异常：本批次超额缴税",IF(AND(I474&lt;&gt;"",I474&gt;H474),"异常：超过事件截止日",IF(AND(P474&lt;&gt;"",TODAY()&gt;=P474,N474&gt;0),"异常：离职前未缴清","正常"))))))</f>
        <v/>
      </c>
      <c r="R474" s="11" t="n"/>
    </row>
    <row r="475">
      <c r="A475" s="6">
        <f>IF(AND(D475="",E475=""),"",IFERROR(INDEX('激励事件明细'!$C$2:$C$501,IF(D475&lt;&gt;"",MATCH(D475,'激励事件明细'!$A$2:$A$501,0),MATCH(E475,'激励事件明细'!$B$2:$B$501,0))),""))</f>
        <v/>
      </c>
      <c r="B475" s="6">
        <f>IF(A475="","",IFERROR(INDEX('激励事件明细'!$D$2:$D$501,IF(D475&lt;&gt;"",MATCH(D475,'激励事件明细'!$A$2:$A$501,0),MATCH(E475,'激励事件明细'!$B$2:$B$501,0))),""))</f>
        <v/>
      </c>
      <c r="C475" s="6">
        <f>IF(A475="","",IFERROR(INDEX('激励事件明细'!$H$2:$H$501,IF(D475&lt;&gt;"",MATCH(D475,'激励事件明细'!$A$2:$A$501,0),MATCH(E475,'激励事件明细'!$B$2:$B$501,0))),""))</f>
        <v/>
      </c>
      <c r="D475" s="11" t="n"/>
      <c r="E475" s="11" t="n"/>
      <c r="F475" s="14">
        <f>IF(A475="","",IFERROR(INDEX('激励事件明细'!$Z$2:$Z$501,IF(D475&lt;&gt;"",MATCH(D475,'激励事件明细'!$A$2:$A$501,0),MATCH(E475,'激励事件明细'!$B$2:$B$501,0))),""))</f>
        <v/>
      </c>
      <c r="G475" s="16">
        <f>IF(A475="","",IFERROR(INDEX('激励事件明细'!$AA$2:$AA$501,IF(D475&lt;&gt;"",MATCH(D475,'激励事件明细'!$A$2:$A$501,0),MATCH(E475,'激励事件明细'!$B$2:$B$501,0))),""))</f>
        <v/>
      </c>
      <c r="H475" s="16">
        <f>IF(A475="","",IFERROR(INDEX('激励事件明细'!$AB$2:$AB$501,IF(D475&lt;&gt;"",MATCH(D475,'激励事件明细'!$A$2:$A$501,0),MATCH(E475,'激励事件明细'!$B$2:$B$501,0))),""))</f>
        <v/>
      </c>
      <c r="I475" s="12" t="n"/>
      <c r="J475" s="13" t="n"/>
      <c r="K475" s="13" t="n"/>
      <c r="L475" s="11" t="n"/>
      <c r="M475" s="14">
        <f>IF(A475="","",IF(D475&lt;&gt;"",SUMIFS($K$2:$K$501,$D$2:$D$501,D475),SUMIFS($K$2:$K$501,$E$2:$E$501,E475)))</f>
        <v/>
      </c>
      <c r="N475" s="14">
        <f>IF(F475="","",MAX(0,F475-M475))</f>
        <v/>
      </c>
      <c r="O475" s="6">
        <f>IF(A475="","",IF(AND(I475&lt;&gt;"",I475&gt;H475),"是",IF(AND(TODAY()&gt;H475,N475&gt;0),"是","否")))</f>
        <v/>
      </c>
      <c r="P475" s="16">
        <f>IF(A475="","",IFERROR(INDEX('激励事件明细'!$P$2:$P$501,IF(D475&lt;&gt;"",MATCH(D475,'激励事件明细'!$A$2:$A$501,0),MATCH(E475,'激励事件明细'!$B$2:$B$501,0))),""))</f>
        <v/>
      </c>
      <c r="Q475" s="6">
        <f>IF(AND(D475="",E475=""),"异常：必须关联事件编号或税额批次",IF(AND(D475&lt;&gt;"",COUNTIF('激励事件明细'!$A$2:$A$501,D475)=0),"异常：事件编号不存在",IF(AND(E475&lt;&gt;"",COUNTIF('激励事件明细'!$B$2:$B$501,E475)=0),"异常：税额批次不存在",IF(M475&gt;F475,"异常：本批次超额缴税",IF(AND(I475&lt;&gt;"",I475&gt;H475),"异常：超过事件截止日",IF(AND(P475&lt;&gt;"",TODAY()&gt;=P475,N475&gt;0),"异常：离职前未缴清","正常"))))))</f>
        <v/>
      </c>
      <c r="R475" s="11" t="n"/>
    </row>
    <row r="476">
      <c r="A476" s="6">
        <f>IF(AND(D476="",E476=""),"",IFERROR(INDEX('激励事件明细'!$C$2:$C$501,IF(D476&lt;&gt;"",MATCH(D476,'激励事件明细'!$A$2:$A$501,0),MATCH(E476,'激励事件明细'!$B$2:$B$501,0))),""))</f>
        <v/>
      </c>
      <c r="B476" s="6">
        <f>IF(A476="","",IFERROR(INDEX('激励事件明细'!$D$2:$D$501,IF(D476&lt;&gt;"",MATCH(D476,'激励事件明细'!$A$2:$A$501,0),MATCH(E476,'激励事件明细'!$B$2:$B$501,0))),""))</f>
        <v/>
      </c>
      <c r="C476" s="6">
        <f>IF(A476="","",IFERROR(INDEX('激励事件明细'!$H$2:$H$501,IF(D476&lt;&gt;"",MATCH(D476,'激励事件明细'!$A$2:$A$501,0),MATCH(E476,'激励事件明细'!$B$2:$B$501,0))),""))</f>
        <v/>
      </c>
      <c r="D476" s="11" t="n"/>
      <c r="E476" s="11" t="n"/>
      <c r="F476" s="14">
        <f>IF(A476="","",IFERROR(INDEX('激励事件明细'!$Z$2:$Z$501,IF(D476&lt;&gt;"",MATCH(D476,'激励事件明细'!$A$2:$A$501,0),MATCH(E476,'激励事件明细'!$B$2:$B$501,0))),""))</f>
        <v/>
      </c>
      <c r="G476" s="16">
        <f>IF(A476="","",IFERROR(INDEX('激励事件明细'!$AA$2:$AA$501,IF(D476&lt;&gt;"",MATCH(D476,'激励事件明细'!$A$2:$A$501,0),MATCH(E476,'激励事件明细'!$B$2:$B$501,0))),""))</f>
        <v/>
      </c>
      <c r="H476" s="16">
        <f>IF(A476="","",IFERROR(INDEX('激励事件明细'!$AB$2:$AB$501,IF(D476&lt;&gt;"",MATCH(D476,'激励事件明细'!$A$2:$A$501,0),MATCH(E476,'激励事件明细'!$B$2:$B$501,0))),""))</f>
        <v/>
      </c>
      <c r="I476" s="12" t="n"/>
      <c r="J476" s="13" t="n"/>
      <c r="K476" s="13" t="n"/>
      <c r="L476" s="11" t="n"/>
      <c r="M476" s="14">
        <f>IF(A476="","",IF(D476&lt;&gt;"",SUMIFS($K$2:$K$501,$D$2:$D$501,D476),SUMIFS($K$2:$K$501,$E$2:$E$501,E476)))</f>
        <v/>
      </c>
      <c r="N476" s="14">
        <f>IF(F476="","",MAX(0,F476-M476))</f>
        <v/>
      </c>
      <c r="O476" s="6">
        <f>IF(A476="","",IF(AND(I476&lt;&gt;"",I476&gt;H476),"是",IF(AND(TODAY()&gt;H476,N476&gt;0),"是","否")))</f>
        <v/>
      </c>
      <c r="P476" s="16">
        <f>IF(A476="","",IFERROR(INDEX('激励事件明细'!$P$2:$P$501,IF(D476&lt;&gt;"",MATCH(D476,'激励事件明细'!$A$2:$A$501,0),MATCH(E476,'激励事件明细'!$B$2:$B$501,0))),""))</f>
        <v/>
      </c>
      <c r="Q476" s="6">
        <f>IF(AND(D476="",E476=""),"异常：必须关联事件编号或税额批次",IF(AND(D476&lt;&gt;"",COUNTIF('激励事件明细'!$A$2:$A$501,D476)=0),"异常：事件编号不存在",IF(AND(E476&lt;&gt;"",COUNTIF('激励事件明细'!$B$2:$B$501,E476)=0),"异常：税额批次不存在",IF(M476&gt;F476,"异常：本批次超额缴税",IF(AND(I476&lt;&gt;"",I476&gt;H476),"异常：超过事件截止日",IF(AND(P476&lt;&gt;"",TODAY()&gt;=P476,N476&gt;0),"异常：离职前未缴清","正常"))))))</f>
        <v/>
      </c>
      <c r="R476" s="11" t="n"/>
    </row>
    <row r="477">
      <c r="A477" s="6">
        <f>IF(AND(D477="",E477=""),"",IFERROR(INDEX('激励事件明细'!$C$2:$C$501,IF(D477&lt;&gt;"",MATCH(D477,'激励事件明细'!$A$2:$A$501,0),MATCH(E477,'激励事件明细'!$B$2:$B$501,0))),""))</f>
        <v/>
      </c>
      <c r="B477" s="6">
        <f>IF(A477="","",IFERROR(INDEX('激励事件明细'!$D$2:$D$501,IF(D477&lt;&gt;"",MATCH(D477,'激励事件明细'!$A$2:$A$501,0),MATCH(E477,'激励事件明细'!$B$2:$B$501,0))),""))</f>
        <v/>
      </c>
      <c r="C477" s="6">
        <f>IF(A477="","",IFERROR(INDEX('激励事件明细'!$H$2:$H$501,IF(D477&lt;&gt;"",MATCH(D477,'激励事件明细'!$A$2:$A$501,0),MATCH(E477,'激励事件明细'!$B$2:$B$501,0))),""))</f>
        <v/>
      </c>
      <c r="D477" s="11" t="n"/>
      <c r="E477" s="11" t="n"/>
      <c r="F477" s="14">
        <f>IF(A477="","",IFERROR(INDEX('激励事件明细'!$Z$2:$Z$501,IF(D477&lt;&gt;"",MATCH(D477,'激励事件明细'!$A$2:$A$501,0),MATCH(E477,'激励事件明细'!$B$2:$B$501,0))),""))</f>
        <v/>
      </c>
      <c r="G477" s="16">
        <f>IF(A477="","",IFERROR(INDEX('激励事件明细'!$AA$2:$AA$501,IF(D477&lt;&gt;"",MATCH(D477,'激励事件明细'!$A$2:$A$501,0),MATCH(E477,'激励事件明细'!$B$2:$B$501,0))),""))</f>
        <v/>
      </c>
      <c r="H477" s="16">
        <f>IF(A477="","",IFERROR(INDEX('激励事件明细'!$AB$2:$AB$501,IF(D477&lt;&gt;"",MATCH(D477,'激励事件明细'!$A$2:$A$501,0),MATCH(E477,'激励事件明细'!$B$2:$B$501,0))),""))</f>
        <v/>
      </c>
      <c r="I477" s="12" t="n"/>
      <c r="J477" s="13" t="n"/>
      <c r="K477" s="13" t="n"/>
      <c r="L477" s="11" t="n"/>
      <c r="M477" s="14">
        <f>IF(A477="","",IF(D477&lt;&gt;"",SUMIFS($K$2:$K$501,$D$2:$D$501,D477),SUMIFS($K$2:$K$501,$E$2:$E$501,E477)))</f>
        <v/>
      </c>
      <c r="N477" s="14">
        <f>IF(F477="","",MAX(0,F477-M477))</f>
        <v/>
      </c>
      <c r="O477" s="6">
        <f>IF(A477="","",IF(AND(I477&lt;&gt;"",I477&gt;H477),"是",IF(AND(TODAY()&gt;H477,N477&gt;0),"是","否")))</f>
        <v/>
      </c>
      <c r="P477" s="16">
        <f>IF(A477="","",IFERROR(INDEX('激励事件明细'!$P$2:$P$501,IF(D477&lt;&gt;"",MATCH(D477,'激励事件明细'!$A$2:$A$501,0),MATCH(E477,'激励事件明细'!$B$2:$B$501,0))),""))</f>
        <v/>
      </c>
      <c r="Q477" s="6">
        <f>IF(AND(D477="",E477=""),"异常：必须关联事件编号或税额批次",IF(AND(D477&lt;&gt;"",COUNTIF('激励事件明细'!$A$2:$A$501,D477)=0),"异常：事件编号不存在",IF(AND(E477&lt;&gt;"",COUNTIF('激励事件明细'!$B$2:$B$501,E477)=0),"异常：税额批次不存在",IF(M477&gt;F477,"异常：本批次超额缴税",IF(AND(I477&lt;&gt;"",I477&gt;H477),"异常：超过事件截止日",IF(AND(P477&lt;&gt;"",TODAY()&gt;=P477,N477&gt;0),"异常：离职前未缴清","正常"))))))</f>
        <v/>
      </c>
      <c r="R477" s="11" t="n"/>
    </row>
    <row r="478">
      <c r="A478" s="6">
        <f>IF(AND(D478="",E478=""),"",IFERROR(INDEX('激励事件明细'!$C$2:$C$501,IF(D478&lt;&gt;"",MATCH(D478,'激励事件明细'!$A$2:$A$501,0),MATCH(E478,'激励事件明细'!$B$2:$B$501,0))),""))</f>
        <v/>
      </c>
      <c r="B478" s="6">
        <f>IF(A478="","",IFERROR(INDEX('激励事件明细'!$D$2:$D$501,IF(D478&lt;&gt;"",MATCH(D478,'激励事件明细'!$A$2:$A$501,0),MATCH(E478,'激励事件明细'!$B$2:$B$501,0))),""))</f>
        <v/>
      </c>
      <c r="C478" s="6">
        <f>IF(A478="","",IFERROR(INDEX('激励事件明细'!$H$2:$H$501,IF(D478&lt;&gt;"",MATCH(D478,'激励事件明细'!$A$2:$A$501,0),MATCH(E478,'激励事件明细'!$B$2:$B$501,0))),""))</f>
        <v/>
      </c>
      <c r="D478" s="11" t="n"/>
      <c r="E478" s="11" t="n"/>
      <c r="F478" s="14">
        <f>IF(A478="","",IFERROR(INDEX('激励事件明细'!$Z$2:$Z$501,IF(D478&lt;&gt;"",MATCH(D478,'激励事件明细'!$A$2:$A$501,0),MATCH(E478,'激励事件明细'!$B$2:$B$501,0))),""))</f>
        <v/>
      </c>
      <c r="G478" s="16">
        <f>IF(A478="","",IFERROR(INDEX('激励事件明细'!$AA$2:$AA$501,IF(D478&lt;&gt;"",MATCH(D478,'激励事件明细'!$A$2:$A$501,0),MATCH(E478,'激励事件明细'!$B$2:$B$501,0))),""))</f>
        <v/>
      </c>
      <c r="H478" s="16">
        <f>IF(A478="","",IFERROR(INDEX('激励事件明细'!$AB$2:$AB$501,IF(D478&lt;&gt;"",MATCH(D478,'激励事件明细'!$A$2:$A$501,0),MATCH(E478,'激励事件明细'!$B$2:$B$501,0))),""))</f>
        <v/>
      </c>
      <c r="I478" s="12" t="n"/>
      <c r="J478" s="13" t="n"/>
      <c r="K478" s="13" t="n"/>
      <c r="L478" s="11" t="n"/>
      <c r="M478" s="14">
        <f>IF(A478="","",IF(D478&lt;&gt;"",SUMIFS($K$2:$K$501,$D$2:$D$501,D478),SUMIFS($K$2:$K$501,$E$2:$E$501,E478)))</f>
        <v/>
      </c>
      <c r="N478" s="14">
        <f>IF(F478="","",MAX(0,F478-M478))</f>
        <v/>
      </c>
      <c r="O478" s="6">
        <f>IF(A478="","",IF(AND(I478&lt;&gt;"",I478&gt;H478),"是",IF(AND(TODAY()&gt;H478,N478&gt;0),"是","否")))</f>
        <v/>
      </c>
      <c r="P478" s="16">
        <f>IF(A478="","",IFERROR(INDEX('激励事件明细'!$P$2:$P$501,IF(D478&lt;&gt;"",MATCH(D478,'激励事件明细'!$A$2:$A$501,0),MATCH(E478,'激励事件明细'!$B$2:$B$501,0))),""))</f>
        <v/>
      </c>
      <c r="Q478" s="6">
        <f>IF(AND(D478="",E478=""),"异常：必须关联事件编号或税额批次",IF(AND(D478&lt;&gt;"",COUNTIF('激励事件明细'!$A$2:$A$501,D478)=0),"异常：事件编号不存在",IF(AND(E478&lt;&gt;"",COUNTIF('激励事件明细'!$B$2:$B$501,E478)=0),"异常：税额批次不存在",IF(M478&gt;F478,"异常：本批次超额缴税",IF(AND(I478&lt;&gt;"",I478&gt;H478),"异常：超过事件截止日",IF(AND(P478&lt;&gt;"",TODAY()&gt;=P478,N478&gt;0),"异常：离职前未缴清","正常"))))))</f>
        <v/>
      </c>
      <c r="R478" s="11" t="n"/>
    </row>
    <row r="479">
      <c r="A479" s="6">
        <f>IF(AND(D479="",E479=""),"",IFERROR(INDEX('激励事件明细'!$C$2:$C$501,IF(D479&lt;&gt;"",MATCH(D479,'激励事件明细'!$A$2:$A$501,0),MATCH(E479,'激励事件明细'!$B$2:$B$501,0))),""))</f>
        <v/>
      </c>
      <c r="B479" s="6">
        <f>IF(A479="","",IFERROR(INDEX('激励事件明细'!$D$2:$D$501,IF(D479&lt;&gt;"",MATCH(D479,'激励事件明细'!$A$2:$A$501,0),MATCH(E479,'激励事件明细'!$B$2:$B$501,0))),""))</f>
        <v/>
      </c>
      <c r="C479" s="6">
        <f>IF(A479="","",IFERROR(INDEX('激励事件明细'!$H$2:$H$501,IF(D479&lt;&gt;"",MATCH(D479,'激励事件明细'!$A$2:$A$501,0),MATCH(E479,'激励事件明细'!$B$2:$B$501,0))),""))</f>
        <v/>
      </c>
      <c r="D479" s="11" t="n"/>
      <c r="E479" s="11" t="n"/>
      <c r="F479" s="14">
        <f>IF(A479="","",IFERROR(INDEX('激励事件明细'!$Z$2:$Z$501,IF(D479&lt;&gt;"",MATCH(D479,'激励事件明细'!$A$2:$A$501,0),MATCH(E479,'激励事件明细'!$B$2:$B$501,0))),""))</f>
        <v/>
      </c>
      <c r="G479" s="16">
        <f>IF(A479="","",IFERROR(INDEX('激励事件明细'!$AA$2:$AA$501,IF(D479&lt;&gt;"",MATCH(D479,'激励事件明细'!$A$2:$A$501,0),MATCH(E479,'激励事件明细'!$B$2:$B$501,0))),""))</f>
        <v/>
      </c>
      <c r="H479" s="16">
        <f>IF(A479="","",IFERROR(INDEX('激励事件明细'!$AB$2:$AB$501,IF(D479&lt;&gt;"",MATCH(D479,'激励事件明细'!$A$2:$A$501,0),MATCH(E479,'激励事件明细'!$B$2:$B$501,0))),""))</f>
        <v/>
      </c>
      <c r="I479" s="12" t="n"/>
      <c r="J479" s="13" t="n"/>
      <c r="K479" s="13" t="n"/>
      <c r="L479" s="11" t="n"/>
      <c r="M479" s="14">
        <f>IF(A479="","",IF(D479&lt;&gt;"",SUMIFS($K$2:$K$501,$D$2:$D$501,D479),SUMIFS($K$2:$K$501,$E$2:$E$501,E479)))</f>
        <v/>
      </c>
      <c r="N479" s="14">
        <f>IF(F479="","",MAX(0,F479-M479))</f>
        <v/>
      </c>
      <c r="O479" s="6">
        <f>IF(A479="","",IF(AND(I479&lt;&gt;"",I479&gt;H479),"是",IF(AND(TODAY()&gt;H479,N479&gt;0),"是","否")))</f>
        <v/>
      </c>
      <c r="P479" s="16">
        <f>IF(A479="","",IFERROR(INDEX('激励事件明细'!$P$2:$P$501,IF(D479&lt;&gt;"",MATCH(D479,'激励事件明细'!$A$2:$A$501,0),MATCH(E479,'激励事件明细'!$B$2:$B$501,0))),""))</f>
        <v/>
      </c>
      <c r="Q479" s="6">
        <f>IF(AND(D479="",E479=""),"异常：必须关联事件编号或税额批次",IF(AND(D479&lt;&gt;"",COUNTIF('激励事件明细'!$A$2:$A$501,D479)=0),"异常：事件编号不存在",IF(AND(E479&lt;&gt;"",COUNTIF('激励事件明细'!$B$2:$B$501,E479)=0),"异常：税额批次不存在",IF(M479&gt;F479,"异常：本批次超额缴税",IF(AND(I479&lt;&gt;"",I479&gt;H479),"异常：超过事件截止日",IF(AND(P479&lt;&gt;"",TODAY()&gt;=P479,N479&gt;0),"异常：离职前未缴清","正常"))))))</f>
        <v/>
      </c>
      <c r="R479" s="11" t="n"/>
    </row>
    <row r="480">
      <c r="A480" s="6">
        <f>IF(AND(D480="",E480=""),"",IFERROR(INDEX('激励事件明细'!$C$2:$C$501,IF(D480&lt;&gt;"",MATCH(D480,'激励事件明细'!$A$2:$A$501,0),MATCH(E480,'激励事件明细'!$B$2:$B$501,0))),""))</f>
        <v/>
      </c>
      <c r="B480" s="6">
        <f>IF(A480="","",IFERROR(INDEX('激励事件明细'!$D$2:$D$501,IF(D480&lt;&gt;"",MATCH(D480,'激励事件明细'!$A$2:$A$501,0),MATCH(E480,'激励事件明细'!$B$2:$B$501,0))),""))</f>
        <v/>
      </c>
      <c r="C480" s="6">
        <f>IF(A480="","",IFERROR(INDEX('激励事件明细'!$H$2:$H$501,IF(D480&lt;&gt;"",MATCH(D480,'激励事件明细'!$A$2:$A$501,0),MATCH(E480,'激励事件明细'!$B$2:$B$501,0))),""))</f>
        <v/>
      </c>
      <c r="D480" s="11" t="n"/>
      <c r="E480" s="11" t="n"/>
      <c r="F480" s="14">
        <f>IF(A480="","",IFERROR(INDEX('激励事件明细'!$Z$2:$Z$501,IF(D480&lt;&gt;"",MATCH(D480,'激励事件明细'!$A$2:$A$501,0),MATCH(E480,'激励事件明细'!$B$2:$B$501,0))),""))</f>
        <v/>
      </c>
      <c r="G480" s="16">
        <f>IF(A480="","",IFERROR(INDEX('激励事件明细'!$AA$2:$AA$501,IF(D480&lt;&gt;"",MATCH(D480,'激励事件明细'!$A$2:$A$501,0),MATCH(E480,'激励事件明细'!$B$2:$B$501,0))),""))</f>
        <v/>
      </c>
      <c r="H480" s="16">
        <f>IF(A480="","",IFERROR(INDEX('激励事件明细'!$AB$2:$AB$501,IF(D480&lt;&gt;"",MATCH(D480,'激励事件明细'!$A$2:$A$501,0),MATCH(E480,'激励事件明细'!$B$2:$B$501,0))),""))</f>
        <v/>
      </c>
      <c r="I480" s="12" t="n"/>
      <c r="J480" s="13" t="n"/>
      <c r="K480" s="13" t="n"/>
      <c r="L480" s="11" t="n"/>
      <c r="M480" s="14">
        <f>IF(A480="","",IF(D480&lt;&gt;"",SUMIFS($K$2:$K$501,$D$2:$D$501,D480),SUMIFS($K$2:$K$501,$E$2:$E$501,E480)))</f>
        <v/>
      </c>
      <c r="N480" s="14">
        <f>IF(F480="","",MAX(0,F480-M480))</f>
        <v/>
      </c>
      <c r="O480" s="6">
        <f>IF(A480="","",IF(AND(I480&lt;&gt;"",I480&gt;H480),"是",IF(AND(TODAY()&gt;H480,N480&gt;0),"是","否")))</f>
        <v/>
      </c>
      <c r="P480" s="16">
        <f>IF(A480="","",IFERROR(INDEX('激励事件明细'!$P$2:$P$501,IF(D480&lt;&gt;"",MATCH(D480,'激励事件明细'!$A$2:$A$501,0),MATCH(E480,'激励事件明细'!$B$2:$B$501,0))),""))</f>
        <v/>
      </c>
      <c r="Q480" s="6">
        <f>IF(AND(D480="",E480=""),"异常：必须关联事件编号或税额批次",IF(AND(D480&lt;&gt;"",COUNTIF('激励事件明细'!$A$2:$A$501,D480)=0),"异常：事件编号不存在",IF(AND(E480&lt;&gt;"",COUNTIF('激励事件明细'!$B$2:$B$501,E480)=0),"异常：税额批次不存在",IF(M480&gt;F480,"异常：本批次超额缴税",IF(AND(I480&lt;&gt;"",I480&gt;H480),"异常：超过事件截止日",IF(AND(P480&lt;&gt;"",TODAY()&gt;=P480,N480&gt;0),"异常：离职前未缴清","正常"))))))</f>
        <v/>
      </c>
      <c r="R480" s="11" t="n"/>
    </row>
    <row r="481">
      <c r="A481" s="6">
        <f>IF(AND(D481="",E481=""),"",IFERROR(INDEX('激励事件明细'!$C$2:$C$501,IF(D481&lt;&gt;"",MATCH(D481,'激励事件明细'!$A$2:$A$501,0),MATCH(E481,'激励事件明细'!$B$2:$B$501,0))),""))</f>
        <v/>
      </c>
      <c r="B481" s="6">
        <f>IF(A481="","",IFERROR(INDEX('激励事件明细'!$D$2:$D$501,IF(D481&lt;&gt;"",MATCH(D481,'激励事件明细'!$A$2:$A$501,0),MATCH(E481,'激励事件明细'!$B$2:$B$501,0))),""))</f>
        <v/>
      </c>
      <c r="C481" s="6">
        <f>IF(A481="","",IFERROR(INDEX('激励事件明细'!$H$2:$H$501,IF(D481&lt;&gt;"",MATCH(D481,'激励事件明细'!$A$2:$A$501,0),MATCH(E481,'激励事件明细'!$B$2:$B$501,0))),""))</f>
        <v/>
      </c>
      <c r="D481" s="11" t="n"/>
      <c r="E481" s="11" t="n"/>
      <c r="F481" s="14">
        <f>IF(A481="","",IFERROR(INDEX('激励事件明细'!$Z$2:$Z$501,IF(D481&lt;&gt;"",MATCH(D481,'激励事件明细'!$A$2:$A$501,0),MATCH(E481,'激励事件明细'!$B$2:$B$501,0))),""))</f>
        <v/>
      </c>
      <c r="G481" s="16">
        <f>IF(A481="","",IFERROR(INDEX('激励事件明细'!$AA$2:$AA$501,IF(D481&lt;&gt;"",MATCH(D481,'激励事件明细'!$A$2:$A$501,0),MATCH(E481,'激励事件明细'!$B$2:$B$501,0))),""))</f>
        <v/>
      </c>
      <c r="H481" s="16">
        <f>IF(A481="","",IFERROR(INDEX('激励事件明细'!$AB$2:$AB$501,IF(D481&lt;&gt;"",MATCH(D481,'激励事件明细'!$A$2:$A$501,0),MATCH(E481,'激励事件明细'!$B$2:$B$501,0))),""))</f>
        <v/>
      </c>
      <c r="I481" s="12" t="n"/>
      <c r="J481" s="13" t="n"/>
      <c r="K481" s="13" t="n"/>
      <c r="L481" s="11" t="n"/>
      <c r="M481" s="14">
        <f>IF(A481="","",IF(D481&lt;&gt;"",SUMIFS($K$2:$K$501,$D$2:$D$501,D481),SUMIFS($K$2:$K$501,$E$2:$E$501,E481)))</f>
        <v/>
      </c>
      <c r="N481" s="14">
        <f>IF(F481="","",MAX(0,F481-M481))</f>
        <v/>
      </c>
      <c r="O481" s="6">
        <f>IF(A481="","",IF(AND(I481&lt;&gt;"",I481&gt;H481),"是",IF(AND(TODAY()&gt;H481,N481&gt;0),"是","否")))</f>
        <v/>
      </c>
      <c r="P481" s="16">
        <f>IF(A481="","",IFERROR(INDEX('激励事件明细'!$P$2:$P$501,IF(D481&lt;&gt;"",MATCH(D481,'激励事件明细'!$A$2:$A$501,0),MATCH(E481,'激励事件明细'!$B$2:$B$501,0))),""))</f>
        <v/>
      </c>
      <c r="Q481" s="6">
        <f>IF(AND(D481="",E481=""),"异常：必须关联事件编号或税额批次",IF(AND(D481&lt;&gt;"",COUNTIF('激励事件明细'!$A$2:$A$501,D481)=0),"异常：事件编号不存在",IF(AND(E481&lt;&gt;"",COUNTIF('激励事件明细'!$B$2:$B$501,E481)=0),"异常：税额批次不存在",IF(M481&gt;F481,"异常：本批次超额缴税",IF(AND(I481&lt;&gt;"",I481&gt;H481),"异常：超过事件截止日",IF(AND(P481&lt;&gt;"",TODAY()&gt;=P481,N481&gt;0),"异常：离职前未缴清","正常"))))))</f>
        <v/>
      </c>
      <c r="R481" s="11" t="n"/>
    </row>
    <row r="482">
      <c r="A482" s="6">
        <f>IF(AND(D482="",E482=""),"",IFERROR(INDEX('激励事件明细'!$C$2:$C$501,IF(D482&lt;&gt;"",MATCH(D482,'激励事件明细'!$A$2:$A$501,0),MATCH(E482,'激励事件明细'!$B$2:$B$501,0))),""))</f>
        <v/>
      </c>
      <c r="B482" s="6">
        <f>IF(A482="","",IFERROR(INDEX('激励事件明细'!$D$2:$D$501,IF(D482&lt;&gt;"",MATCH(D482,'激励事件明细'!$A$2:$A$501,0),MATCH(E482,'激励事件明细'!$B$2:$B$501,0))),""))</f>
        <v/>
      </c>
      <c r="C482" s="6">
        <f>IF(A482="","",IFERROR(INDEX('激励事件明细'!$H$2:$H$501,IF(D482&lt;&gt;"",MATCH(D482,'激励事件明细'!$A$2:$A$501,0),MATCH(E482,'激励事件明细'!$B$2:$B$501,0))),""))</f>
        <v/>
      </c>
      <c r="D482" s="11" t="n"/>
      <c r="E482" s="11" t="n"/>
      <c r="F482" s="14">
        <f>IF(A482="","",IFERROR(INDEX('激励事件明细'!$Z$2:$Z$501,IF(D482&lt;&gt;"",MATCH(D482,'激励事件明细'!$A$2:$A$501,0),MATCH(E482,'激励事件明细'!$B$2:$B$501,0))),""))</f>
        <v/>
      </c>
      <c r="G482" s="16">
        <f>IF(A482="","",IFERROR(INDEX('激励事件明细'!$AA$2:$AA$501,IF(D482&lt;&gt;"",MATCH(D482,'激励事件明细'!$A$2:$A$501,0),MATCH(E482,'激励事件明细'!$B$2:$B$501,0))),""))</f>
        <v/>
      </c>
      <c r="H482" s="16">
        <f>IF(A482="","",IFERROR(INDEX('激励事件明细'!$AB$2:$AB$501,IF(D482&lt;&gt;"",MATCH(D482,'激励事件明细'!$A$2:$A$501,0),MATCH(E482,'激励事件明细'!$B$2:$B$501,0))),""))</f>
        <v/>
      </c>
      <c r="I482" s="12" t="n"/>
      <c r="J482" s="13" t="n"/>
      <c r="K482" s="13" t="n"/>
      <c r="L482" s="11" t="n"/>
      <c r="M482" s="14">
        <f>IF(A482="","",IF(D482&lt;&gt;"",SUMIFS($K$2:$K$501,$D$2:$D$501,D482),SUMIFS($K$2:$K$501,$E$2:$E$501,E482)))</f>
        <v/>
      </c>
      <c r="N482" s="14">
        <f>IF(F482="","",MAX(0,F482-M482))</f>
        <v/>
      </c>
      <c r="O482" s="6">
        <f>IF(A482="","",IF(AND(I482&lt;&gt;"",I482&gt;H482),"是",IF(AND(TODAY()&gt;H482,N482&gt;0),"是","否")))</f>
        <v/>
      </c>
      <c r="P482" s="16">
        <f>IF(A482="","",IFERROR(INDEX('激励事件明细'!$P$2:$P$501,IF(D482&lt;&gt;"",MATCH(D482,'激励事件明细'!$A$2:$A$501,0),MATCH(E482,'激励事件明细'!$B$2:$B$501,0))),""))</f>
        <v/>
      </c>
      <c r="Q482" s="6">
        <f>IF(AND(D482="",E482=""),"异常：必须关联事件编号或税额批次",IF(AND(D482&lt;&gt;"",COUNTIF('激励事件明细'!$A$2:$A$501,D482)=0),"异常：事件编号不存在",IF(AND(E482&lt;&gt;"",COUNTIF('激励事件明细'!$B$2:$B$501,E482)=0),"异常：税额批次不存在",IF(M482&gt;F482,"异常：本批次超额缴税",IF(AND(I482&lt;&gt;"",I482&gt;H482),"异常：超过事件截止日",IF(AND(P482&lt;&gt;"",TODAY()&gt;=P482,N482&gt;0),"异常：离职前未缴清","正常"))))))</f>
        <v/>
      </c>
      <c r="R482" s="11" t="n"/>
    </row>
    <row r="483">
      <c r="A483" s="6">
        <f>IF(AND(D483="",E483=""),"",IFERROR(INDEX('激励事件明细'!$C$2:$C$501,IF(D483&lt;&gt;"",MATCH(D483,'激励事件明细'!$A$2:$A$501,0),MATCH(E483,'激励事件明细'!$B$2:$B$501,0))),""))</f>
        <v/>
      </c>
      <c r="B483" s="6">
        <f>IF(A483="","",IFERROR(INDEX('激励事件明细'!$D$2:$D$501,IF(D483&lt;&gt;"",MATCH(D483,'激励事件明细'!$A$2:$A$501,0),MATCH(E483,'激励事件明细'!$B$2:$B$501,0))),""))</f>
        <v/>
      </c>
      <c r="C483" s="6">
        <f>IF(A483="","",IFERROR(INDEX('激励事件明细'!$H$2:$H$501,IF(D483&lt;&gt;"",MATCH(D483,'激励事件明细'!$A$2:$A$501,0),MATCH(E483,'激励事件明细'!$B$2:$B$501,0))),""))</f>
        <v/>
      </c>
      <c r="D483" s="11" t="n"/>
      <c r="E483" s="11" t="n"/>
      <c r="F483" s="14">
        <f>IF(A483="","",IFERROR(INDEX('激励事件明细'!$Z$2:$Z$501,IF(D483&lt;&gt;"",MATCH(D483,'激励事件明细'!$A$2:$A$501,0),MATCH(E483,'激励事件明细'!$B$2:$B$501,0))),""))</f>
        <v/>
      </c>
      <c r="G483" s="16">
        <f>IF(A483="","",IFERROR(INDEX('激励事件明细'!$AA$2:$AA$501,IF(D483&lt;&gt;"",MATCH(D483,'激励事件明细'!$A$2:$A$501,0),MATCH(E483,'激励事件明细'!$B$2:$B$501,0))),""))</f>
        <v/>
      </c>
      <c r="H483" s="16">
        <f>IF(A483="","",IFERROR(INDEX('激励事件明细'!$AB$2:$AB$501,IF(D483&lt;&gt;"",MATCH(D483,'激励事件明细'!$A$2:$A$501,0),MATCH(E483,'激励事件明细'!$B$2:$B$501,0))),""))</f>
        <v/>
      </c>
      <c r="I483" s="12" t="n"/>
      <c r="J483" s="13" t="n"/>
      <c r="K483" s="13" t="n"/>
      <c r="L483" s="11" t="n"/>
      <c r="M483" s="14">
        <f>IF(A483="","",IF(D483&lt;&gt;"",SUMIFS($K$2:$K$501,$D$2:$D$501,D483),SUMIFS($K$2:$K$501,$E$2:$E$501,E483)))</f>
        <v/>
      </c>
      <c r="N483" s="14">
        <f>IF(F483="","",MAX(0,F483-M483))</f>
        <v/>
      </c>
      <c r="O483" s="6">
        <f>IF(A483="","",IF(AND(I483&lt;&gt;"",I483&gt;H483),"是",IF(AND(TODAY()&gt;H483,N483&gt;0),"是","否")))</f>
        <v/>
      </c>
      <c r="P483" s="16">
        <f>IF(A483="","",IFERROR(INDEX('激励事件明细'!$P$2:$P$501,IF(D483&lt;&gt;"",MATCH(D483,'激励事件明细'!$A$2:$A$501,0),MATCH(E483,'激励事件明细'!$B$2:$B$501,0))),""))</f>
        <v/>
      </c>
      <c r="Q483" s="6">
        <f>IF(AND(D483="",E483=""),"异常：必须关联事件编号或税额批次",IF(AND(D483&lt;&gt;"",COUNTIF('激励事件明细'!$A$2:$A$501,D483)=0),"异常：事件编号不存在",IF(AND(E483&lt;&gt;"",COUNTIF('激励事件明细'!$B$2:$B$501,E483)=0),"异常：税额批次不存在",IF(M483&gt;F483,"异常：本批次超额缴税",IF(AND(I483&lt;&gt;"",I483&gt;H483),"异常：超过事件截止日",IF(AND(P483&lt;&gt;"",TODAY()&gt;=P483,N483&gt;0),"异常：离职前未缴清","正常"))))))</f>
        <v/>
      </c>
      <c r="R483" s="11" t="n"/>
    </row>
    <row r="484">
      <c r="A484" s="6">
        <f>IF(AND(D484="",E484=""),"",IFERROR(INDEX('激励事件明细'!$C$2:$C$501,IF(D484&lt;&gt;"",MATCH(D484,'激励事件明细'!$A$2:$A$501,0),MATCH(E484,'激励事件明细'!$B$2:$B$501,0))),""))</f>
        <v/>
      </c>
      <c r="B484" s="6">
        <f>IF(A484="","",IFERROR(INDEX('激励事件明细'!$D$2:$D$501,IF(D484&lt;&gt;"",MATCH(D484,'激励事件明细'!$A$2:$A$501,0),MATCH(E484,'激励事件明细'!$B$2:$B$501,0))),""))</f>
        <v/>
      </c>
      <c r="C484" s="6">
        <f>IF(A484="","",IFERROR(INDEX('激励事件明细'!$H$2:$H$501,IF(D484&lt;&gt;"",MATCH(D484,'激励事件明细'!$A$2:$A$501,0),MATCH(E484,'激励事件明细'!$B$2:$B$501,0))),""))</f>
        <v/>
      </c>
      <c r="D484" s="11" t="n"/>
      <c r="E484" s="11" t="n"/>
      <c r="F484" s="14">
        <f>IF(A484="","",IFERROR(INDEX('激励事件明细'!$Z$2:$Z$501,IF(D484&lt;&gt;"",MATCH(D484,'激励事件明细'!$A$2:$A$501,0),MATCH(E484,'激励事件明细'!$B$2:$B$501,0))),""))</f>
        <v/>
      </c>
      <c r="G484" s="16">
        <f>IF(A484="","",IFERROR(INDEX('激励事件明细'!$AA$2:$AA$501,IF(D484&lt;&gt;"",MATCH(D484,'激励事件明细'!$A$2:$A$501,0),MATCH(E484,'激励事件明细'!$B$2:$B$501,0))),""))</f>
        <v/>
      </c>
      <c r="H484" s="16">
        <f>IF(A484="","",IFERROR(INDEX('激励事件明细'!$AB$2:$AB$501,IF(D484&lt;&gt;"",MATCH(D484,'激励事件明细'!$A$2:$A$501,0),MATCH(E484,'激励事件明细'!$B$2:$B$501,0))),""))</f>
        <v/>
      </c>
      <c r="I484" s="12" t="n"/>
      <c r="J484" s="13" t="n"/>
      <c r="K484" s="13" t="n"/>
      <c r="L484" s="11" t="n"/>
      <c r="M484" s="14">
        <f>IF(A484="","",IF(D484&lt;&gt;"",SUMIFS($K$2:$K$501,$D$2:$D$501,D484),SUMIFS($K$2:$K$501,$E$2:$E$501,E484)))</f>
        <v/>
      </c>
      <c r="N484" s="14">
        <f>IF(F484="","",MAX(0,F484-M484))</f>
        <v/>
      </c>
      <c r="O484" s="6">
        <f>IF(A484="","",IF(AND(I484&lt;&gt;"",I484&gt;H484),"是",IF(AND(TODAY()&gt;H484,N484&gt;0),"是","否")))</f>
        <v/>
      </c>
      <c r="P484" s="16">
        <f>IF(A484="","",IFERROR(INDEX('激励事件明细'!$P$2:$P$501,IF(D484&lt;&gt;"",MATCH(D484,'激励事件明细'!$A$2:$A$501,0),MATCH(E484,'激励事件明细'!$B$2:$B$501,0))),""))</f>
        <v/>
      </c>
      <c r="Q484" s="6">
        <f>IF(AND(D484="",E484=""),"异常：必须关联事件编号或税额批次",IF(AND(D484&lt;&gt;"",COUNTIF('激励事件明细'!$A$2:$A$501,D484)=0),"异常：事件编号不存在",IF(AND(E484&lt;&gt;"",COUNTIF('激励事件明细'!$B$2:$B$501,E484)=0),"异常：税额批次不存在",IF(M484&gt;F484,"异常：本批次超额缴税",IF(AND(I484&lt;&gt;"",I484&gt;H484),"异常：超过事件截止日",IF(AND(P484&lt;&gt;"",TODAY()&gt;=P484,N484&gt;0),"异常：离职前未缴清","正常"))))))</f>
        <v/>
      </c>
      <c r="R484" s="11" t="n"/>
    </row>
    <row r="485">
      <c r="A485" s="6">
        <f>IF(AND(D485="",E485=""),"",IFERROR(INDEX('激励事件明细'!$C$2:$C$501,IF(D485&lt;&gt;"",MATCH(D485,'激励事件明细'!$A$2:$A$501,0),MATCH(E485,'激励事件明细'!$B$2:$B$501,0))),""))</f>
        <v/>
      </c>
      <c r="B485" s="6">
        <f>IF(A485="","",IFERROR(INDEX('激励事件明细'!$D$2:$D$501,IF(D485&lt;&gt;"",MATCH(D485,'激励事件明细'!$A$2:$A$501,0),MATCH(E485,'激励事件明细'!$B$2:$B$501,0))),""))</f>
        <v/>
      </c>
      <c r="C485" s="6">
        <f>IF(A485="","",IFERROR(INDEX('激励事件明细'!$H$2:$H$501,IF(D485&lt;&gt;"",MATCH(D485,'激励事件明细'!$A$2:$A$501,0),MATCH(E485,'激励事件明细'!$B$2:$B$501,0))),""))</f>
        <v/>
      </c>
      <c r="D485" s="11" t="n"/>
      <c r="E485" s="11" t="n"/>
      <c r="F485" s="14">
        <f>IF(A485="","",IFERROR(INDEX('激励事件明细'!$Z$2:$Z$501,IF(D485&lt;&gt;"",MATCH(D485,'激励事件明细'!$A$2:$A$501,0),MATCH(E485,'激励事件明细'!$B$2:$B$501,0))),""))</f>
        <v/>
      </c>
      <c r="G485" s="16">
        <f>IF(A485="","",IFERROR(INDEX('激励事件明细'!$AA$2:$AA$501,IF(D485&lt;&gt;"",MATCH(D485,'激励事件明细'!$A$2:$A$501,0),MATCH(E485,'激励事件明细'!$B$2:$B$501,0))),""))</f>
        <v/>
      </c>
      <c r="H485" s="16">
        <f>IF(A485="","",IFERROR(INDEX('激励事件明细'!$AB$2:$AB$501,IF(D485&lt;&gt;"",MATCH(D485,'激励事件明细'!$A$2:$A$501,0),MATCH(E485,'激励事件明细'!$B$2:$B$501,0))),""))</f>
        <v/>
      </c>
      <c r="I485" s="12" t="n"/>
      <c r="J485" s="13" t="n"/>
      <c r="K485" s="13" t="n"/>
      <c r="L485" s="11" t="n"/>
      <c r="M485" s="14">
        <f>IF(A485="","",IF(D485&lt;&gt;"",SUMIFS($K$2:$K$501,$D$2:$D$501,D485),SUMIFS($K$2:$K$501,$E$2:$E$501,E485)))</f>
        <v/>
      </c>
      <c r="N485" s="14">
        <f>IF(F485="","",MAX(0,F485-M485))</f>
        <v/>
      </c>
      <c r="O485" s="6">
        <f>IF(A485="","",IF(AND(I485&lt;&gt;"",I485&gt;H485),"是",IF(AND(TODAY()&gt;H485,N485&gt;0),"是","否")))</f>
        <v/>
      </c>
      <c r="P485" s="16">
        <f>IF(A485="","",IFERROR(INDEX('激励事件明细'!$P$2:$P$501,IF(D485&lt;&gt;"",MATCH(D485,'激励事件明细'!$A$2:$A$501,0),MATCH(E485,'激励事件明细'!$B$2:$B$501,0))),""))</f>
        <v/>
      </c>
      <c r="Q485" s="6">
        <f>IF(AND(D485="",E485=""),"异常：必须关联事件编号或税额批次",IF(AND(D485&lt;&gt;"",COUNTIF('激励事件明细'!$A$2:$A$501,D485)=0),"异常：事件编号不存在",IF(AND(E485&lt;&gt;"",COUNTIF('激励事件明细'!$B$2:$B$501,E485)=0),"异常：税额批次不存在",IF(M485&gt;F485,"异常：本批次超额缴税",IF(AND(I485&lt;&gt;"",I485&gt;H485),"异常：超过事件截止日",IF(AND(P485&lt;&gt;"",TODAY()&gt;=P485,N485&gt;0),"异常：离职前未缴清","正常"))))))</f>
        <v/>
      </c>
      <c r="R485" s="11" t="n"/>
    </row>
    <row r="486">
      <c r="A486" s="6">
        <f>IF(AND(D486="",E486=""),"",IFERROR(INDEX('激励事件明细'!$C$2:$C$501,IF(D486&lt;&gt;"",MATCH(D486,'激励事件明细'!$A$2:$A$501,0),MATCH(E486,'激励事件明细'!$B$2:$B$501,0))),""))</f>
        <v/>
      </c>
      <c r="B486" s="6">
        <f>IF(A486="","",IFERROR(INDEX('激励事件明细'!$D$2:$D$501,IF(D486&lt;&gt;"",MATCH(D486,'激励事件明细'!$A$2:$A$501,0),MATCH(E486,'激励事件明细'!$B$2:$B$501,0))),""))</f>
        <v/>
      </c>
      <c r="C486" s="6">
        <f>IF(A486="","",IFERROR(INDEX('激励事件明细'!$H$2:$H$501,IF(D486&lt;&gt;"",MATCH(D486,'激励事件明细'!$A$2:$A$501,0),MATCH(E486,'激励事件明细'!$B$2:$B$501,0))),""))</f>
        <v/>
      </c>
      <c r="D486" s="11" t="n"/>
      <c r="E486" s="11" t="n"/>
      <c r="F486" s="14">
        <f>IF(A486="","",IFERROR(INDEX('激励事件明细'!$Z$2:$Z$501,IF(D486&lt;&gt;"",MATCH(D486,'激励事件明细'!$A$2:$A$501,0),MATCH(E486,'激励事件明细'!$B$2:$B$501,0))),""))</f>
        <v/>
      </c>
      <c r="G486" s="16">
        <f>IF(A486="","",IFERROR(INDEX('激励事件明细'!$AA$2:$AA$501,IF(D486&lt;&gt;"",MATCH(D486,'激励事件明细'!$A$2:$A$501,0),MATCH(E486,'激励事件明细'!$B$2:$B$501,0))),""))</f>
        <v/>
      </c>
      <c r="H486" s="16">
        <f>IF(A486="","",IFERROR(INDEX('激励事件明细'!$AB$2:$AB$501,IF(D486&lt;&gt;"",MATCH(D486,'激励事件明细'!$A$2:$A$501,0),MATCH(E486,'激励事件明细'!$B$2:$B$501,0))),""))</f>
        <v/>
      </c>
      <c r="I486" s="12" t="n"/>
      <c r="J486" s="13" t="n"/>
      <c r="K486" s="13" t="n"/>
      <c r="L486" s="11" t="n"/>
      <c r="M486" s="14">
        <f>IF(A486="","",IF(D486&lt;&gt;"",SUMIFS($K$2:$K$501,$D$2:$D$501,D486),SUMIFS($K$2:$K$501,$E$2:$E$501,E486)))</f>
        <v/>
      </c>
      <c r="N486" s="14">
        <f>IF(F486="","",MAX(0,F486-M486))</f>
        <v/>
      </c>
      <c r="O486" s="6">
        <f>IF(A486="","",IF(AND(I486&lt;&gt;"",I486&gt;H486),"是",IF(AND(TODAY()&gt;H486,N486&gt;0),"是","否")))</f>
        <v/>
      </c>
      <c r="P486" s="16">
        <f>IF(A486="","",IFERROR(INDEX('激励事件明细'!$P$2:$P$501,IF(D486&lt;&gt;"",MATCH(D486,'激励事件明细'!$A$2:$A$501,0),MATCH(E486,'激励事件明细'!$B$2:$B$501,0))),""))</f>
        <v/>
      </c>
      <c r="Q486" s="6">
        <f>IF(AND(D486="",E486=""),"异常：必须关联事件编号或税额批次",IF(AND(D486&lt;&gt;"",COUNTIF('激励事件明细'!$A$2:$A$501,D486)=0),"异常：事件编号不存在",IF(AND(E486&lt;&gt;"",COUNTIF('激励事件明细'!$B$2:$B$501,E486)=0),"异常：税额批次不存在",IF(M486&gt;F486,"异常：本批次超额缴税",IF(AND(I486&lt;&gt;"",I486&gt;H486),"异常：超过事件截止日",IF(AND(P486&lt;&gt;"",TODAY()&gt;=P486,N486&gt;0),"异常：离职前未缴清","正常"))))))</f>
        <v/>
      </c>
      <c r="R486" s="11" t="n"/>
    </row>
    <row r="487">
      <c r="A487" s="6">
        <f>IF(AND(D487="",E487=""),"",IFERROR(INDEX('激励事件明细'!$C$2:$C$501,IF(D487&lt;&gt;"",MATCH(D487,'激励事件明细'!$A$2:$A$501,0),MATCH(E487,'激励事件明细'!$B$2:$B$501,0))),""))</f>
        <v/>
      </c>
      <c r="B487" s="6">
        <f>IF(A487="","",IFERROR(INDEX('激励事件明细'!$D$2:$D$501,IF(D487&lt;&gt;"",MATCH(D487,'激励事件明细'!$A$2:$A$501,0),MATCH(E487,'激励事件明细'!$B$2:$B$501,0))),""))</f>
        <v/>
      </c>
      <c r="C487" s="6">
        <f>IF(A487="","",IFERROR(INDEX('激励事件明细'!$H$2:$H$501,IF(D487&lt;&gt;"",MATCH(D487,'激励事件明细'!$A$2:$A$501,0),MATCH(E487,'激励事件明细'!$B$2:$B$501,0))),""))</f>
        <v/>
      </c>
      <c r="D487" s="11" t="n"/>
      <c r="E487" s="11" t="n"/>
      <c r="F487" s="14">
        <f>IF(A487="","",IFERROR(INDEX('激励事件明细'!$Z$2:$Z$501,IF(D487&lt;&gt;"",MATCH(D487,'激励事件明细'!$A$2:$A$501,0),MATCH(E487,'激励事件明细'!$B$2:$B$501,0))),""))</f>
        <v/>
      </c>
      <c r="G487" s="16">
        <f>IF(A487="","",IFERROR(INDEX('激励事件明细'!$AA$2:$AA$501,IF(D487&lt;&gt;"",MATCH(D487,'激励事件明细'!$A$2:$A$501,0),MATCH(E487,'激励事件明细'!$B$2:$B$501,0))),""))</f>
        <v/>
      </c>
      <c r="H487" s="16">
        <f>IF(A487="","",IFERROR(INDEX('激励事件明细'!$AB$2:$AB$501,IF(D487&lt;&gt;"",MATCH(D487,'激励事件明细'!$A$2:$A$501,0),MATCH(E487,'激励事件明细'!$B$2:$B$501,0))),""))</f>
        <v/>
      </c>
      <c r="I487" s="12" t="n"/>
      <c r="J487" s="13" t="n"/>
      <c r="K487" s="13" t="n"/>
      <c r="L487" s="11" t="n"/>
      <c r="M487" s="14">
        <f>IF(A487="","",IF(D487&lt;&gt;"",SUMIFS($K$2:$K$501,$D$2:$D$501,D487),SUMIFS($K$2:$K$501,$E$2:$E$501,E487)))</f>
        <v/>
      </c>
      <c r="N487" s="14">
        <f>IF(F487="","",MAX(0,F487-M487))</f>
        <v/>
      </c>
      <c r="O487" s="6">
        <f>IF(A487="","",IF(AND(I487&lt;&gt;"",I487&gt;H487),"是",IF(AND(TODAY()&gt;H487,N487&gt;0),"是","否")))</f>
        <v/>
      </c>
      <c r="P487" s="16">
        <f>IF(A487="","",IFERROR(INDEX('激励事件明细'!$P$2:$P$501,IF(D487&lt;&gt;"",MATCH(D487,'激励事件明细'!$A$2:$A$501,0),MATCH(E487,'激励事件明细'!$B$2:$B$501,0))),""))</f>
        <v/>
      </c>
      <c r="Q487" s="6">
        <f>IF(AND(D487="",E487=""),"异常：必须关联事件编号或税额批次",IF(AND(D487&lt;&gt;"",COUNTIF('激励事件明细'!$A$2:$A$501,D487)=0),"异常：事件编号不存在",IF(AND(E487&lt;&gt;"",COUNTIF('激励事件明细'!$B$2:$B$501,E487)=0),"异常：税额批次不存在",IF(M487&gt;F487,"异常：本批次超额缴税",IF(AND(I487&lt;&gt;"",I487&gt;H487),"异常：超过事件截止日",IF(AND(P487&lt;&gt;"",TODAY()&gt;=P487,N487&gt;0),"异常：离职前未缴清","正常"))))))</f>
        <v/>
      </c>
      <c r="R487" s="11" t="n"/>
    </row>
    <row r="488">
      <c r="A488" s="6">
        <f>IF(AND(D488="",E488=""),"",IFERROR(INDEX('激励事件明细'!$C$2:$C$501,IF(D488&lt;&gt;"",MATCH(D488,'激励事件明细'!$A$2:$A$501,0),MATCH(E488,'激励事件明细'!$B$2:$B$501,0))),""))</f>
        <v/>
      </c>
      <c r="B488" s="6">
        <f>IF(A488="","",IFERROR(INDEX('激励事件明细'!$D$2:$D$501,IF(D488&lt;&gt;"",MATCH(D488,'激励事件明细'!$A$2:$A$501,0),MATCH(E488,'激励事件明细'!$B$2:$B$501,0))),""))</f>
        <v/>
      </c>
      <c r="C488" s="6">
        <f>IF(A488="","",IFERROR(INDEX('激励事件明细'!$H$2:$H$501,IF(D488&lt;&gt;"",MATCH(D488,'激励事件明细'!$A$2:$A$501,0),MATCH(E488,'激励事件明细'!$B$2:$B$501,0))),""))</f>
        <v/>
      </c>
      <c r="D488" s="11" t="n"/>
      <c r="E488" s="11" t="n"/>
      <c r="F488" s="14">
        <f>IF(A488="","",IFERROR(INDEX('激励事件明细'!$Z$2:$Z$501,IF(D488&lt;&gt;"",MATCH(D488,'激励事件明细'!$A$2:$A$501,0),MATCH(E488,'激励事件明细'!$B$2:$B$501,0))),""))</f>
        <v/>
      </c>
      <c r="G488" s="16">
        <f>IF(A488="","",IFERROR(INDEX('激励事件明细'!$AA$2:$AA$501,IF(D488&lt;&gt;"",MATCH(D488,'激励事件明细'!$A$2:$A$501,0),MATCH(E488,'激励事件明细'!$B$2:$B$501,0))),""))</f>
        <v/>
      </c>
      <c r="H488" s="16">
        <f>IF(A488="","",IFERROR(INDEX('激励事件明细'!$AB$2:$AB$501,IF(D488&lt;&gt;"",MATCH(D488,'激励事件明细'!$A$2:$A$501,0),MATCH(E488,'激励事件明细'!$B$2:$B$501,0))),""))</f>
        <v/>
      </c>
      <c r="I488" s="12" t="n"/>
      <c r="J488" s="13" t="n"/>
      <c r="K488" s="13" t="n"/>
      <c r="L488" s="11" t="n"/>
      <c r="M488" s="14">
        <f>IF(A488="","",IF(D488&lt;&gt;"",SUMIFS($K$2:$K$501,$D$2:$D$501,D488),SUMIFS($K$2:$K$501,$E$2:$E$501,E488)))</f>
        <v/>
      </c>
      <c r="N488" s="14">
        <f>IF(F488="","",MAX(0,F488-M488))</f>
        <v/>
      </c>
      <c r="O488" s="6">
        <f>IF(A488="","",IF(AND(I488&lt;&gt;"",I488&gt;H488),"是",IF(AND(TODAY()&gt;H488,N488&gt;0),"是","否")))</f>
        <v/>
      </c>
      <c r="P488" s="16">
        <f>IF(A488="","",IFERROR(INDEX('激励事件明细'!$P$2:$P$501,IF(D488&lt;&gt;"",MATCH(D488,'激励事件明细'!$A$2:$A$501,0),MATCH(E488,'激励事件明细'!$B$2:$B$501,0))),""))</f>
        <v/>
      </c>
      <c r="Q488" s="6">
        <f>IF(AND(D488="",E488=""),"异常：必须关联事件编号或税额批次",IF(AND(D488&lt;&gt;"",COUNTIF('激励事件明细'!$A$2:$A$501,D488)=0),"异常：事件编号不存在",IF(AND(E488&lt;&gt;"",COUNTIF('激励事件明细'!$B$2:$B$501,E488)=0),"异常：税额批次不存在",IF(M488&gt;F488,"异常：本批次超额缴税",IF(AND(I488&lt;&gt;"",I488&gt;H488),"异常：超过事件截止日",IF(AND(P488&lt;&gt;"",TODAY()&gt;=P488,N488&gt;0),"异常：离职前未缴清","正常"))))))</f>
        <v/>
      </c>
      <c r="R488" s="11" t="n"/>
    </row>
    <row r="489">
      <c r="A489" s="6">
        <f>IF(AND(D489="",E489=""),"",IFERROR(INDEX('激励事件明细'!$C$2:$C$501,IF(D489&lt;&gt;"",MATCH(D489,'激励事件明细'!$A$2:$A$501,0),MATCH(E489,'激励事件明细'!$B$2:$B$501,0))),""))</f>
        <v/>
      </c>
      <c r="B489" s="6">
        <f>IF(A489="","",IFERROR(INDEX('激励事件明细'!$D$2:$D$501,IF(D489&lt;&gt;"",MATCH(D489,'激励事件明细'!$A$2:$A$501,0),MATCH(E489,'激励事件明细'!$B$2:$B$501,0))),""))</f>
        <v/>
      </c>
      <c r="C489" s="6">
        <f>IF(A489="","",IFERROR(INDEX('激励事件明细'!$H$2:$H$501,IF(D489&lt;&gt;"",MATCH(D489,'激励事件明细'!$A$2:$A$501,0),MATCH(E489,'激励事件明细'!$B$2:$B$501,0))),""))</f>
        <v/>
      </c>
      <c r="D489" s="11" t="n"/>
      <c r="E489" s="11" t="n"/>
      <c r="F489" s="14">
        <f>IF(A489="","",IFERROR(INDEX('激励事件明细'!$Z$2:$Z$501,IF(D489&lt;&gt;"",MATCH(D489,'激励事件明细'!$A$2:$A$501,0),MATCH(E489,'激励事件明细'!$B$2:$B$501,0))),""))</f>
        <v/>
      </c>
      <c r="G489" s="16">
        <f>IF(A489="","",IFERROR(INDEX('激励事件明细'!$AA$2:$AA$501,IF(D489&lt;&gt;"",MATCH(D489,'激励事件明细'!$A$2:$A$501,0),MATCH(E489,'激励事件明细'!$B$2:$B$501,0))),""))</f>
        <v/>
      </c>
      <c r="H489" s="16">
        <f>IF(A489="","",IFERROR(INDEX('激励事件明细'!$AB$2:$AB$501,IF(D489&lt;&gt;"",MATCH(D489,'激励事件明细'!$A$2:$A$501,0),MATCH(E489,'激励事件明细'!$B$2:$B$501,0))),""))</f>
        <v/>
      </c>
      <c r="I489" s="12" t="n"/>
      <c r="J489" s="13" t="n"/>
      <c r="K489" s="13" t="n"/>
      <c r="L489" s="11" t="n"/>
      <c r="M489" s="14">
        <f>IF(A489="","",IF(D489&lt;&gt;"",SUMIFS($K$2:$K$501,$D$2:$D$501,D489),SUMIFS($K$2:$K$501,$E$2:$E$501,E489)))</f>
        <v/>
      </c>
      <c r="N489" s="14">
        <f>IF(F489="","",MAX(0,F489-M489))</f>
        <v/>
      </c>
      <c r="O489" s="6">
        <f>IF(A489="","",IF(AND(I489&lt;&gt;"",I489&gt;H489),"是",IF(AND(TODAY()&gt;H489,N489&gt;0),"是","否")))</f>
        <v/>
      </c>
      <c r="P489" s="16">
        <f>IF(A489="","",IFERROR(INDEX('激励事件明细'!$P$2:$P$501,IF(D489&lt;&gt;"",MATCH(D489,'激励事件明细'!$A$2:$A$501,0),MATCH(E489,'激励事件明细'!$B$2:$B$501,0))),""))</f>
        <v/>
      </c>
      <c r="Q489" s="6">
        <f>IF(AND(D489="",E489=""),"异常：必须关联事件编号或税额批次",IF(AND(D489&lt;&gt;"",COUNTIF('激励事件明细'!$A$2:$A$501,D489)=0),"异常：事件编号不存在",IF(AND(E489&lt;&gt;"",COUNTIF('激励事件明细'!$B$2:$B$501,E489)=0),"异常：税额批次不存在",IF(M489&gt;F489,"异常：本批次超额缴税",IF(AND(I489&lt;&gt;"",I489&gt;H489),"异常：超过事件截止日",IF(AND(P489&lt;&gt;"",TODAY()&gt;=P489,N489&gt;0),"异常：离职前未缴清","正常"))))))</f>
        <v/>
      </c>
      <c r="R489" s="11" t="n"/>
    </row>
    <row r="490">
      <c r="A490" s="6">
        <f>IF(AND(D490="",E490=""),"",IFERROR(INDEX('激励事件明细'!$C$2:$C$501,IF(D490&lt;&gt;"",MATCH(D490,'激励事件明细'!$A$2:$A$501,0),MATCH(E490,'激励事件明细'!$B$2:$B$501,0))),""))</f>
        <v/>
      </c>
      <c r="B490" s="6">
        <f>IF(A490="","",IFERROR(INDEX('激励事件明细'!$D$2:$D$501,IF(D490&lt;&gt;"",MATCH(D490,'激励事件明细'!$A$2:$A$501,0),MATCH(E490,'激励事件明细'!$B$2:$B$501,0))),""))</f>
        <v/>
      </c>
      <c r="C490" s="6">
        <f>IF(A490="","",IFERROR(INDEX('激励事件明细'!$H$2:$H$501,IF(D490&lt;&gt;"",MATCH(D490,'激励事件明细'!$A$2:$A$501,0),MATCH(E490,'激励事件明细'!$B$2:$B$501,0))),""))</f>
        <v/>
      </c>
      <c r="D490" s="11" t="n"/>
      <c r="E490" s="11" t="n"/>
      <c r="F490" s="14">
        <f>IF(A490="","",IFERROR(INDEX('激励事件明细'!$Z$2:$Z$501,IF(D490&lt;&gt;"",MATCH(D490,'激励事件明细'!$A$2:$A$501,0),MATCH(E490,'激励事件明细'!$B$2:$B$501,0))),""))</f>
        <v/>
      </c>
      <c r="G490" s="16">
        <f>IF(A490="","",IFERROR(INDEX('激励事件明细'!$AA$2:$AA$501,IF(D490&lt;&gt;"",MATCH(D490,'激励事件明细'!$A$2:$A$501,0),MATCH(E490,'激励事件明细'!$B$2:$B$501,0))),""))</f>
        <v/>
      </c>
      <c r="H490" s="16">
        <f>IF(A490="","",IFERROR(INDEX('激励事件明细'!$AB$2:$AB$501,IF(D490&lt;&gt;"",MATCH(D490,'激励事件明细'!$A$2:$A$501,0),MATCH(E490,'激励事件明细'!$B$2:$B$501,0))),""))</f>
        <v/>
      </c>
      <c r="I490" s="12" t="n"/>
      <c r="J490" s="13" t="n"/>
      <c r="K490" s="13" t="n"/>
      <c r="L490" s="11" t="n"/>
      <c r="M490" s="14">
        <f>IF(A490="","",IF(D490&lt;&gt;"",SUMIFS($K$2:$K$501,$D$2:$D$501,D490),SUMIFS($K$2:$K$501,$E$2:$E$501,E490)))</f>
        <v/>
      </c>
      <c r="N490" s="14">
        <f>IF(F490="","",MAX(0,F490-M490))</f>
        <v/>
      </c>
      <c r="O490" s="6">
        <f>IF(A490="","",IF(AND(I490&lt;&gt;"",I490&gt;H490),"是",IF(AND(TODAY()&gt;H490,N490&gt;0),"是","否")))</f>
        <v/>
      </c>
      <c r="P490" s="16">
        <f>IF(A490="","",IFERROR(INDEX('激励事件明细'!$P$2:$P$501,IF(D490&lt;&gt;"",MATCH(D490,'激励事件明细'!$A$2:$A$501,0),MATCH(E490,'激励事件明细'!$B$2:$B$501,0))),""))</f>
        <v/>
      </c>
      <c r="Q490" s="6">
        <f>IF(AND(D490="",E490=""),"异常：必须关联事件编号或税额批次",IF(AND(D490&lt;&gt;"",COUNTIF('激励事件明细'!$A$2:$A$501,D490)=0),"异常：事件编号不存在",IF(AND(E490&lt;&gt;"",COUNTIF('激励事件明细'!$B$2:$B$501,E490)=0),"异常：税额批次不存在",IF(M490&gt;F490,"异常：本批次超额缴税",IF(AND(I490&lt;&gt;"",I490&gt;H490),"异常：超过事件截止日",IF(AND(P490&lt;&gt;"",TODAY()&gt;=P490,N490&gt;0),"异常：离职前未缴清","正常"))))))</f>
        <v/>
      </c>
      <c r="R490" s="11" t="n"/>
    </row>
    <row r="491">
      <c r="A491" s="6">
        <f>IF(AND(D491="",E491=""),"",IFERROR(INDEX('激励事件明细'!$C$2:$C$501,IF(D491&lt;&gt;"",MATCH(D491,'激励事件明细'!$A$2:$A$501,0),MATCH(E491,'激励事件明细'!$B$2:$B$501,0))),""))</f>
        <v/>
      </c>
      <c r="B491" s="6">
        <f>IF(A491="","",IFERROR(INDEX('激励事件明细'!$D$2:$D$501,IF(D491&lt;&gt;"",MATCH(D491,'激励事件明细'!$A$2:$A$501,0),MATCH(E491,'激励事件明细'!$B$2:$B$501,0))),""))</f>
        <v/>
      </c>
      <c r="C491" s="6">
        <f>IF(A491="","",IFERROR(INDEX('激励事件明细'!$H$2:$H$501,IF(D491&lt;&gt;"",MATCH(D491,'激励事件明细'!$A$2:$A$501,0),MATCH(E491,'激励事件明细'!$B$2:$B$501,0))),""))</f>
        <v/>
      </c>
      <c r="D491" s="11" t="n"/>
      <c r="E491" s="11" t="n"/>
      <c r="F491" s="14">
        <f>IF(A491="","",IFERROR(INDEX('激励事件明细'!$Z$2:$Z$501,IF(D491&lt;&gt;"",MATCH(D491,'激励事件明细'!$A$2:$A$501,0),MATCH(E491,'激励事件明细'!$B$2:$B$501,0))),""))</f>
        <v/>
      </c>
      <c r="G491" s="16">
        <f>IF(A491="","",IFERROR(INDEX('激励事件明细'!$AA$2:$AA$501,IF(D491&lt;&gt;"",MATCH(D491,'激励事件明细'!$A$2:$A$501,0),MATCH(E491,'激励事件明细'!$B$2:$B$501,0))),""))</f>
        <v/>
      </c>
      <c r="H491" s="16">
        <f>IF(A491="","",IFERROR(INDEX('激励事件明细'!$AB$2:$AB$501,IF(D491&lt;&gt;"",MATCH(D491,'激励事件明细'!$A$2:$A$501,0),MATCH(E491,'激励事件明细'!$B$2:$B$501,0))),""))</f>
        <v/>
      </c>
      <c r="I491" s="12" t="n"/>
      <c r="J491" s="13" t="n"/>
      <c r="K491" s="13" t="n"/>
      <c r="L491" s="11" t="n"/>
      <c r="M491" s="14">
        <f>IF(A491="","",IF(D491&lt;&gt;"",SUMIFS($K$2:$K$501,$D$2:$D$501,D491),SUMIFS($K$2:$K$501,$E$2:$E$501,E491)))</f>
        <v/>
      </c>
      <c r="N491" s="14">
        <f>IF(F491="","",MAX(0,F491-M491))</f>
        <v/>
      </c>
      <c r="O491" s="6">
        <f>IF(A491="","",IF(AND(I491&lt;&gt;"",I491&gt;H491),"是",IF(AND(TODAY()&gt;H491,N491&gt;0),"是","否")))</f>
        <v/>
      </c>
      <c r="P491" s="16">
        <f>IF(A491="","",IFERROR(INDEX('激励事件明细'!$P$2:$P$501,IF(D491&lt;&gt;"",MATCH(D491,'激励事件明细'!$A$2:$A$501,0),MATCH(E491,'激励事件明细'!$B$2:$B$501,0))),""))</f>
        <v/>
      </c>
      <c r="Q491" s="6">
        <f>IF(AND(D491="",E491=""),"异常：必须关联事件编号或税额批次",IF(AND(D491&lt;&gt;"",COUNTIF('激励事件明细'!$A$2:$A$501,D491)=0),"异常：事件编号不存在",IF(AND(E491&lt;&gt;"",COUNTIF('激励事件明细'!$B$2:$B$501,E491)=0),"异常：税额批次不存在",IF(M491&gt;F491,"异常：本批次超额缴税",IF(AND(I491&lt;&gt;"",I491&gt;H491),"异常：超过事件截止日",IF(AND(P491&lt;&gt;"",TODAY()&gt;=P491,N491&gt;0),"异常：离职前未缴清","正常"))))))</f>
        <v/>
      </c>
      <c r="R491" s="11" t="n"/>
    </row>
    <row r="492">
      <c r="A492" s="6">
        <f>IF(AND(D492="",E492=""),"",IFERROR(INDEX('激励事件明细'!$C$2:$C$501,IF(D492&lt;&gt;"",MATCH(D492,'激励事件明细'!$A$2:$A$501,0),MATCH(E492,'激励事件明细'!$B$2:$B$501,0))),""))</f>
        <v/>
      </c>
      <c r="B492" s="6">
        <f>IF(A492="","",IFERROR(INDEX('激励事件明细'!$D$2:$D$501,IF(D492&lt;&gt;"",MATCH(D492,'激励事件明细'!$A$2:$A$501,0),MATCH(E492,'激励事件明细'!$B$2:$B$501,0))),""))</f>
        <v/>
      </c>
      <c r="C492" s="6">
        <f>IF(A492="","",IFERROR(INDEX('激励事件明细'!$H$2:$H$501,IF(D492&lt;&gt;"",MATCH(D492,'激励事件明细'!$A$2:$A$501,0),MATCH(E492,'激励事件明细'!$B$2:$B$501,0))),""))</f>
        <v/>
      </c>
      <c r="D492" s="11" t="n"/>
      <c r="E492" s="11" t="n"/>
      <c r="F492" s="14">
        <f>IF(A492="","",IFERROR(INDEX('激励事件明细'!$Z$2:$Z$501,IF(D492&lt;&gt;"",MATCH(D492,'激励事件明细'!$A$2:$A$501,0),MATCH(E492,'激励事件明细'!$B$2:$B$501,0))),""))</f>
        <v/>
      </c>
      <c r="G492" s="16">
        <f>IF(A492="","",IFERROR(INDEX('激励事件明细'!$AA$2:$AA$501,IF(D492&lt;&gt;"",MATCH(D492,'激励事件明细'!$A$2:$A$501,0),MATCH(E492,'激励事件明细'!$B$2:$B$501,0))),""))</f>
        <v/>
      </c>
      <c r="H492" s="16">
        <f>IF(A492="","",IFERROR(INDEX('激励事件明细'!$AB$2:$AB$501,IF(D492&lt;&gt;"",MATCH(D492,'激励事件明细'!$A$2:$A$501,0),MATCH(E492,'激励事件明细'!$B$2:$B$501,0))),""))</f>
        <v/>
      </c>
      <c r="I492" s="12" t="n"/>
      <c r="J492" s="13" t="n"/>
      <c r="K492" s="13" t="n"/>
      <c r="L492" s="11" t="n"/>
      <c r="M492" s="14">
        <f>IF(A492="","",IF(D492&lt;&gt;"",SUMIFS($K$2:$K$501,$D$2:$D$501,D492),SUMIFS($K$2:$K$501,$E$2:$E$501,E492)))</f>
        <v/>
      </c>
      <c r="N492" s="14">
        <f>IF(F492="","",MAX(0,F492-M492))</f>
        <v/>
      </c>
      <c r="O492" s="6">
        <f>IF(A492="","",IF(AND(I492&lt;&gt;"",I492&gt;H492),"是",IF(AND(TODAY()&gt;H492,N492&gt;0),"是","否")))</f>
        <v/>
      </c>
      <c r="P492" s="16">
        <f>IF(A492="","",IFERROR(INDEX('激励事件明细'!$P$2:$P$501,IF(D492&lt;&gt;"",MATCH(D492,'激励事件明细'!$A$2:$A$501,0),MATCH(E492,'激励事件明细'!$B$2:$B$501,0))),""))</f>
        <v/>
      </c>
      <c r="Q492" s="6">
        <f>IF(AND(D492="",E492=""),"异常：必须关联事件编号或税额批次",IF(AND(D492&lt;&gt;"",COUNTIF('激励事件明细'!$A$2:$A$501,D492)=0),"异常：事件编号不存在",IF(AND(E492&lt;&gt;"",COUNTIF('激励事件明细'!$B$2:$B$501,E492)=0),"异常：税额批次不存在",IF(M492&gt;F492,"异常：本批次超额缴税",IF(AND(I492&lt;&gt;"",I492&gt;H492),"异常：超过事件截止日",IF(AND(P492&lt;&gt;"",TODAY()&gt;=P492,N492&gt;0),"异常：离职前未缴清","正常"))))))</f>
        <v/>
      </c>
      <c r="R492" s="11" t="n"/>
    </row>
    <row r="493">
      <c r="A493" s="6">
        <f>IF(AND(D493="",E493=""),"",IFERROR(INDEX('激励事件明细'!$C$2:$C$501,IF(D493&lt;&gt;"",MATCH(D493,'激励事件明细'!$A$2:$A$501,0),MATCH(E493,'激励事件明细'!$B$2:$B$501,0))),""))</f>
        <v/>
      </c>
      <c r="B493" s="6">
        <f>IF(A493="","",IFERROR(INDEX('激励事件明细'!$D$2:$D$501,IF(D493&lt;&gt;"",MATCH(D493,'激励事件明细'!$A$2:$A$501,0),MATCH(E493,'激励事件明细'!$B$2:$B$501,0))),""))</f>
        <v/>
      </c>
      <c r="C493" s="6">
        <f>IF(A493="","",IFERROR(INDEX('激励事件明细'!$H$2:$H$501,IF(D493&lt;&gt;"",MATCH(D493,'激励事件明细'!$A$2:$A$501,0),MATCH(E493,'激励事件明细'!$B$2:$B$501,0))),""))</f>
        <v/>
      </c>
      <c r="D493" s="11" t="n"/>
      <c r="E493" s="11" t="n"/>
      <c r="F493" s="14">
        <f>IF(A493="","",IFERROR(INDEX('激励事件明细'!$Z$2:$Z$501,IF(D493&lt;&gt;"",MATCH(D493,'激励事件明细'!$A$2:$A$501,0),MATCH(E493,'激励事件明细'!$B$2:$B$501,0))),""))</f>
        <v/>
      </c>
      <c r="G493" s="16">
        <f>IF(A493="","",IFERROR(INDEX('激励事件明细'!$AA$2:$AA$501,IF(D493&lt;&gt;"",MATCH(D493,'激励事件明细'!$A$2:$A$501,0),MATCH(E493,'激励事件明细'!$B$2:$B$501,0))),""))</f>
        <v/>
      </c>
      <c r="H493" s="16">
        <f>IF(A493="","",IFERROR(INDEX('激励事件明细'!$AB$2:$AB$501,IF(D493&lt;&gt;"",MATCH(D493,'激励事件明细'!$A$2:$A$501,0),MATCH(E493,'激励事件明细'!$B$2:$B$501,0))),""))</f>
        <v/>
      </c>
      <c r="I493" s="12" t="n"/>
      <c r="J493" s="13" t="n"/>
      <c r="K493" s="13" t="n"/>
      <c r="L493" s="11" t="n"/>
      <c r="M493" s="14">
        <f>IF(A493="","",IF(D493&lt;&gt;"",SUMIFS($K$2:$K$501,$D$2:$D$501,D493),SUMIFS($K$2:$K$501,$E$2:$E$501,E493)))</f>
        <v/>
      </c>
      <c r="N493" s="14">
        <f>IF(F493="","",MAX(0,F493-M493))</f>
        <v/>
      </c>
      <c r="O493" s="6">
        <f>IF(A493="","",IF(AND(I493&lt;&gt;"",I493&gt;H493),"是",IF(AND(TODAY()&gt;H493,N493&gt;0),"是","否")))</f>
        <v/>
      </c>
      <c r="P493" s="16">
        <f>IF(A493="","",IFERROR(INDEX('激励事件明细'!$P$2:$P$501,IF(D493&lt;&gt;"",MATCH(D493,'激励事件明细'!$A$2:$A$501,0),MATCH(E493,'激励事件明细'!$B$2:$B$501,0))),""))</f>
        <v/>
      </c>
      <c r="Q493" s="6">
        <f>IF(AND(D493="",E493=""),"异常：必须关联事件编号或税额批次",IF(AND(D493&lt;&gt;"",COUNTIF('激励事件明细'!$A$2:$A$501,D493)=0),"异常：事件编号不存在",IF(AND(E493&lt;&gt;"",COUNTIF('激励事件明细'!$B$2:$B$501,E493)=0),"异常：税额批次不存在",IF(M493&gt;F493,"异常：本批次超额缴税",IF(AND(I493&lt;&gt;"",I493&gt;H493),"异常：超过事件截止日",IF(AND(P493&lt;&gt;"",TODAY()&gt;=P493,N493&gt;0),"异常：离职前未缴清","正常"))))))</f>
        <v/>
      </c>
      <c r="R493" s="11" t="n"/>
    </row>
    <row r="494">
      <c r="A494" s="6">
        <f>IF(AND(D494="",E494=""),"",IFERROR(INDEX('激励事件明细'!$C$2:$C$501,IF(D494&lt;&gt;"",MATCH(D494,'激励事件明细'!$A$2:$A$501,0),MATCH(E494,'激励事件明细'!$B$2:$B$501,0))),""))</f>
        <v/>
      </c>
      <c r="B494" s="6">
        <f>IF(A494="","",IFERROR(INDEX('激励事件明细'!$D$2:$D$501,IF(D494&lt;&gt;"",MATCH(D494,'激励事件明细'!$A$2:$A$501,0),MATCH(E494,'激励事件明细'!$B$2:$B$501,0))),""))</f>
        <v/>
      </c>
      <c r="C494" s="6">
        <f>IF(A494="","",IFERROR(INDEX('激励事件明细'!$H$2:$H$501,IF(D494&lt;&gt;"",MATCH(D494,'激励事件明细'!$A$2:$A$501,0),MATCH(E494,'激励事件明细'!$B$2:$B$501,0))),""))</f>
        <v/>
      </c>
      <c r="D494" s="11" t="n"/>
      <c r="E494" s="11" t="n"/>
      <c r="F494" s="14">
        <f>IF(A494="","",IFERROR(INDEX('激励事件明细'!$Z$2:$Z$501,IF(D494&lt;&gt;"",MATCH(D494,'激励事件明细'!$A$2:$A$501,0),MATCH(E494,'激励事件明细'!$B$2:$B$501,0))),""))</f>
        <v/>
      </c>
      <c r="G494" s="16">
        <f>IF(A494="","",IFERROR(INDEX('激励事件明细'!$AA$2:$AA$501,IF(D494&lt;&gt;"",MATCH(D494,'激励事件明细'!$A$2:$A$501,0),MATCH(E494,'激励事件明细'!$B$2:$B$501,0))),""))</f>
        <v/>
      </c>
      <c r="H494" s="16">
        <f>IF(A494="","",IFERROR(INDEX('激励事件明细'!$AB$2:$AB$501,IF(D494&lt;&gt;"",MATCH(D494,'激励事件明细'!$A$2:$A$501,0),MATCH(E494,'激励事件明细'!$B$2:$B$501,0))),""))</f>
        <v/>
      </c>
      <c r="I494" s="12" t="n"/>
      <c r="J494" s="13" t="n"/>
      <c r="K494" s="13" t="n"/>
      <c r="L494" s="11" t="n"/>
      <c r="M494" s="14">
        <f>IF(A494="","",IF(D494&lt;&gt;"",SUMIFS($K$2:$K$501,$D$2:$D$501,D494),SUMIFS($K$2:$K$501,$E$2:$E$501,E494)))</f>
        <v/>
      </c>
      <c r="N494" s="14">
        <f>IF(F494="","",MAX(0,F494-M494))</f>
        <v/>
      </c>
      <c r="O494" s="6">
        <f>IF(A494="","",IF(AND(I494&lt;&gt;"",I494&gt;H494),"是",IF(AND(TODAY()&gt;H494,N494&gt;0),"是","否")))</f>
        <v/>
      </c>
      <c r="P494" s="16">
        <f>IF(A494="","",IFERROR(INDEX('激励事件明细'!$P$2:$P$501,IF(D494&lt;&gt;"",MATCH(D494,'激励事件明细'!$A$2:$A$501,0),MATCH(E494,'激励事件明细'!$B$2:$B$501,0))),""))</f>
        <v/>
      </c>
      <c r="Q494" s="6">
        <f>IF(AND(D494="",E494=""),"异常：必须关联事件编号或税额批次",IF(AND(D494&lt;&gt;"",COUNTIF('激励事件明细'!$A$2:$A$501,D494)=0),"异常：事件编号不存在",IF(AND(E494&lt;&gt;"",COUNTIF('激励事件明细'!$B$2:$B$501,E494)=0),"异常：税额批次不存在",IF(M494&gt;F494,"异常：本批次超额缴税",IF(AND(I494&lt;&gt;"",I494&gt;H494),"异常：超过事件截止日",IF(AND(P494&lt;&gt;"",TODAY()&gt;=P494,N494&gt;0),"异常：离职前未缴清","正常"))))))</f>
        <v/>
      </c>
      <c r="R494" s="11" t="n"/>
    </row>
    <row r="495">
      <c r="A495" s="6">
        <f>IF(AND(D495="",E495=""),"",IFERROR(INDEX('激励事件明细'!$C$2:$C$501,IF(D495&lt;&gt;"",MATCH(D495,'激励事件明细'!$A$2:$A$501,0),MATCH(E495,'激励事件明细'!$B$2:$B$501,0))),""))</f>
        <v/>
      </c>
      <c r="B495" s="6">
        <f>IF(A495="","",IFERROR(INDEX('激励事件明细'!$D$2:$D$501,IF(D495&lt;&gt;"",MATCH(D495,'激励事件明细'!$A$2:$A$501,0),MATCH(E495,'激励事件明细'!$B$2:$B$501,0))),""))</f>
        <v/>
      </c>
      <c r="C495" s="6">
        <f>IF(A495="","",IFERROR(INDEX('激励事件明细'!$H$2:$H$501,IF(D495&lt;&gt;"",MATCH(D495,'激励事件明细'!$A$2:$A$501,0),MATCH(E495,'激励事件明细'!$B$2:$B$501,0))),""))</f>
        <v/>
      </c>
      <c r="D495" s="11" t="n"/>
      <c r="E495" s="11" t="n"/>
      <c r="F495" s="14">
        <f>IF(A495="","",IFERROR(INDEX('激励事件明细'!$Z$2:$Z$501,IF(D495&lt;&gt;"",MATCH(D495,'激励事件明细'!$A$2:$A$501,0),MATCH(E495,'激励事件明细'!$B$2:$B$501,0))),""))</f>
        <v/>
      </c>
      <c r="G495" s="16">
        <f>IF(A495="","",IFERROR(INDEX('激励事件明细'!$AA$2:$AA$501,IF(D495&lt;&gt;"",MATCH(D495,'激励事件明细'!$A$2:$A$501,0),MATCH(E495,'激励事件明细'!$B$2:$B$501,0))),""))</f>
        <v/>
      </c>
      <c r="H495" s="16">
        <f>IF(A495="","",IFERROR(INDEX('激励事件明细'!$AB$2:$AB$501,IF(D495&lt;&gt;"",MATCH(D495,'激励事件明细'!$A$2:$A$501,0),MATCH(E495,'激励事件明细'!$B$2:$B$501,0))),""))</f>
        <v/>
      </c>
      <c r="I495" s="12" t="n"/>
      <c r="J495" s="13" t="n"/>
      <c r="K495" s="13" t="n"/>
      <c r="L495" s="11" t="n"/>
      <c r="M495" s="14">
        <f>IF(A495="","",IF(D495&lt;&gt;"",SUMIFS($K$2:$K$501,$D$2:$D$501,D495),SUMIFS($K$2:$K$501,$E$2:$E$501,E495)))</f>
        <v/>
      </c>
      <c r="N495" s="14">
        <f>IF(F495="","",MAX(0,F495-M495))</f>
        <v/>
      </c>
      <c r="O495" s="6">
        <f>IF(A495="","",IF(AND(I495&lt;&gt;"",I495&gt;H495),"是",IF(AND(TODAY()&gt;H495,N495&gt;0),"是","否")))</f>
        <v/>
      </c>
      <c r="P495" s="16">
        <f>IF(A495="","",IFERROR(INDEX('激励事件明细'!$P$2:$P$501,IF(D495&lt;&gt;"",MATCH(D495,'激励事件明细'!$A$2:$A$501,0),MATCH(E495,'激励事件明细'!$B$2:$B$501,0))),""))</f>
        <v/>
      </c>
      <c r="Q495" s="6">
        <f>IF(AND(D495="",E495=""),"异常：必须关联事件编号或税额批次",IF(AND(D495&lt;&gt;"",COUNTIF('激励事件明细'!$A$2:$A$501,D495)=0),"异常：事件编号不存在",IF(AND(E495&lt;&gt;"",COUNTIF('激励事件明细'!$B$2:$B$501,E495)=0),"异常：税额批次不存在",IF(M495&gt;F495,"异常：本批次超额缴税",IF(AND(I495&lt;&gt;"",I495&gt;H495),"异常：超过事件截止日",IF(AND(P495&lt;&gt;"",TODAY()&gt;=P495,N495&gt;0),"异常：离职前未缴清","正常"))))))</f>
        <v/>
      </c>
      <c r="R495" s="11" t="n"/>
    </row>
    <row r="496">
      <c r="A496" s="6">
        <f>IF(AND(D496="",E496=""),"",IFERROR(INDEX('激励事件明细'!$C$2:$C$501,IF(D496&lt;&gt;"",MATCH(D496,'激励事件明细'!$A$2:$A$501,0),MATCH(E496,'激励事件明细'!$B$2:$B$501,0))),""))</f>
        <v/>
      </c>
      <c r="B496" s="6">
        <f>IF(A496="","",IFERROR(INDEX('激励事件明细'!$D$2:$D$501,IF(D496&lt;&gt;"",MATCH(D496,'激励事件明细'!$A$2:$A$501,0),MATCH(E496,'激励事件明细'!$B$2:$B$501,0))),""))</f>
        <v/>
      </c>
      <c r="C496" s="6">
        <f>IF(A496="","",IFERROR(INDEX('激励事件明细'!$H$2:$H$501,IF(D496&lt;&gt;"",MATCH(D496,'激励事件明细'!$A$2:$A$501,0),MATCH(E496,'激励事件明细'!$B$2:$B$501,0))),""))</f>
        <v/>
      </c>
      <c r="D496" s="11" t="n"/>
      <c r="E496" s="11" t="n"/>
      <c r="F496" s="14">
        <f>IF(A496="","",IFERROR(INDEX('激励事件明细'!$Z$2:$Z$501,IF(D496&lt;&gt;"",MATCH(D496,'激励事件明细'!$A$2:$A$501,0),MATCH(E496,'激励事件明细'!$B$2:$B$501,0))),""))</f>
        <v/>
      </c>
      <c r="G496" s="16">
        <f>IF(A496="","",IFERROR(INDEX('激励事件明细'!$AA$2:$AA$501,IF(D496&lt;&gt;"",MATCH(D496,'激励事件明细'!$A$2:$A$501,0),MATCH(E496,'激励事件明细'!$B$2:$B$501,0))),""))</f>
        <v/>
      </c>
      <c r="H496" s="16">
        <f>IF(A496="","",IFERROR(INDEX('激励事件明细'!$AB$2:$AB$501,IF(D496&lt;&gt;"",MATCH(D496,'激励事件明细'!$A$2:$A$501,0),MATCH(E496,'激励事件明细'!$B$2:$B$501,0))),""))</f>
        <v/>
      </c>
      <c r="I496" s="12" t="n"/>
      <c r="J496" s="13" t="n"/>
      <c r="K496" s="13" t="n"/>
      <c r="L496" s="11" t="n"/>
      <c r="M496" s="14">
        <f>IF(A496="","",IF(D496&lt;&gt;"",SUMIFS($K$2:$K$501,$D$2:$D$501,D496),SUMIFS($K$2:$K$501,$E$2:$E$501,E496)))</f>
        <v/>
      </c>
      <c r="N496" s="14">
        <f>IF(F496="","",MAX(0,F496-M496))</f>
        <v/>
      </c>
      <c r="O496" s="6">
        <f>IF(A496="","",IF(AND(I496&lt;&gt;"",I496&gt;H496),"是",IF(AND(TODAY()&gt;H496,N496&gt;0),"是","否")))</f>
        <v/>
      </c>
      <c r="P496" s="16">
        <f>IF(A496="","",IFERROR(INDEX('激励事件明细'!$P$2:$P$501,IF(D496&lt;&gt;"",MATCH(D496,'激励事件明细'!$A$2:$A$501,0),MATCH(E496,'激励事件明细'!$B$2:$B$501,0))),""))</f>
        <v/>
      </c>
      <c r="Q496" s="6">
        <f>IF(AND(D496="",E496=""),"异常：必须关联事件编号或税额批次",IF(AND(D496&lt;&gt;"",COUNTIF('激励事件明细'!$A$2:$A$501,D496)=0),"异常：事件编号不存在",IF(AND(E496&lt;&gt;"",COUNTIF('激励事件明细'!$B$2:$B$501,E496)=0),"异常：税额批次不存在",IF(M496&gt;F496,"异常：本批次超额缴税",IF(AND(I496&lt;&gt;"",I496&gt;H496),"异常：超过事件截止日",IF(AND(P496&lt;&gt;"",TODAY()&gt;=P496,N496&gt;0),"异常：离职前未缴清","正常"))))))</f>
        <v/>
      </c>
      <c r="R496" s="11" t="n"/>
    </row>
    <row r="497">
      <c r="A497" s="6">
        <f>IF(AND(D497="",E497=""),"",IFERROR(INDEX('激励事件明细'!$C$2:$C$501,IF(D497&lt;&gt;"",MATCH(D497,'激励事件明细'!$A$2:$A$501,0),MATCH(E497,'激励事件明细'!$B$2:$B$501,0))),""))</f>
        <v/>
      </c>
      <c r="B497" s="6">
        <f>IF(A497="","",IFERROR(INDEX('激励事件明细'!$D$2:$D$501,IF(D497&lt;&gt;"",MATCH(D497,'激励事件明细'!$A$2:$A$501,0),MATCH(E497,'激励事件明细'!$B$2:$B$501,0))),""))</f>
        <v/>
      </c>
      <c r="C497" s="6">
        <f>IF(A497="","",IFERROR(INDEX('激励事件明细'!$H$2:$H$501,IF(D497&lt;&gt;"",MATCH(D497,'激励事件明细'!$A$2:$A$501,0),MATCH(E497,'激励事件明细'!$B$2:$B$501,0))),""))</f>
        <v/>
      </c>
      <c r="D497" s="11" t="n"/>
      <c r="E497" s="11" t="n"/>
      <c r="F497" s="14">
        <f>IF(A497="","",IFERROR(INDEX('激励事件明细'!$Z$2:$Z$501,IF(D497&lt;&gt;"",MATCH(D497,'激励事件明细'!$A$2:$A$501,0),MATCH(E497,'激励事件明细'!$B$2:$B$501,0))),""))</f>
        <v/>
      </c>
      <c r="G497" s="16">
        <f>IF(A497="","",IFERROR(INDEX('激励事件明细'!$AA$2:$AA$501,IF(D497&lt;&gt;"",MATCH(D497,'激励事件明细'!$A$2:$A$501,0),MATCH(E497,'激励事件明细'!$B$2:$B$501,0))),""))</f>
        <v/>
      </c>
      <c r="H497" s="16">
        <f>IF(A497="","",IFERROR(INDEX('激励事件明细'!$AB$2:$AB$501,IF(D497&lt;&gt;"",MATCH(D497,'激励事件明细'!$A$2:$A$501,0),MATCH(E497,'激励事件明细'!$B$2:$B$501,0))),""))</f>
        <v/>
      </c>
      <c r="I497" s="12" t="n"/>
      <c r="J497" s="13" t="n"/>
      <c r="K497" s="13" t="n"/>
      <c r="L497" s="11" t="n"/>
      <c r="M497" s="14">
        <f>IF(A497="","",IF(D497&lt;&gt;"",SUMIFS($K$2:$K$501,$D$2:$D$501,D497),SUMIFS($K$2:$K$501,$E$2:$E$501,E497)))</f>
        <v/>
      </c>
      <c r="N497" s="14">
        <f>IF(F497="","",MAX(0,F497-M497))</f>
        <v/>
      </c>
      <c r="O497" s="6">
        <f>IF(A497="","",IF(AND(I497&lt;&gt;"",I497&gt;H497),"是",IF(AND(TODAY()&gt;H497,N497&gt;0),"是","否")))</f>
        <v/>
      </c>
      <c r="P497" s="16">
        <f>IF(A497="","",IFERROR(INDEX('激励事件明细'!$P$2:$P$501,IF(D497&lt;&gt;"",MATCH(D497,'激励事件明细'!$A$2:$A$501,0),MATCH(E497,'激励事件明细'!$B$2:$B$501,0))),""))</f>
        <v/>
      </c>
      <c r="Q497" s="6">
        <f>IF(AND(D497="",E497=""),"异常：必须关联事件编号或税额批次",IF(AND(D497&lt;&gt;"",COUNTIF('激励事件明细'!$A$2:$A$501,D497)=0),"异常：事件编号不存在",IF(AND(E497&lt;&gt;"",COUNTIF('激励事件明细'!$B$2:$B$501,E497)=0),"异常：税额批次不存在",IF(M497&gt;F497,"异常：本批次超额缴税",IF(AND(I497&lt;&gt;"",I497&gt;H497),"异常：超过事件截止日",IF(AND(P497&lt;&gt;"",TODAY()&gt;=P497,N497&gt;0),"异常：离职前未缴清","正常"))))))</f>
        <v/>
      </c>
      <c r="R497" s="11" t="n"/>
    </row>
    <row r="498">
      <c r="A498" s="6">
        <f>IF(AND(D498="",E498=""),"",IFERROR(INDEX('激励事件明细'!$C$2:$C$501,IF(D498&lt;&gt;"",MATCH(D498,'激励事件明细'!$A$2:$A$501,0),MATCH(E498,'激励事件明细'!$B$2:$B$501,0))),""))</f>
        <v/>
      </c>
      <c r="B498" s="6">
        <f>IF(A498="","",IFERROR(INDEX('激励事件明细'!$D$2:$D$501,IF(D498&lt;&gt;"",MATCH(D498,'激励事件明细'!$A$2:$A$501,0),MATCH(E498,'激励事件明细'!$B$2:$B$501,0))),""))</f>
        <v/>
      </c>
      <c r="C498" s="6">
        <f>IF(A498="","",IFERROR(INDEX('激励事件明细'!$H$2:$H$501,IF(D498&lt;&gt;"",MATCH(D498,'激励事件明细'!$A$2:$A$501,0),MATCH(E498,'激励事件明细'!$B$2:$B$501,0))),""))</f>
        <v/>
      </c>
      <c r="D498" s="11" t="n"/>
      <c r="E498" s="11" t="n"/>
      <c r="F498" s="14">
        <f>IF(A498="","",IFERROR(INDEX('激励事件明细'!$Z$2:$Z$501,IF(D498&lt;&gt;"",MATCH(D498,'激励事件明细'!$A$2:$A$501,0),MATCH(E498,'激励事件明细'!$B$2:$B$501,0))),""))</f>
        <v/>
      </c>
      <c r="G498" s="16">
        <f>IF(A498="","",IFERROR(INDEX('激励事件明细'!$AA$2:$AA$501,IF(D498&lt;&gt;"",MATCH(D498,'激励事件明细'!$A$2:$A$501,0),MATCH(E498,'激励事件明细'!$B$2:$B$501,0))),""))</f>
        <v/>
      </c>
      <c r="H498" s="16">
        <f>IF(A498="","",IFERROR(INDEX('激励事件明细'!$AB$2:$AB$501,IF(D498&lt;&gt;"",MATCH(D498,'激励事件明细'!$A$2:$A$501,0),MATCH(E498,'激励事件明细'!$B$2:$B$501,0))),""))</f>
        <v/>
      </c>
      <c r="I498" s="12" t="n"/>
      <c r="J498" s="13" t="n"/>
      <c r="K498" s="13" t="n"/>
      <c r="L498" s="11" t="n"/>
      <c r="M498" s="14">
        <f>IF(A498="","",IF(D498&lt;&gt;"",SUMIFS($K$2:$K$501,$D$2:$D$501,D498),SUMIFS($K$2:$K$501,$E$2:$E$501,E498)))</f>
        <v/>
      </c>
      <c r="N498" s="14">
        <f>IF(F498="","",MAX(0,F498-M498))</f>
        <v/>
      </c>
      <c r="O498" s="6">
        <f>IF(A498="","",IF(AND(I498&lt;&gt;"",I498&gt;H498),"是",IF(AND(TODAY()&gt;H498,N498&gt;0),"是","否")))</f>
        <v/>
      </c>
      <c r="P498" s="16">
        <f>IF(A498="","",IFERROR(INDEX('激励事件明细'!$P$2:$P$501,IF(D498&lt;&gt;"",MATCH(D498,'激励事件明细'!$A$2:$A$501,0),MATCH(E498,'激励事件明细'!$B$2:$B$501,0))),""))</f>
        <v/>
      </c>
      <c r="Q498" s="6">
        <f>IF(AND(D498="",E498=""),"异常：必须关联事件编号或税额批次",IF(AND(D498&lt;&gt;"",COUNTIF('激励事件明细'!$A$2:$A$501,D498)=0),"异常：事件编号不存在",IF(AND(E498&lt;&gt;"",COUNTIF('激励事件明细'!$B$2:$B$501,E498)=0),"异常：税额批次不存在",IF(M498&gt;F498,"异常：本批次超额缴税",IF(AND(I498&lt;&gt;"",I498&gt;H498),"异常：超过事件截止日",IF(AND(P498&lt;&gt;"",TODAY()&gt;=P498,N498&gt;0),"异常：离职前未缴清","正常"))))))</f>
        <v/>
      </c>
      <c r="R498" s="11" t="n"/>
    </row>
    <row r="499">
      <c r="A499" s="6">
        <f>IF(AND(D499="",E499=""),"",IFERROR(INDEX('激励事件明细'!$C$2:$C$501,IF(D499&lt;&gt;"",MATCH(D499,'激励事件明细'!$A$2:$A$501,0),MATCH(E499,'激励事件明细'!$B$2:$B$501,0))),""))</f>
        <v/>
      </c>
      <c r="B499" s="6">
        <f>IF(A499="","",IFERROR(INDEX('激励事件明细'!$D$2:$D$501,IF(D499&lt;&gt;"",MATCH(D499,'激励事件明细'!$A$2:$A$501,0),MATCH(E499,'激励事件明细'!$B$2:$B$501,0))),""))</f>
        <v/>
      </c>
      <c r="C499" s="6">
        <f>IF(A499="","",IFERROR(INDEX('激励事件明细'!$H$2:$H$501,IF(D499&lt;&gt;"",MATCH(D499,'激励事件明细'!$A$2:$A$501,0),MATCH(E499,'激励事件明细'!$B$2:$B$501,0))),""))</f>
        <v/>
      </c>
      <c r="D499" s="11" t="n"/>
      <c r="E499" s="11" t="n"/>
      <c r="F499" s="14">
        <f>IF(A499="","",IFERROR(INDEX('激励事件明细'!$Z$2:$Z$501,IF(D499&lt;&gt;"",MATCH(D499,'激励事件明细'!$A$2:$A$501,0),MATCH(E499,'激励事件明细'!$B$2:$B$501,0))),""))</f>
        <v/>
      </c>
      <c r="G499" s="16">
        <f>IF(A499="","",IFERROR(INDEX('激励事件明细'!$AA$2:$AA$501,IF(D499&lt;&gt;"",MATCH(D499,'激励事件明细'!$A$2:$A$501,0),MATCH(E499,'激励事件明细'!$B$2:$B$501,0))),""))</f>
        <v/>
      </c>
      <c r="H499" s="16">
        <f>IF(A499="","",IFERROR(INDEX('激励事件明细'!$AB$2:$AB$501,IF(D499&lt;&gt;"",MATCH(D499,'激励事件明细'!$A$2:$A$501,0),MATCH(E499,'激励事件明细'!$B$2:$B$501,0))),""))</f>
        <v/>
      </c>
      <c r="I499" s="12" t="n"/>
      <c r="J499" s="13" t="n"/>
      <c r="K499" s="13" t="n"/>
      <c r="L499" s="11" t="n"/>
      <c r="M499" s="14">
        <f>IF(A499="","",IF(D499&lt;&gt;"",SUMIFS($K$2:$K$501,$D$2:$D$501,D499),SUMIFS($K$2:$K$501,$E$2:$E$501,E499)))</f>
        <v/>
      </c>
      <c r="N499" s="14">
        <f>IF(F499="","",MAX(0,F499-M499))</f>
        <v/>
      </c>
      <c r="O499" s="6">
        <f>IF(A499="","",IF(AND(I499&lt;&gt;"",I499&gt;H499),"是",IF(AND(TODAY()&gt;H499,N499&gt;0),"是","否")))</f>
        <v/>
      </c>
      <c r="P499" s="16">
        <f>IF(A499="","",IFERROR(INDEX('激励事件明细'!$P$2:$P$501,IF(D499&lt;&gt;"",MATCH(D499,'激励事件明细'!$A$2:$A$501,0),MATCH(E499,'激励事件明细'!$B$2:$B$501,0))),""))</f>
        <v/>
      </c>
      <c r="Q499" s="6">
        <f>IF(AND(D499="",E499=""),"异常：必须关联事件编号或税额批次",IF(AND(D499&lt;&gt;"",COUNTIF('激励事件明细'!$A$2:$A$501,D499)=0),"异常：事件编号不存在",IF(AND(E499&lt;&gt;"",COUNTIF('激励事件明细'!$B$2:$B$501,E499)=0),"异常：税额批次不存在",IF(M499&gt;F499,"异常：本批次超额缴税",IF(AND(I499&lt;&gt;"",I499&gt;H499),"异常：超过事件截止日",IF(AND(P499&lt;&gt;"",TODAY()&gt;=P499,N499&gt;0),"异常：离职前未缴清","正常"))))))</f>
        <v/>
      </c>
      <c r="R499" s="11" t="n"/>
    </row>
    <row r="500">
      <c r="A500" s="6">
        <f>IF(AND(D500="",E500=""),"",IFERROR(INDEX('激励事件明细'!$C$2:$C$501,IF(D500&lt;&gt;"",MATCH(D500,'激励事件明细'!$A$2:$A$501,0),MATCH(E500,'激励事件明细'!$B$2:$B$501,0))),""))</f>
        <v/>
      </c>
      <c r="B500" s="6">
        <f>IF(A500="","",IFERROR(INDEX('激励事件明细'!$D$2:$D$501,IF(D500&lt;&gt;"",MATCH(D500,'激励事件明细'!$A$2:$A$501,0),MATCH(E500,'激励事件明细'!$B$2:$B$501,0))),""))</f>
        <v/>
      </c>
      <c r="C500" s="6">
        <f>IF(A500="","",IFERROR(INDEX('激励事件明细'!$H$2:$H$501,IF(D500&lt;&gt;"",MATCH(D500,'激励事件明细'!$A$2:$A$501,0),MATCH(E500,'激励事件明细'!$B$2:$B$501,0))),""))</f>
        <v/>
      </c>
      <c r="D500" s="11" t="n"/>
      <c r="E500" s="11" t="n"/>
      <c r="F500" s="14">
        <f>IF(A500="","",IFERROR(INDEX('激励事件明细'!$Z$2:$Z$501,IF(D500&lt;&gt;"",MATCH(D500,'激励事件明细'!$A$2:$A$501,0),MATCH(E500,'激励事件明细'!$B$2:$B$501,0))),""))</f>
        <v/>
      </c>
      <c r="G500" s="16">
        <f>IF(A500="","",IFERROR(INDEX('激励事件明细'!$AA$2:$AA$501,IF(D500&lt;&gt;"",MATCH(D500,'激励事件明细'!$A$2:$A$501,0),MATCH(E500,'激励事件明细'!$B$2:$B$501,0))),""))</f>
        <v/>
      </c>
      <c r="H500" s="16">
        <f>IF(A500="","",IFERROR(INDEX('激励事件明细'!$AB$2:$AB$501,IF(D500&lt;&gt;"",MATCH(D500,'激励事件明细'!$A$2:$A$501,0),MATCH(E500,'激励事件明细'!$B$2:$B$501,0))),""))</f>
        <v/>
      </c>
      <c r="I500" s="12" t="n"/>
      <c r="J500" s="13" t="n"/>
      <c r="K500" s="13" t="n"/>
      <c r="L500" s="11" t="n"/>
      <c r="M500" s="14">
        <f>IF(A500="","",IF(D500&lt;&gt;"",SUMIFS($K$2:$K$501,$D$2:$D$501,D500),SUMIFS($K$2:$K$501,$E$2:$E$501,E500)))</f>
        <v/>
      </c>
      <c r="N500" s="14">
        <f>IF(F500="","",MAX(0,F500-M500))</f>
        <v/>
      </c>
      <c r="O500" s="6">
        <f>IF(A500="","",IF(AND(I500&lt;&gt;"",I500&gt;H500),"是",IF(AND(TODAY()&gt;H500,N500&gt;0),"是","否")))</f>
        <v/>
      </c>
      <c r="P500" s="16">
        <f>IF(A500="","",IFERROR(INDEX('激励事件明细'!$P$2:$P$501,IF(D500&lt;&gt;"",MATCH(D500,'激励事件明细'!$A$2:$A$501,0),MATCH(E500,'激励事件明细'!$B$2:$B$501,0))),""))</f>
        <v/>
      </c>
      <c r="Q500" s="6">
        <f>IF(AND(D500="",E500=""),"异常：必须关联事件编号或税额批次",IF(AND(D500&lt;&gt;"",COUNTIF('激励事件明细'!$A$2:$A$501,D500)=0),"异常：事件编号不存在",IF(AND(E500&lt;&gt;"",COUNTIF('激励事件明细'!$B$2:$B$501,E500)=0),"异常：税额批次不存在",IF(M500&gt;F500,"异常：本批次超额缴税",IF(AND(I500&lt;&gt;"",I500&gt;H500),"异常：超过事件截止日",IF(AND(P500&lt;&gt;"",TODAY()&gt;=P500,N500&gt;0),"异常：离职前未缴清","正常"))))))</f>
        <v/>
      </c>
      <c r="R500" s="11" t="n"/>
    </row>
    <row r="501">
      <c r="A501" s="6">
        <f>IF(AND(D501="",E501=""),"",IFERROR(INDEX('激励事件明细'!$C$2:$C$501,IF(D501&lt;&gt;"",MATCH(D501,'激励事件明细'!$A$2:$A$501,0),MATCH(E501,'激励事件明细'!$B$2:$B$501,0))),""))</f>
        <v/>
      </c>
      <c r="B501" s="6">
        <f>IF(A501="","",IFERROR(INDEX('激励事件明细'!$D$2:$D$501,IF(D501&lt;&gt;"",MATCH(D501,'激励事件明细'!$A$2:$A$501,0),MATCH(E501,'激励事件明细'!$B$2:$B$501,0))),""))</f>
        <v/>
      </c>
      <c r="C501" s="6">
        <f>IF(A501="","",IFERROR(INDEX('激励事件明细'!$H$2:$H$501,IF(D501&lt;&gt;"",MATCH(D501,'激励事件明细'!$A$2:$A$501,0),MATCH(E501,'激励事件明细'!$B$2:$B$501,0))),""))</f>
        <v/>
      </c>
      <c r="D501" s="11" t="n"/>
      <c r="E501" s="11" t="n"/>
      <c r="F501" s="14">
        <f>IF(A501="","",IFERROR(INDEX('激励事件明细'!$Z$2:$Z$501,IF(D501&lt;&gt;"",MATCH(D501,'激励事件明细'!$A$2:$A$501,0),MATCH(E501,'激励事件明细'!$B$2:$B$501,0))),""))</f>
        <v/>
      </c>
      <c r="G501" s="16">
        <f>IF(A501="","",IFERROR(INDEX('激励事件明细'!$AA$2:$AA$501,IF(D501&lt;&gt;"",MATCH(D501,'激励事件明细'!$A$2:$A$501,0),MATCH(E501,'激励事件明细'!$B$2:$B$501,0))),""))</f>
        <v/>
      </c>
      <c r="H501" s="16">
        <f>IF(A501="","",IFERROR(INDEX('激励事件明细'!$AB$2:$AB$501,IF(D501&lt;&gt;"",MATCH(D501,'激励事件明细'!$A$2:$A$501,0),MATCH(E501,'激励事件明细'!$B$2:$B$501,0))),""))</f>
        <v/>
      </c>
      <c r="I501" s="12" t="n"/>
      <c r="J501" s="13" t="n"/>
      <c r="K501" s="13" t="n"/>
      <c r="L501" s="11" t="n"/>
      <c r="M501" s="14">
        <f>IF(A501="","",IF(D501&lt;&gt;"",SUMIFS($K$2:$K$501,$D$2:$D$501,D501),SUMIFS($K$2:$K$501,$E$2:$E$501,E501)))</f>
        <v/>
      </c>
      <c r="N501" s="14">
        <f>IF(F501="","",MAX(0,F501-M501))</f>
        <v/>
      </c>
      <c r="O501" s="6">
        <f>IF(A501="","",IF(AND(I501&lt;&gt;"",I501&gt;H501),"是",IF(AND(TODAY()&gt;H501,N501&gt;0),"是","否")))</f>
        <v/>
      </c>
      <c r="P501" s="16">
        <f>IF(A501="","",IFERROR(INDEX('激励事件明细'!$P$2:$P$501,IF(D501&lt;&gt;"",MATCH(D501,'激励事件明细'!$A$2:$A$501,0),MATCH(E501,'激励事件明细'!$B$2:$B$501,0))),""))</f>
        <v/>
      </c>
      <c r="Q501" s="6">
        <f>IF(AND(D501="",E501=""),"异常：必须关联事件编号或税额批次",IF(AND(D501&lt;&gt;"",COUNTIF('激励事件明细'!$A$2:$A$501,D501)=0),"异常：事件编号不存在",IF(AND(E501&lt;&gt;"",COUNTIF('激励事件明细'!$B$2:$B$501,E501)=0),"异常：税额批次不存在",IF(M501&gt;F501,"异常：本批次超额缴税",IF(AND(I501&lt;&gt;"",I501&gt;H501),"异常：超过事件截止日",IF(AND(P501&lt;&gt;"",TODAY()&gt;=P501,N501&gt;0),"异常：离职前未缴清","正常"))))))</f>
        <v/>
      </c>
      <c r="R501" s="11" t="n"/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R501"/>
  <conditionalFormatting sqref="Q2:Q501">
    <cfRule type="expression" priority="1" dxfId="0">
      <formula>LEFT(Q2,2)="异常"</formula>
    </cfRule>
  </conditionalFormatting>
  <dataValidations count="5">
    <dataValidation sqref="A2:A501" showDropDown="0" showInputMessage="1" showErrorMessage="1" allowBlank="1" errorTitle="输入无效" error="请选择下拉列表中的有效值。" promptTitle="可选值" prompt="请从下拉列表选择。" type="list">
      <formula1>=员工编号列表</formula1>
    </dataValidation>
    <dataValidation sqref="D2:D501" showDropDown="0" showInputMessage="1" showErrorMessage="1" allowBlank="1" errorTitle="输入无效" error="请选择下拉列表中的有效值。" promptTitle="可选值" prompt="请从下拉列表选择。" type="list">
      <formula1>=事件编号列表</formula1>
    </dataValidation>
    <dataValidation sqref="E2:E501" showDropDown="0" showInputMessage="1" showErrorMessage="1" allowBlank="1" errorTitle="输入无效" error="请选择下拉列表中的有效值。" promptTitle="可选值" prompt="请从下拉列表选择。" type="list">
      <formula1>=税额批次列表</formula1>
    </dataValidation>
    <dataValidation sqref="I2:I501" showDropDown="0" showInputMessage="0" showErrorMessage="1" allowBlank="1" errorTitle="日期无效" error="请输入2024-01-01至2035-12-31之间的日期。" type="date" operator="between">
      <formula1>DATE(2024,1,1)</formula1>
      <formula2>DATE(2035,12,31)</formula2>
    </dataValidation>
    <dataValidation sqref="J2:K501" showDropDown="0" showInputMessage="0" showErrorMessage="1" allowBlank="1" errorTitle="数值无效" error="请输入符合条件的非负数字。" type="decimal" operator="greaterThanOrEqual">
      <formula1>0</formula1>
    </dataValidation>
  </dataValidation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7" t="inlineStr">
        <is>
          <t>单人测算（仅引用业务明细）</t>
        </is>
      </c>
    </row>
    <row r="3">
      <c r="A3" t="inlineStr">
        <is>
          <t>员工编号</t>
        </is>
      </c>
      <c r="B3" s="11" t="inlineStr">
        <is>
          <t>DEMO001</t>
        </is>
      </c>
    </row>
    <row r="5">
      <c r="A5" s="18" t="inlineStr">
        <is>
          <t>姓名</t>
        </is>
      </c>
      <c r="B5" s="6">
        <f>IFERROR(INDEX('激励事件明细'!$D$2:$D$501,MATCH(B3,'激励事件明细'!$C$2:$C$501,0)),"")</f>
        <v/>
      </c>
    </row>
    <row r="6">
      <c r="A6" s="18" t="inlineStr">
        <is>
          <t>全部事件所得</t>
        </is>
      </c>
      <c r="B6" s="14">
        <f>SUMIFS('激励事件明细'!$S$2:$S$501,'激励事件明细'!$C$2:$C$501,B3)</f>
        <v/>
      </c>
    </row>
    <row r="7">
      <c r="A7" s="18" t="inlineStr">
        <is>
          <t>年度汇总税额</t>
        </is>
      </c>
      <c r="B7" s="14">
        <f>SUMIFS('年度计税汇总'!$J$2:$J$201,'年度计税汇总'!$A$2:$A$201,B3)</f>
        <v/>
      </c>
    </row>
    <row r="8">
      <c r="A8" s="18" t="inlineStr">
        <is>
          <t>实际已缴</t>
        </is>
      </c>
      <c r="B8" s="14">
        <f>SUMIFS('分期缴税台账'!$K$2:$K$501,'分期缴税台账'!$A$2:$A$501,B3)</f>
        <v/>
      </c>
    </row>
    <row r="9">
      <c r="A9" s="18" t="inlineStr">
        <is>
          <t>剩余税额</t>
        </is>
      </c>
      <c r="B9" s="14">
        <f>MAX(0,B7-B8)</f>
        <v/>
      </c>
    </row>
    <row r="10">
      <c r="A10" s="18" t="inlineStr">
        <is>
          <t>最早事件截止日</t>
        </is>
      </c>
      <c r="B10" s="16">
        <f>IFERROR(AGGREGATE(15,6,'激励事件明细'!$AB$2:$AB$501/('激励事件明细'!$C$2:$C$501=B3),1),"")</f>
        <v/>
      </c>
    </row>
    <row r="13">
      <c r="A13" s="19" t="inlineStr">
        <is>
          <t>年度</t>
        </is>
      </c>
      <c r="B13" s="19" t="inlineStr">
        <is>
          <t>年度所得</t>
        </is>
      </c>
      <c r="C13" s="19" t="inlineStr">
        <is>
          <t>年度税额</t>
        </is>
      </c>
      <c r="D13" s="19" t="inlineStr">
        <is>
          <t>已缴</t>
        </is>
      </c>
      <c r="E13" s="19" t="inlineStr">
        <is>
          <t>未缴</t>
        </is>
      </c>
    </row>
    <row r="14">
      <c r="A14" t="n">
        <v>2024</v>
      </c>
      <c r="B14" s="14">
        <f>SUMIFS('年度计税汇总'!$G$2:$G$201,'年度计税汇总'!$A$2:$A$201,$B$3,'年度计税汇总'!$C$2:$C$201,A14)</f>
        <v/>
      </c>
      <c r="C14" s="14">
        <f>SUMIFS('年度计税汇总'!$J$2:$J$201,'年度计税汇总'!$A$2:$A$201,$B$3,'年度计税汇总'!$C$2:$C$201,A14)</f>
        <v/>
      </c>
      <c r="D14" s="14">
        <f>SUMIFS('分期缴税台账'!$K$2:$K$501,'分期缴税台账'!$A$2:$A$501,$B$3,'分期缴税台账'!$C$2:$C$501,A14)</f>
        <v/>
      </c>
      <c r="E14" s="14">
        <f>MAX(0,C14-D14)</f>
        <v/>
      </c>
    </row>
    <row r="15">
      <c r="A15" t="n">
        <v>2025</v>
      </c>
      <c r="B15" s="14">
        <f>SUMIFS('年度计税汇总'!$G$2:$G$201,'年度计税汇总'!$A$2:$A$201,$B$3,'年度计税汇总'!$C$2:$C$201,A15)</f>
        <v/>
      </c>
      <c r="C15" s="14">
        <f>SUMIFS('年度计税汇总'!$J$2:$J$201,'年度计税汇总'!$A$2:$A$201,$B$3,'年度计税汇总'!$C$2:$C$201,A15)</f>
        <v/>
      </c>
      <c r="D15" s="14">
        <f>SUMIFS('分期缴税台账'!$K$2:$K$501,'分期缴税台账'!$A$2:$A$501,$B$3,'分期缴税台账'!$C$2:$C$501,A15)</f>
        <v/>
      </c>
      <c r="E15" s="14">
        <f>MAX(0,C15-D15)</f>
        <v/>
      </c>
    </row>
    <row r="16">
      <c r="A16" t="n">
        <v>2026</v>
      </c>
      <c r="B16" s="14">
        <f>SUMIFS('年度计税汇总'!$G$2:$G$201,'年度计税汇总'!$A$2:$A$201,$B$3,'年度计税汇总'!$C$2:$C$201,A16)</f>
        <v/>
      </c>
      <c r="C16" s="14">
        <f>SUMIFS('年度计税汇总'!$J$2:$J$201,'年度计税汇总'!$A$2:$A$201,$B$3,'年度计税汇总'!$C$2:$C$201,A16)</f>
        <v/>
      </c>
      <c r="D16" s="14">
        <f>SUMIFS('分期缴税台账'!$K$2:$K$501,'分期缴税台账'!$A$2:$A$501,$B$3,'分期缴税台账'!$C$2:$C$501,A16)</f>
        <v/>
      </c>
      <c r="E16" s="14">
        <f>MAX(0,C16-D16)</f>
        <v/>
      </c>
    </row>
    <row r="17">
      <c r="A17" t="n">
        <v>2027</v>
      </c>
      <c r="B17" s="14">
        <f>SUMIFS('年度计税汇总'!$G$2:$G$201,'年度计税汇总'!$A$2:$A$201,$B$3,'年度计税汇总'!$C$2:$C$201,A17)</f>
        <v/>
      </c>
      <c r="C17" s="14">
        <f>SUMIFS('年度计税汇总'!$J$2:$J$201,'年度计税汇总'!$A$2:$A$201,$B$3,'年度计税汇总'!$C$2:$C$201,A17)</f>
        <v/>
      </c>
      <c r="D17" s="14">
        <f>SUMIFS('分期缴税台账'!$K$2:$K$501,'分期缴税台账'!$A$2:$A$501,$B$3,'分期缴税台账'!$C$2:$C$501,A17)</f>
        <v/>
      </c>
      <c r="E17" s="14">
        <f>MAX(0,C17-D17)</f>
        <v/>
      </c>
    </row>
    <row r="18">
      <c r="A18" t="n">
        <v>2028</v>
      </c>
      <c r="B18" s="14">
        <f>SUMIFS('年度计税汇总'!$G$2:$G$201,'年度计税汇总'!$A$2:$A$201,$B$3,'年度计税汇总'!$C$2:$C$201,A18)</f>
        <v/>
      </c>
      <c r="C18" s="14">
        <f>SUMIFS('年度计税汇总'!$J$2:$J$201,'年度计税汇总'!$A$2:$A$201,$B$3,'年度计税汇总'!$C$2:$C$201,A18)</f>
        <v/>
      </c>
      <c r="D18" s="14">
        <f>SUMIFS('分期缴税台账'!$K$2:$K$501,'分期缴税台账'!$A$2:$A$501,$B$3,'分期缴税台账'!$C$2:$C$501,A18)</f>
        <v/>
      </c>
      <c r="E18" s="14">
        <f>MAX(0,C18-D18)</f>
        <v/>
      </c>
    </row>
    <row r="19">
      <c r="A19" t="n">
        <v>2029</v>
      </c>
      <c r="B19" s="14">
        <f>SUMIFS('年度计税汇总'!$G$2:$G$201,'年度计税汇总'!$A$2:$A$201,$B$3,'年度计税汇总'!$C$2:$C$201,A19)</f>
        <v/>
      </c>
      <c r="C19" s="14">
        <f>SUMIFS('年度计税汇总'!$J$2:$J$201,'年度计税汇总'!$A$2:$A$201,$B$3,'年度计税汇总'!$C$2:$C$201,A19)</f>
        <v/>
      </c>
      <c r="D19" s="14">
        <f>SUMIFS('分期缴税台账'!$K$2:$K$501,'分期缴税台账'!$A$2:$A$501,$B$3,'分期缴税台账'!$C$2:$C$501,A19)</f>
        <v/>
      </c>
      <c r="E19" s="14">
        <f>MAX(0,C19-D19)</f>
        <v/>
      </c>
    </row>
    <row r="20">
      <c r="A20" t="n">
        <v>2030</v>
      </c>
      <c r="B20" s="14">
        <f>SUMIFS('年度计税汇总'!$G$2:$G$201,'年度计税汇总'!$A$2:$A$201,$B$3,'年度计税汇总'!$C$2:$C$201,A20)</f>
        <v/>
      </c>
      <c r="C20" s="14">
        <f>SUMIFS('年度计税汇总'!$J$2:$J$201,'年度计税汇总'!$A$2:$A$201,$B$3,'年度计税汇总'!$C$2:$C$201,A20)</f>
        <v/>
      </c>
      <c r="D20" s="14">
        <f>SUMIFS('分期缴税台账'!$K$2:$K$501,'分期缴税台账'!$A$2:$A$501,$B$3,'分期缴税台账'!$C$2:$C$501,A20)</f>
        <v/>
      </c>
      <c r="E20" s="14">
        <f>MAX(0,C20-D20)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3:E20"/>
  <mergeCells count="1">
    <mergeCell ref="A1:F1"/>
  </mergeCells>
  <dataValidations count="1">
    <dataValidation sqref="B3" showDropDown="0" showInputMessage="1" showErrorMessage="1" allowBlank="1" errorTitle="输入无效" error="请选择下拉列表中的有效值。" promptTitle="可选值" prompt="请从下拉列表选择。" type="list">
      <formula1>=员工编号列表</formula1>
    </dataValidation>
  </dataValidations>
  <pageMargins left="0.75" right="0.75" top="1" bottom="1" header="0.5" footer="0.5"/>
  <pageSetup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8" customWidth="1" min="4" max="4"/>
    <col width="55" customWidth="1" min="5" max="5"/>
  </cols>
  <sheetData>
    <row r="1" ht="32" customHeight="1">
      <c r="A1" s="8" t="inlineStr">
        <is>
          <t>所得下限</t>
        </is>
      </c>
      <c r="B1" s="8" t="inlineStr">
        <is>
          <t>税率</t>
        </is>
      </c>
      <c r="C1" s="8" t="inlineStr">
        <is>
          <t>速算扣除数</t>
        </is>
      </c>
      <c r="D1" s="8" t="inlineStr">
        <is>
          <t>所得上限</t>
        </is>
      </c>
      <c r="E1" s="8" t="inlineStr">
        <is>
          <t>规则说明</t>
        </is>
      </c>
    </row>
    <row r="2">
      <c r="A2" s="20" t="n">
        <v>0</v>
      </c>
      <c r="B2" s="21" t="n">
        <v>0.03</v>
      </c>
      <c r="C2" s="20" t="n">
        <v>0</v>
      </c>
      <c r="D2" s="5" t="n">
        <v>36000</v>
      </c>
      <c r="E2" s="5" t="inlineStr">
        <is>
          <t>同一员工同一年度股权激励所得合并后单独计税</t>
        </is>
      </c>
    </row>
    <row r="3">
      <c r="A3" s="20" t="n">
        <v>36000.01</v>
      </c>
      <c r="B3" s="21" t="n">
        <v>0.1</v>
      </c>
      <c r="C3" s="20" t="n">
        <v>2520</v>
      </c>
      <c r="D3" s="5" t="n">
        <v>144000</v>
      </c>
      <c r="E3" s="5" t="inlineStr">
        <is>
          <t>同一员工同一年度股权激励所得合并后单独计税</t>
        </is>
      </c>
    </row>
    <row r="4">
      <c r="A4" s="20" t="n">
        <v>144000.01</v>
      </c>
      <c r="B4" s="21" t="n">
        <v>0.2</v>
      </c>
      <c r="C4" s="20" t="n">
        <v>16920</v>
      </c>
      <c r="D4" s="5" t="n">
        <v>300000</v>
      </c>
      <c r="E4" s="5" t="inlineStr">
        <is>
          <t>同一员工同一年度股权激励所得合并后单独计税</t>
        </is>
      </c>
    </row>
    <row r="5">
      <c r="A5" s="20" t="n">
        <v>300000.01</v>
      </c>
      <c r="B5" s="21" t="n">
        <v>0.25</v>
      </c>
      <c r="C5" s="20" t="n">
        <v>31920</v>
      </c>
      <c r="D5" s="5" t="n">
        <v>420000</v>
      </c>
      <c r="E5" s="5" t="inlineStr">
        <is>
          <t>同一员工同一年度股权激励所得合并后单独计税</t>
        </is>
      </c>
    </row>
    <row r="6">
      <c r="A6" s="20" t="n">
        <v>420000.01</v>
      </c>
      <c r="B6" s="21" t="n">
        <v>0.3</v>
      </c>
      <c r="C6" s="20" t="n">
        <v>52920</v>
      </c>
      <c r="D6" s="5" t="n">
        <v>660000</v>
      </c>
      <c r="E6" s="5" t="inlineStr">
        <is>
          <t>同一员工同一年度股权激励所得合并后单独计税</t>
        </is>
      </c>
    </row>
    <row r="7">
      <c r="A7" s="20" t="n">
        <v>660000.01</v>
      </c>
      <c r="B7" s="21" t="n">
        <v>0.35</v>
      </c>
      <c r="C7" s="20" t="n">
        <v>85920</v>
      </c>
      <c r="D7" s="5" t="n">
        <v>960000</v>
      </c>
      <c r="E7" s="5" t="inlineStr">
        <is>
          <t>同一员工同一年度股权激励所得合并后单独计税</t>
        </is>
      </c>
    </row>
    <row r="8">
      <c r="A8" s="20" t="n">
        <v>960000.01</v>
      </c>
      <c r="B8" s="21" t="n">
        <v>0.45</v>
      </c>
      <c r="C8" s="20" t="n">
        <v>181920</v>
      </c>
      <c r="D8" s="5" t="inlineStr">
        <is>
          <t>以上</t>
        </is>
      </c>
      <c r="E8" s="5" t="inlineStr">
        <is>
          <t>同一员工同一年度股权激励所得合并后单独计税</t>
        </is>
      </c>
    </row>
    <row r="9">
      <c r="A9" s="5" t="n"/>
      <c r="B9" s="5" t="n"/>
      <c r="C9" s="5" t="n"/>
      <c r="D9" s="5" t="n"/>
      <c r="E9" s="5" t="n"/>
    </row>
    <row r="10">
      <c r="A10" s="5" t="inlineStr">
        <is>
          <t>股票期权所得</t>
        </is>
      </c>
      <c r="B10" s="5" t="inlineStr">
        <is>
          <t>（行权日收盘价－事件日有效行权价）×本次行权数量</t>
        </is>
      </c>
      <c r="C10" s="5" t="n"/>
      <c r="D10" s="5" t="n"/>
      <c r="E10" s="5" t="n"/>
    </row>
    <row r="11">
      <c r="A11" s="5" t="inlineStr">
        <is>
          <t>限制性股票所得</t>
        </is>
      </c>
      <c r="B11" s="5" t="inlineStr">
        <is>
          <t>（登记日收盘价＋解禁日收盘价）÷2×本批解禁数量－个人实际出资×本批数量÷个人获授总数</t>
        </is>
      </c>
      <c r="C11" s="5" t="n"/>
      <c r="D11" s="5" t="n"/>
      <c r="E11" s="5" t="n"/>
    </row>
    <row r="12">
      <c r="A12" s="5" t="inlineStr">
        <is>
          <t>36个月</t>
        </is>
      </c>
      <c r="B12" s="5" t="inlineStr">
        <is>
          <t>每次事件新增税额独立起算，不按年度最早事件统一截止</t>
        </is>
      </c>
      <c r="C12" s="5" t="n"/>
      <c r="D12" s="5" t="n"/>
      <c r="E12" s="5" t="n"/>
    </row>
    <row r="13">
      <c r="A13" s="5" t="inlineStr">
        <is>
          <t>月末规则</t>
        </is>
      </c>
      <c r="B13" s="5" t="inlineStr">
        <is>
          <t>使用EDATE按公历加36个月</t>
        </is>
      </c>
      <c r="C13" s="5" t="n"/>
      <c r="D13" s="5" t="n"/>
      <c r="E13" s="5" t="n"/>
    </row>
    <row r="14">
      <c r="A14" s="5" t="inlineStr">
        <is>
          <t>离职</t>
        </is>
      </c>
      <c r="B14" s="5" t="inlineStr">
        <is>
          <t>在36个月期间内离职的，应在离职前缴清全部税款</t>
        </is>
      </c>
      <c r="C14" s="5" t="n"/>
      <c r="D14" s="5" t="n"/>
      <c r="E14" s="5" t="n"/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E8"/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30" customWidth="1" min="4" max="4"/>
    <col width="52" customWidth="1" min="5" max="5"/>
    <col width="55" customWidth="1" min="6" max="6"/>
  </cols>
  <sheetData>
    <row r="1" ht="32" customHeight="1">
      <c r="A1" s="8" t="inlineStr">
        <is>
          <t>类别</t>
        </is>
      </c>
      <c r="B1" s="8" t="inlineStr">
        <is>
          <t>文件名称</t>
        </is>
      </c>
      <c r="C1" s="8" t="inlineStr">
        <is>
          <t>发布日期</t>
        </is>
      </c>
      <c r="D1" s="8" t="inlineStr">
        <is>
          <t>文号/公告编号</t>
        </is>
      </c>
      <c r="E1" s="8" t="inlineStr">
        <is>
          <t>采用内容</t>
        </is>
      </c>
      <c r="F1" s="8" t="inlineStr">
        <is>
          <t>来源链接</t>
        </is>
      </c>
    </row>
    <row r="2">
      <c r="A2" s="5" t="inlineStr">
        <is>
          <t>公司公告</t>
        </is>
      </c>
      <c r="B2" s="5" t="inlineStr">
        <is>
          <t>关于向2023年股票期权与限制性股票激励计划激励对象授予权益的公告</t>
        </is>
      </c>
      <c r="C2" s="9" t="n">
        <v>45475</v>
      </c>
      <c r="D2" s="5" t="inlineStr">
        <is>
          <t>2024-043</t>
        </is>
      </c>
      <c r="E2" s="5" t="inlineStr">
        <is>
          <t>实际授予862.50万份/股、623人；授予日2024-07-01</t>
        </is>
      </c>
      <c r="F2" s="22" t="inlineStr">
        <is>
          <t>https://disc.static.szse.cn/disc/disk03/finalpage/2024-07-01/d4e22bf2-dc60-41be-ab59-090c05df4556.PDF</t>
        </is>
      </c>
    </row>
    <row r="3">
      <c r="A3" s="5" t="inlineStr">
        <is>
          <t>公司公告</t>
        </is>
      </c>
      <c r="B3" s="5" t="inlineStr">
        <is>
          <t>股票期权授予登记完成公告</t>
        </is>
      </c>
      <c r="C3" s="9" t="n">
        <v>45498</v>
      </c>
      <c r="D3" s="5" t="inlineStr">
        <is>
          <t>2024-045</t>
        </is>
      </c>
      <c r="E3" s="5" t="inlineStr">
        <is>
          <t>登记802万份、557人；登记完成日2024-07-24</t>
        </is>
      </c>
      <c r="F3" s="22" t="inlineStr">
        <is>
          <t>https://static.cninfo.com.cn/finalpage/2024-07-25/1220719491.PDF</t>
        </is>
      </c>
    </row>
    <row r="4">
      <c r="A4" s="5" t="inlineStr">
        <is>
          <t>公司公告</t>
        </is>
      </c>
      <c r="B4" s="5" t="inlineStr">
        <is>
          <t>限制性股票授予登记完成公告</t>
        </is>
      </c>
      <c r="C4" s="9" t="n">
        <v>45530</v>
      </c>
      <c r="D4" s="5" t="inlineStr">
        <is>
          <t>2024-054</t>
        </is>
      </c>
      <c r="E4" s="5" t="inlineStr">
        <is>
          <t>登记802万股、557人；上市及登记日2024-08-27</t>
        </is>
      </c>
      <c r="F4" s="22" t="inlineStr">
        <is>
          <t>https://static.cninfo.com.cn/finalpage/2024-08-26/1220961881.PDF</t>
        </is>
      </c>
    </row>
    <row r="5">
      <c r="A5" s="5" t="inlineStr">
        <is>
          <t>行情</t>
        </is>
      </c>
      <c r="B5" s="5" t="inlineStr">
        <is>
          <t>深圳证券交易所股票历史行情</t>
        </is>
      </c>
      <c r="C5" s="9" t="n">
        <v>45531</v>
      </c>
      <c r="D5" s="5" t="inlineStr">
        <is>
          <t>无</t>
        </is>
      </c>
      <c r="E5" s="5" t="inlineStr">
        <is>
          <t>002967当日今收13.06元</t>
        </is>
      </c>
      <c r="F5" s="22" t="inlineStr">
        <is>
          <t>https://www.szse.cn/api/report/ShowReport/data?SHOWTYPE=JSON&amp;CATALOGID=1815_stock&amp;TABKEY=tab1&amp;txtDMorJC=002967&amp;txtBeginDate=2024-08-27</t>
        </is>
      </c>
    </row>
    <row r="6">
      <c r="A6" s="5" t="inlineStr">
        <is>
          <t>税收政策</t>
        </is>
      </c>
      <c r="B6" s="5" t="inlineStr">
        <is>
          <t>关于延续实施上市公司股权激励有关个人所得税政策的公告</t>
        </is>
      </c>
      <c r="C6" s="9" t="n">
        <v>45156</v>
      </c>
      <c r="D6" s="5" t="inlineStr">
        <is>
          <t>财政部 税务总局公告2023年第25号</t>
        </is>
      </c>
      <c r="E6" s="5" t="inlineStr">
        <is>
          <t>同年度两次以上股权激励合并、单独计税</t>
        </is>
      </c>
      <c r="F6" s="22" t="inlineStr">
        <is>
          <t>https://fgk.chinatax.gov.cn/zcfgk/c102416/c5211082/content.html</t>
        </is>
      </c>
    </row>
    <row r="7">
      <c r="A7" s="5" t="inlineStr">
        <is>
          <t>税收政策</t>
        </is>
      </c>
      <c r="B7" s="5" t="inlineStr">
        <is>
          <t>关于上市公司股权激励有关个人所得税政策的公告</t>
        </is>
      </c>
      <c r="C7" s="9" t="n">
        <v>45399</v>
      </c>
      <c r="D7" s="5" t="inlineStr">
        <is>
          <t>财政部 税务总局公告2024年第2号</t>
        </is>
      </c>
      <c r="E7" s="5" t="inlineStr">
        <is>
          <t>备案后自事件日起不超过36个月缴税；离职前缴清</t>
        </is>
      </c>
      <c r="F7" s="22" t="inlineStr">
        <is>
          <t>https://jiangsu.chinatax.gov.cn/art/2024/4/28/art_8349_458449.html</t>
        </is>
      </c>
    </row>
    <row r="8">
      <c r="A8" s="5" t="inlineStr">
        <is>
          <t>税收政策</t>
        </is>
      </c>
      <c r="B8" s="5" t="inlineStr">
        <is>
          <t>关于股权激励有关个人所得税问题的通知</t>
        </is>
      </c>
      <c r="C8" s="9" t="n">
        <v>40049</v>
      </c>
      <c r="D8" s="5" t="inlineStr">
        <is>
          <t>国税函〔2009〕461号</t>
        </is>
      </c>
      <c r="E8" s="5" t="inlineStr">
        <is>
          <t>限制性股票所得公式及个人口径分母</t>
        </is>
      </c>
      <c r="F8" s="22" t="inlineStr">
        <is>
          <t>https://fgk.chinatax.gov.cn/zcfgk/c100012/c5194079/content.html</t>
        </is>
      </c>
    </row>
    <row r="9">
      <c r="A9" s="5" t="inlineStr">
        <is>
          <t>税收政策</t>
        </is>
      </c>
      <c r="B9" s="5" t="inlineStr">
        <is>
          <t>关于个人股票期权所得征收个人所得税问题的通知</t>
        </is>
      </c>
      <c r="C9" s="9" t="n">
        <v>38439</v>
      </c>
      <c r="D9" s="5" t="inlineStr">
        <is>
          <t>财税〔2005〕35号</t>
        </is>
      </c>
      <c r="E9" s="5" t="inlineStr">
        <is>
          <t>股票期权所得公式；市场价为行权日收盘价</t>
        </is>
      </c>
      <c r="F9" s="22" t="inlineStr">
        <is>
          <t>https://fgk.chinatax.gov.cn/zcfgk/c102416/c5203004/content.html</t>
        </is>
      </c>
    </row>
    <row r="10">
      <c r="A10" s="5" t="inlineStr">
        <is>
          <t>公司公告</t>
        </is>
      </c>
      <c r="B10" s="5" t="inlineStr">
        <is>
          <t>2024年中期权益分派实施公告</t>
        </is>
      </c>
      <c r="C10" s="9" t="n">
        <v>45663</v>
      </c>
      <c r="D10" s="5" t="inlineStr">
        <is>
          <t>2025-002</t>
        </is>
      </c>
      <c r="E10" s="5" t="inlineStr">
        <is>
          <t>2025-01-10起行权价14.32</t>
        </is>
      </c>
      <c r="F10" s="22" t="inlineStr">
        <is>
          <t>https://static.cninfo.com.cn/finalpage/2025-01-06/1222225049.PDF</t>
        </is>
      </c>
    </row>
    <row r="11">
      <c r="A11" s="5" t="inlineStr">
        <is>
          <t>公司公告</t>
        </is>
      </c>
      <c r="B11" s="5" t="inlineStr">
        <is>
          <t>2024年年度权益分派实施公告</t>
        </is>
      </c>
      <c r="C11" s="9" t="n">
        <v>45770</v>
      </c>
      <c r="D11" s="5" t="inlineStr">
        <is>
          <t>2025-031</t>
        </is>
      </c>
      <c r="E11" s="5" t="inlineStr">
        <is>
          <t>2025-04-29起行权价14.18</t>
        </is>
      </c>
      <c r="F11" s="22" t="inlineStr">
        <is>
          <t>https://static.cninfo.com.cn/finalpage/2025-04-23/1223212213.PDF</t>
        </is>
      </c>
    </row>
    <row r="12">
      <c r="A12" s="5" t="inlineStr">
        <is>
          <t>公司公告</t>
        </is>
      </c>
      <c r="B12" s="5" t="inlineStr">
        <is>
          <t>2025年中期权益分派实施公告</t>
        </is>
      </c>
      <c r="C12" s="9" t="n">
        <v>45919</v>
      </c>
      <c r="D12" s="5" t="inlineStr">
        <is>
          <t>2025-060</t>
        </is>
      </c>
      <c r="E12" s="5" t="inlineStr">
        <is>
          <t>2025-09-26起行权价14.04</t>
        </is>
      </c>
      <c r="F12" s="22" t="inlineStr">
        <is>
          <t>https://static.cninfo.com.cn/finalpage/2025-09-19/1224668254.PDF</t>
        </is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0"/>
  <autoFilter ref="A1:F12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2026-06-12T02:15:00Z</dcterms:created>
  <dcterms:modified xmlns:dcterms="http://purl.org/dc/terms/" xmlns:xsi="http://www.w3.org/2001/XMLSchema-instance" xsi:type="dcterms:W3CDTF">2026-06-12T02:15:02Z</dcterms:modified>
</cp:coreProperties>
</file>